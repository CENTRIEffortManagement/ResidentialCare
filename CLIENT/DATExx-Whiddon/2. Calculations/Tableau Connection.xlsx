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"/>
    </mc:Choice>
  </mc:AlternateContent>
  <xr:revisionPtr revIDLastSave="0" documentId="13_ncr:1_{825EC99E-027E-4527-870B-6E966CCD2015}" xr6:coauthVersionLast="47" xr6:coauthVersionMax="47" xr10:uidLastSave="{00000000-0000-0000-0000-000000000000}"/>
  <bookViews>
    <workbookView xWindow="-120" yWindow="-120" windowWidth="38640" windowHeight="21120" firstSheet="2" activeTab="4" xr2:uid="{16B7FE64-7578-4206-945C-2BD2DFE73CF2}"/>
  </bookViews>
  <sheets>
    <sheet name="_mcode_path" sheetId="10" state="veryHidden" r:id="rId1"/>
    <sheet name="Unit1Path" sheetId="11" r:id="rId2"/>
    <sheet name="FILEPATH" sheetId="7" r:id="rId3"/>
    <sheet name="DateAlignment!!" sheetId="8" r:id="rId4"/>
    <sheet name="Masterlist" sheetId="13" r:id="rId5"/>
    <sheet name="IMPORT Table_Masterlist" sheetId="12" r:id="rId6"/>
    <sheet name="InefficienciesAGL2Day32" sheetId="3" r:id="rId7"/>
    <sheet name="IMPORT InefficienciesAGL2Day321" sheetId="9" r:id="rId8"/>
  </sheets>
  <externalReferences>
    <externalReference r:id="rId9"/>
    <externalReference r:id="rId10"/>
    <externalReference r:id="rId11"/>
    <externalReference r:id="rId12"/>
  </externalReferences>
  <definedNames>
    <definedName name="ABCap" localSheetId="2">#REF!</definedName>
    <definedName name="ABCap" localSheetId="1">#REF!</definedName>
    <definedName name="ABCap">[1]Factors!$B$6</definedName>
    <definedName name="ABGoal" localSheetId="2">#REF!</definedName>
    <definedName name="ABGoal" localSheetId="1">#REF!</definedName>
    <definedName name="ABGoal">[1]Factors!$B$10</definedName>
    <definedName name="Client" localSheetId="2">FILEPATH!$B$14</definedName>
    <definedName name="Client" localSheetId="1">Unit1Path!$B$18</definedName>
    <definedName name="Client">#REF!</definedName>
    <definedName name="Contractor_Margin" localSheetId="2">#REF!</definedName>
    <definedName name="Contractor_Margin" localSheetId="1">#REF!</definedName>
    <definedName name="Contractor_Margin">[1]Factors!$B$35</definedName>
    <definedName name="Date" localSheetId="2">#REF!</definedName>
    <definedName name="Date" localSheetId="1">#REF!</definedName>
    <definedName name="Date">#REF!</definedName>
    <definedName name="Directory" localSheetId="2">#REF!</definedName>
    <definedName name="Directory" localSheetId="1">#REF!</definedName>
    <definedName name="Directory">#REF!</definedName>
    <definedName name="EFCap" localSheetId="2">#REF!</definedName>
    <definedName name="EFCap" localSheetId="1">#REF!</definedName>
    <definedName name="EFCap">[1]Factors!$B$7</definedName>
    <definedName name="EFGoal" localSheetId="2">#REF!</definedName>
    <definedName name="EFGoal" localSheetId="1">#REF!</definedName>
    <definedName name="EFGoal">[1]Factors!$B$11</definedName>
    <definedName name="ExternalData_1" localSheetId="3" hidden="1">'DateAlignment!!'!$A$1:$A$2</definedName>
    <definedName name="ExternalData_1" localSheetId="1" hidden="1">Unit1Path!$A$3:$B$12</definedName>
    <definedName name="ExternalData_2" localSheetId="7" hidden="1">'IMPORT InefficienciesAGL2Day321'!$A$1:$CE$760</definedName>
    <definedName name="ExternalData_2" localSheetId="6" hidden="1">InefficienciesAGL2Day32!$A$1:$CG$760</definedName>
    <definedName name="ExternalData_3" localSheetId="5" hidden="1">'IMPORT Table_Masterlist'!$A$1:$U$121</definedName>
    <definedName name="ExternalData_4" localSheetId="4" hidden="1">Masterlist!$A$1:$U$121</definedName>
    <definedName name="Facility">#REF!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2">#REF!</definedName>
    <definedName name="INCap" localSheetId="1">#REF!</definedName>
    <definedName name="INCap">[1]Factors!$B$8</definedName>
    <definedName name="INGoal" localSheetId="2">#REF!</definedName>
    <definedName name="INGoal" localSheetId="1">#REF!</definedName>
    <definedName name="INGoal">[1]Factors!$B$12</definedName>
    <definedName name="LabourCost" localSheetId="2">#REF!</definedName>
    <definedName name="LabourCost" localSheetId="1">#REF!</definedName>
    <definedName name="LabourCost">[1]Factors!$B$21</definedName>
    <definedName name="LabourStretchCost" localSheetId="2">#REF!</definedName>
    <definedName name="LabourStretchCost" localSheetId="1">#REF!</definedName>
    <definedName name="LabourStretchCost">[1]Factors!$B$22</definedName>
    <definedName name="Location" localSheetId="2">FILEPATH!$B$18</definedName>
    <definedName name="Location" localSheetId="1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MaxCapacityFactor">[2]MaxCapacity!$A$2</definedName>
    <definedName name="Overtime" localSheetId="2">#REF!</definedName>
    <definedName name="Overtime" localSheetId="1">#REF!</definedName>
    <definedName name="Overtime">[1]Factors!$B$4</definedName>
    <definedName name="Revenue_per_labour_factor" localSheetId="2">#REF!</definedName>
    <definedName name="Revenue_per_labour_factor" localSheetId="1">#REF!</definedName>
    <definedName name="Revenue_per_labour_factor">[1]Factors!$B$19</definedName>
    <definedName name="RevenueRate" localSheetId="2">#REF!</definedName>
    <definedName name="RevenueRate" localSheetId="1">#REF!</definedName>
    <definedName name="RevenueRate">[1]Factors!$B$23</definedName>
    <definedName name="RevPerWorker" localSheetId="2">#REF!</definedName>
    <definedName name="RevPerWorker" localSheetId="1">#REF!</definedName>
    <definedName name="RevPerWorker">[1]Factors!$E$23</definedName>
    <definedName name="Role" localSheetId="1">Unit1Path!$B$39</definedName>
    <definedName name="Role">#REF!</definedName>
    <definedName name="ROLE_TITLE" localSheetId="2">#REF!</definedName>
    <definedName name="ROLE_TITLE" localSheetId="1">#REF!</definedName>
    <definedName name="ROLE_TITLE">#REF!</definedName>
    <definedName name="Type" localSheetId="2">#REF!</definedName>
    <definedName name="Type" localSheetId="1">#REF!</definedName>
    <definedName name="Type">#REF!</definedName>
    <definedName name="UNIT" localSheetId="1">#REF!</definedName>
    <definedName name="UNIT">[3]RN!$M$2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  <c r="A2" i="10" l="1"/>
  <c r="B14" i="7"/>
  <c r="B18" i="7" s="1"/>
  <c r="B26" i="7" s="1"/>
  <c r="B40" i="7"/>
  <c r="C19" i="7"/>
  <c r="B9" i="7" a="1"/>
  <c r="B9" i="7" s="1"/>
  <c r="C18" i="7" l="1"/>
  <c r="B15" i="7" a="1"/>
  <c r="B15" i="7" s="1"/>
  <c r="C15" i="7" s="1"/>
  <c r="C20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12E4F41-0ECA-4834-A623-288FF75C5B6A}" keepAlive="1" name="Query - DateAlignment" description="Connection to the 'DateAlignment' query in the workbook." type="5" refreshedVersion="8" background="1" saveData="1">
    <dbPr connection="Provider=Microsoft.Mashup.OleDb.1;Data Source=$Workbook$;Location=DateAlignment;Extended Properties=&quot;&quot;" command="SELECT * FROM [DateAlignment]"/>
  </connection>
  <connection id="2" xr16:uid="{8AF808F8-A380-4791-A641-11180D63418A}" keepAlive="1" name="Query - DateLevelPathRecord" description="Connection to the 'DateLevelPathRecord' query in the workbook." type="5" refreshedVersion="8" background="1" saveData="1">
    <dbPr connection="Provider=Microsoft.Mashup.OleDb.1;Data Source=$Workbook$;Location=DateLevelPathRecord;Extended Properties=&quot;&quot;" command="SELECT * FROM [DateLevelPathRecord]"/>
  </connection>
  <connection id="3" xr16:uid="{CFE265C2-2C0C-4570-A44D-0BF226DB4377}" keepAlive="1" name="Query - IMPORT InefficienciesAGL2Day3210" description="Connection to the 'IMPORT InefficienciesAGL2Day3210' query in the workbook." type="5" refreshedVersion="8" background="1" saveData="1">
    <dbPr connection="Provider=Microsoft.Mashup.OleDb.1;Data Source=$Workbook$;Location=&quot;IMPORT InefficienciesAGL2Day3210&quot;;Extended Properties=&quot;&quot;" command="SELECT * FROM [IMPORT InefficienciesAGL2Day3210]"/>
  </connection>
  <connection id="4" xr16:uid="{E2D7267D-1656-417C-8DC7-E724D3A41236}" keepAlive="1" name="Query - IMPORT Table_Masterlist" description="Connection to the 'IMPORT Table_Masterlist' query in the workbook." type="5" refreshedVersion="8" background="1" saveData="1">
    <dbPr connection="Provider=Microsoft.Mashup.OleDb.1;Data Source=$Workbook$;Location=&quot;IMPORT Table_Masterlist&quot;;Extended Properties=&quot;&quot;" command="SELECT * FROM [IMPORT Table_Masterlist]"/>
  </connection>
  <connection id="5" xr16:uid="{4A7BF6AE-12DB-4FF8-8902-CC2088078247}" keepAlive="1" name="Query - InefficienciesAGL2Day3210" description="Connection to the 'InefficienciesAGL2Day3210' query in the workbook." type="5" refreshedVersion="8" background="1" saveData="1">
    <dbPr connection="Provider=Microsoft.Mashup.OleDb.1;Data Source=$Workbook$;Location=InefficienciesAGL2Day3210;Extended Properties=&quot;&quot;" command="SELECT * FROM [InefficienciesAGL2Day3210]"/>
  </connection>
  <connection id="6" xr16:uid="{DD59C958-5290-4880-86DB-2AC34AF32824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<sst xmlns="http://schemas.openxmlformats.org/spreadsheetml/2006/main" count="11503" uniqueCount="509">
  <si>
    <t>Level</t>
  </si>
  <si>
    <t>Date</t>
  </si>
  <si>
    <t>D</t>
  </si>
  <si>
    <t>Cs</t>
  </si>
  <si>
    <t>CX</t>
  </si>
  <si>
    <t>A</t>
  </si>
  <si>
    <t>AB EXCESS OVER-ALLOCATION</t>
  </si>
  <si>
    <t>AB SPARE STRETCH</t>
  </si>
  <si>
    <t>AB SPARE SLACK</t>
  </si>
  <si>
    <t>AB SPARE STRETCH ALLOCATED</t>
  </si>
  <si>
    <t>AB SPARE SLACK ALLOCATED</t>
  </si>
  <si>
    <t>AB EXCESS STRETCH (ALLOCATED)</t>
  </si>
  <si>
    <t>AB EXCESS ALLOCATED SLACK</t>
  </si>
  <si>
    <t>AB EXCESS STRETCH</t>
  </si>
  <si>
    <t>AB EXCESS SLACK</t>
  </si>
  <si>
    <t>AB POTENTIAL SHORTFALL (OVER-ALLOCATED)</t>
  </si>
  <si>
    <t>AB POTENTIAL SHORTFALL</t>
  </si>
  <si>
    <t>AB WASTED STRETCH</t>
  </si>
  <si>
    <t>AB WASTED SLACK</t>
  </si>
  <si>
    <t>AB ALLOCATED STRETCH</t>
  </si>
  <si>
    <t>AB ALLOCATED SLACK</t>
  </si>
  <si>
    <t>AB UNALLOCATED SLACK</t>
  </si>
  <si>
    <t>AB LATENT</t>
  </si>
  <si>
    <t>AB LATENT.ALLOCATED</t>
  </si>
  <si>
    <t>AB  LATENT.OVERALLOCATED</t>
  </si>
  <si>
    <t>AB Potential</t>
  </si>
  <si>
    <t>Epn</t>
  </si>
  <si>
    <t>EpX</t>
  </si>
  <si>
    <t>Ein</t>
  </si>
  <si>
    <t>EF EXCESS OVER-ALLOCATION</t>
  </si>
  <si>
    <t>EF SPARE STRETCH</t>
  </si>
  <si>
    <t>EF SPARE SLACK</t>
  </si>
  <si>
    <t>EF SPARE STRETCH ALLOCATED</t>
  </si>
  <si>
    <t>EF SPARE SLACK ALLOCATED</t>
  </si>
  <si>
    <t>EF EXCESS STRETCH (ALLOCATED)</t>
  </si>
  <si>
    <t>EF EXCESS ALLOCATED SLACK</t>
  </si>
  <si>
    <t>EF EXCESS STRETCH</t>
  </si>
  <si>
    <t>EF EXCESS SLACK</t>
  </si>
  <si>
    <t>EF POTENTIAL SHORTFALL (OVER-ALLOCATED)</t>
  </si>
  <si>
    <t>EF POTENTIAL SHORTFALL</t>
  </si>
  <si>
    <t>EF WASTED STRETCH</t>
  </si>
  <si>
    <t>EF WASTED SLACK</t>
  </si>
  <si>
    <t>EF ALLOCATED STRETCH</t>
  </si>
  <si>
    <t>EF ALLOCATED SLACK</t>
  </si>
  <si>
    <t>EF UNALLOCATED SLACK</t>
  </si>
  <si>
    <t>EF LATENT</t>
  </si>
  <si>
    <t>EF LATENT.ALLOCATED</t>
  </si>
  <si>
    <t>EF LATENT.OVERALLOCATED</t>
  </si>
  <si>
    <t>EF Potential</t>
  </si>
  <si>
    <t>Ipn</t>
  </si>
  <si>
    <t>Ipx</t>
  </si>
  <si>
    <t>Iin</t>
  </si>
  <si>
    <t>IN EXCESS OVER-ALLOCATION</t>
  </si>
  <si>
    <t>IN SPARE STRETCH</t>
  </si>
  <si>
    <t>IN SPARE SLACK</t>
  </si>
  <si>
    <t>IN SPARE STRETCH ALLOCATED</t>
  </si>
  <si>
    <t>IN SPARE SLACK ALLOCATED</t>
  </si>
  <si>
    <t>IN EXCESS STRETCH (ALLOCATED)</t>
  </si>
  <si>
    <t>IN EXCESS ALLOCATED SLACK</t>
  </si>
  <si>
    <t>IN EXCESS STRETCH</t>
  </si>
  <si>
    <t>IN EXCESS SLACK</t>
  </si>
  <si>
    <t>IN POTENTIAL SHORTFALL (OVER-ALLOCATED)</t>
  </si>
  <si>
    <t>IN POTENTIAL SHORTFALL</t>
  </si>
  <si>
    <t>IN WASTED STRETCH</t>
  </si>
  <si>
    <t>IN WASTED SLACK</t>
  </si>
  <si>
    <t>IN ALLOCATED STRETCH</t>
  </si>
  <si>
    <t>IN ALLOCATED SLACK</t>
  </si>
  <si>
    <t>IN UNALLOCATED SLACK</t>
  </si>
  <si>
    <t>IN LATENT</t>
  </si>
  <si>
    <t>IN LATENT.ALLOCATED</t>
  </si>
  <si>
    <t>IN LATENT.OVERALLOCATED</t>
  </si>
  <si>
    <t>IN Potential</t>
  </si>
  <si>
    <t>3-Pool</t>
  </si>
  <si>
    <t>AM</t>
  </si>
  <si>
    <t>NIGHT</t>
  </si>
  <si>
    <t>PM</t>
  </si>
  <si>
    <t>Ability PoN AG</t>
  </si>
  <si>
    <t>Ability PoX AG</t>
  </si>
  <si>
    <t>Ability Pl AG</t>
  </si>
  <si>
    <t>Role</t>
  </si>
  <si>
    <t>Role ID</t>
  </si>
  <si>
    <t>WL EXCESS OVER-ALLOCATION</t>
  </si>
  <si>
    <t>WL SPARE STRETCH</t>
  </si>
  <si>
    <t>WL SPARE SLACK</t>
  </si>
  <si>
    <t>WL SPARE STRETCH ALLOCATED</t>
  </si>
  <si>
    <t>WL SPARE SLACK ALLOCATED</t>
  </si>
  <si>
    <t>WL EXCESS STRETCH (ALLOCATED)</t>
  </si>
  <si>
    <t>WL EXCESS ALLOCATED SLACK</t>
  </si>
  <si>
    <t>WL EXCESS STRETCH</t>
  </si>
  <si>
    <t>WL EXCESS SLACK</t>
  </si>
  <si>
    <t>WL POTENTIAL SHORTFALL (OVER-ALLOCATED)</t>
  </si>
  <si>
    <t>WL POTENTIAL SHORTFALL</t>
  </si>
  <si>
    <t>WL WASTED STRETCH</t>
  </si>
  <si>
    <t>WL WASTED SLACK</t>
  </si>
  <si>
    <t>WL ALLOCATED STRETCH</t>
  </si>
  <si>
    <t>WL ALLOCATED SLACK</t>
  </si>
  <si>
    <t>WL UNALLOCATED SLACK</t>
  </si>
  <si>
    <t>WL LATENT.ALLOCATED</t>
  </si>
  <si>
    <t>WL LATENT.OVERALLOCATED</t>
  </si>
  <si>
    <t>WL Potential</t>
  </si>
  <si>
    <t>Role Abvrev</t>
  </si>
  <si>
    <t>Shift</t>
  </si>
  <si>
    <t>WL  LATENT</t>
  </si>
  <si>
    <t>Efficiency PoN  AG</t>
  </si>
  <si>
    <t>Efficiency PoX  AG</t>
  </si>
  <si>
    <t>Efficiency Pl AG</t>
  </si>
  <si>
    <t>Workload PoN  AG</t>
  </si>
  <si>
    <t>Workload PoX AG</t>
  </si>
  <si>
    <t>Workload Pl AG</t>
  </si>
  <si>
    <t>2-Pond</t>
  </si>
  <si>
    <t>1-Lake</t>
  </si>
  <si>
    <t>Folder</t>
  </si>
  <si>
    <t>CapacityMaxHC</t>
  </si>
  <si>
    <t>DATESHIFT</t>
  </si>
  <si>
    <t>Facility</t>
  </si>
  <si>
    <t>0.1-Org</t>
  </si>
  <si>
    <t>1.1-Pond(Facility)</t>
  </si>
  <si>
    <t>3.1-Pond FacilityDay</t>
  </si>
  <si>
    <t>SharedPath</t>
  </si>
  <si>
    <t>Client</t>
  </si>
  <si>
    <t>Type</t>
  </si>
  <si>
    <t>04 Analysis</t>
  </si>
  <si>
    <t>Location</t>
  </si>
  <si>
    <t>From Computerpath</t>
  </si>
  <si>
    <t>CommonSharedPath</t>
  </si>
  <si>
    <t>Manual Entry</t>
  </si>
  <si>
    <t>Calcualted</t>
  </si>
  <si>
    <t>Version</t>
  </si>
  <si>
    <t>X</t>
  </si>
  <si>
    <t>ShiftDurations.ShiftDuration</t>
  </si>
  <si>
    <t>DateAlignment</t>
  </si>
  <si>
    <t>Apn</t>
  </si>
  <si>
    <t>Apx</t>
  </si>
  <si>
    <t>Ai</t>
  </si>
  <si>
    <t>AIN</t>
  </si>
  <si>
    <t>RN</t>
  </si>
  <si>
    <t>AINC4</t>
  </si>
  <si>
    <t>DateX</t>
  </si>
  <si>
    <t>FilePath</t>
  </si>
  <si>
    <t>Value</t>
  </si>
  <si>
    <t>Username</t>
  </si>
  <si>
    <t>FilePathUrl</t>
  </si>
  <si>
    <t>CLIENT</t>
  </si>
  <si>
    <t>Alex</t>
  </si>
  <si>
    <t>Tableau Connection.xlsx</t>
  </si>
  <si>
    <t>Unit1</t>
  </si>
  <si>
    <t>Unit2</t>
  </si>
  <si>
    <t>Name</t>
  </si>
  <si>
    <t>CurrentWorkbookFolder</t>
  </si>
  <si>
    <t>C:\Users\Alex\CentriNOTSYNC\ResidentialCare\CLIENT\DATExx-Whiddon\2. Calculations</t>
  </si>
  <si>
    <t>DateRootPath</t>
  </si>
  <si>
    <t>C:\Users\Alex\CentriNOTSYNC\ResidentialCare\CLIENT\DATExx-Whiddon</t>
  </si>
  <si>
    <t>UnitsRootPath</t>
  </si>
  <si>
    <t>C:\Users\Alex\CentriNOTSYNC\ResidentialCare\CLIENT\DATExx-Whiddon\UNITS</t>
  </si>
  <si>
    <t>OrgCalculationsPath</t>
  </si>
  <si>
    <t>C:\Users\Alex\CentriNOTSYNC\ResidentialCare\CLIENT\DATExx-Whiddon\2. Calculations\[Tableau Connection.xlsx]_mcode_path</t>
  </si>
  <si>
    <t>DATExx-Whiddon</t>
  </si>
  <si>
    <t>CurrentWorkbookFileName</t>
  </si>
  <si>
    <t>15/08/2026AM</t>
  </si>
  <si>
    <t>14/08/2026PM</t>
  </si>
  <si>
    <t>20/07/2026NIGHT</t>
  </si>
  <si>
    <t>14/08/2026NIGHT</t>
  </si>
  <si>
    <t>14/08/2026AM</t>
  </si>
  <si>
    <t>22/07/2026NIGHT</t>
  </si>
  <si>
    <t>13/08/2026PM</t>
  </si>
  <si>
    <t>13/08/2026NIGHT</t>
  </si>
  <si>
    <t>22/07/2026AM</t>
  </si>
  <si>
    <t>15/08/2026NIGHT</t>
  </si>
  <si>
    <t>20/07/2026PM</t>
  </si>
  <si>
    <t>21/07/2026PM</t>
  </si>
  <si>
    <t>15/08/2026PM</t>
  </si>
  <si>
    <t>16/08/2026AM</t>
  </si>
  <si>
    <t>21/07/2026NIGHT</t>
  </si>
  <si>
    <t>16/08/2026NIGHT</t>
  </si>
  <si>
    <t>16/08/2026PM</t>
  </si>
  <si>
    <t>21/07/2026AM</t>
  </si>
  <si>
    <t>20/07/2026AM</t>
  </si>
  <si>
    <t>13/08/2026AM</t>
  </si>
  <si>
    <t>5/08/2026PM</t>
  </si>
  <si>
    <t>5/08/2026NIGHT</t>
  </si>
  <si>
    <t>5/08/2026AM</t>
  </si>
  <si>
    <t>4/08/2026PM</t>
  </si>
  <si>
    <t>4/08/2026NIGHT</t>
  </si>
  <si>
    <t>4/08/2026AM</t>
  </si>
  <si>
    <t>3/08/2026PM</t>
  </si>
  <si>
    <t>3/08/2026NIGHT</t>
  </si>
  <si>
    <t>2/08/2026PM</t>
  </si>
  <si>
    <t>2/08/2026NIGHT</t>
  </si>
  <si>
    <t>2/08/2026AM</t>
  </si>
  <si>
    <t>1/08/2026PM</t>
  </si>
  <si>
    <t>1/08/2026NIGHT</t>
  </si>
  <si>
    <t>1/08/2026AM</t>
  </si>
  <si>
    <t>31/07/2026PM</t>
  </si>
  <si>
    <t>31/07/2026NIGHT</t>
  </si>
  <si>
    <t>6/08/2026AM</t>
  </si>
  <si>
    <t>6/08/2026NIGHT</t>
  </si>
  <si>
    <t>12/08/2026NIGHT</t>
  </si>
  <si>
    <t>12/08/2026AM</t>
  </si>
  <si>
    <t>11/08/2026PM</t>
  </si>
  <si>
    <t>11/08/2026NIGHT</t>
  </si>
  <si>
    <t>11/08/2026AM</t>
  </si>
  <si>
    <t>10/08/2026PM</t>
  </si>
  <si>
    <t>10/08/2026NIGHT</t>
  </si>
  <si>
    <t>10/08/2026AM</t>
  </si>
  <si>
    <t>12/08/2026PM</t>
  </si>
  <si>
    <t>9/08/2026PM</t>
  </si>
  <si>
    <t>9/08/2026AM</t>
  </si>
  <si>
    <t>8/08/2026PM</t>
  </si>
  <si>
    <t>8/08/2026NIGHT</t>
  </si>
  <si>
    <t>8/08/2026AM</t>
  </si>
  <si>
    <t>7/08/2026PM</t>
  </si>
  <si>
    <t>7/08/2026NIGHT</t>
  </si>
  <si>
    <t>7/08/2026AM</t>
  </si>
  <si>
    <t>6/08/2026PM</t>
  </si>
  <si>
    <t>9/08/2026NIGHT</t>
  </si>
  <si>
    <t>22/07/2026PM</t>
  </si>
  <si>
    <t>31/07/2026AM</t>
  </si>
  <si>
    <t>28/07/2026AM</t>
  </si>
  <si>
    <t>27/07/2026PM</t>
  </si>
  <si>
    <t>27/07/2026NIGHT</t>
  </si>
  <si>
    <t>27/07/2026AM</t>
  </si>
  <si>
    <t>26/07/2026PM</t>
  </si>
  <si>
    <t>26/07/2026NIGHT</t>
  </si>
  <si>
    <t>26/07/2026AM</t>
  </si>
  <si>
    <t>25/07/2026PM</t>
  </si>
  <si>
    <t>25/07/2026NIGHT</t>
  </si>
  <si>
    <t>25/07/2026AM</t>
  </si>
  <si>
    <t>24/07/2026PM</t>
  </si>
  <si>
    <t>24/07/2026NIGHT</t>
  </si>
  <si>
    <t>24/07/2026AM</t>
  </si>
  <si>
    <t>23/07/2026PM</t>
  </si>
  <si>
    <t>23/07/2026NIGHT</t>
  </si>
  <si>
    <t>23/07/2026AM</t>
  </si>
  <si>
    <t>28/07/2026NIGHT</t>
  </si>
  <si>
    <t>28/07/2026PM</t>
  </si>
  <si>
    <t>3/08/2026AM</t>
  </si>
  <si>
    <t>30/07/2026PM</t>
  </si>
  <si>
    <t>30/07/2026NIGHT</t>
  </si>
  <si>
    <t>30/07/2026AM</t>
  </si>
  <si>
    <t>29/07/2026PM</t>
  </si>
  <si>
    <t>29/07/2026NIGHT</t>
  </si>
  <si>
    <t>29/07/2026AM</t>
  </si>
  <si>
    <t>Resource</t>
  </si>
  <si>
    <t>Misalignment</t>
  </si>
  <si>
    <t>Lilly Olive</t>
  </si>
  <si>
    <t>Majal Dias</t>
  </si>
  <si>
    <t>Madi Slade</t>
  </si>
  <si>
    <t>Trevor Fisher</t>
  </si>
  <si>
    <t>MIZUE Tanaka</t>
  </si>
  <si>
    <t>Wendy Robertson</t>
  </si>
  <si>
    <t>Liane Tebbutt</t>
  </si>
  <si>
    <t>Leeanne Annis</t>
  </si>
  <si>
    <t>Tracey Leanne S</t>
  </si>
  <si>
    <t>Lee Speirs</t>
  </si>
  <si>
    <t>Korazona Joseph</t>
  </si>
  <si>
    <t>Katrina Atkinso</t>
  </si>
  <si>
    <t>Kaitlyn Bowden</t>
  </si>
  <si>
    <t>Julie Roots</t>
  </si>
  <si>
    <t>Judith Stark</t>
  </si>
  <si>
    <t>Joseph Murcia</t>
  </si>
  <si>
    <t>Jonas Blewett</t>
  </si>
  <si>
    <t>Kristy Deshon</t>
  </si>
  <si>
    <t>Mariah Swan</t>
  </si>
  <si>
    <t>Mel Greenway</t>
  </si>
  <si>
    <t>Tracey Lagerstr</t>
  </si>
  <si>
    <t>Simone White</t>
  </si>
  <si>
    <t>Sheryl Macalint</t>
  </si>
  <si>
    <t>Sharonah-Leah S</t>
  </si>
  <si>
    <t>Savannah Navin</t>
  </si>
  <si>
    <t>Sandra Spragg</t>
  </si>
  <si>
    <t>Samara Billiau</t>
  </si>
  <si>
    <t>Ross Morden</t>
  </si>
  <si>
    <t>Rosi Gaunavou</t>
  </si>
  <si>
    <t>Rosemary Yates</t>
  </si>
  <si>
    <t>Rajneet Chand</t>
  </si>
  <si>
    <t>Preet Kaur</t>
  </si>
  <si>
    <t>Piper Chamberla</t>
  </si>
  <si>
    <t>Paris Garton</t>
  </si>
  <si>
    <t>Mylyn Thomson</t>
  </si>
  <si>
    <t>Todd Bullivant</t>
  </si>
  <si>
    <t>Michael Chandle</t>
  </si>
  <si>
    <t>Mia Banks</t>
  </si>
  <si>
    <t>Jody English</t>
  </si>
  <si>
    <t>Sirjana Rai</t>
  </si>
  <si>
    <t>Joanne Bromley</t>
  </si>
  <si>
    <t>Jennifer Lumby</t>
  </si>
  <si>
    <t>Christine Felto</t>
  </si>
  <si>
    <t>Chinonso Ogu</t>
  </si>
  <si>
    <t>Charlize Lewis</t>
  </si>
  <si>
    <t>Catherine Bell</t>
  </si>
  <si>
    <t>Caitlyn Dreier</t>
  </si>
  <si>
    <t>Cait Philp</t>
  </si>
  <si>
    <t>Bweaymoosaw Mur</t>
  </si>
  <si>
    <t>Bronwyn Halsey</t>
  </si>
  <si>
    <t>Basil Vilayanik</t>
  </si>
  <si>
    <t>Ashleigh Linn</t>
  </si>
  <si>
    <t>Ashlee Gilpin</t>
  </si>
  <si>
    <t>Annette Lang</t>
  </si>
  <si>
    <t>Anju Jose</t>
  </si>
  <si>
    <t>Angela Gregg</t>
  </si>
  <si>
    <t>Amber Beutel</t>
  </si>
  <si>
    <t>Alyssa Curd</t>
  </si>
  <si>
    <t>Ally-mei Prestt</t>
  </si>
  <si>
    <t>Dale Armytage</t>
  </si>
  <si>
    <t>Jessica-Carmela</t>
  </si>
  <si>
    <t>David Reid</t>
  </si>
  <si>
    <t>Desiree Mamet</t>
  </si>
  <si>
    <t>Jayvee Jade Cos</t>
  </si>
  <si>
    <t>Jayakumar Vanda</t>
  </si>
  <si>
    <t>Janelle  Sander</t>
  </si>
  <si>
    <t>Jaidan Dennewal</t>
  </si>
  <si>
    <t>Zac Lesslie</t>
  </si>
  <si>
    <t>Jacob Barnes</t>
  </si>
  <si>
    <t>Imani Gereadi</t>
  </si>
  <si>
    <t>Isidra De Asis</t>
  </si>
  <si>
    <t>Grace Bostock</t>
  </si>
  <si>
    <t>Goma Bastiaanse</t>
  </si>
  <si>
    <t>George Smith Sm</t>
  </si>
  <si>
    <t>Gentille Nambon</t>
  </si>
  <si>
    <t>Donna Bestmann</t>
  </si>
  <si>
    <t>Diane Bewick</t>
  </si>
  <si>
    <t>Hermenegildo De</t>
  </si>
  <si>
    <t>Sofia Nabi</t>
  </si>
  <si>
    <t>Ian Perry</t>
  </si>
  <si>
    <t>Allocated Only</t>
  </si>
  <si>
    <t>Joana Marie Dri</t>
  </si>
  <si>
    <t>Juanita Kinsell</t>
  </si>
  <si>
    <t>Mana Tuikilakil (AINC4)</t>
  </si>
  <si>
    <t>Lisa Swagerman</t>
  </si>
  <si>
    <t>Ma Iris Angela</t>
  </si>
  <si>
    <t>Malawika Muthut</t>
  </si>
  <si>
    <t>Mana Tuikilakil (AIN)</t>
  </si>
  <si>
    <t>Damien Stewart (AINC4)</t>
  </si>
  <si>
    <t>Mandy Manpreet  (AIN)</t>
  </si>
  <si>
    <t>Mandy Manpreet  (AINC4)</t>
  </si>
  <si>
    <t>Mani Kaur (AIN)</t>
  </si>
  <si>
    <t>Linda Sturges</t>
  </si>
  <si>
    <t>Damien Stewart (AIN)</t>
  </si>
  <si>
    <t>Yogi Yogi</t>
  </si>
  <si>
    <t>Astrid Elvera G</t>
  </si>
  <si>
    <t>Amandeep Kaur K</t>
  </si>
  <si>
    <t>Amanda Jones</t>
  </si>
  <si>
    <t>Alla Illarionov</t>
  </si>
  <si>
    <t>Princy Merlin M</t>
  </si>
  <si>
    <t>Rahna Jose</t>
  </si>
  <si>
    <t>Robert Steven R (AIN)</t>
  </si>
  <si>
    <t>Victoria Thomps</t>
  </si>
  <si>
    <t>Robert Steven R (AINC4)</t>
  </si>
  <si>
    <t>Mani Kaur (AINC4)</t>
  </si>
  <si>
    <t>Rustambir Singh</t>
  </si>
  <si>
    <t>Sreena Ranjith</t>
  </si>
  <si>
    <t>Sue Jones</t>
  </si>
  <si>
    <t>Ujjwal Sharma</t>
  </si>
  <si>
    <t>Cara Anne Balme</t>
  </si>
  <si>
    <t>Pia Vallejo</t>
  </si>
  <si>
    <t>Manpreet Kaur</t>
  </si>
  <si>
    <t>Available Only</t>
  </si>
  <si>
    <t>Mikayla Nicole Geshwend</t>
  </si>
  <si>
    <t>Mellania Ruvimbo Munyuki</t>
  </si>
  <si>
    <t>Mackenzie Niesler</t>
  </si>
  <si>
    <t>Kaela Anne Hyland</t>
  </si>
  <si>
    <t>Jacqueline Koelmeyer</t>
  </si>
  <si>
    <t>Jackie Jowa</t>
  </si>
  <si>
    <t>Deeanne Donna Tracey</t>
  </si>
  <si>
    <t>Yvonne Cheptoo Limo</t>
  </si>
  <si>
    <t>Aileen Heard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</si>
  <si>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</si>
  <si>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</si>
  <si>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</si>
  <si>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</si>
  <si>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</si>
  <si>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</si>
  <si>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</si>
  <si>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</si>
  <si>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</si>
  <si>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</si>
  <si>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</si>
  <si>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</si>
  <si>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</si>
  <si>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</si>
  <si>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</si>
  <si>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</si>
  <si>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</si>
  <si>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Availability</t>
  </si>
  <si>
    <t>20962</t>
  </si>
  <si>
    <t>BD</t>
  </si>
  <si>
    <t>Part-Time</t>
  </si>
  <si>
    <t>Found</t>
  </si>
  <si>
    <t>Contracted shifts</t>
  </si>
  <si>
    <t>25989</t>
  </si>
  <si>
    <t>Casual</t>
  </si>
  <si>
    <t>Casual fallback - Settings maximum</t>
  </si>
  <si>
    <t>23673</t>
  </si>
  <si>
    <t>22913</t>
  </si>
  <si>
    <t>22116</t>
  </si>
  <si>
    <t>25109</t>
  </si>
  <si>
    <t>Full-Time</t>
  </si>
  <si>
    <t>Settings maximum</t>
  </si>
  <si>
    <t>25003</t>
  </si>
  <si>
    <t>26243</t>
  </si>
  <si>
    <t>26384</t>
  </si>
  <si>
    <t>25376</t>
  </si>
  <si>
    <t>22035</t>
  </si>
  <si>
    <t>24562</t>
  </si>
  <si>
    <t>23964</t>
  </si>
  <si>
    <t>26319</t>
  </si>
  <si>
    <t>23522</t>
  </si>
  <si>
    <t>25239</t>
  </si>
  <si>
    <t>26014</t>
  </si>
  <si>
    <t>20950</t>
  </si>
  <si>
    <t>23520</t>
  </si>
  <si>
    <t>23204</t>
  </si>
  <si>
    <t>25161</t>
  </si>
  <si>
    <t>22263</t>
  </si>
  <si>
    <t>22769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</si>
  <si>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</si>
  <si>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</si>
  <si>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</si>
  <si>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</si>
  <si>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</si>
  <si>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</si>
  <si>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</si>
  <si>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</si>
  <si>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</si>
  <si>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23973</t>
  </si>
  <si>
    <t>21327</t>
  </si>
  <si>
    <t>20784</t>
  </si>
  <si>
    <t>20863</t>
  </si>
  <si>
    <t>24059</t>
  </si>
  <si>
    <t>24060</t>
  </si>
  <si>
    <t>26340</t>
  </si>
  <si>
    <t>23898</t>
  </si>
  <si>
    <t>19458</t>
  </si>
  <si>
    <t>19136</t>
  </si>
  <si>
    <t>25988</t>
  </si>
  <si>
    <t>25209</t>
  </si>
  <si>
    <t>19843</t>
  </si>
  <si>
    <t>24217</t>
  </si>
  <si>
    <t>22914</t>
  </si>
  <si>
    <t>20862</t>
  </si>
  <si>
    <t>24900</t>
  </si>
  <si>
    <t>24479</t>
  </si>
  <si>
    <t>22301</t>
  </si>
  <si>
    <t>19442</t>
  </si>
  <si>
    <t>19255</t>
  </si>
  <si>
    <t>23484</t>
  </si>
  <si>
    <t>26372</t>
  </si>
  <si>
    <t>24241</t>
  </si>
  <si>
    <t>21439</t>
  </si>
  <si>
    <t>24635</t>
  </si>
  <si>
    <t>23245</t>
  </si>
  <si>
    <t>24105</t>
  </si>
  <si>
    <t>24136</t>
  </si>
  <si>
    <t>23091</t>
  </si>
  <si>
    <t>15957</t>
  </si>
  <si>
    <t>23249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</si>
  <si>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</si>
  <si>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</si>
  <si>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</si>
  <si>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</si>
  <si>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</si>
  <si>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</si>
  <si>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</si>
  <si>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</si>
  <si>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</si>
  <si>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</si>
  <si>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</si>
  <si>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</si>
  <si>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23975</t>
  </si>
  <si>
    <t>23242</t>
  </si>
  <si>
    <t>21381</t>
  </si>
  <si>
    <t>26448</t>
  </si>
  <si>
    <t>24819</t>
  </si>
  <si>
    <t>26358</t>
  </si>
  <si>
    <t>18462</t>
  </si>
  <si>
    <t>19161</t>
  </si>
  <si>
    <t>21916</t>
  </si>
  <si>
    <t>23179</t>
  </si>
  <si>
    <t>22690</t>
  </si>
  <si>
    <t>25930</t>
  </si>
  <si>
    <t>25911</t>
  </si>
  <si>
    <t>Allocation</t>
  </si>
  <si>
    <t>21100</t>
  </si>
  <si>
    <t>Allocation-only resource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</si>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</sst>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2" xfId="1" applyBorder="1" applyAlignment="1">
      <alignment horizontal="right" vertical="top"/>
    </xf>
    <xf numFmtId="0" fontId="1" fillId="2" borderId="0" xfId="1" applyFill="1" applyAlignment="1">
      <alignment horizontal="left" vertical="top"/>
    </xf>
    <xf numFmtId="164" fontId="0" fillId="3" borderId="1" xfId="0" applyNumberFormat="1" applyFill="1" applyBorder="1"/>
    <xf numFmtId="164" fontId="0" fillId="3" borderId="3" xfId="0" applyNumberFormat="1" applyFill="1" applyBorder="1"/>
    <xf numFmtId="164" fontId="0" fillId="0" borderId="0" xfId="0" applyNumberFormat="1"/>
    <xf numFmtId="0" fontId="7" fillId="0" borderId="4" xfId="0" applyFont="1" applyBorder="1"/>
  </cellXfs>
  <cellStyles count="2">
    <cellStyle name="Normal" xfId="0" builtinId="0"/>
    <cellStyle name="Normal 2" xfId="1" xr:uid="{83C5B7E5-09E6-4BFC-9C44-EB85DD0E2394}"/>
  </cellStyles>
  <dxfs count="24">
    <dxf>
      <numFmt numFmtId="164" formatCode="m/d/yyyy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bottom style="thin">
          <color theme="9" tint="0.39997558519241921"/>
        </bottom>
      </border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2.0Accounts/Shared%20Documents/IndoChinese%20Aged%20Care/4.%20Analysis/221223/2.%20Calculations/P6%20AEM-InefficiencyCheck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NSITY"/>
      <sheetName val="Months Days"/>
      <sheetName val="Input"/>
      <sheetName val="Factors"/>
      <sheetName val="Role Consol"/>
      <sheetName val="Names"/>
      <sheetName val="Transpose"/>
      <sheetName val="Demand"/>
      <sheetName val="NamesXPeriod"/>
      <sheetName val="NamesByDate+Leave"/>
      <sheetName val="Capacity"/>
      <sheetName val="Allocation"/>
      <sheetName val="Effort+Outcomes"/>
      <sheetName val="Pivot Check"/>
      <sheetName val="1Pool-AB-Op"/>
      <sheetName val="1Pool-EF-Op"/>
      <sheetName val="1Pool-IN-Op"/>
      <sheetName val="2Pond-Unit-AB"/>
      <sheetName val="2Pond-Unit-EF"/>
      <sheetName val="2Pond-Unit-IN"/>
      <sheetName val="2Pond-Role-AB"/>
      <sheetName val="2Pond-Role-EF"/>
      <sheetName val="2Pond-Role-IN"/>
      <sheetName val="3LakeAB"/>
      <sheetName val="3LakeEF"/>
      <sheetName val="3LakeIN"/>
      <sheetName val="SDTX PoolREG.ROLE"/>
      <sheetName val="SD PondROLE+IMP"/>
      <sheetName val="SD PondROLEBase"/>
      <sheetName val="SD PondROLES1"/>
      <sheetName val="IMP PondROLE"/>
      <sheetName val="WGT PondROLESBaseLake"/>
      <sheetName val="WGT PondROLES1Lake"/>
      <sheetName val="SD LakeBase"/>
      <sheetName val="SD LakeS1"/>
      <sheetName val="IMP Lake"/>
      <sheetName val="INTERVENTIONS"/>
      <sheetName val="Value"/>
      <sheetName val="$PoolMPACT"/>
      <sheetName val="$PoolIMPACTTranspose"/>
      <sheetName val="Sheet1"/>
      <sheetName val="Check"/>
    </sheetNames>
    <sheetDataSet>
      <sheetData sheetId="0" refreshError="1"/>
      <sheetData sheetId="1" refreshError="1"/>
      <sheetData sheetId="2" refreshError="1"/>
      <sheetData sheetId="3" refreshError="1">
        <row r="4">
          <cell r="B4">
            <v>1.25</v>
          </cell>
        </row>
        <row r="6">
          <cell r="B6">
            <v>1.25</v>
          </cell>
        </row>
        <row r="7">
          <cell r="B7">
            <v>1.5</v>
          </cell>
        </row>
        <row r="8">
          <cell r="B8">
            <v>1.5</v>
          </cell>
        </row>
        <row r="10">
          <cell r="B10">
            <v>1</v>
          </cell>
        </row>
        <row r="11">
          <cell r="B11">
            <v>1</v>
          </cell>
        </row>
        <row r="12">
          <cell r="B12">
            <v>1</v>
          </cell>
        </row>
        <row r="19">
          <cell r="B19">
            <v>2.5</v>
          </cell>
        </row>
        <row r="21">
          <cell r="B21">
            <v>12500</v>
          </cell>
        </row>
        <row r="22">
          <cell r="B22">
            <v>18750</v>
          </cell>
        </row>
        <row r="23">
          <cell r="B23">
            <v>31250</v>
          </cell>
          <cell r="E23">
            <v>3000000</v>
          </cell>
        </row>
        <row r="35">
          <cell r="B35">
            <v>0.02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sheetDataSet>
      <sheetData sheetId="0">
        <row r="20">
          <cell r="B20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D1C1C57-2D34-49E7-B8FC-A89BBCDAF77D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29300F8-297B-4BCB-B6B3-844C385F2B6C}" autoFormatId="16" applyNumberFormats="0" applyBorderFormats="0" applyFontFormats="0" applyPatternFormats="0" applyAlignmentFormats="0" applyWidthHeightFormats="0">
  <queryTableRefresh nextId="2">
    <queryTableFields count="1">
      <queryTableField id="1" name="DateAlignmen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79F65F95-4913-4B18-9F87-275109E39C80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6C41DA12-2D3C-4762-AEA0-12C7AE97135F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45BC247A-79FC-4DB0-82F9-112F895E3E20}" autoFormatId="16" applyNumberFormats="0" applyBorderFormats="0" applyFontFormats="0" applyPatternFormats="0" applyAlignmentFormats="0" applyWidthHeightFormats="0">
  <queryTableRefresh nextId="113">
    <queryTableFields count="85">
      <queryTableField id="96" name="Version" tableColumnId="83"/>
      <queryTableField id="91" name="Facility" tableColumnId="78"/>
      <queryTableField id="1" name="Level" tableColumnId="1"/>
      <queryTableField id="2" name="Date" tableColumnId="2"/>
      <queryTableField id="3" name="Role" tableColumnId="3"/>
      <queryTableField id="4" name="Role ID" tableColumnId="4"/>
      <queryTableField id="5" name="Role Abvrev" tableColumnId="5"/>
      <queryTableField id="6" name="Shift" tableColumnId="6"/>
      <queryTableField id="86" name="CapacityMaxHC" tableColumnId="79"/>
      <queryTableField id="110" name="ShiftDurations.ShiftDuration" tableColumnId="84"/>
      <queryTableField id="7" name="D" tableColumnId="7"/>
      <queryTableField id="107" name="DateX" tableColumnId="85"/>
      <queryTableField id="89" name="DATESHIFT" tableColumnId="82"/>
      <queryTableField id="8" name="Cs" tableColumnId="8"/>
      <queryTableField id="9" name="CX" tableColumnId="9"/>
      <queryTableField id="10" name="A" tableColumnId="10"/>
      <queryTableField id="11" name="Ability PoN AG" tableColumnId="11"/>
      <queryTableField id="12" name="Ability PoX AG" tableColumnId="12"/>
      <queryTableField id="13" name="Ability Pl AG" tableColumnId="13"/>
      <queryTableField id="14" name="AB EXCESS OVER-ALLOCATION" tableColumnId="14"/>
      <queryTableField id="15" name="AB SPARE STRETCH" tableColumnId="15"/>
      <queryTableField id="16" name="AB SPARE SLACK" tableColumnId="16"/>
      <queryTableField id="17" name="AB SPARE STRETCH ALLOCATED" tableColumnId="17"/>
      <queryTableField id="18" name="AB SPARE SLACK ALLOCATED" tableColumnId="18"/>
      <queryTableField id="19" name="AB EXCESS STRETCH (ALLOCATED)" tableColumnId="19"/>
      <queryTableField id="20" name="AB EXCESS ALLOCATED SLACK" tableColumnId="20"/>
      <queryTableField id="21" name="AB EXCESS STRETCH" tableColumnId="21"/>
      <queryTableField id="22" name="AB EXCESS SLACK" tableColumnId="22"/>
      <queryTableField id="23" name="AB POTENTIAL SHORTFALL (OVER-ALLOCATED)" tableColumnId="23"/>
      <queryTableField id="24" name="AB POTENTIAL SHORTFALL" tableColumnId="24"/>
      <queryTableField id="25" name="AB WASTED STRETCH" tableColumnId="25"/>
      <queryTableField id="26" name="AB WASTED SLACK" tableColumnId="26"/>
      <queryTableField id="27" name="AB ALLOCATED STRETCH" tableColumnId="27"/>
      <queryTableField id="28" name="AB ALLOCATED SLACK" tableColumnId="28"/>
      <queryTableField id="29" name="AB UNALLOCATED SLACK" tableColumnId="29"/>
      <queryTableField id="30" name="AB LATENT" tableColumnId="30"/>
      <queryTableField id="31" name="AB LATENT.ALLOCATED" tableColumnId="31"/>
      <queryTableField id="32" name="AB  LATENT.OVERALLOCATED" tableColumnId="32"/>
      <queryTableField id="33" name="AB Potential" tableColumnId="33"/>
      <queryTableField id="34" name="Efficiency PoN  AG" tableColumnId="34"/>
      <queryTableField id="35" name="Efficiency PoX  AG" tableColumnId="35"/>
      <queryTableField id="36" name="Efficiency Pl AG" tableColumnId="36"/>
      <queryTableField id="37" name="EF EXCESS OVER-ALLOCATION" tableColumnId="37"/>
      <queryTableField id="38" name="EF SPARE STRETCH" tableColumnId="38"/>
      <queryTableField id="39" name="EF SPARE SLACK" tableColumnId="39"/>
      <queryTableField id="40" name="EF SPARE STRETCH ALLOCATED" tableColumnId="40"/>
      <queryTableField id="41" name="EF SPARE SLACK ALLOCATED" tableColumnId="41"/>
      <queryTableField id="42" name="EF EXCESS STRETCH (ALLOCATED)" tableColumnId="42"/>
      <queryTableField id="43" name="EF EXCESS ALLOCATED SLACK" tableColumnId="43"/>
      <queryTableField id="44" name="EF EXCESS STRETCH" tableColumnId="44"/>
      <queryTableField id="45" name="EF EXCESS SLACK" tableColumnId="45"/>
      <queryTableField id="46" name="EF POTENTIAL SHORTFALL (OVER-ALLOCATED)" tableColumnId="46"/>
      <queryTableField id="47" name="EF POTENTIAL SHORTFALL" tableColumnId="47"/>
      <queryTableField id="48" name="EF WASTED STRETCH" tableColumnId="48"/>
      <queryTableField id="49" name="EF WASTED SLACK" tableColumnId="49"/>
      <queryTableField id="50" name="EF ALLOCATED STRETCH" tableColumnId="50"/>
      <queryTableField id="51" name="EF ALLOCATED SLACK" tableColumnId="51"/>
      <queryTableField id="52" name="EF UNALLOCATED SLACK" tableColumnId="52"/>
      <queryTableField id="53" name="EF LATENT" tableColumnId="53"/>
      <queryTableField id="54" name="EF LATENT.ALLOCATED" tableColumnId="54"/>
      <queryTableField id="55" name="EF LATENT.OVERALLOCATED" tableColumnId="55"/>
      <queryTableField id="56" name="EF Potential" tableColumnId="56"/>
      <queryTableField id="57" name="Workload PoN  AG" tableColumnId="57"/>
      <queryTableField id="58" name="Workload PoX AG" tableColumnId="58"/>
      <queryTableField id="59" name="Workload Pl AG" tableColumnId="59"/>
      <queryTableField id="60" name="WL EXCESS OVER-ALLOCATION" tableColumnId="60"/>
      <queryTableField id="61" name="WL SPARE STRETCH" tableColumnId="61"/>
      <queryTableField id="62" name="WL SPARE SLACK" tableColumnId="62"/>
      <queryTableField id="63" name="WL SPARE STRETCH ALLOCATED" tableColumnId="63"/>
      <queryTableField id="64" name="WL SPARE SLACK ALLOCATED" tableColumnId="64"/>
      <queryTableField id="65" name="WL EXCESS STRETCH (ALLOCATED)" tableColumnId="65"/>
      <queryTableField id="66" name="WL EXCESS ALLOCATED SLACK" tableColumnId="66"/>
      <queryTableField id="67" name="WL EXCESS STRETCH" tableColumnId="67"/>
      <queryTableField id="68" name="WL EXCESS SLACK" tableColumnId="68"/>
      <queryTableField id="69" name="WL POTENTIAL SHORTFALL (OVER-ALLOCATED)" tableColumnId="69"/>
      <queryTableField id="70" name="WL POTENTIAL SHORTFALL" tableColumnId="70"/>
      <queryTableField id="71" name="WL WASTED STRETCH" tableColumnId="71"/>
      <queryTableField id="72" name="WL WASTED SLACK" tableColumnId="72"/>
      <queryTableField id="73" name="WL ALLOCATED STRETCH" tableColumnId="73"/>
      <queryTableField id="74" name="WL ALLOCATED SLACK" tableColumnId="74"/>
      <queryTableField id="75" name="WL UNALLOCATED SLACK" tableColumnId="75"/>
      <queryTableField id="76" name="WL  LATENT" tableColumnId="76"/>
      <queryTableField id="77" name="WL LATENT.ALLOCATED" tableColumnId="77"/>
      <queryTableField id="80" name="WL LATENT.OVERALLOCATED" tableColumnId="80"/>
      <queryTableField id="81" name="WL Potential" tableColumnId="8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C29C30-634A-4548-88F6-4438B4AD8EAF}" autoFormatId="16" applyNumberFormats="0" applyBorderFormats="0" applyFontFormats="0" applyPatternFormats="0" applyAlignmentFormats="0" applyWidthHeightFormats="0">
  <queryTableRefresh nextId="89">
    <queryTableFields count="83">
      <queryTableField id="1" name="Version" tableColumnId="1"/>
      <queryTableField id="2" name="Facility" tableColumnId="2"/>
      <queryTableField id="3" name="Level" tableColumnId="3"/>
      <queryTableField id="4" name="Date" tableColumnId="4"/>
      <queryTableField id="5" name="Role" tableColumnId="5"/>
      <queryTableField id="6" name="Shift" tableColumnId="6"/>
      <queryTableField id="7" name="D" tableColumnId="7"/>
      <queryTableField id="8" name="Cs" tableColumnId="8"/>
      <queryTableField id="9" name="CapacityMaxHC" tableColumnId="9"/>
      <queryTableField id="11" name="ShiftDurations.ShiftDuration" tableColumnId="11"/>
      <queryTableField id="10" name="CX" tableColumnId="10"/>
      <queryTableField id="87" name="DateX" tableColumnId="83"/>
      <queryTableField id="12" name="DATESHIFT" tableColumnId="12"/>
      <queryTableField id="13" name="A" tableColumnId="13"/>
      <queryTableField id="14" name="Apn" tableColumnId="14"/>
      <queryTableField id="15" name="Apx" tableColumnId="15"/>
      <queryTableField id="16" name="Ai" tableColumnId="16"/>
      <queryTableField id="17" name="AB EXCESS OVER-ALLOCATION" tableColumnId="17"/>
      <queryTableField id="18" name="AB SPARE STRETCH" tableColumnId="18"/>
      <queryTableField id="19" name="AB SPARE SLACK" tableColumnId="19"/>
      <queryTableField id="20" name="AB SPARE STRETCH ALLOCATED" tableColumnId="20"/>
      <queryTableField id="21" name="AB SPARE SLACK ALLOCATED" tableColumnId="21"/>
      <queryTableField id="22" name="AB EXCESS STRETCH (ALLOCATED)" tableColumnId="22"/>
      <queryTableField id="23" name="AB EXCESS ALLOCATED SLACK" tableColumnId="23"/>
      <queryTableField id="24" name="AB EXCESS STRETCH" tableColumnId="24"/>
      <queryTableField id="25" name="AB EXCESS SLACK" tableColumnId="25"/>
      <queryTableField id="26" name="AB POTENTIAL SHORTFALL (OVER-ALLOCATED)" tableColumnId="26"/>
      <queryTableField id="27" name="AB POTENTIAL SHORTFALL" tableColumnId="27"/>
      <queryTableField id="28" name="AB WASTED STRETCH" tableColumnId="28"/>
      <queryTableField id="29" name="AB WASTED SLACK" tableColumnId="29"/>
      <queryTableField id="30" name="AB ALLOCATED STRETCH" tableColumnId="30"/>
      <queryTableField id="31" name="AB ALLOCATED SLACK" tableColumnId="31"/>
      <queryTableField id="32" name="AB UNALLOCATED SLACK" tableColumnId="32"/>
      <queryTableField id="33" name="AB LATENT" tableColumnId="33"/>
      <queryTableField id="34" name="AB LATENT.ALLOCATED" tableColumnId="34"/>
      <queryTableField id="35" name="AB  LATENT.OVERALLOCATED" tableColumnId="35"/>
      <queryTableField id="36" name="AB Potential" tableColumnId="36"/>
      <queryTableField id="37" name="Epn" tableColumnId="37"/>
      <queryTableField id="38" name="EpX" tableColumnId="38"/>
      <queryTableField id="39" name="Ein" tableColumnId="39"/>
      <queryTableField id="40" name="EF EXCESS OVER-ALLOCATION" tableColumnId="40"/>
      <queryTableField id="41" name="EF SPARE STRETCH" tableColumnId="41"/>
      <queryTableField id="42" name="EF SPARE SLACK" tableColumnId="42"/>
      <queryTableField id="43" name="EF SPARE STRETCH ALLOCATED" tableColumnId="43"/>
      <queryTableField id="44" name="EF SPARE SLACK ALLOCATED" tableColumnId="44"/>
      <queryTableField id="45" name="EF EXCESS STRETCH (ALLOCATED)" tableColumnId="45"/>
      <queryTableField id="46" name="EF EXCESS ALLOCATED SLACK" tableColumnId="46"/>
      <queryTableField id="47" name="EF EXCESS STRETCH" tableColumnId="47"/>
      <queryTableField id="48" name="EF EXCESS SLACK" tableColumnId="48"/>
      <queryTableField id="49" name="EF POTENTIAL SHORTFALL (OVER-ALLOCATED)" tableColumnId="49"/>
      <queryTableField id="50" name="EF POTENTIAL SHORTFALL" tableColumnId="50"/>
      <queryTableField id="51" name="EF WASTED STRETCH" tableColumnId="51"/>
      <queryTableField id="52" name="EF WASTED SLACK" tableColumnId="52"/>
      <queryTableField id="53" name="EF ALLOCATED STRETCH" tableColumnId="53"/>
      <queryTableField id="54" name="EF ALLOCATED SLACK" tableColumnId="54"/>
      <queryTableField id="55" name="EF UNALLOCATED SLACK" tableColumnId="55"/>
      <queryTableField id="56" name="EF LATENT" tableColumnId="56"/>
      <queryTableField id="57" name="EF LATENT.ALLOCATED" tableColumnId="57"/>
      <queryTableField id="58" name="EF LATENT.OVERALLOCATED" tableColumnId="58"/>
      <queryTableField id="59" name="EF Potential" tableColumnId="59"/>
      <queryTableField id="60" name="Ipn" tableColumnId="60"/>
      <queryTableField id="61" name="Ipx" tableColumnId="61"/>
      <queryTableField id="62" name="Iin" tableColumnId="62"/>
      <queryTableField id="63" name="IN EXCESS OVER-ALLOCATION" tableColumnId="63"/>
      <queryTableField id="64" name="IN SPARE STRETCH" tableColumnId="64"/>
      <queryTableField id="65" name="IN SPARE SLACK" tableColumnId="65"/>
      <queryTableField id="66" name="IN SPARE STRETCH ALLOCATED" tableColumnId="66"/>
      <queryTableField id="67" name="IN SPARE SLACK ALLOCATED" tableColumnId="67"/>
      <queryTableField id="68" name="IN EXCESS STRETCH (ALLOCATED)" tableColumnId="68"/>
      <queryTableField id="69" name="IN EXCESS ALLOCATED SLACK" tableColumnId="69"/>
      <queryTableField id="70" name="IN EXCESS STRETCH" tableColumnId="70"/>
      <queryTableField id="71" name="IN EXCESS SLACK" tableColumnId="71"/>
      <queryTableField id="72" name="IN POTENTIAL SHORTFALL (OVER-ALLOCATED)" tableColumnId="72"/>
      <queryTableField id="73" name="IN POTENTIAL SHORTFALL" tableColumnId="73"/>
      <queryTableField id="74" name="IN WASTED STRETCH" tableColumnId="74"/>
      <queryTableField id="75" name="IN WASTED SLACK" tableColumnId="75"/>
      <queryTableField id="76" name="IN ALLOCATED STRETCH" tableColumnId="76"/>
      <queryTableField id="77" name="IN ALLOCATED SLACK" tableColumnId="77"/>
      <queryTableField id="78" name="IN UNALLOCATED SLACK" tableColumnId="78"/>
      <queryTableField id="79" name="IN LATENT" tableColumnId="79"/>
      <queryTableField id="80" name="IN LATENT.ALLOCATED" tableColumnId="80"/>
      <queryTableField id="81" name="IN LATENT.OVERALLOCATED" tableColumnId="81"/>
      <queryTableField id="82" name="IN Potential" tableColumnId="8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063F1B-E502-4F4D-9715-51BD4B0CAC45}" name="FilePathUrl" displayName="FilePathUrl" ref="A1:A2" totalsRowShown="0">
  <autoFilter ref="A1:A2" xr:uid="{A5063F1B-E502-4F4D-9715-51BD4B0CAC45}"/>
  <tableColumns count="1">
    <tableColumn id="1" xr3:uid="{0FF65D8D-224D-4F51-AC60-FCDF015CA161}" name="FilePath">
      <calculatedColumnFormula>CELL("filename",A1)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8CEAB3-E46E-4354-8D00-8393ED9E592D}" name="DateLevelPathRecord" displayName="DateLevelPathRecord" ref="A3:B12" tableType="queryTable" totalsRowShown="0" headerRowDxfId="20" dataDxfId="19" headerRowCellStyle="Normal 2" dataCellStyle="Normal 2">
  <autoFilter ref="A3:B12" xr:uid="{138CEAB3-E46E-4354-8D00-8393ED9E592D}"/>
  <tableColumns count="2">
    <tableColumn id="1" xr3:uid="{A5E69D19-4AF4-451D-8058-7338C091EF25}" uniqueName="1" name="Name" queryTableFieldId="1" dataDxfId="3" dataCellStyle="Normal 2"/>
    <tableColumn id="2" xr3:uid="{23049015-6355-4C57-B785-18CED17ACE8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87FDCB-9122-462D-BCEE-ACAF4D8AC1CA}" name="Folder" displayName="Folder" ref="B25:B26" totalsRowShown="0" dataDxfId="18">
  <autoFilter ref="B25:B26" xr:uid="{336E7093-3530-42C5-AF8A-E29B36BB2C09}"/>
  <tableColumns count="1">
    <tableColumn id="1" xr3:uid="{75F30B5E-891B-42C3-9DC3-539A214C413A}" name="Folder" dataDxfId="17">
      <calculatedColumnFormula>$B$18&amp;"\"&amp;B21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E1E0D-191E-4395-B952-3E4B78792422}" name="Table1" displayName="Table1" ref="B39:B42" totalsRowShown="0" headerRowDxfId="16" tableBorderDxfId="15" headerRowCellStyle="Normal 2">
  <autoFilter ref="B39:B42" xr:uid="{A44E1E0D-191E-4395-B952-3E4B78792422}"/>
  <tableColumns count="1">
    <tableColumn id="1" xr3:uid="{082B569F-D13D-469E-8CDA-4EA267864220}" name="DateAlign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952E80-328A-40C8-AA3F-1D0E1237DE32}" name="DateAlignment" displayName="DateAlignment" ref="A1:A2" tableType="queryTable" totalsRowShown="0">
  <autoFilter ref="A1:A2" xr:uid="{D0952E80-328A-40C8-AA3F-1D0E1237DE32}"/>
  <tableColumns count="1">
    <tableColumn id="1" xr3:uid="{8846D437-78CF-46B8-A134-2E5E96C35701}" uniqueName="1" name="DateAlignment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B1209AD-8983-4F37-B72D-F80DFBF4ED37}" name="Masterlist" displayName="Masterlist" ref="A1:U121" tableType="queryTable" totalsRowShown="0">
  <autoFilter ref="A1:U121" xr:uid="{3B1209AD-8983-4F37-B72D-F80DFBF4ED37}"/>
  <tableColumns count="21">
    <tableColumn id="2" xr3:uid="{21D4F8F3-CE94-48B6-842A-24E270300EC8}" uniqueName="2" name="Name" queryTableFieldId="2" dataDxfId="23"/>
    <tableColumn id="1" xr3:uid="{9BB29320-EF28-4C01-81DC-B5F2EDA4FFC1}" uniqueName="1" name="Role" queryTableFieldId="1" dataDxfId="22"/>
    <tableColumn id="3" xr3:uid="{375B606E-30CA-4E19-A7EC-F99D866E9E95}" uniqueName="3" name="Resource" queryTableFieldId="3"/>
    <tableColumn id="4" xr3:uid="{F2FB0EAE-1E03-4135-83FC-48DC8AA9E00D}" uniqueName="4" name="Misalignment" queryTableFieldId="4" dataDxfId="21"/>
    <tableColumn id="5" xr3:uid="{0EF5133C-DCA9-420B-A1EB-8DCBF4D49B60}" uniqueName="5" name="Source" queryTableFieldId="5"/>
    <tableColumn id="6" xr3:uid="{F31C8B2F-8882-47E2-8A2F-0F7228E19B2D}" uniqueName="6" name="EmployeeID" queryTableFieldId="6"/>
    <tableColumn id="7" xr3:uid="{B77EC2A2-7F1E-4135-B4FE-78F98441DA46}" uniqueName="7" name="Facility-Abbrev" queryTableFieldId="7"/>
    <tableColumn id="8" xr3:uid="{997777EA-32E9-44AC-9AA4-D44801576B93}" uniqueName="8" name="EmploymentType" queryTableFieldId="8"/>
    <tableColumn id="9" xr3:uid="{BED53493-FF69-4AB5-B80C-C5D92E30B13F}" uniqueName="9" name="PreferredRole" queryTableFieldId="9"/>
    <tableColumn id="10" xr3:uid="{E9A6FF08-9C27-498F-A76F-7453F2C4B9DE}" uniqueName="10" name="Worker Record Status" queryTableFieldId="10"/>
    <tableColumn id="11" xr3:uid="{1D40E3BA-D63A-4556-92A9-4D0C39F793BE}" uniqueName="11" name="Worker Contract Issue" queryTableFieldId="11"/>
    <tableColumn id="12" xr3:uid="{95B40C7F-D2F7-448B-AEE4-5E52F9D645A8}" uniqueName="12" name="Contracted FN Hours" queryTableFieldId="12"/>
    <tableColumn id="13" xr3:uid="{C6A99C07-B36F-4885-85A8-522E25E2B5BD}" uniqueName="13" name="Roster Start" queryTableFieldId="13"/>
    <tableColumn id="14" xr3:uid="{0B83CCB0-D8F7-42F4-8599-09E8574CEADA}" uniqueName="14" name="Roster End" queryTableFieldId="14"/>
    <tableColumn id="15" xr3:uid="{26291827-8A8E-424A-8F60-E790CF1A661F}" uniqueName="15" name="Roster Fortnights" queryTableFieldId="15"/>
    <tableColumn id="16" xr3:uid="{4A7358AA-B928-45FF-AA85-015EF76E1F1D}" uniqueName="16" name="Contracted Roster Hours" queryTableFieldId="16"/>
    <tableColumn id="17" xr3:uid="{FF2B079F-D418-4DD9-8F46-978EF0942BD0}" uniqueName="17" name="Contracted Shift Equivalent" queryTableFieldId="17"/>
    <tableColumn id="18" xr3:uid="{197EB7EB-5EA2-4B12-ABCA-33179DCF5472}" uniqueName="18" name="Contracted Shifts" queryTableFieldId="18"/>
    <tableColumn id="19" xr3:uid="{F23E6E90-441F-4A66-85A3-61D1AE36D9FC}" uniqueName="19" name="Settings Max Availability" queryTableFieldId="19"/>
    <tableColumn id="20" xr3:uid="{C66FF3FA-6278-4EC4-BF4C-0C9832063C34}" uniqueName="20" name="Effective Shift Cap" queryTableFieldId="20"/>
    <tableColumn id="21" xr3:uid="{62FFCEF1-7D6F-46CC-91E0-997CC8A7FEC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3577824-87D5-479F-B1FB-4A6C0777B684}" name="IMPORT_Table_Masterlist" displayName="IMPORT_Table_Masterlist" ref="A1:U121" tableType="queryTable" totalsRowShown="0">
  <autoFilter ref="A1:U121" xr:uid="{63577824-87D5-479F-B1FB-4A6C0777B684}"/>
  <tableColumns count="21">
    <tableColumn id="2" xr3:uid="{F79DCDFD-D2D1-4BD2-BA64-AA3F43036487}" uniqueName="2" name="Name" queryTableFieldId="2" dataDxfId="14"/>
    <tableColumn id="1" xr3:uid="{A0C70810-E456-4CC8-8F2E-69D2A799B3C8}" uniqueName="1" name="Role" queryTableFieldId="1" dataDxfId="13"/>
    <tableColumn id="3" xr3:uid="{C44C26E2-0D69-43DE-9383-A8F0C6006C05}" uniqueName="3" name="Resource" queryTableFieldId="3"/>
    <tableColumn id="4" xr3:uid="{E70EF5F0-D976-469E-9810-3FB1B84718B8}" uniqueName="4" name="Misalignment" queryTableFieldId="4" dataDxfId="12"/>
    <tableColumn id="5" xr3:uid="{C783E163-C98B-454D-A731-0811DC2C739B}" uniqueName="5" name="Source" queryTableFieldId="5"/>
    <tableColumn id="6" xr3:uid="{54001F6D-AD07-4CF2-9462-C95EDB178AE2}" uniqueName="6" name="EmployeeID" queryTableFieldId="6"/>
    <tableColumn id="7" xr3:uid="{1B8B5C2E-1B9B-49BD-8A9B-E60EE6884891}" uniqueName="7" name="Facility-Abbrev" queryTableFieldId="7"/>
    <tableColumn id="8" xr3:uid="{08F42409-1F6A-418B-ABD0-07CD60D3C849}" uniqueName="8" name="EmploymentType" queryTableFieldId="8"/>
    <tableColumn id="9" xr3:uid="{BFC4B20D-50C8-408A-AA5C-E666DC383163}" uniqueName="9" name="PreferredRole" queryTableFieldId="9"/>
    <tableColumn id="10" xr3:uid="{BD02EDB3-7B66-4876-BCA8-EF2604134A72}" uniqueName="10" name="Worker Record Status" queryTableFieldId="10"/>
    <tableColumn id="11" xr3:uid="{E2D25F98-C59B-4A2E-8E12-690E4B8C1EE3}" uniqueName="11" name="Worker Contract Issue" queryTableFieldId="11"/>
    <tableColumn id="12" xr3:uid="{8BE82F5E-B0DA-49B0-BA01-99C4E8B7AF83}" uniqueName="12" name="Contracted FN Hours" queryTableFieldId="12"/>
    <tableColumn id="13" xr3:uid="{FA33E23E-15FE-48E4-B804-14D357D83A78}" uniqueName="13" name="Roster Start" queryTableFieldId="13"/>
    <tableColumn id="14" xr3:uid="{7C0BC3C0-8B6D-4005-AA84-60B31B41A0B6}" uniqueName="14" name="Roster End" queryTableFieldId="14"/>
    <tableColumn id="15" xr3:uid="{EC2D405A-A517-4071-B537-4759B8B4C437}" uniqueName="15" name="Roster Fortnights" queryTableFieldId="15"/>
    <tableColumn id="16" xr3:uid="{D74587B3-74DA-41CB-BF6B-B9E5B66E5529}" uniqueName="16" name="Contracted Roster Hours" queryTableFieldId="16"/>
    <tableColumn id="17" xr3:uid="{0F5194DD-A836-472B-BF13-8DDEAA5F2CBD}" uniqueName="17" name="Contracted Shift Equivalent" queryTableFieldId="17"/>
    <tableColumn id="18" xr3:uid="{E4F10AAC-17C2-4B7B-A858-40FE4F11D5E0}" uniqueName="18" name="Contracted Shifts" queryTableFieldId="18"/>
    <tableColumn id="19" xr3:uid="{398ED370-6BCE-4F69-AB8A-10DF7875F320}" uniqueName="19" name="Settings Max Availability" queryTableFieldId="19"/>
    <tableColumn id="20" xr3:uid="{122189DB-8356-49AE-9B99-DFCBE5768148}" uniqueName="20" name="Effective Shift Cap" queryTableFieldId="20"/>
    <tableColumn id="21" xr3:uid="{7282E283-B3EC-46A0-8707-E6E8A7A4774A}" uniqueName="21" name="Limit Basis" queryTableFieldId="2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920BBA9-3FD7-4B48-A21D-9C1A7A742037}" name="InefficienciesAGL2Day3210" displayName="InefficienciesAGL2Day3210" ref="A1:CG760" tableType="queryTable" totalsRowShown="0">
  <autoFilter ref="A1:CG760" xr:uid="{F920BBA9-3FD7-4B48-A21D-9C1A7A742037}"/>
  <tableColumns count="85">
    <tableColumn id="83" xr3:uid="{54310CFA-1854-4943-8BFA-EEB4C69B2872}" uniqueName="83" name="Version" queryTableFieldId="96"/>
    <tableColumn id="78" xr3:uid="{CB928C26-C9B9-43C8-955C-08BB78648114}" uniqueName="78" name="Facility" queryTableFieldId="91"/>
    <tableColumn id="1" xr3:uid="{049645FA-D809-4AE6-B47A-AEF820BB9073}" uniqueName="1" name="Level" queryTableFieldId="1" dataDxfId="11"/>
    <tableColumn id="2" xr3:uid="{10A68B55-0964-428C-AF8A-B46CE57C592B}" uniqueName="2" name="Date" queryTableFieldId="2" dataDxfId="1"/>
    <tableColumn id="3" xr3:uid="{DA455563-069B-4788-8F36-1A15C6E941EA}" uniqueName="3" name="Role" queryTableFieldId="3" dataDxfId="10"/>
    <tableColumn id="4" xr3:uid="{C7A5102E-30B2-4843-B59C-C935311B8C60}" uniqueName="4" name="Role ID" queryTableFieldId="4" dataDxfId="9"/>
    <tableColumn id="5" xr3:uid="{DD2A1E21-54F0-4DED-9682-2A0BA8705790}" uniqueName="5" name="Role Abvrev" queryTableFieldId="5" dataDxfId="8"/>
    <tableColumn id="6" xr3:uid="{ED67227D-FE65-4A40-B04E-1C6DCC8E65A4}" uniqueName="6" name="Shift" queryTableFieldId="6" dataDxfId="7"/>
    <tableColumn id="79" xr3:uid="{1205560D-6B9C-4DC8-BD46-8C1E20039EFA}" uniqueName="79" name="CapacityMaxHC" queryTableFieldId="86"/>
    <tableColumn id="84" xr3:uid="{D60F278B-3514-4C96-B777-CD35FC002C0F}" uniqueName="84" name="ShiftDurations.ShiftDuration" queryTableFieldId="110"/>
    <tableColumn id="7" xr3:uid="{D9E3B1D5-F3CE-4DE4-942F-714BCC8332F4}" uniqueName="7" name="D" queryTableFieldId="7"/>
    <tableColumn id="85" xr3:uid="{5D799388-9837-4094-8A5D-886E2EC95801}" uniqueName="85" name="DateX" queryTableFieldId="107"/>
    <tableColumn id="82" xr3:uid="{53F2EB7D-0F67-464C-9287-67D241447E3F}" uniqueName="82" name="DATESHIFT" queryTableFieldId="89"/>
    <tableColumn id="8" xr3:uid="{A306FFDA-6233-4F9C-B034-1D9849B637C0}" uniqueName="8" name="Cs" queryTableFieldId="8"/>
    <tableColumn id="9" xr3:uid="{52224AC6-90D6-4CE0-99C3-D4EF45C1F31E}" uniqueName="9" name="CX" queryTableFieldId="9"/>
    <tableColumn id="10" xr3:uid="{7681CE8D-A36C-414D-B276-8B36AE4C7632}" uniqueName="10" name="A" queryTableFieldId="10"/>
    <tableColumn id="11" xr3:uid="{972D776A-404A-4F13-BF69-5B3461464ACF}" uniqueName="11" name="Ability PoN AG" queryTableFieldId="11"/>
    <tableColumn id="12" xr3:uid="{04325ACF-E594-44C5-AC61-1A09286A177E}" uniqueName="12" name="Ability PoX AG" queryTableFieldId="12"/>
    <tableColumn id="13" xr3:uid="{34F142C4-A439-4F24-9587-648FEA51D9F6}" uniqueName="13" name="Ability Pl AG" queryTableFieldId="13"/>
    <tableColumn id="14" xr3:uid="{78D41C17-8545-4812-9980-BD96DB2F6E10}" uniqueName="14" name="AB EXCESS OVER-ALLOCATION" queryTableFieldId="14"/>
    <tableColumn id="15" xr3:uid="{56E12FA5-E0F7-418A-B960-3A89DD9186CA}" uniqueName="15" name="AB SPARE STRETCH" queryTableFieldId="15"/>
    <tableColumn id="16" xr3:uid="{181DDAFA-982E-4A03-BB1D-405916373C89}" uniqueName="16" name="AB SPARE SLACK" queryTableFieldId="16"/>
    <tableColumn id="17" xr3:uid="{3A3E5FB7-4F59-4FA1-BBF8-4C092816171A}" uniqueName="17" name="AB SPARE STRETCH ALLOCATED" queryTableFieldId="17"/>
    <tableColumn id="18" xr3:uid="{BD2C67A9-A677-45C8-A827-AF5DF1E7AA63}" uniqueName="18" name="AB SPARE SLACK ALLOCATED" queryTableFieldId="18"/>
    <tableColumn id="19" xr3:uid="{CB331616-7909-467A-A3B3-1B67C5EB0D54}" uniqueName="19" name="AB EXCESS STRETCH (ALLOCATED)" queryTableFieldId="19"/>
    <tableColumn id="20" xr3:uid="{5EEAC05D-9301-49F1-9985-112F1A46EFED}" uniqueName="20" name="AB EXCESS ALLOCATED SLACK" queryTableFieldId="20"/>
    <tableColumn id="21" xr3:uid="{A485733F-9DB3-4DBE-B017-8033D770F7FD}" uniqueName="21" name="AB EXCESS STRETCH" queryTableFieldId="21"/>
    <tableColumn id="22" xr3:uid="{DD0FA0BE-97D0-4A60-9E7D-E80BAF0A59BD}" uniqueName="22" name="AB EXCESS SLACK" queryTableFieldId="22"/>
    <tableColumn id="23" xr3:uid="{8695A2E7-FCF7-43AA-942A-5FA3A021458B}" uniqueName="23" name="AB POTENTIAL SHORTFALL (OVER-ALLOCATED)" queryTableFieldId="23"/>
    <tableColumn id="24" xr3:uid="{9DAFAE42-924B-4289-9286-F06B36C7EEA1}" uniqueName="24" name="AB POTENTIAL SHORTFALL" queryTableFieldId="24"/>
    <tableColumn id="25" xr3:uid="{A7C497F8-80B7-43F3-8BC8-2938D0C9F9F1}" uniqueName="25" name="AB WASTED STRETCH" queryTableFieldId="25"/>
    <tableColumn id="26" xr3:uid="{509762EE-107B-4C92-A9F7-4EB1BFCB898E}" uniqueName="26" name="AB WASTED SLACK" queryTableFieldId="26"/>
    <tableColumn id="27" xr3:uid="{68497E17-03EB-4D5D-87AF-ECB4CB5358AE}" uniqueName="27" name="AB ALLOCATED STRETCH" queryTableFieldId="27"/>
    <tableColumn id="28" xr3:uid="{F6FDEBC0-16B2-43F3-B194-B11ED438F8FA}" uniqueName="28" name="AB ALLOCATED SLACK" queryTableFieldId="28"/>
    <tableColumn id="29" xr3:uid="{717C2AB6-C3F2-4064-83D4-1E8E872F2C5A}" uniqueName="29" name="AB UNALLOCATED SLACK" queryTableFieldId="29"/>
    <tableColumn id="30" xr3:uid="{432DD3EE-62B4-47DB-9434-F5A93CFE5941}" uniqueName="30" name="AB LATENT" queryTableFieldId="30"/>
    <tableColumn id="31" xr3:uid="{CAC6E41A-94DF-4DF6-AC43-E8FBB1AC826A}" uniqueName="31" name="AB LATENT.ALLOCATED" queryTableFieldId="31"/>
    <tableColumn id="32" xr3:uid="{73E8E3C0-4FA3-4179-8219-CD677BBBF748}" uniqueName="32" name="AB  LATENT.OVERALLOCATED" queryTableFieldId="32"/>
    <tableColumn id="33" xr3:uid="{89BD200C-68D3-420A-85B1-F530B38C6E8D}" uniqueName="33" name="AB Potential" queryTableFieldId="33"/>
    <tableColumn id="34" xr3:uid="{CF0372A9-6406-45E5-8174-A0245FA1F8B0}" uniqueName="34" name="Efficiency PoN  AG" queryTableFieldId="34"/>
    <tableColumn id="35" xr3:uid="{26F403D1-AC80-4D02-A504-A37351A59026}" uniqueName="35" name="Efficiency PoX  AG" queryTableFieldId="35"/>
    <tableColumn id="36" xr3:uid="{CE526E1C-CA71-48C0-BCB2-6B206994A62B}" uniqueName="36" name="Efficiency Pl AG" queryTableFieldId="36"/>
    <tableColumn id="37" xr3:uid="{428F1239-1A5C-419C-AEB5-29BBD8F4C867}" uniqueName="37" name="EF EXCESS OVER-ALLOCATION" queryTableFieldId="37"/>
    <tableColumn id="38" xr3:uid="{FB7AEF3A-3101-457C-A65F-92096320C379}" uniqueName="38" name="EF SPARE STRETCH" queryTableFieldId="38"/>
    <tableColumn id="39" xr3:uid="{BC3188DA-42BB-4EF8-9594-DD8A21EBA110}" uniqueName="39" name="EF SPARE SLACK" queryTableFieldId="39"/>
    <tableColumn id="40" xr3:uid="{FCAB23A0-1984-4020-AC11-F5EC2A3747EB}" uniqueName="40" name="EF SPARE STRETCH ALLOCATED" queryTableFieldId="40"/>
    <tableColumn id="41" xr3:uid="{2F555755-7AD8-4AE3-A5E7-D374C8AA2912}" uniqueName="41" name="EF SPARE SLACK ALLOCATED" queryTableFieldId="41"/>
    <tableColumn id="42" xr3:uid="{62E05BCB-D2DA-4CC2-BF7A-2BCF4C9681BD}" uniqueName="42" name="EF EXCESS STRETCH (ALLOCATED)" queryTableFieldId="42"/>
    <tableColumn id="43" xr3:uid="{1A292E61-9694-4C46-9636-8EEEABC2C541}" uniqueName="43" name="EF EXCESS ALLOCATED SLACK" queryTableFieldId="43"/>
    <tableColumn id="44" xr3:uid="{172E2B9A-EAB5-41CD-831C-C7AA239AD1EE}" uniqueName="44" name="EF EXCESS STRETCH" queryTableFieldId="44"/>
    <tableColumn id="45" xr3:uid="{148987C5-A3CA-4A38-80C6-29F9CC7635E5}" uniqueName="45" name="EF EXCESS SLACK" queryTableFieldId="45"/>
    <tableColumn id="46" xr3:uid="{82E726C3-819D-415B-972C-B1C6B2E7DBFE}" uniqueName="46" name="EF POTENTIAL SHORTFALL (OVER-ALLOCATED)" queryTableFieldId="46"/>
    <tableColumn id="47" xr3:uid="{B8C072E0-B1B4-4261-ADC8-81C93B89D213}" uniqueName="47" name="EF POTENTIAL SHORTFALL" queryTableFieldId="47"/>
    <tableColumn id="48" xr3:uid="{D87E5A3C-6FF0-4E15-92F4-B7D808E27214}" uniqueName="48" name="EF WASTED STRETCH" queryTableFieldId="48"/>
    <tableColumn id="49" xr3:uid="{18F2F47C-1347-49DF-8580-F43A96055EB1}" uniqueName="49" name="EF WASTED SLACK" queryTableFieldId="49"/>
    <tableColumn id="50" xr3:uid="{E03ADD95-2B3F-4E47-A875-A1A956E0D0CE}" uniqueName="50" name="EF ALLOCATED STRETCH" queryTableFieldId="50"/>
    <tableColumn id="51" xr3:uid="{704F58D5-6914-483D-886F-06E4655D0654}" uniqueName="51" name="EF ALLOCATED SLACK" queryTableFieldId="51"/>
    <tableColumn id="52" xr3:uid="{4C6E6405-9B7C-48F8-889F-3FBCFC8C006F}" uniqueName="52" name="EF UNALLOCATED SLACK" queryTableFieldId="52"/>
    <tableColumn id="53" xr3:uid="{DB30C10E-4673-40E3-9088-B724564419FB}" uniqueName="53" name="EF LATENT" queryTableFieldId="53"/>
    <tableColumn id="54" xr3:uid="{1AC02DA3-8A28-44EC-8A4A-29AF5E79B315}" uniqueName="54" name="EF LATENT.ALLOCATED" queryTableFieldId="54"/>
    <tableColumn id="55" xr3:uid="{D81BDF5A-9039-4911-BAC0-203792DF575C}" uniqueName="55" name="EF LATENT.OVERALLOCATED" queryTableFieldId="55"/>
    <tableColumn id="56" xr3:uid="{E5381729-BD37-42C2-9184-E4DB4619F576}" uniqueName="56" name="EF Potential" queryTableFieldId="56"/>
    <tableColumn id="57" xr3:uid="{51F722AB-83EE-47F9-93B6-56DE27FE485C}" uniqueName="57" name="Workload PoN  AG" queryTableFieldId="57"/>
    <tableColumn id="58" xr3:uid="{53E4E011-C58B-47ED-A559-94B64C9B470E}" uniqueName="58" name="Workload PoX AG" queryTableFieldId="58"/>
    <tableColumn id="59" xr3:uid="{9320B868-66B7-42BB-8135-59095DADF38B}" uniqueName="59" name="Workload Pl AG" queryTableFieldId="59"/>
    <tableColumn id="60" xr3:uid="{63E4AA46-E147-487B-95D3-8B725949A6BE}" uniqueName="60" name="WL EXCESS OVER-ALLOCATION" queryTableFieldId="60"/>
    <tableColumn id="61" xr3:uid="{EF3F515C-B2A1-4736-926D-7E8B0C0DAAA9}" uniqueName="61" name="WL SPARE STRETCH" queryTableFieldId="61"/>
    <tableColumn id="62" xr3:uid="{4C8EF0BE-4944-4415-B1EE-8FA252E0CABE}" uniqueName="62" name="WL SPARE SLACK" queryTableFieldId="62"/>
    <tableColumn id="63" xr3:uid="{725A57D1-9767-4506-BE6E-FDEF25B5C542}" uniqueName="63" name="WL SPARE STRETCH ALLOCATED" queryTableFieldId="63"/>
    <tableColumn id="64" xr3:uid="{9E9E0EF1-4DD0-43DE-B5C2-F47425AE1F80}" uniqueName="64" name="WL SPARE SLACK ALLOCATED" queryTableFieldId="64"/>
    <tableColumn id="65" xr3:uid="{B80842EB-4223-4ECD-B818-0DE46DD813D4}" uniqueName="65" name="WL EXCESS STRETCH (ALLOCATED)" queryTableFieldId="65"/>
    <tableColumn id="66" xr3:uid="{64E3AE9D-1F8F-4E34-9158-3C590106AC3F}" uniqueName="66" name="WL EXCESS ALLOCATED SLACK" queryTableFieldId="66"/>
    <tableColumn id="67" xr3:uid="{AF98C6CD-506E-43C6-B394-F20349FBDC11}" uniqueName="67" name="WL EXCESS STRETCH" queryTableFieldId="67"/>
    <tableColumn id="68" xr3:uid="{513CAF0E-E380-4494-9BAC-D08E26B2E09F}" uniqueName="68" name="WL EXCESS SLACK" queryTableFieldId="68"/>
    <tableColumn id="69" xr3:uid="{FA921A5F-A554-4529-81F4-377BE28D0C8E}" uniqueName="69" name="WL POTENTIAL SHORTFALL (OVER-ALLOCATED)" queryTableFieldId="69"/>
    <tableColumn id="70" xr3:uid="{557A88FE-0077-42A0-9C74-9F5BE83FB09D}" uniqueName="70" name="WL POTENTIAL SHORTFALL" queryTableFieldId="70"/>
    <tableColumn id="71" xr3:uid="{3C48FB70-EC2A-4E43-8720-B4A9D002D966}" uniqueName="71" name="WL WASTED STRETCH" queryTableFieldId="71"/>
    <tableColumn id="72" xr3:uid="{01A204B4-AF46-404F-9E82-8C29014957DF}" uniqueName="72" name="WL WASTED SLACK" queryTableFieldId="72"/>
    <tableColumn id="73" xr3:uid="{FBFA3448-ADB0-4A4F-BBF8-247189DE2E2B}" uniqueName="73" name="WL ALLOCATED STRETCH" queryTableFieldId="73"/>
    <tableColumn id="74" xr3:uid="{0D51CD15-23FF-408F-B7AB-5A30DA8B21C0}" uniqueName="74" name="WL ALLOCATED SLACK" queryTableFieldId="74"/>
    <tableColumn id="75" xr3:uid="{859A20DF-0684-4952-BE47-2702D16DF3F6}" uniqueName="75" name="WL UNALLOCATED SLACK" queryTableFieldId="75"/>
    <tableColumn id="76" xr3:uid="{BB72C4D6-B9AA-4A06-B46F-78FC2EB94925}" uniqueName="76" name="WL  LATENT" queryTableFieldId="76"/>
    <tableColumn id="77" xr3:uid="{3FB03E1F-D82A-4D24-AD41-894D0FB9D410}" uniqueName="77" name="WL LATENT.ALLOCATED" queryTableFieldId="77"/>
    <tableColumn id="80" xr3:uid="{88300AE4-C6FA-4327-A452-185E9E77A079}" uniqueName="80" name="WL LATENT.OVERALLOCATED" queryTableFieldId="80"/>
    <tableColumn id="81" xr3:uid="{C89F5DCC-95FA-4B35-BABC-5DAA5B90FDAE}" uniqueName="81" name="WL Potential" queryTableFieldId="8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9BDF3B8-B15E-49EB-9C3C-A129936E86AE}" name="IMPORT_InefficienciesAGL2Day3210" displayName="IMPORT_InefficienciesAGL2Day3210" ref="A1:CE760" tableType="queryTable" totalsRowShown="0">
  <autoFilter ref="A1:CE760" xr:uid="{A9BDF3B8-B15E-49EB-9C3C-A129936E86AE}"/>
  <tableColumns count="83">
    <tableColumn id="1" xr3:uid="{D19464A7-AEDA-4444-9CFA-24791C18AD28}" uniqueName="1" name="Version" queryTableFieldId="1"/>
    <tableColumn id="2" xr3:uid="{83A4FAA0-10AE-4306-A66C-0D583B753912}" uniqueName="2" name="Facility" queryTableFieldId="2"/>
    <tableColumn id="3" xr3:uid="{28D23393-26BC-4464-A29E-575F31B48AAF}" uniqueName="3" name="Level" queryTableFieldId="3" dataDxfId="6"/>
    <tableColumn id="4" xr3:uid="{82F15C90-4A6C-45A6-A89B-CE17CEFBFF0B}" uniqueName="4" name="Date" queryTableFieldId="4" dataDxfId="0"/>
    <tableColumn id="5" xr3:uid="{1AE32F02-99C2-474B-A773-FA7E57105791}" uniqueName="5" name="Role" queryTableFieldId="5" dataDxfId="5"/>
    <tableColumn id="6" xr3:uid="{F88A35DC-CF93-4CC6-972F-B785F7DC87A7}" uniqueName="6" name="Shift" queryTableFieldId="6" dataDxfId="4"/>
    <tableColumn id="7" xr3:uid="{B32B3313-D9FA-468C-824F-373CB80F1D96}" uniqueName="7" name="D" queryTableFieldId="7"/>
    <tableColumn id="8" xr3:uid="{3498C20C-1E03-425B-9E93-0ABBE89F8F4A}" uniqueName="8" name="Cs" queryTableFieldId="8"/>
    <tableColumn id="9" xr3:uid="{5367F9F7-E68F-4218-9334-03052B1F9E65}" uniqueName="9" name="CapacityMaxHC" queryTableFieldId="9"/>
    <tableColumn id="11" xr3:uid="{F0A6F75E-0A79-480A-9476-A28FAE52411D}" uniqueName="11" name="ShiftDurations.ShiftDuration" queryTableFieldId="11"/>
    <tableColumn id="10" xr3:uid="{7575DD2B-02A8-4033-A8B2-3C9C717F4F8D}" uniqueName="10" name="CX" queryTableFieldId="10"/>
    <tableColumn id="83" xr3:uid="{B27EBF3F-8260-4F19-A072-AA0695CF3CBA}" uniqueName="83" name="DateX" queryTableFieldId="87"/>
    <tableColumn id="12" xr3:uid="{DAAE081B-D4A5-462E-B307-E57FB2E45FA9}" uniqueName="12" name="DATESHIFT" queryTableFieldId="12"/>
    <tableColumn id="13" xr3:uid="{AEE0BA10-51CA-45F7-B8B4-CD66971B691E}" uniqueName="13" name="A" queryTableFieldId="13"/>
    <tableColumn id="14" xr3:uid="{A070BE14-4654-478E-BB19-13AEA3754873}" uniqueName="14" name="Apn" queryTableFieldId="14"/>
    <tableColumn id="15" xr3:uid="{CEC56192-7D85-4C90-BC1A-5B36D9EF021B}" uniqueName="15" name="Apx" queryTableFieldId="15"/>
    <tableColumn id="16" xr3:uid="{047366BF-4FD6-4130-90D8-BFE00A1DBE9D}" uniqueName="16" name="Ai" queryTableFieldId="16"/>
    <tableColumn id="17" xr3:uid="{DBDA5360-1ECF-40EC-91FA-E56C77205F37}" uniqueName="17" name="AB EXCESS OVER-ALLOCATION" queryTableFieldId="17"/>
    <tableColumn id="18" xr3:uid="{33A10272-44DA-4F6A-BAB2-A9F737ACA50F}" uniqueName="18" name="AB SPARE STRETCH" queryTableFieldId="18"/>
    <tableColumn id="19" xr3:uid="{ED1C37E1-5F15-422D-994C-5F021AFA15CC}" uniqueName="19" name="AB SPARE SLACK" queryTableFieldId="19"/>
    <tableColumn id="20" xr3:uid="{FCEE4271-678A-46D6-A127-3FCC3682C9B0}" uniqueName="20" name="AB SPARE STRETCH ALLOCATED" queryTableFieldId="20"/>
    <tableColumn id="21" xr3:uid="{B24ACDD6-EB9F-4FB5-8A9B-D33CB97581B7}" uniqueName="21" name="AB SPARE SLACK ALLOCATED" queryTableFieldId="21"/>
    <tableColumn id="22" xr3:uid="{69E6BE32-83C6-4EE5-AF5C-F7B6E2EC361B}" uniqueName="22" name="AB EXCESS STRETCH (ALLOCATED)" queryTableFieldId="22"/>
    <tableColumn id="23" xr3:uid="{748AF03A-A57D-4433-9CEA-EF952FABD906}" uniqueName="23" name="AB EXCESS ALLOCATED SLACK" queryTableFieldId="23"/>
    <tableColumn id="24" xr3:uid="{3C065404-1DB4-4892-99F6-6E2DD9D7727E}" uniqueName="24" name="AB EXCESS STRETCH" queryTableFieldId="24"/>
    <tableColumn id="25" xr3:uid="{EAE4BFC1-55C7-459F-AC74-E7BD3CB18F20}" uniqueName="25" name="AB EXCESS SLACK" queryTableFieldId="25"/>
    <tableColumn id="26" xr3:uid="{3C53AF78-26F7-48BC-8572-DBCBE19DEF33}" uniqueName="26" name="AB POTENTIAL SHORTFALL (OVER-ALLOCATED)" queryTableFieldId="26"/>
    <tableColumn id="27" xr3:uid="{2621335D-57D8-4680-97C7-DB0135987D3A}" uniqueName="27" name="AB POTENTIAL SHORTFALL" queryTableFieldId="27"/>
    <tableColumn id="28" xr3:uid="{5E963A65-E6EA-4356-B07A-28ACB8B1127F}" uniqueName="28" name="AB WASTED STRETCH" queryTableFieldId="28"/>
    <tableColumn id="29" xr3:uid="{5CD6EDFC-9865-45C5-9DC7-7CA4F2A11EFA}" uniqueName="29" name="AB WASTED SLACK" queryTableFieldId="29"/>
    <tableColumn id="30" xr3:uid="{934A603E-D476-497B-AE2A-4B2E5C5E812D}" uniqueName="30" name="AB ALLOCATED STRETCH" queryTableFieldId="30"/>
    <tableColumn id="31" xr3:uid="{547171A0-333D-4D5E-BDF7-380AB89D28CE}" uniqueName="31" name="AB ALLOCATED SLACK" queryTableFieldId="31"/>
    <tableColumn id="32" xr3:uid="{5CE63C77-2BCA-4AA1-BF2C-29F6DE01F5CF}" uniqueName="32" name="AB UNALLOCATED SLACK" queryTableFieldId="32"/>
    <tableColumn id="33" xr3:uid="{49277E72-2ABA-4AA5-82F1-ECD8D7C3474C}" uniqueName="33" name="AB LATENT" queryTableFieldId="33"/>
    <tableColumn id="34" xr3:uid="{1B956CB4-95D7-4EF0-89D3-4533BDCCC536}" uniqueName="34" name="AB LATENT.ALLOCATED" queryTableFieldId="34"/>
    <tableColumn id="35" xr3:uid="{22F92320-45DF-484E-A4C6-5DA0E21EC3BB}" uniqueName="35" name="AB  LATENT.OVERALLOCATED" queryTableFieldId="35"/>
    <tableColumn id="36" xr3:uid="{6BC23BFF-AA01-466D-8E41-EBC6CC03FF97}" uniqueName="36" name="AB Potential" queryTableFieldId="36"/>
    <tableColumn id="37" xr3:uid="{9DDF8AAA-E40D-4C4E-B14F-A7F61C9A79C6}" uniqueName="37" name="Epn" queryTableFieldId="37"/>
    <tableColumn id="38" xr3:uid="{D92F6933-762E-4E61-A663-D9729E3A2087}" uniqueName="38" name="EpX" queryTableFieldId="38"/>
    <tableColumn id="39" xr3:uid="{B383A118-78AD-4D12-ACE0-98AE4C0C50E6}" uniqueName="39" name="Ein" queryTableFieldId="39"/>
    <tableColumn id="40" xr3:uid="{F63E0A2F-E4C0-43B8-B41B-D331E4A0A2D8}" uniqueName="40" name="EF EXCESS OVER-ALLOCATION" queryTableFieldId="40"/>
    <tableColumn id="41" xr3:uid="{7B5A3A1E-E239-4E7F-989B-B51CDA2C2667}" uniqueName="41" name="EF SPARE STRETCH" queryTableFieldId="41"/>
    <tableColumn id="42" xr3:uid="{1BA0B331-0705-410B-B7A2-77F34A059C3F}" uniqueName="42" name="EF SPARE SLACK" queryTableFieldId="42"/>
    <tableColumn id="43" xr3:uid="{BAFE5A08-ECC2-4F6B-80CB-497593BB9BB4}" uniqueName="43" name="EF SPARE STRETCH ALLOCATED" queryTableFieldId="43"/>
    <tableColumn id="44" xr3:uid="{9A5262E8-D251-4B32-A84B-0F2E297E3D2A}" uniqueName="44" name="EF SPARE SLACK ALLOCATED" queryTableFieldId="44"/>
    <tableColumn id="45" xr3:uid="{C50860CF-0267-4F4F-A896-873DD8ABD9D3}" uniqueName="45" name="EF EXCESS STRETCH (ALLOCATED)" queryTableFieldId="45"/>
    <tableColumn id="46" xr3:uid="{DAD69095-CEF5-40E4-AAA6-2B6F337A8212}" uniqueName="46" name="EF EXCESS ALLOCATED SLACK" queryTableFieldId="46"/>
    <tableColumn id="47" xr3:uid="{A16536EA-4DC5-47B6-B02E-0963CE65931F}" uniqueName="47" name="EF EXCESS STRETCH" queryTableFieldId="47"/>
    <tableColumn id="48" xr3:uid="{296252C5-9764-4CA3-8780-950322D2B5C3}" uniqueName="48" name="EF EXCESS SLACK" queryTableFieldId="48"/>
    <tableColumn id="49" xr3:uid="{BA36F8B7-99E7-48AD-825F-1C5FD7F6C6B6}" uniqueName="49" name="EF POTENTIAL SHORTFALL (OVER-ALLOCATED)" queryTableFieldId="49"/>
    <tableColumn id="50" xr3:uid="{DBE20F44-1846-42E1-9888-9DF3923EE819}" uniqueName="50" name="EF POTENTIAL SHORTFALL" queryTableFieldId="50"/>
    <tableColumn id="51" xr3:uid="{2814D582-0BC8-4A1D-B9E7-F565DB3856EB}" uniqueName="51" name="EF WASTED STRETCH" queryTableFieldId="51"/>
    <tableColumn id="52" xr3:uid="{F94A9029-59F1-4359-8828-EC484AD2B797}" uniqueName="52" name="EF WASTED SLACK" queryTableFieldId="52"/>
    <tableColumn id="53" xr3:uid="{A263EA35-2A05-4F4C-AFC7-904C28112DE3}" uniqueName="53" name="EF ALLOCATED STRETCH" queryTableFieldId="53"/>
    <tableColumn id="54" xr3:uid="{CD7F1DFA-42F7-4118-BF41-F3948FCF43A2}" uniqueName="54" name="EF ALLOCATED SLACK" queryTableFieldId="54"/>
    <tableColumn id="55" xr3:uid="{EB11B797-BCE8-4A22-B144-08A0CC98767B}" uniqueName="55" name="EF UNALLOCATED SLACK" queryTableFieldId="55"/>
    <tableColumn id="56" xr3:uid="{7A16EB7C-53B3-4B0E-8D33-10AE424BF06C}" uniqueName="56" name="EF LATENT" queryTableFieldId="56"/>
    <tableColumn id="57" xr3:uid="{E73F6347-B1AC-4503-A429-3ACE5959E89F}" uniqueName="57" name="EF LATENT.ALLOCATED" queryTableFieldId="57"/>
    <tableColumn id="58" xr3:uid="{5A279DB7-7435-462F-A8ED-5C5F390A85CD}" uniqueName="58" name="EF LATENT.OVERALLOCATED" queryTableFieldId="58"/>
    <tableColumn id="59" xr3:uid="{2B8492B9-1869-4B93-9701-034FDE96091E}" uniqueName="59" name="EF Potential" queryTableFieldId="59"/>
    <tableColumn id="60" xr3:uid="{C4C47431-2E55-4D6F-85A9-519AA1426957}" uniqueName="60" name="Ipn" queryTableFieldId="60"/>
    <tableColumn id="61" xr3:uid="{220F05E2-2B74-4BF0-83E3-E2260337BEAD}" uniqueName="61" name="Ipx" queryTableFieldId="61"/>
    <tableColumn id="62" xr3:uid="{271E1474-003E-4659-B4D6-DF8B25D6E885}" uniqueName="62" name="Iin" queryTableFieldId="62"/>
    <tableColumn id="63" xr3:uid="{50D0DB3A-F22D-4C86-AF49-6FAB4422FF90}" uniqueName="63" name="IN EXCESS OVER-ALLOCATION" queryTableFieldId="63"/>
    <tableColumn id="64" xr3:uid="{E428E516-2B56-4E05-B528-434AB2C427C3}" uniqueName="64" name="IN SPARE STRETCH" queryTableFieldId="64"/>
    <tableColumn id="65" xr3:uid="{F0376208-F892-4D23-BBB3-699746FF6875}" uniqueName="65" name="IN SPARE SLACK" queryTableFieldId="65"/>
    <tableColumn id="66" xr3:uid="{D67D7A43-961B-48E2-B05C-7AF6AF376512}" uniqueName="66" name="IN SPARE STRETCH ALLOCATED" queryTableFieldId="66"/>
    <tableColumn id="67" xr3:uid="{5CC4EAFF-F908-4478-9A8D-4C41469DA494}" uniqueName="67" name="IN SPARE SLACK ALLOCATED" queryTableFieldId="67"/>
    <tableColumn id="68" xr3:uid="{81E0DAB2-3D88-43D0-9E2F-2AAFC7C84367}" uniqueName="68" name="IN EXCESS STRETCH (ALLOCATED)" queryTableFieldId="68"/>
    <tableColumn id="69" xr3:uid="{86D71F9D-3608-4D3C-A864-42B5F0560169}" uniqueName="69" name="IN EXCESS ALLOCATED SLACK" queryTableFieldId="69"/>
    <tableColumn id="70" xr3:uid="{DFB2D968-B641-4C6C-9307-82A1D5D0B5F6}" uniqueName="70" name="IN EXCESS STRETCH" queryTableFieldId="70"/>
    <tableColumn id="71" xr3:uid="{7253B572-874F-47A7-A8BD-29DBC56E846D}" uniqueName="71" name="IN EXCESS SLACK" queryTableFieldId="71"/>
    <tableColumn id="72" xr3:uid="{A9A1DFA9-6FA3-4107-92DC-FC5AF635C904}" uniqueName="72" name="IN POTENTIAL SHORTFALL (OVER-ALLOCATED)" queryTableFieldId="72"/>
    <tableColumn id="73" xr3:uid="{FC1CA099-6664-4011-AC5F-AF7812D5C6F4}" uniqueName="73" name="IN POTENTIAL SHORTFALL" queryTableFieldId="73"/>
    <tableColumn id="74" xr3:uid="{9BB1AAB2-C39E-4A85-9680-95B3B89ED497}" uniqueName="74" name="IN WASTED STRETCH" queryTableFieldId="74"/>
    <tableColumn id="75" xr3:uid="{E726BB19-ACAD-4B5D-AAF1-BB2715C7C6D5}" uniqueName="75" name="IN WASTED SLACK" queryTableFieldId="75"/>
    <tableColumn id="76" xr3:uid="{CB023A27-4521-42AA-83C2-89E8A8EBF9ED}" uniqueName="76" name="IN ALLOCATED STRETCH" queryTableFieldId="76"/>
    <tableColumn id="77" xr3:uid="{B310E5FD-3F0B-4E00-B822-BE45B5B7693D}" uniqueName="77" name="IN ALLOCATED SLACK" queryTableFieldId="77"/>
    <tableColumn id="78" xr3:uid="{CF9D96CE-C2B2-4360-92FC-7AC95152A5AC}" uniqueName="78" name="IN UNALLOCATED SLACK" queryTableFieldId="78"/>
    <tableColumn id="79" xr3:uid="{0641B3F0-0B18-4C5B-AD41-310D49AB597F}" uniqueName="79" name="IN LATENT" queryTableFieldId="79"/>
    <tableColumn id="80" xr3:uid="{2DAB38D8-E538-492A-83B1-92872D559224}" uniqueName="80" name="IN LATENT.ALLOCATED" queryTableFieldId="80"/>
    <tableColumn id="81" xr3:uid="{DD081863-3067-4A52-A275-5D6277C1F77B}" uniqueName="81" name="IN LATENT.OVERALLOCATED" queryTableFieldId="81"/>
    <tableColumn id="82" xr3:uid="{626EC8BA-3A2D-4A83-AF52-E33B566E740B}" uniqueName="82" name="IN Potential" queryTableFieldId="8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10F5-92B1-4E1B-8BEC-0DC6A06BC0D0}">
  <dimension ref="A1:A2"/>
  <sheetViews>
    <sheetView workbookViewId="0"/>
  </sheetViews>
  <sheetFormatPr defaultRowHeight="15" x14ac:dyDescent="0.25"/>
  <cols>
    <col min="1" max="1" width="10.42578125" customWidth="1"/>
  </cols>
  <sheetData>
    <row r="1" spans="1:1" x14ac:dyDescent="0.25">
      <c r="A1" t="s">
        <v>138</v>
      </c>
    </row>
    <row r="2" spans="1:1" x14ac:dyDescent="0.25">
      <c r="A2" t="str">
        <f ca="1">CELL("filename",A1)</f>
        <v>C:\Users\Alex\CentriNOTSYNC\ResidentialCare\CLIENT\DATExx-Whiddon\2. Calculations\[Tableau Connection.xlsx]_mcode_path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7476D-3764-416E-923D-4DC3EAEA5377}">
  <sheetPr>
    <tabColor rgb="FFFFFF00"/>
  </sheetPr>
  <dimension ref="A1:D30"/>
  <sheetViews>
    <sheetView workbookViewId="0">
      <selection activeCell="E28" sqref="E28"/>
    </sheetView>
  </sheetViews>
  <sheetFormatPr defaultColWidth="8" defaultRowHeight="12.75" x14ac:dyDescent="0.25"/>
  <cols>
    <col min="1" max="1" width="22.2851562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3" t="s">
        <v>118</v>
      </c>
      <c r="B1" s="13" t="str" cm="1">
        <f t="array" aca="1" ref="B1" ca="1">CELL("filename")</f>
        <v>C:\Users\Alex\CentriNOTSYNC\ResidentialCare\CLIENT\DATExx-Whiddon\2. Calculations\[Tableau Connection.xlsx]Masterlist</v>
      </c>
    </row>
    <row r="2" spans="1:4" x14ac:dyDescent="0.25">
      <c r="A2" s="3"/>
      <c r="B2" s="3"/>
    </row>
    <row r="3" spans="1:4" x14ac:dyDescent="0.25">
      <c r="A3" s="2" t="s">
        <v>147</v>
      </c>
      <c r="B3" s="2" t="s">
        <v>139</v>
      </c>
    </row>
    <row r="4" spans="1:4" x14ac:dyDescent="0.25">
      <c r="A4" s="2" t="s">
        <v>140</v>
      </c>
      <c r="B4" s="2" t="s">
        <v>143</v>
      </c>
    </row>
    <row r="5" spans="1:4" x14ac:dyDescent="0.25">
      <c r="A5" s="2" t="s">
        <v>148</v>
      </c>
      <c r="B5" s="2" t="s">
        <v>149</v>
      </c>
    </row>
    <row r="6" spans="1:4" x14ac:dyDescent="0.25">
      <c r="A6" s="2" t="s">
        <v>150</v>
      </c>
      <c r="B6" s="2" t="s">
        <v>151</v>
      </c>
    </row>
    <row r="7" spans="1:4" x14ac:dyDescent="0.25">
      <c r="A7" s="2" t="s">
        <v>152</v>
      </c>
      <c r="B7" s="2" t="s">
        <v>153</v>
      </c>
    </row>
    <row r="8" spans="1:4" x14ac:dyDescent="0.25">
      <c r="A8" s="2" t="s">
        <v>154</v>
      </c>
      <c r="B8" s="2" t="s">
        <v>149</v>
      </c>
    </row>
    <row r="9" spans="1:4" x14ac:dyDescent="0.25">
      <c r="A9" s="2" t="s">
        <v>141</v>
      </c>
      <c r="B9" s="2" t="s">
        <v>155</v>
      </c>
    </row>
    <row r="10" spans="1:4" x14ac:dyDescent="0.25">
      <c r="A10" s="2" t="s">
        <v>119</v>
      </c>
      <c r="B10" s="2" t="s">
        <v>142</v>
      </c>
    </row>
    <row r="11" spans="1:4" x14ac:dyDescent="0.25">
      <c r="A11" s="2" t="s">
        <v>1</v>
      </c>
      <c r="B11" s="2" t="s">
        <v>156</v>
      </c>
    </row>
    <row r="12" spans="1:4" x14ac:dyDescent="0.25">
      <c r="A12" s="2" t="s">
        <v>157</v>
      </c>
      <c r="B12" s="2" t="s">
        <v>144</v>
      </c>
      <c r="D12" s="1"/>
    </row>
    <row r="14" spans="1:4" x14ac:dyDescent="0.25">
      <c r="A14" s="3"/>
      <c r="B14" s="3"/>
    </row>
    <row r="15" spans="1:4" x14ac:dyDescent="0.25">
      <c r="A15" s="6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1"/>
      <c r="B23" s="1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05E76-4232-416E-A92B-276F741697A3}">
  <dimension ref="A7:D42"/>
  <sheetViews>
    <sheetView workbookViewId="0">
      <selection activeCell="B9" sqref="B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118</v>
      </c>
      <c r="B9" s="3" t="str" cm="1">
        <f t="array" aca="1" ref="B9" ca="1">CELL("filename",E16)</f>
        <v>C:\Users\Alex\CentriNOTSYNC\ResidentialCare\CLIENT\DATExx-Whiddon\2. Calculations\[Tableau Connection.xlsx]FILEPATH</v>
      </c>
    </row>
    <row r="10" spans="1:4" x14ac:dyDescent="0.25">
      <c r="A10" s="3"/>
      <c r="B10" s="3"/>
    </row>
    <row r="11" spans="1:4" x14ac:dyDescent="0.25">
      <c r="A11" s="6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119</v>
      </c>
      <c r="B14" s="4" t="str">
        <f>[4]Computerpath!$B$20</f>
        <v>C:\Users\Alex\Centri\4. Production - Documents\WFEffectiveness\4.1.1 AGED CARE\01 Christadelphian Aged Care\240715</v>
      </c>
      <c r="D14" s="2" t="s">
        <v>123</v>
      </c>
    </row>
    <row r="15" spans="1:4" x14ac:dyDescent="0.25">
      <c r="A15" s="3" t="s">
        <v>124</v>
      </c>
      <c r="B15" s="3" t="e" cm="1">
        <f t="array" aca="1" ref="B15" ca="1">LEFT(CELL("filename",B9),FIND(Client,CELL("filename",B9),1)-1)</f>
        <v>#VALUE!</v>
      </c>
      <c r="C15" s="7" t="e">
        <f ca="1">LEN(B15)</f>
        <v>#VALUE!</v>
      </c>
    </row>
    <row r="16" spans="1:4" x14ac:dyDescent="0.25">
      <c r="C16" s="7"/>
    </row>
    <row r="17" spans="1:4" x14ac:dyDescent="0.25">
      <c r="C17" s="7"/>
    </row>
    <row r="18" spans="1:4" x14ac:dyDescent="0.25">
      <c r="A18" s="4" t="s">
        <v>122</v>
      </c>
      <c r="B18" s="4" t="str">
        <f>Client</f>
        <v>C:\Users\Alex\Centri\4. Production - Documents\WFEffectiveness\4.1.1 AGED CARE\01 Christadelphian Aged Care\240715</v>
      </c>
      <c r="C18" s="7">
        <f>LEN(B14)</f>
        <v>114</v>
      </c>
      <c r="D18" s="2" t="s">
        <v>123</v>
      </c>
    </row>
    <row r="19" spans="1:4" x14ac:dyDescent="0.25">
      <c r="A19" s="1" t="s">
        <v>120</v>
      </c>
      <c r="B19" s="1" t="s">
        <v>121</v>
      </c>
      <c r="C19" s="8">
        <f>LEN(B19)</f>
        <v>11</v>
      </c>
      <c r="D19" s="2" t="s">
        <v>125</v>
      </c>
    </row>
    <row r="20" spans="1:4" x14ac:dyDescent="0.25">
      <c r="C20" s="7" t="e">
        <f ca="1">SUM(C15:C19)</f>
        <v>#VALUE!</v>
      </c>
    </row>
    <row r="21" spans="1:4" x14ac:dyDescent="0.25">
      <c r="A21" s="2" t="s">
        <v>114</v>
      </c>
      <c r="C21" s="7"/>
    </row>
    <row r="22" spans="1:4" x14ac:dyDescent="0.25">
      <c r="A22" s="2" t="s">
        <v>1</v>
      </c>
      <c r="B22" s="5"/>
      <c r="C22" s="7"/>
    </row>
    <row r="23" spans="1:4" x14ac:dyDescent="0.25">
      <c r="D23" s="2" t="s">
        <v>126</v>
      </c>
    </row>
    <row r="25" spans="1:4" x14ac:dyDescent="0.25">
      <c r="B25" s="2" t="s">
        <v>111</v>
      </c>
    </row>
    <row r="26" spans="1:4" x14ac:dyDescent="0.25">
      <c r="B26" s="5" t="str">
        <f>$B$18&amp;"\"&amp;B21</f>
        <v>C:\Users\Alex\Centri\4. Production - Documents\WFEffectiveness\4.1.1 AGED CARE\01 Christadelphian Aged Care\240715\</v>
      </c>
    </row>
    <row r="28" spans="1:4" x14ac:dyDescent="0.25">
      <c r="B28" s="9"/>
    </row>
    <row r="39" spans="2:2" x14ac:dyDescent="0.25">
      <c r="B39" s="2" t="s">
        <v>130</v>
      </c>
    </row>
    <row r="40" spans="2:2" x14ac:dyDescent="0.25">
      <c r="B40" s="2">
        <f>B42-B41</f>
        <v>27</v>
      </c>
    </row>
    <row r="41" spans="2:2" ht="15" x14ac:dyDescent="0.25">
      <c r="B41" s="10">
        <v>45096</v>
      </c>
    </row>
    <row r="42" spans="2:2" ht="15" x14ac:dyDescent="0.25">
      <c r="B42" s="11">
        <v>45123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45C9-80F4-46CD-B6AA-8FDE3F47F68F}">
  <dimension ref="A1:A2"/>
  <sheetViews>
    <sheetView workbookViewId="0">
      <selection sqref="A1:A2"/>
    </sheetView>
  </sheetViews>
  <sheetFormatPr defaultRowHeight="15" x14ac:dyDescent="0.25"/>
  <cols>
    <col min="1" max="1" width="16.85546875" bestFit="1" customWidth="1"/>
  </cols>
  <sheetData>
    <row r="1" spans="1:1" x14ac:dyDescent="0.25">
      <c r="A1" t="s">
        <v>130</v>
      </c>
    </row>
    <row r="2" spans="1:1" x14ac:dyDescent="0.25">
      <c r="A2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48CC-FE8D-4D5F-B7C9-2F681BA344E1}">
  <dimension ref="A1:U121"/>
  <sheetViews>
    <sheetView tabSelected="1" workbookViewId="0">
      <selection activeCell="AC8" sqref="AC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147</v>
      </c>
      <c r="B1" t="s">
        <v>79</v>
      </c>
      <c r="C1" t="s">
        <v>242</v>
      </c>
      <c r="D1" t="s">
        <v>243</v>
      </c>
      <c r="E1" t="s">
        <v>366</v>
      </c>
      <c r="F1" t="s">
        <v>367</v>
      </c>
      <c r="G1" t="s">
        <v>368</v>
      </c>
      <c r="H1" t="s">
        <v>369</v>
      </c>
      <c r="I1" t="s">
        <v>370</v>
      </c>
      <c r="J1" t="s">
        <v>371</v>
      </c>
      <c r="K1" t="s">
        <v>372</v>
      </c>
      <c r="L1" t="s">
        <v>373</v>
      </c>
      <c r="M1" t="s">
        <v>374</v>
      </c>
      <c r="N1" t="s">
        <v>375</v>
      </c>
      <c r="O1" t="s">
        <v>376</v>
      </c>
      <c r="P1" t="s">
        <v>377</v>
      </c>
      <c r="Q1" t="s">
        <v>378</v>
      </c>
      <c r="R1" t="s">
        <v>379</v>
      </c>
      <c r="S1" t="s">
        <v>380</v>
      </c>
      <c r="T1" t="s">
        <v>381</v>
      </c>
      <c r="U1" t="s">
        <v>382</v>
      </c>
    </row>
    <row r="2" spans="1:21" x14ac:dyDescent="0.25">
      <c r="A2" t="s">
        <v>365</v>
      </c>
      <c r="B2" t="s">
        <v>134</v>
      </c>
      <c r="C2">
        <v>1</v>
      </c>
      <c r="D2" t="s">
        <v>356</v>
      </c>
      <c r="E2" t="s">
        <v>383</v>
      </c>
      <c r="F2" t="s">
        <v>384</v>
      </c>
      <c r="G2" t="s">
        <v>385</v>
      </c>
      <c r="H2" t="s">
        <v>386</v>
      </c>
      <c r="I2" t="s">
        <v>134</v>
      </c>
      <c r="J2" t="s">
        <v>387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388</v>
      </c>
    </row>
    <row r="3" spans="1:21" x14ac:dyDescent="0.25">
      <c r="A3" t="s">
        <v>302</v>
      </c>
      <c r="B3" t="s">
        <v>134</v>
      </c>
      <c r="C3">
        <v>2</v>
      </c>
      <c r="E3" t="s">
        <v>383</v>
      </c>
      <c r="F3" t="s">
        <v>389</v>
      </c>
      <c r="G3" t="s">
        <v>385</v>
      </c>
      <c r="H3" t="s">
        <v>390</v>
      </c>
      <c r="I3" t="s">
        <v>134</v>
      </c>
      <c r="J3" t="s">
        <v>387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391</v>
      </c>
    </row>
    <row r="4" spans="1:21" x14ac:dyDescent="0.25">
      <c r="A4" t="s">
        <v>301</v>
      </c>
      <c r="B4" t="s">
        <v>136</v>
      </c>
      <c r="C4">
        <v>3</v>
      </c>
      <c r="E4" t="s">
        <v>383</v>
      </c>
      <c r="F4" t="s">
        <v>392</v>
      </c>
      <c r="G4" t="s">
        <v>385</v>
      </c>
      <c r="H4" t="s">
        <v>386</v>
      </c>
      <c r="I4" t="s">
        <v>136</v>
      </c>
      <c r="J4" t="s">
        <v>387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388</v>
      </c>
    </row>
    <row r="5" spans="1:21" x14ac:dyDescent="0.25">
      <c r="A5" t="s">
        <v>300</v>
      </c>
      <c r="B5" t="s">
        <v>134</v>
      </c>
      <c r="C5">
        <v>4</v>
      </c>
      <c r="E5" t="s">
        <v>383</v>
      </c>
      <c r="F5" t="s">
        <v>393</v>
      </c>
      <c r="G5" t="s">
        <v>385</v>
      </c>
      <c r="H5" t="s">
        <v>386</v>
      </c>
      <c r="I5" t="s">
        <v>134</v>
      </c>
      <c r="J5" t="s">
        <v>387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388</v>
      </c>
    </row>
    <row r="6" spans="1:21" x14ac:dyDescent="0.25">
      <c r="A6" t="s">
        <v>299</v>
      </c>
      <c r="B6" t="s">
        <v>134</v>
      </c>
      <c r="C6">
        <v>5</v>
      </c>
      <c r="E6" t="s">
        <v>383</v>
      </c>
      <c r="F6" t="s">
        <v>394</v>
      </c>
      <c r="G6" t="s">
        <v>385</v>
      </c>
      <c r="H6" t="s">
        <v>386</v>
      </c>
      <c r="I6" t="s">
        <v>134</v>
      </c>
      <c r="J6" t="s">
        <v>387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388</v>
      </c>
    </row>
    <row r="7" spans="1:21" x14ac:dyDescent="0.25">
      <c r="A7" t="s">
        <v>298</v>
      </c>
      <c r="B7" t="s">
        <v>134</v>
      </c>
      <c r="C7">
        <v>6</v>
      </c>
      <c r="E7" t="s">
        <v>383</v>
      </c>
      <c r="F7" t="s">
        <v>395</v>
      </c>
      <c r="G7" t="s">
        <v>385</v>
      </c>
      <c r="H7" t="s">
        <v>396</v>
      </c>
      <c r="I7" t="s">
        <v>134</v>
      </c>
      <c r="J7" t="s">
        <v>387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397</v>
      </c>
    </row>
    <row r="8" spans="1:21" x14ac:dyDescent="0.25">
      <c r="A8" t="s">
        <v>297</v>
      </c>
      <c r="B8" t="s">
        <v>136</v>
      </c>
      <c r="C8">
        <v>7</v>
      </c>
      <c r="E8" t="s">
        <v>383</v>
      </c>
      <c r="F8" t="s">
        <v>398</v>
      </c>
      <c r="G8" t="s">
        <v>385</v>
      </c>
      <c r="H8" t="s">
        <v>386</v>
      </c>
      <c r="I8" t="s">
        <v>136</v>
      </c>
      <c r="J8" t="s">
        <v>387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388</v>
      </c>
    </row>
    <row r="9" spans="1:21" x14ac:dyDescent="0.25">
      <c r="A9" t="s">
        <v>296</v>
      </c>
      <c r="B9" t="s">
        <v>136</v>
      </c>
      <c r="C9">
        <v>8</v>
      </c>
      <c r="E9" t="s">
        <v>383</v>
      </c>
      <c r="F9" t="s">
        <v>399</v>
      </c>
      <c r="G9" t="s">
        <v>385</v>
      </c>
      <c r="H9" t="s">
        <v>386</v>
      </c>
      <c r="I9" t="s">
        <v>136</v>
      </c>
      <c r="J9" t="s">
        <v>387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388</v>
      </c>
    </row>
    <row r="10" spans="1:21" x14ac:dyDescent="0.25">
      <c r="A10" t="s">
        <v>295</v>
      </c>
      <c r="B10" t="s">
        <v>134</v>
      </c>
      <c r="C10">
        <v>9</v>
      </c>
      <c r="E10" t="s">
        <v>383</v>
      </c>
      <c r="F10" t="s">
        <v>400</v>
      </c>
      <c r="G10" t="s">
        <v>385</v>
      </c>
      <c r="H10" t="s">
        <v>390</v>
      </c>
      <c r="I10" t="s">
        <v>134</v>
      </c>
      <c r="J10" t="s">
        <v>387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391</v>
      </c>
    </row>
    <row r="11" spans="1:21" x14ac:dyDescent="0.25">
      <c r="A11" t="s">
        <v>294</v>
      </c>
      <c r="B11" t="s">
        <v>134</v>
      </c>
      <c r="C11">
        <v>10</v>
      </c>
      <c r="E11" t="s">
        <v>383</v>
      </c>
      <c r="F11" t="s">
        <v>401</v>
      </c>
      <c r="G11" t="s">
        <v>385</v>
      </c>
      <c r="H11" t="s">
        <v>386</v>
      </c>
      <c r="I11" t="s">
        <v>134</v>
      </c>
      <c r="J11" t="s">
        <v>387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388</v>
      </c>
    </row>
    <row r="12" spans="1:21" x14ac:dyDescent="0.25">
      <c r="A12" t="s">
        <v>293</v>
      </c>
      <c r="B12" t="s">
        <v>136</v>
      </c>
      <c r="C12">
        <v>11</v>
      </c>
      <c r="E12" t="s">
        <v>383</v>
      </c>
      <c r="F12" t="s">
        <v>402</v>
      </c>
      <c r="G12" t="s">
        <v>385</v>
      </c>
      <c r="H12" t="s">
        <v>386</v>
      </c>
      <c r="I12" t="s">
        <v>136</v>
      </c>
      <c r="J12" t="s">
        <v>387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388</v>
      </c>
    </row>
    <row r="13" spans="1:21" x14ac:dyDescent="0.25">
      <c r="A13" t="s">
        <v>292</v>
      </c>
      <c r="B13" t="s">
        <v>134</v>
      </c>
      <c r="C13">
        <v>12</v>
      </c>
      <c r="E13" t="s">
        <v>383</v>
      </c>
      <c r="F13" t="s">
        <v>403</v>
      </c>
      <c r="G13" t="s">
        <v>385</v>
      </c>
      <c r="H13" t="s">
        <v>386</v>
      </c>
      <c r="I13" t="s">
        <v>134</v>
      </c>
      <c r="J13" t="s">
        <v>387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388</v>
      </c>
    </row>
    <row r="14" spans="1:21" x14ac:dyDescent="0.25">
      <c r="A14" t="s">
        <v>291</v>
      </c>
      <c r="B14" t="s">
        <v>134</v>
      </c>
      <c r="C14">
        <v>13</v>
      </c>
      <c r="E14" t="s">
        <v>383</v>
      </c>
      <c r="F14" t="s">
        <v>404</v>
      </c>
      <c r="G14" t="s">
        <v>385</v>
      </c>
      <c r="H14" t="s">
        <v>386</v>
      </c>
      <c r="I14" t="s">
        <v>134</v>
      </c>
      <c r="J14" t="s">
        <v>387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388</v>
      </c>
    </row>
    <row r="15" spans="1:21" x14ac:dyDescent="0.25">
      <c r="A15" t="s">
        <v>290</v>
      </c>
      <c r="B15" t="s">
        <v>136</v>
      </c>
      <c r="C15">
        <v>14</v>
      </c>
      <c r="E15" t="s">
        <v>383</v>
      </c>
      <c r="F15" t="s">
        <v>405</v>
      </c>
      <c r="G15" t="s">
        <v>385</v>
      </c>
      <c r="H15" t="s">
        <v>386</v>
      </c>
      <c r="I15" t="s">
        <v>136</v>
      </c>
      <c r="J15" t="s">
        <v>387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388</v>
      </c>
    </row>
    <row r="16" spans="1:21" x14ac:dyDescent="0.25">
      <c r="A16" t="s">
        <v>289</v>
      </c>
      <c r="B16" t="s">
        <v>134</v>
      </c>
      <c r="C16">
        <v>15</v>
      </c>
      <c r="E16" t="s">
        <v>383</v>
      </c>
      <c r="F16" t="s">
        <v>406</v>
      </c>
      <c r="G16" t="s">
        <v>385</v>
      </c>
      <c r="H16" t="s">
        <v>386</v>
      </c>
      <c r="I16" t="s">
        <v>134</v>
      </c>
      <c r="J16" t="s">
        <v>387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388</v>
      </c>
    </row>
    <row r="17" spans="1:21" x14ac:dyDescent="0.25">
      <c r="A17" t="s">
        <v>288</v>
      </c>
      <c r="B17" t="s">
        <v>134</v>
      </c>
      <c r="C17">
        <v>16</v>
      </c>
      <c r="E17" t="s">
        <v>383</v>
      </c>
      <c r="F17" t="s">
        <v>407</v>
      </c>
      <c r="G17" t="s">
        <v>385</v>
      </c>
      <c r="H17" t="s">
        <v>390</v>
      </c>
      <c r="I17" t="s">
        <v>134</v>
      </c>
      <c r="J17" t="s">
        <v>387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391</v>
      </c>
    </row>
    <row r="18" spans="1:21" x14ac:dyDescent="0.25">
      <c r="A18" t="s">
        <v>287</v>
      </c>
      <c r="B18" t="s">
        <v>134</v>
      </c>
      <c r="C18">
        <v>17</v>
      </c>
      <c r="E18" t="s">
        <v>383</v>
      </c>
      <c r="F18" t="s">
        <v>408</v>
      </c>
      <c r="G18" t="s">
        <v>385</v>
      </c>
      <c r="H18" t="s">
        <v>386</v>
      </c>
      <c r="I18" t="s">
        <v>134</v>
      </c>
      <c r="J18" t="s">
        <v>387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388</v>
      </c>
    </row>
    <row r="19" spans="1:21" x14ac:dyDescent="0.25">
      <c r="A19" t="s">
        <v>286</v>
      </c>
      <c r="B19" t="s">
        <v>136</v>
      </c>
      <c r="C19">
        <v>18</v>
      </c>
      <c r="E19" t="s">
        <v>383</v>
      </c>
      <c r="F19" t="s">
        <v>409</v>
      </c>
      <c r="G19" t="s">
        <v>385</v>
      </c>
      <c r="H19" t="s">
        <v>386</v>
      </c>
      <c r="I19" t="s">
        <v>136</v>
      </c>
      <c r="J19" t="s">
        <v>387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388</v>
      </c>
    </row>
    <row r="20" spans="1:21" x14ac:dyDescent="0.25">
      <c r="A20" t="s">
        <v>303</v>
      </c>
      <c r="B20" t="s">
        <v>134</v>
      </c>
      <c r="C20">
        <v>19</v>
      </c>
      <c r="E20" t="s">
        <v>383</v>
      </c>
      <c r="F20" t="s">
        <v>410</v>
      </c>
      <c r="G20" t="s">
        <v>385</v>
      </c>
      <c r="H20" t="s">
        <v>386</v>
      </c>
      <c r="I20" t="s">
        <v>134</v>
      </c>
      <c r="J20" t="s">
        <v>387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388</v>
      </c>
    </row>
    <row r="21" spans="1:21" x14ac:dyDescent="0.25">
      <c r="A21" t="s">
        <v>305</v>
      </c>
      <c r="B21" t="s">
        <v>134</v>
      </c>
      <c r="C21">
        <v>20</v>
      </c>
      <c r="E21" t="s">
        <v>383</v>
      </c>
      <c r="F21" t="s">
        <v>411</v>
      </c>
      <c r="G21" t="s">
        <v>385</v>
      </c>
      <c r="H21" t="s">
        <v>386</v>
      </c>
      <c r="I21" t="s">
        <v>134</v>
      </c>
      <c r="J21" t="s">
        <v>387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388</v>
      </c>
    </row>
    <row r="22" spans="1:21" x14ac:dyDescent="0.25">
      <c r="A22" t="s">
        <v>363</v>
      </c>
      <c r="B22" t="s">
        <v>134</v>
      </c>
      <c r="C22">
        <v>21</v>
      </c>
      <c r="D22" t="s">
        <v>356</v>
      </c>
      <c r="E22" t="s">
        <v>383</v>
      </c>
      <c r="F22" t="s">
        <v>412</v>
      </c>
      <c r="G22" t="s">
        <v>385</v>
      </c>
      <c r="H22" t="s">
        <v>386</v>
      </c>
      <c r="I22" t="s">
        <v>134</v>
      </c>
      <c r="J22" t="s">
        <v>387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388</v>
      </c>
    </row>
    <row r="23" spans="1:21" x14ac:dyDescent="0.25">
      <c r="A23" t="s">
        <v>306</v>
      </c>
      <c r="B23" t="s">
        <v>134</v>
      </c>
      <c r="C23">
        <v>22</v>
      </c>
      <c r="E23" t="s">
        <v>383</v>
      </c>
      <c r="F23" t="s">
        <v>413</v>
      </c>
      <c r="G23" t="s">
        <v>385</v>
      </c>
      <c r="H23" t="s">
        <v>386</v>
      </c>
      <c r="I23" t="s">
        <v>134</v>
      </c>
      <c r="J23" t="s">
        <v>387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388</v>
      </c>
    </row>
    <row r="24" spans="1:21" x14ac:dyDescent="0.25">
      <c r="A24" t="s">
        <v>320</v>
      </c>
      <c r="B24" t="s">
        <v>136</v>
      </c>
      <c r="C24">
        <v>23</v>
      </c>
      <c r="E24" t="s">
        <v>383</v>
      </c>
      <c r="F24" t="s">
        <v>414</v>
      </c>
      <c r="G24" t="s">
        <v>385</v>
      </c>
      <c r="H24" t="s">
        <v>386</v>
      </c>
      <c r="I24" t="s">
        <v>136</v>
      </c>
      <c r="J24" t="s">
        <v>387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388</v>
      </c>
    </row>
    <row r="25" spans="1:21" x14ac:dyDescent="0.25">
      <c r="A25" t="s">
        <v>319</v>
      </c>
      <c r="B25" t="s">
        <v>134</v>
      </c>
      <c r="C25">
        <v>24</v>
      </c>
      <c r="E25" t="s">
        <v>383</v>
      </c>
      <c r="F25" t="s">
        <v>415</v>
      </c>
      <c r="G25" t="s">
        <v>385</v>
      </c>
      <c r="H25" t="s">
        <v>386</v>
      </c>
      <c r="I25" t="s">
        <v>134</v>
      </c>
      <c r="J25" t="s">
        <v>387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388</v>
      </c>
    </row>
    <row r="26" spans="1:21" x14ac:dyDescent="0.25">
      <c r="A26" t="s">
        <v>318</v>
      </c>
      <c r="B26" t="s">
        <v>134</v>
      </c>
      <c r="C26">
        <v>25</v>
      </c>
      <c r="E26" t="s">
        <v>383</v>
      </c>
      <c r="F26" t="s">
        <v>416</v>
      </c>
      <c r="G26" t="s">
        <v>385</v>
      </c>
      <c r="H26" t="s">
        <v>386</v>
      </c>
      <c r="I26" t="s">
        <v>134</v>
      </c>
      <c r="J26" t="s">
        <v>387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388</v>
      </c>
    </row>
    <row r="27" spans="1:21" x14ac:dyDescent="0.25">
      <c r="A27" t="s">
        <v>317</v>
      </c>
      <c r="B27" t="s">
        <v>134</v>
      </c>
      <c r="C27">
        <v>26</v>
      </c>
      <c r="E27" t="s">
        <v>383</v>
      </c>
      <c r="F27" t="s">
        <v>417</v>
      </c>
      <c r="G27" t="s">
        <v>385</v>
      </c>
      <c r="H27" t="s">
        <v>386</v>
      </c>
      <c r="I27" t="s">
        <v>134</v>
      </c>
      <c r="J27" t="s">
        <v>387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388</v>
      </c>
    </row>
    <row r="28" spans="1:21" x14ac:dyDescent="0.25">
      <c r="A28" t="s">
        <v>316</v>
      </c>
      <c r="B28" t="s">
        <v>134</v>
      </c>
      <c r="C28">
        <v>27</v>
      </c>
      <c r="E28" t="s">
        <v>383</v>
      </c>
      <c r="F28" t="s">
        <v>418</v>
      </c>
      <c r="G28" t="s">
        <v>385</v>
      </c>
      <c r="H28" t="s">
        <v>386</v>
      </c>
      <c r="I28" t="s">
        <v>134</v>
      </c>
      <c r="J28" t="s">
        <v>387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388</v>
      </c>
    </row>
    <row r="29" spans="1:21" x14ac:dyDescent="0.25">
      <c r="A29" t="s">
        <v>315</v>
      </c>
      <c r="B29" t="s">
        <v>134</v>
      </c>
      <c r="C29">
        <v>28</v>
      </c>
      <c r="E29" t="s">
        <v>383</v>
      </c>
      <c r="F29" t="s">
        <v>419</v>
      </c>
      <c r="G29" t="s">
        <v>385</v>
      </c>
      <c r="H29" t="s">
        <v>386</v>
      </c>
      <c r="I29" t="s">
        <v>134</v>
      </c>
      <c r="J29" t="s">
        <v>387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388</v>
      </c>
    </row>
    <row r="30" spans="1:21" x14ac:dyDescent="0.25">
      <c r="A30" t="s">
        <v>321</v>
      </c>
      <c r="B30" t="s">
        <v>134</v>
      </c>
      <c r="C30">
        <v>29</v>
      </c>
      <c r="E30" t="s">
        <v>383</v>
      </c>
      <c r="F30" t="s">
        <v>420</v>
      </c>
      <c r="G30" t="s">
        <v>385</v>
      </c>
      <c r="H30" t="s">
        <v>386</v>
      </c>
      <c r="I30" t="s">
        <v>134</v>
      </c>
      <c r="J30" t="s">
        <v>387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388</v>
      </c>
    </row>
    <row r="31" spans="1:21" x14ac:dyDescent="0.25">
      <c r="A31" t="s">
        <v>313</v>
      </c>
      <c r="B31" t="s">
        <v>134</v>
      </c>
      <c r="C31">
        <v>30</v>
      </c>
      <c r="E31" t="s">
        <v>383</v>
      </c>
      <c r="F31" t="s">
        <v>421</v>
      </c>
      <c r="G31" t="s">
        <v>385</v>
      </c>
      <c r="H31" t="s">
        <v>386</v>
      </c>
      <c r="I31" t="s">
        <v>134</v>
      </c>
      <c r="J31" t="s">
        <v>387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388</v>
      </c>
    </row>
    <row r="32" spans="1:21" x14ac:dyDescent="0.25">
      <c r="A32" t="s">
        <v>314</v>
      </c>
      <c r="B32" t="s">
        <v>134</v>
      </c>
      <c r="C32">
        <v>31</v>
      </c>
      <c r="E32" t="s">
        <v>383</v>
      </c>
      <c r="F32" t="s">
        <v>422</v>
      </c>
      <c r="G32" t="s">
        <v>385</v>
      </c>
      <c r="H32" t="s">
        <v>386</v>
      </c>
      <c r="I32" t="s">
        <v>134</v>
      </c>
      <c r="J32" t="s">
        <v>387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388</v>
      </c>
    </row>
    <row r="33" spans="1:21" x14ac:dyDescent="0.25">
      <c r="A33" t="s">
        <v>362</v>
      </c>
      <c r="B33" t="s">
        <v>134</v>
      </c>
      <c r="C33">
        <v>32</v>
      </c>
      <c r="D33" t="s">
        <v>356</v>
      </c>
      <c r="E33" t="s">
        <v>383</v>
      </c>
      <c r="F33" t="s">
        <v>423</v>
      </c>
      <c r="G33" t="s">
        <v>385</v>
      </c>
      <c r="H33" t="s">
        <v>386</v>
      </c>
      <c r="I33" t="s">
        <v>134</v>
      </c>
      <c r="J33" t="s">
        <v>387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388</v>
      </c>
    </row>
    <row r="34" spans="1:21" x14ac:dyDescent="0.25">
      <c r="A34" t="s">
        <v>312</v>
      </c>
      <c r="B34" t="s">
        <v>136</v>
      </c>
      <c r="C34">
        <v>33</v>
      </c>
      <c r="E34" t="s">
        <v>383</v>
      </c>
      <c r="F34" t="s">
        <v>424</v>
      </c>
      <c r="G34" t="s">
        <v>385</v>
      </c>
      <c r="H34" t="s">
        <v>386</v>
      </c>
      <c r="I34" t="s">
        <v>136</v>
      </c>
      <c r="J34" t="s">
        <v>387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388</v>
      </c>
    </row>
    <row r="35" spans="1:21" x14ac:dyDescent="0.25">
      <c r="A35" t="s">
        <v>361</v>
      </c>
      <c r="B35" t="s">
        <v>136</v>
      </c>
      <c r="C35">
        <v>34</v>
      </c>
      <c r="D35" t="s">
        <v>356</v>
      </c>
      <c r="E35" t="s">
        <v>383</v>
      </c>
      <c r="F35" t="s">
        <v>425</v>
      </c>
      <c r="G35" t="s">
        <v>385</v>
      </c>
      <c r="H35" t="s">
        <v>386</v>
      </c>
      <c r="I35" t="s">
        <v>136</v>
      </c>
      <c r="J35" t="s">
        <v>387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388</v>
      </c>
    </row>
    <row r="36" spans="1:21" x14ac:dyDescent="0.25">
      <c r="A36" t="s">
        <v>310</v>
      </c>
      <c r="B36" t="s">
        <v>136</v>
      </c>
      <c r="C36">
        <v>35</v>
      </c>
      <c r="E36" t="s">
        <v>383</v>
      </c>
      <c r="F36" t="s">
        <v>426</v>
      </c>
      <c r="G36" t="s">
        <v>385</v>
      </c>
      <c r="H36" t="s">
        <v>386</v>
      </c>
      <c r="I36" t="s">
        <v>136</v>
      </c>
      <c r="J36" t="s">
        <v>387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388</v>
      </c>
    </row>
    <row r="37" spans="1:21" x14ac:dyDescent="0.25">
      <c r="A37" t="s">
        <v>309</v>
      </c>
      <c r="B37" t="s">
        <v>134</v>
      </c>
      <c r="C37">
        <v>36</v>
      </c>
      <c r="E37" t="s">
        <v>383</v>
      </c>
      <c r="F37" t="s">
        <v>427</v>
      </c>
      <c r="G37" t="s">
        <v>385</v>
      </c>
      <c r="H37" t="s">
        <v>386</v>
      </c>
      <c r="I37" t="s">
        <v>134</v>
      </c>
      <c r="J37" t="s">
        <v>387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388</v>
      </c>
    </row>
    <row r="38" spans="1:21" x14ac:dyDescent="0.25">
      <c r="A38" t="s">
        <v>308</v>
      </c>
      <c r="B38" t="s">
        <v>134</v>
      </c>
      <c r="C38">
        <v>37</v>
      </c>
      <c r="E38" t="s">
        <v>383</v>
      </c>
      <c r="F38" t="s">
        <v>428</v>
      </c>
      <c r="G38" t="s">
        <v>385</v>
      </c>
      <c r="H38" t="s">
        <v>390</v>
      </c>
      <c r="I38" t="s">
        <v>134</v>
      </c>
      <c r="J38" t="s">
        <v>387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391</v>
      </c>
    </row>
    <row r="39" spans="1:21" x14ac:dyDescent="0.25">
      <c r="A39" t="s">
        <v>307</v>
      </c>
      <c r="B39" t="s">
        <v>134</v>
      </c>
      <c r="C39">
        <v>38</v>
      </c>
      <c r="E39" t="s">
        <v>383</v>
      </c>
      <c r="F39" t="s">
        <v>429</v>
      </c>
      <c r="G39" t="s">
        <v>385</v>
      </c>
      <c r="H39" t="s">
        <v>386</v>
      </c>
      <c r="I39" t="s">
        <v>134</v>
      </c>
      <c r="J39" t="s">
        <v>387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388</v>
      </c>
    </row>
    <row r="40" spans="1:21" x14ac:dyDescent="0.25">
      <c r="A40" t="s">
        <v>285</v>
      </c>
      <c r="B40" t="s">
        <v>136</v>
      </c>
      <c r="C40">
        <v>39</v>
      </c>
      <c r="E40" t="s">
        <v>383</v>
      </c>
      <c r="F40" t="s">
        <v>430</v>
      </c>
      <c r="G40" t="s">
        <v>385</v>
      </c>
      <c r="H40" t="s">
        <v>390</v>
      </c>
      <c r="I40" t="s">
        <v>136</v>
      </c>
      <c r="J40" t="s">
        <v>387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391</v>
      </c>
    </row>
    <row r="41" spans="1:21" x14ac:dyDescent="0.25">
      <c r="A41" t="s">
        <v>304</v>
      </c>
      <c r="B41" t="s">
        <v>134</v>
      </c>
      <c r="C41">
        <v>40</v>
      </c>
      <c r="E41" t="s">
        <v>383</v>
      </c>
      <c r="F41" t="s">
        <v>431</v>
      </c>
      <c r="G41" t="s">
        <v>385</v>
      </c>
      <c r="H41" t="s">
        <v>386</v>
      </c>
      <c r="I41" t="s">
        <v>134</v>
      </c>
      <c r="J41" t="s">
        <v>387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388</v>
      </c>
    </row>
    <row r="42" spans="1:21" x14ac:dyDescent="0.25">
      <c r="A42" t="s">
        <v>284</v>
      </c>
      <c r="B42" t="s">
        <v>134</v>
      </c>
      <c r="C42">
        <v>41</v>
      </c>
      <c r="E42" t="s">
        <v>383</v>
      </c>
      <c r="F42" t="s">
        <v>432</v>
      </c>
      <c r="G42" t="s">
        <v>385</v>
      </c>
      <c r="H42" t="s">
        <v>386</v>
      </c>
      <c r="I42" t="s">
        <v>134</v>
      </c>
      <c r="J42" t="s">
        <v>387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388</v>
      </c>
    </row>
    <row r="43" spans="1:21" x14ac:dyDescent="0.25">
      <c r="A43" t="s">
        <v>282</v>
      </c>
      <c r="B43" t="s">
        <v>134</v>
      </c>
      <c r="C43">
        <v>42</v>
      </c>
      <c r="E43" t="s">
        <v>383</v>
      </c>
      <c r="F43" t="s">
        <v>433</v>
      </c>
      <c r="G43" t="s">
        <v>385</v>
      </c>
      <c r="H43" t="s">
        <v>386</v>
      </c>
      <c r="I43" t="s">
        <v>134</v>
      </c>
      <c r="J43" t="s">
        <v>387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388</v>
      </c>
    </row>
    <row r="44" spans="1:21" x14ac:dyDescent="0.25">
      <c r="A44" t="s">
        <v>260</v>
      </c>
      <c r="B44" t="s">
        <v>134</v>
      </c>
      <c r="C44">
        <v>43</v>
      </c>
      <c r="E44" t="s">
        <v>383</v>
      </c>
      <c r="F44" t="s">
        <v>434</v>
      </c>
      <c r="G44" t="s">
        <v>385</v>
      </c>
      <c r="H44" t="s">
        <v>390</v>
      </c>
      <c r="I44" t="s">
        <v>134</v>
      </c>
      <c r="J44" t="s">
        <v>387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391</v>
      </c>
    </row>
    <row r="45" spans="1:21" x14ac:dyDescent="0.25">
      <c r="A45" t="s">
        <v>259</v>
      </c>
      <c r="B45" t="s">
        <v>134</v>
      </c>
      <c r="C45">
        <v>44</v>
      </c>
      <c r="E45" t="s">
        <v>383</v>
      </c>
      <c r="F45" t="s">
        <v>435</v>
      </c>
      <c r="G45" t="s">
        <v>385</v>
      </c>
      <c r="H45" t="s">
        <v>386</v>
      </c>
      <c r="I45" t="s">
        <v>134</v>
      </c>
      <c r="J45" t="s">
        <v>387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388</v>
      </c>
    </row>
    <row r="46" spans="1:21" x14ac:dyDescent="0.25">
      <c r="A46" t="s">
        <v>258</v>
      </c>
      <c r="B46" t="s">
        <v>136</v>
      </c>
      <c r="C46">
        <v>45</v>
      </c>
      <c r="E46" t="s">
        <v>383</v>
      </c>
      <c r="F46" t="s">
        <v>436</v>
      </c>
      <c r="G46" t="s">
        <v>385</v>
      </c>
      <c r="H46" t="s">
        <v>386</v>
      </c>
      <c r="I46" t="s">
        <v>136</v>
      </c>
      <c r="J46" t="s">
        <v>387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388</v>
      </c>
    </row>
    <row r="47" spans="1:21" x14ac:dyDescent="0.25">
      <c r="A47" t="s">
        <v>257</v>
      </c>
      <c r="B47" t="s">
        <v>134</v>
      </c>
      <c r="C47">
        <v>46</v>
      </c>
      <c r="E47" t="s">
        <v>383</v>
      </c>
      <c r="F47" t="s">
        <v>437</v>
      </c>
      <c r="G47" t="s">
        <v>385</v>
      </c>
      <c r="H47" t="s">
        <v>386</v>
      </c>
      <c r="I47" t="s">
        <v>134</v>
      </c>
      <c r="J47" t="s">
        <v>387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388</v>
      </c>
    </row>
    <row r="48" spans="1:21" x14ac:dyDescent="0.25">
      <c r="A48" t="s">
        <v>360</v>
      </c>
      <c r="B48" t="s">
        <v>135</v>
      </c>
      <c r="C48">
        <v>47</v>
      </c>
      <c r="D48" t="s">
        <v>356</v>
      </c>
      <c r="E48" t="s">
        <v>383</v>
      </c>
      <c r="F48" t="s">
        <v>438</v>
      </c>
      <c r="G48" t="s">
        <v>385</v>
      </c>
      <c r="H48" t="s">
        <v>386</v>
      </c>
      <c r="I48" t="s">
        <v>135</v>
      </c>
      <c r="J48" t="s">
        <v>387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388</v>
      </c>
    </row>
    <row r="49" spans="1:21" x14ac:dyDescent="0.25">
      <c r="A49" t="s">
        <v>256</v>
      </c>
      <c r="B49" t="s">
        <v>136</v>
      </c>
      <c r="C49">
        <v>48</v>
      </c>
      <c r="E49" t="s">
        <v>383</v>
      </c>
      <c r="F49" t="s">
        <v>439</v>
      </c>
      <c r="G49" t="s">
        <v>385</v>
      </c>
      <c r="H49" t="s">
        <v>386</v>
      </c>
      <c r="I49" t="s">
        <v>136</v>
      </c>
      <c r="J49" t="s">
        <v>387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388</v>
      </c>
    </row>
    <row r="50" spans="1:21" x14ac:dyDescent="0.25">
      <c r="A50" t="s">
        <v>255</v>
      </c>
      <c r="B50" t="s">
        <v>134</v>
      </c>
      <c r="C50">
        <v>49</v>
      </c>
      <c r="E50" t="s">
        <v>383</v>
      </c>
      <c r="F50" t="s">
        <v>440</v>
      </c>
      <c r="G50" t="s">
        <v>385</v>
      </c>
      <c r="H50" t="s">
        <v>386</v>
      </c>
      <c r="I50" t="s">
        <v>134</v>
      </c>
      <c r="J50" t="s">
        <v>387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388</v>
      </c>
    </row>
    <row r="51" spans="1:21" x14ac:dyDescent="0.25">
      <c r="A51" t="s">
        <v>254</v>
      </c>
      <c r="B51" t="s">
        <v>136</v>
      </c>
      <c r="C51">
        <v>50</v>
      </c>
      <c r="E51" t="s">
        <v>383</v>
      </c>
      <c r="F51" t="s">
        <v>441</v>
      </c>
      <c r="G51" t="s">
        <v>385</v>
      </c>
      <c r="H51" t="s">
        <v>386</v>
      </c>
      <c r="I51" t="s">
        <v>136</v>
      </c>
      <c r="J51" t="s">
        <v>387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388</v>
      </c>
    </row>
    <row r="52" spans="1:21" x14ac:dyDescent="0.25">
      <c r="A52" t="s">
        <v>261</v>
      </c>
      <c r="B52" t="s">
        <v>134</v>
      </c>
      <c r="C52">
        <v>51</v>
      </c>
      <c r="E52" t="s">
        <v>383</v>
      </c>
      <c r="F52" t="s">
        <v>442</v>
      </c>
      <c r="G52" t="s">
        <v>385</v>
      </c>
      <c r="H52" t="s">
        <v>386</v>
      </c>
      <c r="I52" t="s">
        <v>134</v>
      </c>
      <c r="J52" t="s">
        <v>387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388</v>
      </c>
    </row>
    <row r="53" spans="1:21" x14ac:dyDescent="0.25">
      <c r="A53" t="s">
        <v>253</v>
      </c>
      <c r="B53" t="s">
        <v>134</v>
      </c>
      <c r="C53">
        <v>52</v>
      </c>
      <c r="E53" t="s">
        <v>383</v>
      </c>
      <c r="F53" t="s">
        <v>443</v>
      </c>
      <c r="G53" t="s">
        <v>385</v>
      </c>
      <c r="H53" t="s">
        <v>386</v>
      </c>
      <c r="I53" t="s">
        <v>134</v>
      </c>
      <c r="J53" t="s">
        <v>387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388</v>
      </c>
    </row>
    <row r="54" spans="1:21" x14ac:dyDescent="0.25">
      <c r="A54" t="s">
        <v>251</v>
      </c>
      <c r="B54" t="s">
        <v>136</v>
      </c>
      <c r="C54">
        <v>53</v>
      </c>
      <c r="E54" t="s">
        <v>383</v>
      </c>
      <c r="F54" t="s">
        <v>444</v>
      </c>
      <c r="G54" t="s">
        <v>385</v>
      </c>
      <c r="H54" t="s">
        <v>386</v>
      </c>
      <c r="I54" t="s">
        <v>136</v>
      </c>
      <c r="J54" t="s">
        <v>387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388</v>
      </c>
    </row>
    <row r="55" spans="1:21" x14ac:dyDescent="0.25">
      <c r="A55" t="s">
        <v>250</v>
      </c>
      <c r="B55" t="s">
        <v>134</v>
      </c>
      <c r="C55">
        <v>54</v>
      </c>
      <c r="E55" t="s">
        <v>383</v>
      </c>
      <c r="F55" t="s">
        <v>445</v>
      </c>
      <c r="G55" t="s">
        <v>385</v>
      </c>
      <c r="H55" t="s">
        <v>386</v>
      </c>
      <c r="I55" t="s">
        <v>134</v>
      </c>
      <c r="J55" t="s">
        <v>387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388</v>
      </c>
    </row>
    <row r="56" spans="1:21" x14ac:dyDescent="0.25">
      <c r="A56" t="s">
        <v>244</v>
      </c>
      <c r="B56" t="s">
        <v>136</v>
      </c>
      <c r="C56">
        <v>55</v>
      </c>
      <c r="E56" t="s">
        <v>383</v>
      </c>
      <c r="F56" t="s">
        <v>446</v>
      </c>
      <c r="G56" t="s">
        <v>385</v>
      </c>
      <c r="H56" t="s">
        <v>390</v>
      </c>
      <c r="I56" t="s">
        <v>136</v>
      </c>
      <c r="J56" t="s">
        <v>387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391</v>
      </c>
    </row>
    <row r="57" spans="1:21" x14ac:dyDescent="0.25">
      <c r="A57" t="s">
        <v>248</v>
      </c>
      <c r="B57" t="s">
        <v>134</v>
      </c>
      <c r="C57">
        <v>56</v>
      </c>
      <c r="E57" t="s">
        <v>383</v>
      </c>
      <c r="F57" t="s">
        <v>447</v>
      </c>
      <c r="G57" t="s">
        <v>385</v>
      </c>
      <c r="H57" t="s">
        <v>386</v>
      </c>
      <c r="I57" t="s">
        <v>134</v>
      </c>
      <c r="J57" t="s">
        <v>387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388</v>
      </c>
    </row>
    <row r="58" spans="1:21" x14ac:dyDescent="0.25">
      <c r="A58" t="s">
        <v>359</v>
      </c>
      <c r="B58" t="s">
        <v>135</v>
      </c>
      <c r="C58">
        <v>57</v>
      </c>
      <c r="D58" t="s">
        <v>356</v>
      </c>
      <c r="E58" t="s">
        <v>383</v>
      </c>
      <c r="F58" t="s">
        <v>448</v>
      </c>
      <c r="G58" t="s">
        <v>385</v>
      </c>
      <c r="H58" t="s">
        <v>386</v>
      </c>
      <c r="I58" t="s">
        <v>135</v>
      </c>
      <c r="J58" t="s">
        <v>387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388</v>
      </c>
    </row>
    <row r="59" spans="1:21" x14ac:dyDescent="0.25">
      <c r="A59" t="s">
        <v>246</v>
      </c>
      <c r="B59" t="s">
        <v>136</v>
      </c>
      <c r="C59">
        <v>58</v>
      </c>
      <c r="E59" t="s">
        <v>383</v>
      </c>
      <c r="F59" t="s">
        <v>449</v>
      </c>
      <c r="G59" t="s">
        <v>385</v>
      </c>
      <c r="H59" t="s">
        <v>386</v>
      </c>
      <c r="I59" t="s">
        <v>136</v>
      </c>
      <c r="J59" t="s">
        <v>387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388</v>
      </c>
    </row>
    <row r="60" spans="1:21" x14ac:dyDescent="0.25">
      <c r="A60" t="s">
        <v>245</v>
      </c>
      <c r="B60" t="s">
        <v>134</v>
      </c>
      <c r="C60">
        <v>59</v>
      </c>
      <c r="E60" t="s">
        <v>383</v>
      </c>
      <c r="F60" t="s">
        <v>450</v>
      </c>
      <c r="G60" t="s">
        <v>385</v>
      </c>
      <c r="H60" t="s">
        <v>386</v>
      </c>
      <c r="I60" t="s">
        <v>134</v>
      </c>
      <c r="J60" t="s">
        <v>387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388</v>
      </c>
    </row>
    <row r="61" spans="1:21" x14ac:dyDescent="0.25">
      <c r="A61" t="s">
        <v>355</v>
      </c>
      <c r="B61" t="s">
        <v>134</v>
      </c>
      <c r="C61">
        <v>60</v>
      </c>
      <c r="D61" t="s">
        <v>356</v>
      </c>
      <c r="E61" t="s">
        <v>383</v>
      </c>
      <c r="F61" t="s">
        <v>451</v>
      </c>
      <c r="G61" t="s">
        <v>385</v>
      </c>
      <c r="H61" t="s">
        <v>386</v>
      </c>
      <c r="I61" t="s">
        <v>134</v>
      </c>
      <c r="J61" t="s">
        <v>387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388</v>
      </c>
    </row>
    <row r="62" spans="1:21" x14ac:dyDescent="0.25">
      <c r="A62" t="s">
        <v>262</v>
      </c>
      <c r="B62" t="s">
        <v>136</v>
      </c>
      <c r="C62">
        <v>61</v>
      </c>
      <c r="E62" t="s">
        <v>383</v>
      </c>
      <c r="F62" t="s">
        <v>452</v>
      </c>
      <c r="G62" t="s">
        <v>385</v>
      </c>
      <c r="H62" t="s">
        <v>386</v>
      </c>
      <c r="I62" t="s">
        <v>136</v>
      </c>
      <c r="J62" t="s">
        <v>387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388</v>
      </c>
    </row>
    <row r="63" spans="1:21" x14ac:dyDescent="0.25">
      <c r="A63" t="s">
        <v>263</v>
      </c>
      <c r="B63" t="s">
        <v>136</v>
      </c>
      <c r="C63">
        <v>62</v>
      </c>
      <c r="E63" t="s">
        <v>383</v>
      </c>
      <c r="F63" t="s">
        <v>453</v>
      </c>
      <c r="G63" t="s">
        <v>385</v>
      </c>
      <c r="H63" t="s">
        <v>386</v>
      </c>
      <c r="I63" t="s">
        <v>136</v>
      </c>
      <c r="J63" t="s">
        <v>387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388</v>
      </c>
    </row>
    <row r="64" spans="1:21" x14ac:dyDescent="0.25">
      <c r="A64" t="s">
        <v>358</v>
      </c>
      <c r="B64" t="s">
        <v>134</v>
      </c>
      <c r="C64">
        <v>63</v>
      </c>
      <c r="D64" t="s">
        <v>356</v>
      </c>
      <c r="E64" t="s">
        <v>383</v>
      </c>
      <c r="F64" t="s">
        <v>454</v>
      </c>
      <c r="G64" t="s">
        <v>385</v>
      </c>
      <c r="H64" t="s">
        <v>390</v>
      </c>
      <c r="I64" t="s">
        <v>134</v>
      </c>
      <c r="J64" t="s">
        <v>387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391</v>
      </c>
    </row>
    <row r="65" spans="1:21" x14ac:dyDescent="0.25">
      <c r="A65" t="s">
        <v>281</v>
      </c>
      <c r="B65" t="s">
        <v>136</v>
      </c>
      <c r="C65">
        <v>64</v>
      </c>
      <c r="E65" t="s">
        <v>383</v>
      </c>
      <c r="F65" t="s">
        <v>455</v>
      </c>
      <c r="G65" t="s">
        <v>385</v>
      </c>
      <c r="H65" t="s">
        <v>386</v>
      </c>
      <c r="I65" t="s">
        <v>136</v>
      </c>
      <c r="J65" t="s">
        <v>387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388</v>
      </c>
    </row>
    <row r="66" spans="1:21" x14ac:dyDescent="0.25">
      <c r="A66" t="s">
        <v>280</v>
      </c>
      <c r="B66" t="s">
        <v>134</v>
      </c>
      <c r="C66">
        <v>65</v>
      </c>
      <c r="E66" t="s">
        <v>383</v>
      </c>
      <c r="F66" t="s">
        <v>456</v>
      </c>
      <c r="G66" t="s">
        <v>385</v>
      </c>
      <c r="H66" t="s">
        <v>386</v>
      </c>
      <c r="I66" t="s">
        <v>134</v>
      </c>
      <c r="J66" t="s">
        <v>387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388</v>
      </c>
    </row>
    <row r="67" spans="1:21" x14ac:dyDescent="0.25">
      <c r="A67" t="s">
        <v>357</v>
      </c>
      <c r="B67" t="s">
        <v>134</v>
      </c>
      <c r="C67">
        <v>66</v>
      </c>
      <c r="D67" t="s">
        <v>356</v>
      </c>
      <c r="E67" t="s">
        <v>383</v>
      </c>
      <c r="F67" t="s">
        <v>457</v>
      </c>
      <c r="G67" t="s">
        <v>385</v>
      </c>
      <c r="H67" t="s">
        <v>386</v>
      </c>
      <c r="I67" t="s">
        <v>134</v>
      </c>
      <c r="J67" t="s">
        <v>387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388</v>
      </c>
    </row>
    <row r="68" spans="1:21" x14ac:dyDescent="0.25">
      <c r="A68" t="s">
        <v>278</v>
      </c>
      <c r="B68" t="s">
        <v>134</v>
      </c>
      <c r="C68">
        <v>67</v>
      </c>
      <c r="E68" t="s">
        <v>383</v>
      </c>
      <c r="F68" t="s">
        <v>458</v>
      </c>
      <c r="G68" t="s">
        <v>385</v>
      </c>
      <c r="H68" t="s">
        <v>386</v>
      </c>
      <c r="I68" t="s">
        <v>134</v>
      </c>
      <c r="J68" t="s">
        <v>387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388</v>
      </c>
    </row>
    <row r="69" spans="1:21" x14ac:dyDescent="0.25">
      <c r="A69" t="s">
        <v>277</v>
      </c>
      <c r="B69" t="s">
        <v>134</v>
      </c>
      <c r="C69">
        <v>68</v>
      </c>
      <c r="E69" t="s">
        <v>383</v>
      </c>
      <c r="F69" t="s">
        <v>459</v>
      </c>
      <c r="G69" t="s">
        <v>385</v>
      </c>
      <c r="H69" t="s">
        <v>390</v>
      </c>
      <c r="I69" t="s">
        <v>134</v>
      </c>
      <c r="J69" t="s">
        <v>387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391</v>
      </c>
    </row>
    <row r="70" spans="1:21" x14ac:dyDescent="0.25">
      <c r="A70" t="s">
        <v>276</v>
      </c>
      <c r="B70" t="s">
        <v>134</v>
      </c>
      <c r="C70">
        <v>69</v>
      </c>
      <c r="E70" t="s">
        <v>383</v>
      </c>
      <c r="F70" t="s">
        <v>460</v>
      </c>
      <c r="G70" t="s">
        <v>385</v>
      </c>
      <c r="H70" t="s">
        <v>386</v>
      </c>
      <c r="I70" t="s">
        <v>134</v>
      </c>
      <c r="J70" t="s">
        <v>387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388</v>
      </c>
    </row>
    <row r="71" spans="1:21" x14ac:dyDescent="0.25">
      <c r="A71" t="s">
        <v>275</v>
      </c>
      <c r="B71" t="s">
        <v>134</v>
      </c>
      <c r="C71">
        <v>70</v>
      </c>
      <c r="E71" t="s">
        <v>383</v>
      </c>
      <c r="F71" t="s">
        <v>461</v>
      </c>
      <c r="G71" t="s">
        <v>385</v>
      </c>
      <c r="H71" t="s">
        <v>386</v>
      </c>
      <c r="I71" t="s">
        <v>134</v>
      </c>
      <c r="J71" t="s">
        <v>387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388</v>
      </c>
    </row>
    <row r="72" spans="1:21" x14ac:dyDescent="0.25">
      <c r="A72" t="s">
        <v>274</v>
      </c>
      <c r="B72" t="s">
        <v>134</v>
      </c>
      <c r="C72">
        <v>71</v>
      </c>
      <c r="E72" t="s">
        <v>383</v>
      </c>
      <c r="F72" t="s">
        <v>462</v>
      </c>
      <c r="G72" t="s">
        <v>385</v>
      </c>
      <c r="H72" t="s">
        <v>386</v>
      </c>
      <c r="I72" t="s">
        <v>134</v>
      </c>
      <c r="J72" t="s">
        <v>387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388</v>
      </c>
    </row>
    <row r="73" spans="1:21" x14ac:dyDescent="0.25">
      <c r="A73" t="s">
        <v>273</v>
      </c>
      <c r="B73" t="s">
        <v>134</v>
      </c>
      <c r="C73">
        <v>72</v>
      </c>
      <c r="E73" t="s">
        <v>383</v>
      </c>
      <c r="F73" t="s">
        <v>463</v>
      </c>
      <c r="G73" t="s">
        <v>385</v>
      </c>
      <c r="H73" t="s">
        <v>386</v>
      </c>
      <c r="I73" t="s">
        <v>134</v>
      </c>
      <c r="J73" t="s">
        <v>387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388</v>
      </c>
    </row>
    <row r="74" spans="1:21" x14ac:dyDescent="0.25">
      <c r="A74" t="s">
        <v>272</v>
      </c>
      <c r="B74" t="s">
        <v>134</v>
      </c>
      <c r="C74">
        <v>73</v>
      </c>
      <c r="E74" t="s">
        <v>383</v>
      </c>
      <c r="F74" t="s">
        <v>464</v>
      </c>
      <c r="G74" t="s">
        <v>385</v>
      </c>
      <c r="H74" t="s">
        <v>390</v>
      </c>
      <c r="I74" t="s">
        <v>134</v>
      </c>
      <c r="J74" t="s">
        <v>387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391</v>
      </c>
    </row>
    <row r="75" spans="1:21" x14ac:dyDescent="0.25">
      <c r="A75" t="s">
        <v>271</v>
      </c>
      <c r="B75" t="s">
        <v>134</v>
      </c>
      <c r="C75">
        <v>74</v>
      </c>
      <c r="E75" t="s">
        <v>383</v>
      </c>
      <c r="F75" t="s">
        <v>465</v>
      </c>
      <c r="G75" t="s">
        <v>385</v>
      </c>
      <c r="H75" t="s">
        <v>386</v>
      </c>
      <c r="I75" t="s">
        <v>134</v>
      </c>
      <c r="J75" t="s">
        <v>387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388</v>
      </c>
    </row>
    <row r="76" spans="1:21" x14ac:dyDescent="0.25">
      <c r="A76" t="s">
        <v>270</v>
      </c>
      <c r="B76" t="s">
        <v>134</v>
      </c>
      <c r="C76">
        <v>75</v>
      </c>
      <c r="E76" t="s">
        <v>383</v>
      </c>
      <c r="F76" t="s">
        <v>466</v>
      </c>
      <c r="G76" t="s">
        <v>385</v>
      </c>
      <c r="H76" t="s">
        <v>386</v>
      </c>
      <c r="I76" t="s">
        <v>134</v>
      </c>
      <c r="J76" t="s">
        <v>387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388</v>
      </c>
    </row>
    <row r="77" spans="1:21" x14ac:dyDescent="0.25">
      <c r="A77" t="s">
        <v>269</v>
      </c>
      <c r="B77" t="s">
        <v>134</v>
      </c>
      <c r="C77">
        <v>76</v>
      </c>
      <c r="E77" t="s">
        <v>383</v>
      </c>
      <c r="F77" t="s">
        <v>467</v>
      </c>
      <c r="G77" t="s">
        <v>385</v>
      </c>
      <c r="H77" t="s">
        <v>386</v>
      </c>
      <c r="I77" t="s">
        <v>134</v>
      </c>
      <c r="J77" t="s">
        <v>387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388</v>
      </c>
    </row>
    <row r="78" spans="1:21" x14ac:dyDescent="0.25">
      <c r="A78" t="s">
        <v>268</v>
      </c>
      <c r="B78" t="s">
        <v>136</v>
      </c>
      <c r="C78">
        <v>77</v>
      </c>
      <c r="E78" t="s">
        <v>383</v>
      </c>
      <c r="F78" t="s">
        <v>468</v>
      </c>
      <c r="G78" t="s">
        <v>385</v>
      </c>
      <c r="H78" t="s">
        <v>386</v>
      </c>
      <c r="I78" t="s">
        <v>136</v>
      </c>
      <c r="J78" t="s">
        <v>387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388</v>
      </c>
    </row>
    <row r="79" spans="1:21" x14ac:dyDescent="0.25">
      <c r="A79" t="s">
        <v>267</v>
      </c>
      <c r="B79" t="s">
        <v>134</v>
      </c>
      <c r="C79">
        <v>78</v>
      </c>
      <c r="E79" t="s">
        <v>383</v>
      </c>
      <c r="F79" t="s">
        <v>469</v>
      </c>
      <c r="G79" t="s">
        <v>385</v>
      </c>
      <c r="H79" t="s">
        <v>386</v>
      </c>
      <c r="I79" t="s">
        <v>134</v>
      </c>
      <c r="J79" t="s">
        <v>387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388</v>
      </c>
    </row>
    <row r="80" spans="1:21" x14ac:dyDescent="0.25">
      <c r="A80" t="s">
        <v>266</v>
      </c>
      <c r="B80" t="s">
        <v>134</v>
      </c>
      <c r="C80">
        <v>79</v>
      </c>
      <c r="E80" t="s">
        <v>383</v>
      </c>
      <c r="F80" t="s">
        <v>470</v>
      </c>
      <c r="G80" t="s">
        <v>385</v>
      </c>
      <c r="H80" t="s">
        <v>386</v>
      </c>
      <c r="I80" t="s">
        <v>134</v>
      </c>
      <c r="J80" t="s">
        <v>387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388</v>
      </c>
    </row>
    <row r="81" spans="1:21" x14ac:dyDescent="0.25">
      <c r="A81" t="s">
        <v>265</v>
      </c>
      <c r="B81" t="s">
        <v>136</v>
      </c>
      <c r="C81">
        <v>80</v>
      </c>
      <c r="E81" t="s">
        <v>383</v>
      </c>
      <c r="F81" t="s">
        <v>471</v>
      </c>
      <c r="G81" t="s">
        <v>385</v>
      </c>
      <c r="H81" t="s">
        <v>390</v>
      </c>
      <c r="I81" t="s">
        <v>136</v>
      </c>
      <c r="J81" t="s">
        <v>387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391</v>
      </c>
    </row>
    <row r="82" spans="1:21" x14ac:dyDescent="0.25">
      <c r="A82" t="s">
        <v>283</v>
      </c>
      <c r="B82" t="s">
        <v>134</v>
      </c>
      <c r="C82">
        <v>81</v>
      </c>
      <c r="E82" t="s">
        <v>383</v>
      </c>
      <c r="F82" t="s">
        <v>472</v>
      </c>
      <c r="G82" t="s">
        <v>385</v>
      </c>
      <c r="H82" t="s">
        <v>396</v>
      </c>
      <c r="I82" t="s">
        <v>134</v>
      </c>
      <c r="J82" t="s">
        <v>387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397</v>
      </c>
    </row>
    <row r="83" spans="1:21" x14ac:dyDescent="0.25">
      <c r="A83" t="s">
        <v>322</v>
      </c>
      <c r="B83" t="s">
        <v>134</v>
      </c>
      <c r="C83">
        <v>82</v>
      </c>
      <c r="E83" t="s">
        <v>383</v>
      </c>
      <c r="F83" t="s">
        <v>473</v>
      </c>
      <c r="G83" t="s">
        <v>385</v>
      </c>
      <c r="H83" t="s">
        <v>390</v>
      </c>
      <c r="I83" t="s">
        <v>134</v>
      </c>
      <c r="J83" t="s">
        <v>387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391</v>
      </c>
    </row>
    <row r="84" spans="1:21" x14ac:dyDescent="0.25">
      <c r="A84" t="s">
        <v>279</v>
      </c>
      <c r="B84" t="s">
        <v>134</v>
      </c>
      <c r="C84">
        <v>83</v>
      </c>
      <c r="E84" t="s">
        <v>383</v>
      </c>
      <c r="F84" t="s">
        <v>474</v>
      </c>
      <c r="G84" t="s">
        <v>385</v>
      </c>
      <c r="H84" t="s">
        <v>386</v>
      </c>
      <c r="I84" t="s">
        <v>134</v>
      </c>
      <c r="J84" t="s">
        <v>387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388</v>
      </c>
    </row>
    <row r="85" spans="1:21" x14ac:dyDescent="0.25">
      <c r="A85" t="s">
        <v>264</v>
      </c>
      <c r="B85" t="s">
        <v>134</v>
      </c>
      <c r="C85">
        <v>84</v>
      </c>
      <c r="E85" t="s">
        <v>383</v>
      </c>
      <c r="F85" t="s">
        <v>475</v>
      </c>
      <c r="G85" t="s">
        <v>385</v>
      </c>
      <c r="H85" t="s">
        <v>386</v>
      </c>
      <c r="I85" t="s">
        <v>134</v>
      </c>
      <c r="J85" t="s">
        <v>387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388</v>
      </c>
    </row>
    <row r="86" spans="1:21" x14ac:dyDescent="0.25">
      <c r="A86" t="s">
        <v>252</v>
      </c>
      <c r="B86" t="s">
        <v>136</v>
      </c>
      <c r="C86">
        <v>85</v>
      </c>
      <c r="E86" t="s">
        <v>383</v>
      </c>
      <c r="F86" t="s">
        <v>476</v>
      </c>
      <c r="G86" t="s">
        <v>385</v>
      </c>
      <c r="H86" t="s">
        <v>386</v>
      </c>
      <c r="I86" t="s">
        <v>136</v>
      </c>
      <c r="J86" t="s">
        <v>387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388</v>
      </c>
    </row>
    <row r="87" spans="1:21" x14ac:dyDescent="0.25">
      <c r="A87" t="s">
        <v>247</v>
      </c>
      <c r="B87" t="s">
        <v>134</v>
      </c>
      <c r="C87">
        <v>86</v>
      </c>
      <c r="E87" t="s">
        <v>383</v>
      </c>
      <c r="F87" t="s">
        <v>477</v>
      </c>
      <c r="G87" t="s">
        <v>385</v>
      </c>
      <c r="H87" t="s">
        <v>386</v>
      </c>
      <c r="I87" t="s">
        <v>134</v>
      </c>
      <c r="J87" t="s">
        <v>387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388</v>
      </c>
    </row>
    <row r="88" spans="1:21" x14ac:dyDescent="0.25">
      <c r="A88" t="s">
        <v>249</v>
      </c>
      <c r="B88" t="s">
        <v>134</v>
      </c>
      <c r="C88">
        <v>87</v>
      </c>
      <c r="E88" t="s">
        <v>383</v>
      </c>
      <c r="F88" t="s">
        <v>478</v>
      </c>
      <c r="G88" t="s">
        <v>385</v>
      </c>
      <c r="H88" t="s">
        <v>386</v>
      </c>
      <c r="I88" t="s">
        <v>134</v>
      </c>
      <c r="J88" t="s">
        <v>387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388</v>
      </c>
    </row>
    <row r="89" spans="1:21" x14ac:dyDescent="0.25">
      <c r="A89" t="s">
        <v>364</v>
      </c>
      <c r="B89" t="s">
        <v>134</v>
      </c>
      <c r="C89">
        <v>88</v>
      </c>
      <c r="D89" t="s">
        <v>356</v>
      </c>
      <c r="E89" t="s">
        <v>383</v>
      </c>
      <c r="F89" t="s">
        <v>479</v>
      </c>
      <c r="G89" t="s">
        <v>385</v>
      </c>
      <c r="H89" t="s">
        <v>390</v>
      </c>
      <c r="I89" t="s">
        <v>134</v>
      </c>
      <c r="J89" t="s">
        <v>387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391</v>
      </c>
    </row>
    <row r="90" spans="1:21" x14ac:dyDescent="0.25">
      <c r="A90" t="s">
        <v>311</v>
      </c>
      <c r="B90" t="s">
        <v>134</v>
      </c>
      <c r="C90">
        <v>89</v>
      </c>
      <c r="E90" t="s">
        <v>383</v>
      </c>
      <c r="F90" t="s">
        <v>480</v>
      </c>
      <c r="G90" t="s">
        <v>385</v>
      </c>
      <c r="H90" t="s">
        <v>390</v>
      </c>
      <c r="I90" t="s">
        <v>134</v>
      </c>
      <c r="J90" t="s">
        <v>387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391</v>
      </c>
    </row>
    <row r="91" spans="1:21" x14ac:dyDescent="0.25">
      <c r="A91" t="s">
        <v>342</v>
      </c>
      <c r="B91" t="s">
        <v>135</v>
      </c>
      <c r="C91">
        <v>90</v>
      </c>
      <c r="D91" t="s">
        <v>324</v>
      </c>
      <c r="E91" t="s">
        <v>481</v>
      </c>
      <c r="F91" t="s">
        <v>482</v>
      </c>
      <c r="J91" t="s">
        <v>387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483</v>
      </c>
    </row>
    <row r="92" spans="1:21" x14ac:dyDescent="0.25">
      <c r="A92" t="s">
        <v>341</v>
      </c>
      <c r="B92" t="s">
        <v>135</v>
      </c>
      <c r="C92">
        <v>91</v>
      </c>
      <c r="D92" t="s">
        <v>324</v>
      </c>
      <c r="E92" t="s">
        <v>481</v>
      </c>
      <c r="F92" t="s">
        <v>484</v>
      </c>
      <c r="J92" t="s">
        <v>387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483</v>
      </c>
    </row>
    <row r="93" spans="1:21" x14ac:dyDescent="0.25">
      <c r="A93" t="s">
        <v>340</v>
      </c>
      <c r="B93" t="s">
        <v>135</v>
      </c>
      <c r="C93">
        <v>92</v>
      </c>
      <c r="D93" t="s">
        <v>324</v>
      </c>
      <c r="E93" t="s">
        <v>481</v>
      </c>
      <c r="F93" t="s">
        <v>485</v>
      </c>
      <c r="J93" t="s">
        <v>387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483</v>
      </c>
    </row>
    <row r="94" spans="1:21" x14ac:dyDescent="0.25">
      <c r="A94" t="s">
        <v>339</v>
      </c>
      <c r="B94" t="s">
        <v>136</v>
      </c>
      <c r="C94">
        <v>93</v>
      </c>
      <c r="D94" t="s">
        <v>324</v>
      </c>
      <c r="E94" t="s">
        <v>481</v>
      </c>
      <c r="F94" t="s">
        <v>486</v>
      </c>
      <c r="J94" t="s">
        <v>387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483</v>
      </c>
    </row>
    <row r="95" spans="1:21" x14ac:dyDescent="0.25">
      <c r="A95" t="s">
        <v>353</v>
      </c>
      <c r="B95" t="s">
        <v>135</v>
      </c>
      <c r="C95">
        <v>94</v>
      </c>
      <c r="D95" t="s">
        <v>324</v>
      </c>
      <c r="E95" t="s">
        <v>481</v>
      </c>
      <c r="F95" t="s">
        <v>487</v>
      </c>
      <c r="J95" t="s">
        <v>387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483</v>
      </c>
    </row>
    <row r="96" spans="1:21" x14ac:dyDescent="0.25">
      <c r="A96" t="s">
        <v>337</v>
      </c>
      <c r="B96" t="s">
        <v>134</v>
      </c>
      <c r="C96">
        <v>95</v>
      </c>
      <c r="D96" t="s">
        <v>324</v>
      </c>
      <c r="E96" t="s">
        <v>481</v>
      </c>
      <c r="F96" t="s">
        <v>488</v>
      </c>
      <c r="J96" t="s">
        <v>387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483</v>
      </c>
    </row>
    <row r="97" spans="1:21" x14ac:dyDescent="0.25">
      <c r="A97" t="s">
        <v>332</v>
      </c>
      <c r="B97" t="s">
        <v>136</v>
      </c>
      <c r="C97">
        <v>96</v>
      </c>
      <c r="D97" t="s">
        <v>324</v>
      </c>
      <c r="E97" t="s">
        <v>481</v>
      </c>
      <c r="F97" t="s">
        <v>488</v>
      </c>
      <c r="J97" t="s">
        <v>387</v>
      </c>
      <c r="L97">
        <v>45</v>
      </c>
      <c r="M97">
        <v>46223</v>
      </c>
      <c r="N97">
        <v>46250</v>
      </c>
      <c r="O97">
        <v>2</v>
      </c>
      <c r="P97">
        <v>90</v>
      </c>
      <c r="Q97">
        <v>11.842105263157896</v>
      </c>
      <c r="R97">
        <v>11</v>
      </c>
      <c r="S97">
        <v>20</v>
      </c>
      <c r="U97" t="s">
        <v>483</v>
      </c>
    </row>
    <row r="98" spans="1:21" x14ac:dyDescent="0.25">
      <c r="A98" t="s">
        <v>323</v>
      </c>
      <c r="B98" t="s">
        <v>135</v>
      </c>
      <c r="C98">
        <v>97</v>
      </c>
      <c r="D98" t="s">
        <v>324</v>
      </c>
      <c r="E98" t="s">
        <v>481</v>
      </c>
      <c r="F98" t="s">
        <v>489</v>
      </c>
      <c r="J98" t="s">
        <v>387</v>
      </c>
      <c r="L98">
        <v>0</v>
      </c>
      <c r="M98">
        <v>46223</v>
      </c>
      <c r="N98">
        <v>46250</v>
      </c>
      <c r="O98">
        <v>2</v>
      </c>
      <c r="P98">
        <v>0</v>
      </c>
      <c r="Q98">
        <v>0</v>
      </c>
      <c r="R98">
        <v>0</v>
      </c>
      <c r="S98">
        <v>20</v>
      </c>
      <c r="U98" t="s">
        <v>483</v>
      </c>
    </row>
    <row r="99" spans="1:21" x14ac:dyDescent="0.25">
      <c r="A99" t="s">
        <v>325</v>
      </c>
      <c r="B99" t="s">
        <v>135</v>
      </c>
      <c r="C99">
        <v>98</v>
      </c>
      <c r="D99" t="s">
        <v>324</v>
      </c>
      <c r="E99" t="s">
        <v>481</v>
      </c>
      <c r="F99" t="s">
        <v>490</v>
      </c>
      <c r="J99" t="s">
        <v>387</v>
      </c>
      <c r="L99">
        <v>40</v>
      </c>
      <c r="M99">
        <v>46223</v>
      </c>
      <c r="N99">
        <v>46250</v>
      </c>
      <c r="O99">
        <v>2</v>
      </c>
      <c r="P99">
        <v>80</v>
      </c>
      <c r="Q99">
        <v>10.526315789473683</v>
      </c>
      <c r="R99">
        <v>10</v>
      </c>
      <c r="S99">
        <v>20</v>
      </c>
      <c r="U99" t="s">
        <v>483</v>
      </c>
    </row>
    <row r="100" spans="1:21" x14ac:dyDescent="0.25">
      <c r="A100" t="s">
        <v>326</v>
      </c>
      <c r="B100" t="s">
        <v>134</v>
      </c>
      <c r="C100">
        <v>99</v>
      </c>
      <c r="D100" t="s">
        <v>324</v>
      </c>
      <c r="E100" t="s">
        <v>481</v>
      </c>
      <c r="F100" t="s">
        <v>491</v>
      </c>
      <c r="J100" t="s">
        <v>387</v>
      </c>
      <c r="L100">
        <v>60</v>
      </c>
      <c r="M100">
        <v>46223</v>
      </c>
      <c r="N100">
        <v>46250</v>
      </c>
      <c r="O100">
        <v>2</v>
      </c>
      <c r="P100">
        <v>120</v>
      </c>
      <c r="Q100">
        <v>15.789473684210527</v>
      </c>
      <c r="R100">
        <v>15</v>
      </c>
      <c r="S100">
        <v>20</v>
      </c>
      <c r="U100" t="s">
        <v>483</v>
      </c>
    </row>
    <row r="101" spans="1:21" x14ac:dyDescent="0.25">
      <c r="A101" t="s">
        <v>336</v>
      </c>
      <c r="B101" t="s">
        <v>135</v>
      </c>
      <c r="C101">
        <v>100</v>
      </c>
      <c r="D101" t="s">
        <v>324</v>
      </c>
      <c r="E101" t="s">
        <v>481</v>
      </c>
      <c r="F101" t="s">
        <v>492</v>
      </c>
      <c r="J101" t="s">
        <v>387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483</v>
      </c>
    </row>
    <row r="102" spans="1:21" x14ac:dyDescent="0.25">
      <c r="A102" t="s">
        <v>328</v>
      </c>
      <c r="B102" t="s">
        <v>135</v>
      </c>
      <c r="C102">
        <v>101</v>
      </c>
      <c r="D102" t="s">
        <v>324</v>
      </c>
      <c r="E102" t="s">
        <v>481</v>
      </c>
      <c r="F102" t="s">
        <v>493</v>
      </c>
      <c r="J102" t="s">
        <v>387</v>
      </c>
      <c r="L102">
        <v>48</v>
      </c>
      <c r="M102">
        <v>46223</v>
      </c>
      <c r="N102">
        <v>46250</v>
      </c>
      <c r="O102">
        <v>2</v>
      </c>
      <c r="P102">
        <v>96</v>
      </c>
      <c r="Q102">
        <v>12.631578947368419</v>
      </c>
      <c r="R102">
        <v>12</v>
      </c>
      <c r="S102">
        <v>20</v>
      </c>
      <c r="U102" t="s">
        <v>483</v>
      </c>
    </row>
    <row r="103" spans="1:21" x14ac:dyDescent="0.25">
      <c r="A103" t="s">
        <v>329</v>
      </c>
      <c r="B103" t="s">
        <v>135</v>
      </c>
      <c r="C103">
        <v>102</v>
      </c>
      <c r="D103" t="s">
        <v>324</v>
      </c>
      <c r="E103" t="s">
        <v>481</v>
      </c>
      <c r="F103" t="s">
        <v>494</v>
      </c>
      <c r="J103" t="s">
        <v>387</v>
      </c>
      <c r="L103">
        <v>76</v>
      </c>
      <c r="M103">
        <v>46223</v>
      </c>
      <c r="N103">
        <v>46250</v>
      </c>
      <c r="O103">
        <v>2</v>
      </c>
      <c r="P103">
        <v>152</v>
      </c>
      <c r="Q103">
        <v>20</v>
      </c>
      <c r="R103">
        <v>20</v>
      </c>
      <c r="S103">
        <v>20</v>
      </c>
      <c r="U103" t="s">
        <v>483</v>
      </c>
    </row>
    <row r="104" spans="1:21" x14ac:dyDescent="0.25">
      <c r="A104" t="s">
        <v>330</v>
      </c>
      <c r="B104" t="s">
        <v>135</v>
      </c>
      <c r="C104">
        <v>103</v>
      </c>
      <c r="D104" t="s">
        <v>324</v>
      </c>
      <c r="E104" t="s">
        <v>481</v>
      </c>
      <c r="F104" t="s">
        <v>495</v>
      </c>
      <c r="J104" t="s">
        <v>387</v>
      </c>
      <c r="L104">
        <v>48</v>
      </c>
      <c r="M104">
        <v>46223</v>
      </c>
      <c r="N104">
        <v>46250</v>
      </c>
      <c r="O104">
        <v>2</v>
      </c>
      <c r="P104">
        <v>96</v>
      </c>
      <c r="Q104">
        <v>12.631578947368419</v>
      </c>
      <c r="R104">
        <v>12</v>
      </c>
      <c r="S104">
        <v>20</v>
      </c>
      <c r="U104" t="s">
        <v>483</v>
      </c>
    </row>
    <row r="105" spans="1:21" x14ac:dyDescent="0.25">
      <c r="A105" t="s">
        <v>331</v>
      </c>
      <c r="B105" t="s">
        <v>134</v>
      </c>
      <c r="C105">
        <v>104</v>
      </c>
      <c r="D105" t="s">
        <v>324</v>
      </c>
      <c r="E105" t="s">
        <v>481</v>
      </c>
      <c r="F105" t="s">
        <v>496</v>
      </c>
      <c r="J105" t="s">
        <v>387</v>
      </c>
      <c r="L105">
        <v>16</v>
      </c>
      <c r="M105">
        <v>46223</v>
      </c>
      <c r="N105">
        <v>46250</v>
      </c>
      <c r="O105">
        <v>2</v>
      </c>
      <c r="P105">
        <v>32</v>
      </c>
      <c r="Q105">
        <v>4.2105263157894735</v>
      </c>
      <c r="R105">
        <v>4</v>
      </c>
      <c r="S105">
        <v>20</v>
      </c>
      <c r="U105" t="s">
        <v>483</v>
      </c>
    </row>
    <row r="106" spans="1:21" x14ac:dyDescent="0.25">
      <c r="A106" t="s">
        <v>327</v>
      </c>
      <c r="B106" t="s">
        <v>136</v>
      </c>
      <c r="C106">
        <v>105</v>
      </c>
      <c r="D106" t="s">
        <v>324</v>
      </c>
      <c r="E106" t="s">
        <v>481</v>
      </c>
      <c r="F106" t="s">
        <v>496</v>
      </c>
      <c r="J106" t="s">
        <v>387</v>
      </c>
      <c r="L106">
        <v>16</v>
      </c>
      <c r="M106">
        <v>46223</v>
      </c>
      <c r="N106">
        <v>46250</v>
      </c>
      <c r="O106">
        <v>2</v>
      </c>
      <c r="P106">
        <v>32</v>
      </c>
      <c r="Q106">
        <v>4.2105263157894735</v>
      </c>
      <c r="R106">
        <v>4</v>
      </c>
      <c r="S106">
        <v>20</v>
      </c>
      <c r="U106" t="s">
        <v>483</v>
      </c>
    </row>
    <row r="107" spans="1:21" x14ac:dyDescent="0.25">
      <c r="A107" t="s">
        <v>333</v>
      </c>
      <c r="B107" t="s">
        <v>134</v>
      </c>
      <c r="C107">
        <v>106</v>
      </c>
      <c r="D107" t="s">
        <v>324</v>
      </c>
      <c r="E107" t="s">
        <v>481</v>
      </c>
      <c r="F107" t="s">
        <v>497</v>
      </c>
      <c r="J107" t="s">
        <v>387</v>
      </c>
      <c r="L107">
        <v>75</v>
      </c>
      <c r="M107">
        <v>46223</v>
      </c>
      <c r="N107">
        <v>46250</v>
      </c>
      <c r="O107">
        <v>2</v>
      </c>
      <c r="P107">
        <v>150</v>
      </c>
      <c r="Q107">
        <v>19.736842105263161</v>
      </c>
      <c r="R107">
        <v>19</v>
      </c>
      <c r="S107">
        <v>20</v>
      </c>
      <c r="U107" t="s">
        <v>483</v>
      </c>
    </row>
    <row r="108" spans="1:21" x14ac:dyDescent="0.25">
      <c r="A108" t="s">
        <v>334</v>
      </c>
      <c r="B108" t="s">
        <v>136</v>
      </c>
      <c r="C108">
        <v>107</v>
      </c>
      <c r="D108" t="s">
        <v>324</v>
      </c>
      <c r="E108" t="s">
        <v>481</v>
      </c>
      <c r="F108" t="s">
        <v>497</v>
      </c>
      <c r="J108" t="s">
        <v>387</v>
      </c>
      <c r="L108">
        <v>75</v>
      </c>
      <c r="M108">
        <v>46223</v>
      </c>
      <c r="N108">
        <v>46250</v>
      </c>
      <c r="O108">
        <v>2</v>
      </c>
      <c r="P108">
        <v>150</v>
      </c>
      <c r="Q108">
        <v>19.736842105263161</v>
      </c>
      <c r="R108">
        <v>19</v>
      </c>
      <c r="S108">
        <v>20</v>
      </c>
      <c r="U108" t="s">
        <v>483</v>
      </c>
    </row>
    <row r="109" spans="1:21" x14ac:dyDescent="0.25">
      <c r="A109" t="s">
        <v>335</v>
      </c>
      <c r="B109" t="s">
        <v>134</v>
      </c>
      <c r="C109">
        <v>108</v>
      </c>
      <c r="D109" t="s">
        <v>324</v>
      </c>
      <c r="E109" t="s">
        <v>481</v>
      </c>
      <c r="F109" t="s">
        <v>498</v>
      </c>
      <c r="J109" t="s">
        <v>387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483</v>
      </c>
    </row>
    <row r="110" spans="1:21" x14ac:dyDescent="0.25">
      <c r="A110" t="s">
        <v>348</v>
      </c>
      <c r="B110" t="s">
        <v>136</v>
      </c>
      <c r="C110">
        <v>109</v>
      </c>
      <c r="D110" t="s">
        <v>324</v>
      </c>
      <c r="E110" t="s">
        <v>481</v>
      </c>
      <c r="F110" t="s">
        <v>498</v>
      </c>
      <c r="J110" t="s">
        <v>387</v>
      </c>
      <c r="L110">
        <v>76</v>
      </c>
      <c r="M110">
        <v>46223</v>
      </c>
      <c r="N110">
        <v>46250</v>
      </c>
      <c r="O110">
        <v>2</v>
      </c>
      <c r="P110">
        <v>152</v>
      </c>
      <c r="Q110">
        <v>20</v>
      </c>
      <c r="R110">
        <v>20</v>
      </c>
      <c r="S110">
        <v>20</v>
      </c>
      <c r="U110" t="s">
        <v>483</v>
      </c>
    </row>
    <row r="111" spans="1:21" x14ac:dyDescent="0.25">
      <c r="A111" t="s">
        <v>354</v>
      </c>
      <c r="B111" t="s">
        <v>135</v>
      </c>
      <c r="C111">
        <v>110</v>
      </c>
      <c r="D111" t="s">
        <v>324</v>
      </c>
      <c r="E111" t="s">
        <v>481</v>
      </c>
      <c r="F111" t="s">
        <v>499</v>
      </c>
      <c r="J111" t="s">
        <v>387</v>
      </c>
      <c r="L111">
        <v>76</v>
      </c>
      <c r="M111">
        <v>46223</v>
      </c>
      <c r="N111">
        <v>46250</v>
      </c>
      <c r="O111">
        <v>2</v>
      </c>
      <c r="P111">
        <v>152</v>
      </c>
      <c r="Q111">
        <v>20</v>
      </c>
      <c r="R111">
        <v>20</v>
      </c>
      <c r="S111">
        <v>20</v>
      </c>
      <c r="U111" t="s">
        <v>483</v>
      </c>
    </row>
    <row r="112" spans="1:21" x14ac:dyDescent="0.25">
      <c r="A112" t="s">
        <v>343</v>
      </c>
      <c r="B112" t="s">
        <v>135</v>
      </c>
      <c r="C112">
        <v>111</v>
      </c>
      <c r="D112" t="s">
        <v>324</v>
      </c>
      <c r="E112" t="s">
        <v>481</v>
      </c>
      <c r="F112" t="s">
        <v>500</v>
      </c>
      <c r="J112" t="s">
        <v>387</v>
      </c>
      <c r="L112">
        <v>76</v>
      </c>
      <c r="M112">
        <v>46223</v>
      </c>
      <c r="N112">
        <v>46250</v>
      </c>
      <c r="O112">
        <v>2</v>
      </c>
      <c r="P112">
        <v>152</v>
      </c>
      <c r="Q112">
        <v>20</v>
      </c>
      <c r="R112">
        <v>20</v>
      </c>
      <c r="S112">
        <v>20</v>
      </c>
      <c r="U112" t="s">
        <v>483</v>
      </c>
    </row>
    <row r="113" spans="1:21" x14ac:dyDescent="0.25">
      <c r="A113" t="s">
        <v>344</v>
      </c>
      <c r="B113" t="s">
        <v>135</v>
      </c>
      <c r="C113">
        <v>112</v>
      </c>
      <c r="D113" t="s">
        <v>324</v>
      </c>
      <c r="E113" t="s">
        <v>481</v>
      </c>
      <c r="F113" t="s">
        <v>501</v>
      </c>
      <c r="J113" t="s">
        <v>387</v>
      </c>
      <c r="L113">
        <v>76</v>
      </c>
      <c r="M113">
        <v>46223</v>
      </c>
      <c r="N113">
        <v>46250</v>
      </c>
      <c r="O113">
        <v>2</v>
      </c>
      <c r="P113">
        <v>152</v>
      </c>
      <c r="Q113">
        <v>20</v>
      </c>
      <c r="R113">
        <v>20</v>
      </c>
      <c r="S113">
        <v>20</v>
      </c>
      <c r="U113" t="s">
        <v>483</v>
      </c>
    </row>
    <row r="114" spans="1:21" x14ac:dyDescent="0.25">
      <c r="A114" t="s">
        <v>345</v>
      </c>
      <c r="B114" t="s">
        <v>134</v>
      </c>
      <c r="C114">
        <v>113</v>
      </c>
      <c r="D114" t="s">
        <v>324</v>
      </c>
      <c r="E114" t="s">
        <v>481</v>
      </c>
      <c r="F114" t="s">
        <v>502</v>
      </c>
      <c r="J114" t="s">
        <v>387</v>
      </c>
      <c r="L114">
        <v>75</v>
      </c>
      <c r="M114">
        <v>46223</v>
      </c>
      <c r="N114">
        <v>46250</v>
      </c>
      <c r="O114">
        <v>2</v>
      </c>
      <c r="P114">
        <v>150</v>
      </c>
      <c r="Q114">
        <v>19.736842105263161</v>
      </c>
      <c r="R114">
        <v>19</v>
      </c>
      <c r="S114">
        <v>20</v>
      </c>
      <c r="U114" t="s">
        <v>483</v>
      </c>
    </row>
    <row r="115" spans="1:21" x14ac:dyDescent="0.25">
      <c r="A115" t="s">
        <v>347</v>
      </c>
      <c r="B115" t="s">
        <v>136</v>
      </c>
      <c r="C115">
        <v>114</v>
      </c>
      <c r="D115" t="s">
        <v>324</v>
      </c>
      <c r="E115" t="s">
        <v>481</v>
      </c>
      <c r="F115" t="s">
        <v>502</v>
      </c>
      <c r="J115" t="s">
        <v>387</v>
      </c>
      <c r="L115">
        <v>75</v>
      </c>
      <c r="M115">
        <v>46223</v>
      </c>
      <c r="N115">
        <v>46250</v>
      </c>
      <c r="O115">
        <v>2</v>
      </c>
      <c r="P115">
        <v>150</v>
      </c>
      <c r="Q115">
        <v>19.736842105263161</v>
      </c>
      <c r="R115">
        <v>19</v>
      </c>
      <c r="S115">
        <v>20</v>
      </c>
      <c r="U115" t="s">
        <v>483</v>
      </c>
    </row>
    <row r="116" spans="1:21" x14ac:dyDescent="0.25">
      <c r="A116" t="s">
        <v>349</v>
      </c>
      <c r="B116" t="s">
        <v>135</v>
      </c>
      <c r="C116">
        <v>115</v>
      </c>
      <c r="D116" t="s">
        <v>324</v>
      </c>
      <c r="E116" t="s">
        <v>481</v>
      </c>
      <c r="F116" t="s">
        <v>503</v>
      </c>
      <c r="J116" t="s">
        <v>387</v>
      </c>
      <c r="L116">
        <v>72</v>
      </c>
      <c r="M116">
        <v>46223</v>
      </c>
      <c r="N116">
        <v>46250</v>
      </c>
      <c r="O116">
        <v>2</v>
      </c>
      <c r="P116">
        <v>144</v>
      </c>
      <c r="Q116">
        <v>18.947368421052634</v>
      </c>
      <c r="R116">
        <v>18</v>
      </c>
      <c r="S116">
        <v>20</v>
      </c>
      <c r="U116" t="s">
        <v>483</v>
      </c>
    </row>
    <row r="117" spans="1:21" x14ac:dyDescent="0.25">
      <c r="A117" t="s">
        <v>350</v>
      </c>
      <c r="B117" t="s">
        <v>135</v>
      </c>
      <c r="C117">
        <v>116</v>
      </c>
      <c r="D117" t="s">
        <v>324</v>
      </c>
      <c r="E117" t="s">
        <v>481</v>
      </c>
      <c r="F117" t="s">
        <v>504</v>
      </c>
      <c r="J117" t="s">
        <v>387</v>
      </c>
      <c r="L117">
        <v>40</v>
      </c>
      <c r="M117">
        <v>46223</v>
      </c>
      <c r="N117">
        <v>46250</v>
      </c>
      <c r="O117">
        <v>2</v>
      </c>
      <c r="P117">
        <v>80</v>
      </c>
      <c r="Q117">
        <v>10.526315789473683</v>
      </c>
      <c r="R117">
        <v>10</v>
      </c>
      <c r="S117">
        <v>20</v>
      </c>
      <c r="U117" t="s">
        <v>483</v>
      </c>
    </row>
    <row r="118" spans="1:21" x14ac:dyDescent="0.25">
      <c r="A118" t="s">
        <v>351</v>
      </c>
      <c r="B118" t="s">
        <v>135</v>
      </c>
      <c r="C118">
        <v>117</v>
      </c>
      <c r="D118" t="s">
        <v>324</v>
      </c>
      <c r="E118" t="s">
        <v>481</v>
      </c>
      <c r="F118" t="s">
        <v>505</v>
      </c>
      <c r="J118" t="s">
        <v>387</v>
      </c>
      <c r="L118">
        <v>60</v>
      </c>
      <c r="M118">
        <v>46223</v>
      </c>
      <c r="N118">
        <v>46250</v>
      </c>
      <c r="O118">
        <v>2</v>
      </c>
      <c r="P118">
        <v>120</v>
      </c>
      <c r="Q118">
        <v>15.789473684210527</v>
      </c>
      <c r="R118">
        <v>15</v>
      </c>
      <c r="S118">
        <v>20</v>
      </c>
      <c r="U118" t="s">
        <v>483</v>
      </c>
    </row>
    <row r="119" spans="1:21" x14ac:dyDescent="0.25">
      <c r="A119" t="s">
        <v>352</v>
      </c>
      <c r="B119" t="s">
        <v>135</v>
      </c>
      <c r="C119">
        <v>118</v>
      </c>
      <c r="D119" t="s">
        <v>324</v>
      </c>
      <c r="E119" t="s">
        <v>481</v>
      </c>
      <c r="F119" t="s">
        <v>506</v>
      </c>
      <c r="J119" t="s">
        <v>387</v>
      </c>
      <c r="L119">
        <v>32</v>
      </c>
      <c r="M119">
        <v>46223</v>
      </c>
      <c r="N119">
        <v>46250</v>
      </c>
      <c r="O119">
        <v>2</v>
      </c>
      <c r="P119">
        <v>64</v>
      </c>
      <c r="Q119">
        <v>8.4210526315789469</v>
      </c>
      <c r="R119">
        <v>8</v>
      </c>
      <c r="S119">
        <v>20</v>
      </c>
      <c r="U119" t="s">
        <v>483</v>
      </c>
    </row>
    <row r="120" spans="1:21" x14ac:dyDescent="0.25">
      <c r="A120" t="s">
        <v>346</v>
      </c>
      <c r="B120" t="s">
        <v>135</v>
      </c>
      <c r="C120">
        <v>119</v>
      </c>
      <c r="D120" t="s">
        <v>324</v>
      </c>
      <c r="E120" t="s">
        <v>481</v>
      </c>
      <c r="F120" t="s">
        <v>507</v>
      </c>
      <c r="J120" t="s">
        <v>387</v>
      </c>
      <c r="L120">
        <v>32</v>
      </c>
      <c r="M120">
        <v>46223</v>
      </c>
      <c r="N120">
        <v>46250</v>
      </c>
      <c r="O120">
        <v>2</v>
      </c>
      <c r="P120">
        <v>64</v>
      </c>
      <c r="Q120">
        <v>8.4210526315789469</v>
      </c>
      <c r="R120">
        <v>8</v>
      </c>
      <c r="S120">
        <v>20</v>
      </c>
      <c r="U120" t="s">
        <v>483</v>
      </c>
    </row>
    <row r="121" spans="1:21" x14ac:dyDescent="0.25">
      <c r="A121" t="s">
        <v>338</v>
      </c>
      <c r="B121" t="s">
        <v>135</v>
      </c>
      <c r="C121">
        <v>120</v>
      </c>
      <c r="D121" t="s">
        <v>324</v>
      </c>
      <c r="E121" t="s">
        <v>481</v>
      </c>
      <c r="F121" t="s">
        <v>508</v>
      </c>
      <c r="J121" t="s">
        <v>387</v>
      </c>
      <c r="L121">
        <v>32</v>
      </c>
      <c r="M121">
        <v>46223</v>
      </c>
      <c r="N121">
        <v>46250</v>
      </c>
      <c r="O121">
        <v>2</v>
      </c>
      <c r="P121">
        <v>64</v>
      </c>
      <c r="Q121">
        <v>8.4210526315789469</v>
      </c>
      <c r="R121">
        <v>8</v>
      </c>
      <c r="S121">
        <v>20</v>
      </c>
      <c r="U121" t="s">
        <v>483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96632-5B15-4C73-A3F4-3E5A67AA56BB}">
  <dimension ref="A1:U121"/>
  <sheetViews>
    <sheetView workbookViewId="0"/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</cols>
  <sheetData>
    <row r="1" spans="1:21" x14ac:dyDescent="0.25">
      <c r="A1" t="s">
        <v>147</v>
      </c>
      <c r="B1" t="s">
        <v>79</v>
      </c>
      <c r="C1" t="s">
        <v>242</v>
      </c>
      <c r="D1" t="s">
        <v>243</v>
      </c>
      <c r="E1" t="s">
        <v>366</v>
      </c>
      <c r="F1" t="s">
        <v>367</v>
      </c>
      <c r="G1" t="s">
        <v>368</v>
      </c>
      <c r="H1" t="s">
        <v>369</v>
      </c>
      <c r="I1" t="s">
        <v>370</v>
      </c>
      <c r="J1" t="s">
        <v>371</v>
      </c>
      <c r="K1" t="s">
        <v>372</v>
      </c>
      <c r="L1" t="s">
        <v>373</v>
      </c>
      <c r="M1" t="s">
        <v>374</v>
      </c>
      <c r="N1" t="s">
        <v>375</v>
      </c>
      <c r="O1" t="s">
        <v>376</v>
      </c>
      <c r="P1" t="s">
        <v>377</v>
      </c>
      <c r="Q1" t="s">
        <v>378</v>
      </c>
      <c r="R1" t="s">
        <v>379</v>
      </c>
      <c r="S1" t="s">
        <v>380</v>
      </c>
      <c r="T1" t="s">
        <v>381</v>
      </c>
      <c r="U1" t="s">
        <v>382</v>
      </c>
    </row>
    <row r="2" spans="1:21" x14ac:dyDescent="0.25">
      <c r="A2" t="s">
        <v>365</v>
      </c>
      <c r="B2" t="s">
        <v>134</v>
      </c>
      <c r="C2">
        <v>1</v>
      </c>
      <c r="D2" t="s">
        <v>356</v>
      </c>
      <c r="E2" t="s">
        <v>383</v>
      </c>
      <c r="F2" t="s">
        <v>384</v>
      </c>
      <c r="G2" t="s">
        <v>385</v>
      </c>
      <c r="H2" t="s">
        <v>386</v>
      </c>
      <c r="I2" t="s">
        <v>134</v>
      </c>
      <c r="J2" t="s">
        <v>387</v>
      </c>
      <c r="L2">
        <v>60</v>
      </c>
      <c r="M2">
        <v>46223</v>
      </c>
      <c r="N2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388</v>
      </c>
    </row>
    <row r="3" spans="1:21" x14ac:dyDescent="0.25">
      <c r="A3" t="s">
        <v>302</v>
      </c>
      <c r="B3" t="s">
        <v>134</v>
      </c>
      <c r="C3">
        <v>2</v>
      </c>
      <c r="E3" t="s">
        <v>383</v>
      </c>
      <c r="F3" t="s">
        <v>389</v>
      </c>
      <c r="G3" t="s">
        <v>385</v>
      </c>
      <c r="H3" t="s">
        <v>390</v>
      </c>
      <c r="I3" t="s">
        <v>134</v>
      </c>
      <c r="J3" t="s">
        <v>387</v>
      </c>
      <c r="L3">
        <v>0</v>
      </c>
      <c r="M3">
        <v>46223</v>
      </c>
      <c r="N3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391</v>
      </c>
    </row>
    <row r="4" spans="1:21" x14ac:dyDescent="0.25">
      <c r="A4" t="s">
        <v>301</v>
      </c>
      <c r="B4" t="s">
        <v>136</v>
      </c>
      <c r="C4">
        <v>3</v>
      </c>
      <c r="E4" t="s">
        <v>383</v>
      </c>
      <c r="F4" t="s">
        <v>392</v>
      </c>
      <c r="G4" t="s">
        <v>385</v>
      </c>
      <c r="H4" t="s">
        <v>386</v>
      </c>
      <c r="I4" t="s">
        <v>136</v>
      </c>
      <c r="J4" t="s">
        <v>387</v>
      </c>
      <c r="L4">
        <v>54</v>
      </c>
      <c r="M4">
        <v>46223</v>
      </c>
      <c r="N4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388</v>
      </c>
    </row>
    <row r="5" spans="1:21" x14ac:dyDescent="0.25">
      <c r="A5" t="s">
        <v>300</v>
      </c>
      <c r="B5" t="s">
        <v>134</v>
      </c>
      <c r="C5">
        <v>4</v>
      </c>
      <c r="E5" t="s">
        <v>383</v>
      </c>
      <c r="F5" t="s">
        <v>393</v>
      </c>
      <c r="G5" t="s">
        <v>385</v>
      </c>
      <c r="H5" t="s">
        <v>386</v>
      </c>
      <c r="I5" t="s">
        <v>134</v>
      </c>
      <c r="J5" t="s">
        <v>387</v>
      </c>
      <c r="L5">
        <v>37.5</v>
      </c>
      <c r="M5">
        <v>46223</v>
      </c>
      <c r="N5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388</v>
      </c>
    </row>
    <row r="6" spans="1:21" x14ac:dyDescent="0.25">
      <c r="A6" t="s">
        <v>299</v>
      </c>
      <c r="B6" t="s">
        <v>134</v>
      </c>
      <c r="C6">
        <v>5</v>
      </c>
      <c r="E6" t="s">
        <v>383</v>
      </c>
      <c r="F6" t="s">
        <v>394</v>
      </c>
      <c r="G6" t="s">
        <v>385</v>
      </c>
      <c r="H6" t="s">
        <v>386</v>
      </c>
      <c r="I6" t="s">
        <v>134</v>
      </c>
      <c r="J6" t="s">
        <v>387</v>
      </c>
      <c r="L6">
        <v>60</v>
      </c>
      <c r="M6">
        <v>46223</v>
      </c>
      <c r="N6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388</v>
      </c>
    </row>
    <row r="7" spans="1:21" x14ac:dyDescent="0.25">
      <c r="A7" t="s">
        <v>298</v>
      </c>
      <c r="B7" t="s">
        <v>134</v>
      </c>
      <c r="C7">
        <v>6</v>
      </c>
      <c r="E7" t="s">
        <v>383</v>
      </c>
      <c r="F7" t="s">
        <v>395</v>
      </c>
      <c r="G7" t="s">
        <v>385</v>
      </c>
      <c r="H7" t="s">
        <v>396</v>
      </c>
      <c r="I7" t="s">
        <v>134</v>
      </c>
      <c r="J7" t="s">
        <v>387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397</v>
      </c>
    </row>
    <row r="8" spans="1:21" x14ac:dyDescent="0.25">
      <c r="A8" t="s">
        <v>297</v>
      </c>
      <c r="B8" t="s">
        <v>136</v>
      </c>
      <c r="C8">
        <v>7</v>
      </c>
      <c r="E8" t="s">
        <v>383</v>
      </c>
      <c r="F8" t="s">
        <v>398</v>
      </c>
      <c r="G8" t="s">
        <v>385</v>
      </c>
      <c r="H8" t="s">
        <v>386</v>
      </c>
      <c r="I8" t="s">
        <v>136</v>
      </c>
      <c r="J8" t="s">
        <v>387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388</v>
      </c>
    </row>
    <row r="9" spans="1:21" x14ac:dyDescent="0.25">
      <c r="A9" t="s">
        <v>296</v>
      </c>
      <c r="B9" t="s">
        <v>136</v>
      </c>
      <c r="C9">
        <v>8</v>
      </c>
      <c r="E9" t="s">
        <v>383</v>
      </c>
      <c r="F9" t="s">
        <v>399</v>
      </c>
      <c r="G9" t="s">
        <v>385</v>
      </c>
      <c r="H9" t="s">
        <v>386</v>
      </c>
      <c r="I9" t="s">
        <v>136</v>
      </c>
      <c r="J9" t="s">
        <v>387</v>
      </c>
      <c r="L9">
        <v>39.5</v>
      </c>
      <c r="M9">
        <v>46223</v>
      </c>
      <c r="N9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388</v>
      </c>
    </row>
    <row r="10" spans="1:21" x14ac:dyDescent="0.25">
      <c r="A10" t="s">
        <v>295</v>
      </c>
      <c r="B10" t="s">
        <v>134</v>
      </c>
      <c r="C10">
        <v>9</v>
      </c>
      <c r="E10" t="s">
        <v>383</v>
      </c>
      <c r="F10" t="s">
        <v>400</v>
      </c>
      <c r="G10" t="s">
        <v>385</v>
      </c>
      <c r="H10" t="s">
        <v>390</v>
      </c>
      <c r="I10" t="s">
        <v>134</v>
      </c>
      <c r="J10" t="s">
        <v>387</v>
      </c>
      <c r="L10">
        <v>0</v>
      </c>
      <c r="M10">
        <v>46223</v>
      </c>
      <c r="N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391</v>
      </c>
    </row>
    <row r="11" spans="1:21" x14ac:dyDescent="0.25">
      <c r="A11" t="s">
        <v>294</v>
      </c>
      <c r="B11" t="s">
        <v>134</v>
      </c>
      <c r="C11">
        <v>10</v>
      </c>
      <c r="E11" t="s">
        <v>383</v>
      </c>
      <c r="F11" t="s">
        <v>401</v>
      </c>
      <c r="G11" t="s">
        <v>385</v>
      </c>
      <c r="H11" t="s">
        <v>386</v>
      </c>
      <c r="I11" t="s">
        <v>134</v>
      </c>
      <c r="J11" t="s">
        <v>387</v>
      </c>
      <c r="L11">
        <v>52.5</v>
      </c>
      <c r="M11">
        <v>46223</v>
      </c>
      <c r="N11">
        <v>46250</v>
      </c>
      <c r="O11">
        <v>2</v>
      </c>
      <c r="P11">
        <v>105</v>
      </c>
      <c r="Q11">
        <v>13.815789473684212</v>
      </c>
      <c r="R11">
        <v>13</v>
      </c>
      <c r="S11">
        <v>20</v>
      </c>
      <c r="T11">
        <v>13</v>
      </c>
      <c r="U11" t="s">
        <v>388</v>
      </c>
    </row>
    <row r="12" spans="1:21" x14ac:dyDescent="0.25">
      <c r="A12" t="s">
        <v>293</v>
      </c>
      <c r="B12" t="s">
        <v>136</v>
      </c>
      <c r="C12">
        <v>11</v>
      </c>
      <c r="E12" t="s">
        <v>383</v>
      </c>
      <c r="F12" t="s">
        <v>402</v>
      </c>
      <c r="G12" t="s">
        <v>385</v>
      </c>
      <c r="H12" t="s">
        <v>386</v>
      </c>
      <c r="I12" t="s">
        <v>136</v>
      </c>
      <c r="J12" t="s">
        <v>387</v>
      </c>
      <c r="L12">
        <v>66.5</v>
      </c>
      <c r="M12">
        <v>46223</v>
      </c>
      <c r="N12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388</v>
      </c>
    </row>
    <row r="13" spans="1:21" x14ac:dyDescent="0.25">
      <c r="A13" t="s">
        <v>292</v>
      </c>
      <c r="B13" t="s">
        <v>134</v>
      </c>
      <c r="C13">
        <v>12</v>
      </c>
      <c r="E13" t="s">
        <v>383</v>
      </c>
      <c r="F13" t="s">
        <v>403</v>
      </c>
      <c r="G13" t="s">
        <v>385</v>
      </c>
      <c r="H13" t="s">
        <v>386</v>
      </c>
      <c r="I13" t="s">
        <v>134</v>
      </c>
      <c r="J13" t="s">
        <v>387</v>
      </c>
      <c r="L13">
        <v>52.5</v>
      </c>
      <c r="M13">
        <v>46223</v>
      </c>
      <c r="N13">
        <v>46250</v>
      </c>
      <c r="O13">
        <v>2</v>
      </c>
      <c r="P13">
        <v>105</v>
      </c>
      <c r="Q13">
        <v>13.815789473684212</v>
      </c>
      <c r="R13">
        <v>13</v>
      </c>
      <c r="S13">
        <v>20</v>
      </c>
      <c r="T13">
        <v>13</v>
      </c>
      <c r="U13" t="s">
        <v>388</v>
      </c>
    </row>
    <row r="14" spans="1:21" x14ac:dyDescent="0.25">
      <c r="A14" t="s">
        <v>291</v>
      </c>
      <c r="B14" t="s">
        <v>134</v>
      </c>
      <c r="C14">
        <v>13</v>
      </c>
      <c r="E14" t="s">
        <v>383</v>
      </c>
      <c r="F14" t="s">
        <v>404</v>
      </c>
      <c r="G14" t="s">
        <v>385</v>
      </c>
      <c r="H14" t="s">
        <v>386</v>
      </c>
      <c r="I14" t="s">
        <v>134</v>
      </c>
      <c r="J14" t="s">
        <v>387</v>
      </c>
      <c r="L14">
        <v>52.5</v>
      </c>
      <c r="M14">
        <v>46223</v>
      </c>
      <c r="N14">
        <v>46250</v>
      </c>
      <c r="O14">
        <v>2</v>
      </c>
      <c r="P14">
        <v>105</v>
      </c>
      <c r="Q14">
        <v>13.815789473684212</v>
      </c>
      <c r="R14">
        <v>13</v>
      </c>
      <c r="S14">
        <v>20</v>
      </c>
      <c r="T14">
        <v>13</v>
      </c>
      <c r="U14" t="s">
        <v>388</v>
      </c>
    </row>
    <row r="15" spans="1:21" x14ac:dyDescent="0.25">
      <c r="A15" t="s">
        <v>290</v>
      </c>
      <c r="B15" t="s">
        <v>136</v>
      </c>
      <c r="C15">
        <v>14</v>
      </c>
      <c r="E15" t="s">
        <v>383</v>
      </c>
      <c r="F15" t="s">
        <v>405</v>
      </c>
      <c r="G15" t="s">
        <v>385</v>
      </c>
      <c r="H15" t="s">
        <v>386</v>
      </c>
      <c r="I15" t="s">
        <v>136</v>
      </c>
      <c r="J15" t="s">
        <v>387</v>
      </c>
      <c r="L15">
        <v>48</v>
      </c>
      <c r="M15">
        <v>46223</v>
      </c>
      <c r="N15">
        <v>46250</v>
      </c>
      <c r="O15">
        <v>2</v>
      </c>
      <c r="P15">
        <v>96</v>
      </c>
      <c r="Q15">
        <v>12.631578947368419</v>
      </c>
      <c r="R15">
        <v>12</v>
      </c>
      <c r="S15">
        <v>20</v>
      </c>
      <c r="T15">
        <v>12</v>
      </c>
      <c r="U15" t="s">
        <v>388</v>
      </c>
    </row>
    <row r="16" spans="1:21" x14ac:dyDescent="0.25">
      <c r="A16" t="s">
        <v>289</v>
      </c>
      <c r="B16" t="s">
        <v>134</v>
      </c>
      <c r="C16">
        <v>15</v>
      </c>
      <c r="E16" t="s">
        <v>383</v>
      </c>
      <c r="F16" t="s">
        <v>406</v>
      </c>
      <c r="G16" t="s">
        <v>385</v>
      </c>
      <c r="H16" t="s">
        <v>386</v>
      </c>
      <c r="I16" t="s">
        <v>134</v>
      </c>
      <c r="J16" t="s">
        <v>387</v>
      </c>
      <c r="L16">
        <v>60</v>
      </c>
      <c r="M16">
        <v>46223</v>
      </c>
      <c r="N16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388</v>
      </c>
    </row>
    <row r="17" spans="1:21" x14ac:dyDescent="0.25">
      <c r="A17" t="s">
        <v>288</v>
      </c>
      <c r="B17" t="s">
        <v>134</v>
      </c>
      <c r="C17">
        <v>16</v>
      </c>
      <c r="E17" t="s">
        <v>383</v>
      </c>
      <c r="F17" t="s">
        <v>407</v>
      </c>
      <c r="G17" t="s">
        <v>385</v>
      </c>
      <c r="H17" t="s">
        <v>390</v>
      </c>
      <c r="I17" t="s">
        <v>134</v>
      </c>
      <c r="J17" t="s">
        <v>387</v>
      </c>
      <c r="L17">
        <v>0</v>
      </c>
      <c r="M17">
        <v>46223</v>
      </c>
      <c r="N17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391</v>
      </c>
    </row>
    <row r="18" spans="1:21" x14ac:dyDescent="0.25">
      <c r="A18" t="s">
        <v>287</v>
      </c>
      <c r="B18" t="s">
        <v>134</v>
      </c>
      <c r="C18">
        <v>17</v>
      </c>
      <c r="E18" t="s">
        <v>383</v>
      </c>
      <c r="F18" t="s">
        <v>408</v>
      </c>
      <c r="G18" t="s">
        <v>385</v>
      </c>
      <c r="H18" t="s">
        <v>386</v>
      </c>
      <c r="I18" t="s">
        <v>134</v>
      </c>
      <c r="J18" t="s">
        <v>387</v>
      </c>
      <c r="L18">
        <v>30</v>
      </c>
      <c r="M18">
        <v>46223</v>
      </c>
      <c r="N18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388</v>
      </c>
    </row>
    <row r="19" spans="1:21" x14ac:dyDescent="0.25">
      <c r="A19" t="s">
        <v>286</v>
      </c>
      <c r="B19" t="s">
        <v>136</v>
      </c>
      <c r="C19">
        <v>18</v>
      </c>
      <c r="E19" t="s">
        <v>383</v>
      </c>
      <c r="F19" t="s">
        <v>409</v>
      </c>
      <c r="G19" t="s">
        <v>385</v>
      </c>
      <c r="H19" t="s">
        <v>386</v>
      </c>
      <c r="I19" t="s">
        <v>136</v>
      </c>
      <c r="J19" t="s">
        <v>387</v>
      </c>
      <c r="L19">
        <v>52.5</v>
      </c>
      <c r="M19">
        <v>46223</v>
      </c>
      <c r="N19">
        <v>46250</v>
      </c>
      <c r="O19">
        <v>2</v>
      </c>
      <c r="P19">
        <v>105</v>
      </c>
      <c r="Q19">
        <v>13.815789473684212</v>
      </c>
      <c r="R19">
        <v>13</v>
      </c>
      <c r="S19">
        <v>20</v>
      </c>
      <c r="T19">
        <v>13</v>
      </c>
      <c r="U19" t="s">
        <v>388</v>
      </c>
    </row>
    <row r="20" spans="1:21" x14ac:dyDescent="0.25">
      <c r="A20" t="s">
        <v>303</v>
      </c>
      <c r="B20" t="s">
        <v>134</v>
      </c>
      <c r="C20">
        <v>19</v>
      </c>
      <c r="E20" t="s">
        <v>383</v>
      </c>
      <c r="F20" t="s">
        <v>410</v>
      </c>
      <c r="G20" t="s">
        <v>385</v>
      </c>
      <c r="H20" t="s">
        <v>386</v>
      </c>
      <c r="I20" t="s">
        <v>134</v>
      </c>
      <c r="J20" t="s">
        <v>387</v>
      </c>
      <c r="L20">
        <v>67.5</v>
      </c>
      <c r="M20">
        <v>46223</v>
      </c>
      <c r="N2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388</v>
      </c>
    </row>
    <row r="21" spans="1:21" x14ac:dyDescent="0.25">
      <c r="A21" t="s">
        <v>305</v>
      </c>
      <c r="B21" t="s">
        <v>134</v>
      </c>
      <c r="C21">
        <v>20</v>
      </c>
      <c r="E21" t="s">
        <v>383</v>
      </c>
      <c r="F21" t="s">
        <v>411</v>
      </c>
      <c r="G21" t="s">
        <v>385</v>
      </c>
      <c r="H21" t="s">
        <v>386</v>
      </c>
      <c r="I21" t="s">
        <v>134</v>
      </c>
      <c r="J21" t="s">
        <v>387</v>
      </c>
      <c r="L21">
        <v>75</v>
      </c>
      <c r="M21">
        <v>46223</v>
      </c>
      <c r="N21">
        <v>46250</v>
      </c>
      <c r="O21">
        <v>2</v>
      </c>
      <c r="P21">
        <v>150</v>
      </c>
      <c r="Q21">
        <v>19.736842105263161</v>
      </c>
      <c r="R21">
        <v>19</v>
      </c>
      <c r="S21">
        <v>20</v>
      </c>
      <c r="T21">
        <v>19</v>
      </c>
      <c r="U21" t="s">
        <v>388</v>
      </c>
    </row>
    <row r="22" spans="1:21" x14ac:dyDescent="0.25">
      <c r="A22" t="s">
        <v>363</v>
      </c>
      <c r="B22" t="s">
        <v>134</v>
      </c>
      <c r="C22">
        <v>21</v>
      </c>
      <c r="D22" t="s">
        <v>356</v>
      </c>
      <c r="E22" t="s">
        <v>383</v>
      </c>
      <c r="F22" t="s">
        <v>412</v>
      </c>
      <c r="G22" t="s">
        <v>385</v>
      </c>
      <c r="H22" t="s">
        <v>386</v>
      </c>
      <c r="I22" t="s">
        <v>134</v>
      </c>
      <c r="J22" t="s">
        <v>387</v>
      </c>
      <c r="L22">
        <v>30</v>
      </c>
      <c r="M22">
        <v>46223</v>
      </c>
      <c r="N22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388</v>
      </c>
    </row>
    <row r="23" spans="1:21" x14ac:dyDescent="0.25">
      <c r="A23" t="s">
        <v>306</v>
      </c>
      <c r="B23" t="s">
        <v>134</v>
      </c>
      <c r="C23">
        <v>22</v>
      </c>
      <c r="E23" t="s">
        <v>383</v>
      </c>
      <c r="F23" t="s">
        <v>413</v>
      </c>
      <c r="G23" t="s">
        <v>385</v>
      </c>
      <c r="H23" t="s">
        <v>386</v>
      </c>
      <c r="I23" t="s">
        <v>134</v>
      </c>
      <c r="J23" t="s">
        <v>387</v>
      </c>
      <c r="L23">
        <v>52.5</v>
      </c>
      <c r="M23">
        <v>46223</v>
      </c>
      <c r="N23">
        <v>46250</v>
      </c>
      <c r="O23">
        <v>2</v>
      </c>
      <c r="P23">
        <v>105</v>
      </c>
      <c r="Q23">
        <v>13.815789473684212</v>
      </c>
      <c r="R23">
        <v>13</v>
      </c>
      <c r="S23">
        <v>20</v>
      </c>
      <c r="T23">
        <v>13</v>
      </c>
      <c r="U23" t="s">
        <v>388</v>
      </c>
    </row>
    <row r="24" spans="1:21" x14ac:dyDescent="0.25">
      <c r="A24" t="s">
        <v>320</v>
      </c>
      <c r="B24" t="s">
        <v>136</v>
      </c>
      <c r="C24">
        <v>23</v>
      </c>
      <c r="E24" t="s">
        <v>383</v>
      </c>
      <c r="F24" t="s">
        <v>414</v>
      </c>
      <c r="G24" t="s">
        <v>385</v>
      </c>
      <c r="H24" t="s">
        <v>386</v>
      </c>
      <c r="I24" t="s">
        <v>136</v>
      </c>
      <c r="J24" t="s">
        <v>387</v>
      </c>
      <c r="L24">
        <v>72</v>
      </c>
      <c r="M24">
        <v>46223</v>
      </c>
      <c r="N24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388</v>
      </c>
    </row>
    <row r="25" spans="1:21" x14ac:dyDescent="0.25">
      <c r="A25" t="s">
        <v>319</v>
      </c>
      <c r="B25" t="s">
        <v>134</v>
      </c>
      <c r="C25">
        <v>24</v>
      </c>
      <c r="E25" t="s">
        <v>383</v>
      </c>
      <c r="F25" t="s">
        <v>415</v>
      </c>
      <c r="G25" t="s">
        <v>385</v>
      </c>
      <c r="H25" t="s">
        <v>386</v>
      </c>
      <c r="I25" t="s">
        <v>134</v>
      </c>
      <c r="J25" t="s">
        <v>387</v>
      </c>
      <c r="L25">
        <v>60</v>
      </c>
      <c r="M25">
        <v>46223</v>
      </c>
      <c r="N25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388</v>
      </c>
    </row>
    <row r="26" spans="1:21" x14ac:dyDescent="0.25">
      <c r="A26" t="s">
        <v>318</v>
      </c>
      <c r="B26" t="s">
        <v>134</v>
      </c>
      <c r="C26">
        <v>25</v>
      </c>
      <c r="E26" t="s">
        <v>383</v>
      </c>
      <c r="F26" t="s">
        <v>416</v>
      </c>
      <c r="G26" t="s">
        <v>385</v>
      </c>
      <c r="H26" t="s">
        <v>386</v>
      </c>
      <c r="I26" t="s">
        <v>134</v>
      </c>
      <c r="J26" t="s">
        <v>387</v>
      </c>
      <c r="L26">
        <v>37.5</v>
      </c>
      <c r="M26">
        <v>46223</v>
      </c>
      <c r="N26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388</v>
      </c>
    </row>
    <row r="27" spans="1:21" x14ac:dyDescent="0.25">
      <c r="A27" t="s">
        <v>317</v>
      </c>
      <c r="B27" t="s">
        <v>134</v>
      </c>
      <c r="C27">
        <v>26</v>
      </c>
      <c r="E27" t="s">
        <v>383</v>
      </c>
      <c r="F27" t="s">
        <v>417</v>
      </c>
      <c r="G27" t="s">
        <v>385</v>
      </c>
      <c r="H27" t="s">
        <v>386</v>
      </c>
      <c r="I27" t="s">
        <v>134</v>
      </c>
      <c r="J27" t="s">
        <v>387</v>
      </c>
      <c r="L27">
        <v>67.5</v>
      </c>
      <c r="M27">
        <v>46223</v>
      </c>
      <c r="N27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388</v>
      </c>
    </row>
    <row r="28" spans="1:21" x14ac:dyDescent="0.25">
      <c r="A28" t="s">
        <v>316</v>
      </c>
      <c r="B28" t="s">
        <v>134</v>
      </c>
      <c r="C28">
        <v>27</v>
      </c>
      <c r="E28" t="s">
        <v>383</v>
      </c>
      <c r="F28" t="s">
        <v>418</v>
      </c>
      <c r="G28" t="s">
        <v>385</v>
      </c>
      <c r="H28" t="s">
        <v>386</v>
      </c>
      <c r="I28" t="s">
        <v>134</v>
      </c>
      <c r="J28" t="s">
        <v>387</v>
      </c>
      <c r="L28">
        <v>60</v>
      </c>
      <c r="M28">
        <v>46223</v>
      </c>
      <c r="N28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388</v>
      </c>
    </row>
    <row r="29" spans="1:21" x14ac:dyDescent="0.25">
      <c r="A29" t="s">
        <v>315</v>
      </c>
      <c r="B29" t="s">
        <v>134</v>
      </c>
      <c r="C29">
        <v>28</v>
      </c>
      <c r="E29" t="s">
        <v>383</v>
      </c>
      <c r="F29" t="s">
        <v>419</v>
      </c>
      <c r="G29" t="s">
        <v>385</v>
      </c>
      <c r="H29" t="s">
        <v>386</v>
      </c>
      <c r="I29" t="s">
        <v>134</v>
      </c>
      <c r="J29" t="s">
        <v>387</v>
      </c>
      <c r="L29">
        <v>30</v>
      </c>
      <c r="M29">
        <v>46223</v>
      </c>
      <c r="N29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388</v>
      </c>
    </row>
    <row r="30" spans="1:21" x14ac:dyDescent="0.25">
      <c r="A30" t="s">
        <v>321</v>
      </c>
      <c r="B30" t="s">
        <v>134</v>
      </c>
      <c r="C30">
        <v>29</v>
      </c>
      <c r="E30" t="s">
        <v>383</v>
      </c>
      <c r="F30" t="s">
        <v>420</v>
      </c>
      <c r="G30" t="s">
        <v>385</v>
      </c>
      <c r="H30" t="s">
        <v>386</v>
      </c>
      <c r="I30" t="s">
        <v>134</v>
      </c>
      <c r="J30" t="s">
        <v>387</v>
      </c>
      <c r="L30">
        <v>60</v>
      </c>
      <c r="M30">
        <v>46223</v>
      </c>
      <c r="N3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388</v>
      </c>
    </row>
    <row r="31" spans="1:21" x14ac:dyDescent="0.25">
      <c r="A31" t="s">
        <v>313</v>
      </c>
      <c r="B31" t="s">
        <v>134</v>
      </c>
      <c r="C31">
        <v>30</v>
      </c>
      <c r="E31" t="s">
        <v>383</v>
      </c>
      <c r="F31" t="s">
        <v>421</v>
      </c>
      <c r="G31" t="s">
        <v>385</v>
      </c>
      <c r="H31" t="s">
        <v>386</v>
      </c>
      <c r="I31" t="s">
        <v>134</v>
      </c>
      <c r="J31" t="s">
        <v>387</v>
      </c>
      <c r="L31">
        <v>67.5</v>
      </c>
      <c r="M31">
        <v>46223</v>
      </c>
      <c r="N31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388</v>
      </c>
    </row>
    <row r="32" spans="1:21" x14ac:dyDescent="0.25">
      <c r="A32" t="s">
        <v>314</v>
      </c>
      <c r="B32" t="s">
        <v>134</v>
      </c>
      <c r="C32">
        <v>31</v>
      </c>
      <c r="E32" t="s">
        <v>383</v>
      </c>
      <c r="F32" t="s">
        <v>422</v>
      </c>
      <c r="G32" t="s">
        <v>385</v>
      </c>
      <c r="H32" t="s">
        <v>386</v>
      </c>
      <c r="I32" t="s">
        <v>134</v>
      </c>
      <c r="J32" t="s">
        <v>387</v>
      </c>
      <c r="L32">
        <v>60</v>
      </c>
      <c r="M32">
        <v>46223</v>
      </c>
      <c r="N32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388</v>
      </c>
    </row>
    <row r="33" spans="1:21" x14ac:dyDescent="0.25">
      <c r="A33" t="s">
        <v>362</v>
      </c>
      <c r="B33" t="s">
        <v>134</v>
      </c>
      <c r="C33">
        <v>32</v>
      </c>
      <c r="D33" t="s">
        <v>356</v>
      </c>
      <c r="E33" t="s">
        <v>383</v>
      </c>
      <c r="F33" t="s">
        <v>423</v>
      </c>
      <c r="G33" t="s">
        <v>385</v>
      </c>
      <c r="H33" t="s">
        <v>386</v>
      </c>
      <c r="I33" t="s">
        <v>134</v>
      </c>
      <c r="J33" t="s">
        <v>387</v>
      </c>
      <c r="L33">
        <v>30</v>
      </c>
      <c r="M33">
        <v>46223</v>
      </c>
      <c r="N33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388</v>
      </c>
    </row>
    <row r="34" spans="1:21" x14ac:dyDescent="0.25">
      <c r="A34" t="s">
        <v>312</v>
      </c>
      <c r="B34" t="s">
        <v>136</v>
      </c>
      <c r="C34">
        <v>33</v>
      </c>
      <c r="E34" t="s">
        <v>383</v>
      </c>
      <c r="F34" t="s">
        <v>424</v>
      </c>
      <c r="G34" t="s">
        <v>385</v>
      </c>
      <c r="H34" t="s">
        <v>386</v>
      </c>
      <c r="I34" t="s">
        <v>136</v>
      </c>
      <c r="J34" t="s">
        <v>387</v>
      </c>
      <c r="L34">
        <v>52.5</v>
      </c>
      <c r="M34">
        <v>46223</v>
      </c>
      <c r="N34">
        <v>46250</v>
      </c>
      <c r="O34">
        <v>2</v>
      </c>
      <c r="P34">
        <v>105</v>
      </c>
      <c r="Q34">
        <v>13.815789473684212</v>
      </c>
      <c r="R34">
        <v>13</v>
      </c>
      <c r="S34">
        <v>20</v>
      </c>
      <c r="T34">
        <v>13</v>
      </c>
      <c r="U34" t="s">
        <v>388</v>
      </c>
    </row>
    <row r="35" spans="1:21" x14ac:dyDescent="0.25">
      <c r="A35" t="s">
        <v>361</v>
      </c>
      <c r="B35" t="s">
        <v>136</v>
      </c>
      <c r="C35">
        <v>34</v>
      </c>
      <c r="D35" t="s">
        <v>356</v>
      </c>
      <c r="E35" t="s">
        <v>383</v>
      </c>
      <c r="F35" t="s">
        <v>425</v>
      </c>
      <c r="G35" t="s">
        <v>385</v>
      </c>
      <c r="H35" t="s">
        <v>386</v>
      </c>
      <c r="I35" t="s">
        <v>136</v>
      </c>
      <c r="J35" t="s">
        <v>387</v>
      </c>
      <c r="L35">
        <v>60</v>
      </c>
      <c r="M35">
        <v>46223</v>
      </c>
      <c r="N35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388</v>
      </c>
    </row>
    <row r="36" spans="1:21" x14ac:dyDescent="0.25">
      <c r="A36" t="s">
        <v>310</v>
      </c>
      <c r="B36" t="s">
        <v>136</v>
      </c>
      <c r="C36">
        <v>35</v>
      </c>
      <c r="E36" t="s">
        <v>383</v>
      </c>
      <c r="F36" t="s">
        <v>426</v>
      </c>
      <c r="G36" t="s">
        <v>385</v>
      </c>
      <c r="H36" t="s">
        <v>386</v>
      </c>
      <c r="I36" t="s">
        <v>136</v>
      </c>
      <c r="J36" t="s">
        <v>387</v>
      </c>
      <c r="L36">
        <v>16</v>
      </c>
      <c r="M36">
        <v>46223</v>
      </c>
      <c r="N36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388</v>
      </c>
    </row>
    <row r="37" spans="1:21" x14ac:dyDescent="0.25">
      <c r="A37" t="s">
        <v>309</v>
      </c>
      <c r="B37" t="s">
        <v>134</v>
      </c>
      <c r="C37">
        <v>36</v>
      </c>
      <c r="E37" t="s">
        <v>383</v>
      </c>
      <c r="F37" t="s">
        <v>427</v>
      </c>
      <c r="G37" t="s">
        <v>385</v>
      </c>
      <c r="H37" t="s">
        <v>386</v>
      </c>
      <c r="I37" t="s">
        <v>134</v>
      </c>
      <c r="J37" t="s">
        <v>387</v>
      </c>
      <c r="L37">
        <v>75</v>
      </c>
      <c r="M37">
        <v>46223</v>
      </c>
      <c r="N37">
        <v>46250</v>
      </c>
      <c r="O37">
        <v>2</v>
      </c>
      <c r="P37">
        <v>150</v>
      </c>
      <c r="Q37">
        <v>19.736842105263161</v>
      </c>
      <c r="R37">
        <v>19</v>
      </c>
      <c r="S37">
        <v>20</v>
      </c>
      <c r="T37">
        <v>19</v>
      </c>
      <c r="U37" t="s">
        <v>388</v>
      </c>
    </row>
    <row r="38" spans="1:21" x14ac:dyDescent="0.25">
      <c r="A38" t="s">
        <v>308</v>
      </c>
      <c r="B38" t="s">
        <v>134</v>
      </c>
      <c r="C38">
        <v>37</v>
      </c>
      <c r="E38" t="s">
        <v>383</v>
      </c>
      <c r="F38" t="s">
        <v>428</v>
      </c>
      <c r="G38" t="s">
        <v>385</v>
      </c>
      <c r="H38" t="s">
        <v>390</v>
      </c>
      <c r="I38" t="s">
        <v>134</v>
      </c>
      <c r="J38" t="s">
        <v>387</v>
      </c>
      <c r="L38">
        <v>0</v>
      </c>
      <c r="M38">
        <v>46223</v>
      </c>
      <c r="N38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391</v>
      </c>
    </row>
    <row r="39" spans="1:21" x14ac:dyDescent="0.25">
      <c r="A39" t="s">
        <v>307</v>
      </c>
      <c r="B39" t="s">
        <v>134</v>
      </c>
      <c r="C39">
        <v>38</v>
      </c>
      <c r="E39" t="s">
        <v>383</v>
      </c>
      <c r="F39" t="s">
        <v>429</v>
      </c>
      <c r="G39" t="s">
        <v>385</v>
      </c>
      <c r="H39" t="s">
        <v>386</v>
      </c>
      <c r="I39" t="s">
        <v>134</v>
      </c>
      <c r="J39" t="s">
        <v>387</v>
      </c>
      <c r="L39">
        <v>60</v>
      </c>
      <c r="M39">
        <v>46223</v>
      </c>
      <c r="N39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388</v>
      </c>
    </row>
    <row r="40" spans="1:21" x14ac:dyDescent="0.25">
      <c r="A40" t="s">
        <v>285</v>
      </c>
      <c r="B40" t="s">
        <v>136</v>
      </c>
      <c r="C40">
        <v>39</v>
      </c>
      <c r="E40" t="s">
        <v>383</v>
      </c>
      <c r="F40" t="s">
        <v>430</v>
      </c>
      <c r="G40" t="s">
        <v>385</v>
      </c>
      <c r="H40" t="s">
        <v>390</v>
      </c>
      <c r="I40" t="s">
        <v>136</v>
      </c>
      <c r="J40" t="s">
        <v>387</v>
      </c>
      <c r="L40">
        <v>0</v>
      </c>
      <c r="M40">
        <v>46223</v>
      </c>
      <c r="N4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391</v>
      </c>
    </row>
    <row r="41" spans="1:21" x14ac:dyDescent="0.25">
      <c r="A41" t="s">
        <v>304</v>
      </c>
      <c r="B41" t="s">
        <v>134</v>
      </c>
      <c r="C41">
        <v>40</v>
      </c>
      <c r="E41" t="s">
        <v>383</v>
      </c>
      <c r="F41" t="s">
        <v>431</v>
      </c>
      <c r="G41" t="s">
        <v>385</v>
      </c>
      <c r="H41" t="s">
        <v>386</v>
      </c>
      <c r="I41" t="s">
        <v>134</v>
      </c>
      <c r="J41" t="s">
        <v>387</v>
      </c>
      <c r="L41">
        <v>22.5</v>
      </c>
      <c r="M41">
        <v>46223</v>
      </c>
      <c r="N41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388</v>
      </c>
    </row>
    <row r="42" spans="1:21" x14ac:dyDescent="0.25">
      <c r="A42" t="s">
        <v>284</v>
      </c>
      <c r="B42" t="s">
        <v>134</v>
      </c>
      <c r="C42">
        <v>41</v>
      </c>
      <c r="E42" t="s">
        <v>383</v>
      </c>
      <c r="F42" t="s">
        <v>432</v>
      </c>
      <c r="G42" t="s">
        <v>385</v>
      </c>
      <c r="H42" t="s">
        <v>386</v>
      </c>
      <c r="I42" t="s">
        <v>134</v>
      </c>
      <c r="J42" t="s">
        <v>387</v>
      </c>
      <c r="L42">
        <v>52.5</v>
      </c>
      <c r="M42">
        <v>46223</v>
      </c>
      <c r="N42">
        <v>46250</v>
      </c>
      <c r="O42">
        <v>2</v>
      </c>
      <c r="P42">
        <v>105</v>
      </c>
      <c r="Q42">
        <v>13.815789473684212</v>
      </c>
      <c r="R42">
        <v>13</v>
      </c>
      <c r="S42">
        <v>20</v>
      </c>
      <c r="T42">
        <v>13</v>
      </c>
      <c r="U42" t="s">
        <v>388</v>
      </c>
    </row>
    <row r="43" spans="1:21" x14ac:dyDescent="0.25">
      <c r="A43" t="s">
        <v>282</v>
      </c>
      <c r="B43" t="s">
        <v>134</v>
      </c>
      <c r="C43">
        <v>42</v>
      </c>
      <c r="E43" t="s">
        <v>383</v>
      </c>
      <c r="F43" t="s">
        <v>433</v>
      </c>
      <c r="G43" t="s">
        <v>385</v>
      </c>
      <c r="H43" t="s">
        <v>386</v>
      </c>
      <c r="I43" t="s">
        <v>134</v>
      </c>
      <c r="J43" t="s">
        <v>387</v>
      </c>
      <c r="L43">
        <v>52.5</v>
      </c>
      <c r="M43">
        <v>46223</v>
      </c>
      <c r="N43">
        <v>46250</v>
      </c>
      <c r="O43">
        <v>2</v>
      </c>
      <c r="P43">
        <v>105</v>
      </c>
      <c r="Q43">
        <v>13.815789473684212</v>
      </c>
      <c r="R43">
        <v>13</v>
      </c>
      <c r="S43">
        <v>20</v>
      </c>
      <c r="T43">
        <v>13</v>
      </c>
      <c r="U43" t="s">
        <v>388</v>
      </c>
    </row>
    <row r="44" spans="1:21" x14ac:dyDescent="0.25">
      <c r="A44" t="s">
        <v>260</v>
      </c>
      <c r="B44" t="s">
        <v>134</v>
      </c>
      <c r="C44">
        <v>43</v>
      </c>
      <c r="E44" t="s">
        <v>383</v>
      </c>
      <c r="F44" t="s">
        <v>434</v>
      </c>
      <c r="G44" t="s">
        <v>385</v>
      </c>
      <c r="H44" t="s">
        <v>390</v>
      </c>
      <c r="I44" t="s">
        <v>134</v>
      </c>
      <c r="J44" t="s">
        <v>387</v>
      </c>
      <c r="L44">
        <v>0</v>
      </c>
      <c r="M44">
        <v>46223</v>
      </c>
      <c r="N44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391</v>
      </c>
    </row>
    <row r="45" spans="1:21" x14ac:dyDescent="0.25">
      <c r="A45" t="s">
        <v>259</v>
      </c>
      <c r="B45" t="s">
        <v>134</v>
      </c>
      <c r="C45">
        <v>44</v>
      </c>
      <c r="E45" t="s">
        <v>383</v>
      </c>
      <c r="F45" t="s">
        <v>435</v>
      </c>
      <c r="G45" t="s">
        <v>385</v>
      </c>
      <c r="H45" t="s">
        <v>386</v>
      </c>
      <c r="I45" t="s">
        <v>134</v>
      </c>
      <c r="J45" t="s">
        <v>387</v>
      </c>
      <c r="L45">
        <v>37.5</v>
      </c>
      <c r="M45">
        <v>46223</v>
      </c>
      <c r="N45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388</v>
      </c>
    </row>
    <row r="46" spans="1:21" x14ac:dyDescent="0.25">
      <c r="A46" t="s">
        <v>258</v>
      </c>
      <c r="B46" t="s">
        <v>136</v>
      </c>
      <c r="C46">
        <v>45</v>
      </c>
      <c r="E46" t="s">
        <v>383</v>
      </c>
      <c r="F46" t="s">
        <v>436</v>
      </c>
      <c r="G46" t="s">
        <v>385</v>
      </c>
      <c r="H46" t="s">
        <v>386</v>
      </c>
      <c r="I46" t="s">
        <v>136</v>
      </c>
      <c r="J46" t="s">
        <v>387</v>
      </c>
      <c r="L46">
        <v>70</v>
      </c>
      <c r="M46">
        <v>46223</v>
      </c>
      <c r="N46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388</v>
      </c>
    </row>
    <row r="47" spans="1:21" x14ac:dyDescent="0.25">
      <c r="A47" t="s">
        <v>257</v>
      </c>
      <c r="B47" t="s">
        <v>134</v>
      </c>
      <c r="C47">
        <v>46</v>
      </c>
      <c r="E47" t="s">
        <v>383</v>
      </c>
      <c r="F47" t="s">
        <v>437</v>
      </c>
      <c r="G47" t="s">
        <v>385</v>
      </c>
      <c r="H47" t="s">
        <v>386</v>
      </c>
      <c r="I47" t="s">
        <v>134</v>
      </c>
      <c r="J47" t="s">
        <v>387</v>
      </c>
      <c r="L47">
        <v>67.5</v>
      </c>
      <c r="M47">
        <v>46223</v>
      </c>
      <c r="N47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388</v>
      </c>
    </row>
    <row r="48" spans="1:21" x14ac:dyDescent="0.25">
      <c r="A48" t="s">
        <v>360</v>
      </c>
      <c r="B48" t="s">
        <v>135</v>
      </c>
      <c r="C48">
        <v>47</v>
      </c>
      <c r="D48" t="s">
        <v>356</v>
      </c>
      <c r="E48" t="s">
        <v>383</v>
      </c>
      <c r="F48" t="s">
        <v>438</v>
      </c>
      <c r="G48" t="s">
        <v>385</v>
      </c>
      <c r="H48" t="s">
        <v>386</v>
      </c>
      <c r="I48" t="s">
        <v>135</v>
      </c>
      <c r="J48" t="s">
        <v>387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388</v>
      </c>
    </row>
    <row r="49" spans="1:21" x14ac:dyDescent="0.25">
      <c r="A49" t="s">
        <v>256</v>
      </c>
      <c r="B49" t="s">
        <v>136</v>
      </c>
      <c r="C49">
        <v>48</v>
      </c>
      <c r="E49" t="s">
        <v>383</v>
      </c>
      <c r="F49" t="s">
        <v>439</v>
      </c>
      <c r="G49" t="s">
        <v>385</v>
      </c>
      <c r="H49" t="s">
        <v>386</v>
      </c>
      <c r="I49" t="s">
        <v>136</v>
      </c>
      <c r="J49" t="s">
        <v>387</v>
      </c>
      <c r="L49">
        <v>70</v>
      </c>
      <c r="M49">
        <v>46223</v>
      </c>
      <c r="N49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388</v>
      </c>
    </row>
    <row r="50" spans="1:21" x14ac:dyDescent="0.25">
      <c r="A50" t="s">
        <v>255</v>
      </c>
      <c r="B50" t="s">
        <v>134</v>
      </c>
      <c r="C50">
        <v>49</v>
      </c>
      <c r="E50" t="s">
        <v>383</v>
      </c>
      <c r="F50" t="s">
        <v>440</v>
      </c>
      <c r="G50" t="s">
        <v>385</v>
      </c>
      <c r="H50" t="s">
        <v>386</v>
      </c>
      <c r="I50" t="s">
        <v>134</v>
      </c>
      <c r="J50" t="s">
        <v>387</v>
      </c>
      <c r="L50">
        <v>30</v>
      </c>
      <c r="M50">
        <v>46223</v>
      </c>
      <c r="N5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388</v>
      </c>
    </row>
    <row r="51" spans="1:21" x14ac:dyDescent="0.25">
      <c r="A51" t="s">
        <v>254</v>
      </c>
      <c r="B51" t="s">
        <v>136</v>
      </c>
      <c r="C51">
        <v>50</v>
      </c>
      <c r="E51" t="s">
        <v>383</v>
      </c>
      <c r="F51" t="s">
        <v>441</v>
      </c>
      <c r="G51" t="s">
        <v>385</v>
      </c>
      <c r="H51" t="s">
        <v>386</v>
      </c>
      <c r="I51" t="s">
        <v>136</v>
      </c>
      <c r="J51" t="s">
        <v>387</v>
      </c>
      <c r="L51">
        <v>67.5</v>
      </c>
      <c r="M51">
        <v>46223</v>
      </c>
      <c r="N51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388</v>
      </c>
    </row>
    <row r="52" spans="1:21" x14ac:dyDescent="0.25">
      <c r="A52" t="s">
        <v>261</v>
      </c>
      <c r="B52" t="s">
        <v>134</v>
      </c>
      <c r="C52">
        <v>51</v>
      </c>
      <c r="E52" t="s">
        <v>383</v>
      </c>
      <c r="F52" t="s">
        <v>442</v>
      </c>
      <c r="G52" t="s">
        <v>385</v>
      </c>
      <c r="H52" t="s">
        <v>386</v>
      </c>
      <c r="I52" t="s">
        <v>134</v>
      </c>
      <c r="J52" t="s">
        <v>387</v>
      </c>
      <c r="L52">
        <v>45</v>
      </c>
      <c r="M52">
        <v>46223</v>
      </c>
      <c r="N52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388</v>
      </c>
    </row>
    <row r="53" spans="1:21" x14ac:dyDescent="0.25">
      <c r="A53" t="s">
        <v>253</v>
      </c>
      <c r="B53" t="s">
        <v>134</v>
      </c>
      <c r="C53">
        <v>52</v>
      </c>
      <c r="E53" t="s">
        <v>383</v>
      </c>
      <c r="F53" t="s">
        <v>443</v>
      </c>
      <c r="G53" t="s">
        <v>385</v>
      </c>
      <c r="H53" t="s">
        <v>386</v>
      </c>
      <c r="I53" t="s">
        <v>134</v>
      </c>
      <c r="J53" t="s">
        <v>387</v>
      </c>
      <c r="L53">
        <v>67.5</v>
      </c>
      <c r="M53">
        <v>46223</v>
      </c>
      <c r="N53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388</v>
      </c>
    </row>
    <row r="54" spans="1:21" x14ac:dyDescent="0.25">
      <c r="A54" t="s">
        <v>251</v>
      </c>
      <c r="B54" t="s">
        <v>136</v>
      </c>
      <c r="C54">
        <v>53</v>
      </c>
      <c r="E54" t="s">
        <v>383</v>
      </c>
      <c r="F54" t="s">
        <v>444</v>
      </c>
      <c r="G54" t="s">
        <v>385</v>
      </c>
      <c r="H54" t="s">
        <v>386</v>
      </c>
      <c r="I54" t="s">
        <v>136</v>
      </c>
      <c r="J54" t="s">
        <v>387</v>
      </c>
      <c r="L54">
        <v>67.5</v>
      </c>
      <c r="M54">
        <v>46223</v>
      </c>
      <c r="N54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388</v>
      </c>
    </row>
    <row r="55" spans="1:21" x14ac:dyDescent="0.25">
      <c r="A55" t="s">
        <v>250</v>
      </c>
      <c r="B55" t="s">
        <v>134</v>
      </c>
      <c r="C55">
        <v>54</v>
      </c>
      <c r="E55" t="s">
        <v>383</v>
      </c>
      <c r="F55" t="s">
        <v>445</v>
      </c>
      <c r="G55" t="s">
        <v>385</v>
      </c>
      <c r="H55" t="s">
        <v>386</v>
      </c>
      <c r="I55" t="s">
        <v>134</v>
      </c>
      <c r="J55" t="s">
        <v>387</v>
      </c>
      <c r="L55">
        <v>52.5</v>
      </c>
      <c r="M55">
        <v>46223</v>
      </c>
      <c r="N55">
        <v>46250</v>
      </c>
      <c r="O55">
        <v>2</v>
      </c>
      <c r="P55">
        <v>105</v>
      </c>
      <c r="Q55">
        <v>13.815789473684212</v>
      </c>
      <c r="R55">
        <v>13</v>
      </c>
      <c r="S55">
        <v>20</v>
      </c>
      <c r="T55">
        <v>13</v>
      </c>
      <c r="U55" t="s">
        <v>388</v>
      </c>
    </row>
    <row r="56" spans="1:21" x14ac:dyDescent="0.25">
      <c r="A56" t="s">
        <v>244</v>
      </c>
      <c r="B56" t="s">
        <v>136</v>
      </c>
      <c r="C56">
        <v>55</v>
      </c>
      <c r="E56" t="s">
        <v>383</v>
      </c>
      <c r="F56" t="s">
        <v>446</v>
      </c>
      <c r="G56" t="s">
        <v>385</v>
      </c>
      <c r="H56" t="s">
        <v>390</v>
      </c>
      <c r="I56" t="s">
        <v>136</v>
      </c>
      <c r="J56" t="s">
        <v>387</v>
      </c>
      <c r="L56">
        <v>0</v>
      </c>
      <c r="M56">
        <v>46223</v>
      </c>
      <c r="N56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391</v>
      </c>
    </row>
    <row r="57" spans="1:21" x14ac:dyDescent="0.25">
      <c r="A57" t="s">
        <v>248</v>
      </c>
      <c r="B57" t="s">
        <v>134</v>
      </c>
      <c r="C57">
        <v>56</v>
      </c>
      <c r="E57" t="s">
        <v>383</v>
      </c>
      <c r="F57" t="s">
        <v>447</v>
      </c>
      <c r="G57" t="s">
        <v>385</v>
      </c>
      <c r="H57" t="s">
        <v>386</v>
      </c>
      <c r="I57" t="s">
        <v>134</v>
      </c>
      <c r="J57" t="s">
        <v>387</v>
      </c>
      <c r="L57">
        <v>60</v>
      </c>
      <c r="M57">
        <v>46223</v>
      </c>
      <c r="N57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388</v>
      </c>
    </row>
    <row r="58" spans="1:21" x14ac:dyDescent="0.25">
      <c r="A58" t="s">
        <v>359</v>
      </c>
      <c r="B58" t="s">
        <v>135</v>
      </c>
      <c r="C58">
        <v>57</v>
      </c>
      <c r="D58" t="s">
        <v>356</v>
      </c>
      <c r="E58" t="s">
        <v>383</v>
      </c>
      <c r="F58" t="s">
        <v>448</v>
      </c>
      <c r="G58" t="s">
        <v>385</v>
      </c>
      <c r="H58" t="s">
        <v>386</v>
      </c>
      <c r="I58" t="s">
        <v>135</v>
      </c>
      <c r="J58" t="s">
        <v>387</v>
      </c>
      <c r="L58">
        <v>62</v>
      </c>
      <c r="M58">
        <v>46223</v>
      </c>
      <c r="N58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388</v>
      </c>
    </row>
    <row r="59" spans="1:21" x14ac:dyDescent="0.25">
      <c r="A59" t="s">
        <v>246</v>
      </c>
      <c r="B59" t="s">
        <v>136</v>
      </c>
      <c r="C59">
        <v>58</v>
      </c>
      <c r="E59" t="s">
        <v>383</v>
      </c>
      <c r="F59" t="s">
        <v>449</v>
      </c>
      <c r="G59" t="s">
        <v>385</v>
      </c>
      <c r="H59" t="s">
        <v>386</v>
      </c>
      <c r="I59" t="s">
        <v>136</v>
      </c>
      <c r="J59" t="s">
        <v>387</v>
      </c>
      <c r="L59">
        <v>47.5</v>
      </c>
      <c r="M59">
        <v>46223</v>
      </c>
      <c r="N59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388</v>
      </c>
    </row>
    <row r="60" spans="1:21" x14ac:dyDescent="0.25">
      <c r="A60" t="s">
        <v>245</v>
      </c>
      <c r="B60" t="s">
        <v>134</v>
      </c>
      <c r="C60">
        <v>59</v>
      </c>
      <c r="E60" t="s">
        <v>383</v>
      </c>
      <c r="F60" t="s">
        <v>450</v>
      </c>
      <c r="G60" t="s">
        <v>385</v>
      </c>
      <c r="H60" t="s">
        <v>386</v>
      </c>
      <c r="I60" t="s">
        <v>134</v>
      </c>
      <c r="J60" t="s">
        <v>387</v>
      </c>
      <c r="L60">
        <v>52.5</v>
      </c>
      <c r="M60">
        <v>46223</v>
      </c>
      <c r="N60">
        <v>46250</v>
      </c>
      <c r="O60">
        <v>2</v>
      </c>
      <c r="P60">
        <v>105</v>
      </c>
      <c r="Q60">
        <v>13.815789473684212</v>
      </c>
      <c r="R60">
        <v>13</v>
      </c>
      <c r="S60">
        <v>20</v>
      </c>
      <c r="T60">
        <v>13</v>
      </c>
      <c r="U60" t="s">
        <v>388</v>
      </c>
    </row>
    <row r="61" spans="1:21" x14ac:dyDescent="0.25">
      <c r="A61" t="s">
        <v>355</v>
      </c>
      <c r="B61" t="s">
        <v>134</v>
      </c>
      <c r="C61">
        <v>60</v>
      </c>
      <c r="D61" t="s">
        <v>356</v>
      </c>
      <c r="E61" t="s">
        <v>383</v>
      </c>
      <c r="F61" t="s">
        <v>451</v>
      </c>
      <c r="G61" t="s">
        <v>385</v>
      </c>
      <c r="H61" t="s">
        <v>386</v>
      </c>
      <c r="I61" t="s">
        <v>134</v>
      </c>
      <c r="J61" t="s">
        <v>387</v>
      </c>
      <c r="L61">
        <v>30</v>
      </c>
      <c r="M61">
        <v>46223</v>
      </c>
      <c r="N61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388</v>
      </c>
    </row>
    <row r="62" spans="1:21" x14ac:dyDescent="0.25">
      <c r="A62" t="s">
        <v>262</v>
      </c>
      <c r="B62" t="s">
        <v>136</v>
      </c>
      <c r="C62">
        <v>61</v>
      </c>
      <c r="E62" t="s">
        <v>383</v>
      </c>
      <c r="F62" t="s">
        <v>452</v>
      </c>
      <c r="G62" t="s">
        <v>385</v>
      </c>
      <c r="H62" t="s">
        <v>386</v>
      </c>
      <c r="I62" t="s">
        <v>136</v>
      </c>
      <c r="J62" t="s">
        <v>387</v>
      </c>
      <c r="L62">
        <v>46.5</v>
      </c>
      <c r="M62">
        <v>46223</v>
      </c>
      <c r="N62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388</v>
      </c>
    </row>
    <row r="63" spans="1:21" x14ac:dyDescent="0.25">
      <c r="A63" t="s">
        <v>263</v>
      </c>
      <c r="B63" t="s">
        <v>136</v>
      </c>
      <c r="C63">
        <v>62</v>
      </c>
      <c r="E63" t="s">
        <v>383</v>
      </c>
      <c r="F63" t="s">
        <v>453</v>
      </c>
      <c r="G63" t="s">
        <v>385</v>
      </c>
      <c r="H63" t="s">
        <v>386</v>
      </c>
      <c r="I63" t="s">
        <v>136</v>
      </c>
      <c r="J63" t="s">
        <v>387</v>
      </c>
      <c r="L63">
        <v>31.5</v>
      </c>
      <c r="M63">
        <v>46223</v>
      </c>
      <c r="N63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388</v>
      </c>
    </row>
    <row r="64" spans="1:21" x14ac:dyDescent="0.25">
      <c r="A64" t="s">
        <v>358</v>
      </c>
      <c r="B64" t="s">
        <v>134</v>
      </c>
      <c r="C64">
        <v>63</v>
      </c>
      <c r="D64" t="s">
        <v>356</v>
      </c>
      <c r="E64" t="s">
        <v>383</v>
      </c>
      <c r="F64" t="s">
        <v>454</v>
      </c>
      <c r="G64" t="s">
        <v>385</v>
      </c>
      <c r="H64" t="s">
        <v>390</v>
      </c>
      <c r="I64" t="s">
        <v>134</v>
      </c>
      <c r="J64" t="s">
        <v>387</v>
      </c>
      <c r="L64">
        <v>0</v>
      </c>
      <c r="M64">
        <v>46223</v>
      </c>
      <c r="N64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391</v>
      </c>
    </row>
    <row r="65" spans="1:21" x14ac:dyDescent="0.25">
      <c r="A65" t="s">
        <v>281</v>
      </c>
      <c r="B65" t="s">
        <v>136</v>
      </c>
      <c r="C65">
        <v>64</v>
      </c>
      <c r="E65" t="s">
        <v>383</v>
      </c>
      <c r="F65" t="s">
        <v>455</v>
      </c>
      <c r="G65" t="s">
        <v>385</v>
      </c>
      <c r="H65" t="s">
        <v>386</v>
      </c>
      <c r="I65" t="s">
        <v>136</v>
      </c>
      <c r="J65" t="s">
        <v>387</v>
      </c>
      <c r="L65">
        <v>48</v>
      </c>
      <c r="M65">
        <v>46223</v>
      </c>
      <c r="N65">
        <v>46250</v>
      </c>
      <c r="O65">
        <v>2</v>
      </c>
      <c r="P65">
        <v>96</v>
      </c>
      <c r="Q65">
        <v>12.631578947368419</v>
      </c>
      <c r="R65">
        <v>12</v>
      </c>
      <c r="S65">
        <v>20</v>
      </c>
      <c r="T65">
        <v>12</v>
      </c>
      <c r="U65" t="s">
        <v>388</v>
      </c>
    </row>
    <row r="66" spans="1:21" x14ac:dyDescent="0.25">
      <c r="A66" t="s">
        <v>280</v>
      </c>
      <c r="B66" t="s">
        <v>134</v>
      </c>
      <c r="C66">
        <v>65</v>
      </c>
      <c r="E66" t="s">
        <v>383</v>
      </c>
      <c r="F66" t="s">
        <v>456</v>
      </c>
      <c r="G66" t="s">
        <v>385</v>
      </c>
      <c r="H66" t="s">
        <v>386</v>
      </c>
      <c r="I66" t="s">
        <v>134</v>
      </c>
      <c r="J66" t="s">
        <v>387</v>
      </c>
      <c r="L66">
        <v>60</v>
      </c>
      <c r="M66">
        <v>46223</v>
      </c>
      <c r="N66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388</v>
      </c>
    </row>
    <row r="67" spans="1:21" x14ac:dyDescent="0.25">
      <c r="A67" t="s">
        <v>357</v>
      </c>
      <c r="B67" t="s">
        <v>134</v>
      </c>
      <c r="C67">
        <v>66</v>
      </c>
      <c r="D67" t="s">
        <v>356</v>
      </c>
      <c r="E67" t="s">
        <v>383</v>
      </c>
      <c r="F67" t="s">
        <v>457</v>
      </c>
      <c r="G67" t="s">
        <v>385</v>
      </c>
      <c r="H67" t="s">
        <v>386</v>
      </c>
      <c r="I67" t="s">
        <v>134</v>
      </c>
      <c r="J67" t="s">
        <v>387</v>
      </c>
      <c r="L67">
        <v>45</v>
      </c>
      <c r="M67">
        <v>46223</v>
      </c>
      <c r="N67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388</v>
      </c>
    </row>
    <row r="68" spans="1:21" x14ac:dyDescent="0.25">
      <c r="A68" t="s">
        <v>278</v>
      </c>
      <c r="B68" t="s">
        <v>134</v>
      </c>
      <c r="C68">
        <v>67</v>
      </c>
      <c r="E68" t="s">
        <v>383</v>
      </c>
      <c r="F68" t="s">
        <v>458</v>
      </c>
      <c r="G68" t="s">
        <v>385</v>
      </c>
      <c r="H68" t="s">
        <v>386</v>
      </c>
      <c r="I68" t="s">
        <v>134</v>
      </c>
      <c r="J68" t="s">
        <v>387</v>
      </c>
      <c r="L68">
        <v>45</v>
      </c>
      <c r="M68">
        <v>46223</v>
      </c>
      <c r="N68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388</v>
      </c>
    </row>
    <row r="69" spans="1:21" x14ac:dyDescent="0.25">
      <c r="A69" t="s">
        <v>277</v>
      </c>
      <c r="B69" t="s">
        <v>134</v>
      </c>
      <c r="C69">
        <v>68</v>
      </c>
      <c r="E69" t="s">
        <v>383</v>
      </c>
      <c r="F69" t="s">
        <v>459</v>
      </c>
      <c r="G69" t="s">
        <v>385</v>
      </c>
      <c r="H69" t="s">
        <v>390</v>
      </c>
      <c r="I69" t="s">
        <v>134</v>
      </c>
      <c r="J69" t="s">
        <v>387</v>
      </c>
      <c r="L69">
        <v>0</v>
      </c>
      <c r="M69">
        <v>46223</v>
      </c>
      <c r="N69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391</v>
      </c>
    </row>
    <row r="70" spans="1:21" x14ac:dyDescent="0.25">
      <c r="A70" t="s">
        <v>276</v>
      </c>
      <c r="B70" t="s">
        <v>134</v>
      </c>
      <c r="C70">
        <v>69</v>
      </c>
      <c r="E70" t="s">
        <v>383</v>
      </c>
      <c r="F70" t="s">
        <v>460</v>
      </c>
      <c r="G70" t="s">
        <v>385</v>
      </c>
      <c r="H70" t="s">
        <v>386</v>
      </c>
      <c r="I70" t="s">
        <v>134</v>
      </c>
      <c r="J70" t="s">
        <v>387</v>
      </c>
      <c r="L70">
        <v>22.5</v>
      </c>
      <c r="M70">
        <v>46223</v>
      </c>
      <c r="N7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388</v>
      </c>
    </row>
    <row r="71" spans="1:21" x14ac:dyDescent="0.25">
      <c r="A71" t="s">
        <v>275</v>
      </c>
      <c r="B71" t="s">
        <v>134</v>
      </c>
      <c r="C71">
        <v>70</v>
      </c>
      <c r="E71" t="s">
        <v>383</v>
      </c>
      <c r="F71" t="s">
        <v>461</v>
      </c>
      <c r="G71" t="s">
        <v>385</v>
      </c>
      <c r="H71" t="s">
        <v>386</v>
      </c>
      <c r="I71" t="s">
        <v>134</v>
      </c>
      <c r="J71" t="s">
        <v>387</v>
      </c>
      <c r="L71">
        <v>45</v>
      </c>
      <c r="M71">
        <v>46223</v>
      </c>
      <c r="N71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388</v>
      </c>
    </row>
    <row r="72" spans="1:21" x14ac:dyDescent="0.25">
      <c r="A72" t="s">
        <v>274</v>
      </c>
      <c r="B72" t="s">
        <v>134</v>
      </c>
      <c r="C72">
        <v>71</v>
      </c>
      <c r="E72" t="s">
        <v>383</v>
      </c>
      <c r="F72" t="s">
        <v>462</v>
      </c>
      <c r="G72" t="s">
        <v>385</v>
      </c>
      <c r="H72" t="s">
        <v>386</v>
      </c>
      <c r="I72" t="s">
        <v>134</v>
      </c>
      <c r="J72" t="s">
        <v>387</v>
      </c>
      <c r="L72">
        <v>60</v>
      </c>
      <c r="M72">
        <v>46223</v>
      </c>
      <c r="N72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388</v>
      </c>
    </row>
    <row r="73" spans="1:21" x14ac:dyDescent="0.25">
      <c r="A73" t="s">
        <v>273</v>
      </c>
      <c r="B73" t="s">
        <v>134</v>
      </c>
      <c r="C73">
        <v>72</v>
      </c>
      <c r="E73" t="s">
        <v>383</v>
      </c>
      <c r="F73" t="s">
        <v>463</v>
      </c>
      <c r="G73" t="s">
        <v>385</v>
      </c>
      <c r="H73" t="s">
        <v>386</v>
      </c>
      <c r="I73" t="s">
        <v>134</v>
      </c>
      <c r="J73" t="s">
        <v>387</v>
      </c>
      <c r="L73">
        <v>67.5</v>
      </c>
      <c r="M73">
        <v>46223</v>
      </c>
      <c r="N73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388</v>
      </c>
    </row>
    <row r="74" spans="1:21" x14ac:dyDescent="0.25">
      <c r="A74" t="s">
        <v>272</v>
      </c>
      <c r="B74" t="s">
        <v>134</v>
      </c>
      <c r="C74">
        <v>73</v>
      </c>
      <c r="E74" t="s">
        <v>383</v>
      </c>
      <c r="F74" t="s">
        <v>464</v>
      </c>
      <c r="G74" t="s">
        <v>385</v>
      </c>
      <c r="H74" t="s">
        <v>390</v>
      </c>
      <c r="I74" t="s">
        <v>134</v>
      </c>
      <c r="J74" t="s">
        <v>387</v>
      </c>
      <c r="L74">
        <v>0</v>
      </c>
      <c r="M74">
        <v>46223</v>
      </c>
      <c r="N74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391</v>
      </c>
    </row>
    <row r="75" spans="1:21" x14ac:dyDescent="0.25">
      <c r="A75" t="s">
        <v>271</v>
      </c>
      <c r="B75" t="s">
        <v>134</v>
      </c>
      <c r="C75">
        <v>74</v>
      </c>
      <c r="E75" t="s">
        <v>383</v>
      </c>
      <c r="F75" t="s">
        <v>465</v>
      </c>
      <c r="G75" t="s">
        <v>385</v>
      </c>
      <c r="H75" t="s">
        <v>386</v>
      </c>
      <c r="I75" t="s">
        <v>134</v>
      </c>
      <c r="J75" t="s">
        <v>387</v>
      </c>
      <c r="L75">
        <v>30</v>
      </c>
      <c r="M75">
        <v>46223</v>
      </c>
      <c r="N75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388</v>
      </c>
    </row>
    <row r="76" spans="1:21" x14ac:dyDescent="0.25">
      <c r="A76" t="s">
        <v>270</v>
      </c>
      <c r="B76" t="s">
        <v>134</v>
      </c>
      <c r="C76">
        <v>75</v>
      </c>
      <c r="E76" t="s">
        <v>383</v>
      </c>
      <c r="F76" t="s">
        <v>466</v>
      </c>
      <c r="G76" t="s">
        <v>385</v>
      </c>
      <c r="H76" t="s">
        <v>386</v>
      </c>
      <c r="I76" t="s">
        <v>134</v>
      </c>
      <c r="J76" t="s">
        <v>387</v>
      </c>
      <c r="L76">
        <v>20.5</v>
      </c>
      <c r="M76">
        <v>46223</v>
      </c>
      <c r="N76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388</v>
      </c>
    </row>
    <row r="77" spans="1:21" x14ac:dyDescent="0.25">
      <c r="A77" t="s">
        <v>269</v>
      </c>
      <c r="B77" t="s">
        <v>134</v>
      </c>
      <c r="C77">
        <v>76</v>
      </c>
      <c r="E77" t="s">
        <v>383</v>
      </c>
      <c r="F77" t="s">
        <v>467</v>
      </c>
      <c r="G77" t="s">
        <v>385</v>
      </c>
      <c r="H77" t="s">
        <v>386</v>
      </c>
      <c r="I77" t="s">
        <v>134</v>
      </c>
      <c r="J77" t="s">
        <v>387</v>
      </c>
      <c r="L77">
        <v>67.5</v>
      </c>
      <c r="M77">
        <v>46223</v>
      </c>
      <c r="N77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388</v>
      </c>
    </row>
    <row r="78" spans="1:21" x14ac:dyDescent="0.25">
      <c r="A78" t="s">
        <v>268</v>
      </c>
      <c r="B78" t="s">
        <v>136</v>
      </c>
      <c r="C78">
        <v>77</v>
      </c>
      <c r="E78" t="s">
        <v>383</v>
      </c>
      <c r="F78" t="s">
        <v>468</v>
      </c>
      <c r="G78" t="s">
        <v>385</v>
      </c>
      <c r="H78" t="s">
        <v>386</v>
      </c>
      <c r="I78" t="s">
        <v>136</v>
      </c>
      <c r="J78" t="s">
        <v>387</v>
      </c>
      <c r="L78">
        <v>45</v>
      </c>
      <c r="M78">
        <v>46223</v>
      </c>
      <c r="N78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388</v>
      </c>
    </row>
    <row r="79" spans="1:21" x14ac:dyDescent="0.25">
      <c r="A79" t="s">
        <v>267</v>
      </c>
      <c r="B79" t="s">
        <v>134</v>
      </c>
      <c r="C79">
        <v>78</v>
      </c>
      <c r="E79" t="s">
        <v>383</v>
      </c>
      <c r="F79" t="s">
        <v>469</v>
      </c>
      <c r="G79" t="s">
        <v>385</v>
      </c>
      <c r="H79" t="s">
        <v>386</v>
      </c>
      <c r="I79" t="s">
        <v>134</v>
      </c>
      <c r="J79" t="s">
        <v>387</v>
      </c>
      <c r="L79">
        <v>45</v>
      </c>
      <c r="M79">
        <v>46223</v>
      </c>
      <c r="N79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388</v>
      </c>
    </row>
    <row r="80" spans="1:21" x14ac:dyDescent="0.25">
      <c r="A80" t="s">
        <v>266</v>
      </c>
      <c r="B80" t="s">
        <v>134</v>
      </c>
      <c r="C80">
        <v>79</v>
      </c>
      <c r="E80" t="s">
        <v>383</v>
      </c>
      <c r="F80" t="s">
        <v>470</v>
      </c>
      <c r="G80" t="s">
        <v>385</v>
      </c>
      <c r="H80" t="s">
        <v>386</v>
      </c>
      <c r="I80" t="s">
        <v>134</v>
      </c>
      <c r="J80" t="s">
        <v>387</v>
      </c>
      <c r="L80">
        <v>60</v>
      </c>
      <c r="M80">
        <v>46223</v>
      </c>
      <c r="N8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388</v>
      </c>
    </row>
    <row r="81" spans="1:21" x14ac:dyDescent="0.25">
      <c r="A81" t="s">
        <v>265</v>
      </c>
      <c r="B81" t="s">
        <v>136</v>
      </c>
      <c r="C81">
        <v>80</v>
      </c>
      <c r="E81" t="s">
        <v>383</v>
      </c>
      <c r="F81" t="s">
        <v>471</v>
      </c>
      <c r="G81" t="s">
        <v>385</v>
      </c>
      <c r="H81" t="s">
        <v>390</v>
      </c>
      <c r="I81" t="s">
        <v>136</v>
      </c>
      <c r="J81" t="s">
        <v>387</v>
      </c>
      <c r="L81">
        <v>0</v>
      </c>
      <c r="M81">
        <v>46223</v>
      </c>
      <c r="N81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391</v>
      </c>
    </row>
    <row r="82" spans="1:21" x14ac:dyDescent="0.25">
      <c r="A82" t="s">
        <v>283</v>
      </c>
      <c r="B82" t="s">
        <v>134</v>
      </c>
      <c r="C82">
        <v>81</v>
      </c>
      <c r="E82" t="s">
        <v>383</v>
      </c>
      <c r="F82" t="s">
        <v>472</v>
      </c>
      <c r="G82" t="s">
        <v>385</v>
      </c>
      <c r="H82" t="s">
        <v>396</v>
      </c>
      <c r="I82" t="s">
        <v>134</v>
      </c>
      <c r="J82" t="s">
        <v>387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397</v>
      </c>
    </row>
    <row r="83" spans="1:21" x14ac:dyDescent="0.25">
      <c r="A83" t="s">
        <v>322</v>
      </c>
      <c r="B83" t="s">
        <v>134</v>
      </c>
      <c r="C83">
        <v>82</v>
      </c>
      <c r="E83" t="s">
        <v>383</v>
      </c>
      <c r="F83" t="s">
        <v>473</v>
      </c>
      <c r="G83" t="s">
        <v>385</v>
      </c>
      <c r="H83" t="s">
        <v>390</v>
      </c>
      <c r="I83" t="s">
        <v>134</v>
      </c>
      <c r="J83" t="s">
        <v>387</v>
      </c>
      <c r="L83">
        <v>0</v>
      </c>
      <c r="M83">
        <v>46223</v>
      </c>
      <c r="N83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391</v>
      </c>
    </row>
    <row r="84" spans="1:21" x14ac:dyDescent="0.25">
      <c r="A84" t="s">
        <v>279</v>
      </c>
      <c r="B84" t="s">
        <v>134</v>
      </c>
      <c r="C84">
        <v>83</v>
      </c>
      <c r="E84" t="s">
        <v>383</v>
      </c>
      <c r="F84" t="s">
        <v>474</v>
      </c>
      <c r="G84" t="s">
        <v>385</v>
      </c>
      <c r="H84" t="s">
        <v>386</v>
      </c>
      <c r="I84" t="s">
        <v>134</v>
      </c>
      <c r="J84" t="s">
        <v>387</v>
      </c>
      <c r="L84">
        <v>60</v>
      </c>
      <c r="M84">
        <v>46223</v>
      </c>
      <c r="N84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388</v>
      </c>
    </row>
    <row r="85" spans="1:21" x14ac:dyDescent="0.25">
      <c r="A85" t="s">
        <v>264</v>
      </c>
      <c r="B85" t="s">
        <v>134</v>
      </c>
      <c r="C85">
        <v>84</v>
      </c>
      <c r="E85" t="s">
        <v>383</v>
      </c>
      <c r="F85" t="s">
        <v>475</v>
      </c>
      <c r="G85" t="s">
        <v>385</v>
      </c>
      <c r="H85" t="s">
        <v>386</v>
      </c>
      <c r="I85" t="s">
        <v>134</v>
      </c>
      <c r="J85" t="s">
        <v>387</v>
      </c>
      <c r="L85">
        <v>67.5</v>
      </c>
      <c r="M85">
        <v>46223</v>
      </c>
      <c r="N85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388</v>
      </c>
    </row>
    <row r="86" spans="1:21" x14ac:dyDescent="0.25">
      <c r="A86" t="s">
        <v>252</v>
      </c>
      <c r="B86" t="s">
        <v>136</v>
      </c>
      <c r="C86">
        <v>85</v>
      </c>
      <c r="E86" t="s">
        <v>383</v>
      </c>
      <c r="F86" t="s">
        <v>476</v>
      </c>
      <c r="G86" t="s">
        <v>385</v>
      </c>
      <c r="H86" t="s">
        <v>386</v>
      </c>
      <c r="I86" t="s">
        <v>136</v>
      </c>
      <c r="J86" t="s">
        <v>387</v>
      </c>
      <c r="L86">
        <v>60</v>
      </c>
      <c r="M86">
        <v>46223</v>
      </c>
      <c r="N86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388</v>
      </c>
    </row>
    <row r="87" spans="1:21" x14ac:dyDescent="0.25">
      <c r="A87" t="s">
        <v>247</v>
      </c>
      <c r="B87" t="s">
        <v>134</v>
      </c>
      <c r="C87">
        <v>86</v>
      </c>
      <c r="E87" t="s">
        <v>383</v>
      </c>
      <c r="F87" t="s">
        <v>477</v>
      </c>
      <c r="G87" t="s">
        <v>385</v>
      </c>
      <c r="H87" t="s">
        <v>386</v>
      </c>
      <c r="I87" t="s">
        <v>134</v>
      </c>
      <c r="J87" t="s">
        <v>387</v>
      </c>
      <c r="L87">
        <v>45</v>
      </c>
      <c r="M87">
        <v>46223</v>
      </c>
      <c r="N87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388</v>
      </c>
    </row>
    <row r="88" spans="1:21" x14ac:dyDescent="0.25">
      <c r="A88" t="s">
        <v>249</v>
      </c>
      <c r="B88" t="s">
        <v>134</v>
      </c>
      <c r="C88">
        <v>87</v>
      </c>
      <c r="E88" t="s">
        <v>383</v>
      </c>
      <c r="F88" t="s">
        <v>478</v>
      </c>
      <c r="G88" t="s">
        <v>385</v>
      </c>
      <c r="H88" t="s">
        <v>386</v>
      </c>
      <c r="I88" t="s">
        <v>134</v>
      </c>
      <c r="J88" t="s">
        <v>387</v>
      </c>
      <c r="L88">
        <v>45</v>
      </c>
      <c r="M88">
        <v>46223</v>
      </c>
      <c r="N88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388</v>
      </c>
    </row>
    <row r="89" spans="1:21" x14ac:dyDescent="0.25">
      <c r="A89" t="s">
        <v>364</v>
      </c>
      <c r="B89" t="s">
        <v>134</v>
      </c>
      <c r="C89">
        <v>88</v>
      </c>
      <c r="D89" t="s">
        <v>356</v>
      </c>
      <c r="E89" t="s">
        <v>383</v>
      </c>
      <c r="F89" t="s">
        <v>479</v>
      </c>
      <c r="G89" t="s">
        <v>385</v>
      </c>
      <c r="H89" t="s">
        <v>390</v>
      </c>
      <c r="I89" t="s">
        <v>134</v>
      </c>
      <c r="J89" t="s">
        <v>387</v>
      </c>
      <c r="L89">
        <v>0</v>
      </c>
      <c r="M89">
        <v>46223</v>
      </c>
      <c r="N89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391</v>
      </c>
    </row>
    <row r="90" spans="1:21" x14ac:dyDescent="0.25">
      <c r="A90" t="s">
        <v>311</v>
      </c>
      <c r="B90" t="s">
        <v>134</v>
      </c>
      <c r="C90">
        <v>89</v>
      </c>
      <c r="E90" t="s">
        <v>383</v>
      </c>
      <c r="F90" t="s">
        <v>480</v>
      </c>
      <c r="G90" t="s">
        <v>385</v>
      </c>
      <c r="H90" t="s">
        <v>390</v>
      </c>
      <c r="I90" t="s">
        <v>134</v>
      </c>
      <c r="J90" t="s">
        <v>387</v>
      </c>
      <c r="L90">
        <v>0</v>
      </c>
      <c r="M90">
        <v>46223</v>
      </c>
      <c r="N9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391</v>
      </c>
    </row>
    <row r="91" spans="1:21" x14ac:dyDescent="0.25">
      <c r="A91" t="s">
        <v>342</v>
      </c>
      <c r="B91" t="s">
        <v>135</v>
      </c>
      <c r="C91">
        <v>90</v>
      </c>
      <c r="D91" t="s">
        <v>324</v>
      </c>
      <c r="E91" t="s">
        <v>481</v>
      </c>
      <c r="F91" t="s">
        <v>482</v>
      </c>
      <c r="J91" t="s">
        <v>387</v>
      </c>
      <c r="L91">
        <v>0</v>
      </c>
      <c r="M91">
        <v>46223</v>
      </c>
      <c r="N91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483</v>
      </c>
    </row>
    <row r="92" spans="1:21" x14ac:dyDescent="0.25">
      <c r="A92" t="s">
        <v>341</v>
      </c>
      <c r="B92" t="s">
        <v>135</v>
      </c>
      <c r="C92">
        <v>91</v>
      </c>
      <c r="D92" t="s">
        <v>324</v>
      </c>
      <c r="E92" t="s">
        <v>481</v>
      </c>
      <c r="F92" t="s">
        <v>484</v>
      </c>
      <c r="J92" t="s">
        <v>387</v>
      </c>
      <c r="L92">
        <v>64</v>
      </c>
      <c r="M92">
        <v>46223</v>
      </c>
      <c r="N92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483</v>
      </c>
    </row>
    <row r="93" spans="1:21" x14ac:dyDescent="0.25">
      <c r="A93" t="s">
        <v>340</v>
      </c>
      <c r="B93" t="s">
        <v>135</v>
      </c>
      <c r="C93">
        <v>92</v>
      </c>
      <c r="D93" t="s">
        <v>324</v>
      </c>
      <c r="E93" t="s">
        <v>481</v>
      </c>
      <c r="F93" t="s">
        <v>485</v>
      </c>
      <c r="J93" t="s">
        <v>387</v>
      </c>
      <c r="L93">
        <v>0</v>
      </c>
      <c r="M93">
        <v>46223</v>
      </c>
      <c r="N93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483</v>
      </c>
    </row>
    <row r="94" spans="1:21" x14ac:dyDescent="0.25">
      <c r="A94" t="s">
        <v>339</v>
      </c>
      <c r="B94" t="s">
        <v>136</v>
      </c>
      <c r="C94">
        <v>93</v>
      </c>
      <c r="D94" t="s">
        <v>324</v>
      </c>
      <c r="E94" t="s">
        <v>481</v>
      </c>
      <c r="F94" t="s">
        <v>486</v>
      </c>
      <c r="J94" t="s">
        <v>387</v>
      </c>
      <c r="L94">
        <v>75</v>
      </c>
      <c r="M94">
        <v>46223</v>
      </c>
      <c r="N94">
        <v>46250</v>
      </c>
      <c r="O94">
        <v>2</v>
      </c>
      <c r="P94">
        <v>150</v>
      </c>
      <c r="Q94">
        <v>19.736842105263161</v>
      </c>
      <c r="R94">
        <v>19</v>
      </c>
      <c r="S94">
        <v>20</v>
      </c>
      <c r="U94" t="s">
        <v>483</v>
      </c>
    </row>
    <row r="95" spans="1:21" x14ac:dyDescent="0.25">
      <c r="A95" t="s">
        <v>353</v>
      </c>
      <c r="B95" t="s">
        <v>135</v>
      </c>
      <c r="C95">
        <v>94</v>
      </c>
      <c r="D95" t="s">
        <v>324</v>
      </c>
      <c r="E95" t="s">
        <v>481</v>
      </c>
      <c r="F95" t="s">
        <v>487</v>
      </c>
      <c r="J95" t="s">
        <v>387</v>
      </c>
      <c r="L95">
        <v>45</v>
      </c>
      <c r="M95">
        <v>46223</v>
      </c>
      <c r="N95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483</v>
      </c>
    </row>
    <row r="96" spans="1:21" x14ac:dyDescent="0.25">
      <c r="A96" t="s">
        <v>337</v>
      </c>
      <c r="B96" t="s">
        <v>134</v>
      </c>
      <c r="C96">
        <v>95</v>
      </c>
      <c r="D96" t="s">
        <v>324</v>
      </c>
      <c r="E96" t="s">
        <v>481</v>
      </c>
      <c r="F96" t="s">
        <v>488</v>
      </c>
      <c r="J96" t="s">
        <v>387</v>
      </c>
      <c r="L96">
        <v>45</v>
      </c>
      <c r="M96">
        <v>46223</v>
      </c>
      <c r="N96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483</v>
      </c>
    </row>
    <row r="97" spans="1:21" x14ac:dyDescent="0.25">
      <c r="A97" t="s">
        <v>332</v>
      </c>
      <c r="B97" t="s">
        <v>136</v>
      </c>
      <c r="C97">
        <v>96</v>
      </c>
      <c r="D97" t="s">
        <v>324</v>
      </c>
      <c r="E97" t="s">
        <v>481</v>
      </c>
      <c r="F97" t="s">
        <v>488</v>
      </c>
      <c r="J97" t="s">
        <v>387</v>
      </c>
      <c r="L97">
        <v>45</v>
      </c>
      <c r="M97">
        <v>46223</v>
      </c>
      <c r="N97">
        <v>46250</v>
      </c>
      <c r="O97">
        <v>2</v>
      </c>
      <c r="P97">
        <v>90</v>
      </c>
      <c r="Q97">
        <v>11.842105263157896</v>
      </c>
      <c r="R97">
        <v>11</v>
      </c>
      <c r="S97">
        <v>20</v>
      </c>
      <c r="U97" t="s">
        <v>483</v>
      </c>
    </row>
    <row r="98" spans="1:21" x14ac:dyDescent="0.25">
      <c r="A98" t="s">
        <v>323</v>
      </c>
      <c r="B98" t="s">
        <v>135</v>
      </c>
      <c r="C98">
        <v>97</v>
      </c>
      <c r="D98" t="s">
        <v>324</v>
      </c>
      <c r="E98" t="s">
        <v>481</v>
      </c>
      <c r="F98" t="s">
        <v>489</v>
      </c>
      <c r="J98" t="s">
        <v>387</v>
      </c>
      <c r="L98">
        <v>0</v>
      </c>
      <c r="M98">
        <v>46223</v>
      </c>
      <c r="N98">
        <v>46250</v>
      </c>
      <c r="O98">
        <v>2</v>
      </c>
      <c r="P98">
        <v>0</v>
      </c>
      <c r="Q98">
        <v>0</v>
      </c>
      <c r="R98">
        <v>0</v>
      </c>
      <c r="S98">
        <v>20</v>
      </c>
      <c r="U98" t="s">
        <v>483</v>
      </c>
    </row>
    <row r="99" spans="1:21" x14ac:dyDescent="0.25">
      <c r="A99" t="s">
        <v>325</v>
      </c>
      <c r="B99" t="s">
        <v>135</v>
      </c>
      <c r="C99">
        <v>98</v>
      </c>
      <c r="D99" t="s">
        <v>324</v>
      </c>
      <c r="E99" t="s">
        <v>481</v>
      </c>
      <c r="F99" t="s">
        <v>490</v>
      </c>
      <c r="J99" t="s">
        <v>387</v>
      </c>
      <c r="L99">
        <v>40</v>
      </c>
      <c r="M99">
        <v>46223</v>
      </c>
      <c r="N99">
        <v>46250</v>
      </c>
      <c r="O99">
        <v>2</v>
      </c>
      <c r="P99">
        <v>80</v>
      </c>
      <c r="Q99">
        <v>10.526315789473683</v>
      </c>
      <c r="R99">
        <v>10</v>
      </c>
      <c r="S99">
        <v>20</v>
      </c>
      <c r="U99" t="s">
        <v>483</v>
      </c>
    </row>
    <row r="100" spans="1:21" x14ac:dyDescent="0.25">
      <c r="A100" t="s">
        <v>326</v>
      </c>
      <c r="B100" t="s">
        <v>134</v>
      </c>
      <c r="C100">
        <v>99</v>
      </c>
      <c r="D100" t="s">
        <v>324</v>
      </c>
      <c r="E100" t="s">
        <v>481</v>
      </c>
      <c r="F100" t="s">
        <v>491</v>
      </c>
      <c r="J100" t="s">
        <v>387</v>
      </c>
      <c r="L100">
        <v>60</v>
      </c>
      <c r="M100">
        <v>46223</v>
      </c>
      <c r="N100">
        <v>46250</v>
      </c>
      <c r="O100">
        <v>2</v>
      </c>
      <c r="P100">
        <v>120</v>
      </c>
      <c r="Q100">
        <v>15.789473684210527</v>
      </c>
      <c r="R100">
        <v>15</v>
      </c>
      <c r="S100">
        <v>20</v>
      </c>
      <c r="U100" t="s">
        <v>483</v>
      </c>
    </row>
    <row r="101" spans="1:21" x14ac:dyDescent="0.25">
      <c r="A101" t="s">
        <v>336</v>
      </c>
      <c r="B101" t="s">
        <v>135</v>
      </c>
      <c r="C101">
        <v>100</v>
      </c>
      <c r="D101" t="s">
        <v>324</v>
      </c>
      <c r="E101" t="s">
        <v>481</v>
      </c>
      <c r="F101" t="s">
        <v>492</v>
      </c>
      <c r="J101" t="s">
        <v>387</v>
      </c>
      <c r="L101">
        <v>48</v>
      </c>
      <c r="M101">
        <v>46223</v>
      </c>
      <c r="N101">
        <v>46250</v>
      </c>
      <c r="O101">
        <v>2</v>
      </c>
      <c r="P101">
        <v>96</v>
      </c>
      <c r="Q101">
        <v>12.631578947368419</v>
      </c>
      <c r="R101">
        <v>12</v>
      </c>
      <c r="S101">
        <v>20</v>
      </c>
      <c r="U101" t="s">
        <v>483</v>
      </c>
    </row>
    <row r="102" spans="1:21" x14ac:dyDescent="0.25">
      <c r="A102" t="s">
        <v>328</v>
      </c>
      <c r="B102" t="s">
        <v>135</v>
      </c>
      <c r="C102">
        <v>101</v>
      </c>
      <c r="D102" t="s">
        <v>324</v>
      </c>
      <c r="E102" t="s">
        <v>481</v>
      </c>
      <c r="F102" t="s">
        <v>493</v>
      </c>
      <c r="J102" t="s">
        <v>387</v>
      </c>
      <c r="L102">
        <v>48</v>
      </c>
      <c r="M102">
        <v>46223</v>
      </c>
      <c r="N102">
        <v>46250</v>
      </c>
      <c r="O102">
        <v>2</v>
      </c>
      <c r="P102">
        <v>96</v>
      </c>
      <c r="Q102">
        <v>12.631578947368419</v>
      </c>
      <c r="R102">
        <v>12</v>
      </c>
      <c r="S102">
        <v>20</v>
      </c>
      <c r="U102" t="s">
        <v>483</v>
      </c>
    </row>
    <row r="103" spans="1:21" x14ac:dyDescent="0.25">
      <c r="A103" t="s">
        <v>329</v>
      </c>
      <c r="B103" t="s">
        <v>135</v>
      </c>
      <c r="C103">
        <v>102</v>
      </c>
      <c r="D103" t="s">
        <v>324</v>
      </c>
      <c r="E103" t="s">
        <v>481</v>
      </c>
      <c r="F103" t="s">
        <v>494</v>
      </c>
      <c r="J103" t="s">
        <v>387</v>
      </c>
      <c r="L103">
        <v>76</v>
      </c>
      <c r="M103">
        <v>46223</v>
      </c>
      <c r="N103">
        <v>46250</v>
      </c>
      <c r="O103">
        <v>2</v>
      </c>
      <c r="P103">
        <v>152</v>
      </c>
      <c r="Q103">
        <v>20</v>
      </c>
      <c r="R103">
        <v>20</v>
      </c>
      <c r="S103">
        <v>20</v>
      </c>
      <c r="U103" t="s">
        <v>483</v>
      </c>
    </row>
    <row r="104" spans="1:21" x14ac:dyDescent="0.25">
      <c r="A104" t="s">
        <v>330</v>
      </c>
      <c r="B104" t="s">
        <v>135</v>
      </c>
      <c r="C104">
        <v>103</v>
      </c>
      <c r="D104" t="s">
        <v>324</v>
      </c>
      <c r="E104" t="s">
        <v>481</v>
      </c>
      <c r="F104" t="s">
        <v>495</v>
      </c>
      <c r="J104" t="s">
        <v>387</v>
      </c>
      <c r="L104">
        <v>48</v>
      </c>
      <c r="M104">
        <v>46223</v>
      </c>
      <c r="N104">
        <v>46250</v>
      </c>
      <c r="O104">
        <v>2</v>
      </c>
      <c r="P104">
        <v>96</v>
      </c>
      <c r="Q104">
        <v>12.631578947368419</v>
      </c>
      <c r="R104">
        <v>12</v>
      </c>
      <c r="S104">
        <v>20</v>
      </c>
      <c r="U104" t="s">
        <v>483</v>
      </c>
    </row>
    <row r="105" spans="1:21" x14ac:dyDescent="0.25">
      <c r="A105" t="s">
        <v>331</v>
      </c>
      <c r="B105" t="s">
        <v>134</v>
      </c>
      <c r="C105">
        <v>104</v>
      </c>
      <c r="D105" t="s">
        <v>324</v>
      </c>
      <c r="E105" t="s">
        <v>481</v>
      </c>
      <c r="F105" t="s">
        <v>496</v>
      </c>
      <c r="J105" t="s">
        <v>387</v>
      </c>
      <c r="L105">
        <v>16</v>
      </c>
      <c r="M105">
        <v>46223</v>
      </c>
      <c r="N105">
        <v>46250</v>
      </c>
      <c r="O105">
        <v>2</v>
      </c>
      <c r="P105">
        <v>32</v>
      </c>
      <c r="Q105">
        <v>4.2105263157894735</v>
      </c>
      <c r="R105">
        <v>4</v>
      </c>
      <c r="S105">
        <v>20</v>
      </c>
      <c r="U105" t="s">
        <v>483</v>
      </c>
    </row>
    <row r="106" spans="1:21" x14ac:dyDescent="0.25">
      <c r="A106" t="s">
        <v>327</v>
      </c>
      <c r="B106" t="s">
        <v>136</v>
      </c>
      <c r="C106">
        <v>105</v>
      </c>
      <c r="D106" t="s">
        <v>324</v>
      </c>
      <c r="E106" t="s">
        <v>481</v>
      </c>
      <c r="F106" t="s">
        <v>496</v>
      </c>
      <c r="J106" t="s">
        <v>387</v>
      </c>
      <c r="L106">
        <v>16</v>
      </c>
      <c r="M106">
        <v>46223</v>
      </c>
      <c r="N106">
        <v>46250</v>
      </c>
      <c r="O106">
        <v>2</v>
      </c>
      <c r="P106">
        <v>32</v>
      </c>
      <c r="Q106">
        <v>4.2105263157894735</v>
      </c>
      <c r="R106">
        <v>4</v>
      </c>
      <c r="S106">
        <v>20</v>
      </c>
      <c r="U106" t="s">
        <v>483</v>
      </c>
    </row>
    <row r="107" spans="1:21" x14ac:dyDescent="0.25">
      <c r="A107" t="s">
        <v>333</v>
      </c>
      <c r="B107" t="s">
        <v>134</v>
      </c>
      <c r="C107">
        <v>106</v>
      </c>
      <c r="D107" t="s">
        <v>324</v>
      </c>
      <c r="E107" t="s">
        <v>481</v>
      </c>
      <c r="F107" t="s">
        <v>497</v>
      </c>
      <c r="J107" t="s">
        <v>387</v>
      </c>
      <c r="L107">
        <v>75</v>
      </c>
      <c r="M107">
        <v>46223</v>
      </c>
      <c r="N107">
        <v>46250</v>
      </c>
      <c r="O107">
        <v>2</v>
      </c>
      <c r="P107">
        <v>150</v>
      </c>
      <c r="Q107">
        <v>19.736842105263161</v>
      </c>
      <c r="R107">
        <v>19</v>
      </c>
      <c r="S107">
        <v>20</v>
      </c>
      <c r="U107" t="s">
        <v>483</v>
      </c>
    </row>
    <row r="108" spans="1:21" x14ac:dyDescent="0.25">
      <c r="A108" t="s">
        <v>334</v>
      </c>
      <c r="B108" t="s">
        <v>136</v>
      </c>
      <c r="C108">
        <v>107</v>
      </c>
      <c r="D108" t="s">
        <v>324</v>
      </c>
      <c r="E108" t="s">
        <v>481</v>
      </c>
      <c r="F108" t="s">
        <v>497</v>
      </c>
      <c r="J108" t="s">
        <v>387</v>
      </c>
      <c r="L108">
        <v>75</v>
      </c>
      <c r="M108">
        <v>46223</v>
      </c>
      <c r="N108">
        <v>46250</v>
      </c>
      <c r="O108">
        <v>2</v>
      </c>
      <c r="P108">
        <v>150</v>
      </c>
      <c r="Q108">
        <v>19.736842105263161</v>
      </c>
      <c r="R108">
        <v>19</v>
      </c>
      <c r="S108">
        <v>20</v>
      </c>
      <c r="U108" t="s">
        <v>483</v>
      </c>
    </row>
    <row r="109" spans="1:21" x14ac:dyDescent="0.25">
      <c r="A109" t="s">
        <v>335</v>
      </c>
      <c r="B109" t="s">
        <v>134</v>
      </c>
      <c r="C109">
        <v>108</v>
      </c>
      <c r="D109" t="s">
        <v>324</v>
      </c>
      <c r="E109" t="s">
        <v>481</v>
      </c>
      <c r="F109" t="s">
        <v>498</v>
      </c>
      <c r="J109" t="s">
        <v>387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483</v>
      </c>
    </row>
    <row r="110" spans="1:21" x14ac:dyDescent="0.25">
      <c r="A110" t="s">
        <v>348</v>
      </c>
      <c r="B110" t="s">
        <v>136</v>
      </c>
      <c r="C110">
        <v>109</v>
      </c>
      <c r="D110" t="s">
        <v>324</v>
      </c>
      <c r="E110" t="s">
        <v>481</v>
      </c>
      <c r="F110" t="s">
        <v>498</v>
      </c>
      <c r="J110" t="s">
        <v>387</v>
      </c>
      <c r="L110">
        <v>76</v>
      </c>
      <c r="M110">
        <v>46223</v>
      </c>
      <c r="N110">
        <v>46250</v>
      </c>
      <c r="O110">
        <v>2</v>
      </c>
      <c r="P110">
        <v>152</v>
      </c>
      <c r="Q110">
        <v>20</v>
      </c>
      <c r="R110">
        <v>20</v>
      </c>
      <c r="S110">
        <v>20</v>
      </c>
      <c r="U110" t="s">
        <v>483</v>
      </c>
    </row>
    <row r="111" spans="1:21" x14ac:dyDescent="0.25">
      <c r="A111" t="s">
        <v>354</v>
      </c>
      <c r="B111" t="s">
        <v>135</v>
      </c>
      <c r="C111">
        <v>110</v>
      </c>
      <c r="D111" t="s">
        <v>324</v>
      </c>
      <c r="E111" t="s">
        <v>481</v>
      </c>
      <c r="F111" t="s">
        <v>499</v>
      </c>
      <c r="J111" t="s">
        <v>387</v>
      </c>
      <c r="L111">
        <v>76</v>
      </c>
      <c r="M111">
        <v>46223</v>
      </c>
      <c r="N111">
        <v>46250</v>
      </c>
      <c r="O111">
        <v>2</v>
      </c>
      <c r="P111">
        <v>152</v>
      </c>
      <c r="Q111">
        <v>20</v>
      </c>
      <c r="R111">
        <v>20</v>
      </c>
      <c r="S111">
        <v>20</v>
      </c>
      <c r="U111" t="s">
        <v>483</v>
      </c>
    </row>
    <row r="112" spans="1:21" x14ac:dyDescent="0.25">
      <c r="A112" t="s">
        <v>343</v>
      </c>
      <c r="B112" t="s">
        <v>135</v>
      </c>
      <c r="C112">
        <v>111</v>
      </c>
      <c r="D112" t="s">
        <v>324</v>
      </c>
      <c r="E112" t="s">
        <v>481</v>
      </c>
      <c r="F112" t="s">
        <v>500</v>
      </c>
      <c r="J112" t="s">
        <v>387</v>
      </c>
      <c r="L112">
        <v>76</v>
      </c>
      <c r="M112">
        <v>46223</v>
      </c>
      <c r="N112">
        <v>46250</v>
      </c>
      <c r="O112">
        <v>2</v>
      </c>
      <c r="P112">
        <v>152</v>
      </c>
      <c r="Q112">
        <v>20</v>
      </c>
      <c r="R112">
        <v>20</v>
      </c>
      <c r="S112">
        <v>20</v>
      </c>
      <c r="U112" t="s">
        <v>483</v>
      </c>
    </row>
    <row r="113" spans="1:21" x14ac:dyDescent="0.25">
      <c r="A113" t="s">
        <v>344</v>
      </c>
      <c r="B113" t="s">
        <v>135</v>
      </c>
      <c r="C113">
        <v>112</v>
      </c>
      <c r="D113" t="s">
        <v>324</v>
      </c>
      <c r="E113" t="s">
        <v>481</v>
      </c>
      <c r="F113" t="s">
        <v>501</v>
      </c>
      <c r="J113" t="s">
        <v>387</v>
      </c>
      <c r="L113">
        <v>76</v>
      </c>
      <c r="M113">
        <v>46223</v>
      </c>
      <c r="N113">
        <v>46250</v>
      </c>
      <c r="O113">
        <v>2</v>
      </c>
      <c r="P113">
        <v>152</v>
      </c>
      <c r="Q113">
        <v>20</v>
      </c>
      <c r="R113">
        <v>20</v>
      </c>
      <c r="S113">
        <v>20</v>
      </c>
      <c r="U113" t="s">
        <v>483</v>
      </c>
    </row>
    <row r="114" spans="1:21" x14ac:dyDescent="0.25">
      <c r="A114" t="s">
        <v>345</v>
      </c>
      <c r="B114" t="s">
        <v>134</v>
      </c>
      <c r="C114">
        <v>113</v>
      </c>
      <c r="D114" t="s">
        <v>324</v>
      </c>
      <c r="E114" t="s">
        <v>481</v>
      </c>
      <c r="F114" t="s">
        <v>502</v>
      </c>
      <c r="J114" t="s">
        <v>387</v>
      </c>
      <c r="L114">
        <v>75</v>
      </c>
      <c r="M114">
        <v>46223</v>
      </c>
      <c r="N114">
        <v>46250</v>
      </c>
      <c r="O114">
        <v>2</v>
      </c>
      <c r="P114">
        <v>150</v>
      </c>
      <c r="Q114">
        <v>19.736842105263161</v>
      </c>
      <c r="R114">
        <v>19</v>
      </c>
      <c r="S114">
        <v>20</v>
      </c>
      <c r="U114" t="s">
        <v>483</v>
      </c>
    </row>
    <row r="115" spans="1:21" x14ac:dyDescent="0.25">
      <c r="A115" t="s">
        <v>347</v>
      </c>
      <c r="B115" t="s">
        <v>136</v>
      </c>
      <c r="C115">
        <v>114</v>
      </c>
      <c r="D115" t="s">
        <v>324</v>
      </c>
      <c r="E115" t="s">
        <v>481</v>
      </c>
      <c r="F115" t="s">
        <v>502</v>
      </c>
      <c r="J115" t="s">
        <v>387</v>
      </c>
      <c r="L115">
        <v>75</v>
      </c>
      <c r="M115">
        <v>46223</v>
      </c>
      <c r="N115">
        <v>46250</v>
      </c>
      <c r="O115">
        <v>2</v>
      </c>
      <c r="P115">
        <v>150</v>
      </c>
      <c r="Q115">
        <v>19.736842105263161</v>
      </c>
      <c r="R115">
        <v>19</v>
      </c>
      <c r="S115">
        <v>20</v>
      </c>
      <c r="U115" t="s">
        <v>483</v>
      </c>
    </row>
    <row r="116" spans="1:21" x14ac:dyDescent="0.25">
      <c r="A116" t="s">
        <v>349</v>
      </c>
      <c r="B116" t="s">
        <v>135</v>
      </c>
      <c r="C116">
        <v>115</v>
      </c>
      <c r="D116" t="s">
        <v>324</v>
      </c>
      <c r="E116" t="s">
        <v>481</v>
      </c>
      <c r="F116" t="s">
        <v>503</v>
      </c>
      <c r="J116" t="s">
        <v>387</v>
      </c>
      <c r="L116">
        <v>72</v>
      </c>
      <c r="M116">
        <v>46223</v>
      </c>
      <c r="N116">
        <v>46250</v>
      </c>
      <c r="O116">
        <v>2</v>
      </c>
      <c r="P116">
        <v>144</v>
      </c>
      <c r="Q116">
        <v>18.947368421052634</v>
      </c>
      <c r="R116">
        <v>18</v>
      </c>
      <c r="S116">
        <v>20</v>
      </c>
      <c r="U116" t="s">
        <v>483</v>
      </c>
    </row>
    <row r="117" spans="1:21" x14ac:dyDescent="0.25">
      <c r="A117" t="s">
        <v>350</v>
      </c>
      <c r="B117" t="s">
        <v>135</v>
      </c>
      <c r="C117">
        <v>116</v>
      </c>
      <c r="D117" t="s">
        <v>324</v>
      </c>
      <c r="E117" t="s">
        <v>481</v>
      </c>
      <c r="F117" t="s">
        <v>504</v>
      </c>
      <c r="J117" t="s">
        <v>387</v>
      </c>
      <c r="L117">
        <v>40</v>
      </c>
      <c r="M117">
        <v>46223</v>
      </c>
      <c r="N117">
        <v>46250</v>
      </c>
      <c r="O117">
        <v>2</v>
      </c>
      <c r="P117">
        <v>80</v>
      </c>
      <c r="Q117">
        <v>10.526315789473683</v>
      </c>
      <c r="R117">
        <v>10</v>
      </c>
      <c r="S117">
        <v>20</v>
      </c>
      <c r="U117" t="s">
        <v>483</v>
      </c>
    </row>
    <row r="118" spans="1:21" x14ac:dyDescent="0.25">
      <c r="A118" t="s">
        <v>351</v>
      </c>
      <c r="B118" t="s">
        <v>135</v>
      </c>
      <c r="C118">
        <v>117</v>
      </c>
      <c r="D118" t="s">
        <v>324</v>
      </c>
      <c r="E118" t="s">
        <v>481</v>
      </c>
      <c r="F118" t="s">
        <v>505</v>
      </c>
      <c r="J118" t="s">
        <v>387</v>
      </c>
      <c r="L118">
        <v>60</v>
      </c>
      <c r="M118">
        <v>46223</v>
      </c>
      <c r="N118">
        <v>46250</v>
      </c>
      <c r="O118">
        <v>2</v>
      </c>
      <c r="P118">
        <v>120</v>
      </c>
      <c r="Q118">
        <v>15.789473684210527</v>
      </c>
      <c r="R118">
        <v>15</v>
      </c>
      <c r="S118">
        <v>20</v>
      </c>
      <c r="U118" t="s">
        <v>483</v>
      </c>
    </row>
    <row r="119" spans="1:21" x14ac:dyDescent="0.25">
      <c r="A119" t="s">
        <v>352</v>
      </c>
      <c r="B119" t="s">
        <v>135</v>
      </c>
      <c r="C119">
        <v>118</v>
      </c>
      <c r="D119" t="s">
        <v>324</v>
      </c>
      <c r="E119" t="s">
        <v>481</v>
      </c>
      <c r="F119" t="s">
        <v>506</v>
      </c>
      <c r="J119" t="s">
        <v>387</v>
      </c>
      <c r="L119">
        <v>32</v>
      </c>
      <c r="M119">
        <v>46223</v>
      </c>
      <c r="N119">
        <v>46250</v>
      </c>
      <c r="O119">
        <v>2</v>
      </c>
      <c r="P119">
        <v>64</v>
      </c>
      <c r="Q119">
        <v>8.4210526315789469</v>
      </c>
      <c r="R119">
        <v>8</v>
      </c>
      <c r="S119">
        <v>20</v>
      </c>
      <c r="U119" t="s">
        <v>483</v>
      </c>
    </row>
    <row r="120" spans="1:21" x14ac:dyDescent="0.25">
      <c r="A120" t="s">
        <v>346</v>
      </c>
      <c r="B120" t="s">
        <v>135</v>
      </c>
      <c r="C120">
        <v>119</v>
      </c>
      <c r="D120" t="s">
        <v>324</v>
      </c>
      <c r="E120" t="s">
        <v>481</v>
      </c>
      <c r="F120" t="s">
        <v>507</v>
      </c>
      <c r="J120" t="s">
        <v>387</v>
      </c>
      <c r="L120">
        <v>32</v>
      </c>
      <c r="M120">
        <v>46223</v>
      </c>
      <c r="N120">
        <v>46250</v>
      </c>
      <c r="O120">
        <v>2</v>
      </c>
      <c r="P120">
        <v>64</v>
      </c>
      <c r="Q120">
        <v>8.4210526315789469</v>
      </c>
      <c r="R120">
        <v>8</v>
      </c>
      <c r="S120">
        <v>20</v>
      </c>
      <c r="U120" t="s">
        <v>483</v>
      </c>
    </row>
    <row r="121" spans="1:21" x14ac:dyDescent="0.25">
      <c r="A121" t="s">
        <v>338</v>
      </c>
      <c r="B121" t="s">
        <v>135</v>
      </c>
      <c r="C121">
        <v>120</v>
      </c>
      <c r="D121" t="s">
        <v>324</v>
      </c>
      <c r="E121" t="s">
        <v>481</v>
      </c>
      <c r="F121" t="s">
        <v>508</v>
      </c>
      <c r="J121" t="s">
        <v>387</v>
      </c>
      <c r="L121">
        <v>32</v>
      </c>
      <c r="M121">
        <v>46223</v>
      </c>
      <c r="N121">
        <v>46250</v>
      </c>
      <c r="O121">
        <v>2</v>
      </c>
      <c r="P121">
        <v>64</v>
      </c>
      <c r="Q121">
        <v>8.4210526315789469</v>
      </c>
      <c r="R121">
        <v>8</v>
      </c>
      <c r="S121">
        <v>20</v>
      </c>
      <c r="U121" t="s">
        <v>483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D8B63-2485-468A-A445-A9E65D88FADD}">
  <dimension ref="A1:CG760"/>
  <sheetViews>
    <sheetView workbookViewId="0">
      <selection activeCell="Q10" sqref="Q10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9.5703125" bestFit="1" customWidth="1"/>
    <col min="7" max="7" width="14" bestFit="1" customWidth="1"/>
    <col min="8" max="8" width="7.42578125" bestFit="1" customWidth="1"/>
    <col min="9" max="9" width="17.140625" bestFit="1" customWidth="1"/>
    <col min="10" max="10" width="29" bestFit="1" customWidth="1"/>
    <col min="11" max="11" width="12" bestFit="1" customWidth="1"/>
    <col min="12" max="12" width="8.5703125" bestFit="1" customWidth="1"/>
    <col min="13" max="13" width="16.42578125" bestFit="1" customWidth="1"/>
    <col min="14" max="15" width="7" bestFit="1" customWidth="1"/>
    <col min="16" max="16" width="12" bestFit="1" customWidth="1"/>
    <col min="17" max="17" width="16.5703125" bestFit="1" customWidth="1"/>
    <col min="18" max="18" width="16.28515625" bestFit="1" customWidth="1"/>
    <col min="19" max="19" width="14.42578125" bestFit="1" customWidth="1"/>
    <col min="20" max="20" width="30.28515625" bestFit="1" customWidth="1"/>
    <col min="21" max="21" width="20" bestFit="1" customWidth="1"/>
    <col min="22" max="22" width="17.7109375" bestFit="1" customWidth="1"/>
    <col min="23" max="23" width="30.85546875" bestFit="1" customWidth="1"/>
    <col min="24" max="24" width="28.7109375" bestFit="1" customWidth="1"/>
    <col min="25" max="25" width="33.140625" bestFit="1" customWidth="1"/>
    <col min="26" max="26" width="29.42578125" bestFit="1" customWidth="1"/>
    <col min="27" max="27" width="20.7109375" bestFit="1" customWidth="1"/>
    <col min="28" max="28" width="18.42578125" bestFit="1" customWidth="1"/>
    <col min="29" max="29" width="44.85546875" bestFit="1" customWidth="1"/>
    <col min="30" max="30" width="26.5703125" bestFit="1" customWidth="1"/>
    <col min="31" max="31" width="22" bestFit="1" customWidth="1"/>
    <col min="32" max="32" width="19.85546875" bestFit="1" customWidth="1"/>
    <col min="33" max="33" width="24.7109375" bestFit="1" customWidth="1"/>
    <col min="34" max="34" width="22.42578125" bestFit="1" customWidth="1"/>
    <col min="35" max="35" width="25.42578125" bestFit="1" customWidth="1"/>
    <col min="36" max="36" width="12.7109375" bestFit="1" customWidth="1"/>
    <col min="37" max="37" width="23.85546875" bestFit="1" customWidth="1"/>
    <col min="38" max="38" width="29.28515625" bestFit="1" customWidth="1"/>
    <col min="39" max="39" width="14.28515625" bestFit="1" customWidth="1"/>
    <col min="40" max="40" width="19.85546875" bestFit="1" customWidth="1"/>
    <col min="41" max="41" width="19.5703125" bestFit="1" customWidth="1"/>
    <col min="42" max="42" width="17.28515625" bestFit="1" customWidth="1"/>
    <col min="43" max="43" width="29.85546875" bestFit="1" customWidth="1"/>
    <col min="44" max="44" width="19.5703125" bestFit="1" customWidth="1"/>
    <col min="45" max="45" width="17.28515625" bestFit="1" customWidth="1"/>
    <col min="46" max="46" width="30.42578125" bestFit="1" customWidth="1"/>
    <col min="47" max="47" width="28.28515625" bestFit="1" customWidth="1"/>
    <col min="48" max="48" width="32.7109375" bestFit="1" customWidth="1"/>
    <col min="49" max="49" width="29" bestFit="1" customWidth="1"/>
    <col min="50" max="50" width="20.28515625" bestFit="1" customWidth="1"/>
    <col min="51" max="51" width="18" bestFit="1" customWidth="1"/>
    <col min="52" max="52" width="44.42578125" bestFit="1" customWidth="1"/>
    <col min="53" max="53" width="26.140625" bestFit="1" customWidth="1"/>
    <col min="54" max="54" width="21.5703125" bestFit="1" customWidth="1"/>
    <col min="55" max="55" width="19.28515625" bestFit="1" customWidth="1"/>
    <col min="56" max="56" width="24.28515625" bestFit="1" customWidth="1"/>
    <col min="57" max="57" width="22" bestFit="1" customWidth="1"/>
    <col min="58" max="58" width="25" bestFit="1" customWidth="1"/>
    <col min="59" max="59" width="12.28515625" bestFit="1" customWidth="1"/>
    <col min="60" max="60" width="23.28515625" bestFit="1" customWidth="1"/>
    <col min="61" max="61" width="28.42578125" bestFit="1" customWidth="1"/>
    <col min="62" max="62" width="13.85546875" bestFit="1" customWidth="1"/>
    <col min="63" max="63" width="20" bestFit="1" customWidth="1"/>
    <col min="64" max="64" width="19.140625" bestFit="1" customWidth="1"/>
    <col min="65" max="65" width="17.42578125" bestFit="1" customWidth="1"/>
    <col min="66" max="66" width="30.7109375" bestFit="1" customWidth="1"/>
    <col min="67" max="67" width="20.42578125" bestFit="1" customWidth="1"/>
    <col min="68" max="68" width="18.140625" bestFit="1" customWidth="1"/>
    <col min="69" max="69" width="31.28515625" bestFit="1" customWidth="1"/>
    <col min="70" max="70" width="29.140625" bestFit="1" customWidth="1"/>
    <col min="71" max="71" width="33.5703125" bestFit="1" customWidth="1"/>
    <col min="72" max="72" width="29.85546875" bestFit="1" customWidth="1"/>
    <col min="73" max="73" width="21.140625" bestFit="1" customWidth="1"/>
    <col min="74" max="74" width="18.85546875" bestFit="1" customWidth="1"/>
    <col min="75" max="75" width="45.28515625" bestFit="1" customWidth="1"/>
    <col min="76" max="76" width="27" bestFit="1" customWidth="1"/>
    <col min="77" max="77" width="22.42578125" bestFit="1" customWidth="1"/>
    <col min="78" max="78" width="20.28515625" bestFit="1" customWidth="1"/>
    <col min="79" max="79" width="25.140625" bestFit="1" customWidth="1"/>
    <col min="80" max="80" width="22.85546875" bestFit="1" customWidth="1"/>
    <col min="81" max="81" width="25.85546875" bestFit="1" customWidth="1"/>
    <col min="82" max="82" width="13.5703125" bestFit="1" customWidth="1"/>
    <col min="83" max="83" width="24.28515625" bestFit="1" customWidth="1"/>
    <col min="84" max="84" width="29.28515625" bestFit="1" customWidth="1"/>
    <col min="85" max="92" width="14.7109375" customWidth="1"/>
    <col min="93" max="93" width="29.28515625" bestFit="1" customWidth="1"/>
    <col min="94" max="94" width="14.7109375" bestFit="1" customWidth="1"/>
  </cols>
  <sheetData>
    <row r="1" spans="1:85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80</v>
      </c>
      <c r="G1" t="s">
        <v>100</v>
      </c>
      <c r="H1" t="s">
        <v>101</v>
      </c>
      <c r="I1" t="s">
        <v>112</v>
      </c>
      <c r="J1" t="s">
        <v>129</v>
      </c>
      <c r="K1" t="s">
        <v>2</v>
      </c>
      <c r="L1" t="s">
        <v>137</v>
      </c>
      <c r="M1" t="s">
        <v>113</v>
      </c>
      <c r="N1" t="s">
        <v>3</v>
      </c>
      <c r="O1" t="s">
        <v>4</v>
      </c>
      <c r="P1" t="s">
        <v>5</v>
      </c>
      <c r="Q1" t="s">
        <v>76</v>
      </c>
      <c r="R1" t="s">
        <v>77</v>
      </c>
      <c r="S1" t="s">
        <v>78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103</v>
      </c>
      <c r="AO1" t="s">
        <v>104</v>
      </c>
      <c r="AP1" t="s">
        <v>105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  <c r="AY1" t="s">
        <v>37</v>
      </c>
      <c r="AZ1" t="s">
        <v>38</v>
      </c>
      <c r="BA1" t="s">
        <v>39</v>
      </c>
      <c r="BB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  <c r="BH1" t="s">
        <v>46</v>
      </c>
      <c r="BI1" t="s">
        <v>47</v>
      </c>
      <c r="BJ1" t="s">
        <v>48</v>
      </c>
      <c r="BK1" t="s">
        <v>106</v>
      </c>
      <c r="BL1" t="s">
        <v>107</v>
      </c>
      <c r="BM1" t="s">
        <v>108</v>
      </c>
      <c r="BN1" t="s">
        <v>81</v>
      </c>
      <c r="BO1" t="s">
        <v>82</v>
      </c>
      <c r="BP1" t="s">
        <v>83</v>
      </c>
      <c r="BQ1" t="s">
        <v>84</v>
      </c>
      <c r="BR1" t="s">
        <v>85</v>
      </c>
      <c r="BS1" t="s">
        <v>86</v>
      </c>
      <c r="BT1" t="s">
        <v>87</v>
      </c>
      <c r="BU1" t="s">
        <v>88</v>
      </c>
      <c r="BV1" t="s">
        <v>89</v>
      </c>
      <c r="BW1" t="s">
        <v>90</v>
      </c>
      <c r="BX1" t="s">
        <v>91</v>
      </c>
      <c r="BY1" t="s">
        <v>92</v>
      </c>
      <c r="BZ1" t="s">
        <v>93</v>
      </c>
      <c r="CA1" t="s">
        <v>94</v>
      </c>
      <c r="CB1" t="s">
        <v>95</v>
      </c>
      <c r="CC1" t="s">
        <v>96</v>
      </c>
      <c r="CD1" t="s">
        <v>102</v>
      </c>
      <c r="CE1" t="s">
        <v>97</v>
      </c>
      <c r="CF1" t="s">
        <v>98</v>
      </c>
      <c r="CG1" t="s">
        <v>99</v>
      </c>
    </row>
    <row r="2" spans="1:85" x14ac:dyDescent="0.25">
      <c r="A2" t="s">
        <v>128</v>
      </c>
      <c r="C2" t="s">
        <v>110</v>
      </c>
      <c r="D2" s="12">
        <v>46249</v>
      </c>
      <c r="K2">
        <v>83.84606941210366</v>
      </c>
      <c r="N2">
        <v>42.75</v>
      </c>
      <c r="O2">
        <v>42.75</v>
      </c>
      <c r="P2">
        <v>88.136245674740479</v>
      </c>
      <c r="T2">
        <v>7.5116758383232021E-2</v>
      </c>
      <c r="U2">
        <v>0</v>
      </c>
      <c r="V2">
        <v>5.5377871041925189E-3</v>
      </c>
      <c r="W2">
        <v>0</v>
      </c>
      <c r="X2">
        <v>0</v>
      </c>
      <c r="Y2">
        <v>8.1640151096939919E-3</v>
      </c>
      <c r="Z2">
        <v>1.0748688426695418E-2</v>
      </c>
      <c r="AA2">
        <v>0</v>
      </c>
      <c r="AB2">
        <v>3.098747903497261E-2</v>
      </c>
      <c r="AC2">
        <v>0.43256523218666409</v>
      </c>
      <c r="AD2">
        <v>3.4698155454257779E-2</v>
      </c>
      <c r="AE2">
        <v>0</v>
      </c>
      <c r="AF2">
        <v>0</v>
      </c>
      <c r="AG2">
        <v>0</v>
      </c>
      <c r="AH2">
        <v>0.40847052822117308</v>
      </c>
      <c r="AI2">
        <v>0</v>
      </c>
      <c r="AJ2">
        <v>0</v>
      </c>
      <c r="AK2">
        <v>0</v>
      </c>
      <c r="AM2">
        <v>4.2788129332836676E-2</v>
      </c>
    </row>
    <row r="3" spans="1:85" x14ac:dyDescent="0.25">
      <c r="A3" t="s">
        <v>128</v>
      </c>
      <c r="C3" t="s">
        <v>110</v>
      </c>
      <c r="D3" s="12">
        <v>46238</v>
      </c>
      <c r="K3">
        <v>91.009693600830772</v>
      </c>
      <c r="N3">
        <v>49.4</v>
      </c>
      <c r="O3">
        <v>49.4</v>
      </c>
      <c r="P3">
        <v>96.164407920030754</v>
      </c>
      <c r="T3">
        <v>7.9081060866960914E-2</v>
      </c>
      <c r="U3">
        <v>0</v>
      </c>
      <c r="V3">
        <v>5.0735539055493391E-2</v>
      </c>
      <c r="W3">
        <v>0</v>
      </c>
      <c r="X3">
        <v>0</v>
      </c>
      <c r="Y3">
        <v>7.5214029460551543E-3</v>
      </c>
      <c r="Z3">
        <v>1.8664292502976444E-2</v>
      </c>
      <c r="AA3">
        <v>0</v>
      </c>
      <c r="AB3">
        <v>2.9973583339936223E-2</v>
      </c>
      <c r="AC3">
        <v>0.33036225465233404</v>
      </c>
      <c r="AD3">
        <v>4.1106174451166384E-2</v>
      </c>
      <c r="AE3">
        <v>0</v>
      </c>
      <c r="AF3">
        <v>0</v>
      </c>
      <c r="AG3">
        <v>0</v>
      </c>
      <c r="AH3">
        <v>0.39356730122697364</v>
      </c>
      <c r="AI3">
        <v>0</v>
      </c>
      <c r="AJ3">
        <v>0</v>
      </c>
      <c r="AK3">
        <v>0</v>
      </c>
      <c r="AM3">
        <v>3.9420157569043213E-2</v>
      </c>
    </row>
    <row r="4" spans="1:85" x14ac:dyDescent="0.25">
      <c r="A4" t="s">
        <v>128</v>
      </c>
      <c r="C4" t="s">
        <v>110</v>
      </c>
      <c r="D4" s="12">
        <v>46237</v>
      </c>
      <c r="K4">
        <v>88.619264378110358</v>
      </c>
      <c r="N4">
        <v>37.050000000000004</v>
      </c>
      <c r="O4">
        <v>37.050000000000004</v>
      </c>
      <c r="P4">
        <v>92.470804498269871</v>
      </c>
      <c r="T4">
        <v>8.3280051757465848E-2</v>
      </c>
      <c r="U4">
        <v>0</v>
      </c>
      <c r="V4">
        <v>0</v>
      </c>
      <c r="W4">
        <v>0</v>
      </c>
      <c r="X4">
        <v>0</v>
      </c>
      <c r="Y4">
        <v>7.7242863882082437E-3</v>
      </c>
      <c r="Z4">
        <v>2.3965843029201219E-3</v>
      </c>
      <c r="AA4">
        <v>0</v>
      </c>
      <c r="AB4">
        <v>0</v>
      </c>
      <c r="AC4">
        <v>0.21804796644860619</v>
      </c>
      <c r="AD4">
        <v>4.2214978516872233E-2</v>
      </c>
      <c r="AE4">
        <v>0</v>
      </c>
      <c r="AF4">
        <v>0</v>
      </c>
      <c r="AG4">
        <v>0</v>
      </c>
      <c r="AH4">
        <v>0.37520058684004387</v>
      </c>
      <c r="AI4">
        <v>0</v>
      </c>
      <c r="AJ4">
        <v>0</v>
      </c>
      <c r="AK4">
        <v>0</v>
      </c>
      <c r="AM4">
        <v>4.0483482764513461E-2</v>
      </c>
    </row>
    <row r="5" spans="1:85" x14ac:dyDescent="0.25">
      <c r="A5" t="s">
        <v>128</v>
      </c>
      <c r="C5" t="s">
        <v>110</v>
      </c>
      <c r="D5" s="12">
        <v>46236</v>
      </c>
      <c r="K5">
        <v>80.01650204802236</v>
      </c>
      <c r="N5">
        <v>59.85</v>
      </c>
      <c r="O5">
        <v>59.85</v>
      </c>
      <c r="P5">
        <v>83.267301038062271</v>
      </c>
      <c r="T5">
        <v>5.7123620729469429E-2</v>
      </c>
      <c r="U5">
        <v>0</v>
      </c>
      <c r="V5">
        <v>7.923844372301489E-2</v>
      </c>
      <c r="W5">
        <v>0</v>
      </c>
      <c r="X5">
        <v>0</v>
      </c>
      <c r="Y5">
        <v>8.5547425849488729E-3</v>
      </c>
      <c r="Z5">
        <v>1.1966323522949915E-2</v>
      </c>
      <c r="AA5">
        <v>0</v>
      </c>
      <c r="AB5">
        <v>6.0322601523842022E-2</v>
      </c>
      <c r="AC5">
        <v>0.29779356309554944</v>
      </c>
      <c r="AD5">
        <v>1.3304459111301391E-2</v>
      </c>
      <c r="AE5">
        <v>0</v>
      </c>
      <c r="AF5">
        <v>1.5158878043385301E-2</v>
      </c>
      <c r="AG5">
        <v>0</v>
      </c>
      <c r="AH5">
        <v>0.53644850786752007</v>
      </c>
      <c r="AI5">
        <v>0</v>
      </c>
      <c r="AJ5">
        <v>0</v>
      </c>
      <c r="AK5">
        <v>0</v>
      </c>
      <c r="AM5">
        <v>4.4835957211700708E-2</v>
      </c>
    </row>
    <row r="6" spans="1:85" x14ac:dyDescent="0.25">
      <c r="A6" t="s">
        <v>128</v>
      </c>
      <c r="C6" t="s">
        <v>110</v>
      </c>
      <c r="D6" s="12">
        <v>46234</v>
      </c>
      <c r="K6">
        <v>82.149653307108565</v>
      </c>
      <c r="N6">
        <v>62.7</v>
      </c>
      <c r="O6">
        <v>62.7</v>
      </c>
      <c r="P6">
        <v>87.456336505190293</v>
      </c>
      <c r="T6">
        <v>7.2549887479876909E-2</v>
      </c>
      <c r="U6">
        <v>0</v>
      </c>
      <c r="V6">
        <v>6.5302668638029082E-2</v>
      </c>
      <c r="W6">
        <v>0</v>
      </c>
      <c r="X6">
        <v>3.2316560294985627E-3</v>
      </c>
      <c r="Y6">
        <v>0</v>
      </c>
      <c r="Z6">
        <v>3.2199127838422825E-2</v>
      </c>
      <c r="AA6">
        <v>0</v>
      </c>
      <c r="AB6">
        <v>3.0314138336041199E-2</v>
      </c>
      <c r="AC6">
        <v>0.30253114627571392</v>
      </c>
      <c r="AD6">
        <v>2.6595941813580302E-2</v>
      </c>
      <c r="AE6">
        <v>0</v>
      </c>
      <c r="AF6">
        <v>1.6786974285717748E-2</v>
      </c>
      <c r="AG6">
        <v>0</v>
      </c>
      <c r="AH6">
        <v>0.61540663524111117</v>
      </c>
      <c r="AI6">
        <v>0</v>
      </c>
      <c r="AJ6">
        <v>0</v>
      </c>
      <c r="AK6">
        <v>0</v>
      </c>
      <c r="AM6">
        <v>0</v>
      </c>
    </row>
    <row r="7" spans="1:85" x14ac:dyDescent="0.25">
      <c r="A7" t="s">
        <v>128</v>
      </c>
      <c r="C7" t="s">
        <v>110</v>
      </c>
      <c r="D7" s="12">
        <v>46233</v>
      </c>
      <c r="K7">
        <v>86.513639235207151</v>
      </c>
      <c r="N7">
        <v>60.800000000000004</v>
      </c>
      <c r="O7">
        <v>60.800000000000004</v>
      </c>
      <c r="P7">
        <v>92.144701557093427</v>
      </c>
      <c r="T7">
        <v>9.1450475973826606E-2</v>
      </c>
      <c r="U7">
        <v>0</v>
      </c>
      <c r="V7">
        <v>5.1323230126811198E-2</v>
      </c>
      <c r="W7">
        <v>0</v>
      </c>
      <c r="X7">
        <v>0</v>
      </c>
      <c r="Y7">
        <v>7.9122850873009788E-3</v>
      </c>
      <c r="Z7">
        <v>1.9323751396337852E-2</v>
      </c>
      <c r="AA7">
        <v>0</v>
      </c>
      <c r="AB7">
        <v>3.5556534364905357E-2</v>
      </c>
      <c r="AC7">
        <v>0.14629264476770629</v>
      </c>
      <c r="AD7">
        <v>4.5685504116054737E-2</v>
      </c>
      <c r="AE7">
        <v>0</v>
      </c>
      <c r="AF7">
        <v>0</v>
      </c>
      <c r="AG7">
        <v>0</v>
      </c>
      <c r="AH7">
        <v>0.55510704789946508</v>
      </c>
      <c r="AI7">
        <v>0</v>
      </c>
      <c r="AJ7">
        <v>0</v>
      </c>
      <c r="AK7">
        <v>0</v>
      </c>
      <c r="AM7">
        <v>4.1468796062333425E-2</v>
      </c>
    </row>
    <row r="8" spans="1:85" x14ac:dyDescent="0.25">
      <c r="A8" t="s">
        <v>128</v>
      </c>
      <c r="C8" t="s">
        <v>110</v>
      </c>
      <c r="D8" s="12">
        <v>46232</v>
      </c>
      <c r="K8">
        <v>87.459755202699171</v>
      </c>
      <c r="N8">
        <v>62.699999999999996</v>
      </c>
      <c r="O8">
        <v>62.699999999999996</v>
      </c>
      <c r="P8">
        <v>91.407871972318333</v>
      </c>
      <c r="T8">
        <v>7.7821181758748803E-2</v>
      </c>
      <c r="U8">
        <v>0</v>
      </c>
      <c r="V8">
        <v>7.1004559876176793E-2</v>
      </c>
      <c r="W8">
        <v>0</v>
      </c>
      <c r="X8">
        <v>0</v>
      </c>
      <c r="Y8">
        <v>7.8266921280811096E-3</v>
      </c>
      <c r="Z8">
        <v>1.0095564563047749E-2</v>
      </c>
      <c r="AA8">
        <v>0</v>
      </c>
      <c r="AB8">
        <v>4.1132285807124233E-2</v>
      </c>
      <c r="AC8">
        <v>0.28505068891254975</v>
      </c>
      <c r="AD8">
        <v>4.2774649131278382E-2</v>
      </c>
      <c r="AE8">
        <v>0</v>
      </c>
      <c r="AF8">
        <v>0</v>
      </c>
      <c r="AG8">
        <v>0</v>
      </c>
      <c r="AH8">
        <v>0.55364855238548549</v>
      </c>
      <c r="AI8">
        <v>0</v>
      </c>
      <c r="AJ8">
        <v>0</v>
      </c>
      <c r="AK8">
        <v>0</v>
      </c>
      <c r="AM8">
        <v>4.1020197846887783E-2</v>
      </c>
    </row>
    <row r="9" spans="1:85" x14ac:dyDescent="0.25">
      <c r="A9" t="s">
        <v>128</v>
      </c>
      <c r="C9" t="s">
        <v>110</v>
      </c>
      <c r="D9" s="12">
        <v>46231</v>
      </c>
      <c r="K9">
        <v>90.735224231511324</v>
      </c>
      <c r="N9">
        <v>58.899999999999991</v>
      </c>
      <c r="O9">
        <v>58.899999999999991</v>
      </c>
      <c r="P9">
        <v>89.151384083044988</v>
      </c>
      <c r="T9">
        <v>6.5888576410485525E-2</v>
      </c>
      <c r="U9">
        <v>0</v>
      </c>
      <c r="V9">
        <v>2.7324015361621497E-2</v>
      </c>
      <c r="W9">
        <v>0</v>
      </c>
      <c r="X9">
        <v>2.43964543259962E-3</v>
      </c>
      <c r="Y9">
        <v>0</v>
      </c>
      <c r="Z9">
        <v>9.8848503776804292E-3</v>
      </c>
      <c r="AA9">
        <v>0</v>
      </c>
      <c r="AB9">
        <v>3.2324529113190628E-2</v>
      </c>
      <c r="AC9">
        <v>0.25126916093169827</v>
      </c>
      <c r="AD9">
        <v>7.1277469802663321E-2</v>
      </c>
      <c r="AE9">
        <v>0</v>
      </c>
      <c r="AF9">
        <v>2.4391228520101785E-2</v>
      </c>
      <c r="AG9">
        <v>0</v>
      </c>
      <c r="AH9">
        <v>0.53183718749544018</v>
      </c>
      <c r="AI9">
        <v>0</v>
      </c>
      <c r="AJ9">
        <v>0</v>
      </c>
      <c r="AK9">
        <v>0</v>
      </c>
      <c r="AM9">
        <v>0</v>
      </c>
    </row>
    <row r="10" spans="1:85" x14ac:dyDescent="0.25">
      <c r="A10" t="s">
        <v>128</v>
      </c>
      <c r="C10" t="s">
        <v>110</v>
      </c>
      <c r="D10" s="12">
        <v>46230</v>
      </c>
      <c r="K10">
        <v>83.987100089905937</v>
      </c>
      <c r="N10">
        <v>64.599999999999994</v>
      </c>
      <c r="O10">
        <v>64.599999999999994</v>
      </c>
      <c r="P10">
        <v>83.841262975778548</v>
      </c>
      <c r="T10">
        <v>2.7413051347090597E-2</v>
      </c>
      <c r="U10">
        <v>0</v>
      </c>
      <c r="V10">
        <v>4.735903409121095E-2</v>
      </c>
      <c r="W10">
        <v>0</v>
      </c>
      <c r="X10">
        <v>2.6356639904860707E-3</v>
      </c>
      <c r="Y10">
        <v>0</v>
      </c>
      <c r="Z10">
        <v>2.4770989372267915E-2</v>
      </c>
      <c r="AA10">
        <v>0</v>
      </c>
      <c r="AB10">
        <v>6.6053391787670529E-2</v>
      </c>
      <c r="AC10">
        <v>0.23233995876875463</v>
      </c>
      <c r="AD10">
        <v>8.3483475961546871E-3</v>
      </c>
      <c r="AE10">
        <v>0</v>
      </c>
      <c r="AF10">
        <v>4.820777989732291E-2</v>
      </c>
      <c r="AG10">
        <v>0</v>
      </c>
      <c r="AH10">
        <v>0.580138880966932</v>
      </c>
      <c r="AI10">
        <v>0</v>
      </c>
      <c r="AJ10">
        <v>0</v>
      </c>
      <c r="AK10">
        <v>0</v>
      </c>
      <c r="AM10">
        <v>0</v>
      </c>
    </row>
    <row r="11" spans="1:85" x14ac:dyDescent="0.25">
      <c r="A11" t="s">
        <v>128</v>
      </c>
      <c r="C11" t="s">
        <v>110</v>
      </c>
      <c r="D11" s="12">
        <v>46229</v>
      </c>
      <c r="K11">
        <v>83.878072949519833</v>
      </c>
      <c r="N11">
        <v>57.95</v>
      </c>
      <c r="O11">
        <v>57.95</v>
      </c>
      <c r="P11">
        <v>89.744449250288312</v>
      </c>
      <c r="T11">
        <v>5.9189256561293993E-2</v>
      </c>
      <c r="U11">
        <v>0</v>
      </c>
      <c r="V11">
        <v>8.6331860499764251E-3</v>
      </c>
      <c r="W11">
        <v>0</v>
      </c>
      <c r="X11">
        <v>3.1650634438264557E-3</v>
      </c>
      <c r="Y11">
        <v>0</v>
      </c>
      <c r="Z11">
        <v>1.805671428138779E-2</v>
      </c>
      <c r="AA11">
        <v>0</v>
      </c>
      <c r="AB11">
        <v>1.9878962996251151E-2</v>
      </c>
      <c r="AC11">
        <v>0.32182214442991186</v>
      </c>
      <c r="AD11">
        <v>1.0471703368652633E-2</v>
      </c>
      <c r="AE11">
        <v>0</v>
      </c>
      <c r="AF11">
        <v>0</v>
      </c>
      <c r="AG11">
        <v>0</v>
      </c>
      <c r="AH11">
        <v>0.62982388846716275</v>
      </c>
      <c r="AI11">
        <v>0</v>
      </c>
      <c r="AJ11">
        <v>0</v>
      </c>
      <c r="AK11">
        <v>0</v>
      </c>
      <c r="AM11">
        <v>0</v>
      </c>
    </row>
    <row r="12" spans="1:85" x14ac:dyDescent="0.25">
      <c r="A12" t="s">
        <v>128</v>
      </c>
      <c r="C12" t="s">
        <v>110</v>
      </c>
      <c r="D12" s="12">
        <v>46228</v>
      </c>
      <c r="K12">
        <v>80.05529733465778</v>
      </c>
      <c r="N12">
        <v>57.95</v>
      </c>
      <c r="O12">
        <v>57.95</v>
      </c>
      <c r="P12">
        <v>87.032439446366794</v>
      </c>
      <c r="T12">
        <v>7.9173136192577431E-2</v>
      </c>
      <c r="U12">
        <v>0</v>
      </c>
      <c r="V12">
        <v>2.0983009997909103E-2</v>
      </c>
      <c r="W12">
        <v>0</v>
      </c>
      <c r="X12">
        <v>0</v>
      </c>
      <c r="Y12">
        <v>3.3891481257179675E-3</v>
      </c>
      <c r="Z12">
        <v>2.3080412420704684E-2</v>
      </c>
      <c r="AA12">
        <v>0</v>
      </c>
      <c r="AB12">
        <v>4.0711478095598976E-2</v>
      </c>
      <c r="AC12">
        <v>0.2202703424667922</v>
      </c>
      <c r="AD12">
        <v>1.5099514539281815E-2</v>
      </c>
      <c r="AE12">
        <v>0</v>
      </c>
      <c r="AF12">
        <v>0</v>
      </c>
      <c r="AG12">
        <v>0</v>
      </c>
      <c r="AH12">
        <v>0.56756100141815136</v>
      </c>
      <c r="AI12">
        <v>0</v>
      </c>
      <c r="AJ12">
        <v>0</v>
      </c>
      <c r="AK12">
        <v>0</v>
      </c>
      <c r="AM12">
        <v>5.9671946364308136E-2</v>
      </c>
    </row>
    <row r="13" spans="1:85" x14ac:dyDescent="0.25">
      <c r="A13" t="s">
        <v>128</v>
      </c>
      <c r="C13" t="s">
        <v>110</v>
      </c>
      <c r="D13" s="12">
        <v>46227</v>
      </c>
      <c r="K13">
        <v>82.584326668692611</v>
      </c>
      <c r="N13">
        <v>60.8</v>
      </c>
      <c r="O13">
        <v>60.8</v>
      </c>
      <c r="P13">
        <v>79.517733564013824</v>
      </c>
      <c r="T13">
        <v>3.7453487843337539E-2</v>
      </c>
      <c r="U13">
        <v>0</v>
      </c>
      <c r="V13">
        <v>7.3537744083680662E-2</v>
      </c>
      <c r="W13">
        <v>0</v>
      </c>
      <c r="X13">
        <v>2.9246046859063872E-3</v>
      </c>
      <c r="Y13">
        <v>8.2887468504161642E-3</v>
      </c>
      <c r="Z13">
        <v>1.8043927311783191E-2</v>
      </c>
      <c r="AA13">
        <v>0</v>
      </c>
      <c r="AB13">
        <v>4.7354953851533474E-2</v>
      </c>
      <c r="AC13">
        <v>0.33775437758668264</v>
      </c>
      <c r="AD13">
        <v>6.7889673462942196E-2</v>
      </c>
      <c r="AE13">
        <v>0</v>
      </c>
      <c r="AF13">
        <v>2.7665216843701837E-2</v>
      </c>
      <c r="AG13">
        <v>0</v>
      </c>
      <c r="AH13">
        <v>0.52324887568217615</v>
      </c>
      <c r="AI13">
        <v>0</v>
      </c>
      <c r="AJ13">
        <v>0</v>
      </c>
      <c r="AK13">
        <v>0</v>
      </c>
      <c r="AM13">
        <v>4.3441856424496876E-2</v>
      </c>
    </row>
    <row r="14" spans="1:85" x14ac:dyDescent="0.25">
      <c r="A14" t="s">
        <v>128</v>
      </c>
      <c r="C14" t="s">
        <v>110</v>
      </c>
      <c r="D14" s="12">
        <v>46226</v>
      </c>
      <c r="K14">
        <v>88.909214995077434</v>
      </c>
      <c r="N14">
        <v>65.55</v>
      </c>
      <c r="O14">
        <v>65.55</v>
      </c>
      <c r="P14">
        <v>84.080757148060457</v>
      </c>
      <c r="T14">
        <v>5.5272581701589808E-2</v>
      </c>
      <c r="U14">
        <v>0</v>
      </c>
      <c r="V14">
        <v>7.0129210049018828E-2</v>
      </c>
      <c r="W14">
        <v>0</v>
      </c>
      <c r="X14">
        <v>0</v>
      </c>
      <c r="Y14">
        <v>7.6990959554278466E-3</v>
      </c>
      <c r="Z14">
        <v>2.3887685652906336E-3</v>
      </c>
      <c r="AA14">
        <v>0</v>
      </c>
      <c r="AB14">
        <v>6.5728669035346909E-2</v>
      </c>
      <c r="AC14">
        <v>0.29239344237393133</v>
      </c>
      <c r="AD14">
        <v>7.284569098374212E-2</v>
      </c>
      <c r="AE14">
        <v>0</v>
      </c>
      <c r="AF14">
        <v>3.9123391583826016E-2</v>
      </c>
      <c r="AG14">
        <v>0</v>
      </c>
      <c r="AH14">
        <v>0.5195474123644821</v>
      </c>
      <c r="AI14">
        <v>0</v>
      </c>
      <c r="AJ14">
        <v>0</v>
      </c>
      <c r="AK14">
        <v>0</v>
      </c>
      <c r="AM14">
        <v>4.0351458082873923E-2</v>
      </c>
    </row>
    <row r="15" spans="1:85" x14ac:dyDescent="0.25">
      <c r="A15" t="s">
        <v>128</v>
      </c>
      <c r="C15" t="s">
        <v>110</v>
      </c>
      <c r="D15" s="12">
        <v>46225</v>
      </c>
      <c r="K15">
        <v>88.410198480535641</v>
      </c>
      <c r="N15">
        <v>61.749999999999993</v>
      </c>
      <c r="O15">
        <v>61.749999999999993</v>
      </c>
      <c r="P15">
        <v>88.179328348986616</v>
      </c>
      <c r="T15">
        <v>6.6864220567221438E-2</v>
      </c>
      <c r="U15">
        <v>0</v>
      </c>
      <c r="V15">
        <v>4.8648981586049923E-3</v>
      </c>
      <c r="W15">
        <v>0</v>
      </c>
      <c r="X15">
        <v>0</v>
      </c>
      <c r="Y15">
        <v>7.7425522092857899E-3</v>
      </c>
      <c r="Z15">
        <v>7.3935031585876535E-3</v>
      </c>
      <c r="AA15">
        <v>0</v>
      </c>
      <c r="AB15">
        <v>5.6149717252103493E-2</v>
      </c>
      <c r="AC15">
        <v>0.25464340088862286</v>
      </c>
      <c r="AD15">
        <v>3.8643190482511247E-2</v>
      </c>
      <c r="AE15">
        <v>0</v>
      </c>
      <c r="AF15">
        <v>3.8225885050180305E-2</v>
      </c>
      <c r="AG15">
        <v>0</v>
      </c>
      <c r="AH15">
        <v>0.5512356147905525</v>
      </c>
      <c r="AI15">
        <v>0</v>
      </c>
      <c r="AJ15">
        <v>0</v>
      </c>
      <c r="AK15">
        <v>0</v>
      </c>
      <c r="AM15">
        <v>4.057921510995071E-2</v>
      </c>
    </row>
    <row r="16" spans="1:85" x14ac:dyDescent="0.25">
      <c r="A16" t="s">
        <v>128</v>
      </c>
      <c r="C16" t="s">
        <v>110</v>
      </c>
      <c r="D16" s="12">
        <v>46224</v>
      </c>
      <c r="K16">
        <v>91.009693600830786</v>
      </c>
      <c r="N16">
        <v>64.600000000000009</v>
      </c>
      <c r="O16">
        <v>64.600000000000009</v>
      </c>
      <c r="P16">
        <v>91.13108625803261</v>
      </c>
      <c r="T16">
        <v>4.4376943799707302E-2</v>
      </c>
      <c r="U16">
        <v>0</v>
      </c>
      <c r="V16">
        <v>2.5294916930470233E-2</v>
      </c>
      <c r="W16">
        <v>0</v>
      </c>
      <c r="X16">
        <v>2.9170455577570528E-3</v>
      </c>
      <c r="Y16">
        <v>2.5768330087616803E-3</v>
      </c>
      <c r="Z16">
        <v>2.4331589466638371E-2</v>
      </c>
      <c r="AA16">
        <v>0</v>
      </c>
      <c r="AB16">
        <v>6.3557603843392999E-2</v>
      </c>
      <c r="AC16">
        <v>0.27071640216667558</v>
      </c>
      <c r="AD16">
        <v>2.4567447826076363E-2</v>
      </c>
      <c r="AE16">
        <v>0</v>
      </c>
      <c r="AF16">
        <v>4.5724287839139864E-2</v>
      </c>
      <c r="AG16">
        <v>0</v>
      </c>
      <c r="AH16">
        <v>0.50208610449881141</v>
      </c>
      <c r="AI16">
        <v>0</v>
      </c>
      <c r="AJ16">
        <v>0</v>
      </c>
      <c r="AK16">
        <v>0</v>
      </c>
      <c r="AM16">
        <v>3.5464501619208416E-2</v>
      </c>
    </row>
    <row r="17" spans="1:85" x14ac:dyDescent="0.25">
      <c r="A17" t="s">
        <v>128</v>
      </c>
      <c r="C17" t="s">
        <v>110</v>
      </c>
      <c r="D17" s="12">
        <v>46223</v>
      </c>
      <c r="K17">
        <v>88.619264378110358</v>
      </c>
      <c r="N17">
        <v>67.45</v>
      </c>
      <c r="O17">
        <v>67.45</v>
      </c>
      <c r="P17">
        <v>83.202602364475197</v>
      </c>
      <c r="T17">
        <v>3.0929131754429538E-2</v>
      </c>
      <c r="U17">
        <v>0</v>
      </c>
      <c r="V17">
        <v>6.065018413527954E-2</v>
      </c>
      <c r="W17">
        <v>0</v>
      </c>
      <c r="X17">
        <v>0</v>
      </c>
      <c r="Y17">
        <v>0</v>
      </c>
      <c r="Z17">
        <v>7.27250239829174E-3</v>
      </c>
      <c r="AA17">
        <v>0</v>
      </c>
      <c r="AB17">
        <v>6.8587581968465622E-2</v>
      </c>
      <c r="AC17">
        <v>0.24538397160020484</v>
      </c>
      <c r="AD17">
        <v>4.1741204813452747E-2</v>
      </c>
      <c r="AE17">
        <v>0</v>
      </c>
      <c r="AF17">
        <v>5.7583279451451544E-2</v>
      </c>
      <c r="AG17">
        <v>0</v>
      </c>
      <c r="AH17">
        <v>0.56702764249345761</v>
      </c>
      <c r="AI17">
        <v>0</v>
      </c>
      <c r="AJ17">
        <v>0</v>
      </c>
      <c r="AK17">
        <v>0</v>
      </c>
      <c r="AM17">
        <v>0</v>
      </c>
    </row>
    <row r="18" spans="1:85" x14ac:dyDescent="0.25">
      <c r="A18" t="s">
        <v>128</v>
      </c>
      <c r="C18" t="s">
        <v>110</v>
      </c>
      <c r="D18" s="12">
        <v>46239</v>
      </c>
      <c r="K18">
        <v>88.410198480535627</v>
      </c>
      <c r="N18">
        <v>44.65</v>
      </c>
      <c r="O18">
        <v>44.65</v>
      </c>
      <c r="P18">
        <v>90.620242214532851</v>
      </c>
      <c r="T18">
        <v>8.0254135022296405E-2</v>
      </c>
      <c r="U18">
        <v>0</v>
      </c>
      <c r="V18">
        <v>2.6355631497681373E-2</v>
      </c>
      <c r="W18">
        <v>0</v>
      </c>
      <c r="X18">
        <v>0</v>
      </c>
      <c r="Y18">
        <v>7.7425522092857812E-3</v>
      </c>
      <c r="Z18">
        <v>4.2413642682989699E-3</v>
      </c>
      <c r="AA18">
        <v>0</v>
      </c>
      <c r="AB18">
        <v>3.3722154344611628E-2</v>
      </c>
      <c r="AC18">
        <v>0.4338617011614968</v>
      </c>
      <c r="AD18">
        <v>5.9497888472157978E-2</v>
      </c>
      <c r="AE18">
        <v>0</v>
      </c>
      <c r="AF18">
        <v>0</v>
      </c>
      <c r="AG18">
        <v>0</v>
      </c>
      <c r="AH18">
        <v>0.38938850157821231</v>
      </c>
      <c r="AI18">
        <v>0</v>
      </c>
      <c r="AJ18">
        <v>0</v>
      </c>
      <c r="AK18">
        <v>0</v>
      </c>
      <c r="AM18">
        <v>4.057921510995071E-2</v>
      </c>
    </row>
    <row r="19" spans="1:85" x14ac:dyDescent="0.25">
      <c r="A19" t="s">
        <v>128</v>
      </c>
      <c r="C19" t="s">
        <v>110</v>
      </c>
      <c r="D19" s="12">
        <v>46240</v>
      </c>
      <c r="K19">
        <v>88.909214995077434</v>
      </c>
      <c r="N19">
        <v>48.45000000000001</v>
      </c>
      <c r="O19">
        <v>48.45000000000001</v>
      </c>
      <c r="P19">
        <v>90.712677563285354</v>
      </c>
      <c r="T19">
        <v>7.9954267560986864E-2</v>
      </c>
      <c r="U19">
        <v>0</v>
      </c>
      <c r="V19">
        <v>5.9444153386977713E-2</v>
      </c>
      <c r="W19">
        <v>0</v>
      </c>
      <c r="X19">
        <v>0</v>
      </c>
      <c r="Y19">
        <v>7.6990959554278466E-3</v>
      </c>
      <c r="Z19">
        <v>2.5045485881724032E-3</v>
      </c>
      <c r="AA19">
        <v>0</v>
      </c>
      <c r="AB19">
        <v>3.2872627280295469E-2</v>
      </c>
      <c r="AC19">
        <v>0.45197033423543576</v>
      </c>
      <c r="AD19">
        <v>6.2174500644767296E-2</v>
      </c>
      <c r="AE19">
        <v>0</v>
      </c>
      <c r="AF19">
        <v>0</v>
      </c>
      <c r="AG19">
        <v>0</v>
      </c>
      <c r="AH19">
        <v>0.40976510242577857</v>
      </c>
      <c r="AI19">
        <v>0</v>
      </c>
      <c r="AJ19">
        <v>0</v>
      </c>
      <c r="AK19">
        <v>0</v>
      </c>
      <c r="AM19">
        <v>4.0351458082873923E-2</v>
      </c>
    </row>
    <row r="20" spans="1:85" x14ac:dyDescent="0.25">
      <c r="A20" t="s">
        <v>128</v>
      </c>
      <c r="C20" t="s">
        <v>110</v>
      </c>
      <c r="D20" s="12">
        <v>46235</v>
      </c>
      <c r="K20">
        <v>83.84606941210366</v>
      </c>
      <c r="N20">
        <v>56.999999999999993</v>
      </c>
      <c r="O20">
        <v>56.999999999999993</v>
      </c>
      <c r="P20">
        <v>85.99697231833909</v>
      </c>
      <c r="T20">
        <v>5.1093290491121039E-2</v>
      </c>
      <c r="U20">
        <v>0</v>
      </c>
      <c r="V20">
        <v>2.819836038236842E-2</v>
      </c>
      <c r="W20">
        <v>0</v>
      </c>
      <c r="X20">
        <v>0</v>
      </c>
      <c r="Y20">
        <v>8.1640151096939919E-3</v>
      </c>
      <c r="Z20">
        <v>9.2578612373417184E-3</v>
      </c>
      <c r="AA20">
        <v>0</v>
      </c>
      <c r="AB20">
        <v>3.2478306224326313E-2</v>
      </c>
      <c r="AC20">
        <v>0.2564355200063318</v>
      </c>
      <c r="AD20">
        <v>2.4525452279844397E-2</v>
      </c>
      <c r="AE20">
        <v>0</v>
      </c>
      <c r="AF20">
        <v>1.0172703174413364E-2</v>
      </c>
      <c r="AG20">
        <v>0</v>
      </c>
      <c r="AH20">
        <v>0.53426126471581525</v>
      </c>
      <c r="AI20">
        <v>0</v>
      </c>
      <c r="AJ20">
        <v>0</v>
      </c>
      <c r="AK20">
        <v>0</v>
      </c>
      <c r="AM20">
        <v>4.2788129332836676E-2</v>
      </c>
    </row>
    <row r="21" spans="1:85" x14ac:dyDescent="0.25">
      <c r="A21" t="s">
        <v>128</v>
      </c>
      <c r="C21" t="s">
        <v>110</v>
      </c>
      <c r="D21" s="12">
        <v>46241</v>
      </c>
      <c r="K21">
        <v>82.584326668692611</v>
      </c>
      <c r="N21">
        <v>48.449999999999996</v>
      </c>
      <c r="O21">
        <v>48.449999999999996</v>
      </c>
      <c r="P21">
        <v>85.02551903114184</v>
      </c>
      <c r="T21">
        <v>7.2816144703195571E-2</v>
      </c>
      <c r="U21">
        <v>0</v>
      </c>
      <c r="V21">
        <v>6.3991037870755232E-2</v>
      </c>
      <c r="W21">
        <v>0</v>
      </c>
      <c r="X21">
        <v>0</v>
      </c>
      <c r="Y21">
        <v>1.0376882705986345E-2</v>
      </c>
      <c r="Z21">
        <v>1.4179139069136149E-2</v>
      </c>
      <c r="AA21">
        <v>0</v>
      </c>
      <c r="AB21">
        <v>2.9140150344210622E-2</v>
      </c>
      <c r="AC21">
        <v>0.29184528424941591</v>
      </c>
      <c r="AD21">
        <v>5.7435287815196884E-2</v>
      </c>
      <c r="AE21">
        <v>0</v>
      </c>
      <c r="AF21">
        <v>0</v>
      </c>
      <c r="AG21">
        <v>0</v>
      </c>
      <c r="AH21">
        <v>0.39743951308539383</v>
      </c>
      <c r="AI21">
        <v>0</v>
      </c>
      <c r="AJ21">
        <v>0</v>
      </c>
      <c r="AK21">
        <v>0</v>
      </c>
      <c r="AM21">
        <v>8.1923224053116958E-2</v>
      </c>
    </row>
    <row r="22" spans="1:85" x14ac:dyDescent="0.25">
      <c r="A22" t="s">
        <v>128</v>
      </c>
      <c r="C22" t="s">
        <v>115</v>
      </c>
      <c r="D22" s="12"/>
      <c r="K22">
        <v>2396.3480238679699</v>
      </c>
      <c r="N22">
        <v>1502.8999999999969</v>
      </c>
      <c r="O22">
        <v>1502.8999999999969</v>
      </c>
      <c r="P22">
        <v>2463.5690934552463</v>
      </c>
      <c r="T22">
        <v>6.881317454192655E-2</v>
      </c>
      <c r="U22">
        <v>0</v>
      </c>
      <c r="V22">
        <v>4.2599700408246483E-2</v>
      </c>
      <c r="W22">
        <v>0</v>
      </c>
      <c r="X22">
        <v>7.0873412987752056E-4</v>
      </c>
      <c r="Y22">
        <v>6.0680427205476581E-3</v>
      </c>
      <c r="Z22">
        <v>1.1846144221531615E-2</v>
      </c>
      <c r="AA22">
        <v>0</v>
      </c>
      <c r="AB22">
        <v>3.6803335746532578E-2</v>
      </c>
      <c r="AC22">
        <v>0.30858303447333035</v>
      </c>
      <c r="AD22">
        <v>4.0423042995534821E-2</v>
      </c>
      <c r="AE22">
        <v>0</v>
      </c>
      <c r="AF22">
        <v>1.289354620482353E-2</v>
      </c>
      <c r="AG22">
        <v>0</v>
      </c>
      <c r="AH22">
        <v>0.48082602531162111</v>
      </c>
      <c r="AI22">
        <v>0</v>
      </c>
      <c r="AJ22">
        <v>0</v>
      </c>
      <c r="AK22">
        <v>0</v>
      </c>
      <c r="AM22">
        <v>3.5935061555336573E-2</v>
      </c>
    </row>
    <row r="23" spans="1:85" x14ac:dyDescent="0.25">
      <c r="A23" t="s">
        <v>128</v>
      </c>
      <c r="C23" t="s">
        <v>110</v>
      </c>
      <c r="D23" s="12">
        <v>46248</v>
      </c>
      <c r="K23">
        <v>82.149653307108551</v>
      </c>
      <c r="N23">
        <v>50.35</v>
      </c>
      <c r="O23">
        <v>50.35</v>
      </c>
      <c r="P23">
        <v>80.956769031141846</v>
      </c>
      <c r="T23">
        <v>6.4891226363352136E-2</v>
      </c>
      <c r="U23">
        <v>0</v>
      </c>
      <c r="V23">
        <v>6.9501507749230931E-2</v>
      </c>
      <c r="W23">
        <v>0</v>
      </c>
      <c r="X23">
        <v>0</v>
      </c>
      <c r="Y23">
        <v>1.0431789261364134E-2</v>
      </c>
      <c r="Z23">
        <v>1.2897918329784442E-2</v>
      </c>
      <c r="AA23">
        <v>0</v>
      </c>
      <c r="AB23">
        <v>4.8015036186236919E-2</v>
      </c>
      <c r="AC23">
        <v>0.35623928615892914</v>
      </c>
      <c r="AD23">
        <v>6.7860041537512447E-2</v>
      </c>
      <c r="AE23">
        <v>0</v>
      </c>
      <c r="AF23">
        <v>2.4449971204904889E-2</v>
      </c>
      <c r="AG23">
        <v>0</v>
      </c>
      <c r="AH23">
        <v>0.37568467962358559</v>
      </c>
      <c r="AI23">
        <v>0</v>
      </c>
      <c r="AJ23">
        <v>0</v>
      </c>
      <c r="AK23">
        <v>0</v>
      </c>
      <c r="AM23">
        <v>8.2356699323643617E-2</v>
      </c>
    </row>
    <row r="24" spans="1:85" x14ac:dyDescent="0.25">
      <c r="A24" t="s">
        <v>128</v>
      </c>
      <c r="C24" t="s">
        <v>110</v>
      </c>
      <c r="D24" s="12">
        <v>46247</v>
      </c>
      <c r="K24">
        <v>86.513639235207151</v>
      </c>
      <c r="N24">
        <v>50.35</v>
      </c>
      <c r="O24">
        <v>50.35</v>
      </c>
      <c r="P24">
        <v>90.151621972318338</v>
      </c>
      <c r="T24">
        <v>7.3566678405934782E-2</v>
      </c>
      <c r="U24">
        <v>0</v>
      </c>
      <c r="V24">
        <v>8.4266012619773012E-2</v>
      </c>
      <c r="W24">
        <v>0</v>
      </c>
      <c r="X24">
        <v>0</v>
      </c>
      <c r="Y24">
        <v>7.9122850873009788E-3</v>
      </c>
      <c r="Z24">
        <v>1.4169799051103908E-2</v>
      </c>
      <c r="AA24">
        <v>0</v>
      </c>
      <c r="AB24">
        <v>3.0816997273402914E-2</v>
      </c>
      <c r="AC24">
        <v>0.21217820975362997</v>
      </c>
      <c r="AD24">
        <v>4.5685504116054737E-2</v>
      </c>
      <c r="AE24">
        <v>0</v>
      </c>
      <c r="AF24">
        <v>0</v>
      </c>
      <c r="AG24">
        <v>0</v>
      </c>
      <c r="AH24">
        <v>0.41126755236904616</v>
      </c>
      <c r="AI24">
        <v>0</v>
      </c>
      <c r="AJ24">
        <v>0</v>
      </c>
      <c r="AK24">
        <v>0</v>
      </c>
      <c r="AM24">
        <v>4.1468796062333425E-2</v>
      </c>
    </row>
    <row r="25" spans="1:85" x14ac:dyDescent="0.25">
      <c r="A25" t="s">
        <v>128</v>
      </c>
      <c r="C25" t="s">
        <v>110</v>
      </c>
      <c r="D25" s="12">
        <v>46246</v>
      </c>
      <c r="K25">
        <v>87.459755202699142</v>
      </c>
      <c r="N25">
        <v>42.749999999999993</v>
      </c>
      <c r="O25">
        <v>42.749999999999993</v>
      </c>
      <c r="P25">
        <v>89.907871972318304</v>
      </c>
      <c r="T25">
        <v>8.6139314680946599E-2</v>
      </c>
      <c r="U25">
        <v>0</v>
      </c>
      <c r="V25">
        <v>4.917766014700539E-3</v>
      </c>
      <c r="W25">
        <v>0</v>
      </c>
      <c r="X25">
        <v>0</v>
      </c>
      <c r="Y25">
        <v>7.826692128081101E-3</v>
      </c>
      <c r="Z25">
        <v>2.4283573336408462E-3</v>
      </c>
      <c r="AA25">
        <v>0</v>
      </c>
      <c r="AB25">
        <v>3.5947718700509224E-2</v>
      </c>
      <c r="AC25">
        <v>0.37386838410740181</v>
      </c>
      <c r="AD25">
        <v>5.1716203092615674E-2</v>
      </c>
      <c r="AE25">
        <v>0</v>
      </c>
      <c r="AF25">
        <v>8.8601171974516321E-3</v>
      </c>
      <c r="AG25">
        <v>0</v>
      </c>
      <c r="AH25">
        <v>0.395622088687757</v>
      </c>
      <c r="AI25">
        <v>0</v>
      </c>
      <c r="AJ25">
        <v>0</v>
      </c>
      <c r="AK25">
        <v>0</v>
      </c>
      <c r="AM25">
        <v>4.102019784688779E-2</v>
      </c>
    </row>
    <row r="26" spans="1:85" x14ac:dyDescent="0.25">
      <c r="A26" t="s">
        <v>128</v>
      </c>
      <c r="C26" t="s">
        <v>110</v>
      </c>
      <c r="D26" s="12">
        <v>46245</v>
      </c>
      <c r="K26">
        <v>90.735224231511339</v>
      </c>
      <c r="N26">
        <v>50.350000000000009</v>
      </c>
      <c r="O26">
        <v>50.350000000000009</v>
      </c>
      <c r="P26">
        <v>94.158304498269899</v>
      </c>
      <c r="T26">
        <v>7.21377182460715E-2</v>
      </c>
      <c r="U26">
        <v>0</v>
      </c>
      <c r="V26">
        <v>9.0184679661466899E-2</v>
      </c>
      <c r="W26">
        <v>0</v>
      </c>
      <c r="X26">
        <v>2.3991267628175922E-3</v>
      </c>
      <c r="Y26">
        <v>0</v>
      </c>
      <c r="Z26">
        <v>9.998300375007433E-3</v>
      </c>
      <c r="AA26">
        <v>0</v>
      </c>
      <c r="AB26">
        <v>3.2211079115863621E-2</v>
      </c>
      <c r="AC26">
        <v>0.34799084702817729</v>
      </c>
      <c r="AD26">
        <v>4.6809110145094902E-2</v>
      </c>
      <c r="AE26">
        <v>0</v>
      </c>
      <c r="AF26">
        <v>0</v>
      </c>
      <c r="AG26">
        <v>0</v>
      </c>
      <c r="AH26">
        <v>0.40964807621206062</v>
      </c>
      <c r="AI26">
        <v>0</v>
      </c>
      <c r="AJ26">
        <v>0</v>
      </c>
      <c r="AK26">
        <v>0</v>
      </c>
      <c r="AM26">
        <v>0</v>
      </c>
    </row>
    <row r="27" spans="1:85" x14ac:dyDescent="0.25">
      <c r="A27" t="s">
        <v>128</v>
      </c>
      <c r="C27" t="s">
        <v>110</v>
      </c>
      <c r="D27" s="12">
        <v>46244</v>
      </c>
      <c r="K27">
        <v>83.987100089905937</v>
      </c>
      <c r="N27">
        <v>38.949999999999996</v>
      </c>
      <c r="O27">
        <v>38.949999999999996</v>
      </c>
      <c r="P27">
        <v>88.637218858131462</v>
      </c>
      <c r="T27">
        <v>8.6001574236423614E-2</v>
      </c>
      <c r="U27">
        <v>0</v>
      </c>
      <c r="V27">
        <v>0</v>
      </c>
      <c r="W27">
        <v>0</v>
      </c>
      <c r="X27">
        <v>0</v>
      </c>
      <c r="Y27">
        <v>8.1503061403013638E-3</v>
      </c>
      <c r="Z27">
        <v>2.5287637948870332E-3</v>
      </c>
      <c r="AA27">
        <v>0</v>
      </c>
      <c r="AB27">
        <v>0</v>
      </c>
      <c r="AC27">
        <v>0.29423164145005387</v>
      </c>
      <c r="AD27">
        <v>3.3163278527556857E-2</v>
      </c>
      <c r="AE27">
        <v>0</v>
      </c>
      <c r="AF27">
        <v>0</v>
      </c>
      <c r="AG27">
        <v>0</v>
      </c>
      <c r="AH27">
        <v>0.4185166527046757</v>
      </c>
      <c r="AI27">
        <v>0</v>
      </c>
      <c r="AJ27">
        <v>0</v>
      </c>
      <c r="AK27">
        <v>0</v>
      </c>
      <c r="AM27">
        <v>4.2716279740753586E-2</v>
      </c>
    </row>
    <row r="28" spans="1:85" x14ac:dyDescent="0.25">
      <c r="A28" t="s">
        <v>128</v>
      </c>
      <c r="C28" t="s">
        <v>110</v>
      </c>
      <c r="D28" s="12">
        <v>46243</v>
      </c>
      <c r="K28">
        <v>83.878072949519833</v>
      </c>
      <c r="N28">
        <v>53.2</v>
      </c>
      <c r="O28">
        <v>53.2</v>
      </c>
      <c r="P28">
        <v>88.657871972318318</v>
      </c>
      <c r="T28">
        <v>8.0732899884352935E-2</v>
      </c>
      <c r="U28">
        <v>0</v>
      </c>
      <c r="V28">
        <v>8.4403827180847948E-2</v>
      </c>
      <c r="W28">
        <v>0</v>
      </c>
      <c r="X28">
        <v>0</v>
      </c>
      <c r="Y28">
        <v>8.1609001434836143E-3</v>
      </c>
      <c r="Z28">
        <v>6.9575732514884072E-3</v>
      </c>
      <c r="AA28">
        <v>0</v>
      </c>
      <c r="AB28">
        <v>3.0793144569029523E-2</v>
      </c>
      <c r="AC28">
        <v>0.43063889471011985</v>
      </c>
      <c r="AD28">
        <v>3.0705389254919124E-2</v>
      </c>
      <c r="AE28">
        <v>0</v>
      </c>
      <c r="AF28">
        <v>0</v>
      </c>
      <c r="AG28">
        <v>0</v>
      </c>
      <c r="AH28">
        <v>0.45800164870650922</v>
      </c>
      <c r="AI28">
        <v>0</v>
      </c>
      <c r="AJ28">
        <v>0</v>
      </c>
      <c r="AK28">
        <v>0</v>
      </c>
      <c r="AM28">
        <v>4.2771803594179141E-2</v>
      </c>
    </row>
    <row r="29" spans="1:85" x14ac:dyDescent="0.25">
      <c r="A29" t="s">
        <v>128</v>
      </c>
      <c r="C29" t="s">
        <v>110</v>
      </c>
      <c r="D29" s="12">
        <v>46250</v>
      </c>
      <c r="K29">
        <v>80.01650204802236</v>
      </c>
      <c r="N29">
        <v>38.950000000000003</v>
      </c>
      <c r="O29">
        <v>38.950000000000003</v>
      </c>
      <c r="P29">
        <v>84.907439446366766</v>
      </c>
      <c r="T29">
        <v>8.1091974500585098E-2</v>
      </c>
      <c r="U29">
        <v>0</v>
      </c>
      <c r="V29">
        <v>0</v>
      </c>
      <c r="W29">
        <v>0</v>
      </c>
      <c r="X29">
        <v>0</v>
      </c>
      <c r="Y29">
        <v>8.5547425849488729E-3</v>
      </c>
      <c r="Z29">
        <v>8.4954717211175122E-3</v>
      </c>
      <c r="AA29">
        <v>0</v>
      </c>
      <c r="AB29">
        <v>7.8108888042231826E-4</v>
      </c>
      <c r="AC29">
        <v>0.41345254947953997</v>
      </c>
      <c r="AD29">
        <v>2.8463337154686692E-2</v>
      </c>
      <c r="AE29">
        <v>0</v>
      </c>
      <c r="AF29">
        <v>0</v>
      </c>
      <c r="AG29">
        <v>0</v>
      </c>
      <c r="AH29">
        <v>0.42078952148352944</v>
      </c>
      <c r="AI29">
        <v>0</v>
      </c>
      <c r="AJ29">
        <v>0</v>
      </c>
      <c r="AK29">
        <v>0</v>
      </c>
      <c r="AM29">
        <v>4.4835957211700708E-2</v>
      </c>
    </row>
    <row r="30" spans="1:85" x14ac:dyDescent="0.25">
      <c r="A30" t="s">
        <v>128</v>
      </c>
      <c r="C30" t="s">
        <v>110</v>
      </c>
      <c r="D30" s="12">
        <v>46242</v>
      </c>
      <c r="K30">
        <v>80.05529733465778</v>
      </c>
      <c r="N30">
        <v>44.65</v>
      </c>
      <c r="O30">
        <v>44.65</v>
      </c>
      <c r="P30">
        <v>86.907871972318333</v>
      </c>
      <c r="T30">
        <v>9.6615468441795221E-2</v>
      </c>
      <c r="U30">
        <v>0</v>
      </c>
      <c r="V30">
        <v>1.7666809430676913E-2</v>
      </c>
      <c r="W30">
        <v>0</v>
      </c>
      <c r="X30">
        <v>0</v>
      </c>
      <c r="Y30">
        <v>8.5505969043790046E-3</v>
      </c>
      <c r="Z30">
        <v>5.465189295921759E-3</v>
      </c>
      <c r="AA30">
        <v>0</v>
      </c>
      <c r="AB30">
        <v>3.1628161180884462E-2</v>
      </c>
      <c r="AC30">
        <v>0.34805831595574094</v>
      </c>
      <c r="AD30">
        <v>1.6482641543803998E-2</v>
      </c>
      <c r="AE30">
        <v>0</v>
      </c>
      <c r="AF30">
        <v>0</v>
      </c>
      <c r="AG30">
        <v>0</v>
      </c>
      <c r="AH30">
        <v>0.44629829435397317</v>
      </c>
      <c r="AI30">
        <v>0</v>
      </c>
      <c r="AJ30">
        <v>0</v>
      </c>
      <c r="AK30">
        <v>0</v>
      </c>
      <c r="AM30">
        <v>4.4814229432659052E-2</v>
      </c>
    </row>
    <row r="31" spans="1:85" x14ac:dyDescent="0.25">
      <c r="A31" t="s">
        <v>128</v>
      </c>
      <c r="B31" t="s">
        <v>145</v>
      </c>
      <c r="C31" t="s">
        <v>109</v>
      </c>
      <c r="D31" s="12">
        <v>46239</v>
      </c>
      <c r="E31" t="s">
        <v>134</v>
      </c>
      <c r="F31" t="s">
        <v>134</v>
      </c>
      <c r="G31" t="s">
        <v>134</v>
      </c>
      <c r="K31">
        <v>27.599490673528674</v>
      </c>
      <c r="N31">
        <v>30.4</v>
      </c>
      <c r="O31">
        <v>30.4</v>
      </c>
      <c r="P31">
        <v>28.78125</v>
      </c>
      <c r="T31">
        <v>3.6926877371877539E-2</v>
      </c>
      <c r="U31">
        <v>0</v>
      </c>
      <c r="V31">
        <v>8.4425710581127758E-2</v>
      </c>
      <c r="W31">
        <v>0</v>
      </c>
      <c r="X31">
        <v>0</v>
      </c>
      <c r="Y31">
        <v>0</v>
      </c>
      <c r="Z31">
        <v>5.8912796894330386E-3</v>
      </c>
      <c r="AA31">
        <v>0</v>
      </c>
      <c r="AB31">
        <v>0.10802309339925195</v>
      </c>
      <c r="AC31">
        <v>9.6870481944250325E-2</v>
      </c>
      <c r="AD31">
        <v>0</v>
      </c>
      <c r="AE31">
        <v>0</v>
      </c>
      <c r="AF31">
        <v>0</v>
      </c>
      <c r="AG31">
        <v>0</v>
      </c>
      <c r="AH31">
        <v>0.90312951805574959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1:85" x14ac:dyDescent="0.25">
      <c r="A32" t="s">
        <v>128</v>
      </c>
      <c r="B32" t="s">
        <v>145</v>
      </c>
      <c r="C32" t="s">
        <v>72</v>
      </c>
      <c r="D32" s="12">
        <v>46247</v>
      </c>
      <c r="E32" t="s">
        <v>136</v>
      </c>
      <c r="F32" t="s">
        <v>136</v>
      </c>
      <c r="G32" t="s">
        <v>136</v>
      </c>
      <c r="H32" t="s">
        <v>74</v>
      </c>
      <c r="I32">
        <v>10</v>
      </c>
      <c r="K32">
        <v>0</v>
      </c>
      <c r="L32">
        <v>46247</v>
      </c>
      <c r="M32" t="s">
        <v>165</v>
      </c>
      <c r="N32">
        <v>0</v>
      </c>
      <c r="O32">
        <v>0</v>
      </c>
      <c r="P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1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M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1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G32">
        <v>0</v>
      </c>
    </row>
    <row r="33" spans="1:85" x14ac:dyDescent="0.25">
      <c r="A33" t="s">
        <v>128</v>
      </c>
      <c r="B33" t="s">
        <v>145</v>
      </c>
      <c r="C33" t="s">
        <v>72</v>
      </c>
      <c r="D33" s="12">
        <v>46247</v>
      </c>
      <c r="E33" t="s">
        <v>136</v>
      </c>
      <c r="F33" t="s">
        <v>136</v>
      </c>
      <c r="G33" t="s">
        <v>136</v>
      </c>
      <c r="H33" t="s">
        <v>75</v>
      </c>
      <c r="I33">
        <v>10</v>
      </c>
      <c r="K33">
        <v>3.1774912809962848</v>
      </c>
      <c r="L33">
        <v>46247</v>
      </c>
      <c r="M33" t="s">
        <v>164</v>
      </c>
      <c r="N33">
        <v>0</v>
      </c>
      <c r="O33">
        <v>0</v>
      </c>
      <c r="P33">
        <v>4.6332179930795849</v>
      </c>
      <c r="Q33">
        <v>0</v>
      </c>
      <c r="R33">
        <v>0</v>
      </c>
      <c r="S33">
        <v>1.4581371224492754</v>
      </c>
      <c r="T33">
        <v>0.4581371224492754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</v>
      </c>
      <c r="BJ33">
        <v>1</v>
      </c>
      <c r="BK33">
        <v>0</v>
      </c>
      <c r="BL33">
        <v>0</v>
      </c>
      <c r="BM33">
        <v>0.68580655728747297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0.31419344271252703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0.68580655728747297</v>
      </c>
      <c r="CG33">
        <v>0</v>
      </c>
    </row>
    <row r="34" spans="1:85" x14ac:dyDescent="0.25">
      <c r="A34" t="s">
        <v>128</v>
      </c>
      <c r="B34" t="s">
        <v>145</v>
      </c>
      <c r="C34" t="s">
        <v>109</v>
      </c>
      <c r="D34" s="12">
        <v>46238</v>
      </c>
      <c r="E34" t="s">
        <v>135</v>
      </c>
      <c r="F34" t="s">
        <v>135</v>
      </c>
      <c r="G34" t="s">
        <v>135</v>
      </c>
      <c r="K34">
        <v>10.465131474298435</v>
      </c>
      <c r="N34">
        <v>0</v>
      </c>
      <c r="O34">
        <v>0</v>
      </c>
      <c r="P34">
        <v>8.7159385813148766</v>
      </c>
      <c r="T34">
        <v>1.0991757705127562E-2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0.49973375151651411</v>
      </c>
      <c r="AD34">
        <v>0.17813661367558922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0.32212963480789664</v>
      </c>
      <c r="AM34">
        <v>0</v>
      </c>
    </row>
    <row r="35" spans="1:85" x14ac:dyDescent="0.25">
      <c r="A35" t="s">
        <v>128</v>
      </c>
      <c r="B35" t="s">
        <v>145</v>
      </c>
      <c r="C35" t="s">
        <v>72</v>
      </c>
      <c r="D35" s="12">
        <v>46225</v>
      </c>
      <c r="E35" t="s">
        <v>135</v>
      </c>
      <c r="F35" t="s">
        <v>135</v>
      </c>
      <c r="G35" t="s">
        <v>135</v>
      </c>
      <c r="H35" t="s">
        <v>74</v>
      </c>
      <c r="I35">
        <v>10</v>
      </c>
      <c r="K35">
        <v>1.2735376146788993</v>
      </c>
      <c r="L35">
        <v>46225</v>
      </c>
      <c r="M35" t="s">
        <v>163</v>
      </c>
      <c r="N35">
        <v>0</v>
      </c>
      <c r="O35">
        <v>0</v>
      </c>
      <c r="P35">
        <v>0.94117647058823517</v>
      </c>
      <c r="Q35">
        <v>0</v>
      </c>
      <c r="R35">
        <v>0</v>
      </c>
      <c r="S35">
        <v>0.73902526296840998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0.73902526296840998</v>
      </c>
      <c r="AD35">
        <v>0.26097473703159002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K35">
        <v>0</v>
      </c>
      <c r="BL35">
        <v>0</v>
      </c>
      <c r="BM35">
        <v>1.3531337155963306</v>
      </c>
      <c r="BN35">
        <v>0.35313371559633056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</row>
    <row r="36" spans="1:85" x14ac:dyDescent="0.25">
      <c r="A36" t="s">
        <v>128</v>
      </c>
      <c r="B36" t="s">
        <v>145</v>
      </c>
      <c r="C36" t="s">
        <v>72</v>
      </c>
      <c r="D36" s="12">
        <v>46223</v>
      </c>
      <c r="E36" t="s">
        <v>135</v>
      </c>
      <c r="F36" t="s">
        <v>135</v>
      </c>
      <c r="G36" t="s">
        <v>135</v>
      </c>
      <c r="H36" t="s">
        <v>74</v>
      </c>
      <c r="I36">
        <v>10</v>
      </c>
      <c r="K36">
        <v>1.2735376146788993</v>
      </c>
      <c r="L36">
        <v>46223</v>
      </c>
      <c r="M36" t="s">
        <v>160</v>
      </c>
      <c r="N36">
        <v>0</v>
      </c>
      <c r="O36">
        <v>0</v>
      </c>
      <c r="P36">
        <v>0.94117647058823517</v>
      </c>
      <c r="Q36">
        <v>0</v>
      </c>
      <c r="R36">
        <v>0</v>
      </c>
      <c r="S36">
        <v>0.73902526296840998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0.73902526296840998</v>
      </c>
      <c r="AD36">
        <v>0.26097473703159002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K36">
        <v>0</v>
      </c>
      <c r="BL36">
        <v>0</v>
      </c>
      <c r="BM36">
        <v>1.3531337155963306</v>
      </c>
      <c r="BN36">
        <v>0.35313371559633056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</row>
    <row r="37" spans="1:85" x14ac:dyDescent="0.25">
      <c r="A37" t="s">
        <v>128</v>
      </c>
      <c r="B37" t="s">
        <v>145</v>
      </c>
      <c r="C37" t="s">
        <v>72</v>
      </c>
      <c r="D37" s="12">
        <v>46248</v>
      </c>
      <c r="E37" t="s">
        <v>136</v>
      </c>
      <c r="F37" t="s">
        <v>136</v>
      </c>
      <c r="G37" t="s">
        <v>136</v>
      </c>
      <c r="H37" t="s">
        <v>73</v>
      </c>
      <c r="I37">
        <v>10</v>
      </c>
      <c r="K37">
        <v>3.6011567851291222</v>
      </c>
      <c r="L37">
        <v>46248</v>
      </c>
      <c r="M37" t="s">
        <v>162</v>
      </c>
      <c r="N37">
        <v>0.95</v>
      </c>
      <c r="O37">
        <v>0.95</v>
      </c>
      <c r="P37">
        <v>4.7022058823529402</v>
      </c>
      <c r="Q37">
        <v>0.26380412092108813</v>
      </c>
      <c r="R37">
        <v>0.26380412092108813</v>
      </c>
      <c r="S37">
        <v>1.3057487254569338</v>
      </c>
      <c r="T37">
        <v>0.30574872545693377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0.73619587907891182</v>
      </c>
      <c r="AD37">
        <v>0</v>
      </c>
      <c r="AE37">
        <v>0</v>
      </c>
      <c r="AF37">
        <v>0</v>
      </c>
      <c r="AG37">
        <v>0</v>
      </c>
      <c r="AH37">
        <v>0.26380412092108813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3.7906913527674972</v>
      </c>
      <c r="AO37">
        <v>3.7906913527674972</v>
      </c>
      <c r="AP37">
        <v>4.9496904024767794</v>
      </c>
      <c r="BG37">
        <v>0</v>
      </c>
      <c r="BH37">
        <v>0</v>
      </c>
      <c r="BI37">
        <v>0</v>
      </c>
      <c r="BK37">
        <v>0.20203283815480846</v>
      </c>
      <c r="BL37">
        <v>0.20203283815480846</v>
      </c>
      <c r="BM37">
        <v>0.76584413256850781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0.23415586743149219</v>
      </c>
      <c r="BY37">
        <v>0</v>
      </c>
      <c r="BZ37">
        <v>0</v>
      </c>
      <c r="CA37">
        <v>0</v>
      </c>
      <c r="CB37">
        <v>0.20203283815480846</v>
      </c>
      <c r="CC37">
        <v>0</v>
      </c>
      <c r="CD37">
        <v>0</v>
      </c>
      <c r="CE37">
        <v>0</v>
      </c>
      <c r="CF37">
        <v>0</v>
      </c>
      <c r="CG37">
        <v>0</v>
      </c>
    </row>
    <row r="38" spans="1:85" x14ac:dyDescent="0.25">
      <c r="A38" t="s">
        <v>128</v>
      </c>
      <c r="B38" t="s">
        <v>145</v>
      </c>
      <c r="C38" t="s">
        <v>72</v>
      </c>
      <c r="D38" s="12">
        <v>46223</v>
      </c>
      <c r="E38" t="s">
        <v>135</v>
      </c>
      <c r="F38" t="s">
        <v>135</v>
      </c>
      <c r="G38" t="s">
        <v>135</v>
      </c>
      <c r="H38" t="s">
        <v>75</v>
      </c>
      <c r="I38">
        <v>10</v>
      </c>
      <c r="K38">
        <v>3.3711289800323798</v>
      </c>
      <c r="L38">
        <v>46223</v>
      </c>
      <c r="M38" t="s">
        <v>168</v>
      </c>
      <c r="N38">
        <v>2.8499999999999996</v>
      </c>
      <c r="O38">
        <v>2.8499999999999996</v>
      </c>
      <c r="P38">
        <v>4.4273356401384074</v>
      </c>
      <c r="Q38">
        <v>0.84541410811657092</v>
      </c>
      <c r="R38">
        <v>0.84541410811657092</v>
      </c>
      <c r="S38">
        <v>1.3133094777334455</v>
      </c>
      <c r="T38">
        <v>0.31330947773344553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0.15458589188342908</v>
      </c>
      <c r="AD38">
        <v>0</v>
      </c>
      <c r="AE38">
        <v>0</v>
      </c>
      <c r="AF38">
        <v>0</v>
      </c>
      <c r="AG38">
        <v>0</v>
      </c>
      <c r="AH38">
        <v>0.84541410811657092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1.182852273695572</v>
      </c>
      <c r="AO38">
        <v>1.182852273695572</v>
      </c>
      <c r="AP38">
        <v>1.5534511018029502</v>
      </c>
      <c r="AQ38">
        <v>0.37059882810737821</v>
      </c>
      <c r="AR38">
        <v>0</v>
      </c>
      <c r="AS38">
        <v>0</v>
      </c>
      <c r="AT38">
        <v>0</v>
      </c>
      <c r="AU38">
        <v>0</v>
      </c>
      <c r="AV38">
        <v>0.317147726304428</v>
      </c>
      <c r="AW38">
        <v>0.182852273695572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0.6437280187573271</v>
      </c>
      <c r="BL38">
        <v>0.6437280187573271</v>
      </c>
      <c r="BM38">
        <v>0.76143515062865019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0.23856484937134981</v>
      </c>
      <c r="BY38">
        <v>0</v>
      </c>
      <c r="BZ38">
        <v>0</v>
      </c>
      <c r="CA38">
        <v>0</v>
      </c>
      <c r="CB38">
        <v>0.6437280187573271</v>
      </c>
      <c r="CC38">
        <v>0</v>
      </c>
      <c r="CD38">
        <v>0</v>
      </c>
      <c r="CE38">
        <v>0</v>
      </c>
      <c r="CF38">
        <v>0</v>
      </c>
      <c r="CG38">
        <v>0</v>
      </c>
    </row>
    <row r="39" spans="1:85" x14ac:dyDescent="0.25">
      <c r="A39" t="s">
        <v>128</v>
      </c>
      <c r="B39" t="s">
        <v>145</v>
      </c>
      <c r="C39" t="s">
        <v>72</v>
      </c>
      <c r="D39" s="12">
        <v>46248</v>
      </c>
      <c r="E39" t="s">
        <v>136</v>
      </c>
      <c r="F39" t="s">
        <v>136</v>
      </c>
      <c r="G39" t="s">
        <v>136</v>
      </c>
      <c r="H39" t="s">
        <v>74</v>
      </c>
      <c r="I39">
        <v>10</v>
      </c>
      <c r="K39">
        <v>0</v>
      </c>
      <c r="L39">
        <v>46248</v>
      </c>
      <c r="M39" t="s">
        <v>161</v>
      </c>
      <c r="N39">
        <v>0</v>
      </c>
      <c r="O39">
        <v>0</v>
      </c>
      <c r="P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M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1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G39">
        <v>0</v>
      </c>
    </row>
    <row r="40" spans="1:85" x14ac:dyDescent="0.25">
      <c r="A40" t="s">
        <v>128</v>
      </c>
      <c r="B40" t="s">
        <v>145</v>
      </c>
      <c r="C40" t="s">
        <v>109</v>
      </c>
      <c r="D40" s="12">
        <v>46238</v>
      </c>
      <c r="E40" t="s">
        <v>136</v>
      </c>
      <c r="F40" t="s">
        <v>136</v>
      </c>
      <c r="G40" t="s">
        <v>136</v>
      </c>
      <c r="K40">
        <v>6.8316062541420131</v>
      </c>
      <c r="N40">
        <v>0</v>
      </c>
      <c r="O40">
        <v>0</v>
      </c>
      <c r="P40">
        <v>9.4600153787005006</v>
      </c>
      <c r="T40">
        <v>0.38474247882258705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M40">
        <v>0</v>
      </c>
    </row>
    <row r="41" spans="1:85" x14ac:dyDescent="0.25">
      <c r="A41" t="s">
        <v>128</v>
      </c>
      <c r="B41" t="s">
        <v>145</v>
      </c>
      <c r="C41" t="s">
        <v>109</v>
      </c>
      <c r="D41" s="12">
        <v>46236</v>
      </c>
      <c r="E41" t="s">
        <v>134</v>
      </c>
      <c r="F41" t="s">
        <v>134</v>
      </c>
      <c r="G41" t="s">
        <v>134</v>
      </c>
      <c r="K41">
        <v>26.164654766953785</v>
      </c>
      <c r="N41">
        <v>35.15</v>
      </c>
      <c r="O41">
        <v>35.15</v>
      </c>
      <c r="P41">
        <v>27.1875</v>
      </c>
      <c r="T41">
        <v>1.0614526458819336E-2</v>
      </c>
      <c r="U41">
        <v>0</v>
      </c>
      <c r="V41">
        <v>0.21821517680148506</v>
      </c>
      <c r="W41">
        <v>0</v>
      </c>
      <c r="X41">
        <v>0</v>
      </c>
      <c r="Y41">
        <v>0</v>
      </c>
      <c r="Z41">
        <v>2.8478106031714433E-2</v>
      </c>
      <c r="AA41">
        <v>0</v>
      </c>
      <c r="AB41">
        <v>0.1166831842908662</v>
      </c>
      <c r="AC41">
        <v>1.9961072842051616E-2</v>
      </c>
      <c r="AD41">
        <v>0</v>
      </c>
      <c r="AE41">
        <v>0</v>
      </c>
      <c r="AF41">
        <v>0</v>
      </c>
      <c r="AG41">
        <v>0</v>
      </c>
      <c r="AH41">
        <v>0.98003892715794838</v>
      </c>
      <c r="AI41">
        <v>0</v>
      </c>
      <c r="AJ41">
        <v>0</v>
      </c>
      <c r="AK41">
        <v>0</v>
      </c>
      <c r="AL41">
        <v>0</v>
      </c>
      <c r="AM41">
        <v>0</v>
      </c>
    </row>
    <row r="42" spans="1:85" x14ac:dyDescent="0.25">
      <c r="A42" t="s">
        <v>128</v>
      </c>
      <c r="B42" t="s">
        <v>145</v>
      </c>
      <c r="C42" t="s">
        <v>72</v>
      </c>
      <c r="D42" s="12">
        <v>46248</v>
      </c>
      <c r="E42" t="s">
        <v>136</v>
      </c>
      <c r="F42" t="s">
        <v>136</v>
      </c>
      <c r="G42" t="s">
        <v>136</v>
      </c>
      <c r="H42" t="s">
        <v>75</v>
      </c>
      <c r="I42">
        <v>10</v>
      </c>
      <c r="K42">
        <v>3.1774912809962848</v>
      </c>
      <c r="L42">
        <v>46248</v>
      </c>
      <c r="M42" t="s">
        <v>159</v>
      </c>
      <c r="N42">
        <v>0</v>
      </c>
      <c r="O42">
        <v>0</v>
      </c>
      <c r="P42">
        <v>4.6332179930795849</v>
      </c>
      <c r="Q42">
        <v>0</v>
      </c>
      <c r="R42">
        <v>0</v>
      </c>
      <c r="S42">
        <v>1.4581371224492754</v>
      </c>
      <c r="T42">
        <v>0.4581371224492754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</v>
      </c>
      <c r="AM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1</v>
      </c>
      <c r="BJ42">
        <v>1</v>
      </c>
      <c r="BK42">
        <v>0</v>
      </c>
      <c r="BL42">
        <v>0</v>
      </c>
      <c r="BM42">
        <v>0.68580655728747297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0.31419344271252703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0.68580655728747297</v>
      </c>
      <c r="CG42">
        <v>0</v>
      </c>
    </row>
    <row r="43" spans="1:85" x14ac:dyDescent="0.25">
      <c r="A43" t="s">
        <v>128</v>
      </c>
      <c r="B43" t="s">
        <v>145</v>
      </c>
      <c r="C43" t="s">
        <v>72</v>
      </c>
      <c r="D43" s="12">
        <v>46249</v>
      </c>
      <c r="E43" t="s">
        <v>136</v>
      </c>
      <c r="F43" t="s">
        <v>136</v>
      </c>
      <c r="G43" t="s">
        <v>136</v>
      </c>
      <c r="H43" t="s">
        <v>73</v>
      </c>
      <c r="I43">
        <v>10</v>
      </c>
      <c r="K43">
        <v>3.6011567851291222</v>
      </c>
      <c r="L43">
        <v>46249</v>
      </c>
      <c r="M43" t="s">
        <v>158</v>
      </c>
      <c r="N43">
        <v>0</v>
      </c>
      <c r="O43">
        <v>0</v>
      </c>
      <c r="P43">
        <v>4.7647058823529385</v>
      </c>
      <c r="Q43">
        <v>0</v>
      </c>
      <c r="R43">
        <v>0</v>
      </c>
      <c r="S43">
        <v>1.3231042597280573</v>
      </c>
      <c r="T43">
        <v>0.32310425972805734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1</v>
      </c>
      <c r="AM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1</v>
      </c>
      <c r="BJ43">
        <v>1</v>
      </c>
      <c r="BK43">
        <v>0</v>
      </c>
      <c r="BL43">
        <v>0</v>
      </c>
      <c r="BM43">
        <v>0.75579833761969273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0.24420166238030727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0.75579833761969273</v>
      </c>
      <c r="CG43">
        <v>0</v>
      </c>
    </row>
    <row r="44" spans="1:85" x14ac:dyDescent="0.25">
      <c r="A44" t="s">
        <v>128</v>
      </c>
      <c r="B44" t="s">
        <v>145</v>
      </c>
      <c r="C44" t="s">
        <v>72</v>
      </c>
      <c r="D44" s="12">
        <v>46225</v>
      </c>
      <c r="E44" t="s">
        <v>135</v>
      </c>
      <c r="F44" t="s">
        <v>135</v>
      </c>
      <c r="G44" t="s">
        <v>135</v>
      </c>
      <c r="H44" t="s">
        <v>73</v>
      </c>
      <c r="I44">
        <v>10</v>
      </c>
      <c r="K44">
        <v>4.6265233658256903</v>
      </c>
      <c r="L44">
        <v>46225</v>
      </c>
      <c r="M44" t="s">
        <v>166</v>
      </c>
      <c r="N44">
        <v>3.8</v>
      </c>
      <c r="O44">
        <v>3.8</v>
      </c>
      <c r="P44">
        <v>2.7656250000000009</v>
      </c>
      <c r="Q44">
        <v>0.82135108796144984</v>
      </c>
      <c r="R44">
        <v>0.82135108796144984</v>
      </c>
      <c r="S44">
        <v>0.59777607964299628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0.17864891203855016</v>
      </c>
      <c r="AE44">
        <v>0</v>
      </c>
      <c r="AF44">
        <v>0.22357500831845356</v>
      </c>
      <c r="AG44">
        <v>0</v>
      </c>
      <c r="AH44">
        <v>0.59777607964299628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1.2175061489014976</v>
      </c>
      <c r="AO44">
        <v>1.2175061489014976</v>
      </c>
      <c r="AP44">
        <v>0.7277960526315792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0.21750614890149755</v>
      </c>
      <c r="AZ44">
        <v>0</v>
      </c>
      <c r="BA44">
        <v>0</v>
      </c>
      <c r="BB44">
        <v>0</v>
      </c>
      <c r="BC44">
        <v>0.2722039473684208</v>
      </c>
      <c r="BD44">
        <v>0</v>
      </c>
      <c r="BE44">
        <v>0.7277960526315792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1.3740112994350278</v>
      </c>
      <c r="BL44">
        <v>1.3740112994350278</v>
      </c>
      <c r="BM44">
        <v>1.6728672057222829</v>
      </c>
      <c r="BN44">
        <v>0.29885590628725511</v>
      </c>
      <c r="BO44">
        <v>0</v>
      </c>
      <c r="BP44">
        <v>0</v>
      </c>
      <c r="BQ44">
        <v>0</v>
      </c>
      <c r="BR44">
        <v>0</v>
      </c>
      <c r="BS44">
        <v>0.12598870056497224</v>
      </c>
      <c r="BT44">
        <v>0.37401129943502776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</row>
    <row r="45" spans="1:85" x14ac:dyDescent="0.25">
      <c r="A45" t="s">
        <v>128</v>
      </c>
      <c r="B45" t="s">
        <v>145</v>
      </c>
      <c r="C45" t="s">
        <v>109</v>
      </c>
      <c r="D45" s="12">
        <v>46238</v>
      </c>
      <c r="E45" t="s">
        <v>134</v>
      </c>
      <c r="F45" t="s">
        <v>134</v>
      </c>
      <c r="G45" t="s">
        <v>134</v>
      </c>
      <c r="K45">
        <v>28.218439495972738</v>
      </c>
      <c r="N45">
        <v>37.049999999999997</v>
      </c>
      <c r="O45">
        <v>37.049999999999997</v>
      </c>
      <c r="P45">
        <v>29.90625</v>
      </c>
      <c r="T45">
        <v>7.1429357399004322E-3</v>
      </c>
      <c r="U45">
        <v>0</v>
      </c>
      <c r="V45">
        <v>0.1636315099838325</v>
      </c>
      <c r="W45">
        <v>0</v>
      </c>
      <c r="X45">
        <v>0</v>
      </c>
      <c r="Y45">
        <v>0</v>
      </c>
      <c r="Z45">
        <v>5.2669390319736678E-2</v>
      </c>
      <c r="AA45">
        <v>0</v>
      </c>
      <c r="AB45">
        <v>9.6670357560908998E-2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>
        <v>0</v>
      </c>
      <c r="AM45">
        <v>0</v>
      </c>
    </row>
    <row r="46" spans="1:85" x14ac:dyDescent="0.25">
      <c r="A46" t="s">
        <v>128</v>
      </c>
      <c r="B46" t="s">
        <v>145</v>
      </c>
      <c r="C46" t="s">
        <v>109</v>
      </c>
      <c r="D46" s="12">
        <v>46237</v>
      </c>
      <c r="E46" t="s">
        <v>134</v>
      </c>
      <c r="F46" t="s">
        <v>134</v>
      </c>
      <c r="G46" t="s">
        <v>134</v>
      </c>
      <c r="K46">
        <v>27.064943963236065</v>
      </c>
      <c r="N46">
        <v>25.650000000000002</v>
      </c>
      <c r="O46">
        <v>25.650000000000002</v>
      </c>
      <c r="P46">
        <v>28.125</v>
      </c>
      <c r="T46">
        <v>3.9167124757541444E-2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5.2279582221122278E-2</v>
      </c>
      <c r="AD46">
        <v>0</v>
      </c>
      <c r="AE46">
        <v>0</v>
      </c>
      <c r="AF46">
        <v>0</v>
      </c>
      <c r="AG46">
        <v>0</v>
      </c>
      <c r="AH46">
        <v>0.94772041777887772</v>
      </c>
      <c r="AI46">
        <v>0</v>
      </c>
      <c r="AJ46">
        <v>0</v>
      </c>
      <c r="AK46">
        <v>0</v>
      </c>
      <c r="AL46">
        <v>0</v>
      </c>
      <c r="AM46">
        <v>0</v>
      </c>
    </row>
    <row r="47" spans="1:85" x14ac:dyDescent="0.25">
      <c r="A47" t="s">
        <v>128</v>
      </c>
      <c r="B47" t="s">
        <v>145</v>
      </c>
      <c r="C47" t="s">
        <v>72</v>
      </c>
      <c r="D47" s="12">
        <v>46223</v>
      </c>
      <c r="E47" t="s">
        <v>135</v>
      </c>
      <c r="F47" t="s">
        <v>135</v>
      </c>
      <c r="G47" t="s">
        <v>135</v>
      </c>
      <c r="H47" t="s">
        <v>73</v>
      </c>
      <c r="I47">
        <v>10</v>
      </c>
      <c r="K47">
        <v>5.8204648795871554</v>
      </c>
      <c r="L47">
        <v>46223</v>
      </c>
      <c r="M47" t="s">
        <v>176</v>
      </c>
      <c r="N47">
        <v>5.6999999999999993</v>
      </c>
      <c r="O47">
        <v>5.6999999999999993</v>
      </c>
      <c r="P47">
        <v>4.2297794117647056</v>
      </c>
      <c r="Q47">
        <v>0.97930322026172922</v>
      </c>
      <c r="R47">
        <v>0.97930322026172922</v>
      </c>
      <c r="S47">
        <v>0.72670817525227005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2.0696779738270776E-2</v>
      </c>
      <c r="AE47">
        <v>0</v>
      </c>
      <c r="AF47">
        <v>0.25259504500945917</v>
      </c>
      <c r="AG47">
        <v>0</v>
      </c>
      <c r="AH47">
        <v>0.72670817525227005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1.0211341894012556</v>
      </c>
      <c r="AO47">
        <v>1.0211341894012556</v>
      </c>
      <c r="AP47">
        <v>0.74206656346749233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2.1134189401255554E-2</v>
      </c>
      <c r="AZ47">
        <v>0</v>
      </c>
      <c r="BA47">
        <v>0</v>
      </c>
      <c r="BB47">
        <v>0</v>
      </c>
      <c r="BC47">
        <v>0.25793343653250767</v>
      </c>
      <c r="BD47">
        <v>0</v>
      </c>
      <c r="BE47">
        <v>0.74206656346749233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1.3475880052151237</v>
      </c>
      <c r="BL47">
        <v>1.3475880052151237</v>
      </c>
      <c r="BM47">
        <v>1.3760681853522003</v>
      </c>
      <c r="BN47">
        <v>2.8480180137076649E-2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0.34758800521512367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1</v>
      </c>
      <c r="CC47">
        <v>0</v>
      </c>
      <c r="CD47">
        <v>0</v>
      </c>
      <c r="CE47">
        <v>0</v>
      </c>
      <c r="CF47">
        <v>0</v>
      </c>
      <c r="CG47">
        <v>0</v>
      </c>
    </row>
    <row r="48" spans="1:85" x14ac:dyDescent="0.25">
      <c r="A48" t="s">
        <v>128</v>
      </c>
      <c r="B48" t="s">
        <v>145</v>
      </c>
      <c r="C48" t="s">
        <v>109</v>
      </c>
      <c r="D48" s="12">
        <v>46236</v>
      </c>
      <c r="E48" t="s">
        <v>135</v>
      </c>
      <c r="F48" t="s">
        <v>135</v>
      </c>
      <c r="G48" t="s">
        <v>135</v>
      </c>
      <c r="K48">
        <v>7.10278147598489</v>
      </c>
      <c r="N48">
        <v>5.7</v>
      </c>
      <c r="O48">
        <v>5.7</v>
      </c>
      <c r="P48">
        <v>5.9307958477508649</v>
      </c>
      <c r="T48">
        <v>0</v>
      </c>
      <c r="U48">
        <v>0</v>
      </c>
      <c r="V48">
        <v>3.8396130349298153E-2</v>
      </c>
      <c r="W48">
        <v>0</v>
      </c>
      <c r="X48">
        <v>0</v>
      </c>
      <c r="Y48">
        <v>0</v>
      </c>
      <c r="Z48">
        <v>0</v>
      </c>
      <c r="AA48">
        <v>0</v>
      </c>
      <c r="AB48">
        <v>0.12607119314436385</v>
      </c>
      <c r="AC48">
        <v>0.28715783866626859</v>
      </c>
      <c r="AD48">
        <v>7.4806969542052487E-2</v>
      </c>
      <c r="AE48">
        <v>0</v>
      </c>
      <c r="AF48">
        <v>9.0196787394101099E-2</v>
      </c>
      <c r="AG48">
        <v>0</v>
      </c>
      <c r="AH48">
        <v>0.54783840439757781</v>
      </c>
      <c r="AI48">
        <v>0</v>
      </c>
      <c r="AJ48">
        <v>0</v>
      </c>
      <c r="AK48">
        <v>0</v>
      </c>
      <c r="AL48">
        <v>0</v>
      </c>
      <c r="AM48">
        <v>0</v>
      </c>
    </row>
    <row r="49" spans="1:85" x14ac:dyDescent="0.25">
      <c r="A49" t="s">
        <v>128</v>
      </c>
      <c r="B49" t="s">
        <v>145</v>
      </c>
      <c r="C49" t="s">
        <v>72</v>
      </c>
      <c r="D49" s="12">
        <v>46224</v>
      </c>
      <c r="E49" t="s">
        <v>135</v>
      </c>
      <c r="F49" t="s">
        <v>135</v>
      </c>
      <c r="G49" t="s">
        <v>135</v>
      </c>
      <c r="H49" t="s">
        <v>75</v>
      </c>
      <c r="I49">
        <v>10</v>
      </c>
      <c r="K49">
        <v>3.3711289800323798</v>
      </c>
      <c r="L49">
        <v>46224</v>
      </c>
      <c r="M49" t="s">
        <v>169</v>
      </c>
      <c r="N49">
        <v>0.95</v>
      </c>
      <c r="O49">
        <v>0.95</v>
      </c>
      <c r="P49">
        <v>3.4861591695501715</v>
      </c>
      <c r="Q49">
        <v>0.28180470270552366</v>
      </c>
      <c r="R49">
        <v>0.28180470270552366</v>
      </c>
      <c r="S49">
        <v>1.0341221561676013</v>
      </c>
      <c r="T49">
        <v>3.4122156167601281E-2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0.71819529729447629</v>
      </c>
      <c r="AD49">
        <v>0</v>
      </c>
      <c r="AE49">
        <v>0</v>
      </c>
      <c r="AF49">
        <v>0</v>
      </c>
      <c r="AG49">
        <v>0</v>
      </c>
      <c r="AH49">
        <v>0.28180470270552366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3.5485568210867156</v>
      </c>
      <c r="AO49">
        <v>3.5485568210867156</v>
      </c>
      <c r="AP49">
        <v>3.6696412311054436</v>
      </c>
      <c r="BG49">
        <v>0</v>
      </c>
      <c r="BH49">
        <v>0</v>
      </c>
      <c r="BI49">
        <v>0</v>
      </c>
      <c r="BK49">
        <v>0.2725062034739455</v>
      </c>
      <c r="BL49">
        <v>0.2725062034739455</v>
      </c>
      <c r="BM49">
        <v>0.96700374712591386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3.299625287408614E-2</v>
      </c>
      <c r="BY49">
        <v>0</v>
      </c>
      <c r="BZ49">
        <v>0</v>
      </c>
      <c r="CA49">
        <v>0</v>
      </c>
      <c r="CB49">
        <v>0.2725062034739455</v>
      </c>
      <c r="CC49">
        <v>0</v>
      </c>
      <c r="CD49">
        <v>0</v>
      </c>
      <c r="CE49">
        <v>0</v>
      </c>
      <c r="CF49">
        <v>0</v>
      </c>
      <c r="CG49">
        <v>0</v>
      </c>
    </row>
    <row r="50" spans="1:85" x14ac:dyDescent="0.25">
      <c r="A50" t="s">
        <v>128</v>
      </c>
      <c r="B50" t="s">
        <v>145</v>
      </c>
      <c r="C50" t="s">
        <v>109</v>
      </c>
      <c r="D50" s="12">
        <v>46237</v>
      </c>
      <c r="E50" t="s">
        <v>135</v>
      </c>
      <c r="F50" t="s">
        <v>135</v>
      </c>
      <c r="G50" t="s">
        <v>135</v>
      </c>
      <c r="K50">
        <v>10.465131474298435</v>
      </c>
      <c r="N50">
        <v>0</v>
      </c>
      <c r="O50">
        <v>0</v>
      </c>
      <c r="P50">
        <v>8.7159385813148784</v>
      </c>
      <c r="T50">
        <v>1.0991757705127562E-2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0.49973375151651411</v>
      </c>
      <c r="AD50">
        <v>0.17813661367558922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0.32212963480789664</v>
      </c>
      <c r="AM50">
        <v>0</v>
      </c>
    </row>
    <row r="51" spans="1:85" x14ac:dyDescent="0.25">
      <c r="A51" t="s">
        <v>128</v>
      </c>
      <c r="B51" t="s">
        <v>145</v>
      </c>
      <c r="C51" t="s">
        <v>72</v>
      </c>
      <c r="D51" s="12">
        <v>46224</v>
      </c>
      <c r="E51" t="s">
        <v>135</v>
      </c>
      <c r="F51" t="s">
        <v>135</v>
      </c>
      <c r="G51" t="s">
        <v>135</v>
      </c>
      <c r="H51" t="s">
        <v>74</v>
      </c>
      <c r="I51">
        <v>10</v>
      </c>
      <c r="K51">
        <v>1.2735376146788993</v>
      </c>
      <c r="L51">
        <v>46224</v>
      </c>
      <c r="M51" t="s">
        <v>172</v>
      </c>
      <c r="N51">
        <v>0</v>
      </c>
      <c r="O51">
        <v>0</v>
      </c>
      <c r="P51">
        <v>0.94117647058823517</v>
      </c>
      <c r="Q51">
        <v>0</v>
      </c>
      <c r="R51">
        <v>0</v>
      </c>
      <c r="S51">
        <v>0.73902526296840998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0.73902526296840998</v>
      </c>
      <c r="AD51">
        <v>0.26097473703159002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K51">
        <v>0</v>
      </c>
      <c r="BL51">
        <v>0</v>
      </c>
      <c r="BM51">
        <v>1.3531337155963306</v>
      </c>
      <c r="BN51">
        <v>0.35313371559633056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</row>
    <row r="52" spans="1:85" x14ac:dyDescent="0.25">
      <c r="A52" t="s">
        <v>128</v>
      </c>
      <c r="B52" t="s">
        <v>145</v>
      </c>
      <c r="C52" t="s">
        <v>72</v>
      </c>
      <c r="D52" s="12">
        <v>46249</v>
      </c>
      <c r="E52" t="s">
        <v>136</v>
      </c>
      <c r="F52" t="s">
        <v>136</v>
      </c>
      <c r="G52" t="s">
        <v>136</v>
      </c>
      <c r="H52" t="s">
        <v>75</v>
      </c>
      <c r="I52">
        <v>10</v>
      </c>
      <c r="K52">
        <v>3.2304494690128904</v>
      </c>
      <c r="L52">
        <v>46249</v>
      </c>
      <c r="M52" t="s">
        <v>170</v>
      </c>
      <c r="N52">
        <v>0</v>
      </c>
      <c r="O52">
        <v>0</v>
      </c>
      <c r="P52">
        <v>4.6920415224913494</v>
      </c>
      <c r="Q52">
        <v>0</v>
      </c>
      <c r="R52">
        <v>0</v>
      </c>
      <c r="S52">
        <v>1.4524423203329255</v>
      </c>
      <c r="T52">
        <v>0.45244232033292553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1</v>
      </c>
      <c r="BK52">
        <v>0</v>
      </c>
      <c r="BL52">
        <v>0</v>
      </c>
      <c r="BM52">
        <v>0.68849549892678863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0.31150450107321137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0.68849549892678863</v>
      </c>
      <c r="CG52">
        <v>0</v>
      </c>
    </row>
    <row r="53" spans="1:85" x14ac:dyDescent="0.25">
      <c r="A53" t="s">
        <v>128</v>
      </c>
      <c r="B53" t="s">
        <v>145</v>
      </c>
      <c r="C53" t="s">
        <v>72</v>
      </c>
      <c r="D53" s="12">
        <v>46250</v>
      </c>
      <c r="E53" t="s">
        <v>136</v>
      </c>
      <c r="F53" t="s">
        <v>136</v>
      </c>
      <c r="G53" t="s">
        <v>136</v>
      </c>
      <c r="H53" t="s">
        <v>73</v>
      </c>
      <c r="I53">
        <v>10</v>
      </c>
      <c r="K53">
        <v>3.6011567851291222</v>
      </c>
      <c r="L53">
        <v>46250</v>
      </c>
      <c r="M53" t="s">
        <v>171</v>
      </c>
      <c r="N53">
        <v>0.95</v>
      </c>
      <c r="O53">
        <v>0.95</v>
      </c>
      <c r="P53">
        <v>4.7022058823529402</v>
      </c>
      <c r="Q53">
        <v>0.26380412092108813</v>
      </c>
      <c r="R53">
        <v>0.26380412092108813</v>
      </c>
      <c r="S53">
        <v>1.3057487254569338</v>
      </c>
      <c r="T53">
        <v>0.30574872545693377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0.73619587907891182</v>
      </c>
      <c r="AD53">
        <v>0</v>
      </c>
      <c r="AE53">
        <v>0</v>
      </c>
      <c r="AF53">
        <v>0</v>
      </c>
      <c r="AG53">
        <v>0</v>
      </c>
      <c r="AH53">
        <v>0.26380412092108813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3.7906913527674972</v>
      </c>
      <c r="AO53">
        <v>3.7906913527674972</v>
      </c>
      <c r="AP53">
        <v>4.9496904024767794</v>
      </c>
      <c r="BG53">
        <v>0</v>
      </c>
      <c r="BH53">
        <v>0</v>
      </c>
      <c r="BI53">
        <v>0</v>
      </c>
      <c r="BK53">
        <v>0.20203283815480846</v>
      </c>
      <c r="BL53">
        <v>0.20203283815480846</v>
      </c>
      <c r="BM53">
        <v>0.76584413256850781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0.23415586743149219</v>
      </c>
      <c r="BY53">
        <v>0</v>
      </c>
      <c r="BZ53">
        <v>0</v>
      </c>
      <c r="CA53">
        <v>0</v>
      </c>
      <c r="CB53">
        <v>0.20203283815480846</v>
      </c>
      <c r="CC53">
        <v>0</v>
      </c>
      <c r="CD53">
        <v>0</v>
      </c>
      <c r="CE53">
        <v>0</v>
      </c>
      <c r="CF53">
        <v>0</v>
      </c>
      <c r="CG53">
        <v>0</v>
      </c>
    </row>
    <row r="54" spans="1:85" x14ac:dyDescent="0.25">
      <c r="A54" t="s">
        <v>128</v>
      </c>
      <c r="B54" t="s">
        <v>145</v>
      </c>
      <c r="C54" t="s">
        <v>72</v>
      </c>
      <c r="D54" s="12">
        <v>46224</v>
      </c>
      <c r="E54" t="s">
        <v>135</v>
      </c>
      <c r="F54" t="s">
        <v>135</v>
      </c>
      <c r="G54" t="s">
        <v>135</v>
      </c>
      <c r="H54" t="s">
        <v>73</v>
      </c>
      <c r="I54">
        <v>10</v>
      </c>
      <c r="K54">
        <v>5.8204648795871572</v>
      </c>
      <c r="L54">
        <v>46224</v>
      </c>
      <c r="M54" t="s">
        <v>175</v>
      </c>
      <c r="N54">
        <v>5.6999999999999993</v>
      </c>
      <c r="O54">
        <v>5.6999999999999993</v>
      </c>
      <c r="P54">
        <v>4.2886029411764692</v>
      </c>
      <c r="Q54">
        <v>0.97930322026172889</v>
      </c>
      <c r="R54">
        <v>0.97930322026172889</v>
      </c>
      <c r="S54">
        <v>0.73681450363474366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2.0696779738271109E-2</v>
      </c>
      <c r="AE54">
        <v>0</v>
      </c>
      <c r="AF54">
        <v>0.24248871662698523</v>
      </c>
      <c r="AG54">
        <v>0</v>
      </c>
      <c r="AH54">
        <v>0.73681450363474366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1.0211341894012558</v>
      </c>
      <c r="AO54">
        <v>1.0211341894012558</v>
      </c>
      <c r="AP54">
        <v>0.75238648090815263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2.1134189401255776E-2</v>
      </c>
      <c r="AZ54">
        <v>0</v>
      </c>
      <c r="BA54">
        <v>0</v>
      </c>
      <c r="BB54">
        <v>0</v>
      </c>
      <c r="BC54">
        <v>0.24761351909184737</v>
      </c>
      <c r="BD54">
        <v>0</v>
      </c>
      <c r="BE54">
        <v>0.75238648090815263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1.3291041577368199</v>
      </c>
      <c r="BL54">
        <v>1.3291041577368199</v>
      </c>
      <c r="BM54">
        <v>1.3571936967404263</v>
      </c>
      <c r="BN54">
        <v>2.8089539003606445E-2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0.32910415773681989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</row>
    <row r="55" spans="1:85" x14ac:dyDescent="0.25">
      <c r="A55" t="s">
        <v>128</v>
      </c>
      <c r="B55" t="s">
        <v>145</v>
      </c>
      <c r="C55" t="s">
        <v>72</v>
      </c>
      <c r="D55" s="12">
        <v>46250</v>
      </c>
      <c r="E55" t="s">
        <v>136</v>
      </c>
      <c r="F55" t="s">
        <v>136</v>
      </c>
      <c r="G55" t="s">
        <v>136</v>
      </c>
      <c r="H55" t="s">
        <v>74</v>
      </c>
      <c r="I55">
        <v>10</v>
      </c>
      <c r="K55">
        <v>0</v>
      </c>
      <c r="L55">
        <v>46250</v>
      </c>
      <c r="M55" t="s">
        <v>173</v>
      </c>
      <c r="N55">
        <v>0</v>
      </c>
      <c r="O55">
        <v>0</v>
      </c>
      <c r="P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1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M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G55">
        <v>0</v>
      </c>
    </row>
    <row r="56" spans="1:85" x14ac:dyDescent="0.25">
      <c r="A56" t="s">
        <v>128</v>
      </c>
      <c r="B56" t="s">
        <v>145</v>
      </c>
      <c r="C56" t="s">
        <v>109</v>
      </c>
      <c r="D56" s="12">
        <v>46236</v>
      </c>
      <c r="E56" t="s">
        <v>136</v>
      </c>
      <c r="F56" t="s">
        <v>136</v>
      </c>
      <c r="G56" t="s">
        <v>136</v>
      </c>
      <c r="K56">
        <v>6.7786480661254078</v>
      </c>
      <c r="N56">
        <v>0.95</v>
      </c>
      <c r="O56">
        <v>0.95</v>
      </c>
      <c r="P56">
        <v>8.5153546712802761</v>
      </c>
      <c r="T56">
        <v>0.25620250353955148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0.39110406076067183</v>
      </c>
      <c r="AD56">
        <v>0</v>
      </c>
      <c r="AE56">
        <v>0</v>
      </c>
      <c r="AF56">
        <v>0</v>
      </c>
      <c r="AG56">
        <v>0</v>
      </c>
      <c r="AH56">
        <v>0.14014593923932805</v>
      </c>
      <c r="AI56">
        <v>0</v>
      </c>
      <c r="AJ56">
        <v>0</v>
      </c>
      <c r="AK56">
        <v>0</v>
      </c>
      <c r="AM56">
        <v>0</v>
      </c>
    </row>
    <row r="57" spans="1:85" x14ac:dyDescent="0.25">
      <c r="A57" t="s">
        <v>128</v>
      </c>
      <c r="B57" t="s">
        <v>145</v>
      </c>
      <c r="C57" t="s">
        <v>109</v>
      </c>
      <c r="D57" s="12">
        <v>46237</v>
      </c>
      <c r="E57" t="s">
        <v>136</v>
      </c>
      <c r="F57" t="s">
        <v>136</v>
      </c>
      <c r="G57" t="s">
        <v>136</v>
      </c>
      <c r="K57">
        <v>6.7786480661254069</v>
      </c>
      <c r="N57">
        <v>0</v>
      </c>
      <c r="O57">
        <v>0</v>
      </c>
      <c r="P57">
        <v>9.3944636678200695</v>
      </c>
      <c r="T57">
        <v>0.38589045723830168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M57">
        <v>0</v>
      </c>
    </row>
    <row r="58" spans="1:85" x14ac:dyDescent="0.25">
      <c r="A58" t="s">
        <v>128</v>
      </c>
      <c r="B58" t="s">
        <v>145</v>
      </c>
      <c r="C58" t="s">
        <v>72</v>
      </c>
      <c r="D58" s="12">
        <v>46250</v>
      </c>
      <c r="E58" t="s">
        <v>136</v>
      </c>
      <c r="F58" t="s">
        <v>136</v>
      </c>
      <c r="G58" t="s">
        <v>136</v>
      </c>
      <c r="H58" t="s">
        <v>75</v>
      </c>
      <c r="I58">
        <v>10</v>
      </c>
      <c r="K58">
        <v>3.1774912809962856</v>
      </c>
      <c r="L58">
        <v>46250</v>
      </c>
      <c r="M58" t="s">
        <v>174</v>
      </c>
      <c r="N58">
        <v>0</v>
      </c>
      <c r="O58">
        <v>0</v>
      </c>
      <c r="P58">
        <v>4.6332179930795849</v>
      </c>
      <c r="Q58">
        <v>0</v>
      </c>
      <c r="R58">
        <v>0</v>
      </c>
      <c r="S58">
        <v>1.4581371224492752</v>
      </c>
      <c r="T58">
        <v>0.45813712244927518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</v>
      </c>
      <c r="AM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1</v>
      </c>
      <c r="BJ58">
        <v>1</v>
      </c>
      <c r="BK58">
        <v>0</v>
      </c>
      <c r="BL58">
        <v>0</v>
      </c>
      <c r="BM58">
        <v>0.68580655728747308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0.31419344271252692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0.68580655728747308</v>
      </c>
      <c r="CG58">
        <v>0</v>
      </c>
    </row>
    <row r="59" spans="1:85" x14ac:dyDescent="0.25">
      <c r="A59" t="s">
        <v>128</v>
      </c>
      <c r="B59" t="s">
        <v>145</v>
      </c>
      <c r="C59" t="s">
        <v>72</v>
      </c>
      <c r="D59" s="12">
        <v>46249</v>
      </c>
      <c r="E59" t="s">
        <v>136</v>
      </c>
      <c r="F59" t="s">
        <v>136</v>
      </c>
      <c r="G59" t="s">
        <v>136</v>
      </c>
      <c r="H59" t="s">
        <v>74</v>
      </c>
      <c r="I59">
        <v>10</v>
      </c>
      <c r="K59">
        <v>0</v>
      </c>
      <c r="L59">
        <v>46249</v>
      </c>
      <c r="M59" t="s">
        <v>167</v>
      </c>
      <c r="N59">
        <v>0</v>
      </c>
      <c r="O59">
        <v>0</v>
      </c>
      <c r="P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M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G59">
        <v>0</v>
      </c>
    </row>
    <row r="60" spans="1:85" x14ac:dyDescent="0.25">
      <c r="A60" t="s">
        <v>128</v>
      </c>
      <c r="B60" t="s">
        <v>145</v>
      </c>
      <c r="C60" t="s">
        <v>72</v>
      </c>
      <c r="D60" s="12">
        <v>46247</v>
      </c>
      <c r="E60" t="s">
        <v>136</v>
      </c>
      <c r="F60" t="s">
        <v>136</v>
      </c>
      <c r="G60" t="s">
        <v>136</v>
      </c>
      <c r="H60" t="s">
        <v>73</v>
      </c>
      <c r="I60">
        <v>10</v>
      </c>
      <c r="K60">
        <v>3.6011567851291222</v>
      </c>
      <c r="L60">
        <v>46247</v>
      </c>
      <c r="M60" t="s">
        <v>177</v>
      </c>
      <c r="N60">
        <v>0.95</v>
      </c>
      <c r="O60">
        <v>0.95</v>
      </c>
      <c r="P60">
        <v>4.7022058823529411</v>
      </c>
      <c r="Q60">
        <v>0.26380412092108813</v>
      </c>
      <c r="R60">
        <v>0.26380412092108813</v>
      </c>
      <c r="S60">
        <v>1.305748725456934</v>
      </c>
      <c r="T60">
        <v>0.30574872545693399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0.73619587907891182</v>
      </c>
      <c r="AD60">
        <v>0</v>
      </c>
      <c r="AE60">
        <v>0</v>
      </c>
      <c r="AF60">
        <v>0</v>
      </c>
      <c r="AG60">
        <v>0</v>
      </c>
      <c r="AH60">
        <v>0.26380412092108813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3.7906913527674972</v>
      </c>
      <c r="AO60">
        <v>3.7906913527674972</v>
      </c>
      <c r="AP60">
        <v>4.9496904024767803</v>
      </c>
      <c r="BG60">
        <v>0</v>
      </c>
      <c r="BH60">
        <v>0</v>
      </c>
      <c r="BI60">
        <v>0</v>
      </c>
      <c r="BK60">
        <v>0.20203283815480844</v>
      </c>
      <c r="BL60">
        <v>0.20203283815480844</v>
      </c>
      <c r="BM60">
        <v>0.76584413256850759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0.23415586743149241</v>
      </c>
      <c r="BY60">
        <v>0</v>
      </c>
      <c r="BZ60">
        <v>0</v>
      </c>
      <c r="CA60">
        <v>0</v>
      </c>
      <c r="CB60">
        <v>0.20203283815480844</v>
      </c>
      <c r="CC60">
        <v>0</v>
      </c>
      <c r="CD60">
        <v>0</v>
      </c>
      <c r="CE60">
        <v>0</v>
      </c>
      <c r="CF60">
        <v>0</v>
      </c>
      <c r="CG60">
        <v>0</v>
      </c>
    </row>
    <row r="61" spans="1:85" x14ac:dyDescent="0.25">
      <c r="A61" t="s">
        <v>128</v>
      </c>
      <c r="B61" t="s">
        <v>145</v>
      </c>
      <c r="C61" t="s">
        <v>109</v>
      </c>
      <c r="D61" s="12">
        <v>46239</v>
      </c>
      <c r="E61" t="s">
        <v>136</v>
      </c>
      <c r="F61" t="s">
        <v>136</v>
      </c>
      <c r="G61" t="s">
        <v>136</v>
      </c>
      <c r="K61">
        <v>6.7786480661254069</v>
      </c>
      <c r="N61">
        <v>0</v>
      </c>
      <c r="O61">
        <v>0</v>
      </c>
      <c r="P61">
        <v>9.3354238754325252</v>
      </c>
      <c r="T61">
        <v>0.37718078654709392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M61">
        <v>0</v>
      </c>
    </row>
    <row r="62" spans="1:85" x14ac:dyDescent="0.25">
      <c r="A62" t="s">
        <v>128</v>
      </c>
      <c r="B62" t="s">
        <v>145</v>
      </c>
      <c r="C62" t="s">
        <v>72</v>
      </c>
      <c r="D62" s="12">
        <v>46239</v>
      </c>
      <c r="E62" t="s">
        <v>136</v>
      </c>
      <c r="F62" t="s">
        <v>136</v>
      </c>
      <c r="G62" t="s">
        <v>136</v>
      </c>
      <c r="H62" t="s">
        <v>75</v>
      </c>
      <c r="I62">
        <v>10</v>
      </c>
      <c r="K62">
        <v>3.1774912809962848</v>
      </c>
      <c r="L62">
        <v>46239</v>
      </c>
      <c r="M62" t="s">
        <v>178</v>
      </c>
      <c r="N62">
        <v>0</v>
      </c>
      <c r="O62">
        <v>0</v>
      </c>
      <c r="P62">
        <v>4.6332179930795849</v>
      </c>
      <c r="Q62">
        <v>0</v>
      </c>
      <c r="R62">
        <v>0</v>
      </c>
      <c r="S62">
        <v>1.4581371224492754</v>
      </c>
      <c r="T62">
        <v>0.4581371224492754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1</v>
      </c>
      <c r="BJ62">
        <v>1</v>
      </c>
      <c r="BK62">
        <v>0</v>
      </c>
      <c r="BL62">
        <v>0</v>
      </c>
      <c r="BM62">
        <v>0.68580655728747297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0.31419344271252703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0.68580655728747297</v>
      </c>
      <c r="CG62">
        <v>0</v>
      </c>
    </row>
    <row r="63" spans="1:85" x14ac:dyDescent="0.25">
      <c r="A63" t="s">
        <v>128</v>
      </c>
      <c r="B63" t="s">
        <v>145</v>
      </c>
      <c r="C63" t="s">
        <v>72</v>
      </c>
      <c r="D63" s="12">
        <v>46239</v>
      </c>
      <c r="E63" t="s">
        <v>136</v>
      </c>
      <c r="F63" t="s">
        <v>136</v>
      </c>
      <c r="G63" t="s">
        <v>136</v>
      </c>
      <c r="H63" t="s">
        <v>74</v>
      </c>
      <c r="I63">
        <v>10</v>
      </c>
      <c r="K63">
        <v>0</v>
      </c>
      <c r="L63">
        <v>46239</v>
      </c>
      <c r="M63" t="s">
        <v>179</v>
      </c>
      <c r="N63">
        <v>0</v>
      </c>
      <c r="O63">
        <v>0</v>
      </c>
      <c r="P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M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1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G63">
        <v>0</v>
      </c>
    </row>
    <row r="64" spans="1:85" x14ac:dyDescent="0.25">
      <c r="A64" t="s">
        <v>128</v>
      </c>
      <c r="B64" t="s">
        <v>145</v>
      </c>
      <c r="C64" t="s">
        <v>109</v>
      </c>
      <c r="D64" s="12">
        <v>46243</v>
      </c>
      <c r="E64" t="s">
        <v>134</v>
      </c>
      <c r="F64" t="s">
        <v>134</v>
      </c>
      <c r="G64" t="s">
        <v>134</v>
      </c>
      <c r="K64">
        <v>27.008675888468424</v>
      </c>
      <c r="N64">
        <v>36.1</v>
      </c>
      <c r="O64">
        <v>36.1</v>
      </c>
      <c r="P64">
        <v>28.125</v>
      </c>
      <c r="T64">
        <v>2.7588165218223357E-2</v>
      </c>
      <c r="U64">
        <v>0</v>
      </c>
      <c r="V64">
        <v>0.26212430415800336</v>
      </c>
      <c r="W64">
        <v>0</v>
      </c>
      <c r="X64">
        <v>0</v>
      </c>
      <c r="Y64">
        <v>0</v>
      </c>
      <c r="Z64">
        <v>1.3743891049229613E-2</v>
      </c>
      <c r="AA64">
        <v>0</v>
      </c>
      <c r="AB64">
        <v>9.5631108950770372E-2</v>
      </c>
      <c r="AC64">
        <v>3.4891758157823895E-2</v>
      </c>
      <c r="AD64">
        <v>0</v>
      </c>
      <c r="AE64">
        <v>0</v>
      </c>
      <c r="AF64">
        <v>0</v>
      </c>
      <c r="AG64">
        <v>0</v>
      </c>
      <c r="AH64">
        <v>0.96510824184217614</v>
      </c>
      <c r="AI64">
        <v>0</v>
      </c>
      <c r="AJ64">
        <v>0</v>
      </c>
      <c r="AK64">
        <v>0</v>
      </c>
      <c r="AL64">
        <v>0</v>
      </c>
      <c r="AM64">
        <v>0</v>
      </c>
    </row>
    <row r="65" spans="1:85" x14ac:dyDescent="0.25">
      <c r="A65" t="s">
        <v>128</v>
      </c>
      <c r="B65" t="s">
        <v>145</v>
      </c>
      <c r="C65" t="s">
        <v>72</v>
      </c>
      <c r="D65" s="12">
        <v>46239</v>
      </c>
      <c r="E65" t="s">
        <v>136</v>
      </c>
      <c r="F65" t="s">
        <v>136</v>
      </c>
      <c r="G65" t="s">
        <v>136</v>
      </c>
      <c r="H65" t="s">
        <v>73</v>
      </c>
      <c r="I65">
        <v>10</v>
      </c>
      <c r="K65">
        <v>3.6011567851291222</v>
      </c>
      <c r="L65">
        <v>46239</v>
      </c>
      <c r="M65" t="s">
        <v>180</v>
      </c>
      <c r="N65">
        <v>0</v>
      </c>
      <c r="O65">
        <v>0</v>
      </c>
      <c r="P65">
        <v>4.7022058823529402</v>
      </c>
      <c r="Q65">
        <v>0</v>
      </c>
      <c r="R65">
        <v>0</v>
      </c>
      <c r="S65">
        <v>1.3057487254569338</v>
      </c>
      <c r="T65">
        <v>0.30574872545693377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1</v>
      </c>
      <c r="AM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1</v>
      </c>
      <c r="BJ65">
        <v>1</v>
      </c>
      <c r="BK65">
        <v>0</v>
      </c>
      <c r="BL65">
        <v>0</v>
      </c>
      <c r="BM65">
        <v>0.76584413256850781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0.23415586743149219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0.76584413256850781</v>
      </c>
      <c r="CG65">
        <v>0</v>
      </c>
    </row>
    <row r="66" spans="1:85" x14ac:dyDescent="0.25">
      <c r="A66" t="s">
        <v>128</v>
      </c>
      <c r="B66" t="s">
        <v>145</v>
      </c>
      <c r="C66" t="s">
        <v>72</v>
      </c>
      <c r="D66" s="12">
        <v>46238</v>
      </c>
      <c r="E66" t="s">
        <v>136</v>
      </c>
      <c r="F66" t="s">
        <v>136</v>
      </c>
      <c r="G66" t="s">
        <v>136</v>
      </c>
      <c r="H66" t="s">
        <v>75</v>
      </c>
      <c r="I66">
        <v>10</v>
      </c>
      <c r="K66">
        <v>3.2304494690128904</v>
      </c>
      <c r="L66">
        <v>46238</v>
      </c>
      <c r="M66" t="s">
        <v>181</v>
      </c>
      <c r="N66">
        <v>0</v>
      </c>
      <c r="O66">
        <v>0</v>
      </c>
      <c r="P66">
        <v>4.6397539407920032</v>
      </c>
      <c r="Q66">
        <v>0</v>
      </c>
      <c r="R66">
        <v>0</v>
      </c>
      <c r="S66">
        <v>1.4362564668778879</v>
      </c>
      <c r="T66">
        <v>0.43625646687788788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1</v>
      </c>
      <c r="BJ66">
        <v>1</v>
      </c>
      <c r="BK66">
        <v>0</v>
      </c>
      <c r="BL66">
        <v>0</v>
      </c>
      <c r="BM66">
        <v>0.69625448035320914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0.30374551964679086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0.69625448035320914</v>
      </c>
      <c r="CG66">
        <v>0</v>
      </c>
    </row>
    <row r="67" spans="1:85" x14ac:dyDescent="0.25">
      <c r="A67" t="s">
        <v>128</v>
      </c>
      <c r="B67" t="s">
        <v>145</v>
      </c>
      <c r="C67" t="s">
        <v>109</v>
      </c>
      <c r="D67" s="12">
        <v>46243</v>
      </c>
      <c r="E67" t="s">
        <v>136</v>
      </c>
      <c r="F67" t="s">
        <v>136</v>
      </c>
      <c r="G67" t="s">
        <v>136</v>
      </c>
      <c r="K67">
        <v>6.7786480661254078</v>
      </c>
      <c r="N67">
        <v>0.95</v>
      </c>
      <c r="O67">
        <v>0.95</v>
      </c>
      <c r="P67">
        <v>9.3354238754325269</v>
      </c>
      <c r="T67">
        <v>0.37718078654709403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0.39110406076067183</v>
      </c>
      <c r="AD67">
        <v>0</v>
      </c>
      <c r="AE67">
        <v>0</v>
      </c>
      <c r="AF67">
        <v>0</v>
      </c>
      <c r="AG67">
        <v>0</v>
      </c>
      <c r="AH67">
        <v>0.14014593923932805</v>
      </c>
      <c r="AI67">
        <v>0</v>
      </c>
      <c r="AJ67">
        <v>0</v>
      </c>
      <c r="AK67">
        <v>0</v>
      </c>
      <c r="AM67">
        <v>0</v>
      </c>
    </row>
    <row r="68" spans="1:85" x14ac:dyDescent="0.25">
      <c r="A68" t="s">
        <v>128</v>
      </c>
      <c r="B68" t="s">
        <v>145</v>
      </c>
      <c r="C68" t="s">
        <v>72</v>
      </c>
      <c r="D68" s="12">
        <v>46238</v>
      </c>
      <c r="E68" t="s">
        <v>136</v>
      </c>
      <c r="F68" t="s">
        <v>136</v>
      </c>
      <c r="G68" t="s">
        <v>136</v>
      </c>
      <c r="H68" t="s">
        <v>74</v>
      </c>
      <c r="I68">
        <v>10</v>
      </c>
      <c r="K68">
        <v>0</v>
      </c>
      <c r="L68">
        <v>46238</v>
      </c>
      <c r="M68" t="s">
        <v>182</v>
      </c>
      <c r="N68">
        <v>0</v>
      </c>
      <c r="O68">
        <v>0</v>
      </c>
      <c r="P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1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M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1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G68">
        <v>0</v>
      </c>
    </row>
    <row r="69" spans="1:85" x14ac:dyDescent="0.25">
      <c r="A69" t="s">
        <v>128</v>
      </c>
      <c r="B69" t="s">
        <v>145</v>
      </c>
      <c r="C69" t="s">
        <v>72</v>
      </c>
      <c r="D69" s="12">
        <v>46238</v>
      </c>
      <c r="E69" t="s">
        <v>136</v>
      </c>
      <c r="F69" t="s">
        <v>136</v>
      </c>
      <c r="G69" t="s">
        <v>136</v>
      </c>
      <c r="H69" t="s">
        <v>73</v>
      </c>
      <c r="I69">
        <v>10</v>
      </c>
      <c r="K69">
        <v>3.6011567851291222</v>
      </c>
      <c r="L69">
        <v>46238</v>
      </c>
      <c r="M69" t="s">
        <v>183</v>
      </c>
      <c r="N69">
        <v>0</v>
      </c>
      <c r="O69">
        <v>0</v>
      </c>
      <c r="P69">
        <v>4.8202614379084965</v>
      </c>
      <c r="Q69">
        <v>0</v>
      </c>
      <c r="R69">
        <v>0</v>
      </c>
      <c r="S69">
        <v>1.3385314013023908</v>
      </c>
      <c r="T69">
        <v>0.33853140130239079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1</v>
      </c>
      <c r="AM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1</v>
      </c>
      <c r="BJ69">
        <v>1</v>
      </c>
      <c r="BK69">
        <v>0</v>
      </c>
      <c r="BL69">
        <v>0</v>
      </c>
      <c r="BM69">
        <v>0.74708744152509254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0.25291255847490746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0.74708744152509254</v>
      </c>
      <c r="CG69">
        <v>0</v>
      </c>
    </row>
    <row r="70" spans="1:85" x14ac:dyDescent="0.25">
      <c r="A70" t="s">
        <v>128</v>
      </c>
      <c r="B70" t="s">
        <v>145</v>
      </c>
      <c r="C70" t="s">
        <v>109</v>
      </c>
      <c r="D70" s="12">
        <v>46243</v>
      </c>
      <c r="E70" t="s">
        <v>135</v>
      </c>
      <c r="F70" t="s">
        <v>135</v>
      </c>
      <c r="G70" t="s">
        <v>135</v>
      </c>
      <c r="K70">
        <v>8.1518697913855913</v>
      </c>
      <c r="N70">
        <v>0</v>
      </c>
      <c r="O70">
        <v>0</v>
      </c>
      <c r="P70">
        <v>6.8685121107266429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0.84256891811310286</v>
      </c>
      <c r="AD70">
        <v>0.15743108188689711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</row>
    <row r="71" spans="1:85" x14ac:dyDescent="0.25">
      <c r="A71" t="s">
        <v>128</v>
      </c>
      <c r="B71" t="s">
        <v>145</v>
      </c>
      <c r="C71" t="s">
        <v>72</v>
      </c>
      <c r="D71" s="12">
        <v>46237</v>
      </c>
      <c r="E71" t="s">
        <v>136</v>
      </c>
      <c r="F71" t="s">
        <v>136</v>
      </c>
      <c r="G71" t="s">
        <v>136</v>
      </c>
      <c r="H71" t="s">
        <v>75</v>
      </c>
      <c r="I71">
        <v>10</v>
      </c>
      <c r="K71">
        <v>3.1774912809962848</v>
      </c>
      <c r="L71">
        <v>46237</v>
      </c>
      <c r="M71" t="s">
        <v>184</v>
      </c>
      <c r="N71">
        <v>0</v>
      </c>
      <c r="O71">
        <v>0</v>
      </c>
      <c r="P71">
        <v>4.6885813148788937</v>
      </c>
      <c r="Q71">
        <v>0</v>
      </c>
      <c r="R71">
        <v>0</v>
      </c>
      <c r="S71">
        <v>1.4755607176391103</v>
      </c>
      <c r="T71">
        <v>0.47556071763911034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</v>
      </c>
      <c r="BJ71">
        <v>1</v>
      </c>
      <c r="BK71">
        <v>0</v>
      </c>
      <c r="BL71">
        <v>0</v>
      </c>
      <c r="BM71">
        <v>0.67770847247817423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0.32229152752182577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0.67770847247817423</v>
      </c>
      <c r="CG71">
        <v>0</v>
      </c>
    </row>
    <row r="72" spans="1:85" x14ac:dyDescent="0.25">
      <c r="A72" t="s">
        <v>128</v>
      </c>
      <c r="B72" t="s">
        <v>145</v>
      </c>
      <c r="C72" t="s">
        <v>72</v>
      </c>
      <c r="D72" s="12">
        <v>46237</v>
      </c>
      <c r="E72" t="s">
        <v>136</v>
      </c>
      <c r="F72" t="s">
        <v>136</v>
      </c>
      <c r="G72" t="s">
        <v>136</v>
      </c>
      <c r="H72" t="s">
        <v>74</v>
      </c>
      <c r="I72">
        <v>10</v>
      </c>
      <c r="K72">
        <v>0</v>
      </c>
      <c r="L72">
        <v>46237</v>
      </c>
      <c r="M72" t="s">
        <v>185</v>
      </c>
      <c r="N72">
        <v>0</v>
      </c>
      <c r="O72">
        <v>0</v>
      </c>
      <c r="P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M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1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G72">
        <v>0</v>
      </c>
    </row>
    <row r="73" spans="1:85" x14ac:dyDescent="0.25">
      <c r="A73" t="s">
        <v>128</v>
      </c>
      <c r="B73" t="s">
        <v>145</v>
      </c>
      <c r="C73" t="s">
        <v>109</v>
      </c>
      <c r="D73" s="12">
        <v>46244</v>
      </c>
      <c r="E73" t="s">
        <v>134</v>
      </c>
      <c r="F73" t="s">
        <v>134</v>
      </c>
      <c r="G73" t="s">
        <v>134</v>
      </c>
      <c r="K73">
        <v>27.064943963236065</v>
      </c>
      <c r="N73">
        <v>25.65</v>
      </c>
      <c r="O73">
        <v>25.65</v>
      </c>
      <c r="P73">
        <v>28.1875</v>
      </c>
      <c r="T73">
        <v>4.2693819862249446E-2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5.1062147393653272E-2</v>
      </c>
      <c r="AD73">
        <v>1.2174348274690047E-3</v>
      </c>
      <c r="AE73">
        <v>0</v>
      </c>
      <c r="AF73">
        <v>0</v>
      </c>
      <c r="AG73">
        <v>0</v>
      </c>
      <c r="AH73">
        <v>0.94772041777887772</v>
      </c>
      <c r="AI73">
        <v>0</v>
      </c>
      <c r="AJ73">
        <v>0</v>
      </c>
      <c r="AK73">
        <v>0</v>
      </c>
      <c r="AL73">
        <v>0</v>
      </c>
      <c r="AM73">
        <v>0</v>
      </c>
    </row>
    <row r="74" spans="1:85" x14ac:dyDescent="0.25">
      <c r="A74" t="s">
        <v>128</v>
      </c>
      <c r="B74" t="s">
        <v>145</v>
      </c>
      <c r="C74" t="s">
        <v>109</v>
      </c>
      <c r="D74" s="12">
        <v>46223</v>
      </c>
      <c r="E74" t="s">
        <v>136</v>
      </c>
      <c r="F74" t="s">
        <v>136</v>
      </c>
      <c r="G74" t="s">
        <v>136</v>
      </c>
      <c r="K74">
        <v>6.7786480661254069</v>
      </c>
      <c r="N74">
        <v>0</v>
      </c>
      <c r="O74">
        <v>0</v>
      </c>
      <c r="P74">
        <v>6.6332179930795858</v>
      </c>
      <c r="T74">
        <v>2.4127096675975131E-2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0.42316876208123466</v>
      </c>
      <c r="AD74">
        <v>4.5581237918765394E-2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M74">
        <v>0</v>
      </c>
    </row>
    <row r="75" spans="1:85" x14ac:dyDescent="0.25">
      <c r="A75" t="s">
        <v>128</v>
      </c>
      <c r="B75" t="s">
        <v>145</v>
      </c>
      <c r="C75" t="s">
        <v>72</v>
      </c>
      <c r="D75" s="12">
        <v>46236</v>
      </c>
      <c r="E75" t="s">
        <v>136</v>
      </c>
      <c r="F75" t="s">
        <v>136</v>
      </c>
      <c r="G75" t="s">
        <v>136</v>
      </c>
      <c r="H75" t="s">
        <v>75</v>
      </c>
      <c r="I75">
        <v>10</v>
      </c>
      <c r="K75">
        <v>3.1774912809962856</v>
      </c>
      <c r="L75">
        <v>46236</v>
      </c>
      <c r="M75" t="s">
        <v>186</v>
      </c>
      <c r="N75">
        <v>0</v>
      </c>
      <c r="O75">
        <v>0</v>
      </c>
      <c r="P75">
        <v>3.7543252595155714</v>
      </c>
      <c r="Q75">
        <v>0</v>
      </c>
      <c r="R75">
        <v>0</v>
      </c>
      <c r="S75">
        <v>1.1815375488106525</v>
      </c>
      <c r="T75">
        <v>0.18153754881065254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</v>
      </c>
      <c r="BJ75">
        <v>1</v>
      </c>
      <c r="BK75">
        <v>0</v>
      </c>
      <c r="BL75">
        <v>0</v>
      </c>
      <c r="BM75">
        <v>0.84635482046813493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0.15364517953186507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0.84635482046813493</v>
      </c>
      <c r="CG75">
        <v>0</v>
      </c>
    </row>
    <row r="76" spans="1:85" x14ac:dyDescent="0.25">
      <c r="A76" t="s">
        <v>128</v>
      </c>
      <c r="B76" t="s">
        <v>145</v>
      </c>
      <c r="C76" t="s">
        <v>72</v>
      </c>
      <c r="D76" s="12">
        <v>46236</v>
      </c>
      <c r="E76" t="s">
        <v>136</v>
      </c>
      <c r="F76" t="s">
        <v>136</v>
      </c>
      <c r="G76" t="s">
        <v>136</v>
      </c>
      <c r="H76" t="s">
        <v>74</v>
      </c>
      <c r="I76">
        <v>10</v>
      </c>
      <c r="K76">
        <v>0</v>
      </c>
      <c r="L76">
        <v>46236</v>
      </c>
      <c r="M76" t="s">
        <v>187</v>
      </c>
      <c r="N76">
        <v>0</v>
      </c>
      <c r="O76">
        <v>0</v>
      </c>
      <c r="P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M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1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G76">
        <v>0</v>
      </c>
    </row>
    <row r="77" spans="1:85" x14ac:dyDescent="0.25">
      <c r="A77" t="s">
        <v>128</v>
      </c>
      <c r="B77" t="s">
        <v>145</v>
      </c>
      <c r="C77" t="s">
        <v>109</v>
      </c>
      <c r="D77" s="12">
        <v>46244</v>
      </c>
      <c r="E77" t="s">
        <v>136</v>
      </c>
      <c r="F77" t="s">
        <v>136</v>
      </c>
      <c r="G77" t="s">
        <v>136</v>
      </c>
      <c r="K77">
        <v>6.7786480661254069</v>
      </c>
      <c r="N77">
        <v>0</v>
      </c>
      <c r="O77">
        <v>0</v>
      </c>
      <c r="P77">
        <v>9.3354238754325252</v>
      </c>
      <c r="T77">
        <v>0.37718078654709408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M77">
        <v>0</v>
      </c>
    </row>
    <row r="78" spans="1:85" x14ac:dyDescent="0.25">
      <c r="A78" t="s">
        <v>128</v>
      </c>
      <c r="B78" t="s">
        <v>145</v>
      </c>
      <c r="C78" t="s">
        <v>72</v>
      </c>
      <c r="D78" s="12">
        <v>46236</v>
      </c>
      <c r="E78" t="s">
        <v>136</v>
      </c>
      <c r="F78" t="s">
        <v>136</v>
      </c>
      <c r="G78" t="s">
        <v>136</v>
      </c>
      <c r="H78" t="s">
        <v>73</v>
      </c>
      <c r="I78">
        <v>10</v>
      </c>
      <c r="K78">
        <v>3.6011567851291222</v>
      </c>
      <c r="L78">
        <v>46236</v>
      </c>
      <c r="M78" t="s">
        <v>188</v>
      </c>
      <c r="N78">
        <v>0.95</v>
      </c>
      <c r="O78">
        <v>0.95</v>
      </c>
      <c r="P78">
        <v>4.7610294117647047</v>
      </c>
      <c r="Q78">
        <v>0.26380412092108813</v>
      </c>
      <c r="R78">
        <v>0.26380412092108813</v>
      </c>
      <c r="S78">
        <v>1.3220833459474035</v>
      </c>
      <c r="T78">
        <v>0.32208334594740351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0.73619587907891182</v>
      </c>
      <c r="AD78">
        <v>0</v>
      </c>
      <c r="AE78">
        <v>0</v>
      </c>
      <c r="AF78">
        <v>0</v>
      </c>
      <c r="AG78">
        <v>0</v>
      </c>
      <c r="AH78">
        <v>0.26380412092108813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3.7906913527674972</v>
      </c>
      <c r="AO78">
        <v>3.7906913527674972</v>
      </c>
      <c r="AP78">
        <v>5.0116099071207421</v>
      </c>
      <c r="BG78">
        <v>0</v>
      </c>
      <c r="BH78">
        <v>0</v>
      </c>
      <c r="BI78">
        <v>0</v>
      </c>
      <c r="BK78">
        <v>0.19953667953667958</v>
      </c>
      <c r="BL78">
        <v>0.19953667953667958</v>
      </c>
      <c r="BM78">
        <v>0.75638196567963045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0.24361803432036955</v>
      </c>
      <c r="BY78">
        <v>0</v>
      </c>
      <c r="BZ78">
        <v>0</v>
      </c>
      <c r="CA78">
        <v>0</v>
      </c>
      <c r="CB78">
        <v>0.19953667953667958</v>
      </c>
      <c r="CC78">
        <v>0</v>
      </c>
      <c r="CD78">
        <v>0</v>
      </c>
      <c r="CE78">
        <v>0</v>
      </c>
      <c r="CF78">
        <v>0</v>
      </c>
      <c r="CG78">
        <v>0</v>
      </c>
    </row>
    <row r="79" spans="1:85" x14ac:dyDescent="0.25">
      <c r="A79" t="s">
        <v>128</v>
      </c>
      <c r="B79" t="s">
        <v>145</v>
      </c>
      <c r="C79" t="s">
        <v>109</v>
      </c>
      <c r="D79" s="12">
        <v>46244</v>
      </c>
      <c r="E79" t="s">
        <v>135</v>
      </c>
      <c r="F79" t="s">
        <v>135</v>
      </c>
      <c r="G79" t="s">
        <v>135</v>
      </c>
      <c r="K79">
        <v>8.1518697913855913</v>
      </c>
      <c r="N79">
        <v>0</v>
      </c>
      <c r="O79">
        <v>0</v>
      </c>
      <c r="P79">
        <v>6.7956855536332164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0.83363519383178697</v>
      </c>
      <c r="AD79">
        <v>0.166364806168213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</row>
    <row r="80" spans="1:85" x14ac:dyDescent="0.25">
      <c r="A80" t="s">
        <v>128</v>
      </c>
      <c r="B80" t="s">
        <v>145</v>
      </c>
      <c r="C80" t="s">
        <v>72</v>
      </c>
      <c r="D80" s="12">
        <v>46235</v>
      </c>
      <c r="E80" t="s">
        <v>136</v>
      </c>
      <c r="F80" t="s">
        <v>136</v>
      </c>
      <c r="G80" t="s">
        <v>136</v>
      </c>
      <c r="H80" t="s">
        <v>75</v>
      </c>
      <c r="I80">
        <v>10</v>
      </c>
      <c r="K80">
        <v>3.2304494690128904</v>
      </c>
      <c r="L80">
        <v>46235</v>
      </c>
      <c r="M80" t="s">
        <v>189</v>
      </c>
      <c r="N80">
        <v>0</v>
      </c>
      <c r="O80">
        <v>0</v>
      </c>
      <c r="P80">
        <v>3.8062283737024223</v>
      </c>
      <c r="Q80">
        <v>0</v>
      </c>
      <c r="R80">
        <v>0</v>
      </c>
      <c r="S80">
        <v>1.1782349206240545</v>
      </c>
      <c r="T80">
        <v>0.17823492062405455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</v>
      </c>
      <c r="BJ80">
        <v>1</v>
      </c>
      <c r="BK80">
        <v>0</v>
      </c>
      <c r="BL80">
        <v>0</v>
      </c>
      <c r="BM80">
        <v>0.84872717867702296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0.15127282132297704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0.84872717867702296</v>
      </c>
      <c r="CG80">
        <v>0</v>
      </c>
    </row>
    <row r="81" spans="1:85" x14ac:dyDescent="0.25">
      <c r="A81" t="s">
        <v>128</v>
      </c>
      <c r="B81" t="s">
        <v>145</v>
      </c>
      <c r="C81" t="s">
        <v>72</v>
      </c>
      <c r="D81" s="12">
        <v>46235</v>
      </c>
      <c r="E81" t="s">
        <v>136</v>
      </c>
      <c r="F81" t="s">
        <v>136</v>
      </c>
      <c r="G81" t="s">
        <v>136</v>
      </c>
      <c r="H81" t="s">
        <v>74</v>
      </c>
      <c r="I81">
        <v>10</v>
      </c>
      <c r="K81">
        <v>0</v>
      </c>
      <c r="L81">
        <v>46235</v>
      </c>
      <c r="M81" t="s">
        <v>190</v>
      </c>
      <c r="N81">
        <v>0</v>
      </c>
      <c r="O81">
        <v>0</v>
      </c>
      <c r="P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M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1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G81">
        <v>0</v>
      </c>
    </row>
    <row r="82" spans="1:85" x14ac:dyDescent="0.25">
      <c r="A82" t="s">
        <v>128</v>
      </c>
      <c r="B82" t="s">
        <v>145</v>
      </c>
      <c r="C82" t="s">
        <v>109</v>
      </c>
      <c r="D82" s="12">
        <v>46245</v>
      </c>
      <c r="E82" t="s">
        <v>134</v>
      </c>
      <c r="F82" t="s">
        <v>134</v>
      </c>
      <c r="G82" t="s">
        <v>134</v>
      </c>
      <c r="K82">
        <v>26.924273776316959</v>
      </c>
      <c r="N82">
        <v>36.1</v>
      </c>
      <c r="O82">
        <v>36.1</v>
      </c>
      <c r="P82">
        <v>28.03125</v>
      </c>
      <c r="T82">
        <v>4.0732103745772047E-2</v>
      </c>
      <c r="U82">
        <v>0</v>
      </c>
      <c r="V82">
        <v>0.26686450573843601</v>
      </c>
      <c r="W82">
        <v>0</v>
      </c>
      <c r="X82">
        <v>0</v>
      </c>
      <c r="Y82">
        <v>0</v>
      </c>
      <c r="Z82">
        <v>3.8232826749759707E-4</v>
      </c>
      <c r="AA82">
        <v>0</v>
      </c>
      <c r="AB82">
        <v>0.10855184101149927</v>
      </c>
      <c r="AC82">
        <v>3.5001136710042777E-2</v>
      </c>
      <c r="AD82">
        <v>0</v>
      </c>
      <c r="AE82">
        <v>0</v>
      </c>
      <c r="AF82">
        <v>0</v>
      </c>
      <c r="AG82">
        <v>0</v>
      </c>
      <c r="AH82">
        <v>0.96499886328995732</v>
      </c>
      <c r="AI82">
        <v>0</v>
      </c>
      <c r="AJ82">
        <v>0</v>
      </c>
      <c r="AK82">
        <v>0</v>
      </c>
      <c r="AL82">
        <v>0</v>
      </c>
      <c r="AM82">
        <v>0</v>
      </c>
    </row>
    <row r="83" spans="1:85" x14ac:dyDescent="0.25">
      <c r="A83" t="s">
        <v>128</v>
      </c>
      <c r="B83" t="s">
        <v>145</v>
      </c>
      <c r="C83" t="s">
        <v>72</v>
      </c>
      <c r="D83" s="12">
        <v>46235</v>
      </c>
      <c r="E83" t="s">
        <v>136</v>
      </c>
      <c r="F83" t="s">
        <v>136</v>
      </c>
      <c r="G83" t="s">
        <v>136</v>
      </c>
      <c r="H83" t="s">
        <v>73</v>
      </c>
      <c r="I83">
        <v>10</v>
      </c>
      <c r="K83">
        <v>3.6011567851291222</v>
      </c>
      <c r="L83">
        <v>46235</v>
      </c>
      <c r="M83" t="s">
        <v>191</v>
      </c>
      <c r="N83">
        <v>0</v>
      </c>
      <c r="O83">
        <v>0</v>
      </c>
      <c r="P83">
        <v>4.7058823529411757</v>
      </c>
      <c r="Q83">
        <v>0</v>
      </c>
      <c r="R83">
        <v>0</v>
      </c>
      <c r="S83">
        <v>1.306769639237588</v>
      </c>
      <c r="T83">
        <v>0.30676963923758804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1</v>
      </c>
      <c r="AM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1</v>
      </c>
      <c r="BJ83">
        <v>1</v>
      </c>
      <c r="BK83">
        <v>0</v>
      </c>
      <c r="BL83">
        <v>0</v>
      </c>
      <c r="BM83">
        <v>0.76524581683993853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0.23475418316006147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0.76524581683993853</v>
      </c>
      <c r="CG83">
        <v>0</v>
      </c>
    </row>
    <row r="84" spans="1:85" x14ac:dyDescent="0.25">
      <c r="A84" t="s">
        <v>128</v>
      </c>
      <c r="B84" t="s">
        <v>145</v>
      </c>
      <c r="C84" t="s">
        <v>72</v>
      </c>
      <c r="D84" s="12">
        <v>46234</v>
      </c>
      <c r="E84" t="s">
        <v>136</v>
      </c>
      <c r="F84" t="s">
        <v>136</v>
      </c>
      <c r="G84" t="s">
        <v>136</v>
      </c>
      <c r="H84" t="s">
        <v>75</v>
      </c>
      <c r="I84">
        <v>10</v>
      </c>
      <c r="K84">
        <v>3.1774912809962848</v>
      </c>
      <c r="L84">
        <v>46234</v>
      </c>
      <c r="M84" t="s">
        <v>192</v>
      </c>
      <c r="N84">
        <v>0</v>
      </c>
      <c r="O84">
        <v>0</v>
      </c>
      <c r="P84">
        <v>4.6366782006920415</v>
      </c>
      <c r="Q84">
        <v>0</v>
      </c>
      <c r="R84">
        <v>0</v>
      </c>
      <c r="S84">
        <v>1.4592260971486402</v>
      </c>
      <c r="T84">
        <v>0.45922609714864016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1</v>
      </c>
      <c r="BJ84">
        <v>1</v>
      </c>
      <c r="BK84">
        <v>0</v>
      </c>
      <c r="BL84">
        <v>0</v>
      </c>
      <c r="BM84">
        <v>0.68529476134919876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0.31470523865080124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0.68529476134919876</v>
      </c>
      <c r="CG84">
        <v>0</v>
      </c>
    </row>
    <row r="85" spans="1:85" x14ac:dyDescent="0.25">
      <c r="A85" t="s">
        <v>128</v>
      </c>
      <c r="B85" t="s">
        <v>145</v>
      </c>
      <c r="C85" t="s">
        <v>109</v>
      </c>
      <c r="D85" s="12">
        <v>46245</v>
      </c>
      <c r="E85" t="s">
        <v>136</v>
      </c>
      <c r="F85" t="s">
        <v>136</v>
      </c>
      <c r="G85" t="s">
        <v>136</v>
      </c>
      <c r="K85">
        <v>6.7786480661254069</v>
      </c>
      <c r="N85">
        <v>0</v>
      </c>
      <c r="O85">
        <v>0</v>
      </c>
      <c r="P85">
        <v>9.3354238754325252</v>
      </c>
      <c r="T85">
        <v>0.37718078654709392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M85">
        <v>0</v>
      </c>
    </row>
    <row r="86" spans="1:85" x14ac:dyDescent="0.25">
      <c r="A86" t="s">
        <v>128</v>
      </c>
      <c r="B86" t="s">
        <v>145</v>
      </c>
      <c r="C86" t="s">
        <v>72</v>
      </c>
      <c r="D86" s="12">
        <v>46234</v>
      </c>
      <c r="E86" t="s">
        <v>136</v>
      </c>
      <c r="F86" t="s">
        <v>136</v>
      </c>
      <c r="G86" t="s">
        <v>136</v>
      </c>
      <c r="H86" t="s">
        <v>74</v>
      </c>
      <c r="I86">
        <v>10</v>
      </c>
      <c r="K86">
        <v>0</v>
      </c>
      <c r="L86">
        <v>46234</v>
      </c>
      <c r="M86" t="s">
        <v>193</v>
      </c>
      <c r="N86">
        <v>0</v>
      </c>
      <c r="O86">
        <v>0</v>
      </c>
      <c r="P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M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1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G86">
        <v>0</v>
      </c>
    </row>
    <row r="87" spans="1:85" x14ac:dyDescent="0.25">
      <c r="A87" t="s">
        <v>128</v>
      </c>
      <c r="B87" t="s">
        <v>145</v>
      </c>
      <c r="C87" t="s">
        <v>109</v>
      </c>
      <c r="D87" s="12">
        <v>46242</v>
      </c>
      <c r="E87" t="s">
        <v>135</v>
      </c>
      <c r="F87" t="s">
        <v>135</v>
      </c>
      <c r="G87" t="s">
        <v>135</v>
      </c>
      <c r="K87">
        <v>7.0325496222342156</v>
      </c>
      <c r="N87">
        <v>0</v>
      </c>
      <c r="O87">
        <v>0</v>
      </c>
      <c r="P87">
        <v>6.8685121107266429</v>
      </c>
      <c r="T87">
        <v>7.0311613883279486E-2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0.56681564776272186</v>
      </c>
      <c r="AD87">
        <v>9.3637081931019717E-2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0.33954727030625831</v>
      </c>
      <c r="AM87">
        <v>0</v>
      </c>
    </row>
    <row r="88" spans="1:85" x14ac:dyDescent="0.25">
      <c r="A88" t="s">
        <v>128</v>
      </c>
      <c r="B88" t="s">
        <v>145</v>
      </c>
      <c r="C88" t="s">
        <v>72</v>
      </c>
      <c r="D88" s="12">
        <v>46240</v>
      </c>
      <c r="E88" t="s">
        <v>136</v>
      </c>
      <c r="F88" t="s">
        <v>136</v>
      </c>
      <c r="G88" t="s">
        <v>136</v>
      </c>
      <c r="H88" t="s">
        <v>73</v>
      </c>
      <c r="I88">
        <v>10</v>
      </c>
      <c r="K88">
        <v>3.6011567851291222</v>
      </c>
      <c r="L88">
        <v>46240</v>
      </c>
      <c r="M88" t="s">
        <v>194</v>
      </c>
      <c r="N88">
        <v>0.95</v>
      </c>
      <c r="O88">
        <v>0.95</v>
      </c>
      <c r="P88">
        <v>4.7022058823529411</v>
      </c>
      <c r="Q88">
        <v>0.26380412092108813</v>
      </c>
      <c r="R88">
        <v>0.26380412092108813</v>
      </c>
      <c r="S88">
        <v>1.305748725456934</v>
      </c>
      <c r="T88">
        <v>0.30574872545693399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0.73619587907891182</v>
      </c>
      <c r="AD88">
        <v>0</v>
      </c>
      <c r="AE88">
        <v>0</v>
      </c>
      <c r="AF88">
        <v>0</v>
      </c>
      <c r="AG88">
        <v>0</v>
      </c>
      <c r="AH88">
        <v>0.26380412092108813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3.7906913527674972</v>
      </c>
      <c r="AO88">
        <v>3.7906913527674972</v>
      </c>
      <c r="AP88">
        <v>4.9496904024767803</v>
      </c>
      <c r="BG88">
        <v>0</v>
      </c>
      <c r="BH88">
        <v>0</v>
      </c>
      <c r="BI88">
        <v>0</v>
      </c>
      <c r="BK88">
        <v>0.20203283815480844</v>
      </c>
      <c r="BL88">
        <v>0.20203283815480844</v>
      </c>
      <c r="BM88">
        <v>0.76584413256850759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0.23415586743149241</v>
      </c>
      <c r="BY88">
        <v>0</v>
      </c>
      <c r="BZ88">
        <v>0</v>
      </c>
      <c r="CA88">
        <v>0</v>
      </c>
      <c r="CB88">
        <v>0.20203283815480844</v>
      </c>
      <c r="CC88">
        <v>0</v>
      </c>
      <c r="CD88">
        <v>0</v>
      </c>
      <c r="CE88">
        <v>0</v>
      </c>
      <c r="CF88">
        <v>0</v>
      </c>
      <c r="CG88">
        <v>0</v>
      </c>
    </row>
    <row r="89" spans="1:85" x14ac:dyDescent="0.25">
      <c r="A89" t="s">
        <v>128</v>
      </c>
      <c r="B89" t="s">
        <v>145</v>
      </c>
      <c r="C89" t="s">
        <v>72</v>
      </c>
      <c r="D89" s="12">
        <v>46240</v>
      </c>
      <c r="E89" t="s">
        <v>136</v>
      </c>
      <c r="F89" t="s">
        <v>136</v>
      </c>
      <c r="G89" t="s">
        <v>136</v>
      </c>
      <c r="H89" t="s">
        <v>74</v>
      </c>
      <c r="I89">
        <v>10</v>
      </c>
      <c r="K89">
        <v>0</v>
      </c>
      <c r="L89">
        <v>46240</v>
      </c>
      <c r="M89" t="s">
        <v>195</v>
      </c>
      <c r="N89">
        <v>0</v>
      </c>
      <c r="O89">
        <v>0</v>
      </c>
      <c r="P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M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1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G89">
        <v>0</v>
      </c>
    </row>
    <row r="90" spans="1:85" x14ac:dyDescent="0.25">
      <c r="A90" t="s">
        <v>128</v>
      </c>
      <c r="B90" t="s">
        <v>145</v>
      </c>
      <c r="C90" t="s">
        <v>109</v>
      </c>
      <c r="D90" s="12">
        <v>46242</v>
      </c>
      <c r="E90" t="s">
        <v>136</v>
      </c>
      <c r="F90" t="s">
        <v>136</v>
      </c>
      <c r="G90" t="s">
        <v>136</v>
      </c>
      <c r="K90">
        <v>6.7786480661254078</v>
      </c>
      <c r="N90">
        <v>0</v>
      </c>
      <c r="O90">
        <v>0</v>
      </c>
      <c r="P90">
        <v>9.3354238754325269</v>
      </c>
      <c r="T90">
        <v>0.37718078654709403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M90">
        <v>0</v>
      </c>
    </row>
    <row r="91" spans="1:85" x14ac:dyDescent="0.25">
      <c r="A91" t="s">
        <v>128</v>
      </c>
      <c r="B91" t="s">
        <v>145</v>
      </c>
      <c r="C91" t="s">
        <v>72</v>
      </c>
      <c r="D91" s="12">
        <v>46246</v>
      </c>
      <c r="E91" t="s">
        <v>136</v>
      </c>
      <c r="F91" t="s">
        <v>136</v>
      </c>
      <c r="G91" t="s">
        <v>136</v>
      </c>
      <c r="H91" t="s">
        <v>74</v>
      </c>
      <c r="I91">
        <v>10</v>
      </c>
      <c r="K91">
        <v>0</v>
      </c>
      <c r="L91">
        <v>46246</v>
      </c>
      <c r="M91" t="s">
        <v>196</v>
      </c>
      <c r="N91">
        <v>0</v>
      </c>
      <c r="O91">
        <v>0</v>
      </c>
      <c r="P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M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1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G91">
        <v>0</v>
      </c>
    </row>
    <row r="92" spans="1:85" x14ac:dyDescent="0.25">
      <c r="A92" t="s">
        <v>128</v>
      </c>
      <c r="B92" t="s">
        <v>145</v>
      </c>
      <c r="C92" t="s">
        <v>72</v>
      </c>
      <c r="D92" s="12">
        <v>46246</v>
      </c>
      <c r="E92" t="s">
        <v>136</v>
      </c>
      <c r="F92" t="s">
        <v>136</v>
      </c>
      <c r="G92" t="s">
        <v>136</v>
      </c>
      <c r="H92" t="s">
        <v>73</v>
      </c>
      <c r="I92">
        <v>10</v>
      </c>
      <c r="K92">
        <v>3.6011567851291222</v>
      </c>
      <c r="L92">
        <v>46246</v>
      </c>
      <c r="M92" t="s">
        <v>197</v>
      </c>
      <c r="N92">
        <v>0</v>
      </c>
      <c r="O92">
        <v>0</v>
      </c>
      <c r="P92">
        <v>4.7022058823529402</v>
      </c>
      <c r="Q92">
        <v>0</v>
      </c>
      <c r="R92">
        <v>0</v>
      </c>
      <c r="S92">
        <v>1.3057487254569338</v>
      </c>
      <c r="T92">
        <v>0.30574872545693377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1</v>
      </c>
      <c r="AM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1</v>
      </c>
      <c r="BJ92">
        <v>1</v>
      </c>
      <c r="BK92">
        <v>0</v>
      </c>
      <c r="BL92">
        <v>0</v>
      </c>
      <c r="BM92">
        <v>0.76584413256850781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0.23415586743149219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0.76584413256850781</v>
      </c>
      <c r="CG92">
        <v>0</v>
      </c>
    </row>
    <row r="93" spans="1:85" x14ac:dyDescent="0.25">
      <c r="A93" t="s">
        <v>128</v>
      </c>
      <c r="B93" t="s">
        <v>145</v>
      </c>
      <c r="C93" t="s">
        <v>109</v>
      </c>
      <c r="D93" s="12">
        <v>46239</v>
      </c>
      <c r="E93" t="s">
        <v>135</v>
      </c>
      <c r="F93" t="s">
        <v>135</v>
      </c>
      <c r="G93" t="s">
        <v>135</v>
      </c>
      <c r="K93">
        <v>9.8330447905423668</v>
      </c>
      <c r="N93">
        <v>0</v>
      </c>
      <c r="O93">
        <v>0</v>
      </c>
      <c r="P93">
        <v>7.1934472318339093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0.73155847299228427</v>
      </c>
      <c r="AD93">
        <v>0.26844152700771573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</row>
    <row r="94" spans="1:85" x14ac:dyDescent="0.25">
      <c r="A94" t="s">
        <v>128</v>
      </c>
      <c r="B94" t="s">
        <v>145</v>
      </c>
      <c r="C94" t="s">
        <v>72</v>
      </c>
      <c r="D94" s="12">
        <v>46245</v>
      </c>
      <c r="E94" t="s">
        <v>136</v>
      </c>
      <c r="F94" t="s">
        <v>136</v>
      </c>
      <c r="G94" t="s">
        <v>136</v>
      </c>
      <c r="H94" t="s">
        <v>75</v>
      </c>
      <c r="I94">
        <v>10</v>
      </c>
      <c r="K94">
        <v>3.1774912809962848</v>
      </c>
      <c r="L94">
        <v>46245</v>
      </c>
      <c r="M94" t="s">
        <v>198</v>
      </c>
      <c r="N94">
        <v>0</v>
      </c>
      <c r="O94">
        <v>0</v>
      </c>
      <c r="P94">
        <v>4.6332179930795849</v>
      </c>
      <c r="Q94">
        <v>0</v>
      </c>
      <c r="R94">
        <v>0</v>
      </c>
      <c r="S94">
        <v>1.4581371224492754</v>
      </c>
      <c r="T94">
        <v>0.4581371224492754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1</v>
      </c>
      <c r="AM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1</v>
      </c>
      <c r="BJ94">
        <v>1</v>
      </c>
      <c r="BK94">
        <v>0</v>
      </c>
      <c r="BL94">
        <v>0</v>
      </c>
      <c r="BM94">
        <v>0.68580655728747297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0.31419344271252703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0.68580655728747297</v>
      </c>
      <c r="CG94">
        <v>0</v>
      </c>
    </row>
    <row r="95" spans="1:85" x14ac:dyDescent="0.25">
      <c r="A95" t="s">
        <v>128</v>
      </c>
      <c r="B95" t="s">
        <v>145</v>
      </c>
      <c r="C95" t="s">
        <v>72</v>
      </c>
      <c r="D95" s="12">
        <v>46245</v>
      </c>
      <c r="E95" t="s">
        <v>136</v>
      </c>
      <c r="F95" t="s">
        <v>136</v>
      </c>
      <c r="G95" t="s">
        <v>136</v>
      </c>
      <c r="H95" t="s">
        <v>74</v>
      </c>
      <c r="I95">
        <v>10</v>
      </c>
      <c r="K95">
        <v>0</v>
      </c>
      <c r="L95">
        <v>46245</v>
      </c>
      <c r="M95" t="s">
        <v>199</v>
      </c>
      <c r="N95">
        <v>0</v>
      </c>
      <c r="O95">
        <v>0</v>
      </c>
      <c r="P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M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1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G95">
        <v>0</v>
      </c>
    </row>
    <row r="96" spans="1:85" x14ac:dyDescent="0.25">
      <c r="A96" t="s">
        <v>128</v>
      </c>
      <c r="B96" t="s">
        <v>145</v>
      </c>
      <c r="C96" t="s">
        <v>109</v>
      </c>
      <c r="D96" s="12">
        <v>46240</v>
      </c>
      <c r="E96" t="s">
        <v>134</v>
      </c>
      <c r="F96" t="s">
        <v>134</v>
      </c>
      <c r="G96" t="s">
        <v>134</v>
      </c>
      <c r="K96">
        <v>26.924273776316959</v>
      </c>
      <c r="N96">
        <v>34.200000000000003</v>
      </c>
      <c r="O96">
        <v>34.200000000000003</v>
      </c>
      <c r="P96">
        <v>28.03125</v>
      </c>
      <c r="T96">
        <v>4.0732103745772047E-2</v>
      </c>
      <c r="U96">
        <v>0</v>
      </c>
      <c r="V96">
        <v>0.19629621424857349</v>
      </c>
      <c r="W96">
        <v>0</v>
      </c>
      <c r="X96">
        <v>0</v>
      </c>
      <c r="Y96">
        <v>0</v>
      </c>
      <c r="Z96">
        <v>3.8232826749759707E-4</v>
      </c>
      <c r="AA96">
        <v>0</v>
      </c>
      <c r="AB96">
        <v>0.10855184101149927</v>
      </c>
      <c r="AC96">
        <v>3.5001136710042777E-2</v>
      </c>
      <c r="AD96">
        <v>0</v>
      </c>
      <c r="AE96">
        <v>0</v>
      </c>
      <c r="AF96">
        <v>0</v>
      </c>
      <c r="AG96">
        <v>0</v>
      </c>
      <c r="AH96">
        <v>0.96499886328995732</v>
      </c>
      <c r="AI96">
        <v>0</v>
      </c>
      <c r="AJ96">
        <v>0</v>
      </c>
      <c r="AK96">
        <v>0</v>
      </c>
      <c r="AL96">
        <v>0</v>
      </c>
      <c r="AM96">
        <v>0</v>
      </c>
    </row>
    <row r="97" spans="1:85" x14ac:dyDescent="0.25">
      <c r="A97" t="s">
        <v>128</v>
      </c>
      <c r="B97" t="s">
        <v>145</v>
      </c>
      <c r="C97" t="s">
        <v>72</v>
      </c>
      <c r="D97" s="12">
        <v>46245</v>
      </c>
      <c r="E97" t="s">
        <v>136</v>
      </c>
      <c r="F97" t="s">
        <v>136</v>
      </c>
      <c r="G97" t="s">
        <v>136</v>
      </c>
      <c r="H97" t="s">
        <v>73</v>
      </c>
      <c r="I97">
        <v>10</v>
      </c>
      <c r="K97">
        <v>3.6011567851291222</v>
      </c>
      <c r="L97">
        <v>46245</v>
      </c>
      <c r="M97" t="s">
        <v>200</v>
      </c>
      <c r="N97">
        <v>0</v>
      </c>
      <c r="O97">
        <v>0</v>
      </c>
      <c r="P97">
        <v>4.7022058823529402</v>
      </c>
      <c r="Q97">
        <v>0</v>
      </c>
      <c r="R97">
        <v>0</v>
      </c>
      <c r="S97">
        <v>1.3057487254569338</v>
      </c>
      <c r="T97">
        <v>0.30574872545693377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</v>
      </c>
      <c r="AM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</v>
      </c>
      <c r="BJ97">
        <v>1</v>
      </c>
      <c r="BK97">
        <v>0</v>
      </c>
      <c r="BL97">
        <v>0</v>
      </c>
      <c r="BM97">
        <v>0.76584413256850781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0.23415586743149219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0.76584413256850781</v>
      </c>
      <c r="CG97">
        <v>0</v>
      </c>
    </row>
    <row r="98" spans="1:85" x14ac:dyDescent="0.25">
      <c r="A98" t="s">
        <v>128</v>
      </c>
      <c r="B98" t="s">
        <v>145</v>
      </c>
      <c r="C98" t="s">
        <v>72</v>
      </c>
      <c r="D98" s="12">
        <v>46244</v>
      </c>
      <c r="E98" t="s">
        <v>136</v>
      </c>
      <c r="F98" t="s">
        <v>136</v>
      </c>
      <c r="G98" t="s">
        <v>136</v>
      </c>
      <c r="H98" t="s">
        <v>75</v>
      </c>
      <c r="I98">
        <v>10</v>
      </c>
      <c r="K98">
        <v>3.1774912809962848</v>
      </c>
      <c r="L98">
        <v>46244</v>
      </c>
      <c r="M98" t="s">
        <v>201</v>
      </c>
      <c r="N98">
        <v>0</v>
      </c>
      <c r="O98">
        <v>0</v>
      </c>
      <c r="P98">
        <v>4.6332179930795849</v>
      </c>
      <c r="Q98">
        <v>0</v>
      </c>
      <c r="R98">
        <v>0</v>
      </c>
      <c r="S98">
        <v>1.4581371224492754</v>
      </c>
      <c r="T98">
        <v>0.4581371224492754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1</v>
      </c>
      <c r="AM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</v>
      </c>
      <c r="BJ98">
        <v>1</v>
      </c>
      <c r="BK98">
        <v>0</v>
      </c>
      <c r="BL98">
        <v>0</v>
      </c>
      <c r="BM98">
        <v>0.68580655728747297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0.31419344271252703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0.68580655728747297</v>
      </c>
      <c r="CG98">
        <v>0</v>
      </c>
    </row>
    <row r="99" spans="1:85" x14ac:dyDescent="0.25">
      <c r="A99" t="s">
        <v>128</v>
      </c>
      <c r="B99" t="s">
        <v>145</v>
      </c>
      <c r="C99" t="s">
        <v>72</v>
      </c>
      <c r="D99" s="12">
        <v>46244</v>
      </c>
      <c r="E99" t="s">
        <v>136</v>
      </c>
      <c r="F99" t="s">
        <v>136</v>
      </c>
      <c r="G99" t="s">
        <v>136</v>
      </c>
      <c r="H99" t="s">
        <v>74</v>
      </c>
      <c r="I99">
        <v>10</v>
      </c>
      <c r="K99">
        <v>0</v>
      </c>
      <c r="L99">
        <v>46244</v>
      </c>
      <c r="M99" t="s">
        <v>202</v>
      </c>
      <c r="N99">
        <v>0</v>
      </c>
      <c r="O99">
        <v>0</v>
      </c>
      <c r="P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1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M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1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G99">
        <v>0</v>
      </c>
    </row>
    <row r="100" spans="1:85" x14ac:dyDescent="0.25">
      <c r="A100" t="s">
        <v>128</v>
      </c>
      <c r="B100" t="s">
        <v>145</v>
      </c>
      <c r="C100" t="s">
        <v>109</v>
      </c>
      <c r="D100" s="12">
        <v>46240</v>
      </c>
      <c r="E100" t="s">
        <v>136</v>
      </c>
      <c r="F100" t="s">
        <v>136</v>
      </c>
      <c r="G100" t="s">
        <v>136</v>
      </c>
      <c r="K100">
        <v>6.7786480661254069</v>
      </c>
      <c r="N100">
        <v>0.95</v>
      </c>
      <c r="O100">
        <v>0.95</v>
      </c>
      <c r="P100">
        <v>9.3354238754325252</v>
      </c>
      <c r="T100">
        <v>0.37718078654709408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0.39110406076067189</v>
      </c>
      <c r="AD100">
        <v>0</v>
      </c>
      <c r="AE100">
        <v>0</v>
      </c>
      <c r="AF100">
        <v>0</v>
      </c>
      <c r="AG100">
        <v>0</v>
      </c>
      <c r="AH100">
        <v>0.14014593923932805</v>
      </c>
      <c r="AI100">
        <v>0</v>
      </c>
      <c r="AJ100">
        <v>0</v>
      </c>
      <c r="AK100">
        <v>0</v>
      </c>
      <c r="AM100">
        <v>0</v>
      </c>
    </row>
    <row r="101" spans="1:85" x14ac:dyDescent="0.25">
      <c r="A101" t="s">
        <v>128</v>
      </c>
      <c r="B101" t="s">
        <v>145</v>
      </c>
      <c r="C101" t="s">
        <v>72</v>
      </c>
      <c r="D101" s="12">
        <v>46244</v>
      </c>
      <c r="E101" t="s">
        <v>136</v>
      </c>
      <c r="F101" t="s">
        <v>136</v>
      </c>
      <c r="G101" t="s">
        <v>136</v>
      </c>
      <c r="H101" t="s">
        <v>73</v>
      </c>
      <c r="I101">
        <v>10</v>
      </c>
      <c r="K101">
        <v>3.6011567851291222</v>
      </c>
      <c r="L101">
        <v>46244</v>
      </c>
      <c r="M101" t="s">
        <v>203</v>
      </c>
      <c r="N101">
        <v>0</v>
      </c>
      <c r="O101">
        <v>0</v>
      </c>
      <c r="P101">
        <v>4.7022058823529411</v>
      </c>
      <c r="Q101">
        <v>0</v>
      </c>
      <c r="R101">
        <v>0</v>
      </c>
      <c r="S101">
        <v>1.305748725456934</v>
      </c>
      <c r="T101">
        <v>0.30574872545693399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</v>
      </c>
      <c r="BJ101">
        <v>1</v>
      </c>
      <c r="BK101">
        <v>0</v>
      </c>
      <c r="BL101">
        <v>0</v>
      </c>
      <c r="BM101">
        <v>0.76584413256850759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0.23415586743149241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0.76584413256850759</v>
      </c>
      <c r="CG101">
        <v>0</v>
      </c>
    </row>
    <row r="102" spans="1:85" x14ac:dyDescent="0.25">
      <c r="A102" t="s">
        <v>128</v>
      </c>
      <c r="B102" t="s">
        <v>145</v>
      </c>
      <c r="C102" t="s">
        <v>109</v>
      </c>
      <c r="D102" s="12">
        <v>46240</v>
      </c>
      <c r="E102" t="s">
        <v>135</v>
      </c>
      <c r="F102" t="s">
        <v>135</v>
      </c>
      <c r="G102" t="s">
        <v>135</v>
      </c>
      <c r="K102">
        <v>10.754837871019967</v>
      </c>
      <c r="N102">
        <v>0</v>
      </c>
      <c r="O102">
        <v>0</v>
      </c>
      <c r="P102">
        <v>7.9896649062101623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0.74289031615615031</v>
      </c>
      <c r="AD102">
        <v>0.25710968384384963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</row>
    <row r="103" spans="1:85" x14ac:dyDescent="0.25">
      <c r="A103" t="s">
        <v>128</v>
      </c>
      <c r="B103" t="s">
        <v>145</v>
      </c>
      <c r="C103" t="s">
        <v>72</v>
      </c>
      <c r="D103" s="12">
        <v>46246</v>
      </c>
      <c r="E103" t="s">
        <v>136</v>
      </c>
      <c r="F103" t="s">
        <v>136</v>
      </c>
      <c r="G103" t="s">
        <v>136</v>
      </c>
      <c r="H103" t="s">
        <v>75</v>
      </c>
      <c r="I103">
        <v>10</v>
      </c>
      <c r="K103">
        <v>3.1774912809962848</v>
      </c>
      <c r="L103">
        <v>46246</v>
      </c>
      <c r="M103" t="s">
        <v>204</v>
      </c>
      <c r="N103">
        <v>0</v>
      </c>
      <c r="O103">
        <v>0</v>
      </c>
      <c r="P103">
        <v>4.6332179930795849</v>
      </c>
      <c r="Q103">
        <v>0</v>
      </c>
      <c r="R103">
        <v>0</v>
      </c>
      <c r="S103">
        <v>1.4581371224492754</v>
      </c>
      <c r="T103">
        <v>0.4581371224492754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1</v>
      </c>
      <c r="BK103">
        <v>0</v>
      </c>
      <c r="BL103">
        <v>0</v>
      </c>
      <c r="BM103">
        <v>0.68580655728747297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0.31419344271252703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0.68580655728747297</v>
      </c>
      <c r="CG103">
        <v>0</v>
      </c>
    </row>
    <row r="104" spans="1:85" x14ac:dyDescent="0.25">
      <c r="A104" t="s">
        <v>128</v>
      </c>
      <c r="B104" t="s">
        <v>145</v>
      </c>
      <c r="C104" t="s">
        <v>72</v>
      </c>
      <c r="D104" s="12">
        <v>46243</v>
      </c>
      <c r="E104" t="s">
        <v>136</v>
      </c>
      <c r="F104" t="s">
        <v>136</v>
      </c>
      <c r="G104" t="s">
        <v>136</v>
      </c>
      <c r="H104" t="s">
        <v>75</v>
      </c>
      <c r="I104">
        <v>10</v>
      </c>
      <c r="K104">
        <v>3.1774912809962856</v>
      </c>
      <c r="L104">
        <v>46243</v>
      </c>
      <c r="M104" t="s">
        <v>205</v>
      </c>
      <c r="N104">
        <v>0</v>
      </c>
      <c r="O104">
        <v>0</v>
      </c>
      <c r="P104">
        <v>4.6332179930795849</v>
      </c>
      <c r="Q104">
        <v>0</v>
      </c>
      <c r="R104">
        <v>0</v>
      </c>
      <c r="S104">
        <v>1.4581371224492752</v>
      </c>
      <c r="T104">
        <v>0.45813712244927518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1</v>
      </c>
      <c r="AM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1</v>
      </c>
      <c r="BJ104">
        <v>1</v>
      </c>
      <c r="BK104">
        <v>0</v>
      </c>
      <c r="BL104">
        <v>0</v>
      </c>
      <c r="BM104">
        <v>0.68580655728747308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0.31419344271252692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0.68580655728747308</v>
      </c>
      <c r="CG104">
        <v>0</v>
      </c>
    </row>
    <row r="105" spans="1:85" x14ac:dyDescent="0.25">
      <c r="A105" t="s">
        <v>128</v>
      </c>
      <c r="B105" t="s">
        <v>145</v>
      </c>
      <c r="C105" t="s">
        <v>72</v>
      </c>
      <c r="D105" s="12">
        <v>46243</v>
      </c>
      <c r="E105" t="s">
        <v>136</v>
      </c>
      <c r="F105" t="s">
        <v>136</v>
      </c>
      <c r="G105" t="s">
        <v>136</v>
      </c>
      <c r="H105" t="s">
        <v>73</v>
      </c>
      <c r="I105">
        <v>10</v>
      </c>
      <c r="K105">
        <v>3.6011567851291222</v>
      </c>
      <c r="L105">
        <v>46243</v>
      </c>
      <c r="M105" t="s">
        <v>206</v>
      </c>
      <c r="N105">
        <v>0.95</v>
      </c>
      <c r="O105">
        <v>0.95</v>
      </c>
      <c r="P105">
        <v>4.702205882352942</v>
      </c>
      <c r="Q105">
        <v>0.26380412092108813</v>
      </c>
      <c r="R105">
        <v>0.26380412092108813</v>
      </c>
      <c r="S105">
        <v>1.3057487254569342</v>
      </c>
      <c r="T105">
        <v>0.30574872545693421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0.73619587907891182</v>
      </c>
      <c r="AD105">
        <v>0</v>
      </c>
      <c r="AE105">
        <v>0</v>
      </c>
      <c r="AF105">
        <v>0</v>
      </c>
      <c r="AG105">
        <v>0</v>
      </c>
      <c r="AH105">
        <v>0.26380412092108813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3.7906913527674972</v>
      </c>
      <c r="AO105">
        <v>3.7906913527674972</v>
      </c>
      <c r="AP105">
        <v>4.9496904024767812</v>
      </c>
      <c r="BG105">
        <v>0</v>
      </c>
      <c r="BH105">
        <v>0</v>
      </c>
      <c r="BI105">
        <v>0</v>
      </c>
      <c r="BK105">
        <v>0.20203283815480841</v>
      </c>
      <c r="BL105">
        <v>0.20203283815480841</v>
      </c>
      <c r="BM105">
        <v>0.76584413256850747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0.23415586743149253</v>
      </c>
      <c r="BY105">
        <v>0</v>
      </c>
      <c r="BZ105">
        <v>0</v>
      </c>
      <c r="CA105">
        <v>0</v>
      </c>
      <c r="CB105">
        <v>0.20203283815480841</v>
      </c>
      <c r="CC105">
        <v>0</v>
      </c>
      <c r="CD105">
        <v>0</v>
      </c>
      <c r="CE105">
        <v>0</v>
      </c>
      <c r="CF105">
        <v>0</v>
      </c>
      <c r="CG105">
        <v>0</v>
      </c>
    </row>
    <row r="106" spans="1:85" x14ac:dyDescent="0.25">
      <c r="A106" t="s">
        <v>128</v>
      </c>
      <c r="B106" t="s">
        <v>145</v>
      </c>
      <c r="C106" t="s">
        <v>109</v>
      </c>
      <c r="D106" s="12">
        <v>46241</v>
      </c>
      <c r="E106" t="s">
        <v>134</v>
      </c>
      <c r="F106" t="s">
        <v>134</v>
      </c>
      <c r="G106" t="s">
        <v>134</v>
      </c>
      <c r="K106">
        <v>26.220922841721428</v>
      </c>
      <c r="N106">
        <v>33.25</v>
      </c>
      <c r="O106">
        <v>33.25</v>
      </c>
      <c r="P106">
        <v>27.25</v>
      </c>
      <c r="T106">
        <v>2.6411282804096787E-2</v>
      </c>
      <c r="U106">
        <v>0</v>
      </c>
      <c r="V106">
        <v>0.20154350810942651</v>
      </c>
      <c r="W106">
        <v>0</v>
      </c>
      <c r="X106">
        <v>0</v>
      </c>
      <c r="Y106">
        <v>0</v>
      </c>
      <c r="Z106">
        <v>1.2835129859959335E-2</v>
      </c>
      <c r="AA106">
        <v>0</v>
      </c>
      <c r="AB106">
        <v>9.1778604045620049E-2</v>
      </c>
      <c r="AC106">
        <v>3.8085931149689813E-2</v>
      </c>
      <c r="AD106">
        <v>0</v>
      </c>
      <c r="AE106">
        <v>0</v>
      </c>
      <c r="AF106">
        <v>0</v>
      </c>
      <c r="AG106">
        <v>0</v>
      </c>
      <c r="AH106">
        <v>0.96191406885031017</v>
      </c>
      <c r="AI106">
        <v>0</v>
      </c>
      <c r="AJ106">
        <v>0</v>
      </c>
      <c r="AK106">
        <v>0</v>
      </c>
      <c r="AL106">
        <v>0</v>
      </c>
      <c r="AM106">
        <v>0</v>
      </c>
    </row>
    <row r="107" spans="1:85" x14ac:dyDescent="0.25">
      <c r="A107" t="s">
        <v>128</v>
      </c>
      <c r="B107" t="s">
        <v>145</v>
      </c>
      <c r="C107" t="s">
        <v>72</v>
      </c>
      <c r="D107" s="12">
        <v>46242</v>
      </c>
      <c r="E107" t="s">
        <v>136</v>
      </c>
      <c r="F107" t="s">
        <v>136</v>
      </c>
      <c r="G107" t="s">
        <v>136</v>
      </c>
      <c r="H107" t="s">
        <v>75</v>
      </c>
      <c r="I107">
        <v>10</v>
      </c>
      <c r="K107">
        <v>3.1774912809962856</v>
      </c>
      <c r="L107">
        <v>46242</v>
      </c>
      <c r="M107" t="s">
        <v>207</v>
      </c>
      <c r="N107">
        <v>0</v>
      </c>
      <c r="O107">
        <v>0</v>
      </c>
      <c r="P107">
        <v>4.6332179930795849</v>
      </c>
      <c r="Q107">
        <v>0</v>
      </c>
      <c r="R107">
        <v>0</v>
      </c>
      <c r="S107">
        <v>1.4581371224492752</v>
      </c>
      <c r="T107">
        <v>0.45813712244927518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1</v>
      </c>
      <c r="BJ107">
        <v>1</v>
      </c>
      <c r="BK107">
        <v>0</v>
      </c>
      <c r="BL107">
        <v>0</v>
      </c>
      <c r="BM107">
        <v>0.68580655728747308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0.31419344271252692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0.68580655728747308</v>
      </c>
      <c r="CG107">
        <v>0</v>
      </c>
    </row>
    <row r="108" spans="1:85" x14ac:dyDescent="0.25">
      <c r="A108" t="s">
        <v>128</v>
      </c>
      <c r="B108" t="s">
        <v>145</v>
      </c>
      <c r="C108" t="s">
        <v>109</v>
      </c>
      <c r="D108" s="12">
        <v>46241</v>
      </c>
      <c r="E108" t="s">
        <v>136</v>
      </c>
      <c r="F108" t="s">
        <v>136</v>
      </c>
      <c r="G108" t="s">
        <v>136</v>
      </c>
      <c r="K108">
        <v>6.7786480661254078</v>
      </c>
      <c r="N108">
        <v>0.95</v>
      </c>
      <c r="O108">
        <v>0.95</v>
      </c>
      <c r="P108">
        <v>9.3354238754325252</v>
      </c>
      <c r="T108">
        <v>0.37718078654709369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0.39110406076067183</v>
      </c>
      <c r="AD108">
        <v>0</v>
      </c>
      <c r="AE108">
        <v>0</v>
      </c>
      <c r="AF108">
        <v>0</v>
      </c>
      <c r="AG108">
        <v>0</v>
      </c>
      <c r="AH108">
        <v>0.14014593923932805</v>
      </c>
      <c r="AI108">
        <v>0</v>
      </c>
      <c r="AJ108">
        <v>0</v>
      </c>
      <c r="AK108">
        <v>0</v>
      </c>
      <c r="AM108">
        <v>0</v>
      </c>
    </row>
    <row r="109" spans="1:85" x14ac:dyDescent="0.25">
      <c r="A109" t="s">
        <v>128</v>
      </c>
      <c r="B109" t="s">
        <v>145</v>
      </c>
      <c r="C109" t="s">
        <v>72</v>
      </c>
      <c r="D109" s="12">
        <v>46242</v>
      </c>
      <c r="E109" t="s">
        <v>136</v>
      </c>
      <c r="F109" t="s">
        <v>136</v>
      </c>
      <c r="G109" t="s">
        <v>136</v>
      </c>
      <c r="H109" t="s">
        <v>74</v>
      </c>
      <c r="I109">
        <v>10</v>
      </c>
      <c r="K109">
        <v>0</v>
      </c>
      <c r="L109">
        <v>46242</v>
      </c>
      <c r="M109" t="s">
        <v>208</v>
      </c>
      <c r="N109">
        <v>0</v>
      </c>
      <c r="O109">
        <v>0</v>
      </c>
      <c r="P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M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1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G109">
        <v>0</v>
      </c>
    </row>
    <row r="110" spans="1:85" x14ac:dyDescent="0.25">
      <c r="A110" t="s">
        <v>128</v>
      </c>
      <c r="B110" t="s">
        <v>145</v>
      </c>
      <c r="C110" t="s">
        <v>72</v>
      </c>
      <c r="D110" s="12">
        <v>46242</v>
      </c>
      <c r="E110" t="s">
        <v>136</v>
      </c>
      <c r="F110" t="s">
        <v>136</v>
      </c>
      <c r="G110" t="s">
        <v>136</v>
      </c>
      <c r="H110" t="s">
        <v>73</v>
      </c>
      <c r="I110">
        <v>10</v>
      </c>
      <c r="K110">
        <v>3.6011567851291222</v>
      </c>
      <c r="L110">
        <v>46242</v>
      </c>
      <c r="M110" t="s">
        <v>209</v>
      </c>
      <c r="N110">
        <v>0</v>
      </c>
      <c r="O110">
        <v>0</v>
      </c>
      <c r="P110">
        <v>4.702205882352942</v>
      </c>
      <c r="Q110">
        <v>0</v>
      </c>
      <c r="R110">
        <v>0</v>
      </c>
      <c r="S110">
        <v>1.3057487254569342</v>
      </c>
      <c r="T110">
        <v>0.30574872545693421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1</v>
      </c>
      <c r="AM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1</v>
      </c>
      <c r="BJ110">
        <v>1</v>
      </c>
      <c r="BK110">
        <v>0</v>
      </c>
      <c r="BL110">
        <v>0</v>
      </c>
      <c r="BM110">
        <v>0.76584413256850747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0.23415586743149253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0.76584413256850747</v>
      </c>
      <c r="CG110">
        <v>0</v>
      </c>
    </row>
    <row r="111" spans="1:85" x14ac:dyDescent="0.25">
      <c r="A111" t="s">
        <v>128</v>
      </c>
      <c r="B111" t="s">
        <v>145</v>
      </c>
      <c r="C111" t="s">
        <v>72</v>
      </c>
      <c r="D111" s="12">
        <v>46241</v>
      </c>
      <c r="E111" t="s">
        <v>136</v>
      </c>
      <c r="F111" t="s">
        <v>136</v>
      </c>
      <c r="G111" t="s">
        <v>136</v>
      </c>
      <c r="H111" t="s">
        <v>75</v>
      </c>
      <c r="I111">
        <v>10</v>
      </c>
      <c r="K111">
        <v>3.1774912809962856</v>
      </c>
      <c r="L111">
        <v>46241</v>
      </c>
      <c r="M111" t="s">
        <v>210</v>
      </c>
      <c r="N111">
        <v>0</v>
      </c>
      <c r="O111">
        <v>0</v>
      </c>
      <c r="P111">
        <v>4.6332179930795849</v>
      </c>
      <c r="Q111">
        <v>0</v>
      </c>
      <c r="R111">
        <v>0</v>
      </c>
      <c r="S111">
        <v>1.4581371224492752</v>
      </c>
      <c r="T111">
        <v>0.45813712244927518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1</v>
      </c>
      <c r="AM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1</v>
      </c>
      <c r="BJ111">
        <v>1</v>
      </c>
      <c r="BK111">
        <v>0</v>
      </c>
      <c r="BL111">
        <v>0</v>
      </c>
      <c r="BM111">
        <v>0.68580655728747308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0</v>
      </c>
      <c r="BX111">
        <v>0.31419344271252692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0.68580655728747308</v>
      </c>
      <c r="CG111">
        <v>0</v>
      </c>
    </row>
    <row r="112" spans="1:85" x14ac:dyDescent="0.25">
      <c r="A112" t="s">
        <v>128</v>
      </c>
      <c r="B112" t="s">
        <v>145</v>
      </c>
      <c r="C112" t="s">
        <v>109</v>
      </c>
      <c r="D112" s="12">
        <v>46241</v>
      </c>
      <c r="E112" t="s">
        <v>135</v>
      </c>
      <c r="F112" t="s">
        <v>135</v>
      </c>
      <c r="G112" t="s">
        <v>135</v>
      </c>
      <c r="K112">
        <v>8.2967229897463586</v>
      </c>
      <c r="N112">
        <v>0</v>
      </c>
      <c r="O112">
        <v>0</v>
      </c>
      <c r="P112">
        <v>5.9273356401384083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0.71441889134587278</v>
      </c>
      <c r="AD112">
        <v>0.28558110865412717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</row>
    <row r="113" spans="1:85" x14ac:dyDescent="0.25">
      <c r="A113" t="s">
        <v>128</v>
      </c>
      <c r="B113" t="s">
        <v>145</v>
      </c>
      <c r="C113" t="s">
        <v>72</v>
      </c>
      <c r="D113" s="12">
        <v>46241</v>
      </c>
      <c r="E113" t="s">
        <v>136</v>
      </c>
      <c r="F113" t="s">
        <v>136</v>
      </c>
      <c r="G113" t="s">
        <v>136</v>
      </c>
      <c r="H113" t="s">
        <v>74</v>
      </c>
      <c r="I113">
        <v>10</v>
      </c>
      <c r="K113">
        <v>0</v>
      </c>
      <c r="L113">
        <v>46241</v>
      </c>
      <c r="M113" t="s">
        <v>211</v>
      </c>
      <c r="N113">
        <v>0</v>
      </c>
      <c r="O113">
        <v>0</v>
      </c>
      <c r="P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M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1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G113">
        <v>0</v>
      </c>
    </row>
    <row r="114" spans="1:85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136</v>
      </c>
      <c r="F114" t="s">
        <v>136</v>
      </c>
      <c r="G114" t="s">
        <v>136</v>
      </c>
      <c r="H114" t="s">
        <v>73</v>
      </c>
      <c r="I114">
        <v>10</v>
      </c>
      <c r="K114">
        <v>3.6011567851291222</v>
      </c>
      <c r="L114">
        <v>46241</v>
      </c>
      <c r="M114" t="s">
        <v>212</v>
      </c>
      <c r="N114">
        <v>0.95</v>
      </c>
      <c r="O114">
        <v>0.95</v>
      </c>
      <c r="P114">
        <v>4.7022058823529393</v>
      </c>
      <c r="Q114">
        <v>0.26380412092108813</v>
      </c>
      <c r="R114">
        <v>0.26380412092108813</v>
      </c>
      <c r="S114">
        <v>1.3057487254569335</v>
      </c>
      <c r="T114">
        <v>0.30574872545693355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0.73619587907891182</v>
      </c>
      <c r="AD114">
        <v>0</v>
      </c>
      <c r="AE114">
        <v>0</v>
      </c>
      <c r="AF114">
        <v>0</v>
      </c>
      <c r="AG114">
        <v>0</v>
      </c>
      <c r="AH114">
        <v>0.26380412092108813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3.7906913527674972</v>
      </c>
      <c r="AO114">
        <v>3.7906913527674972</v>
      </c>
      <c r="AP114">
        <v>4.9496904024767785</v>
      </c>
      <c r="BG114">
        <v>0</v>
      </c>
      <c r="BH114">
        <v>0</v>
      </c>
      <c r="BI114">
        <v>0</v>
      </c>
      <c r="BK114">
        <v>0.20203283815480852</v>
      </c>
      <c r="BL114">
        <v>0.20203283815480852</v>
      </c>
      <c r="BM114">
        <v>0.76584413256850792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0.23415586743149208</v>
      </c>
      <c r="BY114">
        <v>0</v>
      </c>
      <c r="BZ114">
        <v>0</v>
      </c>
      <c r="CA114">
        <v>0</v>
      </c>
      <c r="CB114">
        <v>0.20203283815480852</v>
      </c>
      <c r="CC114">
        <v>0</v>
      </c>
      <c r="CD114">
        <v>0</v>
      </c>
      <c r="CE114">
        <v>0</v>
      </c>
      <c r="CF114">
        <v>0</v>
      </c>
      <c r="CG114">
        <v>0</v>
      </c>
    </row>
    <row r="115" spans="1:85" x14ac:dyDescent="0.25">
      <c r="A115" t="s">
        <v>128</v>
      </c>
      <c r="B115" t="s">
        <v>145</v>
      </c>
      <c r="C115" t="s">
        <v>109</v>
      </c>
      <c r="D115" s="12">
        <v>46242</v>
      </c>
      <c r="E115" t="s">
        <v>134</v>
      </c>
      <c r="F115" t="s">
        <v>134</v>
      </c>
      <c r="G115" t="s">
        <v>134</v>
      </c>
      <c r="K115">
        <v>26.220922841721425</v>
      </c>
      <c r="N115">
        <v>29.45</v>
      </c>
      <c r="O115">
        <v>29.45</v>
      </c>
      <c r="P115">
        <v>27.25</v>
      </c>
      <c r="T115">
        <v>3.0660375571110027E-2</v>
      </c>
      <c r="U115">
        <v>0</v>
      </c>
      <c r="V115">
        <v>5.3938669148485434E-2</v>
      </c>
      <c r="W115">
        <v>0</v>
      </c>
      <c r="X115">
        <v>0</v>
      </c>
      <c r="Y115">
        <v>0</v>
      </c>
      <c r="Z115">
        <v>8.5860370929461E-3</v>
      </c>
      <c r="AA115">
        <v>0</v>
      </c>
      <c r="AB115">
        <v>9.6564177499328566E-2</v>
      </c>
      <c r="AC115">
        <v>3.5940008402908737E-2</v>
      </c>
      <c r="AD115">
        <v>0</v>
      </c>
      <c r="AE115">
        <v>0</v>
      </c>
      <c r="AF115">
        <v>0</v>
      </c>
      <c r="AG115">
        <v>0</v>
      </c>
      <c r="AH115">
        <v>0.96405999159709133</v>
      </c>
      <c r="AI115">
        <v>0</v>
      </c>
      <c r="AJ115">
        <v>0</v>
      </c>
      <c r="AK115">
        <v>0</v>
      </c>
      <c r="AL115">
        <v>0</v>
      </c>
      <c r="AM115">
        <v>0</v>
      </c>
    </row>
    <row r="116" spans="1:85" x14ac:dyDescent="0.25">
      <c r="A116" t="s">
        <v>128</v>
      </c>
      <c r="B116" t="s">
        <v>145</v>
      </c>
      <c r="C116" t="s">
        <v>72</v>
      </c>
      <c r="D116" s="12">
        <v>46240</v>
      </c>
      <c r="E116" t="s">
        <v>136</v>
      </c>
      <c r="F116" t="s">
        <v>136</v>
      </c>
      <c r="G116" t="s">
        <v>136</v>
      </c>
      <c r="H116" t="s">
        <v>75</v>
      </c>
      <c r="I116">
        <v>10</v>
      </c>
      <c r="K116">
        <v>3.1774912809962848</v>
      </c>
      <c r="L116">
        <v>46240</v>
      </c>
      <c r="M116" t="s">
        <v>213</v>
      </c>
      <c r="N116">
        <v>0</v>
      </c>
      <c r="O116">
        <v>0</v>
      </c>
      <c r="P116">
        <v>4.6332179930795849</v>
      </c>
      <c r="Q116">
        <v>0</v>
      </c>
      <c r="R116">
        <v>0</v>
      </c>
      <c r="S116">
        <v>1.4581371224492754</v>
      </c>
      <c r="T116">
        <v>0.4581371224492754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</v>
      </c>
      <c r="BJ116">
        <v>1</v>
      </c>
      <c r="BK116">
        <v>0</v>
      </c>
      <c r="BL116">
        <v>0</v>
      </c>
      <c r="BM116">
        <v>0.68580655728747297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0.31419344271252703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0.68580655728747297</v>
      </c>
      <c r="CG116">
        <v>0</v>
      </c>
    </row>
    <row r="117" spans="1:85" x14ac:dyDescent="0.25">
      <c r="A117" t="s">
        <v>128</v>
      </c>
      <c r="B117" t="s">
        <v>145</v>
      </c>
      <c r="C117" t="s">
        <v>72</v>
      </c>
      <c r="D117" s="12">
        <v>46243</v>
      </c>
      <c r="E117" t="s">
        <v>136</v>
      </c>
      <c r="F117" t="s">
        <v>136</v>
      </c>
      <c r="G117" t="s">
        <v>136</v>
      </c>
      <c r="H117" t="s">
        <v>74</v>
      </c>
      <c r="I117">
        <v>10</v>
      </c>
      <c r="K117">
        <v>0</v>
      </c>
      <c r="L117">
        <v>46243</v>
      </c>
      <c r="M117" t="s">
        <v>214</v>
      </c>
      <c r="N117">
        <v>0</v>
      </c>
      <c r="O117">
        <v>0</v>
      </c>
      <c r="P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1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M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1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G117">
        <v>0</v>
      </c>
    </row>
    <row r="118" spans="1:85" x14ac:dyDescent="0.25">
      <c r="A118" t="s">
        <v>128</v>
      </c>
      <c r="B118" t="s">
        <v>145</v>
      </c>
      <c r="C118" t="s">
        <v>72</v>
      </c>
      <c r="D118" s="12">
        <v>46223</v>
      </c>
      <c r="E118" t="s">
        <v>134</v>
      </c>
      <c r="F118" t="s">
        <v>134</v>
      </c>
      <c r="G118" t="s">
        <v>134</v>
      </c>
      <c r="H118" t="s">
        <v>73</v>
      </c>
      <c r="I118">
        <v>20</v>
      </c>
      <c r="K118">
        <v>11.872563775972576</v>
      </c>
      <c r="L118">
        <v>46223</v>
      </c>
      <c r="M118" t="s">
        <v>176</v>
      </c>
      <c r="N118">
        <v>18.05</v>
      </c>
      <c r="O118">
        <v>18.05</v>
      </c>
      <c r="P118">
        <v>10.447916666666666</v>
      </c>
      <c r="Q118">
        <v>1.5203119006637116</v>
      </c>
      <c r="R118">
        <v>1.5203119006637116</v>
      </c>
      <c r="S118">
        <v>0.88000509947235839</v>
      </c>
      <c r="T118">
        <v>0</v>
      </c>
      <c r="U118">
        <v>0</v>
      </c>
      <c r="V118">
        <v>0.27031190066371158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0.25</v>
      </c>
      <c r="AC118">
        <v>0</v>
      </c>
      <c r="AD118">
        <v>0</v>
      </c>
      <c r="AE118">
        <v>0</v>
      </c>
      <c r="AF118">
        <v>0.11999490052764161</v>
      </c>
      <c r="AG118">
        <v>0</v>
      </c>
      <c r="AH118">
        <v>0.88000509947235839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0.65775976598186014</v>
      </c>
      <c r="AO118">
        <v>0.65775976598186014</v>
      </c>
      <c r="AP118">
        <v>0.57883194829178208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0.34224023401813986</v>
      </c>
      <c r="BB118">
        <v>0</v>
      </c>
      <c r="BC118">
        <v>7.8927817690078061E-2</v>
      </c>
      <c r="BD118">
        <v>0</v>
      </c>
      <c r="BE118">
        <v>0.57883194829178208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1.7276171485543372</v>
      </c>
      <c r="BL118">
        <v>1.7276171485543372</v>
      </c>
      <c r="BM118">
        <v>1.1363570513393493</v>
      </c>
      <c r="CD118">
        <v>0</v>
      </c>
      <c r="CE118">
        <v>0</v>
      </c>
      <c r="CF118">
        <v>0</v>
      </c>
    </row>
    <row r="119" spans="1:85" x14ac:dyDescent="0.25">
      <c r="A119" t="s">
        <v>128</v>
      </c>
      <c r="B119" t="s">
        <v>145</v>
      </c>
      <c r="C119" t="s">
        <v>72</v>
      </c>
      <c r="D119" s="12">
        <v>46225</v>
      </c>
      <c r="E119" t="s">
        <v>135</v>
      </c>
      <c r="F119" t="s">
        <v>135</v>
      </c>
      <c r="G119" t="s">
        <v>135</v>
      </c>
      <c r="H119" t="s">
        <v>75</v>
      </c>
      <c r="I119">
        <v>10</v>
      </c>
      <c r="K119">
        <v>3.9329838100377774</v>
      </c>
      <c r="L119">
        <v>46225</v>
      </c>
      <c r="M119" t="s">
        <v>215</v>
      </c>
      <c r="N119">
        <v>4.75</v>
      </c>
      <c r="O119">
        <v>4.75</v>
      </c>
      <c r="P119">
        <v>3.8019031141868487</v>
      </c>
      <c r="Q119">
        <v>1.2077344401665298</v>
      </c>
      <c r="R119">
        <v>1.2077344401665298</v>
      </c>
      <c r="S119">
        <v>0.96667143772207142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0.20773444016652975</v>
      </c>
      <c r="AC119">
        <v>0</v>
      </c>
      <c r="AD119">
        <v>0</v>
      </c>
      <c r="AE119">
        <v>0</v>
      </c>
      <c r="AF119">
        <v>3.3328562277928575E-2</v>
      </c>
      <c r="AG119">
        <v>0</v>
      </c>
      <c r="AH119">
        <v>0.96667143772207142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0.82799659158690053</v>
      </c>
      <c r="AO119">
        <v>0.82799659158690053</v>
      </c>
      <c r="AP119">
        <v>0.80040065561828388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0.17200340841309947</v>
      </c>
      <c r="BB119">
        <v>0</v>
      </c>
      <c r="BC119">
        <v>2.7595935968616647E-2</v>
      </c>
      <c r="BD119">
        <v>0</v>
      </c>
      <c r="BE119">
        <v>0.80040065561828388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1.2493742889647335</v>
      </c>
      <c r="BL119">
        <v>1.2493742889647335</v>
      </c>
      <c r="BM119">
        <v>1.0344776528791066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3.4477652879106646E-2</v>
      </c>
      <c r="BU119">
        <v>0</v>
      </c>
      <c r="BV119">
        <v>0.21489663608562681</v>
      </c>
      <c r="BW119">
        <v>0</v>
      </c>
      <c r="BX119">
        <v>0</v>
      </c>
      <c r="BY119">
        <v>0</v>
      </c>
      <c r="BZ119">
        <v>0</v>
      </c>
      <c r="CA119">
        <v>0</v>
      </c>
      <c r="CB119">
        <v>1</v>
      </c>
      <c r="CC119">
        <v>0</v>
      </c>
      <c r="CD119">
        <v>0</v>
      </c>
      <c r="CE119">
        <v>0</v>
      </c>
      <c r="CF119">
        <v>0</v>
      </c>
      <c r="CG119">
        <v>0</v>
      </c>
    </row>
    <row r="120" spans="1:85" x14ac:dyDescent="0.25">
      <c r="A120" t="s">
        <v>128</v>
      </c>
      <c r="B120" t="s">
        <v>145</v>
      </c>
      <c r="C120" t="s">
        <v>109</v>
      </c>
      <c r="D120" s="12">
        <v>46235</v>
      </c>
      <c r="E120" t="s">
        <v>135</v>
      </c>
      <c r="F120" t="s">
        <v>135</v>
      </c>
      <c r="G120" t="s">
        <v>135</v>
      </c>
      <c r="K120">
        <v>8.8936937466270916</v>
      </c>
      <c r="N120">
        <v>5.7</v>
      </c>
      <c r="O120">
        <v>5.7</v>
      </c>
      <c r="P120">
        <v>7.4238754325259508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0.24178323225676154</v>
      </c>
      <c r="AD120">
        <v>0.11731320591756744</v>
      </c>
      <c r="AE120">
        <v>0</v>
      </c>
      <c r="AF120">
        <v>4.7952020879629735E-2</v>
      </c>
      <c r="AG120">
        <v>0</v>
      </c>
      <c r="AH120">
        <v>0.5929515409460413</v>
      </c>
      <c r="AI120">
        <v>0</v>
      </c>
      <c r="AJ120">
        <v>0</v>
      </c>
      <c r="AK120">
        <v>0</v>
      </c>
      <c r="AL120">
        <v>0</v>
      </c>
      <c r="AM120">
        <v>0</v>
      </c>
    </row>
    <row r="121" spans="1:85" x14ac:dyDescent="0.25">
      <c r="A121" t="s">
        <v>128</v>
      </c>
      <c r="B121" t="s">
        <v>145</v>
      </c>
      <c r="C121" t="s">
        <v>109</v>
      </c>
      <c r="D121" s="12">
        <v>46226</v>
      </c>
      <c r="E121" t="s">
        <v>135</v>
      </c>
      <c r="F121" t="s">
        <v>135</v>
      </c>
      <c r="G121" t="s">
        <v>135</v>
      </c>
      <c r="K121">
        <v>10.754837871019967</v>
      </c>
      <c r="N121">
        <v>6.6499999999999995</v>
      </c>
      <c r="O121">
        <v>6.6499999999999995</v>
      </c>
      <c r="P121">
        <v>8.9862046985977049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2.6816518847152061E-2</v>
      </c>
      <c r="AC121">
        <v>0.27655492730274678</v>
      </c>
      <c r="AD121">
        <v>0.13193520859454055</v>
      </c>
      <c r="AE121">
        <v>0</v>
      </c>
      <c r="AF121">
        <v>3.2514799265459721E-2</v>
      </c>
      <c r="AG121">
        <v>0</v>
      </c>
      <c r="AH121">
        <v>0.55899506483725292</v>
      </c>
      <c r="AI121">
        <v>0</v>
      </c>
      <c r="AJ121">
        <v>0</v>
      </c>
      <c r="AK121">
        <v>0</v>
      </c>
      <c r="AL121">
        <v>0</v>
      </c>
      <c r="AM121">
        <v>0</v>
      </c>
    </row>
    <row r="122" spans="1:85" x14ac:dyDescent="0.25">
      <c r="A122" t="s">
        <v>128</v>
      </c>
      <c r="B122" t="s">
        <v>145</v>
      </c>
      <c r="C122" t="s">
        <v>72</v>
      </c>
      <c r="D122" s="12">
        <v>46244</v>
      </c>
      <c r="E122" t="s">
        <v>135</v>
      </c>
      <c r="F122" t="s">
        <v>135</v>
      </c>
      <c r="G122" t="s">
        <v>135</v>
      </c>
      <c r="H122" t="s">
        <v>73</v>
      </c>
      <c r="I122">
        <v>10</v>
      </c>
      <c r="K122">
        <v>3.507203196674312</v>
      </c>
      <c r="L122">
        <v>46244</v>
      </c>
      <c r="M122" t="s">
        <v>203</v>
      </c>
      <c r="N122">
        <v>0</v>
      </c>
      <c r="O122">
        <v>0</v>
      </c>
      <c r="P122">
        <v>2.6443014705882351</v>
      </c>
      <c r="Q122">
        <v>0</v>
      </c>
      <c r="R122">
        <v>0</v>
      </c>
      <c r="S122">
        <v>0.75396300764543123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0.75396300764543123</v>
      </c>
      <c r="AD122">
        <v>0.24603699235456877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1</v>
      </c>
      <c r="BK122">
        <v>0</v>
      </c>
      <c r="BL122">
        <v>0</v>
      </c>
      <c r="BM122">
        <v>1.3263250184155897</v>
      </c>
      <c r="BN122">
        <v>0.3263250184155897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1</v>
      </c>
      <c r="CG122">
        <v>1</v>
      </c>
    </row>
    <row r="123" spans="1:85" x14ac:dyDescent="0.25">
      <c r="A123" t="s">
        <v>128</v>
      </c>
      <c r="B123" t="s">
        <v>145</v>
      </c>
      <c r="C123" t="s">
        <v>72</v>
      </c>
      <c r="D123" s="12">
        <v>46243</v>
      </c>
      <c r="E123" t="s">
        <v>135</v>
      </c>
      <c r="F123" t="s">
        <v>135</v>
      </c>
      <c r="G123" t="s">
        <v>135</v>
      </c>
      <c r="H123" t="s">
        <v>75</v>
      </c>
      <c r="I123">
        <v>10</v>
      </c>
      <c r="K123">
        <v>3.3711289800323798</v>
      </c>
      <c r="L123">
        <v>46243</v>
      </c>
      <c r="M123" t="s">
        <v>205</v>
      </c>
      <c r="N123">
        <v>0</v>
      </c>
      <c r="O123">
        <v>0</v>
      </c>
      <c r="P123">
        <v>3.0449826989619369</v>
      </c>
      <c r="Q123">
        <v>0</v>
      </c>
      <c r="R123">
        <v>0</v>
      </c>
      <c r="S123">
        <v>0.9032530991836123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0.9032530991836123</v>
      </c>
      <c r="AD123">
        <v>9.6746900816387704E-2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1</v>
      </c>
      <c r="BK123">
        <v>0</v>
      </c>
      <c r="BL123">
        <v>0</v>
      </c>
      <c r="BM123">
        <v>1.1071094036697251</v>
      </c>
      <c r="BN123">
        <v>0.1071094036697251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1</v>
      </c>
      <c r="CG123">
        <v>1</v>
      </c>
    </row>
    <row r="124" spans="1:85" x14ac:dyDescent="0.25">
      <c r="A124" t="s">
        <v>128</v>
      </c>
      <c r="B124" t="s">
        <v>145</v>
      </c>
      <c r="C124" t="s">
        <v>72</v>
      </c>
      <c r="D124" s="12">
        <v>46243</v>
      </c>
      <c r="E124" t="s">
        <v>135</v>
      </c>
      <c r="F124" t="s">
        <v>135</v>
      </c>
      <c r="G124" t="s">
        <v>135</v>
      </c>
      <c r="H124" t="s">
        <v>74</v>
      </c>
      <c r="I124">
        <v>10</v>
      </c>
      <c r="K124">
        <v>1.2735376146788993</v>
      </c>
      <c r="L124">
        <v>46243</v>
      </c>
      <c r="M124" t="s">
        <v>214</v>
      </c>
      <c r="N124">
        <v>0</v>
      </c>
      <c r="O124">
        <v>0</v>
      </c>
      <c r="P124">
        <v>0.94117647058823517</v>
      </c>
      <c r="Q124">
        <v>0</v>
      </c>
      <c r="R124">
        <v>0</v>
      </c>
      <c r="S124">
        <v>0.73902526296840998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0.73902526296840998</v>
      </c>
      <c r="AD124">
        <v>0.26097473703159002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K124">
        <v>0</v>
      </c>
      <c r="BL124">
        <v>0</v>
      </c>
      <c r="BM124">
        <v>1.3531337155963306</v>
      </c>
      <c r="BN124">
        <v>0.35313371559633056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</row>
    <row r="125" spans="1:85" x14ac:dyDescent="0.25">
      <c r="A125" t="s">
        <v>128</v>
      </c>
      <c r="B125" t="s">
        <v>145</v>
      </c>
      <c r="C125" t="s">
        <v>109</v>
      </c>
      <c r="D125" s="12">
        <v>46227</v>
      </c>
      <c r="E125" t="s">
        <v>134</v>
      </c>
      <c r="F125" t="s">
        <v>134</v>
      </c>
      <c r="G125" t="s">
        <v>134</v>
      </c>
      <c r="K125">
        <v>26.220922841721425</v>
      </c>
      <c r="N125">
        <v>34.200000000000003</v>
      </c>
      <c r="O125">
        <v>34.200000000000003</v>
      </c>
      <c r="P125">
        <v>26.375000000000004</v>
      </c>
      <c r="T125">
        <v>1.782524571115069E-2</v>
      </c>
      <c r="U125">
        <v>0</v>
      </c>
      <c r="V125">
        <v>0.16531289922756034</v>
      </c>
      <c r="W125">
        <v>0</v>
      </c>
      <c r="X125">
        <v>0</v>
      </c>
      <c r="Y125">
        <v>0</v>
      </c>
      <c r="Z125">
        <v>5.8636003445345104E-3</v>
      </c>
      <c r="AA125">
        <v>0</v>
      </c>
      <c r="AB125">
        <v>0.14914719065620644</v>
      </c>
      <c r="AC125">
        <v>1.6021770481119031E-2</v>
      </c>
      <c r="AD125">
        <v>0</v>
      </c>
      <c r="AE125">
        <v>0</v>
      </c>
      <c r="AF125">
        <v>1.7812731045979382E-2</v>
      </c>
      <c r="AG125">
        <v>0</v>
      </c>
      <c r="AH125">
        <v>0.96616549847290178</v>
      </c>
      <c r="AI125">
        <v>0</v>
      </c>
      <c r="AJ125">
        <v>0</v>
      </c>
      <c r="AK125">
        <v>0</v>
      </c>
      <c r="AL125">
        <v>0</v>
      </c>
      <c r="AM125">
        <v>0</v>
      </c>
    </row>
    <row r="126" spans="1:85" x14ac:dyDescent="0.25">
      <c r="A126" t="s">
        <v>128</v>
      </c>
      <c r="B126" t="s">
        <v>145</v>
      </c>
      <c r="C126" t="s">
        <v>72</v>
      </c>
      <c r="D126" s="12">
        <v>46243</v>
      </c>
      <c r="E126" t="s">
        <v>135</v>
      </c>
      <c r="F126" t="s">
        <v>135</v>
      </c>
      <c r="G126" t="s">
        <v>135</v>
      </c>
      <c r="H126" t="s">
        <v>73</v>
      </c>
      <c r="I126">
        <v>10</v>
      </c>
      <c r="K126">
        <v>3.507203196674312</v>
      </c>
      <c r="L126">
        <v>46243</v>
      </c>
      <c r="M126" t="s">
        <v>206</v>
      </c>
      <c r="N126">
        <v>0</v>
      </c>
      <c r="O126">
        <v>0</v>
      </c>
      <c r="P126">
        <v>2.882352941176471</v>
      </c>
      <c r="Q126">
        <v>0</v>
      </c>
      <c r="R126">
        <v>0</v>
      </c>
      <c r="S126">
        <v>0.82183802293224639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0.82183802293224639</v>
      </c>
      <c r="AD126">
        <v>0.17816197706775361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1</v>
      </c>
      <c r="BK126">
        <v>0</v>
      </c>
      <c r="BL126">
        <v>0</v>
      </c>
      <c r="BM126">
        <v>1.2167847825196592</v>
      </c>
      <c r="BN126">
        <v>0.21678478251965916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1</v>
      </c>
      <c r="CG126">
        <v>1</v>
      </c>
    </row>
    <row r="127" spans="1:85" x14ac:dyDescent="0.25">
      <c r="A127" t="s">
        <v>128</v>
      </c>
      <c r="B127" t="s">
        <v>145</v>
      </c>
      <c r="C127" t="s">
        <v>109</v>
      </c>
      <c r="D127" s="12">
        <v>46227</v>
      </c>
      <c r="E127" t="s">
        <v>136</v>
      </c>
      <c r="F127" t="s">
        <v>136</v>
      </c>
      <c r="G127" t="s">
        <v>136</v>
      </c>
      <c r="K127">
        <v>6.7786480661254069</v>
      </c>
      <c r="N127">
        <v>0.95</v>
      </c>
      <c r="O127">
        <v>0.95</v>
      </c>
      <c r="P127">
        <v>7.5707179930795858</v>
      </c>
      <c r="T127">
        <v>0.16242901039899629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0.8142728228419065</v>
      </c>
      <c r="AD127">
        <v>4.5581237918765394E-2</v>
      </c>
      <c r="AE127">
        <v>0</v>
      </c>
      <c r="AF127">
        <v>0</v>
      </c>
      <c r="AG127">
        <v>0</v>
      </c>
      <c r="AH127">
        <v>0.14014593923932805</v>
      </c>
      <c r="AI127">
        <v>0</v>
      </c>
      <c r="AJ127">
        <v>0</v>
      </c>
      <c r="AK127">
        <v>0</v>
      </c>
      <c r="AM127">
        <v>0</v>
      </c>
    </row>
    <row r="128" spans="1:85" x14ac:dyDescent="0.25">
      <c r="A128" t="s">
        <v>128</v>
      </c>
      <c r="B128" t="s">
        <v>145</v>
      </c>
      <c r="C128" t="s">
        <v>72</v>
      </c>
      <c r="D128" s="12">
        <v>46242</v>
      </c>
      <c r="E128" t="s">
        <v>135</v>
      </c>
      <c r="F128" t="s">
        <v>135</v>
      </c>
      <c r="G128" t="s">
        <v>135</v>
      </c>
      <c r="H128" t="s">
        <v>75</v>
      </c>
      <c r="I128">
        <v>10</v>
      </c>
      <c r="K128">
        <v>3.3711289800323798</v>
      </c>
      <c r="L128">
        <v>46242</v>
      </c>
      <c r="M128" t="s">
        <v>207</v>
      </c>
      <c r="N128">
        <v>0</v>
      </c>
      <c r="O128">
        <v>0</v>
      </c>
      <c r="P128">
        <v>3.0449826989619369</v>
      </c>
      <c r="Q128">
        <v>0</v>
      </c>
      <c r="R128">
        <v>0</v>
      </c>
      <c r="S128">
        <v>0.9032530991836123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0.9032530991836123</v>
      </c>
      <c r="AD128">
        <v>9.6746900816387704E-2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1</v>
      </c>
      <c r="BK128">
        <v>0</v>
      </c>
      <c r="BL128">
        <v>0</v>
      </c>
      <c r="BM128">
        <v>1.1071094036697251</v>
      </c>
      <c r="BN128">
        <v>0.1071094036697251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1</v>
      </c>
      <c r="CG128">
        <v>1</v>
      </c>
    </row>
    <row r="129" spans="1:85" x14ac:dyDescent="0.25">
      <c r="A129" t="s">
        <v>128</v>
      </c>
      <c r="B129" t="s">
        <v>145</v>
      </c>
      <c r="C129" t="s">
        <v>72</v>
      </c>
      <c r="D129" s="12">
        <v>46242</v>
      </c>
      <c r="E129" t="s">
        <v>135</v>
      </c>
      <c r="F129" t="s">
        <v>135</v>
      </c>
      <c r="G129" t="s">
        <v>135</v>
      </c>
      <c r="H129" t="s">
        <v>74</v>
      </c>
      <c r="I129">
        <v>10</v>
      </c>
      <c r="K129">
        <v>1.2735376146788993</v>
      </c>
      <c r="L129">
        <v>46242</v>
      </c>
      <c r="M129" t="s">
        <v>208</v>
      </c>
      <c r="N129">
        <v>0</v>
      </c>
      <c r="O129">
        <v>0</v>
      </c>
      <c r="P129">
        <v>0.94117647058823517</v>
      </c>
      <c r="Q129">
        <v>0</v>
      </c>
      <c r="R129">
        <v>0</v>
      </c>
      <c r="S129">
        <v>0.73902526296840998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0.73902526296840998</v>
      </c>
      <c r="AD129">
        <v>0.26097473703159002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K129">
        <v>0</v>
      </c>
      <c r="BL129">
        <v>0</v>
      </c>
      <c r="BM129">
        <v>1.3531337155963306</v>
      </c>
      <c r="BN129">
        <v>0.35313371559633056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</row>
    <row r="130" spans="1:85" x14ac:dyDescent="0.25">
      <c r="A130" t="s">
        <v>128</v>
      </c>
      <c r="B130" t="s">
        <v>145</v>
      </c>
      <c r="C130" t="s">
        <v>109</v>
      </c>
      <c r="D130" s="12">
        <v>46227</v>
      </c>
      <c r="E130" t="s">
        <v>135</v>
      </c>
      <c r="F130" t="s">
        <v>135</v>
      </c>
      <c r="G130" t="s">
        <v>135</v>
      </c>
      <c r="K130">
        <v>8.2967229897463586</v>
      </c>
      <c r="N130">
        <v>6.6499999999999995</v>
      </c>
      <c r="O130">
        <v>6.6499999999999995</v>
      </c>
      <c r="P130">
        <v>5.813148788927335</v>
      </c>
      <c r="T130">
        <v>0</v>
      </c>
      <c r="U130">
        <v>0</v>
      </c>
      <c r="V130">
        <v>0.10476475511154894</v>
      </c>
      <c r="W130">
        <v>0</v>
      </c>
      <c r="X130">
        <v>1.4646951317292989E-2</v>
      </c>
      <c r="Y130">
        <v>0</v>
      </c>
      <c r="Z130">
        <v>6.772009029345373E-2</v>
      </c>
      <c r="AA130">
        <v>0</v>
      </c>
      <c r="AB130">
        <v>0</v>
      </c>
      <c r="AC130">
        <v>0.11343954375135863</v>
      </c>
      <c r="AD130">
        <v>0.27217097665274359</v>
      </c>
      <c r="AE130">
        <v>0</v>
      </c>
      <c r="AF130">
        <v>0.10954005943490568</v>
      </c>
      <c r="AG130">
        <v>0</v>
      </c>
      <c r="AH130">
        <v>0.5048494201609921</v>
      </c>
      <c r="AI130">
        <v>0</v>
      </c>
      <c r="AJ130">
        <v>0</v>
      </c>
      <c r="AK130">
        <v>0</v>
      </c>
      <c r="AL130">
        <v>0</v>
      </c>
      <c r="AM130">
        <v>0</v>
      </c>
    </row>
    <row r="131" spans="1:85" x14ac:dyDescent="0.25">
      <c r="A131" t="s">
        <v>128</v>
      </c>
      <c r="B131" t="s">
        <v>145</v>
      </c>
      <c r="C131" t="s">
        <v>72</v>
      </c>
      <c r="D131" s="12">
        <v>46242</v>
      </c>
      <c r="E131" t="s">
        <v>135</v>
      </c>
      <c r="F131" t="s">
        <v>135</v>
      </c>
      <c r="G131" t="s">
        <v>135</v>
      </c>
      <c r="H131" t="s">
        <v>73</v>
      </c>
      <c r="I131">
        <v>10</v>
      </c>
      <c r="K131">
        <v>2.3878830275229359</v>
      </c>
      <c r="L131">
        <v>46242</v>
      </c>
      <c r="M131" t="s">
        <v>209</v>
      </c>
      <c r="N131">
        <v>0</v>
      </c>
      <c r="O131">
        <v>0</v>
      </c>
      <c r="P131">
        <v>2.882352941176471</v>
      </c>
      <c r="Q131">
        <v>0</v>
      </c>
      <c r="R131">
        <v>0</v>
      </c>
      <c r="S131">
        <v>1.2070745961817368</v>
      </c>
      <c r="T131">
        <v>0.20707459618173685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1</v>
      </c>
      <c r="BJ131">
        <v>1</v>
      </c>
      <c r="BK131">
        <v>0</v>
      </c>
      <c r="BL131">
        <v>0</v>
      </c>
      <c r="BM131">
        <v>0.82844921363040624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0.17155078636959376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0.82844921363040624</v>
      </c>
      <c r="CG131">
        <v>0</v>
      </c>
    </row>
    <row r="132" spans="1:85" x14ac:dyDescent="0.25">
      <c r="A132" t="s">
        <v>128</v>
      </c>
      <c r="B132" t="s">
        <v>145</v>
      </c>
      <c r="C132" t="s">
        <v>72</v>
      </c>
      <c r="D132" s="12">
        <v>46241</v>
      </c>
      <c r="E132" t="s">
        <v>135</v>
      </c>
      <c r="F132" t="s">
        <v>135</v>
      </c>
      <c r="G132" t="s">
        <v>135</v>
      </c>
      <c r="H132" t="s">
        <v>75</v>
      </c>
      <c r="I132">
        <v>10</v>
      </c>
      <c r="K132">
        <v>2.2474193200215873</v>
      </c>
      <c r="L132">
        <v>46241</v>
      </c>
      <c r="M132" t="s">
        <v>210</v>
      </c>
      <c r="N132">
        <v>0</v>
      </c>
      <c r="O132">
        <v>0</v>
      </c>
      <c r="P132">
        <v>2.1038062283737027</v>
      </c>
      <c r="Q132">
        <v>0</v>
      </c>
      <c r="R132">
        <v>0</v>
      </c>
      <c r="S132">
        <v>0.93609866642665285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0.93609866642665285</v>
      </c>
      <c r="AD132">
        <v>6.3901333573347152E-2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1</v>
      </c>
      <c r="BK132">
        <v>0</v>
      </c>
      <c r="BL132">
        <v>0</v>
      </c>
      <c r="BM132">
        <v>1.0682634596813136</v>
      </c>
      <c r="BN132">
        <v>6.8263459681313643E-2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1</v>
      </c>
      <c r="CG132">
        <v>1</v>
      </c>
    </row>
    <row r="133" spans="1:85" x14ac:dyDescent="0.25">
      <c r="A133" t="s">
        <v>128</v>
      </c>
      <c r="B133" t="s">
        <v>145</v>
      </c>
      <c r="C133" t="s">
        <v>109</v>
      </c>
      <c r="D133" s="12">
        <v>46228</v>
      </c>
      <c r="E133" t="s">
        <v>134</v>
      </c>
      <c r="F133" t="s">
        <v>134</v>
      </c>
      <c r="G133" t="s">
        <v>134</v>
      </c>
      <c r="K133">
        <v>26.220922841721425</v>
      </c>
      <c r="N133">
        <v>30.4</v>
      </c>
      <c r="O133">
        <v>30.4</v>
      </c>
      <c r="P133">
        <v>27.25</v>
      </c>
      <c r="T133">
        <v>1.2835129859959337E-2</v>
      </c>
      <c r="U133">
        <v>0</v>
      </c>
      <c r="V133">
        <v>5.3938669148485434E-2</v>
      </c>
      <c r="W133">
        <v>0</v>
      </c>
      <c r="X133">
        <v>0</v>
      </c>
      <c r="Y133">
        <v>0</v>
      </c>
      <c r="Z133">
        <v>2.641128280409679E-2</v>
      </c>
      <c r="AA133">
        <v>0</v>
      </c>
      <c r="AB133">
        <v>9.8947770188925033E-2</v>
      </c>
      <c r="AC133">
        <v>1.9918237921789705E-2</v>
      </c>
      <c r="AD133">
        <v>0</v>
      </c>
      <c r="AE133">
        <v>0</v>
      </c>
      <c r="AF133">
        <v>0</v>
      </c>
      <c r="AG133">
        <v>0</v>
      </c>
      <c r="AH133">
        <v>0.98008176207821029</v>
      </c>
      <c r="AI133">
        <v>0</v>
      </c>
      <c r="AJ133">
        <v>0</v>
      </c>
      <c r="AK133">
        <v>0</v>
      </c>
      <c r="AL133">
        <v>0</v>
      </c>
      <c r="AM133">
        <v>0</v>
      </c>
    </row>
    <row r="134" spans="1:85" x14ac:dyDescent="0.25">
      <c r="A134" t="s">
        <v>128</v>
      </c>
      <c r="B134" t="s">
        <v>145</v>
      </c>
      <c r="C134" t="s">
        <v>72</v>
      </c>
      <c r="D134" s="12">
        <v>46241</v>
      </c>
      <c r="E134" t="s">
        <v>135</v>
      </c>
      <c r="F134" t="s">
        <v>135</v>
      </c>
      <c r="G134" t="s">
        <v>135</v>
      </c>
      <c r="H134" t="s">
        <v>74</v>
      </c>
      <c r="I134">
        <v>10</v>
      </c>
      <c r="K134">
        <v>1.2735376146788993</v>
      </c>
      <c r="L134">
        <v>46241</v>
      </c>
      <c r="M134" t="s">
        <v>211</v>
      </c>
      <c r="N134">
        <v>0</v>
      </c>
      <c r="O134">
        <v>0</v>
      </c>
      <c r="P134">
        <v>0.94117647058823517</v>
      </c>
      <c r="Q134">
        <v>0</v>
      </c>
      <c r="R134">
        <v>0</v>
      </c>
      <c r="S134">
        <v>0.73902526296840998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0.73902526296840998</v>
      </c>
      <c r="AD134">
        <v>0.26097473703159002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K134">
        <v>0</v>
      </c>
      <c r="BL134">
        <v>0</v>
      </c>
      <c r="BM134">
        <v>1.3531337155963306</v>
      </c>
      <c r="BN134">
        <v>0.35313371559633056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</row>
    <row r="135" spans="1:85" x14ac:dyDescent="0.25">
      <c r="A135" t="s">
        <v>128</v>
      </c>
      <c r="B135" t="s">
        <v>145</v>
      </c>
      <c r="C135" t="s">
        <v>72</v>
      </c>
      <c r="D135" s="12">
        <v>46241</v>
      </c>
      <c r="E135" t="s">
        <v>135</v>
      </c>
      <c r="F135" t="s">
        <v>135</v>
      </c>
      <c r="G135" t="s">
        <v>135</v>
      </c>
      <c r="H135" t="s">
        <v>73</v>
      </c>
      <c r="I135">
        <v>10</v>
      </c>
      <c r="K135">
        <v>4.7757660550458718</v>
      </c>
      <c r="L135">
        <v>46241</v>
      </c>
      <c r="M135" t="s">
        <v>212</v>
      </c>
      <c r="N135">
        <v>0</v>
      </c>
      <c r="O135">
        <v>0</v>
      </c>
      <c r="P135">
        <v>2.8823529411764706</v>
      </c>
      <c r="Q135">
        <v>0</v>
      </c>
      <c r="R135">
        <v>0</v>
      </c>
      <c r="S135">
        <v>0.60353729809086831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0.60353729809086831</v>
      </c>
      <c r="AD135">
        <v>0.39646270190913169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1</v>
      </c>
      <c r="BK135">
        <v>0</v>
      </c>
      <c r="BL135">
        <v>0</v>
      </c>
      <c r="BM135">
        <v>1.6568984272608127</v>
      </c>
      <c r="BN135">
        <v>0.65689842726081271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1</v>
      </c>
      <c r="CG135">
        <v>1</v>
      </c>
    </row>
    <row r="136" spans="1:85" x14ac:dyDescent="0.25">
      <c r="A136" t="s">
        <v>128</v>
      </c>
      <c r="B136" t="s">
        <v>145</v>
      </c>
      <c r="C136" t="s">
        <v>72</v>
      </c>
      <c r="D136" s="12">
        <v>46240</v>
      </c>
      <c r="E136" t="s">
        <v>135</v>
      </c>
      <c r="F136" t="s">
        <v>135</v>
      </c>
      <c r="G136" t="s">
        <v>135</v>
      </c>
      <c r="H136" t="s">
        <v>75</v>
      </c>
      <c r="I136">
        <v>10</v>
      </c>
      <c r="K136">
        <v>3.5115926875337284</v>
      </c>
      <c r="L136">
        <v>46240</v>
      </c>
      <c r="M136" t="s">
        <v>213</v>
      </c>
      <c r="N136">
        <v>0</v>
      </c>
      <c r="O136">
        <v>0</v>
      </c>
      <c r="P136">
        <v>3.1065379712256411</v>
      </c>
      <c r="Q136">
        <v>0</v>
      </c>
      <c r="R136">
        <v>0</v>
      </c>
      <c r="S136">
        <v>0.88465213583965896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0.88465213583965896</v>
      </c>
      <c r="AD136">
        <v>0.11534786416034104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1</v>
      </c>
      <c r="BK136">
        <v>0</v>
      </c>
      <c r="BL136">
        <v>0</v>
      </c>
      <c r="BM136">
        <v>1.1303878208024216</v>
      </c>
      <c r="BN136">
        <v>0.13038782080242162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1</v>
      </c>
      <c r="CG136">
        <v>1</v>
      </c>
    </row>
    <row r="137" spans="1:85" x14ac:dyDescent="0.25">
      <c r="A137" t="s">
        <v>128</v>
      </c>
      <c r="B137" t="s">
        <v>145</v>
      </c>
      <c r="C137" t="s">
        <v>109</v>
      </c>
      <c r="D137" s="12">
        <v>46228</v>
      </c>
      <c r="E137" t="s">
        <v>136</v>
      </c>
      <c r="F137" t="s">
        <v>136</v>
      </c>
      <c r="G137" t="s">
        <v>136</v>
      </c>
      <c r="K137">
        <v>6.7786480661254078</v>
      </c>
      <c r="N137">
        <v>0</v>
      </c>
      <c r="O137">
        <v>0</v>
      </c>
      <c r="P137">
        <v>8.4011678200692028</v>
      </c>
      <c r="T137">
        <v>0.23935742615875436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M137">
        <v>0</v>
      </c>
    </row>
    <row r="138" spans="1:85" x14ac:dyDescent="0.25">
      <c r="A138" t="s">
        <v>128</v>
      </c>
      <c r="B138" t="s">
        <v>145</v>
      </c>
      <c r="C138" t="s">
        <v>72</v>
      </c>
      <c r="D138" s="12">
        <v>46240</v>
      </c>
      <c r="E138" t="s">
        <v>135</v>
      </c>
      <c r="F138" t="s">
        <v>135</v>
      </c>
      <c r="G138" t="s">
        <v>135</v>
      </c>
      <c r="H138" t="s">
        <v>74</v>
      </c>
      <c r="I138">
        <v>10</v>
      </c>
      <c r="K138">
        <v>1.2735376146788993</v>
      </c>
      <c r="L138">
        <v>46240</v>
      </c>
      <c r="M138" t="s">
        <v>195</v>
      </c>
      <c r="N138">
        <v>0</v>
      </c>
      <c r="O138">
        <v>0</v>
      </c>
      <c r="P138">
        <v>0.94117647058823517</v>
      </c>
      <c r="Q138">
        <v>0</v>
      </c>
      <c r="R138">
        <v>0</v>
      </c>
      <c r="S138">
        <v>0.73902526296840998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0.73902526296840998</v>
      </c>
      <c r="AD138">
        <v>0.26097473703159002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K138">
        <v>0</v>
      </c>
      <c r="BL138">
        <v>0</v>
      </c>
      <c r="BM138">
        <v>1.3531337155963306</v>
      </c>
      <c r="BN138">
        <v>0.35313371559633056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</row>
    <row r="139" spans="1:85" x14ac:dyDescent="0.25">
      <c r="A139" t="s">
        <v>128</v>
      </c>
      <c r="B139" t="s">
        <v>145</v>
      </c>
      <c r="C139" t="s">
        <v>72</v>
      </c>
      <c r="D139" s="12">
        <v>46240</v>
      </c>
      <c r="E139" t="s">
        <v>135</v>
      </c>
      <c r="F139" t="s">
        <v>135</v>
      </c>
      <c r="G139" t="s">
        <v>135</v>
      </c>
      <c r="H139" t="s">
        <v>73</v>
      </c>
      <c r="I139">
        <v>10</v>
      </c>
      <c r="K139">
        <v>5.9697075688073395</v>
      </c>
      <c r="L139">
        <v>46240</v>
      </c>
      <c r="M139" t="s">
        <v>194</v>
      </c>
      <c r="N139">
        <v>0</v>
      </c>
      <c r="O139">
        <v>0</v>
      </c>
      <c r="P139">
        <v>3.9419504643962866</v>
      </c>
      <c r="Q139">
        <v>0</v>
      </c>
      <c r="R139">
        <v>0</v>
      </c>
      <c r="S139">
        <v>0.66032555514002012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0.66032555514002012</v>
      </c>
      <c r="AD139">
        <v>0.33967444485997988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1</v>
      </c>
      <c r="BK139">
        <v>0</v>
      </c>
      <c r="BL139">
        <v>0</v>
      </c>
      <c r="BM139">
        <v>1.5144045118592342</v>
      </c>
      <c r="BN139">
        <v>0.51440451185923419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1</v>
      </c>
      <c r="CG139">
        <v>1</v>
      </c>
    </row>
    <row r="140" spans="1:85" x14ac:dyDescent="0.25">
      <c r="A140" t="s">
        <v>128</v>
      </c>
      <c r="B140" t="s">
        <v>145</v>
      </c>
      <c r="C140" t="s">
        <v>109</v>
      </c>
      <c r="D140" s="12">
        <v>46228</v>
      </c>
      <c r="E140" t="s">
        <v>135</v>
      </c>
      <c r="F140" t="s">
        <v>135</v>
      </c>
      <c r="G140" t="s">
        <v>135</v>
      </c>
      <c r="K140">
        <v>7.0325496222342148</v>
      </c>
      <c r="N140">
        <v>5.6999999999999993</v>
      </c>
      <c r="O140">
        <v>5.6999999999999993</v>
      </c>
      <c r="P140">
        <v>7.8650519031141854</v>
      </c>
      <c r="T140">
        <v>0.13843192925177222</v>
      </c>
      <c r="U140">
        <v>0</v>
      </c>
      <c r="V140">
        <v>0</v>
      </c>
      <c r="W140">
        <v>0</v>
      </c>
      <c r="X140">
        <v>0</v>
      </c>
      <c r="Y140">
        <v>1.9175660556637164E-2</v>
      </c>
      <c r="Z140">
        <v>6.5711157019927413E-2</v>
      </c>
      <c r="AA140">
        <v>0</v>
      </c>
      <c r="AB140">
        <v>0</v>
      </c>
      <c r="AC140">
        <v>0.16942965998879633</v>
      </c>
      <c r="AD140">
        <v>8.5764642378759567E-2</v>
      </c>
      <c r="AE140">
        <v>0</v>
      </c>
      <c r="AF140">
        <v>0</v>
      </c>
      <c r="AG140">
        <v>0</v>
      </c>
      <c r="AH140">
        <v>0.40525842732618578</v>
      </c>
      <c r="AI140">
        <v>0</v>
      </c>
      <c r="AJ140">
        <v>0</v>
      </c>
      <c r="AK140">
        <v>0</v>
      </c>
      <c r="AL140">
        <v>0</v>
      </c>
      <c r="AM140">
        <v>0.33954727030625836</v>
      </c>
    </row>
    <row r="141" spans="1:85" x14ac:dyDescent="0.25">
      <c r="A141" t="s">
        <v>128</v>
      </c>
      <c r="B141" t="s">
        <v>145</v>
      </c>
      <c r="C141" t="s">
        <v>72</v>
      </c>
      <c r="D141" s="12">
        <v>46239</v>
      </c>
      <c r="E141" t="s">
        <v>135</v>
      </c>
      <c r="F141" t="s">
        <v>135</v>
      </c>
      <c r="G141" t="s">
        <v>135</v>
      </c>
      <c r="H141" t="s">
        <v>75</v>
      </c>
      <c r="I141">
        <v>10</v>
      </c>
      <c r="K141">
        <v>3.9329838100377774</v>
      </c>
      <c r="L141">
        <v>46239</v>
      </c>
      <c r="M141" t="s">
        <v>178</v>
      </c>
      <c r="N141">
        <v>0</v>
      </c>
      <c r="O141">
        <v>0</v>
      </c>
      <c r="P141">
        <v>3.8460207612456743</v>
      </c>
      <c r="Q141">
        <v>0</v>
      </c>
      <c r="R141">
        <v>0</v>
      </c>
      <c r="S141">
        <v>0.97788878546355673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0.97788878546355673</v>
      </c>
      <c r="AD141">
        <v>2.2111214536443269E-2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</v>
      </c>
      <c r="BK141">
        <v>0</v>
      </c>
      <c r="BL141">
        <v>0</v>
      </c>
      <c r="BM141">
        <v>1.0226111750795481</v>
      </c>
      <c r="BN141">
        <v>2.2611175079548129E-2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1</v>
      </c>
      <c r="CG141">
        <v>1</v>
      </c>
    </row>
    <row r="142" spans="1:85" x14ac:dyDescent="0.25">
      <c r="A142" t="s">
        <v>128</v>
      </c>
      <c r="B142" t="s">
        <v>145</v>
      </c>
      <c r="C142" t="s">
        <v>109</v>
      </c>
      <c r="D142" s="12">
        <v>46229</v>
      </c>
      <c r="E142" t="s">
        <v>134</v>
      </c>
      <c r="F142" t="s">
        <v>134</v>
      </c>
      <c r="G142" t="s">
        <v>134</v>
      </c>
      <c r="K142">
        <v>27.008675888468424</v>
      </c>
      <c r="N142">
        <v>26.6</v>
      </c>
      <c r="O142">
        <v>26.6</v>
      </c>
      <c r="P142">
        <v>27.682291666666664</v>
      </c>
      <c r="T142">
        <v>7.6353756334823835E-3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1.7305342711242126E-2</v>
      </c>
      <c r="AA142">
        <v>0</v>
      </c>
      <c r="AB142">
        <v>2.3140712361498926E-3</v>
      </c>
      <c r="AC142">
        <v>3.4750695841996623E-2</v>
      </c>
      <c r="AD142">
        <v>0</v>
      </c>
      <c r="AE142">
        <v>0</v>
      </c>
      <c r="AF142">
        <v>0</v>
      </c>
      <c r="AG142">
        <v>0</v>
      </c>
      <c r="AH142">
        <v>0.96524930415800336</v>
      </c>
      <c r="AI142">
        <v>0</v>
      </c>
      <c r="AJ142">
        <v>0</v>
      </c>
      <c r="AK142">
        <v>0</v>
      </c>
      <c r="AL142">
        <v>0</v>
      </c>
      <c r="AM142">
        <v>0</v>
      </c>
    </row>
    <row r="143" spans="1:85" x14ac:dyDescent="0.25">
      <c r="A143" t="s">
        <v>128</v>
      </c>
      <c r="B143" t="s">
        <v>145</v>
      </c>
      <c r="C143" t="s">
        <v>72</v>
      </c>
      <c r="D143" s="12">
        <v>46239</v>
      </c>
      <c r="E143" t="s">
        <v>135</v>
      </c>
      <c r="F143" t="s">
        <v>135</v>
      </c>
      <c r="G143" t="s">
        <v>135</v>
      </c>
      <c r="H143" t="s">
        <v>74</v>
      </c>
      <c r="I143">
        <v>10</v>
      </c>
      <c r="K143">
        <v>1.2735376146788993</v>
      </c>
      <c r="L143">
        <v>46239</v>
      </c>
      <c r="M143" t="s">
        <v>179</v>
      </c>
      <c r="N143">
        <v>0</v>
      </c>
      <c r="O143">
        <v>0</v>
      </c>
      <c r="P143">
        <v>0.94117647058823517</v>
      </c>
      <c r="Q143">
        <v>0</v>
      </c>
      <c r="R143">
        <v>0</v>
      </c>
      <c r="S143">
        <v>0.73902526296840998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0.73902526296840998</v>
      </c>
      <c r="AD143">
        <v>0.26097473703159002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K143">
        <v>0</v>
      </c>
      <c r="BL143">
        <v>0</v>
      </c>
      <c r="BM143">
        <v>1.3531337155963306</v>
      </c>
      <c r="BN143">
        <v>0.35313371559633056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</row>
    <row r="144" spans="1:85" x14ac:dyDescent="0.25">
      <c r="A144" t="s">
        <v>128</v>
      </c>
      <c r="B144" t="s">
        <v>145</v>
      </c>
      <c r="C144" t="s">
        <v>72</v>
      </c>
      <c r="D144" s="12">
        <v>46239</v>
      </c>
      <c r="E144" t="s">
        <v>135</v>
      </c>
      <c r="F144" t="s">
        <v>135</v>
      </c>
      <c r="G144" t="s">
        <v>135</v>
      </c>
      <c r="H144" t="s">
        <v>73</v>
      </c>
      <c r="I144">
        <v>10</v>
      </c>
      <c r="K144">
        <v>4.6265233658256895</v>
      </c>
      <c r="L144">
        <v>46239</v>
      </c>
      <c r="M144" t="s">
        <v>180</v>
      </c>
      <c r="N144">
        <v>0</v>
      </c>
      <c r="O144">
        <v>0</v>
      </c>
      <c r="P144">
        <v>2.40625</v>
      </c>
      <c r="Q144">
        <v>0</v>
      </c>
      <c r="R144">
        <v>0</v>
      </c>
      <c r="S144">
        <v>0.52009896194927352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0.52009896194927352</v>
      </c>
      <c r="AD144">
        <v>0.47990103805072648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1</v>
      </c>
      <c r="BK144">
        <v>0</v>
      </c>
      <c r="BL144">
        <v>0</v>
      </c>
      <c r="BM144">
        <v>1.9227110091743125</v>
      </c>
      <c r="BN144">
        <v>0.92271100917431248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1</v>
      </c>
      <c r="CG144">
        <v>1</v>
      </c>
    </row>
    <row r="145" spans="1:85" x14ac:dyDescent="0.25">
      <c r="A145" t="s">
        <v>128</v>
      </c>
      <c r="B145" t="s">
        <v>145</v>
      </c>
      <c r="C145" t="s">
        <v>109</v>
      </c>
      <c r="D145" s="12">
        <v>46229</v>
      </c>
      <c r="E145" t="s">
        <v>136</v>
      </c>
      <c r="F145" t="s">
        <v>136</v>
      </c>
      <c r="G145" t="s">
        <v>136</v>
      </c>
      <c r="K145">
        <v>6.7786480661254069</v>
      </c>
      <c r="N145">
        <v>0.95</v>
      </c>
      <c r="O145">
        <v>0.95</v>
      </c>
      <c r="P145">
        <v>9.3977076124567454</v>
      </c>
      <c r="T145">
        <v>0.38636901057298317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0.39110406076067189</v>
      </c>
      <c r="AD145">
        <v>0</v>
      </c>
      <c r="AE145">
        <v>0</v>
      </c>
      <c r="AF145">
        <v>0</v>
      </c>
      <c r="AG145">
        <v>0</v>
      </c>
      <c r="AH145">
        <v>0.14014593923932805</v>
      </c>
      <c r="AI145">
        <v>0</v>
      </c>
      <c r="AJ145">
        <v>0</v>
      </c>
      <c r="AK145">
        <v>0</v>
      </c>
      <c r="AM145">
        <v>0</v>
      </c>
    </row>
    <row r="146" spans="1:85" x14ac:dyDescent="0.25">
      <c r="A146" t="s">
        <v>128</v>
      </c>
      <c r="B146" t="s">
        <v>145</v>
      </c>
      <c r="C146" t="s">
        <v>72</v>
      </c>
      <c r="D146" s="12">
        <v>46244</v>
      </c>
      <c r="E146" t="s">
        <v>135</v>
      </c>
      <c r="F146" t="s">
        <v>135</v>
      </c>
      <c r="G146" t="s">
        <v>135</v>
      </c>
      <c r="H146" t="s">
        <v>74</v>
      </c>
      <c r="I146">
        <v>10</v>
      </c>
      <c r="K146">
        <v>1.2735376146788993</v>
      </c>
      <c r="L146">
        <v>46244</v>
      </c>
      <c r="M146" t="s">
        <v>202</v>
      </c>
      <c r="N146">
        <v>0</v>
      </c>
      <c r="O146">
        <v>0</v>
      </c>
      <c r="P146">
        <v>0.94117647058823517</v>
      </c>
      <c r="Q146">
        <v>0</v>
      </c>
      <c r="R146">
        <v>0</v>
      </c>
      <c r="S146">
        <v>0.73902526296840998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0.73902526296840998</v>
      </c>
      <c r="AD146">
        <v>0.26097473703159002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K146">
        <v>0</v>
      </c>
      <c r="BL146">
        <v>0</v>
      </c>
      <c r="BM146">
        <v>1.3531337155963306</v>
      </c>
      <c r="BN146">
        <v>0.35313371559633056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</row>
    <row r="147" spans="1:85" x14ac:dyDescent="0.25">
      <c r="A147" t="s">
        <v>128</v>
      </c>
      <c r="B147" t="s">
        <v>145</v>
      </c>
      <c r="C147" t="s">
        <v>72</v>
      </c>
      <c r="D147" s="12">
        <v>46238</v>
      </c>
      <c r="E147" t="s">
        <v>135</v>
      </c>
      <c r="F147" t="s">
        <v>135</v>
      </c>
      <c r="G147" t="s">
        <v>135</v>
      </c>
      <c r="H147" t="s">
        <v>75</v>
      </c>
      <c r="I147">
        <v>10</v>
      </c>
      <c r="K147">
        <v>3.3711289800323798</v>
      </c>
      <c r="L147">
        <v>46238</v>
      </c>
      <c r="M147" t="s">
        <v>181</v>
      </c>
      <c r="N147">
        <v>0</v>
      </c>
      <c r="O147">
        <v>0</v>
      </c>
      <c r="P147">
        <v>3.4861591695501724</v>
      </c>
      <c r="Q147">
        <v>0</v>
      </c>
      <c r="R147">
        <v>0</v>
      </c>
      <c r="S147">
        <v>1.0341221561676017</v>
      </c>
      <c r="T147">
        <v>3.4122156167601725E-2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1</v>
      </c>
      <c r="AM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</v>
      </c>
      <c r="BJ147">
        <v>1</v>
      </c>
      <c r="BK147">
        <v>0</v>
      </c>
      <c r="BL147">
        <v>0</v>
      </c>
      <c r="BM147">
        <v>0.96700374712591364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3.2996252874086363E-2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0.96700374712591364</v>
      </c>
      <c r="CG147">
        <v>0</v>
      </c>
    </row>
    <row r="148" spans="1:85" x14ac:dyDescent="0.25">
      <c r="A148" t="s">
        <v>128</v>
      </c>
      <c r="B148" t="s">
        <v>145</v>
      </c>
      <c r="C148" t="s">
        <v>72</v>
      </c>
      <c r="D148" s="12">
        <v>46244</v>
      </c>
      <c r="E148" t="s">
        <v>135</v>
      </c>
      <c r="F148" t="s">
        <v>135</v>
      </c>
      <c r="G148" t="s">
        <v>135</v>
      </c>
      <c r="H148" t="s">
        <v>75</v>
      </c>
      <c r="I148">
        <v>10</v>
      </c>
      <c r="K148">
        <v>3.3711289800323798</v>
      </c>
      <c r="L148">
        <v>46244</v>
      </c>
      <c r="M148" t="s">
        <v>201</v>
      </c>
      <c r="N148">
        <v>0</v>
      </c>
      <c r="O148">
        <v>0</v>
      </c>
      <c r="P148">
        <v>3.2102076124567458</v>
      </c>
      <c r="Q148">
        <v>0</v>
      </c>
      <c r="R148">
        <v>0</v>
      </c>
      <c r="S148">
        <v>0.95226484405408651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0.95226484405408651</v>
      </c>
      <c r="AD148">
        <v>4.7735155945913488E-2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1</v>
      </c>
      <c r="BK148">
        <v>0</v>
      </c>
      <c r="BL148">
        <v>0</v>
      </c>
      <c r="BM148">
        <v>1.0501280250383813</v>
      </c>
      <c r="BN148">
        <v>5.0128025038381319E-2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1</v>
      </c>
      <c r="CG148">
        <v>1</v>
      </c>
    </row>
    <row r="149" spans="1:85" x14ac:dyDescent="0.25">
      <c r="A149" t="s">
        <v>128</v>
      </c>
      <c r="B149" t="s">
        <v>145</v>
      </c>
      <c r="C149" t="s">
        <v>72</v>
      </c>
      <c r="D149" s="12">
        <v>46245</v>
      </c>
      <c r="E149" t="s">
        <v>135</v>
      </c>
      <c r="F149" t="s">
        <v>135</v>
      </c>
      <c r="G149" t="s">
        <v>135</v>
      </c>
      <c r="H149" t="s">
        <v>73</v>
      </c>
      <c r="I149">
        <v>10</v>
      </c>
      <c r="K149">
        <v>7.014406393348624</v>
      </c>
      <c r="L149">
        <v>46245</v>
      </c>
      <c r="M149" t="s">
        <v>200</v>
      </c>
      <c r="N149">
        <v>0</v>
      </c>
      <c r="O149">
        <v>0</v>
      </c>
      <c r="P149">
        <v>5.2297794117647056</v>
      </c>
      <c r="Q149">
        <v>0</v>
      </c>
      <c r="R149">
        <v>0</v>
      </c>
      <c r="S149">
        <v>0.74557690537061239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0.74557690537061239</v>
      </c>
      <c r="AD149">
        <v>0.25442309462938761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1</v>
      </c>
      <c r="BK149">
        <v>0</v>
      </c>
      <c r="BL149">
        <v>0</v>
      </c>
      <c r="BM149">
        <v>1.3412432611534804</v>
      </c>
      <c r="BN149">
        <v>0.34124326115348036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1</v>
      </c>
      <c r="CG149">
        <v>1</v>
      </c>
    </row>
    <row r="150" spans="1:85" x14ac:dyDescent="0.25">
      <c r="A150" t="s">
        <v>128</v>
      </c>
      <c r="B150" t="s">
        <v>145</v>
      </c>
      <c r="C150" t="s">
        <v>72</v>
      </c>
      <c r="D150" s="12">
        <v>46250</v>
      </c>
      <c r="E150" t="s">
        <v>135</v>
      </c>
      <c r="F150" t="s">
        <v>135</v>
      </c>
      <c r="G150" t="s">
        <v>135</v>
      </c>
      <c r="H150" t="s">
        <v>75</v>
      </c>
      <c r="I150">
        <v>10</v>
      </c>
      <c r="K150">
        <v>2.2474193200215873</v>
      </c>
      <c r="L150">
        <v>46250</v>
      </c>
      <c r="M150" t="s">
        <v>174</v>
      </c>
      <c r="N150">
        <v>0</v>
      </c>
      <c r="O150">
        <v>0</v>
      </c>
      <c r="P150">
        <v>2.0484429065743952</v>
      </c>
      <c r="Q150">
        <v>0</v>
      </c>
      <c r="R150">
        <v>0</v>
      </c>
      <c r="S150">
        <v>0.91146449099437266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0.91146449099437266</v>
      </c>
      <c r="AD150">
        <v>8.8535509005627344E-2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1</v>
      </c>
      <c r="BK150">
        <v>0</v>
      </c>
      <c r="BL150">
        <v>0</v>
      </c>
      <c r="BM150">
        <v>1.0971354450781055</v>
      </c>
      <c r="BN150">
        <v>9.7135445078105453E-2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1</v>
      </c>
      <c r="CG150">
        <v>1</v>
      </c>
    </row>
    <row r="151" spans="1:85" x14ac:dyDescent="0.25">
      <c r="A151" t="s">
        <v>128</v>
      </c>
      <c r="B151" t="s">
        <v>145</v>
      </c>
      <c r="C151" t="s">
        <v>72</v>
      </c>
      <c r="D151" s="12">
        <v>46250</v>
      </c>
      <c r="E151" t="s">
        <v>135</v>
      </c>
      <c r="F151" t="s">
        <v>135</v>
      </c>
      <c r="G151" t="s">
        <v>135</v>
      </c>
      <c r="H151" t="s">
        <v>74</v>
      </c>
      <c r="I151">
        <v>10</v>
      </c>
      <c r="K151">
        <v>1.2735376146788993</v>
      </c>
      <c r="L151">
        <v>46250</v>
      </c>
      <c r="M151" t="s">
        <v>173</v>
      </c>
      <c r="N151">
        <v>0</v>
      </c>
      <c r="O151">
        <v>0</v>
      </c>
      <c r="P151">
        <v>0.94117647058823517</v>
      </c>
      <c r="Q151">
        <v>0</v>
      </c>
      <c r="R151">
        <v>0</v>
      </c>
      <c r="S151">
        <v>0.73902526296840998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0.73902526296840998</v>
      </c>
      <c r="AD151">
        <v>0.26097473703159002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K151">
        <v>0</v>
      </c>
      <c r="BL151">
        <v>0</v>
      </c>
      <c r="BM151">
        <v>1.3531337155963306</v>
      </c>
      <c r="BN151">
        <v>0.35313371559633056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</row>
    <row r="152" spans="1:85" x14ac:dyDescent="0.25">
      <c r="A152" t="s">
        <v>128</v>
      </c>
      <c r="B152" t="s">
        <v>145</v>
      </c>
      <c r="C152" t="s">
        <v>72</v>
      </c>
      <c r="D152" s="12">
        <v>46250</v>
      </c>
      <c r="E152" t="s">
        <v>135</v>
      </c>
      <c r="F152" t="s">
        <v>135</v>
      </c>
      <c r="G152" t="s">
        <v>135</v>
      </c>
      <c r="H152" t="s">
        <v>73</v>
      </c>
      <c r="I152">
        <v>10</v>
      </c>
      <c r="K152">
        <v>3.5818245412844032</v>
      </c>
      <c r="L152">
        <v>46250</v>
      </c>
      <c r="M152" t="s">
        <v>171</v>
      </c>
      <c r="N152">
        <v>0</v>
      </c>
      <c r="O152">
        <v>0</v>
      </c>
      <c r="P152">
        <v>2.9411764705882346</v>
      </c>
      <c r="Q152">
        <v>0</v>
      </c>
      <c r="R152">
        <v>0</v>
      </c>
      <c r="S152">
        <v>0.82113918107601125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0.82113918107601125</v>
      </c>
      <c r="AD152">
        <v>0.17886081892398875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1</v>
      </c>
      <c r="BK152">
        <v>0</v>
      </c>
      <c r="BL152">
        <v>0</v>
      </c>
      <c r="BM152">
        <v>1.2178203440366975</v>
      </c>
      <c r="BN152">
        <v>0.21782034403669748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1</v>
      </c>
      <c r="CG152">
        <v>1</v>
      </c>
    </row>
    <row r="153" spans="1:85" x14ac:dyDescent="0.25">
      <c r="A153" t="s">
        <v>128</v>
      </c>
      <c r="B153" t="s">
        <v>145</v>
      </c>
      <c r="C153" t="s">
        <v>109</v>
      </c>
      <c r="D153" s="12">
        <v>46223</v>
      </c>
      <c r="E153" t="s">
        <v>135</v>
      </c>
      <c r="F153" t="s">
        <v>135</v>
      </c>
      <c r="G153" t="s">
        <v>135</v>
      </c>
      <c r="K153">
        <v>10.465131474298435</v>
      </c>
      <c r="N153">
        <v>8.5499999999999989</v>
      </c>
      <c r="O153">
        <v>8.5499999999999989</v>
      </c>
      <c r="P153">
        <v>9.5982915224913476</v>
      </c>
      <c r="T153">
        <v>0.10092626764412763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0.13973120683786208</v>
      </c>
      <c r="AD153">
        <v>4.3269979435033988E-2</v>
      </c>
      <c r="AE153">
        <v>0</v>
      </c>
      <c r="AF153">
        <v>0.14048754111174269</v>
      </c>
      <c r="AG153">
        <v>0</v>
      </c>
      <c r="AH153">
        <v>0.67651127261536115</v>
      </c>
      <c r="AI153">
        <v>0</v>
      </c>
      <c r="AJ153">
        <v>0</v>
      </c>
      <c r="AK153">
        <v>0</v>
      </c>
      <c r="AL153">
        <v>0</v>
      </c>
      <c r="AM153">
        <v>0</v>
      </c>
    </row>
    <row r="154" spans="1:85" x14ac:dyDescent="0.25">
      <c r="A154" t="s">
        <v>128</v>
      </c>
      <c r="B154" t="s">
        <v>145</v>
      </c>
      <c r="C154" t="s">
        <v>72</v>
      </c>
      <c r="D154" s="12">
        <v>46249</v>
      </c>
      <c r="E154" t="s">
        <v>135</v>
      </c>
      <c r="F154" t="s">
        <v>135</v>
      </c>
      <c r="G154" t="s">
        <v>135</v>
      </c>
      <c r="H154" t="s">
        <v>75</v>
      </c>
      <c r="I154">
        <v>10</v>
      </c>
      <c r="K154">
        <v>2.2474193200215873</v>
      </c>
      <c r="L154">
        <v>46249</v>
      </c>
      <c r="M154" t="s">
        <v>170</v>
      </c>
      <c r="N154">
        <v>0</v>
      </c>
      <c r="O154">
        <v>0</v>
      </c>
      <c r="P154">
        <v>2.1591695501730106</v>
      </c>
      <c r="Q154">
        <v>0</v>
      </c>
      <c r="R154">
        <v>0</v>
      </c>
      <c r="S154">
        <v>0.96073284185893315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0.96073284185893315</v>
      </c>
      <c r="AD154">
        <v>3.9267158141066849E-2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</v>
      </c>
      <c r="BK154">
        <v>0</v>
      </c>
      <c r="BL154">
        <v>0</v>
      </c>
      <c r="BM154">
        <v>1.0408720889202543</v>
      </c>
      <c r="BN154">
        <v>4.087208892025429E-2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1</v>
      </c>
    </row>
    <row r="155" spans="1:85" x14ac:dyDescent="0.25">
      <c r="A155" t="s">
        <v>128</v>
      </c>
      <c r="B155" t="s">
        <v>145</v>
      </c>
      <c r="C155" t="s">
        <v>72</v>
      </c>
      <c r="D155" s="12">
        <v>46249</v>
      </c>
      <c r="E155" t="s">
        <v>135</v>
      </c>
      <c r="F155" t="s">
        <v>135</v>
      </c>
      <c r="G155" t="s">
        <v>135</v>
      </c>
      <c r="H155" t="s">
        <v>74</v>
      </c>
      <c r="I155">
        <v>10</v>
      </c>
      <c r="K155">
        <v>1.2735376146788993</v>
      </c>
      <c r="L155">
        <v>46249</v>
      </c>
      <c r="M155" t="s">
        <v>167</v>
      </c>
      <c r="N155">
        <v>0</v>
      </c>
      <c r="O155">
        <v>0</v>
      </c>
      <c r="P155">
        <v>0.94117647058823517</v>
      </c>
      <c r="Q155">
        <v>0</v>
      </c>
      <c r="R155">
        <v>0</v>
      </c>
      <c r="S155">
        <v>0.73902526296840998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0.73902526296840998</v>
      </c>
      <c r="AD155">
        <v>0.26097473703159002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K155">
        <v>0</v>
      </c>
      <c r="BL155">
        <v>0</v>
      </c>
      <c r="BM155">
        <v>1.3531337155963306</v>
      </c>
      <c r="BN155">
        <v>0.35313371559633056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</row>
    <row r="156" spans="1:85" x14ac:dyDescent="0.25">
      <c r="A156" t="s">
        <v>128</v>
      </c>
      <c r="B156" t="s">
        <v>145</v>
      </c>
      <c r="C156" t="s">
        <v>109</v>
      </c>
      <c r="D156" s="12">
        <v>46224</v>
      </c>
      <c r="E156" t="s">
        <v>134</v>
      </c>
      <c r="F156" t="s">
        <v>134</v>
      </c>
      <c r="G156" t="s">
        <v>134</v>
      </c>
      <c r="K156">
        <v>28.218439495972738</v>
      </c>
      <c r="N156">
        <v>37.049999999999997</v>
      </c>
      <c r="O156">
        <v>37.049999999999997</v>
      </c>
      <c r="P156">
        <v>27.625</v>
      </c>
      <c r="T156">
        <v>0</v>
      </c>
      <c r="U156">
        <v>0</v>
      </c>
      <c r="V156">
        <v>8.1580791872956346E-2</v>
      </c>
      <c r="W156">
        <v>0</v>
      </c>
      <c r="X156">
        <v>0</v>
      </c>
      <c r="Y156">
        <v>0</v>
      </c>
      <c r="Z156">
        <v>2.6405422342467021E-2</v>
      </c>
      <c r="AA156">
        <v>0</v>
      </c>
      <c r="AB156">
        <v>0.20498504364905473</v>
      </c>
      <c r="AC156">
        <v>0</v>
      </c>
      <c r="AD156">
        <v>0</v>
      </c>
      <c r="AE156">
        <v>0</v>
      </c>
      <c r="AF156">
        <v>4.7435624811935036E-2</v>
      </c>
      <c r="AG156">
        <v>0</v>
      </c>
      <c r="AH156">
        <v>0.95256437518806503</v>
      </c>
      <c r="AI156">
        <v>0</v>
      </c>
      <c r="AJ156">
        <v>0</v>
      </c>
      <c r="AK156">
        <v>0</v>
      </c>
      <c r="AL156">
        <v>0</v>
      </c>
      <c r="AM156">
        <v>0</v>
      </c>
    </row>
    <row r="157" spans="1:85" x14ac:dyDescent="0.25">
      <c r="A157" t="s">
        <v>128</v>
      </c>
      <c r="B157" t="s">
        <v>145</v>
      </c>
      <c r="C157" t="s">
        <v>72</v>
      </c>
      <c r="D157" s="12">
        <v>46249</v>
      </c>
      <c r="E157" t="s">
        <v>135</v>
      </c>
      <c r="F157" t="s">
        <v>135</v>
      </c>
      <c r="G157" t="s">
        <v>135</v>
      </c>
      <c r="H157" t="s">
        <v>73</v>
      </c>
      <c r="I157">
        <v>10</v>
      </c>
      <c r="K157">
        <v>5.3727368119266048</v>
      </c>
      <c r="L157">
        <v>46249</v>
      </c>
      <c r="M157" t="s">
        <v>158</v>
      </c>
      <c r="N157">
        <v>0</v>
      </c>
      <c r="O157">
        <v>0</v>
      </c>
      <c r="P157">
        <v>4.3235294117647038</v>
      </c>
      <c r="Q157">
        <v>0</v>
      </c>
      <c r="R157">
        <v>0</v>
      </c>
      <c r="S157">
        <v>0.80471639745449086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0.80471639745449086</v>
      </c>
      <c r="AD157">
        <v>0.19528360254550914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1</v>
      </c>
      <c r="BK157">
        <v>0</v>
      </c>
      <c r="BL157">
        <v>0</v>
      </c>
      <c r="BM157">
        <v>1.2426738204456098</v>
      </c>
      <c r="BN157">
        <v>0.24267382044560981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1</v>
      </c>
      <c r="CG157">
        <v>1</v>
      </c>
    </row>
    <row r="158" spans="1:85" x14ac:dyDescent="0.25">
      <c r="A158" t="s">
        <v>128</v>
      </c>
      <c r="B158" t="s">
        <v>145</v>
      </c>
      <c r="C158" t="s">
        <v>109</v>
      </c>
      <c r="D158" s="12">
        <v>46224</v>
      </c>
      <c r="E158" t="s">
        <v>136</v>
      </c>
      <c r="F158" t="s">
        <v>136</v>
      </c>
      <c r="G158" t="s">
        <v>136</v>
      </c>
      <c r="K158">
        <v>6.8316062541420139</v>
      </c>
      <c r="N158">
        <v>0</v>
      </c>
      <c r="O158">
        <v>0</v>
      </c>
      <c r="P158">
        <v>9.224604547701432</v>
      </c>
      <c r="T158">
        <v>0.35028340401037289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M158">
        <v>0</v>
      </c>
    </row>
    <row r="159" spans="1:85" x14ac:dyDescent="0.25">
      <c r="A159" t="s">
        <v>128</v>
      </c>
      <c r="B159" t="s">
        <v>145</v>
      </c>
      <c r="C159" t="s">
        <v>72</v>
      </c>
      <c r="D159" s="12">
        <v>46248</v>
      </c>
      <c r="E159" t="s">
        <v>135</v>
      </c>
      <c r="F159" t="s">
        <v>135</v>
      </c>
      <c r="G159" t="s">
        <v>135</v>
      </c>
      <c r="H159" t="s">
        <v>75</v>
      </c>
      <c r="I159">
        <v>10</v>
      </c>
      <c r="K159">
        <v>2.2474193200215873</v>
      </c>
      <c r="L159">
        <v>46248</v>
      </c>
      <c r="M159" t="s">
        <v>159</v>
      </c>
      <c r="N159">
        <v>0</v>
      </c>
      <c r="O159">
        <v>0</v>
      </c>
      <c r="P159">
        <v>2.6538062283737021</v>
      </c>
      <c r="Q159">
        <v>0</v>
      </c>
      <c r="R159">
        <v>0</v>
      </c>
      <c r="S159">
        <v>1.1808238029867124</v>
      </c>
      <c r="T159">
        <v>0.18082380298671241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1</v>
      </c>
      <c r="AM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</v>
      </c>
      <c r="BJ159">
        <v>1</v>
      </c>
      <c r="BK159">
        <v>0</v>
      </c>
      <c r="BL159">
        <v>0</v>
      </c>
      <c r="BM159">
        <v>0.8468663974004027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0.1531336025995973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0.8468663974004027</v>
      </c>
      <c r="CG159">
        <v>0</v>
      </c>
    </row>
    <row r="160" spans="1:85" x14ac:dyDescent="0.25">
      <c r="A160" t="s">
        <v>128</v>
      </c>
      <c r="B160" t="s">
        <v>145</v>
      </c>
      <c r="C160" t="s">
        <v>72</v>
      </c>
      <c r="D160" s="12">
        <v>46248</v>
      </c>
      <c r="E160" t="s">
        <v>135</v>
      </c>
      <c r="F160" t="s">
        <v>135</v>
      </c>
      <c r="G160" t="s">
        <v>135</v>
      </c>
      <c r="H160" t="s">
        <v>74</v>
      </c>
      <c r="I160">
        <v>10</v>
      </c>
      <c r="K160">
        <v>1.2735376146788993</v>
      </c>
      <c r="L160">
        <v>46248</v>
      </c>
      <c r="M160" t="s">
        <v>161</v>
      </c>
      <c r="N160">
        <v>0</v>
      </c>
      <c r="O160">
        <v>0</v>
      </c>
      <c r="P160">
        <v>0.94117647058823517</v>
      </c>
      <c r="Q160">
        <v>0</v>
      </c>
      <c r="R160">
        <v>0</v>
      </c>
      <c r="S160">
        <v>0.73902526296840998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0.73902526296840998</v>
      </c>
      <c r="AD160">
        <v>0.26097473703159002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K160">
        <v>0</v>
      </c>
      <c r="BL160">
        <v>0</v>
      </c>
      <c r="BM160">
        <v>1.3531337155963306</v>
      </c>
      <c r="BN160">
        <v>0.35313371559633056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</row>
    <row r="161" spans="1:85" x14ac:dyDescent="0.25">
      <c r="A161" t="s">
        <v>128</v>
      </c>
      <c r="B161" t="s">
        <v>145</v>
      </c>
      <c r="C161" t="s">
        <v>72</v>
      </c>
      <c r="D161" s="12">
        <v>46248</v>
      </c>
      <c r="E161" t="s">
        <v>135</v>
      </c>
      <c r="F161" t="s">
        <v>135</v>
      </c>
      <c r="G161" t="s">
        <v>135</v>
      </c>
      <c r="H161" t="s">
        <v>73</v>
      </c>
      <c r="I161">
        <v>10</v>
      </c>
      <c r="K161">
        <v>4.5519020212155956</v>
      </c>
      <c r="L161">
        <v>46248</v>
      </c>
      <c r="M161" t="s">
        <v>162</v>
      </c>
      <c r="N161">
        <v>0</v>
      </c>
      <c r="O161">
        <v>0</v>
      </c>
      <c r="P161">
        <v>3.1104779411764705</v>
      </c>
      <c r="Q161">
        <v>0</v>
      </c>
      <c r="R161">
        <v>0</v>
      </c>
      <c r="S161">
        <v>0.68333587293379627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0.68333587293379627</v>
      </c>
      <c r="AD161">
        <v>0.31666412706620373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1</v>
      </c>
      <c r="BK161">
        <v>0</v>
      </c>
      <c r="BL161">
        <v>0</v>
      </c>
      <c r="BM161">
        <v>1.4634091954029218</v>
      </c>
      <c r="BN161">
        <v>0.4634091954029218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1</v>
      </c>
      <c r="CG161">
        <v>1</v>
      </c>
    </row>
    <row r="162" spans="1:85" x14ac:dyDescent="0.25">
      <c r="A162" t="s">
        <v>128</v>
      </c>
      <c r="B162" t="s">
        <v>145</v>
      </c>
      <c r="C162" t="s">
        <v>109</v>
      </c>
      <c r="D162" s="12">
        <v>46224</v>
      </c>
      <c r="E162" t="s">
        <v>135</v>
      </c>
      <c r="F162" t="s">
        <v>135</v>
      </c>
      <c r="G162" t="s">
        <v>135</v>
      </c>
      <c r="K162">
        <v>10.465131474298436</v>
      </c>
      <c r="N162">
        <v>6.6499999999999995</v>
      </c>
      <c r="O162">
        <v>6.6499999999999995</v>
      </c>
      <c r="P162">
        <v>8.7159385813148766</v>
      </c>
      <c r="T162">
        <v>1.0991757705127418E-2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0.32128649877721843</v>
      </c>
      <c r="AD162">
        <v>4.3269979435034175E-2</v>
      </c>
      <c r="AE162">
        <v>0</v>
      </c>
      <c r="AF162">
        <v>0.13486663424055523</v>
      </c>
      <c r="AG162">
        <v>0</v>
      </c>
      <c r="AH162">
        <v>0.5005768875471921</v>
      </c>
      <c r="AI162">
        <v>0</v>
      </c>
      <c r="AJ162">
        <v>0</v>
      </c>
      <c r="AK162">
        <v>0</v>
      </c>
      <c r="AL162">
        <v>0</v>
      </c>
      <c r="AM162">
        <v>0</v>
      </c>
    </row>
    <row r="163" spans="1:85" x14ac:dyDescent="0.25">
      <c r="A163" t="s">
        <v>128</v>
      </c>
      <c r="B163" t="s">
        <v>145</v>
      </c>
      <c r="C163" t="s">
        <v>72</v>
      </c>
      <c r="D163" s="12">
        <v>46247</v>
      </c>
      <c r="E163" t="s">
        <v>135</v>
      </c>
      <c r="F163" t="s">
        <v>135</v>
      </c>
      <c r="G163" t="s">
        <v>135</v>
      </c>
      <c r="H163" t="s">
        <v>75</v>
      </c>
      <c r="I163">
        <v>10</v>
      </c>
      <c r="K163">
        <v>3.3711289800323798</v>
      </c>
      <c r="L163">
        <v>46247</v>
      </c>
      <c r="M163" t="s">
        <v>164</v>
      </c>
      <c r="N163">
        <v>0</v>
      </c>
      <c r="O163">
        <v>0</v>
      </c>
      <c r="P163">
        <v>3.5949826989619371</v>
      </c>
      <c r="Q163">
        <v>0</v>
      </c>
      <c r="R163">
        <v>0</v>
      </c>
      <c r="S163">
        <v>1.0664031902236524</v>
      </c>
      <c r="T163">
        <v>6.6403190223652375E-2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1</v>
      </c>
      <c r="AM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1</v>
      </c>
      <c r="BJ163">
        <v>1</v>
      </c>
      <c r="BK163">
        <v>0</v>
      </c>
      <c r="BL163">
        <v>0</v>
      </c>
      <c r="BM163">
        <v>0.93773162830680779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6.2268371693192215E-2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0.93773162830680779</v>
      </c>
      <c r="CG163">
        <v>0</v>
      </c>
    </row>
    <row r="164" spans="1:85" x14ac:dyDescent="0.25">
      <c r="A164" t="s">
        <v>128</v>
      </c>
      <c r="B164" t="s">
        <v>145</v>
      </c>
      <c r="C164" t="s">
        <v>72</v>
      </c>
      <c r="D164" s="12">
        <v>46247</v>
      </c>
      <c r="E164" t="s">
        <v>135</v>
      </c>
      <c r="F164" t="s">
        <v>135</v>
      </c>
      <c r="G164" t="s">
        <v>135</v>
      </c>
      <c r="H164" t="s">
        <v>74</v>
      </c>
      <c r="I164">
        <v>10</v>
      </c>
      <c r="K164">
        <v>1.2735376146788993</v>
      </c>
      <c r="L164">
        <v>46247</v>
      </c>
      <c r="M164" t="s">
        <v>165</v>
      </c>
      <c r="N164">
        <v>0</v>
      </c>
      <c r="O164">
        <v>0</v>
      </c>
      <c r="P164">
        <v>0.94117647058823517</v>
      </c>
      <c r="Q164">
        <v>0</v>
      </c>
      <c r="R164">
        <v>0</v>
      </c>
      <c r="S164">
        <v>0.73902526296840998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0.73902526296840998</v>
      </c>
      <c r="AD164">
        <v>0.26097473703159002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K164">
        <v>0</v>
      </c>
      <c r="BL164">
        <v>0</v>
      </c>
      <c r="BM164">
        <v>1.3531337155963306</v>
      </c>
      <c r="BN164">
        <v>0.35313371559633056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</row>
    <row r="165" spans="1:85" x14ac:dyDescent="0.25">
      <c r="A165" t="s">
        <v>128</v>
      </c>
      <c r="B165" t="s">
        <v>145</v>
      </c>
      <c r="C165" t="s">
        <v>109</v>
      </c>
      <c r="D165" s="12">
        <v>46225</v>
      </c>
      <c r="E165" t="s">
        <v>134</v>
      </c>
      <c r="F165" t="s">
        <v>134</v>
      </c>
      <c r="G165" t="s">
        <v>134</v>
      </c>
      <c r="K165">
        <v>27.599490673528674</v>
      </c>
      <c r="N165">
        <v>31.349999999999998</v>
      </c>
      <c r="O165">
        <v>31.349999999999998</v>
      </c>
      <c r="P165">
        <v>27.245535714285715</v>
      </c>
      <c r="T165">
        <v>1.0303040788134189E-2</v>
      </c>
      <c r="U165">
        <v>0</v>
      </c>
      <c r="V165">
        <v>1.5583860473279865E-2</v>
      </c>
      <c r="W165">
        <v>0</v>
      </c>
      <c r="X165">
        <v>0</v>
      </c>
      <c r="Y165">
        <v>0</v>
      </c>
      <c r="Z165">
        <v>1.5988611854911312E-2</v>
      </c>
      <c r="AA165">
        <v>0</v>
      </c>
      <c r="AB165">
        <v>0.11953955301235798</v>
      </c>
      <c r="AC165">
        <v>1.5221498561063095E-2</v>
      </c>
      <c r="AD165">
        <v>0</v>
      </c>
      <c r="AE165">
        <v>0</v>
      </c>
      <c r="AF165">
        <v>3.9116344353115465E-2</v>
      </c>
      <c r="AG165">
        <v>0</v>
      </c>
      <c r="AH165">
        <v>0.94566215708582146</v>
      </c>
      <c r="AI165">
        <v>0</v>
      </c>
      <c r="AJ165">
        <v>0</v>
      </c>
      <c r="AK165">
        <v>0</v>
      </c>
      <c r="AL165">
        <v>0</v>
      </c>
      <c r="AM165">
        <v>0</v>
      </c>
    </row>
    <row r="166" spans="1:85" x14ac:dyDescent="0.25">
      <c r="A166" t="s">
        <v>128</v>
      </c>
      <c r="B166" t="s">
        <v>145</v>
      </c>
      <c r="C166" t="s">
        <v>72</v>
      </c>
      <c r="D166" s="12">
        <v>46247</v>
      </c>
      <c r="E166" t="s">
        <v>135</v>
      </c>
      <c r="F166" t="s">
        <v>135</v>
      </c>
      <c r="G166" t="s">
        <v>135</v>
      </c>
      <c r="H166" t="s">
        <v>73</v>
      </c>
      <c r="I166">
        <v>10</v>
      </c>
      <c r="K166">
        <v>5.7458435349770651</v>
      </c>
      <c r="L166">
        <v>46247</v>
      </c>
      <c r="M166" t="s">
        <v>177</v>
      </c>
      <c r="N166">
        <v>0</v>
      </c>
      <c r="O166">
        <v>0</v>
      </c>
      <c r="P166">
        <v>4.1104779411764714</v>
      </c>
      <c r="Q166">
        <v>0</v>
      </c>
      <c r="R166">
        <v>0</v>
      </c>
      <c r="S166">
        <v>0.71538285304054638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0.71538285304054638</v>
      </c>
      <c r="AD166">
        <v>0.28461714695945362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</v>
      </c>
      <c r="BK166">
        <v>0</v>
      </c>
      <c r="BL166">
        <v>0</v>
      </c>
      <c r="BM166">
        <v>1.3978529059646361</v>
      </c>
      <c r="BN166">
        <v>0.39785290596463607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1</v>
      </c>
      <c r="CG166">
        <v>1</v>
      </c>
    </row>
    <row r="167" spans="1:85" x14ac:dyDescent="0.25">
      <c r="A167" t="s">
        <v>128</v>
      </c>
      <c r="B167" t="s">
        <v>145</v>
      </c>
      <c r="C167" t="s">
        <v>109</v>
      </c>
      <c r="D167" s="12">
        <v>46225</v>
      </c>
      <c r="E167" t="s">
        <v>136</v>
      </c>
      <c r="F167" t="s">
        <v>136</v>
      </c>
      <c r="G167" t="s">
        <v>136</v>
      </c>
      <c r="K167">
        <v>6.7786480661254069</v>
      </c>
      <c r="N167">
        <v>0</v>
      </c>
      <c r="O167">
        <v>0</v>
      </c>
      <c r="P167">
        <v>9.3354238754325252</v>
      </c>
      <c r="T167">
        <v>0.37718078654709392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M167">
        <v>0</v>
      </c>
    </row>
    <row r="168" spans="1:85" x14ac:dyDescent="0.25">
      <c r="A168" t="s">
        <v>128</v>
      </c>
      <c r="B168" t="s">
        <v>145</v>
      </c>
      <c r="C168" t="s">
        <v>72</v>
      </c>
      <c r="D168" s="12">
        <v>46246</v>
      </c>
      <c r="E168" t="s">
        <v>135</v>
      </c>
      <c r="F168" t="s">
        <v>135</v>
      </c>
      <c r="G168" t="s">
        <v>135</v>
      </c>
      <c r="H168" t="s">
        <v>75</v>
      </c>
      <c r="I168">
        <v>10</v>
      </c>
      <c r="K168">
        <v>2.2474193200215873</v>
      </c>
      <c r="L168">
        <v>46246</v>
      </c>
      <c r="M168" t="s">
        <v>204</v>
      </c>
      <c r="N168">
        <v>0</v>
      </c>
      <c r="O168">
        <v>0</v>
      </c>
      <c r="P168">
        <v>2.5449826989619373</v>
      </c>
      <c r="Q168">
        <v>0</v>
      </c>
      <c r="R168">
        <v>0</v>
      </c>
      <c r="S168">
        <v>1.1324022519026364</v>
      </c>
      <c r="T168">
        <v>0.13240225190263644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</v>
      </c>
      <c r="AM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1</v>
      </c>
      <c r="BJ168">
        <v>1</v>
      </c>
      <c r="BK168">
        <v>0</v>
      </c>
      <c r="BL168">
        <v>0</v>
      </c>
      <c r="BM168">
        <v>0.88307842758156196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0.11692157241843804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0.88307842758156196</v>
      </c>
      <c r="CG168">
        <v>0</v>
      </c>
    </row>
    <row r="169" spans="1:85" x14ac:dyDescent="0.25">
      <c r="A169" t="s">
        <v>128</v>
      </c>
      <c r="B169" t="s">
        <v>145</v>
      </c>
      <c r="C169" t="s">
        <v>72</v>
      </c>
      <c r="D169" s="12">
        <v>46246</v>
      </c>
      <c r="E169" t="s">
        <v>135</v>
      </c>
      <c r="F169" t="s">
        <v>135</v>
      </c>
      <c r="G169" t="s">
        <v>135</v>
      </c>
      <c r="H169" t="s">
        <v>74</v>
      </c>
      <c r="I169">
        <v>10</v>
      </c>
      <c r="K169">
        <v>1.2735376146788993</v>
      </c>
      <c r="L169">
        <v>46246</v>
      </c>
      <c r="M169" t="s">
        <v>196</v>
      </c>
      <c r="N169">
        <v>0</v>
      </c>
      <c r="O169">
        <v>0</v>
      </c>
      <c r="P169">
        <v>0.94117647058823517</v>
      </c>
      <c r="Q169">
        <v>0</v>
      </c>
      <c r="R169">
        <v>0</v>
      </c>
      <c r="S169">
        <v>0.73902526296840998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0.73902526296840998</v>
      </c>
      <c r="AD169">
        <v>0.26097473703159002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K169">
        <v>0</v>
      </c>
      <c r="BL169">
        <v>0</v>
      </c>
      <c r="BM169">
        <v>1.3531337155963306</v>
      </c>
      <c r="BN169">
        <v>0.35313371559633056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</row>
    <row r="170" spans="1:85" x14ac:dyDescent="0.25">
      <c r="A170" t="s">
        <v>128</v>
      </c>
      <c r="B170" t="s">
        <v>145</v>
      </c>
      <c r="C170" t="s">
        <v>109</v>
      </c>
      <c r="D170" s="12">
        <v>46225</v>
      </c>
      <c r="E170" t="s">
        <v>135</v>
      </c>
      <c r="F170" t="s">
        <v>135</v>
      </c>
      <c r="G170" t="s">
        <v>135</v>
      </c>
      <c r="K170">
        <v>9.8330447905423668</v>
      </c>
      <c r="N170">
        <v>8.5500000000000007</v>
      </c>
      <c r="O170">
        <v>8.5500000000000007</v>
      </c>
      <c r="P170">
        <v>7.5087045847750851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8.3088830302903385E-2</v>
      </c>
      <c r="AC170">
        <v>9.5715670032692088E-2</v>
      </c>
      <c r="AD170">
        <v>0.11785612031697393</v>
      </c>
      <c r="AE170">
        <v>0</v>
      </c>
      <c r="AF170">
        <v>0.11852439612315076</v>
      </c>
      <c r="AG170">
        <v>0</v>
      </c>
      <c r="AH170">
        <v>0.6679038135271832</v>
      </c>
      <c r="AI170">
        <v>0</v>
      </c>
      <c r="AJ170">
        <v>0</v>
      </c>
      <c r="AK170">
        <v>0</v>
      </c>
      <c r="AL170">
        <v>0</v>
      </c>
      <c r="AM170">
        <v>0</v>
      </c>
    </row>
    <row r="171" spans="1:85" x14ac:dyDescent="0.25">
      <c r="A171" t="s">
        <v>128</v>
      </c>
      <c r="B171" t="s">
        <v>145</v>
      </c>
      <c r="C171" t="s">
        <v>72</v>
      </c>
      <c r="D171" s="12">
        <v>46246</v>
      </c>
      <c r="E171" t="s">
        <v>135</v>
      </c>
      <c r="F171" t="s">
        <v>135</v>
      </c>
      <c r="G171" t="s">
        <v>135</v>
      </c>
      <c r="H171" t="s">
        <v>73</v>
      </c>
      <c r="I171">
        <v>10</v>
      </c>
      <c r="K171">
        <v>5.8204648795871554</v>
      </c>
      <c r="L171">
        <v>46246</v>
      </c>
      <c r="M171" t="s">
        <v>197</v>
      </c>
      <c r="N171">
        <v>0</v>
      </c>
      <c r="O171">
        <v>0</v>
      </c>
      <c r="P171">
        <v>4.2886029411764692</v>
      </c>
      <c r="Q171">
        <v>0</v>
      </c>
      <c r="R171">
        <v>0</v>
      </c>
      <c r="S171">
        <v>0.73681450363474388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0.73681450363474388</v>
      </c>
      <c r="AD171">
        <v>0.26318549636525612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1</v>
      </c>
      <c r="BK171">
        <v>0</v>
      </c>
      <c r="BL171">
        <v>0</v>
      </c>
      <c r="BM171">
        <v>1.3571936967404259</v>
      </c>
      <c r="BN171">
        <v>0.35719369674042589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1</v>
      </c>
      <c r="CG171">
        <v>1</v>
      </c>
    </row>
    <row r="172" spans="1:85" x14ac:dyDescent="0.25">
      <c r="A172" t="s">
        <v>128</v>
      </c>
      <c r="B172" t="s">
        <v>145</v>
      </c>
      <c r="C172" t="s">
        <v>72</v>
      </c>
      <c r="D172" s="12">
        <v>46245</v>
      </c>
      <c r="E172" t="s">
        <v>135</v>
      </c>
      <c r="F172" t="s">
        <v>135</v>
      </c>
      <c r="G172" t="s">
        <v>135</v>
      </c>
      <c r="H172" t="s">
        <v>75</v>
      </c>
      <c r="I172">
        <v>10</v>
      </c>
      <c r="K172">
        <v>3.3711289800323798</v>
      </c>
      <c r="L172">
        <v>46245</v>
      </c>
      <c r="M172" t="s">
        <v>198</v>
      </c>
      <c r="N172">
        <v>0</v>
      </c>
      <c r="O172">
        <v>0</v>
      </c>
      <c r="P172">
        <v>3.5415224913494798</v>
      </c>
      <c r="Q172">
        <v>0</v>
      </c>
      <c r="R172">
        <v>0</v>
      </c>
      <c r="S172">
        <v>1.0505449397891218</v>
      </c>
      <c r="T172">
        <v>5.0544939789121779E-2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1</v>
      </c>
      <c r="BJ172">
        <v>1</v>
      </c>
      <c r="BK172">
        <v>0</v>
      </c>
      <c r="BL172">
        <v>0</v>
      </c>
      <c r="BM172">
        <v>0.95188693231984178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4.8113067680158217E-2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0.95188693231984178</v>
      </c>
      <c r="CG172">
        <v>0</v>
      </c>
    </row>
    <row r="173" spans="1:85" x14ac:dyDescent="0.25">
      <c r="A173" t="s">
        <v>128</v>
      </c>
      <c r="B173" t="s">
        <v>145</v>
      </c>
      <c r="C173" t="s">
        <v>72</v>
      </c>
      <c r="D173" s="12">
        <v>46245</v>
      </c>
      <c r="E173" t="s">
        <v>135</v>
      </c>
      <c r="F173" t="s">
        <v>135</v>
      </c>
      <c r="G173" t="s">
        <v>135</v>
      </c>
      <c r="H173" t="s">
        <v>74</v>
      </c>
      <c r="I173">
        <v>10</v>
      </c>
      <c r="K173">
        <v>1.2735376146788993</v>
      </c>
      <c r="L173">
        <v>46245</v>
      </c>
      <c r="M173" t="s">
        <v>199</v>
      </c>
      <c r="N173">
        <v>0</v>
      </c>
      <c r="O173">
        <v>0</v>
      </c>
      <c r="P173">
        <v>0.94117647058823517</v>
      </c>
      <c r="Q173">
        <v>0</v>
      </c>
      <c r="R173">
        <v>0</v>
      </c>
      <c r="S173">
        <v>0.73902526296840998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0.73902526296840998</v>
      </c>
      <c r="AD173">
        <v>0.26097473703159002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K173">
        <v>0</v>
      </c>
      <c r="BL173">
        <v>0</v>
      </c>
      <c r="BM173">
        <v>1.3531337155963306</v>
      </c>
      <c r="BN173">
        <v>0.35313371559633056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</row>
    <row r="174" spans="1:85" x14ac:dyDescent="0.25">
      <c r="A174" t="s">
        <v>128</v>
      </c>
      <c r="B174" t="s">
        <v>145</v>
      </c>
      <c r="C174" t="s">
        <v>109</v>
      </c>
      <c r="D174" s="12">
        <v>46226</v>
      </c>
      <c r="E174" t="s">
        <v>134</v>
      </c>
      <c r="F174" t="s">
        <v>134</v>
      </c>
      <c r="G174" t="s">
        <v>134</v>
      </c>
      <c r="K174">
        <v>26.924273776316959</v>
      </c>
      <c r="N174">
        <v>38</v>
      </c>
      <c r="O174">
        <v>38</v>
      </c>
      <c r="P174">
        <v>23.71875</v>
      </c>
      <c r="T174">
        <v>0</v>
      </c>
      <c r="U174">
        <v>0</v>
      </c>
      <c r="V174">
        <v>0.23158035999350471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0.19538869873624851</v>
      </c>
      <c r="AC174">
        <v>0</v>
      </c>
      <c r="AD174">
        <v>1.5603228932500457E-2</v>
      </c>
      <c r="AE174">
        <v>0</v>
      </c>
      <c r="AF174">
        <v>0.10345379013319449</v>
      </c>
      <c r="AG174">
        <v>0</v>
      </c>
      <c r="AH174">
        <v>0.88094298093430501</v>
      </c>
      <c r="AI174">
        <v>0</v>
      </c>
      <c r="AJ174">
        <v>0</v>
      </c>
      <c r="AK174">
        <v>0</v>
      </c>
      <c r="AL174">
        <v>0</v>
      </c>
      <c r="AM174">
        <v>0</v>
      </c>
    </row>
    <row r="175" spans="1:85" x14ac:dyDescent="0.25">
      <c r="A175" t="s">
        <v>128</v>
      </c>
      <c r="B175" t="s">
        <v>145</v>
      </c>
      <c r="C175" t="s">
        <v>109</v>
      </c>
      <c r="D175" s="12">
        <v>46226</v>
      </c>
      <c r="E175" t="s">
        <v>136</v>
      </c>
      <c r="F175" t="s">
        <v>136</v>
      </c>
      <c r="G175" t="s">
        <v>136</v>
      </c>
      <c r="K175">
        <v>6.7786480661254078</v>
      </c>
      <c r="N175">
        <v>0.95</v>
      </c>
      <c r="O175">
        <v>0.95</v>
      </c>
      <c r="P175">
        <v>9.3354238754325252</v>
      </c>
      <c r="T175">
        <v>0.37718078654709392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0.39110406076067183</v>
      </c>
      <c r="AD175">
        <v>0</v>
      </c>
      <c r="AE175">
        <v>0</v>
      </c>
      <c r="AF175">
        <v>0</v>
      </c>
      <c r="AG175">
        <v>0</v>
      </c>
      <c r="AH175">
        <v>0.14014593923932805</v>
      </c>
      <c r="AI175">
        <v>0</v>
      </c>
      <c r="AJ175">
        <v>0</v>
      </c>
      <c r="AK175">
        <v>0</v>
      </c>
      <c r="AM175">
        <v>0</v>
      </c>
    </row>
    <row r="176" spans="1:85" x14ac:dyDescent="0.25">
      <c r="A176" t="s">
        <v>128</v>
      </c>
      <c r="B176" t="s">
        <v>145</v>
      </c>
      <c r="C176" t="s">
        <v>72</v>
      </c>
      <c r="D176" s="12">
        <v>46234</v>
      </c>
      <c r="E176" t="s">
        <v>136</v>
      </c>
      <c r="F176" t="s">
        <v>136</v>
      </c>
      <c r="G176" t="s">
        <v>136</v>
      </c>
      <c r="H176" t="s">
        <v>73</v>
      </c>
      <c r="I176">
        <v>10</v>
      </c>
      <c r="K176">
        <v>3.6011567851291235</v>
      </c>
      <c r="L176">
        <v>46234</v>
      </c>
      <c r="M176" t="s">
        <v>216</v>
      </c>
      <c r="N176">
        <v>0.95</v>
      </c>
      <c r="O176">
        <v>0.95</v>
      </c>
      <c r="P176">
        <v>4.7610294117647047</v>
      </c>
      <c r="Q176">
        <v>0.26380412092108801</v>
      </c>
      <c r="R176">
        <v>0.26380412092108801</v>
      </c>
      <c r="S176">
        <v>1.3220833459474031</v>
      </c>
      <c r="T176">
        <v>0.32208334594740307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0.73619587907891204</v>
      </c>
      <c r="AD176">
        <v>0</v>
      </c>
      <c r="AE176">
        <v>0</v>
      </c>
      <c r="AF176">
        <v>0</v>
      </c>
      <c r="AG176">
        <v>0</v>
      </c>
      <c r="AH176">
        <v>0.26380412092108801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3.7906913527674986</v>
      </c>
      <c r="AO176">
        <v>3.7906913527674986</v>
      </c>
      <c r="AP176">
        <v>5.0116099071207421</v>
      </c>
      <c r="BG176">
        <v>0</v>
      </c>
      <c r="BH176">
        <v>0</v>
      </c>
      <c r="BI176">
        <v>0</v>
      </c>
      <c r="BK176">
        <v>0.19953667953667958</v>
      </c>
      <c r="BL176">
        <v>0.19953667953667958</v>
      </c>
      <c r="BM176">
        <v>0.75638196567963079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0.24361803432036921</v>
      </c>
      <c r="BY176">
        <v>0</v>
      </c>
      <c r="BZ176">
        <v>0</v>
      </c>
      <c r="CA176">
        <v>0</v>
      </c>
      <c r="CB176">
        <v>0.19953667953667958</v>
      </c>
      <c r="CC176">
        <v>0</v>
      </c>
      <c r="CD176">
        <v>0</v>
      </c>
      <c r="CE176">
        <v>0</v>
      </c>
      <c r="CF176">
        <v>0</v>
      </c>
      <c r="CG176">
        <v>0</v>
      </c>
    </row>
    <row r="177" spans="1:85" x14ac:dyDescent="0.25">
      <c r="A177" t="s">
        <v>128</v>
      </c>
      <c r="B177" t="s">
        <v>145</v>
      </c>
      <c r="C177" t="s">
        <v>72</v>
      </c>
      <c r="D177" s="12">
        <v>46238</v>
      </c>
      <c r="E177" t="s">
        <v>135</v>
      </c>
      <c r="F177" t="s">
        <v>135</v>
      </c>
      <c r="G177" t="s">
        <v>135</v>
      </c>
      <c r="H177" t="s">
        <v>74</v>
      </c>
      <c r="I177">
        <v>10</v>
      </c>
      <c r="K177">
        <v>1.2735376146788993</v>
      </c>
      <c r="L177">
        <v>46238</v>
      </c>
      <c r="M177" t="s">
        <v>182</v>
      </c>
      <c r="N177">
        <v>0</v>
      </c>
      <c r="O177">
        <v>0</v>
      </c>
      <c r="P177">
        <v>0.94117647058823517</v>
      </c>
      <c r="Q177">
        <v>0</v>
      </c>
      <c r="R177">
        <v>0</v>
      </c>
      <c r="S177">
        <v>0.73902526296840998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0.73902526296840998</v>
      </c>
      <c r="AD177">
        <v>0.26097473703159002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K177">
        <v>0</v>
      </c>
      <c r="BL177">
        <v>0</v>
      </c>
      <c r="BM177">
        <v>1.3531337155963306</v>
      </c>
      <c r="BN177">
        <v>0.35313371559633056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</row>
    <row r="178" spans="1:85" x14ac:dyDescent="0.25">
      <c r="A178" t="s">
        <v>128</v>
      </c>
      <c r="B178" t="s">
        <v>145</v>
      </c>
      <c r="C178" t="s">
        <v>72</v>
      </c>
      <c r="D178" s="12">
        <v>46238</v>
      </c>
      <c r="E178" t="s">
        <v>135</v>
      </c>
      <c r="F178" t="s">
        <v>135</v>
      </c>
      <c r="G178" t="s">
        <v>135</v>
      </c>
      <c r="H178" t="s">
        <v>73</v>
      </c>
      <c r="I178">
        <v>10</v>
      </c>
      <c r="K178">
        <v>5.8204648795871554</v>
      </c>
      <c r="L178">
        <v>46238</v>
      </c>
      <c r="M178" t="s">
        <v>183</v>
      </c>
      <c r="N178">
        <v>0</v>
      </c>
      <c r="O178">
        <v>0</v>
      </c>
      <c r="P178">
        <v>4.2886029411764701</v>
      </c>
      <c r="Q178">
        <v>0</v>
      </c>
      <c r="R178">
        <v>0</v>
      </c>
      <c r="S178">
        <v>0.73681450363474399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0.73681450363474399</v>
      </c>
      <c r="AD178">
        <v>0.26318549636525601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K178">
        <v>0</v>
      </c>
      <c r="BL178">
        <v>0</v>
      </c>
      <c r="BM178">
        <v>1.3571936967404257</v>
      </c>
      <c r="BN178">
        <v>0.35719369674042567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1</v>
      </c>
      <c r="CG178">
        <v>1</v>
      </c>
    </row>
    <row r="179" spans="1:85" x14ac:dyDescent="0.25">
      <c r="A179" t="s">
        <v>128</v>
      </c>
      <c r="B179" t="s">
        <v>145</v>
      </c>
      <c r="C179" t="s">
        <v>72</v>
      </c>
      <c r="D179" s="12">
        <v>46231</v>
      </c>
      <c r="E179" t="s">
        <v>135</v>
      </c>
      <c r="F179" t="s">
        <v>135</v>
      </c>
      <c r="G179" t="s">
        <v>135</v>
      </c>
      <c r="H179" t="s">
        <v>74</v>
      </c>
      <c r="I179">
        <v>10</v>
      </c>
      <c r="K179">
        <v>1.2735376146788993</v>
      </c>
      <c r="L179">
        <v>46231</v>
      </c>
      <c r="M179" t="s">
        <v>233</v>
      </c>
      <c r="N179">
        <v>0</v>
      </c>
      <c r="O179">
        <v>0</v>
      </c>
      <c r="P179">
        <v>0.94117647058823517</v>
      </c>
      <c r="Q179">
        <v>0</v>
      </c>
      <c r="R179">
        <v>0</v>
      </c>
      <c r="S179">
        <v>0.73902526296840998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0.73902526296840998</v>
      </c>
      <c r="AD179">
        <v>0.26097473703159002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K179">
        <v>0</v>
      </c>
      <c r="BL179">
        <v>0</v>
      </c>
      <c r="BM179">
        <v>1.3531337155963306</v>
      </c>
      <c r="BN179">
        <v>0.35313371559633056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</row>
    <row r="180" spans="1:85" x14ac:dyDescent="0.25">
      <c r="A180" t="s">
        <v>128</v>
      </c>
      <c r="B180" t="s">
        <v>145</v>
      </c>
      <c r="C180" t="s">
        <v>72</v>
      </c>
      <c r="D180" s="12">
        <v>46231</v>
      </c>
      <c r="E180" t="s">
        <v>135</v>
      </c>
      <c r="F180" t="s">
        <v>135</v>
      </c>
      <c r="G180" t="s">
        <v>135</v>
      </c>
      <c r="H180" t="s">
        <v>73</v>
      </c>
      <c r="I180">
        <v>10</v>
      </c>
      <c r="K180">
        <v>7.014406393348624</v>
      </c>
      <c r="L180">
        <v>46231</v>
      </c>
      <c r="M180" t="s">
        <v>217</v>
      </c>
      <c r="N180">
        <v>4.75</v>
      </c>
      <c r="O180">
        <v>4.75</v>
      </c>
      <c r="P180">
        <v>5.2297794117647047</v>
      </c>
      <c r="Q180">
        <v>0.67717775869162122</v>
      </c>
      <c r="R180">
        <v>0.67717775869162122</v>
      </c>
      <c r="S180">
        <v>0.74557690537061228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6.8399146678991052E-2</v>
      </c>
      <c r="AD180">
        <v>0.25442309462938772</v>
      </c>
      <c r="AE180">
        <v>0</v>
      </c>
      <c r="AF180">
        <v>0</v>
      </c>
      <c r="AG180">
        <v>0</v>
      </c>
      <c r="AH180">
        <v>0.67717775869162122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1.4767171354418156</v>
      </c>
      <c r="AO180">
        <v>1.4767171354418156</v>
      </c>
      <c r="AP180">
        <v>1.1010061919504641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0.10100619195046412</v>
      </c>
      <c r="AX180">
        <v>0</v>
      </c>
      <c r="AY180">
        <v>0.37571094349135148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1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0.90826010544815483</v>
      </c>
      <c r="BL180">
        <v>0.90826010544815483</v>
      </c>
      <c r="BM180">
        <v>1.3412432611534806</v>
      </c>
      <c r="BN180">
        <v>0.34124326115348058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0.32282224130837878</v>
      </c>
      <c r="BX180">
        <v>0</v>
      </c>
      <c r="BY180">
        <v>0</v>
      </c>
      <c r="BZ180">
        <v>0</v>
      </c>
      <c r="CA180">
        <v>0</v>
      </c>
      <c r="CB180">
        <v>0.90826010544815483</v>
      </c>
      <c r="CC180">
        <v>0</v>
      </c>
      <c r="CD180">
        <v>0</v>
      </c>
      <c r="CE180">
        <v>0</v>
      </c>
      <c r="CF180">
        <v>0</v>
      </c>
      <c r="CG180">
        <v>0</v>
      </c>
    </row>
    <row r="181" spans="1:85" x14ac:dyDescent="0.25">
      <c r="A181" t="s">
        <v>128</v>
      </c>
      <c r="B181" t="s">
        <v>145</v>
      </c>
      <c r="C181" t="s">
        <v>109</v>
      </c>
      <c r="D181" s="12">
        <v>46233</v>
      </c>
      <c r="E181" t="s">
        <v>136</v>
      </c>
      <c r="F181" t="s">
        <v>136</v>
      </c>
      <c r="G181" t="s">
        <v>136</v>
      </c>
      <c r="K181">
        <v>6.7786480661254069</v>
      </c>
      <c r="N181">
        <v>0.95</v>
      </c>
      <c r="O181">
        <v>0.95</v>
      </c>
      <c r="P181">
        <v>10.331963667820069</v>
      </c>
      <c r="T181">
        <v>0.52419237096132276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0.39110406076067189</v>
      </c>
      <c r="AD181">
        <v>0</v>
      </c>
      <c r="AE181">
        <v>0</v>
      </c>
      <c r="AF181">
        <v>0</v>
      </c>
      <c r="AG181">
        <v>0</v>
      </c>
      <c r="AH181">
        <v>0.14014593923932805</v>
      </c>
      <c r="AI181">
        <v>0</v>
      </c>
      <c r="AJ181">
        <v>0</v>
      </c>
      <c r="AK181">
        <v>0</v>
      </c>
      <c r="AM181">
        <v>0</v>
      </c>
    </row>
    <row r="182" spans="1:85" x14ac:dyDescent="0.25">
      <c r="A182" t="s">
        <v>128</v>
      </c>
      <c r="B182" t="s">
        <v>145</v>
      </c>
      <c r="C182" t="s">
        <v>72</v>
      </c>
      <c r="D182" s="12">
        <v>46230</v>
      </c>
      <c r="E182" t="s">
        <v>135</v>
      </c>
      <c r="F182" t="s">
        <v>135</v>
      </c>
      <c r="G182" t="s">
        <v>135</v>
      </c>
      <c r="H182" t="s">
        <v>75</v>
      </c>
      <c r="I182">
        <v>10</v>
      </c>
      <c r="K182">
        <v>3.3711289800323798</v>
      </c>
      <c r="L182">
        <v>46230</v>
      </c>
      <c r="M182" t="s">
        <v>218</v>
      </c>
      <c r="N182">
        <v>3.8</v>
      </c>
      <c r="O182">
        <v>3.8</v>
      </c>
      <c r="P182">
        <v>3.1548442906574392</v>
      </c>
      <c r="Q182">
        <v>1.1272188108220946</v>
      </c>
      <c r="R182">
        <v>1.1272188108220946</v>
      </c>
      <c r="S182">
        <v>0.93584206043256668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0.12721881082209463</v>
      </c>
      <c r="AC182">
        <v>0</v>
      </c>
      <c r="AD182">
        <v>0</v>
      </c>
      <c r="AE182">
        <v>0</v>
      </c>
      <c r="AF182">
        <v>6.415793956743332E-2</v>
      </c>
      <c r="AG182">
        <v>0</v>
      </c>
      <c r="AH182">
        <v>0.93584206043256668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0.88713920527167889</v>
      </c>
      <c r="AO182">
        <v>0.88713920527167889</v>
      </c>
      <c r="AP182">
        <v>0.83022218175195772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0.11286079472832111</v>
      </c>
      <c r="BB182">
        <v>0</v>
      </c>
      <c r="BC182">
        <v>5.6917023519721166E-2</v>
      </c>
      <c r="BD182">
        <v>0</v>
      </c>
      <c r="BE182">
        <v>0.83022218175195772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1.2044968467233343</v>
      </c>
      <c r="BL182">
        <v>1.2044968467233343</v>
      </c>
      <c r="BM182">
        <v>1.0685563753543821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6.8556375354382082E-2</v>
      </c>
      <c r="BU182">
        <v>0</v>
      </c>
      <c r="BV182">
        <v>0.13594047136895226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1</v>
      </c>
      <c r="CC182">
        <v>0</v>
      </c>
      <c r="CD182">
        <v>0</v>
      </c>
      <c r="CE182">
        <v>0</v>
      </c>
      <c r="CF182">
        <v>0</v>
      </c>
      <c r="CG182">
        <v>0</v>
      </c>
    </row>
    <row r="183" spans="1:85" x14ac:dyDescent="0.25">
      <c r="A183" t="s">
        <v>128</v>
      </c>
      <c r="B183" t="s">
        <v>145</v>
      </c>
      <c r="C183" t="s">
        <v>72</v>
      </c>
      <c r="D183" s="12">
        <v>46230</v>
      </c>
      <c r="E183" t="s">
        <v>135</v>
      </c>
      <c r="F183" t="s">
        <v>135</v>
      </c>
      <c r="G183" t="s">
        <v>135</v>
      </c>
      <c r="H183" t="s">
        <v>74</v>
      </c>
      <c r="I183">
        <v>10</v>
      </c>
      <c r="K183">
        <v>1.2735376146788993</v>
      </c>
      <c r="L183">
        <v>46230</v>
      </c>
      <c r="M183" t="s">
        <v>219</v>
      </c>
      <c r="N183">
        <v>0</v>
      </c>
      <c r="O183">
        <v>0</v>
      </c>
      <c r="P183">
        <v>0.94117647058823517</v>
      </c>
      <c r="Q183">
        <v>0</v>
      </c>
      <c r="R183">
        <v>0</v>
      </c>
      <c r="S183">
        <v>0.73902526296840998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0.73902526296840998</v>
      </c>
      <c r="AD183">
        <v>0.26097473703159002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K183">
        <v>0</v>
      </c>
      <c r="BL183">
        <v>0</v>
      </c>
      <c r="BM183">
        <v>1.3531337155963306</v>
      </c>
      <c r="BN183">
        <v>0.35313371559633056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</row>
    <row r="184" spans="1:85" x14ac:dyDescent="0.25">
      <c r="A184" t="s">
        <v>128</v>
      </c>
      <c r="B184" t="s">
        <v>145</v>
      </c>
      <c r="C184" t="s">
        <v>117</v>
      </c>
      <c r="D184" s="12">
        <v>46250</v>
      </c>
      <c r="K184">
        <v>40.046084309064085</v>
      </c>
      <c r="N184">
        <v>24.7</v>
      </c>
      <c r="O184">
        <v>24.7</v>
      </c>
      <c r="P184">
        <v>42.453719723183383</v>
      </c>
      <c r="T184">
        <v>7.7716128895580952E-2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1.1671413085474059E-2</v>
      </c>
      <c r="AA184">
        <v>0</v>
      </c>
      <c r="AB184">
        <v>1.5607019032783085E-3</v>
      </c>
      <c r="AC184">
        <v>0.28783093256515119</v>
      </c>
      <c r="AD184">
        <v>2.9265923209594702E-2</v>
      </c>
      <c r="AE184">
        <v>0</v>
      </c>
      <c r="AF184">
        <v>0</v>
      </c>
      <c r="AG184">
        <v>0</v>
      </c>
      <c r="AH184">
        <v>0.60355727718683583</v>
      </c>
      <c r="AI184">
        <v>0</v>
      </c>
      <c r="AJ184">
        <v>0</v>
      </c>
      <c r="AK184">
        <v>0</v>
      </c>
      <c r="AM184">
        <v>0</v>
      </c>
    </row>
    <row r="185" spans="1:85" x14ac:dyDescent="0.25">
      <c r="A185" t="s">
        <v>128</v>
      </c>
      <c r="B185" t="s">
        <v>145</v>
      </c>
      <c r="C185" t="s">
        <v>72</v>
      </c>
      <c r="D185" s="12">
        <v>46230</v>
      </c>
      <c r="E185" t="s">
        <v>135</v>
      </c>
      <c r="F185" t="s">
        <v>135</v>
      </c>
      <c r="G185" t="s">
        <v>135</v>
      </c>
      <c r="H185" t="s">
        <v>73</v>
      </c>
      <c r="I185">
        <v>10</v>
      </c>
      <c r="K185">
        <v>3.5072031966743116</v>
      </c>
      <c r="L185">
        <v>46230</v>
      </c>
      <c r="M185" t="s">
        <v>220</v>
      </c>
      <c r="N185">
        <v>4.75</v>
      </c>
      <c r="O185">
        <v>4.75</v>
      </c>
      <c r="P185">
        <v>1.703125</v>
      </c>
      <c r="Q185">
        <v>1.3543555173832427</v>
      </c>
      <c r="R185">
        <v>1.3543555173832427</v>
      </c>
      <c r="S185">
        <v>0.48560773485122849</v>
      </c>
      <c r="T185">
        <v>0</v>
      </c>
      <c r="U185">
        <v>0</v>
      </c>
      <c r="V185">
        <v>0.10435551738324267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0.25</v>
      </c>
      <c r="AC185">
        <v>0</v>
      </c>
      <c r="AD185">
        <v>0</v>
      </c>
      <c r="AE185">
        <v>0</v>
      </c>
      <c r="AF185">
        <v>0.51439226514877157</v>
      </c>
      <c r="AG185">
        <v>0</v>
      </c>
      <c r="AH185">
        <v>0.48560773485122849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0.73835856772090769</v>
      </c>
      <c r="AO185">
        <v>0.73835856772090769</v>
      </c>
      <c r="AP185">
        <v>0.35855263157894735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0.26164143227909231</v>
      </c>
      <c r="BB185">
        <v>0</v>
      </c>
      <c r="BC185">
        <v>0.37980593614196034</v>
      </c>
      <c r="BD185">
        <v>0</v>
      </c>
      <c r="BE185">
        <v>0.35855263157894735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2.7889908256880735</v>
      </c>
      <c r="BL185">
        <v>2.7889908256880735</v>
      </c>
      <c r="BM185">
        <v>2.0592752714417975</v>
      </c>
      <c r="CD185">
        <v>0</v>
      </c>
      <c r="CE185">
        <v>0</v>
      </c>
      <c r="CF185">
        <v>0</v>
      </c>
    </row>
    <row r="186" spans="1:85" x14ac:dyDescent="0.25">
      <c r="A186" t="s">
        <v>128</v>
      </c>
      <c r="B186" t="s">
        <v>145</v>
      </c>
      <c r="C186" t="s">
        <v>72</v>
      </c>
      <c r="D186" s="12">
        <v>46229</v>
      </c>
      <c r="E186" t="s">
        <v>135</v>
      </c>
      <c r="F186" t="s">
        <v>135</v>
      </c>
      <c r="G186" t="s">
        <v>135</v>
      </c>
      <c r="H186" t="s">
        <v>75</v>
      </c>
      <c r="I186">
        <v>10</v>
      </c>
      <c r="K186">
        <v>3.3711289800323798</v>
      </c>
      <c r="L186">
        <v>46229</v>
      </c>
      <c r="M186" t="s">
        <v>221</v>
      </c>
      <c r="N186">
        <v>1.9</v>
      </c>
      <c r="O186">
        <v>1.9</v>
      </c>
      <c r="P186">
        <v>3.2655709342560537</v>
      </c>
      <c r="Q186">
        <v>0.56360940541104732</v>
      </c>
      <c r="R186">
        <v>0.56360940541104732</v>
      </c>
      <c r="S186">
        <v>0.96868762767560668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0.40507822226455936</v>
      </c>
      <c r="AD186">
        <v>3.1312372324393323E-2</v>
      </c>
      <c r="AE186">
        <v>0</v>
      </c>
      <c r="AF186">
        <v>0</v>
      </c>
      <c r="AG186">
        <v>0</v>
      </c>
      <c r="AH186">
        <v>0.56360940541104732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1.7742784105433578</v>
      </c>
      <c r="AO186">
        <v>1.7742784105433578</v>
      </c>
      <c r="AP186">
        <v>1.7187215443452915</v>
      </c>
      <c r="BG186">
        <v>0</v>
      </c>
      <c r="BH186">
        <v>0</v>
      </c>
      <c r="BI186">
        <v>0</v>
      </c>
      <c r="BK186">
        <v>0.58182781456953669</v>
      </c>
      <c r="BL186">
        <v>0.58182781456953669</v>
      </c>
      <c r="BM186">
        <v>1.0323245300443531</v>
      </c>
      <c r="BN186">
        <v>3.2324530044353095E-2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0.43639059458895268</v>
      </c>
      <c r="BX186">
        <v>0</v>
      </c>
      <c r="BY186">
        <v>0</v>
      </c>
      <c r="BZ186">
        <v>0</v>
      </c>
      <c r="CA186">
        <v>0</v>
      </c>
      <c r="CB186">
        <v>0.58182781456953669</v>
      </c>
      <c r="CC186">
        <v>0</v>
      </c>
      <c r="CD186">
        <v>0</v>
      </c>
      <c r="CE186">
        <v>0</v>
      </c>
      <c r="CF186">
        <v>0</v>
      </c>
      <c r="CG186">
        <v>0</v>
      </c>
    </row>
    <row r="187" spans="1:85" x14ac:dyDescent="0.25">
      <c r="A187" t="s">
        <v>128</v>
      </c>
      <c r="B187" t="s">
        <v>145</v>
      </c>
      <c r="C187" t="s">
        <v>109</v>
      </c>
      <c r="D187" s="12">
        <v>46233</v>
      </c>
      <c r="E187" t="s">
        <v>135</v>
      </c>
      <c r="F187" t="s">
        <v>135</v>
      </c>
      <c r="G187" t="s">
        <v>135</v>
      </c>
      <c r="K187">
        <v>10.390510129688344</v>
      </c>
      <c r="N187">
        <v>6.6499999999999995</v>
      </c>
      <c r="O187">
        <v>6.6499999999999995</v>
      </c>
      <c r="P187">
        <v>8.646637110726644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2.1544054732207038E-2</v>
      </c>
      <c r="AA187">
        <v>0</v>
      </c>
      <c r="AB187">
        <v>1.9731206502775638E-2</v>
      </c>
      <c r="AC187">
        <v>0.21189088738521286</v>
      </c>
      <c r="AD187">
        <v>0.18937729845130119</v>
      </c>
      <c r="AE187">
        <v>0</v>
      </c>
      <c r="AF187">
        <v>0</v>
      </c>
      <c r="AG187">
        <v>0</v>
      </c>
      <c r="AH187">
        <v>0.59873181416348586</v>
      </c>
      <c r="AI187">
        <v>0</v>
      </c>
      <c r="AJ187">
        <v>0</v>
      </c>
      <c r="AK187">
        <v>0</v>
      </c>
      <c r="AL187">
        <v>0</v>
      </c>
      <c r="AM187">
        <v>0</v>
      </c>
    </row>
    <row r="188" spans="1:85" x14ac:dyDescent="0.25">
      <c r="A188" t="s">
        <v>128</v>
      </c>
      <c r="B188" t="s">
        <v>145</v>
      </c>
      <c r="C188" t="s">
        <v>72</v>
      </c>
      <c r="D188" s="12">
        <v>46229</v>
      </c>
      <c r="E188" t="s">
        <v>135</v>
      </c>
      <c r="F188" t="s">
        <v>135</v>
      </c>
      <c r="G188" t="s">
        <v>135</v>
      </c>
      <c r="H188" t="s">
        <v>74</v>
      </c>
      <c r="I188">
        <v>10</v>
      </c>
      <c r="K188">
        <v>1.2735376146788993</v>
      </c>
      <c r="L188">
        <v>46229</v>
      </c>
      <c r="M188" t="s">
        <v>222</v>
      </c>
      <c r="N188">
        <v>0</v>
      </c>
      <c r="O188">
        <v>0</v>
      </c>
      <c r="P188">
        <v>0.94117647058823517</v>
      </c>
      <c r="Q188">
        <v>0</v>
      </c>
      <c r="R188">
        <v>0</v>
      </c>
      <c r="S188">
        <v>0.73902526296840998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0.73902526296840998</v>
      </c>
      <c r="AD188">
        <v>0.26097473703159002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K188">
        <v>0</v>
      </c>
      <c r="BL188">
        <v>0</v>
      </c>
      <c r="BM188">
        <v>1.3531337155963306</v>
      </c>
      <c r="BN188">
        <v>0.35313371559633056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</row>
    <row r="189" spans="1:85" x14ac:dyDescent="0.25">
      <c r="A189" t="s">
        <v>128</v>
      </c>
      <c r="B189" t="s">
        <v>145</v>
      </c>
      <c r="C189" t="s">
        <v>109</v>
      </c>
      <c r="D189" s="12">
        <v>46234</v>
      </c>
      <c r="E189" t="s">
        <v>134</v>
      </c>
      <c r="F189" t="s">
        <v>134</v>
      </c>
      <c r="G189" t="s">
        <v>134</v>
      </c>
      <c r="K189">
        <v>26.220922841721428</v>
      </c>
      <c r="N189">
        <v>34.200000000000003</v>
      </c>
      <c r="O189">
        <v>34.200000000000003</v>
      </c>
      <c r="P189">
        <v>27.625</v>
      </c>
      <c r="T189">
        <v>1.7825245711150687E-2</v>
      </c>
      <c r="U189">
        <v>0</v>
      </c>
      <c r="V189">
        <v>0.20154350810942645</v>
      </c>
      <c r="W189">
        <v>0</v>
      </c>
      <c r="X189">
        <v>0</v>
      </c>
      <c r="Y189">
        <v>0</v>
      </c>
      <c r="Z189">
        <v>3.5722723090484076E-2</v>
      </c>
      <c r="AA189">
        <v>0</v>
      </c>
      <c r="AB189">
        <v>8.3057459028390693E-2</v>
      </c>
      <c r="AC189">
        <v>1.6021770481119031E-2</v>
      </c>
      <c r="AD189">
        <v>0</v>
      </c>
      <c r="AE189">
        <v>0</v>
      </c>
      <c r="AF189">
        <v>0</v>
      </c>
      <c r="AG189">
        <v>0</v>
      </c>
      <c r="AH189">
        <v>0.98397822951888092</v>
      </c>
      <c r="AI189">
        <v>0</v>
      </c>
      <c r="AJ189">
        <v>0</v>
      </c>
      <c r="AK189">
        <v>0</v>
      </c>
      <c r="AL189">
        <v>0</v>
      </c>
      <c r="AM189">
        <v>0</v>
      </c>
    </row>
    <row r="190" spans="1:85" x14ac:dyDescent="0.25">
      <c r="A190" t="s">
        <v>128</v>
      </c>
      <c r="B190" t="s">
        <v>145</v>
      </c>
      <c r="C190" t="s">
        <v>72</v>
      </c>
      <c r="D190" s="12">
        <v>46229</v>
      </c>
      <c r="E190" t="s">
        <v>135</v>
      </c>
      <c r="F190" t="s">
        <v>135</v>
      </c>
      <c r="G190" t="s">
        <v>135</v>
      </c>
      <c r="H190" t="s">
        <v>73</v>
      </c>
      <c r="I190">
        <v>10</v>
      </c>
      <c r="K190">
        <v>3.507203196674312</v>
      </c>
      <c r="L190">
        <v>46229</v>
      </c>
      <c r="M190" t="s">
        <v>223</v>
      </c>
      <c r="N190">
        <v>4.75</v>
      </c>
      <c r="O190">
        <v>4.75</v>
      </c>
      <c r="P190">
        <v>3.5854779411764701</v>
      </c>
      <c r="Q190">
        <v>1.3543555173832424</v>
      </c>
      <c r="R190">
        <v>1.3543555173832424</v>
      </c>
      <c r="S190">
        <v>1.022318280439634</v>
      </c>
      <c r="T190">
        <v>0</v>
      </c>
      <c r="U190">
        <v>0</v>
      </c>
      <c r="V190">
        <v>0.10435551738324245</v>
      </c>
      <c r="W190">
        <v>0</v>
      </c>
      <c r="X190">
        <v>0</v>
      </c>
      <c r="Y190">
        <v>0</v>
      </c>
      <c r="Z190">
        <v>2.231828043963402E-2</v>
      </c>
      <c r="AA190">
        <v>0</v>
      </c>
      <c r="AB190">
        <v>0.22768171956036598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0.7383585677209078</v>
      </c>
      <c r="AO190">
        <v>0.7383585677209078</v>
      </c>
      <c r="AP190">
        <v>0.75483746130030949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0.24516253869969051</v>
      </c>
      <c r="BB190">
        <v>0</v>
      </c>
      <c r="BC190">
        <v>0</v>
      </c>
      <c r="BD190">
        <v>0</v>
      </c>
      <c r="BE190">
        <v>0.7383585677209078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1.3247885157651886</v>
      </c>
      <c r="BL190">
        <v>1.3247885157651886</v>
      </c>
      <c r="BM190">
        <v>0.97816895103349188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0.32478851576518863</v>
      </c>
      <c r="BW190">
        <v>0</v>
      </c>
      <c r="BX190">
        <v>0</v>
      </c>
      <c r="BY190">
        <v>0</v>
      </c>
      <c r="BZ190">
        <v>2.1831048966508115E-2</v>
      </c>
      <c r="CA190">
        <v>0</v>
      </c>
      <c r="CB190">
        <v>0.97816895103349188</v>
      </c>
      <c r="CC190">
        <v>0</v>
      </c>
      <c r="CD190">
        <v>0</v>
      </c>
      <c r="CE190">
        <v>0</v>
      </c>
      <c r="CF190">
        <v>0</v>
      </c>
      <c r="CG190">
        <v>0</v>
      </c>
    </row>
    <row r="191" spans="1:85" x14ac:dyDescent="0.25">
      <c r="A191" t="s">
        <v>128</v>
      </c>
      <c r="B191" t="s">
        <v>145</v>
      </c>
      <c r="C191" t="s">
        <v>72</v>
      </c>
      <c r="D191" s="12">
        <v>46228</v>
      </c>
      <c r="E191" t="s">
        <v>135</v>
      </c>
      <c r="F191" t="s">
        <v>135</v>
      </c>
      <c r="G191" t="s">
        <v>135</v>
      </c>
      <c r="H191" t="s">
        <v>75</v>
      </c>
      <c r="I191">
        <v>10</v>
      </c>
      <c r="K191">
        <v>3.3711289800323798</v>
      </c>
      <c r="L191">
        <v>46228</v>
      </c>
      <c r="M191" t="s">
        <v>224</v>
      </c>
      <c r="N191">
        <v>2.8499999999999996</v>
      </c>
      <c r="O191">
        <v>2.8499999999999996</v>
      </c>
      <c r="P191">
        <v>3.1003460207612457</v>
      </c>
      <c r="Q191">
        <v>0.84541410811657092</v>
      </c>
      <c r="R191">
        <v>0.84541410811657092</v>
      </c>
      <c r="S191">
        <v>0.91967588280513279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7.4261774688561877E-2</v>
      </c>
      <c r="AD191">
        <v>8.0324117194867206E-2</v>
      </c>
      <c r="AE191">
        <v>0</v>
      </c>
      <c r="AF191">
        <v>0</v>
      </c>
      <c r="AG191">
        <v>0</v>
      </c>
      <c r="AH191">
        <v>0.84541410811657092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1.182852273695572</v>
      </c>
      <c r="AO191">
        <v>1.182852273695572</v>
      </c>
      <c r="AP191">
        <v>1.0878407090390336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8.7840709039033626E-2</v>
      </c>
      <c r="AX191">
        <v>0</v>
      </c>
      <c r="AY191">
        <v>9.5011564656538372E-2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1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0.91925223214285701</v>
      </c>
      <c r="BL191">
        <v>0.91925223214285701</v>
      </c>
      <c r="BM191">
        <v>1.0873395928899083</v>
      </c>
      <c r="BN191">
        <v>8.7339592889908335E-2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0.15458589188342908</v>
      </c>
      <c r="BX191">
        <v>0</v>
      </c>
      <c r="BY191">
        <v>0</v>
      </c>
      <c r="BZ191">
        <v>0</v>
      </c>
      <c r="CA191">
        <v>0</v>
      </c>
      <c r="CB191">
        <v>0.91925223214285701</v>
      </c>
      <c r="CC191">
        <v>0</v>
      </c>
      <c r="CD191">
        <v>0</v>
      </c>
      <c r="CE191">
        <v>0</v>
      </c>
      <c r="CF191">
        <v>0</v>
      </c>
      <c r="CG191">
        <v>0</v>
      </c>
    </row>
    <row r="192" spans="1:85" x14ac:dyDescent="0.25">
      <c r="A192" t="s">
        <v>128</v>
      </c>
      <c r="B192" t="s">
        <v>145</v>
      </c>
      <c r="C192" t="s">
        <v>72</v>
      </c>
      <c r="D192" s="12">
        <v>46228</v>
      </c>
      <c r="E192" t="s">
        <v>135</v>
      </c>
      <c r="F192" t="s">
        <v>135</v>
      </c>
      <c r="G192" t="s">
        <v>135</v>
      </c>
      <c r="H192" t="s">
        <v>74</v>
      </c>
      <c r="I192">
        <v>10</v>
      </c>
      <c r="K192">
        <v>1.2735376146788993</v>
      </c>
      <c r="L192">
        <v>46228</v>
      </c>
      <c r="M192" t="s">
        <v>225</v>
      </c>
      <c r="N192">
        <v>0</v>
      </c>
      <c r="O192">
        <v>0</v>
      </c>
      <c r="P192">
        <v>0.94117647058823517</v>
      </c>
      <c r="Q192">
        <v>0</v>
      </c>
      <c r="R192">
        <v>0</v>
      </c>
      <c r="S192">
        <v>0.73902526296840998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0.73902526296840998</v>
      </c>
      <c r="AD192">
        <v>0.26097473703159002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K192">
        <v>0</v>
      </c>
      <c r="BL192">
        <v>0</v>
      </c>
      <c r="BM192">
        <v>1.3531337155963306</v>
      </c>
      <c r="BN192">
        <v>0.35313371559633056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</row>
    <row r="193" spans="1:85" x14ac:dyDescent="0.25">
      <c r="A193" t="s">
        <v>128</v>
      </c>
      <c r="B193" t="s">
        <v>145</v>
      </c>
      <c r="C193" t="s">
        <v>109</v>
      </c>
      <c r="D193" s="12">
        <v>46234</v>
      </c>
      <c r="E193" t="s">
        <v>136</v>
      </c>
      <c r="F193" t="s">
        <v>136</v>
      </c>
      <c r="G193" t="s">
        <v>136</v>
      </c>
      <c r="K193">
        <v>6.7786480661254078</v>
      </c>
      <c r="N193">
        <v>0.95</v>
      </c>
      <c r="O193">
        <v>0.95</v>
      </c>
      <c r="P193">
        <v>9.3977076124567454</v>
      </c>
      <c r="T193">
        <v>0.38636901057298301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0.39110406076067206</v>
      </c>
      <c r="AD193">
        <v>0</v>
      </c>
      <c r="AE193">
        <v>0</v>
      </c>
      <c r="AF193">
        <v>0</v>
      </c>
      <c r="AG193">
        <v>0</v>
      </c>
      <c r="AH193">
        <v>0.14014593923932803</v>
      </c>
      <c r="AI193">
        <v>0</v>
      </c>
      <c r="AJ193">
        <v>0</v>
      </c>
      <c r="AK193">
        <v>0</v>
      </c>
      <c r="AM193">
        <v>0</v>
      </c>
    </row>
    <row r="194" spans="1:85" x14ac:dyDescent="0.25">
      <c r="A194" t="s">
        <v>128</v>
      </c>
      <c r="B194" t="s">
        <v>145</v>
      </c>
      <c r="C194" t="s">
        <v>72</v>
      </c>
      <c r="D194" s="12">
        <v>46228</v>
      </c>
      <c r="E194" t="s">
        <v>135</v>
      </c>
      <c r="F194" t="s">
        <v>135</v>
      </c>
      <c r="G194" t="s">
        <v>135</v>
      </c>
      <c r="H194" t="s">
        <v>73</v>
      </c>
      <c r="I194">
        <v>10</v>
      </c>
      <c r="K194">
        <v>2.3878830275229359</v>
      </c>
      <c r="L194">
        <v>46228</v>
      </c>
      <c r="M194" t="s">
        <v>226</v>
      </c>
      <c r="N194">
        <v>2.8499999999999996</v>
      </c>
      <c r="O194">
        <v>2.8499999999999996</v>
      </c>
      <c r="P194">
        <v>3.8235294117647038</v>
      </c>
      <c r="Q194">
        <v>1.1935257996939823</v>
      </c>
      <c r="R194">
        <v>1.1935257996939823</v>
      </c>
      <c r="S194">
        <v>1.6012214030982213</v>
      </c>
      <c r="T194">
        <v>0.40769560340423894</v>
      </c>
      <c r="U194">
        <v>0</v>
      </c>
      <c r="V194">
        <v>0</v>
      </c>
      <c r="W194">
        <v>0</v>
      </c>
      <c r="X194">
        <v>0</v>
      </c>
      <c r="Y194">
        <v>5.6474200306017686E-2</v>
      </c>
      <c r="Z194">
        <v>0.19352579969398231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1</v>
      </c>
      <c r="AN194">
        <v>0.83785369386769692</v>
      </c>
      <c r="AO194">
        <v>0.83785369386769692</v>
      </c>
      <c r="AP194">
        <v>1.3415892672858611</v>
      </c>
      <c r="AQ194">
        <v>0.34158926728586114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0.83785369386769692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0.74538461538461565</v>
      </c>
      <c r="BL194">
        <v>0.74538461538461565</v>
      </c>
      <c r="BM194">
        <v>0.62452325335215275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0</v>
      </c>
      <c r="BX194">
        <v>0.25461538461538435</v>
      </c>
      <c r="BY194">
        <v>0</v>
      </c>
      <c r="BZ194">
        <v>0.12086136203246289</v>
      </c>
      <c r="CA194">
        <v>0</v>
      </c>
      <c r="CB194">
        <v>0.62452325335215275</v>
      </c>
      <c r="CC194">
        <v>0</v>
      </c>
      <c r="CD194">
        <v>0</v>
      </c>
      <c r="CE194">
        <v>0</v>
      </c>
      <c r="CF194">
        <v>0</v>
      </c>
      <c r="CG194">
        <v>0</v>
      </c>
    </row>
    <row r="195" spans="1:85" x14ac:dyDescent="0.25">
      <c r="A195" t="s">
        <v>128</v>
      </c>
      <c r="B195" t="s">
        <v>145</v>
      </c>
      <c r="C195" t="s">
        <v>109</v>
      </c>
      <c r="D195" s="12">
        <v>46234</v>
      </c>
      <c r="E195" t="s">
        <v>135</v>
      </c>
      <c r="F195" t="s">
        <v>135</v>
      </c>
      <c r="G195" t="s">
        <v>135</v>
      </c>
      <c r="K195">
        <v>8.0728589559160824</v>
      </c>
      <c r="N195">
        <v>6.6499999999999995</v>
      </c>
      <c r="O195">
        <v>6.6499999999999995</v>
      </c>
      <c r="P195">
        <v>6.7054606401384085</v>
      </c>
      <c r="T195">
        <v>0</v>
      </c>
      <c r="U195">
        <v>0</v>
      </c>
      <c r="V195">
        <v>5.0447865118676454E-3</v>
      </c>
      <c r="W195">
        <v>0</v>
      </c>
      <c r="X195">
        <v>0</v>
      </c>
      <c r="Y195">
        <v>0</v>
      </c>
      <c r="Z195">
        <v>5.0339899479390715E-2</v>
      </c>
      <c r="AA195">
        <v>0</v>
      </c>
      <c r="AB195">
        <v>1.9258099578136401E-2</v>
      </c>
      <c r="AC195">
        <v>0.11658527365927866</v>
      </c>
      <c r="AD195">
        <v>0.13430968771127527</v>
      </c>
      <c r="AE195">
        <v>0</v>
      </c>
      <c r="AF195">
        <v>8.5412375292178599E-2</v>
      </c>
      <c r="AG195">
        <v>0</v>
      </c>
      <c r="AH195">
        <v>0.66369266333726762</v>
      </c>
      <c r="AI195">
        <v>0</v>
      </c>
      <c r="AJ195">
        <v>0</v>
      </c>
      <c r="AK195">
        <v>0</v>
      </c>
      <c r="AL195">
        <v>0</v>
      </c>
      <c r="AM195">
        <v>0</v>
      </c>
    </row>
    <row r="196" spans="1:85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135</v>
      </c>
      <c r="F196" t="s">
        <v>135</v>
      </c>
      <c r="G196" t="s">
        <v>135</v>
      </c>
      <c r="H196" t="s">
        <v>75</v>
      </c>
      <c r="I196">
        <v>10</v>
      </c>
      <c r="K196">
        <v>2.2474193200215873</v>
      </c>
      <c r="L196">
        <v>46227</v>
      </c>
      <c r="M196" t="s">
        <v>227</v>
      </c>
      <c r="N196">
        <v>3.8</v>
      </c>
      <c r="O196">
        <v>3.8</v>
      </c>
      <c r="P196">
        <v>2.9307958477508644</v>
      </c>
      <c r="Q196">
        <v>1.6908282162331414</v>
      </c>
      <c r="R196">
        <v>1.6908282162331414</v>
      </c>
      <c r="S196">
        <v>1.3040716619463399</v>
      </c>
      <c r="T196">
        <v>0</v>
      </c>
      <c r="U196">
        <v>0</v>
      </c>
      <c r="V196">
        <v>0.38675655428680145</v>
      </c>
      <c r="W196">
        <v>0</v>
      </c>
      <c r="X196">
        <v>5.4071661946339944E-2</v>
      </c>
      <c r="Y196">
        <v>0</v>
      </c>
      <c r="Z196">
        <v>0.25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0.59142613684778611</v>
      </c>
      <c r="AO196">
        <v>0.59142613684778611</v>
      </c>
      <c r="AP196">
        <v>0.77126206519759599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0.22873793480240401</v>
      </c>
      <c r="BB196">
        <v>0</v>
      </c>
      <c r="BC196">
        <v>0</v>
      </c>
      <c r="BD196">
        <v>0</v>
      </c>
      <c r="BE196">
        <v>0.59142613684778611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1.2965761511216058</v>
      </c>
      <c r="BL196">
        <v>1.2965761511216058</v>
      </c>
      <c r="BM196">
        <v>0.76682902418682275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0.29657615112160585</v>
      </c>
      <c r="BW196">
        <v>0</v>
      </c>
      <c r="BX196">
        <v>0</v>
      </c>
      <c r="BY196">
        <v>0</v>
      </c>
      <c r="BZ196">
        <v>0.23317097581317725</v>
      </c>
      <c r="CA196">
        <v>0</v>
      </c>
      <c r="CB196">
        <v>0.76682902418682275</v>
      </c>
      <c r="CC196">
        <v>0</v>
      </c>
      <c r="CD196">
        <v>0</v>
      </c>
      <c r="CE196">
        <v>0</v>
      </c>
      <c r="CF196">
        <v>0</v>
      </c>
      <c r="CG196">
        <v>0</v>
      </c>
    </row>
    <row r="197" spans="1:85" x14ac:dyDescent="0.25">
      <c r="A197" t="s">
        <v>128</v>
      </c>
      <c r="B197" t="s">
        <v>145</v>
      </c>
      <c r="C197" t="s">
        <v>72</v>
      </c>
      <c r="D197" s="12">
        <v>46227</v>
      </c>
      <c r="E197" t="s">
        <v>135</v>
      </c>
      <c r="F197" t="s">
        <v>135</v>
      </c>
      <c r="G197" t="s">
        <v>135</v>
      </c>
      <c r="H197" t="s">
        <v>74</v>
      </c>
      <c r="I197">
        <v>10</v>
      </c>
      <c r="K197">
        <v>1.2735376146788993</v>
      </c>
      <c r="L197">
        <v>46227</v>
      </c>
      <c r="M197" t="s">
        <v>228</v>
      </c>
      <c r="N197">
        <v>0</v>
      </c>
      <c r="O197">
        <v>0</v>
      </c>
      <c r="P197">
        <v>0.94117647058823517</v>
      </c>
      <c r="Q197">
        <v>0</v>
      </c>
      <c r="R197">
        <v>0</v>
      </c>
      <c r="S197">
        <v>0.73902526296840998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0.73902526296840998</v>
      </c>
      <c r="AD197">
        <v>0.26097473703159002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K197">
        <v>0</v>
      </c>
      <c r="BL197">
        <v>0</v>
      </c>
      <c r="BM197">
        <v>1.3531337155963306</v>
      </c>
      <c r="BN197">
        <v>0.35313371559633056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</row>
    <row r="198" spans="1:85" x14ac:dyDescent="0.25">
      <c r="A198" t="s">
        <v>128</v>
      </c>
      <c r="B198" t="s">
        <v>145</v>
      </c>
      <c r="C198" t="s">
        <v>109</v>
      </c>
      <c r="D198" s="12">
        <v>46235</v>
      </c>
      <c r="E198" t="s">
        <v>134</v>
      </c>
      <c r="F198" t="s">
        <v>134</v>
      </c>
      <c r="G198" t="s">
        <v>134</v>
      </c>
      <c r="K198">
        <v>26.220922841721428</v>
      </c>
      <c r="N198">
        <v>29.449999999999996</v>
      </c>
      <c r="O198">
        <v>29.449999999999996</v>
      </c>
      <c r="P198">
        <v>27.0625</v>
      </c>
      <c r="T198">
        <v>1.0591748505045046E-2</v>
      </c>
      <c r="U198">
        <v>0</v>
      </c>
      <c r="V198">
        <v>9.0169278030351602E-2</v>
      </c>
      <c r="W198">
        <v>0</v>
      </c>
      <c r="X198">
        <v>0</v>
      </c>
      <c r="Y198">
        <v>0</v>
      </c>
      <c r="Z198">
        <v>2.1503886090221705E-2</v>
      </c>
      <c r="AA198">
        <v>0</v>
      </c>
      <c r="AB198">
        <v>0.1038551669028001</v>
      </c>
      <c r="AC198">
        <v>9.2379455685522055E-2</v>
      </c>
      <c r="AD198">
        <v>0</v>
      </c>
      <c r="AE198">
        <v>0</v>
      </c>
      <c r="AF198">
        <v>0</v>
      </c>
      <c r="AG198">
        <v>0</v>
      </c>
      <c r="AH198">
        <v>0.90762054431447792</v>
      </c>
      <c r="AI198">
        <v>0</v>
      </c>
      <c r="AJ198">
        <v>0</v>
      </c>
      <c r="AK198">
        <v>0</v>
      </c>
      <c r="AL198">
        <v>0</v>
      </c>
      <c r="AM198">
        <v>0</v>
      </c>
    </row>
    <row r="199" spans="1:85" x14ac:dyDescent="0.25">
      <c r="A199" t="s">
        <v>128</v>
      </c>
      <c r="B199" t="s">
        <v>145</v>
      </c>
      <c r="C199" t="s">
        <v>72</v>
      </c>
      <c r="D199" s="12">
        <v>46227</v>
      </c>
      <c r="E199" t="s">
        <v>135</v>
      </c>
      <c r="F199" t="s">
        <v>135</v>
      </c>
      <c r="G199" t="s">
        <v>135</v>
      </c>
      <c r="H199" t="s">
        <v>73</v>
      </c>
      <c r="I199">
        <v>10</v>
      </c>
      <c r="K199">
        <v>4.7757660550458727</v>
      </c>
      <c r="L199">
        <v>46227</v>
      </c>
      <c r="M199" t="s">
        <v>229</v>
      </c>
      <c r="N199">
        <v>2.8499999999999996</v>
      </c>
      <c r="O199">
        <v>2.8499999999999996</v>
      </c>
      <c r="P199">
        <v>1.9411764705882353</v>
      </c>
      <c r="Q199">
        <v>0.59676289984699105</v>
      </c>
      <c r="R199">
        <v>0.59676289984699105</v>
      </c>
      <c r="S199">
        <v>0.4064638946326255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0.40323710015300895</v>
      </c>
      <c r="AE199">
        <v>0</v>
      </c>
      <c r="AF199">
        <v>0.19029900521436555</v>
      </c>
      <c r="AG199">
        <v>0</v>
      </c>
      <c r="AH199">
        <v>0.4064638946326255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1.6757073877353941</v>
      </c>
      <c r="AO199">
        <v>1.6757073877353941</v>
      </c>
      <c r="AP199">
        <v>0.68111455108359142</v>
      </c>
      <c r="BG199">
        <v>0</v>
      </c>
      <c r="BH199">
        <v>0</v>
      </c>
      <c r="BI199">
        <v>0</v>
      </c>
      <c r="BK199">
        <v>1.468181818181818</v>
      </c>
      <c r="BL199">
        <v>1.468181818181818</v>
      </c>
      <c r="BM199">
        <v>2.4602431192660554</v>
      </c>
      <c r="BN199">
        <v>0.9920613010842374</v>
      </c>
      <c r="BO199">
        <v>0</v>
      </c>
      <c r="BP199">
        <v>0</v>
      </c>
      <c r="BQ199">
        <v>0</v>
      </c>
      <c r="BR199">
        <v>0</v>
      </c>
      <c r="BS199">
        <v>3.1818181818181968E-2</v>
      </c>
      <c r="BT199">
        <v>0.46818181818181803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</row>
    <row r="200" spans="1:85" x14ac:dyDescent="0.25">
      <c r="A200" t="s">
        <v>128</v>
      </c>
      <c r="B200" t="s">
        <v>145</v>
      </c>
      <c r="C200" t="s">
        <v>72</v>
      </c>
      <c r="D200" s="12">
        <v>46226</v>
      </c>
      <c r="E200" t="s">
        <v>135</v>
      </c>
      <c r="F200" t="s">
        <v>135</v>
      </c>
      <c r="G200" t="s">
        <v>135</v>
      </c>
      <c r="H200" t="s">
        <v>75</v>
      </c>
      <c r="I200">
        <v>10</v>
      </c>
      <c r="K200">
        <v>3.5115926875337284</v>
      </c>
      <c r="L200">
        <v>46226</v>
      </c>
      <c r="M200" t="s">
        <v>230</v>
      </c>
      <c r="N200">
        <v>3.8</v>
      </c>
      <c r="O200">
        <v>3.8</v>
      </c>
      <c r="P200">
        <v>3.1619012930249499</v>
      </c>
      <c r="Q200">
        <v>1.0821300583892111</v>
      </c>
      <c r="R200">
        <v>1.0821300583892111</v>
      </c>
      <c r="S200">
        <v>0.90041800811631867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8.2130058389211058E-2</v>
      </c>
      <c r="AC200">
        <v>0</v>
      </c>
      <c r="AD200">
        <v>0</v>
      </c>
      <c r="AE200">
        <v>0</v>
      </c>
      <c r="AF200">
        <v>9.9581991883681331E-2</v>
      </c>
      <c r="AG200">
        <v>0</v>
      </c>
      <c r="AH200">
        <v>0.90041800811631867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0.92410333882466544</v>
      </c>
      <c r="AO200">
        <v>0.92410333882466544</v>
      </c>
      <c r="AP200">
        <v>0.83207928763814476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7.5896661175334557E-2</v>
      </c>
      <c r="BB200">
        <v>0</v>
      </c>
      <c r="BC200">
        <v>9.2024051186520683E-2</v>
      </c>
      <c r="BD200">
        <v>0</v>
      </c>
      <c r="BE200">
        <v>0.83207928763814476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1.201808547402373</v>
      </c>
      <c r="BL200">
        <v>1.201808547402373</v>
      </c>
      <c r="BM200">
        <v>1.1105952912825541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0.11059529128255408</v>
      </c>
      <c r="BU200">
        <v>0</v>
      </c>
      <c r="BV200">
        <v>9.1213256119818897E-2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1</v>
      </c>
      <c r="CC200">
        <v>0</v>
      </c>
      <c r="CD200">
        <v>0</v>
      </c>
      <c r="CE200">
        <v>0</v>
      </c>
      <c r="CF200">
        <v>0</v>
      </c>
      <c r="CG200">
        <v>0</v>
      </c>
    </row>
    <row r="201" spans="1:85" x14ac:dyDescent="0.25">
      <c r="A201" t="s">
        <v>128</v>
      </c>
      <c r="B201" t="s">
        <v>145</v>
      </c>
      <c r="C201" t="s">
        <v>109</v>
      </c>
      <c r="D201" s="12">
        <v>46235</v>
      </c>
      <c r="E201" t="s">
        <v>136</v>
      </c>
      <c r="F201" t="s">
        <v>136</v>
      </c>
      <c r="G201" t="s">
        <v>136</v>
      </c>
      <c r="K201">
        <v>6.8316062541420131</v>
      </c>
      <c r="N201">
        <v>0</v>
      </c>
      <c r="O201">
        <v>0</v>
      </c>
      <c r="P201">
        <v>8.5121107266435985</v>
      </c>
      <c r="T201">
        <v>0.24598965601723499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M201">
        <v>0</v>
      </c>
    </row>
    <row r="202" spans="1:85" x14ac:dyDescent="0.25">
      <c r="A202" t="s">
        <v>128</v>
      </c>
      <c r="B202" t="s">
        <v>145</v>
      </c>
      <c r="C202" t="s">
        <v>72</v>
      </c>
      <c r="D202" s="12">
        <v>46226</v>
      </c>
      <c r="E202" t="s">
        <v>135</v>
      </c>
      <c r="F202" t="s">
        <v>135</v>
      </c>
      <c r="G202" t="s">
        <v>135</v>
      </c>
      <c r="H202" t="s">
        <v>74</v>
      </c>
      <c r="I202">
        <v>10</v>
      </c>
      <c r="K202">
        <v>1.2735376146788993</v>
      </c>
      <c r="L202">
        <v>46226</v>
      </c>
      <c r="M202" t="s">
        <v>231</v>
      </c>
      <c r="N202">
        <v>0</v>
      </c>
      <c r="O202">
        <v>0</v>
      </c>
      <c r="P202">
        <v>0.94117647058823517</v>
      </c>
      <c r="Q202">
        <v>0</v>
      </c>
      <c r="R202">
        <v>0</v>
      </c>
      <c r="S202">
        <v>0.73902526296840998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0.73902526296840998</v>
      </c>
      <c r="AD202">
        <v>0.26097473703159002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K202">
        <v>0</v>
      </c>
      <c r="BL202">
        <v>0</v>
      </c>
      <c r="BM202">
        <v>1.3531337155963306</v>
      </c>
      <c r="BN202">
        <v>0.35313371559633056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</row>
    <row r="203" spans="1:85" x14ac:dyDescent="0.25">
      <c r="A203" t="s">
        <v>128</v>
      </c>
      <c r="B203" t="s">
        <v>145</v>
      </c>
      <c r="C203" t="s">
        <v>72</v>
      </c>
      <c r="D203" s="12">
        <v>46226</v>
      </c>
      <c r="E203" t="s">
        <v>135</v>
      </c>
      <c r="F203" t="s">
        <v>135</v>
      </c>
      <c r="G203" t="s">
        <v>135</v>
      </c>
      <c r="H203" t="s">
        <v>73</v>
      </c>
      <c r="I203">
        <v>10</v>
      </c>
      <c r="K203">
        <v>5.9697075688073395</v>
      </c>
      <c r="L203">
        <v>46226</v>
      </c>
      <c r="M203" t="s">
        <v>232</v>
      </c>
      <c r="N203">
        <v>2.8499999999999996</v>
      </c>
      <c r="O203">
        <v>2.8499999999999996</v>
      </c>
      <c r="P203">
        <v>4.8831269349845199</v>
      </c>
      <c r="Q203">
        <v>0.47741031987759291</v>
      </c>
      <c r="R203">
        <v>0.47741031987759291</v>
      </c>
      <c r="S203">
        <v>0.81798427790661399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0.34057395802902107</v>
      </c>
      <c r="AD203">
        <v>0.18201572209338601</v>
      </c>
      <c r="AE203">
        <v>0</v>
      </c>
      <c r="AF203">
        <v>0</v>
      </c>
      <c r="AG203">
        <v>0</v>
      </c>
      <c r="AH203">
        <v>0.47741031987759291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2.0946342346692424</v>
      </c>
      <c r="AO203">
        <v>2.0946342346692424</v>
      </c>
      <c r="AP203">
        <v>1.7133778719243931</v>
      </c>
      <c r="BG203">
        <v>0</v>
      </c>
      <c r="BH203">
        <v>0</v>
      </c>
      <c r="BI203">
        <v>0</v>
      </c>
      <c r="BK203">
        <v>0.58364241559676644</v>
      </c>
      <c r="BL203">
        <v>0.58364241559676644</v>
      </c>
      <c r="BM203">
        <v>1.2225173845140407</v>
      </c>
      <c r="BN203">
        <v>0.22251738451404068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0.52258968012240703</v>
      </c>
      <c r="BX203">
        <v>0</v>
      </c>
      <c r="BY203">
        <v>0</v>
      </c>
      <c r="BZ203">
        <v>0</v>
      </c>
      <c r="CA203">
        <v>0</v>
      </c>
      <c r="CB203">
        <v>0.58364241559676644</v>
      </c>
      <c r="CC203">
        <v>0</v>
      </c>
      <c r="CD203">
        <v>0</v>
      </c>
      <c r="CE203">
        <v>0</v>
      </c>
      <c r="CF203">
        <v>0</v>
      </c>
      <c r="CG203">
        <v>0</v>
      </c>
    </row>
    <row r="204" spans="1:85" x14ac:dyDescent="0.25">
      <c r="A204" t="s">
        <v>128</v>
      </c>
      <c r="B204" t="s">
        <v>145</v>
      </c>
      <c r="C204" t="s">
        <v>109</v>
      </c>
      <c r="D204" s="12">
        <v>46233</v>
      </c>
      <c r="E204" t="s">
        <v>134</v>
      </c>
      <c r="F204" t="s">
        <v>134</v>
      </c>
      <c r="G204" t="s">
        <v>134</v>
      </c>
      <c r="K204">
        <v>26.080252654802322</v>
      </c>
      <c r="N204">
        <v>34.200000000000003</v>
      </c>
      <c r="O204">
        <v>34.200000000000003</v>
      </c>
      <c r="P204">
        <v>27.09375</v>
      </c>
      <c r="T204">
        <v>0</v>
      </c>
      <c r="U204">
        <v>0</v>
      </c>
      <c r="V204">
        <v>0.1702498620065655</v>
      </c>
      <c r="W204">
        <v>0</v>
      </c>
      <c r="X204">
        <v>0</v>
      </c>
      <c r="Y204">
        <v>0</v>
      </c>
      <c r="Z204">
        <v>3.8860718054088923E-2</v>
      </c>
      <c r="AA204">
        <v>0</v>
      </c>
      <c r="AB204">
        <v>0.10222640937232708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1</v>
      </c>
      <c r="AI204">
        <v>0</v>
      </c>
      <c r="AJ204">
        <v>0</v>
      </c>
      <c r="AK204">
        <v>0</v>
      </c>
      <c r="AL204">
        <v>0</v>
      </c>
      <c r="AM204">
        <v>0</v>
      </c>
    </row>
    <row r="205" spans="1:85" x14ac:dyDescent="0.25">
      <c r="A205" t="s">
        <v>128</v>
      </c>
      <c r="B205" t="s">
        <v>145</v>
      </c>
      <c r="C205" t="s">
        <v>109</v>
      </c>
      <c r="D205" s="12">
        <v>46229</v>
      </c>
      <c r="E205" t="s">
        <v>135</v>
      </c>
      <c r="F205" t="s">
        <v>135</v>
      </c>
      <c r="G205" t="s">
        <v>135</v>
      </c>
      <c r="K205">
        <v>8.1518697913855913</v>
      </c>
      <c r="N205">
        <v>6.65</v>
      </c>
      <c r="O205">
        <v>6.65</v>
      </c>
      <c r="P205">
        <v>7.7922253460207589</v>
      </c>
      <c r="T205">
        <v>0</v>
      </c>
      <c r="U205">
        <v>0</v>
      </c>
      <c r="V205">
        <v>4.4897184759240434E-2</v>
      </c>
      <c r="W205">
        <v>0</v>
      </c>
      <c r="X205">
        <v>0</v>
      </c>
      <c r="Y205">
        <v>0</v>
      </c>
      <c r="Z205">
        <v>9.6020602027861463E-3</v>
      </c>
      <c r="AA205">
        <v>0</v>
      </c>
      <c r="AB205">
        <v>9.7956183685644044E-2</v>
      </c>
      <c r="AC205">
        <v>0.28297157141566726</v>
      </c>
      <c r="AD205">
        <v>5.3720091350055309E-2</v>
      </c>
      <c r="AE205">
        <v>0</v>
      </c>
      <c r="AF205">
        <v>0</v>
      </c>
      <c r="AG205">
        <v>0</v>
      </c>
      <c r="AH205">
        <v>0.66330833723427729</v>
      </c>
      <c r="AI205">
        <v>0</v>
      </c>
      <c r="AJ205">
        <v>0</v>
      </c>
      <c r="AK205">
        <v>0</v>
      </c>
      <c r="AL205">
        <v>0</v>
      </c>
      <c r="AM205">
        <v>0</v>
      </c>
    </row>
    <row r="206" spans="1:85" x14ac:dyDescent="0.25">
      <c r="A206" t="s">
        <v>128</v>
      </c>
      <c r="B206" t="s">
        <v>145</v>
      </c>
      <c r="C206" t="s">
        <v>72</v>
      </c>
      <c r="D206" s="12">
        <v>46231</v>
      </c>
      <c r="E206" t="s">
        <v>135</v>
      </c>
      <c r="F206" t="s">
        <v>135</v>
      </c>
      <c r="G206" t="s">
        <v>135</v>
      </c>
      <c r="H206" t="s">
        <v>75</v>
      </c>
      <c r="I206">
        <v>10</v>
      </c>
      <c r="K206">
        <v>3.3711289800323798</v>
      </c>
      <c r="L206">
        <v>46231</v>
      </c>
      <c r="M206" t="s">
        <v>234</v>
      </c>
      <c r="N206">
        <v>1.9</v>
      </c>
      <c r="O206">
        <v>1.9</v>
      </c>
      <c r="P206">
        <v>3.5415224913494807</v>
      </c>
      <c r="Q206">
        <v>0.56360940541104732</v>
      </c>
      <c r="R206">
        <v>0.56360940541104732</v>
      </c>
      <c r="S206">
        <v>1.050544939789122</v>
      </c>
      <c r="T206">
        <v>5.0544939789122001E-2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0.43639059458895268</v>
      </c>
      <c r="AD206">
        <v>0</v>
      </c>
      <c r="AE206">
        <v>0</v>
      </c>
      <c r="AF206">
        <v>0</v>
      </c>
      <c r="AG206">
        <v>0</v>
      </c>
      <c r="AH206">
        <v>0.56360940541104732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1.7742784105433578</v>
      </c>
      <c r="AO206">
        <v>1.7742784105433578</v>
      </c>
      <c r="AP206">
        <v>1.8639592059734109</v>
      </c>
      <c r="BG206">
        <v>0</v>
      </c>
      <c r="BH206">
        <v>0</v>
      </c>
      <c r="BI206">
        <v>0</v>
      </c>
      <c r="BK206">
        <v>0.53649242794333174</v>
      </c>
      <c r="BL206">
        <v>0.53649242794333174</v>
      </c>
      <c r="BM206">
        <v>0.95188693231984156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4.8113067680158439E-2</v>
      </c>
      <c r="BY206">
        <v>0</v>
      </c>
      <c r="BZ206">
        <v>0</v>
      </c>
      <c r="CA206">
        <v>0</v>
      </c>
      <c r="CB206">
        <v>0.53649242794333174</v>
      </c>
      <c r="CC206">
        <v>0</v>
      </c>
      <c r="CD206">
        <v>0</v>
      </c>
      <c r="CE206">
        <v>0</v>
      </c>
      <c r="CF206">
        <v>0</v>
      </c>
      <c r="CG206">
        <v>0</v>
      </c>
    </row>
    <row r="207" spans="1:85" x14ac:dyDescent="0.25">
      <c r="A207" t="s">
        <v>128</v>
      </c>
      <c r="B207" t="s">
        <v>145</v>
      </c>
      <c r="C207" t="s">
        <v>72</v>
      </c>
      <c r="D207" s="12">
        <v>46232</v>
      </c>
      <c r="E207" t="s">
        <v>135</v>
      </c>
      <c r="F207" t="s">
        <v>135</v>
      </c>
      <c r="G207" t="s">
        <v>135</v>
      </c>
      <c r="H207" t="s">
        <v>73</v>
      </c>
      <c r="I207">
        <v>10</v>
      </c>
      <c r="K207">
        <v>5.8204648795871572</v>
      </c>
      <c r="L207">
        <v>46232</v>
      </c>
      <c r="M207" t="s">
        <v>241</v>
      </c>
      <c r="N207">
        <v>3.8</v>
      </c>
      <c r="O207">
        <v>3.8</v>
      </c>
      <c r="P207">
        <v>4.2886029411764683</v>
      </c>
      <c r="Q207">
        <v>0.65286881350781933</v>
      </c>
      <c r="R207">
        <v>0.65286881350781933</v>
      </c>
      <c r="S207">
        <v>0.73681450363474355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8.3945690126924211E-2</v>
      </c>
      <c r="AD207">
        <v>0.26318549636525645</v>
      </c>
      <c r="AE207">
        <v>0</v>
      </c>
      <c r="AF207">
        <v>0</v>
      </c>
      <c r="AG207">
        <v>0</v>
      </c>
      <c r="AH207">
        <v>0.65286881350781933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1.5317012841018836</v>
      </c>
      <c r="AO207">
        <v>1.5317012841018836</v>
      </c>
      <c r="AP207">
        <v>1.1285797213622286</v>
      </c>
      <c r="BG207">
        <v>0</v>
      </c>
      <c r="BH207">
        <v>0</v>
      </c>
      <c r="BI207">
        <v>0</v>
      </c>
      <c r="BK207">
        <v>0.88606943849121345</v>
      </c>
      <c r="BL207">
        <v>0.88606943849121345</v>
      </c>
      <c r="BM207">
        <v>1.3571936967404266</v>
      </c>
      <c r="BN207">
        <v>0.35719369674042656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0.34713118649218067</v>
      </c>
      <c r="BX207">
        <v>0</v>
      </c>
      <c r="BY207">
        <v>0</v>
      </c>
      <c r="BZ207">
        <v>0</v>
      </c>
      <c r="CA207">
        <v>0</v>
      </c>
      <c r="CB207">
        <v>0.88606943849121345</v>
      </c>
      <c r="CC207">
        <v>0</v>
      </c>
      <c r="CD207">
        <v>0</v>
      </c>
      <c r="CE207">
        <v>0</v>
      </c>
      <c r="CF207">
        <v>0</v>
      </c>
      <c r="CG207">
        <v>0</v>
      </c>
    </row>
    <row r="208" spans="1:85" x14ac:dyDescent="0.25">
      <c r="A208" t="s">
        <v>128</v>
      </c>
      <c r="B208" t="s">
        <v>145</v>
      </c>
      <c r="C208" t="s">
        <v>72</v>
      </c>
      <c r="D208" s="12">
        <v>46237</v>
      </c>
      <c r="E208" t="s">
        <v>135</v>
      </c>
      <c r="F208" t="s">
        <v>135</v>
      </c>
      <c r="G208" t="s">
        <v>135</v>
      </c>
      <c r="H208" t="s">
        <v>75</v>
      </c>
      <c r="I208">
        <v>10</v>
      </c>
      <c r="K208">
        <v>3.3711289800323798</v>
      </c>
      <c r="L208">
        <v>46237</v>
      </c>
      <c r="M208" t="s">
        <v>184</v>
      </c>
      <c r="N208">
        <v>0</v>
      </c>
      <c r="O208">
        <v>0</v>
      </c>
      <c r="P208">
        <v>3.4861591695501724</v>
      </c>
      <c r="Q208">
        <v>0</v>
      </c>
      <c r="R208">
        <v>0</v>
      </c>
      <c r="S208">
        <v>1.0341221561676017</v>
      </c>
      <c r="T208">
        <v>3.4122156167601725E-2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1</v>
      </c>
      <c r="BJ208">
        <v>1</v>
      </c>
      <c r="BK208">
        <v>0</v>
      </c>
      <c r="BL208">
        <v>0</v>
      </c>
      <c r="BM208">
        <v>0.96700374712591364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3.2996252874086363E-2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0.96700374712591364</v>
      </c>
      <c r="CG208">
        <v>0</v>
      </c>
    </row>
    <row r="209" spans="1:85" x14ac:dyDescent="0.25">
      <c r="A209" t="s">
        <v>128</v>
      </c>
      <c r="B209" t="s">
        <v>145</v>
      </c>
      <c r="C209" t="s">
        <v>109</v>
      </c>
      <c r="D209" s="12">
        <v>46230</v>
      </c>
      <c r="E209" t="s">
        <v>134</v>
      </c>
      <c r="F209" t="s">
        <v>134</v>
      </c>
      <c r="G209" t="s">
        <v>134</v>
      </c>
      <c r="K209">
        <v>27.064943963236065</v>
      </c>
      <c r="N209">
        <v>33.25</v>
      </c>
      <c r="O209">
        <v>33.25</v>
      </c>
      <c r="P209">
        <v>27.609375</v>
      </c>
      <c r="T209">
        <v>0</v>
      </c>
      <c r="U209">
        <v>0</v>
      </c>
      <c r="V209">
        <v>0.11857756972981941</v>
      </c>
      <c r="W209">
        <v>0</v>
      </c>
      <c r="X209">
        <v>0</v>
      </c>
      <c r="Y209">
        <v>0</v>
      </c>
      <c r="Z209">
        <v>2.0746293947019309E-2</v>
      </c>
      <c r="AA209">
        <v>0</v>
      </c>
      <c r="AB209">
        <v>0.10849969086534694</v>
      </c>
      <c r="AC209">
        <v>1.8666520574348422E-2</v>
      </c>
      <c r="AD209">
        <v>6.3056647669939973E-4</v>
      </c>
      <c r="AE209">
        <v>0</v>
      </c>
      <c r="AF209">
        <v>0</v>
      </c>
      <c r="AG209">
        <v>0</v>
      </c>
      <c r="AH209">
        <v>0.98070291294895218</v>
      </c>
      <c r="AI209">
        <v>0</v>
      </c>
      <c r="AJ209">
        <v>0</v>
      </c>
      <c r="AK209">
        <v>0</v>
      </c>
      <c r="AL209">
        <v>0</v>
      </c>
      <c r="AM209">
        <v>0</v>
      </c>
    </row>
    <row r="210" spans="1:85" x14ac:dyDescent="0.25">
      <c r="A210" t="s">
        <v>128</v>
      </c>
      <c r="B210" t="s">
        <v>145</v>
      </c>
      <c r="C210" t="s">
        <v>72</v>
      </c>
      <c r="D210" s="12">
        <v>46237</v>
      </c>
      <c r="E210" t="s">
        <v>135</v>
      </c>
      <c r="F210" t="s">
        <v>135</v>
      </c>
      <c r="G210" t="s">
        <v>135</v>
      </c>
      <c r="H210" t="s">
        <v>74</v>
      </c>
      <c r="I210">
        <v>10</v>
      </c>
      <c r="K210">
        <v>1.2735376146788993</v>
      </c>
      <c r="L210">
        <v>46237</v>
      </c>
      <c r="M210" t="s">
        <v>185</v>
      </c>
      <c r="N210">
        <v>0</v>
      </c>
      <c r="O210">
        <v>0</v>
      </c>
      <c r="P210">
        <v>0.94117647058823517</v>
      </c>
      <c r="Q210">
        <v>0</v>
      </c>
      <c r="R210">
        <v>0</v>
      </c>
      <c r="S210">
        <v>0.73902526296840998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0.73902526296840998</v>
      </c>
      <c r="AD210">
        <v>0.26097473703159002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K210">
        <v>0</v>
      </c>
      <c r="BL210">
        <v>0</v>
      </c>
      <c r="BM210">
        <v>1.3531337155963306</v>
      </c>
      <c r="BN210">
        <v>0.35313371559633056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</row>
    <row r="211" spans="1:85" x14ac:dyDescent="0.25">
      <c r="A211" t="s">
        <v>128</v>
      </c>
      <c r="B211" t="s">
        <v>145</v>
      </c>
      <c r="C211" t="s">
        <v>72</v>
      </c>
      <c r="D211" s="12">
        <v>46237</v>
      </c>
      <c r="E211" t="s">
        <v>135</v>
      </c>
      <c r="F211" t="s">
        <v>135</v>
      </c>
      <c r="G211" t="s">
        <v>135</v>
      </c>
      <c r="H211" t="s">
        <v>73</v>
      </c>
      <c r="I211">
        <v>10</v>
      </c>
      <c r="K211">
        <v>5.8204648795871554</v>
      </c>
      <c r="L211">
        <v>46237</v>
      </c>
      <c r="M211" t="s">
        <v>235</v>
      </c>
      <c r="N211">
        <v>0</v>
      </c>
      <c r="O211">
        <v>0</v>
      </c>
      <c r="P211">
        <v>4.2886029411764701</v>
      </c>
      <c r="Q211">
        <v>0</v>
      </c>
      <c r="R211">
        <v>0</v>
      </c>
      <c r="S211">
        <v>0.73681450363474399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0.73681450363474399</v>
      </c>
      <c r="AD211">
        <v>0.26318549636525601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1</v>
      </c>
      <c r="BK211">
        <v>0</v>
      </c>
      <c r="BL211">
        <v>0</v>
      </c>
      <c r="BM211">
        <v>1.3571936967404257</v>
      </c>
      <c r="BN211">
        <v>0.35719369674042567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1</v>
      </c>
      <c r="CG211">
        <v>1</v>
      </c>
    </row>
    <row r="212" spans="1:85" x14ac:dyDescent="0.25">
      <c r="A212" t="s">
        <v>128</v>
      </c>
      <c r="B212" t="s">
        <v>145</v>
      </c>
      <c r="C212" t="s">
        <v>109</v>
      </c>
      <c r="D212" s="12">
        <v>46230</v>
      </c>
      <c r="E212" t="s">
        <v>136</v>
      </c>
      <c r="F212" t="s">
        <v>136</v>
      </c>
      <c r="G212" t="s">
        <v>136</v>
      </c>
      <c r="K212">
        <v>6.7786480661254069</v>
      </c>
      <c r="N212">
        <v>0</v>
      </c>
      <c r="O212">
        <v>0</v>
      </c>
      <c r="P212">
        <v>8.512110726643602</v>
      </c>
      <c r="T212">
        <v>0.25572395020487043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M212">
        <v>0</v>
      </c>
    </row>
    <row r="213" spans="1:85" x14ac:dyDescent="0.25">
      <c r="A213" t="s">
        <v>128</v>
      </c>
      <c r="B213" t="s">
        <v>145</v>
      </c>
      <c r="C213" t="s">
        <v>72</v>
      </c>
      <c r="D213" s="12">
        <v>46236</v>
      </c>
      <c r="E213" t="s">
        <v>135</v>
      </c>
      <c r="F213" t="s">
        <v>135</v>
      </c>
      <c r="G213" t="s">
        <v>135</v>
      </c>
      <c r="H213" t="s">
        <v>75</v>
      </c>
      <c r="I213">
        <v>10</v>
      </c>
      <c r="K213">
        <v>2.2474193200215873</v>
      </c>
      <c r="L213">
        <v>46236</v>
      </c>
      <c r="M213" t="s">
        <v>186</v>
      </c>
      <c r="N213">
        <v>0.95</v>
      </c>
      <c r="O213">
        <v>0.95</v>
      </c>
      <c r="P213">
        <v>2.0484429065743952</v>
      </c>
      <c r="Q213">
        <v>0.42270705405828535</v>
      </c>
      <c r="R213">
        <v>0.42270705405828535</v>
      </c>
      <c r="S213">
        <v>0.91146449099437266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0.48875743693608731</v>
      </c>
      <c r="AD213">
        <v>8.8535509005627344E-2</v>
      </c>
      <c r="AE213">
        <v>0</v>
      </c>
      <c r="AF213">
        <v>0</v>
      </c>
      <c r="AG213">
        <v>0</v>
      </c>
      <c r="AH213">
        <v>0.42270705405828535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2.3657045473911444</v>
      </c>
      <c r="AO213">
        <v>2.3657045473911444</v>
      </c>
      <c r="AP213">
        <v>2.1562556911309425</v>
      </c>
      <c r="BG213">
        <v>0</v>
      </c>
      <c r="BH213">
        <v>0</v>
      </c>
      <c r="BI213">
        <v>0</v>
      </c>
      <c r="BK213">
        <v>0.46376689189189169</v>
      </c>
      <c r="BL213">
        <v>0.46376689189189169</v>
      </c>
      <c r="BM213">
        <v>1.0971354450781055</v>
      </c>
      <c r="BN213">
        <v>9.7135445078105453E-2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0.57729294594171465</v>
      </c>
      <c r="BX213">
        <v>0</v>
      </c>
      <c r="BY213">
        <v>0</v>
      </c>
      <c r="BZ213">
        <v>0</v>
      </c>
      <c r="CA213">
        <v>0</v>
      </c>
      <c r="CB213">
        <v>0.46376689189189169</v>
      </c>
      <c r="CC213">
        <v>0</v>
      </c>
      <c r="CD213">
        <v>0</v>
      </c>
      <c r="CE213">
        <v>0</v>
      </c>
      <c r="CF213">
        <v>0</v>
      </c>
      <c r="CG213">
        <v>0</v>
      </c>
    </row>
    <row r="214" spans="1:85" x14ac:dyDescent="0.25">
      <c r="A214" t="s">
        <v>128</v>
      </c>
      <c r="B214" t="s">
        <v>145</v>
      </c>
      <c r="C214" t="s">
        <v>72</v>
      </c>
      <c r="D214" s="12">
        <v>46236</v>
      </c>
      <c r="E214" t="s">
        <v>135</v>
      </c>
      <c r="F214" t="s">
        <v>135</v>
      </c>
      <c r="G214" t="s">
        <v>135</v>
      </c>
      <c r="H214" t="s">
        <v>74</v>
      </c>
      <c r="I214">
        <v>10</v>
      </c>
      <c r="K214">
        <v>1.2735376146788993</v>
      </c>
      <c r="L214">
        <v>46236</v>
      </c>
      <c r="M214" t="s">
        <v>187</v>
      </c>
      <c r="N214">
        <v>0</v>
      </c>
      <c r="O214">
        <v>0</v>
      </c>
      <c r="P214">
        <v>0.94117647058823517</v>
      </c>
      <c r="Q214">
        <v>0</v>
      </c>
      <c r="R214">
        <v>0</v>
      </c>
      <c r="S214">
        <v>0.73902526296840998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0.73902526296840998</v>
      </c>
      <c r="AD214">
        <v>0.26097473703159002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K214">
        <v>0</v>
      </c>
      <c r="BL214">
        <v>0</v>
      </c>
      <c r="BM214">
        <v>1.3531337155963306</v>
      </c>
      <c r="BN214">
        <v>0.35313371559633056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</row>
    <row r="215" spans="1:85" x14ac:dyDescent="0.25">
      <c r="A215" t="s">
        <v>128</v>
      </c>
      <c r="B215" t="s">
        <v>145</v>
      </c>
      <c r="C215" t="s">
        <v>109</v>
      </c>
      <c r="D215" s="12">
        <v>46230</v>
      </c>
      <c r="E215" t="s">
        <v>135</v>
      </c>
      <c r="F215" t="s">
        <v>135</v>
      </c>
      <c r="G215" t="s">
        <v>135</v>
      </c>
      <c r="K215">
        <v>8.1518697913855913</v>
      </c>
      <c r="N215">
        <v>8.5500000000000007</v>
      </c>
      <c r="O215">
        <v>8.5500000000000007</v>
      </c>
      <c r="P215">
        <v>5.7991457612456747</v>
      </c>
      <c r="T215">
        <v>0</v>
      </c>
      <c r="U215">
        <v>0</v>
      </c>
      <c r="V215">
        <v>4.4897184759240517E-2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0.16016838499014716</v>
      </c>
      <c r="AC215">
        <v>0.11545528751978032</v>
      </c>
      <c r="AD215">
        <v>4.0771154667102696E-2</v>
      </c>
      <c r="AE215">
        <v>0</v>
      </c>
      <c r="AF215">
        <v>0.24784042652205399</v>
      </c>
      <c r="AG215">
        <v>0</v>
      </c>
      <c r="AH215">
        <v>0.59593313129106296</v>
      </c>
      <c r="AI215">
        <v>0</v>
      </c>
      <c r="AJ215">
        <v>0</v>
      </c>
      <c r="AK215">
        <v>0</v>
      </c>
      <c r="AL215">
        <v>0</v>
      </c>
      <c r="AM215">
        <v>0</v>
      </c>
    </row>
    <row r="216" spans="1:85" x14ac:dyDescent="0.25">
      <c r="A216" t="s">
        <v>128</v>
      </c>
      <c r="B216" t="s">
        <v>145</v>
      </c>
      <c r="C216" t="s">
        <v>72</v>
      </c>
      <c r="D216" s="12">
        <v>46236</v>
      </c>
      <c r="E216" t="s">
        <v>135</v>
      </c>
      <c r="F216" t="s">
        <v>135</v>
      </c>
      <c r="G216" t="s">
        <v>135</v>
      </c>
      <c r="H216" t="s">
        <v>73</v>
      </c>
      <c r="I216">
        <v>10</v>
      </c>
      <c r="K216">
        <v>3.5818245412844032</v>
      </c>
      <c r="L216">
        <v>46236</v>
      </c>
      <c r="M216" t="s">
        <v>188</v>
      </c>
      <c r="N216">
        <v>4.75</v>
      </c>
      <c r="O216">
        <v>4.75</v>
      </c>
      <c r="P216">
        <v>2.9411764705882346</v>
      </c>
      <c r="Q216">
        <v>1.3261397774377586</v>
      </c>
      <c r="R216">
        <v>1.3261397774377586</v>
      </c>
      <c r="S216">
        <v>0.82113918107601125</v>
      </c>
      <c r="T216">
        <v>0</v>
      </c>
      <c r="U216">
        <v>0</v>
      </c>
      <c r="V216">
        <v>7.6139777437758571E-2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0.25</v>
      </c>
      <c r="AC216">
        <v>0</v>
      </c>
      <c r="AD216">
        <v>0</v>
      </c>
      <c r="AE216">
        <v>0</v>
      </c>
      <c r="AF216">
        <v>0.17886081892398875</v>
      </c>
      <c r="AG216">
        <v>0</v>
      </c>
      <c r="AH216">
        <v>0.82113918107601125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0.75406832448092698</v>
      </c>
      <c r="AO216">
        <v>0.75406832448092698</v>
      </c>
      <c r="AP216">
        <v>0.6191950464396283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0.24593167551907302</v>
      </c>
      <c r="BB216">
        <v>0</v>
      </c>
      <c r="BC216">
        <v>0.13487327804129867</v>
      </c>
      <c r="BD216">
        <v>0</v>
      </c>
      <c r="BE216">
        <v>0.6191950464396283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1.6150000000000004</v>
      </c>
      <c r="BL216">
        <v>1.6150000000000004</v>
      </c>
      <c r="BM216">
        <v>1.2178203440366975</v>
      </c>
      <c r="CD216">
        <v>0</v>
      </c>
      <c r="CE216">
        <v>0</v>
      </c>
      <c r="CF216">
        <v>0</v>
      </c>
    </row>
    <row r="217" spans="1:85" x14ac:dyDescent="0.25">
      <c r="A217" t="s">
        <v>128</v>
      </c>
      <c r="B217" t="s">
        <v>145</v>
      </c>
      <c r="C217" t="s">
        <v>72</v>
      </c>
      <c r="D217" s="12">
        <v>46235</v>
      </c>
      <c r="E217" t="s">
        <v>135</v>
      </c>
      <c r="F217" t="s">
        <v>135</v>
      </c>
      <c r="G217" t="s">
        <v>135</v>
      </c>
      <c r="H217" t="s">
        <v>75</v>
      </c>
      <c r="I217">
        <v>10</v>
      </c>
      <c r="K217">
        <v>2.2474193200215873</v>
      </c>
      <c r="L217">
        <v>46235</v>
      </c>
      <c r="M217" t="s">
        <v>189</v>
      </c>
      <c r="N217">
        <v>0.95</v>
      </c>
      <c r="O217">
        <v>0.95</v>
      </c>
      <c r="P217">
        <v>2.1591695501730106</v>
      </c>
      <c r="Q217">
        <v>0.42270705405828535</v>
      </c>
      <c r="R217">
        <v>0.42270705405828535</v>
      </c>
      <c r="S217">
        <v>0.96073284185893315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0.5380257878006478</v>
      </c>
      <c r="AD217">
        <v>3.9267158141066849E-2</v>
      </c>
      <c r="AE217">
        <v>0</v>
      </c>
      <c r="AF217">
        <v>0</v>
      </c>
      <c r="AG217">
        <v>0</v>
      </c>
      <c r="AH217">
        <v>0.42270705405828535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2.3657045473911444</v>
      </c>
      <c r="AO217">
        <v>2.3657045473911444</v>
      </c>
      <c r="AP217">
        <v>2.2728100528136954</v>
      </c>
      <c r="BG217">
        <v>0</v>
      </c>
      <c r="BH217">
        <v>0</v>
      </c>
      <c r="BI217">
        <v>0</v>
      </c>
      <c r="BK217">
        <v>0.43998397435897429</v>
      </c>
      <c r="BL217">
        <v>0.43998397435897429</v>
      </c>
      <c r="BM217">
        <v>1.0408720889202543</v>
      </c>
      <c r="BN217">
        <v>4.087208892025429E-2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0.57729294594171465</v>
      </c>
      <c r="BX217">
        <v>0</v>
      </c>
      <c r="BY217">
        <v>0</v>
      </c>
      <c r="BZ217">
        <v>0</v>
      </c>
      <c r="CA217">
        <v>0</v>
      </c>
      <c r="CB217">
        <v>0.43998397435897429</v>
      </c>
      <c r="CC217">
        <v>0</v>
      </c>
      <c r="CD217">
        <v>0</v>
      </c>
      <c r="CE217">
        <v>0</v>
      </c>
      <c r="CF217">
        <v>0</v>
      </c>
      <c r="CG217">
        <v>0</v>
      </c>
    </row>
    <row r="218" spans="1:85" x14ac:dyDescent="0.25">
      <c r="A218" t="s">
        <v>128</v>
      </c>
      <c r="B218" t="s">
        <v>145</v>
      </c>
      <c r="C218" t="s">
        <v>72</v>
      </c>
      <c r="D218" s="12">
        <v>46235</v>
      </c>
      <c r="E218" t="s">
        <v>135</v>
      </c>
      <c r="F218" t="s">
        <v>135</v>
      </c>
      <c r="G218" t="s">
        <v>135</v>
      </c>
      <c r="H218" t="s">
        <v>74</v>
      </c>
      <c r="I218">
        <v>10</v>
      </c>
      <c r="K218">
        <v>1.2735376146788993</v>
      </c>
      <c r="L218">
        <v>46235</v>
      </c>
      <c r="M218" t="s">
        <v>190</v>
      </c>
      <c r="N218">
        <v>0</v>
      </c>
      <c r="O218">
        <v>0</v>
      </c>
      <c r="P218">
        <v>0.94117647058823517</v>
      </c>
      <c r="Q218">
        <v>0</v>
      </c>
      <c r="R218">
        <v>0</v>
      </c>
      <c r="S218">
        <v>0.73902526296840998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0.73902526296840998</v>
      </c>
      <c r="AD218">
        <v>0.26097473703159002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K218">
        <v>0</v>
      </c>
      <c r="BL218">
        <v>0</v>
      </c>
      <c r="BM218">
        <v>1.3531337155963306</v>
      </c>
      <c r="BN218">
        <v>0.35313371559633056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</row>
    <row r="219" spans="1:85" x14ac:dyDescent="0.25">
      <c r="A219" t="s">
        <v>128</v>
      </c>
      <c r="B219" t="s">
        <v>145</v>
      </c>
      <c r="C219" t="s">
        <v>109</v>
      </c>
      <c r="D219" s="12">
        <v>46231</v>
      </c>
      <c r="E219" t="s">
        <v>134</v>
      </c>
      <c r="F219" t="s">
        <v>134</v>
      </c>
      <c r="G219" t="s">
        <v>134</v>
      </c>
      <c r="K219">
        <v>26.924273776316959</v>
      </c>
      <c r="N219">
        <v>31.349999999999998</v>
      </c>
      <c r="O219">
        <v>31.349999999999998</v>
      </c>
      <c r="P219">
        <v>25.46875</v>
      </c>
      <c r="T219">
        <v>2.8138913570360684E-2</v>
      </c>
      <c r="U219">
        <v>0</v>
      </c>
      <c r="V219">
        <v>9.0443777013779453E-2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0.10893416927899686</v>
      </c>
      <c r="AC219">
        <v>3.5001136710042777E-2</v>
      </c>
      <c r="AD219">
        <v>0</v>
      </c>
      <c r="AE219">
        <v>0</v>
      </c>
      <c r="AF219">
        <v>8.2198822053287379E-2</v>
      </c>
      <c r="AG219">
        <v>0</v>
      </c>
      <c r="AH219">
        <v>0.88280004123666989</v>
      </c>
      <c r="AI219">
        <v>0</v>
      </c>
      <c r="AJ219">
        <v>0</v>
      </c>
      <c r="AK219">
        <v>0</v>
      </c>
      <c r="AL219">
        <v>0</v>
      </c>
      <c r="AM219">
        <v>0</v>
      </c>
    </row>
    <row r="220" spans="1:85" x14ac:dyDescent="0.25">
      <c r="A220" t="s">
        <v>128</v>
      </c>
      <c r="B220" t="s">
        <v>145</v>
      </c>
      <c r="C220" t="s">
        <v>72</v>
      </c>
      <c r="D220" s="12">
        <v>46235</v>
      </c>
      <c r="E220" t="s">
        <v>135</v>
      </c>
      <c r="F220" t="s">
        <v>135</v>
      </c>
      <c r="G220" t="s">
        <v>135</v>
      </c>
      <c r="H220" t="s">
        <v>73</v>
      </c>
      <c r="I220">
        <v>10</v>
      </c>
      <c r="K220">
        <v>5.3727368119266048</v>
      </c>
      <c r="L220">
        <v>46235</v>
      </c>
      <c r="M220" t="s">
        <v>191</v>
      </c>
      <c r="N220">
        <v>4.75</v>
      </c>
      <c r="O220">
        <v>4.75</v>
      </c>
      <c r="P220">
        <v>4.3235294117647047</v>
      </c>
      <c r="Q220">
        <v>0.88409318495850564</v>
      </c>
      <c r="R220">
        <v>0.88409318495850564</v>
      </c>
      <c r="S220">
        <v>0.80471639745449108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0.11590681504149436</v>
      </c>
      <c r="AE220">
        <v>0</v>
      </c>
      <c r="AF220">
        <v>7.9376787504014557E-2</v>
      </c>
      <c r="AG220">
        <v>0</v>
      </c>
      <c r="AH220">
        <v>0.80471639745449108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1.1311024867213906</v>
      </c>
      <c r="AO220">
        <v>1.1311024867213906</v>
      </c>
      <c r="AP220">
        <v>0.91021671826625361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0.13110248672139058</v>
      </c>
      <c r="AZ220">
        <v>0</v>
      </c>
      <c r="BA220">
        <v>0</v>
      </c>
      <c r="BB220">
        <v>0</v>
      </c>
      <c r="BC220">
        <v>8.978328173374639E-2</v>
      </c>
      <c r="BD220">
        <v>0</v>
      </c>
      <c r="BE220">
        <v>0.91021671826625361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1.0986394557823131</v>
      </c>
      <c r="BL220">
        <v>1.0986394557823131</v>
      </c>
      <c r="BM220">
        <v>1.2426738204456096</v>
      </c>
      <c r="BN220">
        <v>0.14403436466329644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9.8639455782313146E-2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D220">
        <v>0</v>
      </c>
      <c r="CE220">
        <v>0</v>
      </c>
      <c r="CF220">
        <v>0</v>
      </c>
      <c r="CG220">
        <v>0</v>
      </c>
    </row>
    <row r="221" spans="1:85" x14ac:dyDescent="0.25">
      <c r="A221" t="s">
        <v>128</v>
      </c>
      <c r="B221" t="s">
        <v>145</v>
      </c>
      <c r="C221" t="s">
        <v>109</v>
      </c>
      <c r="D221" s="12">
        <v>46231</v>
      </c>
      <c r="E221" t="s">
        <v>136</v>
      </c>
      <c r="F221" t="s">
        <v>136</v>
      </c>
      <c r="G221" t="s">
        <v>136</v>
      </c>
      <c r="K221">
        <v>6.7786480661254069</v>
      </c>
      <c r="N221">
        <v>0</v>
      </c>
      <c r="O221">
        <v>0</v>
      </c>
      <c r="P221">
        <v>9.3944636678200695</v>
      </c>
      <c r="T221">
        <v>0.38589045723830151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M221">
        <v>0</v>
      </c>
    </row>
    <row r="222" spans="1:85" x14ac:dyDescent="0.25">
      <c r="A222" t="s">
        <v>128</v>
      </c>
      <c r="B222" t="s">
        <v>145</v>
      </c>
      <c r="C222" t="s">
        <v>72</v>
      </c>
      <c r="D222" s="12">
        <v>46234</v>
      </c>
      <c r="E222" t="s">
        <v>135</v>
      </c>
      <c r="F222" t="s">
        <v>135</v>
      </c>
      <c r="G222" t="s">
        <v>135</v>
      </c>
      <c r="H222" t="s">
        <v>75</v>
      </c>
      <c r="I222">
        <v>10</v>
      </c>
      <c r="K222">
        <v>2.2474193200215873</v>
      </c>
      <c r="L222">
        <v>46234</v>
      </c>
      <c r="M222" t="s">
        <v>192</v>
      </c>
      <c r="N222">
        <v>2.8499999999999996</v>
      </c>
      <c r="O222">
        <v>2.8499999999999996</v>
      </c>
      <c r="P222">
        <v>2.6538062283737021</v>
      </c>
      <c r="Q222">
        <v>1.2681211621748558</v>
      </c>
      <c r="R222">
        <v>1.2681211621748558</v>
      </c>
      <c r="S222">
        <v>1.1808238029867124</v>
      </c>
      <c r="T222">
        <v>0</v>
      </c>
      <c r="U222">
        <v>0</v>
      </c>
      <c r="V222">
        <v>1.812116217485582E-2</v>
      </c>
      <c r="W222">
        <v>0</v>
      </c>
      <c r="X222">
        <v>0</v>
      </c>
      <c r="Y222">
        <v>0</v>
      </c>
      <c r="Z222">
        <v>0.18082380298671241</v>
      </c>
      <c r="AA222">
        <v>0</v>
      </c>
      <c r="AB222">
        <v>6.9176197013287588E-2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0.78856818246371496</v>
      </c>
      <c r="AO222">
        <v>0.78856818246371496</v>
      </c>
      <c r="AP222">
        <v>0.93116008013112361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6.8839919868876387E-2</v>
      </c>
      <c r="BB222">
        <v>0</v>
      </c>
      <c r="BC222">
        <v>0</v>
      </c>
      <c r="BD222">
        <v>0</v>
      </c>
      <c r="BE222">
        <v>0.78856818246371496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1.0739292000782319</v>
      </c>
      <c r="BL222">
        <v>1.0739292000782319</v>
      </c>
      <c r="BM222">
        <v>0.8468663974004027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7.3929200078231894E-2</v>
      </c>
      <c r="BW222">
        <v>0</v>
      </c>
      <c r="BX222">
        <v>0</v>
      </c>
      <c r="BY222">
        <v>0</v>
      </c>
      <c r="BZ222">
        <v>0.1531336025995973</v>
      </c>
      <c r="CA222">
        <v>0</v>
      </c>
      <c r="CB222">
        <v>0.8468663974004027</v>
      </c>
      <c r="CC222">
        <v>0</v>
      </c>
      <c r="CD222">
        <v>0</v>
      </c>
      <c r="CE222">
        <v>0</v>
      </c>
      <c r="CF222">
        <v>0</v>
      </c>
      <c r="CG222">
        <v>0</v>
      </c>
    </row>
    <row r="223" spans="1:85" x14ac:dyDescent="0.25">
      <c r="A223" t="s">
        <v>128</v>
      </c>
      <c r="B223" t="s">
        <v>145</v>
      </c>
      <c r="C223" t="s">
        <v>72</v>
      </c>
      <c r="D223" s="12">
        <v>46234</v>
      </c>
      <c r="E223" t="s">
        <v>135</v>
      </c>
      <c r="F223" t="s">
        <v>135</v>
      </c>
      <c r="G223" t="s">
        <v>135</v>
      </c>
      <c r="H223" t="s">
        <v>74</v>
      </c>
      <c r="I223">
        <v>10</v>
      </c>
      <c r="K223">
        <v>1.2735376146788993</v>
      </c>
      <c r="L223">
        <v>46234</v>
      </c>
      <c r="M223" t="s">
        <v>193</v>
      </c>
      <c r="N223">
        <v>0</v>
      </c>
      <c r="O223">
        <v>0</v>
      </c>
      <c r="P223">
        <v>0.94117647058823517</v>
      </c>
      <c r="Q223">
        <v>0</v>
      </c>
      <c r="R223">
        <v>0</v>
      </c>
      <c r="S223">
        <v>0.73902526296840998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0.73902526296840998</v>
      </c>
      <c r="AD223">
        <v>0.26097473703159002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K223">
        <v>0</v>
      </c>
      <c r="BL223">
        <v>0</v>
      </c>
      <c r="BM223">
        <v>1.3531337155963306</v>
      </c>
      <c r="BN223">
        <v>0.35313371559633056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</row>
    <row r="224" spans="1:85" x14ac:dyDescent="0.25">
      <c r="A224" t="s">
        <v>128</v>
      </c>
      <c r="B224" t="s">
        <v>145</v>
      </c>
      <c r="C224" t="s">
        <v>109</v>
      </c>
      <c r="D224" s="12">
        <v>46231</v>
      </c>
      <c r="E224" t="s">
        <v>135</v>
      </c>
      <c r="F224" t="s">
        <v>135</v>
      </c>
      <c r="G224" t="s">
        <v>135</v>
      </c>
      <c r="K224">
        <v>11.659072988059904</v>
      </c>
      <c r="N224">
        <v>6.65</v>
      </c>
      <c r="O224">
        <v>6.65</v>
      </c>
      <c r="P224">
        <v>9.712478373702421</v>
      </c>
      <c r="T224">
        <v>1.4614670608169403E-2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0.24805444355199713</v>
      </c>
      <c r="AD224">
        <v>0.18157430936769997</v>
      </c>
      <c r="AE224">
        <v>0</v>
      </c>
      <c r="AF224">
        <v>0</v>
      </c>
      <c r="AG224">
        <v>0</v>
      </c>
      <c r="AH224">
        <v>0.57037124708030285</v>
      </c>
      <c r="AI224">
        <v>0</v>
      </c>
      <c r="AJ224">
        <v>0</v>
      </c>
      <c r="AK224">
        <v>0</v>
      </c>
      <c r="AL224">
        <v>0</v>
      </c>
      <c r="AM224">
        <v>0</v>
      </c>
    </row>
    <row r="225" spans="1:85" x14ac:dyDescent="0.25">
      <c r="A225" t="s">
        <v>128</v>
      </c>
      <c r="B225" t="s">
        <v>145</v>
      </c>
      <c r="C225" t="s">
        <v>72</v>
      </c>
      <c r="D225" s="12">
        <v>46234</v>
      </c>
      <c r="E225" t="s">
        <v>135</v>
      </c>
      <c r="F225" t="s">
        <v>135</v>
      </c>
      <c r="G225" t="s">
        <v>135</v>
      </c>
      <c r="H225" t="s">
        <v>73</v>
      </c>
      <c r="I225">
        <v>10</v>
      </c>
      <c r="K225">
        <v>4.5519020212155965</v>
      </c>
      <c r="L225">
        <v>46234</v>
      </c>
      <c r="M225" t="s">
        <v>216</v>
      </c>
      <c r="N225">
        <v>3.8</v>
      </c>
      <c r="O225">
        <v>3.8</v>
      </c>
      <c r="P225">
        <v>3.1104779411764705</v>
      </c>
      <c r="Q225">
        <v>0.83481585989524454</v>
      </c>
      <c r="R225">
        <v>0.83481585989524454</v>
      </c>
      <c r="S225">
        <v>0.68333587293379605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0.16518414010475546</v>
      </c>
      <c r="AE225">
        <v>0</v>
      </c>
      <c r="AF225">
        <v>0.15147998696144849</v>
      </c>
      <c r="AG225">
        <v>0</v>
      </c>
      <c r="AH225">
        <v>0.68333587293379605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1.1978689529514728</v>
      </c>
      <c r="AO225">
        <v>1.1978689529514728</v>
      </c>
      <c r="AP225">
        <v>0.81854682662538703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0.19786895295147278</v>
      </c>
      <c r="AZ225">
        <v>0</v>
      </c>
      <c r="BA225">
        <v>0</v>
      </c>
      <c r="BB225">
        <v>0</v>
      </c>
      <c r="BC225">
        <v>0.18145317337461297</v>
      </c>
      <c r="BD225">
        <v>0</v>
      </c>
      <c r="BE225">
        <v>0.81854682662538703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1.2216772058388985</v>
      </c>
      <c r="BL225">
        <v>1.2216772058388985</v>
      </c>
      <c r="BM225">
        <v>1.4634091954029222</v>
      </c>
      <c r="BN225">
        <v>0.24173198956402375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0.22167720583889849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1</v>
      </c>
      <c r="CC225">
        <v>0</v>
      </c>
      <c r="CD225">
        <v>0</v>
      </c>
      <c r="CE225">
        <v>0</v>
      </c>
      <c r="CF225">
        <v>0</v>
      </c>
      <c r="CG225">
        <v>0</v>
      </c>
    </row>
    <row r="226" spans="1:85" x14ac:dyDescent="0.25">
      <c r="A226" t="s">
        <v>128</v>
      </c>
      <c r="B226" t="s">
        <v>145</v>
      </c>
      <c r="C226" t="s">
        <v>72</v>
      </c>
      <c r="D226" s="12">
        <v>46233</v>
      </c>
      <c r="E226" t="s">
        <v>135</v>
      </c>
      <c r="F226" t="s">
        <v>135</v>
      </c>
      <c r="G226" t="s">
        <v>135</v>
      </c>
      <c r="H226" t="s">
        <v>75</v>
      </c>
      <c r="I226">
        <v>10</v>
      </c>
      <c r="K226">
        <v>3.3711289800323798</v>
      </c>
      <c r="L226">
        <v>46233</v>
      </c>
      <c r="M226" t="s">
        <v>236</v>
      </c>
      <c r="N226">
        <v>3.8</v>
      </c>
      <c r="O226">
        <v>3.8</v>
      </c>
      <c r="P226">
        <v>3.5949826989619371</v>
      </c>
      <c r="Q226">
        <v>1.1272188108220946</v>
      </c>
      <c r="R226">
        <v>1.1272188108220946</v>
      </c>
      <c r="S226">
        <v>1.0664031902236524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6.6403190223652375E-2</v>
      </c>
      <c r="AA226">
        <v>0</v>
      </c>
      <c r="AB226">
        <v>6.0815620598442255E-2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1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0.88713920527167889</v>
      </c>
      <c r="AO226">
        <v>0.88713920527167889</v>
      </c>
      <c r="AP226">
        <v>0.94604807867419405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5.3951921325805952E-2</v>
      </c>
      <c r="BB226">
        <v>0</v>
      </c>
      <c r="BC226">
        <v>0</v>
      </c>
      <c r="BD226">
        <v>0</v>
      </c>
      <c r="BE226">
        <v>0.88713920527167889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1.0570287309302662</v>
      </c>
      <c r="BL226">
        <v>1.0570287309302662</v>
      </c>
      <c r="BM226">
        <v>0.93773162830680779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5.7028730930266169E-2</v>
      </c>
      <c r="BW226">
        <v>0</v>
      </c>
      <c r="BX226">
        <v>0</v>
      </c>
      <c r="BY226">
        <v>0</v>
      </c>
      <c r="BZ226">
        <v>6.2268371693192215E-2</v>
      </c>
      <c r="CA226">
        <v>0</v>
      </c>
      <c r="CB226">
        <v>0.93773162830680779</v>
      </c>
      <c r="CC226">
        <v>0</v>
      </c>
      <c r="CD226">
        <v>0</v>
      </c>
      <c r="CE226">
        <v>0</v>
      </c>
      <c r="CF226">
        <v>0</v>
      </c>
      <c r="CG226">
        <v>0</v>
      </c>
    </row>
    <row r="227" spans="1:85" x14ac:dyDescent="0.25">
      <c r="A227" t="s">
        <v>128</v>
      </c>
      <c r="B227" t="s">
        <v>145</v>
      </c>
      <c r="C227" t="s">
        <v>109</v>
      </c>
      <c r="D227" s="12">
        <v>46232</v>
      </c>
      <c r="E227" t="s">
        <v>134</v>
      </c>
      <c r="F227" t="s">
        <v>134</v>
      </c>
      <c r="G227" t="s">
        <v>134</v>
      </c>
      <c r="K227">
        <v>27.59949067352867</v>
      </c>
      <c r="N227">
        <v>32.299999999999997</v>
      </c>
      <c r="O227">
        <v>32.299999999999997</v>
      </c>
      <c r="P227">
        <v>28.59375</v>
      </c>
      <c r="T227">
        <v>3.3247008739468002E-2</v>
      </c>
      <c r="U227">
        <v>0</v>
      </c>
      <c r="V227">
        <v>8.4425710581127675E-2</v>
      </c>
      <c r="W227">
        <v>0</v>
      </c>
      <c r="X227">
        <v>0</v>
      </c>
      <c r="Y227">
        <v>0</v>
      </c>
      <c r="Z227">
        <v>2.7775446927787027E-3</v>
      </c>
      <c r="AA227">
        <v>0</v>
      </c>
      <c r="AB227">
        <v>0.11113682839590631</v>
      </c>
      <c r="AC227">
        <v>2.8028631836402616E-2</v>
      </c>
      <c r="AD227">
        <v>0</v>
      </c>
      <c r="AE227">
        <v>0</v>
      </c>
      <c r="AF227">
        <v>0</v>
      </c>
      <c r="AG227">
        <v>0</v>
      </c>
      <c r="AH227">
        <v>0.97197136816359753</v>
      </c>
      <c r="AI227">
        <v>0</v>
      </c>
      <c r="AJ227">
        <v>0</v>
      </c>
      <c r="AK227">
        <v>0</v>
      </c>
      <c r="AL227">
        <v>0</v>
      </c>
      <c r="AM227">
        <v>0</v>
      </c>
    </row>
    <row r="228" spans="1:85" x14ac:dyDescent="0.25">
      <c r="A228" t="s">
        <v>128</v>
      </c>
      <c r="B228" t="s">
        <v>145</v>
      </c>
      <c r="C228" t="s">
        <v>72</v>
      </c>
      <c r="D228" s="12">
        <v>46233</v>
      </c>
      <c r="E228" t="s">
        <v>135</v>
      </c>
      <c r="F228" t="s">
        <v>135</v>
      </c>
      <c r="G228" t="s">
        <v>135</v>
      </c>
      <c r="H228" t="s">
        <v>74</v>
      </c>
      <c r="I228">
        <v>10</v>
      </c>
      <c r="K228">
        <v>1.2735376146788993</v>
      </c>
      <c r="L228">
        <v>46233</v>
      </c>
      <c r="M228" t="s">
        <v>237</v>
      </c>
      <c r="N228">
        <v>0</v>
      </c>
      <c r="O228">
        <v>0</v>
      </c>
      <c r="P228">
        <v>0.94117647058823517</v>
      </c>
      <c r="Q228">
        <v>0</v>
      </c>
      <c r="R228">
        <v>0</v>
      </c>
      <c r="S228">
        <v>0.73902526296840998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0.73902526296840998</v>
      </c>
      <c r="AD228">
        <v>0.26097473703159002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K228">
        <v>0</v>
      </c>
      <c r="BL228">
        <v>0</v>
      </c>
      <c r="BM228">
        <v>1.3531337155963306</v>
      </c>
      <c r="BN228">
        <v>0.35313371559633056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</row>
    <row r="229" spans="1:85" x14ac:dyDescent="0.25">
      <c r="A229" t="s">
        <v>128</v>
      </c>
      <c r="B229" t="s">
        <v>145</v>
      </c>
      <c r="C229" t="s">
        <v>72</v>
      </c>
      <c r="D229" s="12">
        <v>46233</v>
      </c>
      <c r="E229" t="s">
        <v>135</v>
      </c>
      <c r="F229" t="s">
        <v>135</v>
      </c>
      <c r="G229" t="s">
        <v>135</v>
      </c>
      <c r="H229" t="s">
        <v>73</v>
      </c>
      <c r="I229">
        <v>10</v>
      </c>
      <c r="K229">
        <v>5.7458435349770651</v>
      </c>
      <c r="L229">
        <v>46233</v>
      </c>
      <c r="M229" t="s">
        <v>238</v>
      </c>
      <c r="N229">
        <v>2.8499999999999996</v>
      </c>
      <c r="O229">
        <v>2.8499999999999996</v>
      </c>
      <c r="P229">
        <v>4.1104779411764714</v>
      </c>
      <c r="Q229">
        <v>0.49601072195074586</v>
      </c>
      <c r="R229">
        <v>0.49601072195074586</v>
      </c>
      <c r="S229">
        <v>0.71538285304054638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0.21937213108980053</v>
      </c>
      <c r="AD229">
        <v>0.28461714695945362</v>
      </c>
      <c r="AE229">
        <v>0</v>
      </c>
      <c r="AF229">
        <v>0</v>
      </c>
      <c r="AG229">
        <v>0</v>
      </c>
      <c r="AH229">
        <v>0.49601072195074586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2.0160854508691459</v>
      </c>
      <c r="AO229">
        <v>2.0160854508691459</v>
      </c>
      <c r="AP229">
        <v>1.4422729618163059</v>
      </c>
      <c r="BG229">
        <v>0</v>
      </c>
      <c r="BH229">
        <v>0</v>
      </c>
      <c r="BI229">
        <v>0</v>
      </c>
      <c r="BK229">
        <v>0.69335002906846721</v>
      </c>
      <c r="BL229">
        <v>0.69335002906846721</v>
      </c>
      <c r="BM229">
        <v>1.3978529059646361</v>
      </c>
      <c r="BN229">
        <v>0.39785290596463607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0.50398927804925409</v>
      </c>
      <c r="BX229">
        <v>0</v>
      </c>
      <c r="BY229">
        <v>0</v>
      </c>
      <c r="BZ229">
        <v>0</v>
      </c>
      <c r="CA229">
        <v>0</v>
      </c>
      <c r="CB229">
        <v>0.69335002906846721</v>
      </c>
      <c r="CC229">
        <v>0</v>
      </c>
      <c r="CD229">
        <v>0</v>
      </c>
      <c r="CE229">
        <v>0</v>
      </c>
      <c r="CF229">
        <v>0</v>
      </c>
      <c r="CG229">
        <v>0</v>
      </c>
    </row>
    <row r="230" spans="1:85" x14ac:dyDescent="0.25">
      <c r="A230" t="s">
        <v>128</v>
      </c>
      <c r="B230" t="s">
        <v>145</v>
      </c>
      <c r="C230" t="s">
        <v>109</v>
      </c>
      <c r="D230" s="12">
        <v>46232</v>
      </c>
      <c r="E230" t="s">
        <v>136</v>
      </c>
      <c r="F230" t="s">
        <v>136</v>
      </c>
      <c r="G230" t="s">
        <v>136</v>
      </c>
      <c r="K230">
        <v>6.7786480661254078</v>
      </c>
      <c r="N230">
        <v>0</v>
      </c>
      <c r="O230">
        <v>0</v>
      </c>
      <c r="P230">
        <v>9.3354238754325234</v>
      </c>
      <c r="T230">
        <v>0.37718078654709336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M230">
        <v>0</v>
      </c>
    </row>
    <row r="231" spans="1:85" x14ac:dyDescent="0.25">
      <c r="A231" t="s">
        <v>128</v>
      </c>
      <c r="B231" t="s">
        <v>145</v>
      </c>
      <c r="C231" t="s">
        <v>72</v>
      </c>
      <c r="D231" s="12">
        <v>46232</v>
      </c>
      <c r="E231" t="s">
        <v>135</v>
      </c>
      <c r="F231" t="s">
        <v>135</v>
      </c>
      <c r="G231" t="s">
        <v>135</v>
      </c>
      <c r="H231" t="s">
        <v>75</v>
      </c>
      <c r="I231">
        <v>10</v>
      </c>
      <c r="K231">
        <v>2.2474193200215873</v>
      </c>
      <c r="L231">
        <v>46232</v>
      </c>
      <c r="M231" t="s">
        <v>239</v>
      </c>
      <c r="N231">
        <v>4.75</v>
      </c>
      <c r="O231">
        <v>4.75</v>
      </c>
      <c r="P231">
        <v>2.5449826989619382</v>
      </c>
      <c r="Q231">
        <v>2.1135352702914267</v>
      </c>
      <c r="R231">
        <v>2.1135352702914267</v>
      </c>
      <c r="S231">
        <v>1.1324022519026369</v>
      </c>
      <c r="T231">
        <v>0</v>
      </c>
      <c r="U231">
        <v>0</v>
      </c>
      <c r="V231">
        <v>0.86353527029142674</v>
      </c>
      <c r="W231">
        <v>0</v>
      </c>
      <c r="X231">
        <v>0</v>
      </c>
      <c r="Y231">
        <v>0</v>
      </c>
      <c r="Z231">
        <v>0.13240225190263688</v>
      </c>
      <c r="AA231">
        <v>0</v>
      </c>
      <c r="AB231">
        <v>0.11759774809736312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0.4731409094782289</v>
      </c>
      <c r="AO231">
        <v>0.4731409094782289</v>
      </c>
      <c r="AP231">
        <v>0.53578583136040803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0.46421416863959197</v>
      </c>
      <c r="BB231">
        <v>0</v>
      </c>
      <c r="BC231">
        <v>0</v>
      </c>
      <c r="BD231">
        <v>0</v>
      </c>
      <c r="BE231">
        <v>0.4731409094782289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1.8664174031271241</v>
      </c>
      <c r="BL231">
        <v>1.8664174031271241</v>
      </c>
      <c r="BM231">
        <v>0.88307842758156163</v>
      </c>
      <c r="CD231">
        <v>0</v>
      </c>
      <c r="CE231">
        <v>0</v>
      </c>
      <c r="CF231">
        <v>0</v>
      </c>
    </row>
    <row r="232" spans="1:85" x14ac:dyDescent="0.25">
      <c r="A232" t="s">
        <v>128</v>
      </c>
      <c r="B232" t="s">
        <v>145</v>
      </c>
      <c r="C232" t="s">
        <v>72</v>
      </c>
      <c r="D232" s="12">
        <v>46232</v>
      </c>
      <c r="E232" t="s">
        <v>135</v>
      </c>
      <c r="F232" t="s">
        <v>135</v>
      </c>
      <c r="G232" t="s">
        <v>135</v>
      </c>
      <c r="H232" t="s">
        <v>74</v>
      </c>
      <c r="I232">
        <v>10</v>
      </c>
      <c r="K232">
        <v>1.2735376146788993</v>
      </c>
      <c r="L232">
        <v>46232</v>
      </c>
      <c r="M232" t="s">
        <v>240</v>
      </c>
      <c r="N232">
        <v>0</v>
      </c>
      <c r="O232">
        <v>0</v>
      </c>
      <c r="P232">
        <v>0.94117647058823517</v>
      </c>
      <c r="Q232">
        <v>0</v>
      </c>
      <c r="R232">
        <v>0</v>
      </c>
      <c r="S232">
        <v>0.73902526296840998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0.73902526296840998</v>
      </c>
      <c r="AD232">
        <v>0.26097473703159002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K232">
        <v>0</v>
      </c>
      <c r="BL232">
        <v>0</v>
      </c>
      <c r="BM232">
        <v>1.3531337155963306</v>
      </c>
      <c r="BN232">
        <v>0.35313371559633056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</row>
    <row r="233" spans="1:85" x14ac:dyDescent="0.25">
      <c r="A233" t="s">
        <v>128</v>
      </c>
      <c r="B233" t="s">
        <v>145</v>
      </c>
      <c r="C233" t="s">
        <v>109</v>
      </c>
      <c r="D233" s="12">
        <v>46232</v>
      </c>
      <c r="E233" t="s">
        <v>135</v>
      </c>
      <c r="F233" t="s">
        <v>135</v>
      </c>
      <c r="G233" t="s">
        <v>135</v>
      </c>
      <c r="K233">
        <v>9.341421814287644</v>
      </c>
      <c r="N233">
        <v>8.5500000000000007</v>
      </c>
      <c r="O233">
        <v>8.5500000000000007</v>
      </c>
      <c r="P233">
        <v>7.774762110726642</v>
      </c>
      <c r="T233">
        <v>0</v>
      </c>
      <c r="U233">
        <v>0</v>
      </c>
      <c r="V233">
        <v>0.20775486735913029</v>
      </c>
      <c r="W233">
        <v>0</v>
      </c>
      <c r="X233">
        <v>0</v>
      </c>
      <c r="Y233">
        <v>0</v>
      </c>
      <c r="Z233">
        <v>3.1854185032649932E-2</v>
      </c>
      <c r="AA233">
        <v>0</v>
      </c>
      <c r="AB233">
        <v>2.8292422322778926E-2</v>
      </c>
      <c r="AC233">
        <v>0.15305800767693259</v>
      </c>
      <c r="AD233">
        <v>0.19956523959233227</v>
      </c>
      <c r="AE233">
        <v>0</v>
      </c>
      <c r="AF233">
        <v>0</v>
      </c>
      <c r="AG233">
        <v>0</v>
      </c>
      <c r="AH233">
        <v>0.64737675273073514</v>
      </c>
      <c r="AI233">
        <v>0</v>
      </c>
      <c r="AJ233">
        <v>0</v>
      </c>
      <c r="AK233">
        <v>0</v>
      </c>
      <c r="AL233">
        <v>0</v>
      </c>
      <c r="AM233">
        <v>0</v>
      </c>
    </row>
    <row r="234" spans="1:85" x14ac:dyDescent="0.25">
      <c r="A234" t="s">
        <v>128</v>
      </c>
      <c r="B234" t="s">
        <v>145</v>
      </c>
      <c r="C234" t="s">
        <v>72</v>
      </c>
      <c r="D234" s="12">
        <v>46233</v>
      </c>
      <c r="E234" t="s">
        <v>136</v>
      </c>
      <c r="F234" t="s">
        <v>136</v>
      </c>
      <c r="G234" t="s">
        <v>136</v>
      </c>
      <c r="H234" t="s">
        <v>75</v>
      </c>
      <c r="I234">
        <v>10</v>
      </c>
      <c r="K234">
        <v>3.1774912809962848</v>
      </c>
      <c r="L234">
        <v>46233</v>
      </c>
      <c r="M234" t="s">
        <v>236</v>
      </c>
      <c r="N234">
        <v>0</v>
      </c>
      <c r="O234">
        <v>0</v>
      </c>
      <c r="P234">
        <v>4.6885813148788928</v>
      </c>
      <c r="Q234">
        <v>0</v>
      </c>
      <c r="R234">
        <v>0</v>
      </c>
      <c r="S234">
        <v>1.4755607176391099</v>
      </c>
      <c r="T234">
        <v>0.4755607176391099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</v>
      </c>
      <c r="AM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1</v>
      </c>
      <c r="BJ234">
        <v>1</v>
      </c>
      <c r="BK234">
        <v>0</v>
      </c>
      <c r="BL234">
        <v>0</v>
      </c>
      <c r="BM234">
        <v>0.67770847247817434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</v>
      </c>
      <c r="BW234">
        <v>0</v>
      </c>
      <c r="BX234">
        <v>0.32229152752182566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0.67770847247817434</v>
      </c>
      <c r="CG234">
        <v>0</v>
      </c>
    </row>
    <row r="235" spans="1:85" x14ac:dyDescent="0.25">
      <c r="A235" t="s">
        <v>128</v>
      </c>
      <c r="B235" t="s">
        <v>145</v>
      </c>
      <c r="C235" t="s">
        <v>72</v>
      </c>
      <c r="D235" s="12">
        <v>46237</v>
      </c>
      <c r="E235" t="s">
        <v>136</v>
      </c>
      <c r="F235" t="s">
        <v>136</v>
      </c>
      <c r="G235" t="s">
        <v>136</v>
      </c>
      <c r="H235" t="s">
        <v>73</v>
      </c>
      <c r="I235">
        <v>10</v>
      </c>
      <c r="K235">
        <v>3.6011567851291222</v>
      </c>
      <c r="L235">
        <v>46237</v>
      </c>
      <c r="M235" t="s">
        <v>235</v>
      </c>
      <c r="N235">
        <v>0</v>
      </c>
      <c r="O235">
        <v>0</v>
      </c>
      <c r="P235">
        <v>4.7058823529411757</v>
      </c>
      <c r="Q235">
        <v>0</v>
      </c>
      <c r="R235">
        <v>0</v>
      </c>
      <c r="S235">
        <v>1.306769639237588</v>
      </c>
      <c r="T235">
        <v>0.30676963923758804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1</v>
      </c>
      <c r="BJ235">
        <v>1</v>
      </c>
      <c r="BK235">
        <v>0</v>
      </c>
      <c r="BL235">
        <v>0</v>
      </c>
      <c r="BM235">
        <v>0.76524581683993853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0.23475418316006147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0.76524581683993853</v>
      </c>
      <c r="CG235">
        <v>0</v>
      </c>
    </row>
    <row r="236" spans="1:85" x14ac:dyDescent="0.25">
      <c r="A236" t="s">
        <v>128</v>
      </c>
      <c r="B236" t="s">
        <v>145</v>
      </c>
      <c r="C236" t="s">
        <v>72</v>
      </c>
      <c r="D236" s="12">
        <v>46233</v>
      </c>
      <c r="E236" t="s">
        <v>136</v>
      </c>
      <c r="F236" t="s">
        <v>136</v>
      </c>
      <c r="G236" t="s">
        <v>136</v>
      </c>
      <c r="H236" t="s">
        <v>74</v>
      </c>
      <c r="I236">
        <v>10</v>
      </c>
      <c r="K236">
        <v>0</v>
      </c>
      <c r="L236">
        <v>46233</v>
      </c>
      <c r="M236" t="s">
        <v>237</v>
      </c>
      <c r="N236">
        <v>0</v>
      </c>
      <c r="O236">
        <v>0</v>
      </c>
      <c r="P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M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1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G236">
        <v>0</v>
      </c>
    </row>
    <row r="237" spans="1:85" x14ac:dyDescent="0.25">
      <c r="A237" t="s">
        <v>128</v>
      </c>
      <c r="B237" t="s">
        <v>145</v>
      </c>
      <c r="C237" t="s">
        <v>72</v>
      </c>
      <c r="D237" s="12">
        <v>46239</v>
      </c>
      <c r="E237" t="s">
        <v>134</v>
      </c>
      <c r="F237" t="s">
        <v>134</v>
      </c>
      <c r="G237" t="s">
        <v>134</v>
      </c>
      <c r="H237" t="s">
        <v>73</v>
      </c>
      <c r="I237">
        <v>20</v>
      </c>
      <c r="K237">
        <v>12.575914710568108</v>
      </c>
      <c r="L237">
        <v>46239</v>
      </c>
      <c r="M237" t="s">
        <v>180</v>
      </c>
      <c r="N237">
        <v>18.05</v>
      </c>
      <c r="O237">
        <v>18.05</v>
      </c>
      <c r="P237">
        <v>12.738511029411764</v>
      </c>
      <c r="Q237">
        <v>1.4352832708726764</v>
      </c>
      <c r="R237">
        <v>1.4352832708726764</v>
      </c>
      <c r="S237">
        <v>1.0129291842848631</v>
      </c>
      <c r="T237">
        <v>0</v>
      </c>
      <c r="U237">
        <v>0</v>
      </c>
      <c r="V237">
        <v>0.18528327087267638</v>
      </c>
      <c r="W237">
        <v>0</v>
      </c>
      <c r="X237">
        <v>0</v>
      </c>
      <c r="Y237">
        <v>0</v>
      </c>
      <c r="Z237">
        <v>1.2929184284863116E-2</v>
      </c>
      <c r="AA237">
        <v>0</v>
      </c>
      <c r="AB237">
        <v>0.23707081571513688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0.69672657676277605</v>
      </c>
      <c r="AO237">
        <v>0.69672657676277605</v>
      </c>
      <c r="AP237">
        <v>0.70573468306990383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0.29426531693009617</v>
      </c>
      <c r="BB237">
        <v>0</v>
      </c>
      <c r="BC237">
        <v>0</v>
      </c>
      <c r="BD237">
        <v>0</v>
      </c>
      <c r="BE237">
        <v>0.69672657676277605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1.4169630939067066</v>
      </c>
      <c r="BL237">
        <v>1.4169630939067066</v>
      </c>
      <c r="BM237">
        <v>0.98723584581681167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0.41696309390670661</v>
      </c>
      <c r="BW237">
        <v>0</v>
      </c>
      <c r="BX237">
        <v>0</v>
      </c>
      <c r="BY237">
        <v>0</v>
      </c>
      <c r="BZ237">
        <v>1.2764154183188325E-2</v>
      </c>
      <c r="CA237">
        <v>0</v>
      </c>
      <c r="CB237">
        <v>0.98723584581681167</v>
      </c>
      <c r="CC237">
        <v>0</v>
      </c>
      <c r="CD237">
        <v>0</v>
      </c>
      <c r="CE237">
        <v>0</v>
      </c>
      <c r="CF237">
        <v>0</v>
      </c>
      <c r="CG237">
        <v>0</v>
      </c>
    </row>
    <row r="238" spans="1:85" x14ac:dyDescent="0.25">
      <c r="A238" t="s">
        <v>128</v>
      </c>
      <c r="B238" t="s">
        <v>145</v>
      </c>
      <c r="C238" t="s">
        <v>72</v>
      </c>
      <c r="D238" s="12">
        <v>46238</v>
      </c>
      <c r="E238" t="s">
        <v>134</v>
      </c>
      <c r="F238" t="s">
        <v>134</v>
      </c>
      <c r="G238" t="s">
        <v>134</v>
      </c>
      <c r="H238" t="s">
        <v>75</v>
      </c>
      <c r="I238">
        <v>20</v>
      </c>
      <c r="K238">
        <v>10.972274579690296</v>
      </c>
      <c r="L238">
        <v>46238</v>
      </c>
      <c r="M238" t="s">
        <v>181</v>
      </c>
      <c r="N238">
        <v>11.4</v>
      </c>
      <c r="O238">
        <v>11.4</v>
      </c>
      <c r="P238">
        <v>11.6015625</v>
      </c>
      <c r="Q238">
        <v>1.0389823839353622</v>
      </c>
      <c r="R238">
        <v>1.0389823839353622</v>
      </c>
      <c r="S238">
        <v>1.0573525494407985</v>
      </c>
      <c r="T238">
        <v>1.8370165505436242E-2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3.8982383935362241E-2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0.96248022628862262</v>
      </c>
      <c r="AO238">
        <v>0.96248022628862262</v>
      </c>
      <c r="AP238">
        <v>1.0176809210526316</v>
      </c>
      <c r="AQ238">
        <v>1.7680921052631637E-2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0.96248022628862262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0.98262626262626251</v>
      </c>
      <c r="BL238">
        <v>0.98262626262626251</v>
      </c>
      <c r="BM238">
        <v>0.94575834760966859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1.7373737373737486E-2</v>
      </c>
      <c r="BY238">
        <v>0</v>
      </c>
      <c r="BZ238">
        <v>3.6867915016593922E-2</v>
      </c>
      <c r="CA238">
        <v>0</v>
      </c>
      <c r="CB238">
        <v>0.94575834760966859</v>
      </c>
      <c r="CC238">
        <v>0</v>
      </c>
      <c r="CD238">
        <v>0</v>
      </c>
      <c r="CE238">
        <v>0</v>
      </c>
      <c r="CF238">
        <v>0</v>
      </c>
      <c r="CG238">
        <v>0</v>
      </c>
    </row>
    <row r="239" spans="1:85" x14ac:dyDescent="0.25">
      <c r="A239" t="s">
        <v>128</v>
      </c>
      <c r="B239" t="s">
        <v>145</v>
      </c>
      <c r="C239" t="s">
        <v>117</v>
      </c>
      <c r="D239" s="12">
        <v>46226</v>
      </c>
      <c r="K239">
        <v>44.45775971346233</v>
      </c>
      <c r="N239">
        <v>45.6</v>
      </c>
      <c r="O239">
        <v>45.6</v>
      </c>
      <c r="P239">
        <v>42.040378574030221</v>
      </c>
      <c r="T239">
        <v>5.7510226016469664E-2</v>
      </c>
      <c r="U239">
        <v>0</v>
      </c>
      <c r="V239">
        <v>0.14024847526887615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0.12481749340957024</v>
      </c>
      <c r="AC239">
        <v>0.12653494523698239</v>
      </c>
      <c r="AD239">
        <v>4.1366173134670815E-2</v>
      </c>
      <c r="AE239">
        <v>0</v>
      </c>
      <c r="AF239">
        <v>7.0518838183904198E-2</v>
      </c>
      <c r="AG239">
        <v>0</v>
      </c>
      <c r="AH239">
        <v>0.69010790221475082</v>
      </c>
      <c r="AI239">
        <v>0</v>
      </c>
      <c r="AJ239">
        <v>0</v>
      </c>
      <c r="AK239">
        <v>0</v>
      </c>
      <c r="AM239">
        <v>0</v>
      </c>
    </row>
    <row r="240" spans="1:85" x14ac:dyDescent="0.25">
      <c r="A240" t="s">
        <v>128</v>
      </c>
      <c r="B240" t="s">
        <v>145</v>
      </c>
      <c r="C240" t="s">
        <v>72</v>
      </c>
      <c r="D240" s="12">
        <v>46238</v>
      </c>
      <c r="E240" t="s">
        <v>134</v>
      </c>
      <c r="F240" t="s">
        <v>134</v>
      </c>
      <c r="G240" t="s">
        <v>134</v>
      </c>
      <c r="H240" t="s">
        <v>74</v>
      </c>
      <c r="I240">
        <v>20</v>
      </c>
      <c r="K240">
        <v>4.220105607573192</v>
      </c>
      <c r="L240">
        <v>46238</v>
      </c>
      <c r="M240" t="s">
        <v>182</v>
      </c>
      <c r="N240">
        <v>4.75</v>
      </c>
      <c r="O240">
        <v>4.75</v>
      </c>
      <c r="P240">
        <v>4.6875</v>
      </c>
      <c r="Q240">
        <v>1.1255642492633089</v>
      </c>
      <c r="R240">
        <v>1.1255642492633089</v>
      </c>
      <c r="S240">
        <v>1.1107541933519496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0.11075419335194958</v>
      </c>
      <c r="AA240">
        <v>0</v>
      </c>
      <c r="AB240">
        <v>1.481005591135931E-2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1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0.88844328580488252</v>
      </c>
      <c r="AO240">
        <v>0.88844328580488252</v>
      </c>
      <c r="AP240">
        <v>0.98684210526315785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1.3157894736842146E-2</v>
      </c>
      <c r="BB240">
        <v>0</v>
      </c>
      <c r="BC240">
        <v>0</v>
      </c>
      <c r="BD240">
        <v>0</v>
      </c>
      <c r="BE240">
        <v>0.88844328580488252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1.0133333333333334</v>
      </c>
      <c r="BL240">
        <v>1.0133333333333334</v>
      </c>
      <c r="BM240">
        <v>0.90028919628228099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1.3333333333333419E-2</v>
      </c>
      <c r="BW240">
        <v>0</v>
      </c>
      <c r="BX240">
        <v>0</v>
      </c>
      <c r="BY240">
        <v>0</v>
      </c>
      <c r="BZ240">
        <v>9.971080371771901E-2</v>
      </c>
      <c r="CA240">
        <v>0</v>
      </c>
      <c r="CB240">
        <v>0.90028919628228099</v>
      </c>
      <c r="CC240">
        <v>0</v>
      </c>
      <c r="CD240">
        <v>0</v>
      </c>
      <c r="CE240">
        <v>0</v>
      </c>
      <c r="CF240">
        <v>0</v>
      </c>
      <c r="CG240">
        <v>0</v>
      </c>
    </row>
    <row r="241" spans="1:85" x14ac:dyDescent="0.25">
      <c r="A241" t="s">
        <v>128</v>
      </c>
      <c r="B241" t="s">
        <v>145</v>
      </c>
      <c r="C241" t="s">
        <v>72</v>
      </c>
      <c r="D241" s="12">
        <v>46238</v>
      </c>
      <c r="E241" t="s">
        <v>134</v>
      </c>
      <c r="F241" t="s">
        <v>134</v>
      </c>
      <c r="G241" t="s">
        <v>134</v>
      </c>
      <c r="H241" t="s">
        <v>73</v>
      </c>
      <c r="I241">
        <v>20</v>
      </c>
      <c r="K241">
        <v>13.02605930870925</v>
      </c>
      <c r="L241">
        <v>46238</v>
      </c>
      <c r="M241" t="s">
        <v>183</v>
      </c>
      <c r="N241">
        <v>20.9</v>
      </c>
      <c r="O241">
        <v>20.9</v>
      </c>
      <c r="P241">
        <v>13.6171875</v>
      </c>
      <c r="Q241">
        <v>1.6044760356669201</v>
      </c>
      <c r="R241">
        <v>1.6044760356669201</v>
      </c>
      <c r="S241">
        <v>1.0453804314322077</v>
      </c>
      <c r="T241">
        <v>0</v>
      </c>
      <c r="U241">
        <v>0</v>
      </c>
      <c r="V241">
        <v>0.3544760356669201</v>
      </c>
      <c r="W241">
        <v>0</v>
      </c>
      <c r="X241">
        <v>0</v>
      </c>
      <c r="Y241">
        <v>0</v>
      </c>
      <c r="Z241">
        <v>4.5380431432207713E-2</v>
      </c>
      <c r="AA241">
        <v>0</v>
      </c>
      <c r="AB241">
        <v>0.20461956856779229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1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0.6232564262540311</v>
      </c>
      <c r="AO241">
        <v>0.6232564262540311</v>
      </c>
      <c r="AP241">
        <v>0.65154007177033502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0.34845992822966498</v>
      </c>
      <c r="BB241">
        <v>0</v>
      </c>
      <c r="BC241">
        <v>0</v>
      </c>
      <c r="BD241">
        <v>0</v>
      </c>
      <c r="BE241">
        <v>0.6232564262540311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1.5348250143430866</v>
      </c>
      <c r="BL241">
        <v>1.5348250143430866</v>
      </c>
      <c r="BM241">
        <v>0.95658955336476426</v>
      </c>
      <c r="CD241">
        <v>0</v>
      </c>
      <c r="CE241">
        <v>0</v>
      </c>
      <c r="CF241">
        <v>0</v>
      </c>
    </row>
    <row r="242" spans="1:85" x14ac:dyDescent="0.25">
      <c r="A242" t="s">
        <v>128</v>
      </c>
      <c r="B242" t="s">
        <v>145</v>
      </c>
      <c r="C242" t="s">
        <v>117</v>
      </c>
      <c r="D242" s="12">
        <v>46227</v>
      </c>
      <c r="K242">
        <v>41.296293897593188</v>
      </c>
      <c r="N242">
        <v>41.800000000000004</v>
      </c>
      <c r="O242">
        <v>41.800000000000004</v>
      </c>
      <c r="P242">
        <v>39.758866782006919</v>
      </c>
      <c r="T242">
        <v>3.7980248143818035E-2</v>
      </c>
      <c r="U242">
        <v>0</v>
      </c>
      <c r="V242">
        <v>0.12601278314564576</v>
      </c>
      <c r="W242">
        <v>0</v>
      </c>
      <c r="X242">
        <v>2.9426780530289408E-3</v>
      </c>
      <c r="Y242">
        <v>0</v>
      </c>
      <c r="Z242">
        <v>1.7328524539966861E-2</v>
      </c>
      <c r="AA242">
        <v>0</v>
      </c>
      <c r="AB242">
        <v>9.4700434570566386E-2</v>
      </c>
      <c r="AC242">
        <v>0.16662393460974048</v>
      </c>
      <c r="AD242">
        <v>6.2163117488753465E-2</v>
      </c>
      <c r="AE242">
        <v>0</v>
      </c>
      <c r="AF242">
        <v>3.3317512200505592E-2</v>
      </c>
      <c r="AG242">
        <v>0</v>
      </c>
      <c r="AH242">
        <v>0.73789543570100069</v>
      </c>
      <c r="AI242">
        <v>0</v>
      </c>
      <c r="AJ242">
        <v>0</v>
      </c>
      <c r="AK242">
        <v>0</v>
      </c>
      <c r="AM242">
        <v>0</v>
      </c>
    </row>
    <row r="243" spans="1:85" x14ac:dyDescent="0.25">
      <c r="A243" t="s">
        <v>128</v>
      </c>
      <c r="B243" t="s">
        <v>145</v>
      </c>
      <c r="C243" t="s">
        <v>72</v>
      </c>
      <c r="D243" s="12">
        <v>46237</v>
      </c>
      <c r="E243" t="s">
        <v>134</v>
      </c>
      <c r="F243" t="s">
        <v>134</v>
      </c>
      <c r="G243" t="s">
        <v>134</v>
      </c>
      <c r="H243" t="s">
        <v>75</v>
      </c>
      <c r="I243">
        <v>20</v>
      </c>
      <c r="K243">
        <v>10.972274579690296</v>
      </c>
      <c r="L243">
        <v>46237</v>
      </c>
      <c r="M243" t="s">
        <v>184</v>
      </c>
      <c r="N243">
        <v>10.45</v>
      </c>
      <c r="O243">
        <v>10.45</v>
      </c>
      <c r="P243">
        <v>11.3671875</v>
      </c>
      <c r="Q243">
        <v>0.95240051860741537</v>
      </c>
      <c r="R243">
        <v>0.95240051860741537</v>
      </c>
      <c r="S243">
        <v>1.0359918918763378</v>
      </c>
      <c r="T243">
        <v>3.5991891876337778E-2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4.7599481392584631E-2</v>
      </c>
      <c r="AD243">
        <v>0</v>
      </c>
      <c r="AE243">
        <v>0</v>
      </c>
      <c r="AF243">
        <v>0</v>
      </c>
      <c r="AG243">
        <v>0</v>
      </c>
      <c r="AH243">
        <v>0.95240051860741537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1.0499784286784972</v>
      </c>
      <c r="AO243">
        <v>1.0499784286784972</v>
      </c>
      <c r="AP243">
        <v>1.0877691387559809</v>
      </c>
      <c r="AQ243">
        <v>3.7790710077483691E-2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4.9978428678497222E-2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1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0.91931271477663223</v>
      </c>
      <c r="BL243">
        <v>0.91931271477663223</v>
      </c>
      <c r="BM243">
        <v>0.96525851972533194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3.4741480274668057E-2</v>
      </c>
      <c r="BY243">
        <v>0</v>
      </c>
      <c r="BZ243">
        <v>0</v>
      </c>
      <c r="CA243">
        <v>0</v>
      </c>
      <c r="CB243">
        <v>0.91931271477663223</v>
      </c>
      <c r="CC243">
        <v>0</v>
      </c>
      <c r="CD243">
        <v>0</v>
      </c>
      <c r="CE243">
        <v>0</v>
      </c>
      <c r="CF243">
        <v>0</v>
      </c>
      <c r="CG243">
        <v>0</v>
      </c>
    </row>
    <row r="244" spans="1:85" x14ac:dyDescent="0.25">
      <c r="A244" t="s">
        <v>128</v>
      </c>
      <c r="B244" t="s">
        <v>145</v>
      </c>
      <c r="C244" t="s">
        <v>117</v>
      </c>
      <c r="D244" s="12">
        <v>46228</v>
      </c>
      <c r="K244">
        <v>40.032120530081052</v>
      </c>
      <c r="N244">
        <v>36.1</v>
      </c>
      <c r="O244">
        <v>36.1</v>
      </c>
      <c r="P244">
        <v>43.516219723183383</v>
      </c>
      <c r="T244">
        <v>7.325612724477952E-2</v>
      </c>
      <c r="U244">
        <v>0</v>
      </c>
      <c r="V244">
        <v>3.5329671853501304E-2</v>
      </c>
      <c r="W244">
        <v>0</v>
      </c>
      <c r="X244">
        <v>0</v>
      </c>
      <c r="Y244">
        <v>3.3686395478934972E-3</v>
      </c>
      <c r="Z244">
        <v>2.8842968240129642E-2</v>
      </c>
      <c r="AA244">
        <v>0</v>
      </c>
      <c r="AB244">
        <v>6.4810502494730915E-2</v>
      </c>
      <c r="AC244">
        <v>4.2810549337549887E-2</v>
      </c>
      <c r="AD244">
        <v>1.5066503981685953E-2</v>
      </c>
      <c r="AE244">
        <v>0</v>
      </c>
      <c r="AF244">
        <v>0</v>
      </c>
      <c r="AG244">
        <v>0</v>
      </c>
      <c r="AH244">
        <v>0.71314354283528447</v>
      </c>
      <c r="AI244">
        <v>0</v>
      </c>
      <c r="AJ244">
        <v>0</v>
      </c>
      <c r="AK244">
        <v>0</v>
      </c>
      <c r="AM244">
        <v>5.9649176608784084E-2</v>
      </c>
    </row>
    <row r="245" spans="1:85" x14ac:dyDescent="0.25">
      <c r="A245" t="s">
        <v>128</v>
      </c>
      <c r="B245" t="s">
        <v>145</v>
      </c>
      <c r="C245" t="s">
        <v>72</v>
      </c>
      <c r="D245" s="12">
        <v>46237</v>
      </c>
      <c r="E245" t="s">
        <v>134</v>
      </c>
      <c r="F245" t="s">
        <v>134</v>
      </c>
      <c r="G245" t="s">
        <v>134</v>
      </c>
      <c r="H245" t="s">
        <v>74</v>
      </c>
      <c r="I245">
        <v>20</v>
      </c>
      <c r="K245">
        <v>4.220105607573192</v>
      </c>
      <c r="L245">
        <v>46237</v>
      </c>
      <c r="M245" t="s">
        <v>185</v>
      </c>
      <c r="N245">
        <v>3.8</v>
      </c>
      <c r="O245">
        <v>3.8</v>
      </c>
      <c r="P245">
        <v>4.6875</v>
      </c>
      <c r="Q245">
        <v>0.90045139941064711</v>
      </c>
      <c r="R245">
        <v>0.90045139941064711</v>
      </c>
      <c r="S245">
        <v>1.1107541933519496</v>
      </c>
      <c r="T245">
        <v>0.11075419335194958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9.9548600589352887E-2</v>
      </c>
      <c r="AD245">
        <v>0</v>
      </c>
      <c r="AE245">
        <v>0</v>
      </c>
      <c r="AF245">
        <v>0</v>
      </c>
      <c r="AG245">
        <v>0</v>
      </c>
      <c r="AH245">
        <v>0.90045139941064711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1.1105541072561032</v>
      </c>
      <c r="AO245">
        <v>1.1105541072561032</v>
      </c>
      <c r="AP245">
        <v>1.2335526315789473</v>
      </c>
      <c r="AQ245">
        <v>0.12299852432284419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0.11055410725610315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1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0.81066666666666665</v>
      </c>
      <c r="BL245">
        <v>0.81066666666666665</v>
      </c>
      <c r="BM245">
        <v>0.90028919628228099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9.971080371771901E-2</v>
      </c>
      <c r="BY245">
        <v>0</v>
      </c>
      <c r="BZ245">
        <v>0</v>
      </c>
      <c r="CA245">
        <v>0</v>
      </c>
      <c r="CB245">
        <v>0.81066666666666665</v>
      </c>
      <c r="CC245">
        <v>0</v>
      </c>
      <c r="CD245">
        <v>0</v>
      </c>
      <c r="CE245">
        <v>0</v>
      </c>
      <c r="CF245">
        <v>0</v>
      </c>
      <c r="CG245">
        <v>0</v>
      </c>
    </row>
    <row r="246" spans="1:85" x14ac:dyDescent="0.25">
      <c r="A246" t="s">
        <v>128</v>
      </c>
      <c r="B246" t="s">
        <v>145</v>
      </c>
      <c r="C246" t="s">
        <v>72</v>
      </c>
      <c r="D246" s="12">
        <v>46237</v>
      </c>
      <c r="E246" t="s">
        <v>134</v>
      </c>
      <c r="F246" t="s">
        <v>134</v>
      </c>
      <c r="G246" t="s">
        <v>134</v>
      </c>
      <c r="H246" t="s">
        <v>73</v>
      </c>
      <c r="I246">
        <v>20</v>
      </c>
      <c r="K246">
        <v>11.872563775972576</v>
      </c>
      <c r="L246">
        <v>46237</v>
      </c>
      <c r="M246" t="s">
        <v>235</v>
      </c>
      <c r="N246">
        <v>11.4</v>
      </c>
      <c r="O246">
        <v>11.4</v>
      </c>
      <c r="P246">
        <v>12.0703125</v>
      </c>
      <c r="Q246">
        <v>0.96019698989287039</v>
      </c>
      <c r="R246">
        <v>0.96019698989287039</v>
      </c>
      <c r="S246">
        <v>1.0166559411900253</v>
      </c>
      <c r="T246">
        <v>1.6655941190025336E-2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3.9803010107129611E-2</v>
      </c>
      <c r="AD246">
        <v>0</v>
      </c>
      <c r="AE246">
        <v>0</v>
      </c>
      <c r="AF246">
        <v>0</v>
      </c>
      <c r="AG246">
        <v>0</v>
      </c>
      <c r="AH246">
        <v>0.96019698989287039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1.0414529628046121</v>
      </c>
      <c r="AO246">
        <v>1.0414529628046121</v>
      </c>
      <c r="AP246">
        <v>1.0587993421052633</v>
      </c>
      <c r="AQ246">
        <v>1.7346379300651193E-2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4.1452962804612081E-2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1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0.94446601941747566</v>
      </c>
      <c r="BL246">
        <v>0.94446601941747566</v>
      </c>
      <c r="BM246">
        <v>0.98361693419060825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1.638306580939175E-2</v>
      </c>
      <c r="BY246">
        <v>0</v>
      </c>
      <c r="BZ246">
        <v>0</v>
      </c>
      <c r="CA246">
        <v>0</v>
      </c>
      <c r="CB246">
        <v>0.94446601941747566</v>
      </c>
      <c r="CC246">
        <v>0</v>
      </c>
      <c r="CD246">
        <v>0</v>
      </c>
      <c r="CE246">
        <v>0</v>
      </c>
      <c r="CF246">
        <v>0</v>
      </c>
      <c r="CG246">
        <v>0</v>
      </c>
    </row>
    <row r="247" spans="1:85" x14ac:dyDescent="0.25">
      <c r="A247" t="s">
        <v>128</v>
      </c>
      <c r="B247" t="s">
        <v>145</v>
      </c>
      <c r="C247" t="s">
        <v>117</v>
      </c>
      <c r="D247" s="12">
        <v>46229</v>
      </c>
      <c r="K247">
        <v>41.939193745979424</v>
      </c>
      <c r="N247">
        <v>34.199999999999996</v>
      </c>
      <c r="O247">
        <v>34.199999999999996</v>
      </c>
      <c r="P247">
        <v>44.872224625144163</v>
      </c>
      <c r="T247">
        <v>6.7366124137129488E-2</v>
      </c>
      <c r="U247">
        <v>0</v>
      </c>
      <c r="V247">
        <v>8.7268249927240551E-3</v>
      </c>
      <c r="W247">
        <v>0</v>
      </c>
      <c r="X247">
        <v>0</v>
      </c>
      <c r="Y247">
        <v>0</v>
      </c>
      <c r="Z247">
        <v>1.301095915753692E-2</v>
      </c>
      <c r="AA247">
        <v>0</v>
      </c>
      <c r="AB247">
        <v>2.0530343522613938E-2</v>
      </c>
      <c r="AC247">
        <v>0.14059579939907454</v>
      </c>
      <c r="AD247">
        <v>1.0441764629988201E-2</v>
      </c>
      <c r="AE247">
        <v>0</v>
      </c>
      <c r="AF247">
        <v>0</v>
      </c>
      <c r="AG247">
        <v>0</v>
      </c>
      <c r="AH247">
        <v>0.77319819261800193</v>
      </c>
      <c r="AI247">
        <v>0</v>
      </c>
      <c r="AJ247">
        <v>0</v>
      </c>
      <c r="AK247">
        <v>0</v>
      </c>
      <c r="AM247">
        <v>0</v>
      </c>
    </row>
    <row r="248" spans="1:85" x14ac:dyDescent="0.25">
      <c r="A248" t="s">
        <v>128</v>
      </c>
      <c r="B248" t="s">
        <v>145</v>
      </c>
      <c r="C248" t="s">
        <v>72</v>
      </c>
      <c r="D248" s="12">
        <v>46236</v>
      </c>
      <c r="E248" t="s">
        <v>134</v>
      </c>
      <c r="F248" t="s">
        <v>134</v>
      </c>
      <c r="G248" t="s">
        <v>134</v>
      </c>
      <c r="H248" t="s">
        <v>75</v>
      </c>
      <c r="I248">
        <v>20</v>
      </c>
      <c r="K248">
        <v>10.972274579690296</v>
      </c>
      <c r="L248">
        <v>46236</v>
      </c>
      <c r="M248" t="s">
        <v>186</v>
      </c>
      <c r="N248">
        <v>10.45</v>
      </c>
      <c r="O248">
        <v>10.45</v>
      </c>
      <c r="P248">
        <v>11.25</v>
      </c>
      <c r="Q248">
        <v>0.95240051860741537</v>
      </c>
      <c r="R248">
        <v>0.95240051860741537</v>
      </c>
      <c r="S248">
        <v>1.0253115630941076</v>
      </c>
      <c r="T248">
        <v>2.5311563094107647E-2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4.7599481392584631E-2</v>
      </c>
      <c r="AD248">
        <v>0</v>
      </c>
      <c r="AE248">
        <v>0</v>
      </c>
      <c r="AF248">
        <v>0</v>
      </c>
      <c r="AG248">
        <v>0</v>
      </c>
      <c r="AH248">
        <v>0.95240051860741537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1.0499784286784972</v>
      </c>
      <c r="AO248">
        <v>1.0499784286784972</v>
      </c>
      <c r="AP248">
        <v>1.0765550239234452</v>
      </c>
      <c r="AQ248">
        <v>2.6576595244947931E-2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4.9978428678497222E-2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1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0.92888888888888888</v>
      </c>
      <c r="BL248">
        <v>0.92888888888888888</v>
      </c>
      <c r="BM248">
        <v>0.97531329597247074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</v>
      </c>
      <c r="BW248">
        <v>0</v>
      </c>
      <c r="BX248">
        <v>2.468670402752926E-2</v>
      </c>
      <c r="BY248">
        <v>0</v>
      </c>
      <c r="BZ248">
        <v>0</v>
      </c>
      <c r="CA248">
        <v>0</v>
      </c>
      <c r="CB248">
        <v>0.92888888888888888</v>
      </c>
      <c r="CC248">
        <v>0</v>
      </c>
      <c r="CD248">
        <v>0</v>
      </c>
      <c r="CE248">
        <v>0</v>
      </c>
      <c r="CF248">
        <v>0</v>
      </c>
      <c r="CG248">
        <v>0</v>
      </c>
    </row>
    <row r="249" spans="1:85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134</v>
      </c>
      <c r="F249" t="s">
        <v>134</v>
      </c>
      <c r="G249" t="s">
        <v>134</v>
      </c>
      <c r="H249" t="s">
        <v>74</v>
      </c>
      <c r="I249">
        <v>20</v>
      </c>
      <c r="K249">
        <v>4.220105607573192</v>
      </c>
      <c r="L249">
        <v>46236</v>
      </c>
      <c r="M249" t="s">
        <v>187</v>
      </c>
      <c r="N249">
        <v>5.6999999999999993</v>
      </c>
      <c r="O249">
        <v>5.6999999999999993</v>
      </c>
      <c r="P249">
        <v>4.6875</v>
      </c>
      <c r="Q249">
        <v>1.3506770991159704</v>
      </c>
      <c r="R249">
        <v>1.3506770991159704</v>
      </c>
      <c r="S249">
        <v>1.1107541933519496</v>
      </c>
      <c r="T249">
        <v>0</v>
      </c>
      <c r="U249">
        <v>0</v>
      </c>
      <c r="V249">
        <v>0.10067709911597045</v>
      </c>
      <c r="W249">
        <v>0</v>
      </c>
      <c r="X249">
        <v>0</v>
      </c>
      <c r="Y249">
        <v>0</v>
      </c>
      <c r="Z249">
        <v>0.11075419335194958</v>
      </c>
      <c r="AA249">
        <v>0</v>
      </c>
      <c r="AB249">
        <v>0.13924580664805042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1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0.74036940483740221</v>
      </c>
      <c r="AO249">
        <v>0.74036940483740221</v>
      </c>
      <c r="AP249">
        <v>0.82236842105263164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0.17763157894736836</v>
      </c>
      <c r="BB249">
        <v>0</v>
      </c>
      <c r="BC249">
        <v>0</v>
      </c>
      <c r="BD249">
        <v>0</v>
      </c>
      <c r="BE249">
        <v>0.74036940483740221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1.2159999999999997</v>
      </c>
      <c r="BL249">
        <v>1.2159999999999997</v>
      </c>
      <c r="BM249">
        <v>0.90028919628228099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0.21599999999999975</v>
      </c>
      <c r="BW249">
        <v>0</v>
      </c>
      <c r="BX249">
        <v>0</v>
      </c>
      <c r="BY249">
        <v>0</v>
      </c>
      <c r="BZ249">
        <v>9.971080371771901E-2</v>
      </c>
      <c r="CA249">
        <v>0</v>
      </c>
      <c r="CB249">
        <v>0.90028919628228099</v>
      </c>
      <c r="CC249">
        <v>0</v>
      </c>
      <c r="CD249">
        <v>0</v>
      </c>
      <c r="CE249">
        <v>0</v>
      </c>
      <c r="CF249">
        <v>0</v>
      </c>
      <c r="CG249">
        <v>0</v>
      </c>
    </row>
    <row r="250" spans="1:85" x14ac:dyDescent="0.25">
      <c r="A250" t="s">
        <v>128</v>
      </c>
      <c r="B250" t="s">
        <v>145</v>
      </c>
      <c r="C250" t="s">
        <v>117</v>
      </c>
      <c r="D250" s="12">
        <v>46230</v>
      </c>
      <c r="K250">
        <v>41.995461820747067</v>
      </c>
      <c r="N250">
        <v>41.8</v>
      </c>
      <c r="O250">
        <v>41.8</v>
      </c>
      <c r="P250">
        <v>41.920631487889274</v>
      </c>
      <c r="T250">
        <v>4.1277380587390278E-2</v>
      </c>
      <c r="U250">
        <v>0</v>
      </c>
      <c r="V250">
        <v>8.5135181973998067E-2</v>
      </c>
      <c r="W250">
        <v>0</v>
      </c>
      <c r="X250">
        <v>0</v>
      </c>
      <c r="Y250">
        <v>0</v>
      </c>
      <c r="Z250">
        <v>1.3370427631385257E-2</v>
      </c>
      <c r="AA250">
        <v>0</v>
      </c>
      <c r="AB250">
        <v>0.10101591192264173</v>
      </c>
      <c r="AC250">
        <v>3.4441454890895111E-2</v>
      </c>
      <c r="AD250">
        <v>8.3205988289668138E-3</v>
      </c>
      <c r="AE250">
        <v>0</v>
      </c>
      <c r="AF250">
        <v>4.8109076515766042E-2</v>
      </c>
      <c r="AG250">
        <v>0</v>
      </c>
      <c r="AH250">
        <v>0.74771504616935336</v>
      </c>
      <c r="AI250">
        <v>0</v>
      </c>
      <c r="AJ250">
        <v>0</v>
      </c>
      <c r="AK250">
        <v>0</v>
      </c>
      <c r="AM250">
        <v>0</v>
      </c>
    </row>
    <row r="251" spans="1:85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134</v>
      </c>
      <c r="F251" t="s">
        <v>134</v>
      </c>
      <c r="G251" t="s">
        <v>134</v>
      </c>
      <c r="H251" t="s">
        <v>73</v>
      </c>
      <c r="I251">
        <v>20</v>
      </c>
      <c r="K251">
        <v>10.972274579690296</v>
      </c>
      <c r="L251">
        <v>46236</v>
      </c>
      <c r="M251" t="s">
        <v>188</v>
      </c>
      <c r="N251">
        <v>19</v>
      </c>
      <c r="O251">
        <v>19</v>
      </c>
      <c r="P251">
        <v>11.25</v>
      </c>
      <c r="Q251">
        <v>1.7316373065589372</v>
      </c>
      <c r="R251">
        <v>1.7316373065589372</v>
      </c>
      <c r="S251">
        <v>1.0253115630941076</v>
      </c>
      <c r="T251">
        <v>0</v>
      </c>
      <c r="U251">
        <v>0</v>
      </c>
      <c r="V251">
        <v>0.48163730655893722</v>
      </c>
      <c r="W251">
        <v>0</v>
      </c>
      <c r="X251">
        <v>0</v>
      </c>
      <c r="Y251">
        <v>0</v>
      </c>
      <c r="Z251">
        <v>2.5311563094107647E-2</v>
      </c>
      <c r="AA251">
        <v>0</v>
      </c>
      <c r="AB251">
        <v>0.22468843690589235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1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0.57748813577317348</v>
      </c>
      <c r="AO251">
        <v>0.57748813577317348</v>
      </c>
      <c r="AP251">
        <v>0.59210526315789469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0.40789473684210531</v>
      </c>
      <c r="BB251">
        <v>0</v>
      </c>
      <c r="BC251">
        <v>0</v>
      </c>
      <c r="BD251">
        <v>0</v>
      </c>
      <c r="BE251">
        <v>0.57748813577317348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1.6888888888888889</v>
      </c>
      <c r="BL251">
        <v>1.6888888888888889</v>
      </c>
      <c r="BM251">
        <v>0.97531329597247074</v>
      </c>
      <c r="CD251">
        <v>0</v>
      </c>
      <c r="CE251">
        <v>0</v>
      </c>
      <c r="CF251">
        <v>0</v>
      </c>
    </row>
    <row r="252" spans="1:85" x14ac:dyDescent="0.25">
      <c r="A252" t="s">
        <v>128</v>
      </c>
      <c r="B252" t="s">
        <v>145</v>
      </c>
      <c r="C252" t="s">
        <v>72</v>
      </c>
      <c r="D252" s="12">
        <v>46235</v>
      </c>
      <c r="E252" t="s">
        <v>134</v>
      </c>
      <c r="F252" t="s">
        <v>134</v>
      </c>
      <c r="G252" t="s">
        <v>134</v>
      </c>
      <c r="H252" t="s">
        <v>75</v>
      </c>
      <c r="I252">
        <v>20</v>
      </c>
      <c r="K252">
        <v>10.972274579690296</v>
      </c>
      <c r="L252">
        <v>46235</v>
      </c>
      <c r="M252" t="s">
        <v>189</v>
      </c>
      <c r="N252">
        <v>8.5499999999999989</v>
      </c>
      <c r="O252">
        <v>8.5499999999999989</v>
      </c>
      <c r="P252">
        <v>11.25</v>
      </c>
      <c r="Q252">
        <v>0.77923678795152163</v>
      </c>
      <c r="R252">
        <v>0.77923678795152163</v>
      </c>
      <c r="S252">
        <v>1.0253115630941076</v>
      </c>
      <c r="T252">
        <v>2.5311563094107647E-2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0.22076321204847837</v>
      </c>
      <c r="AD252">
        <v>0</v>
      </c>
      <c r="AE252">
        <v>0</v>
      </c>
      <c r="AF252">
        <v>0</v>
      </c>
      <c r="AG252">
        <v>0</v>
      </c>
      <c r="AH252">
        <v>0.77923678795152163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1.2833069683848302</v>
      </c>
      <c r="AO252">
        <v>1.2833069683848302</v>
      </c>
      <c r="AP252">
        <v>1.3157894736842106</v>
      </c>
      <c r="AQ252">
        <v>3.248250529938046E-2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0.28330696838483016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1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0.7599999999999999</v>
      </c>
      <c r="BL252">
        <v>0.7599999999999999</v>
      </c>
      <c r="BM252">
        <v>0.97531329597247074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</v>
      </c>
      <c r="BW252">
        <v>0</v>
      </c>
      <c r="BX252">
        <v>2.468670402752926E-2</v>
      </c>
      <c r="BY252">
        <v>0</v>
      </c>
      <c r="BZ252">
        <v>0</v>
      </c>
      <c r="CA252">
        <v>0</v>
      </c>
      <c r="CB252">
        <v>0.7599999999999999</v>
      </c>
      <c r="CC252">
        <v>0</v>
      </c>
      <c r="CD252">
        <v>0</v>
      </c>
      <c r="CE252">
        <v>0</v>
      </c>
      <c r="CF252">
        <v>0</v>
      </c>
      <c r="CG252">
        <v>0</v>
      </c>
    </row>
    <row r="253" spans="1:85" x14ac:dyDescent="0.25">
      <c r="A253" t="s">
        <v>128</v>
      </c>
      <c r="B253" t="s">
        <v>145</v>
      </c>
      <c r="C253" t="s">
        <v>72</v>
      </c>
      <c r="D253" s="12">
        <v>46235</v>
      </c>
      <c r="E253" t="s">
        <v>134</v>
      </c>
      <c r="F253" t="s">
        <v>134</v>
      </c>
      <c r="G253" t="s">
        <v>134</v>
      </c>
      <c r="H253" t="s">
        <v>74</v>
      </c>
      <c r="I253">
        <v>20</v>
      </c>
      <c r="K253">
        <v>4.220105607573192</v>
      </c>
      <c r="L253">
        <v>46235</v>
      </c>
      <c r="M253" t="s">
        <v>190</v>
      </c>
      <c r="N253">
        <v>4.75</v>
      </c>
      <c r="O253">
        <v>4.75</v>
      </c>
      <c r="P253">
        <v>4.6875</v>
      </c>
      <c r="Q253">
        <v>1.1255642492633089</v>
      </c>
      <c r="R253">
        <v>1.1255642492633089</v>
      </c>
      <c r="S253">
        <v>1.1107541933519496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0.11075419335194958</v>
      </c>
      <c r="AA253">
        <v>0</v>
      </c>
      <c r="AB253">
        <v>1.481005591135931E-2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1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0.88844328580488252</v>
      </c>
      <c r="AO253">
        <v>0.88844328580488252</v>
      </c>
      <c r="AP253">
        <v>0.98684210526315785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1.3157894736842146E-2</v>
      </c>
      <c r="BB253">
        <v>0</v>
      </c>
      <c r="BC253">
        <v>0</v>
      </c>
      <c r="BD253">
        <v>0</v>
      </c>
      <c r="BE253">
        <v>0.88844328580488252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1.0133333333333334</v>
      </c>
      <c r="BL253">
        <v>1.0133333333333334</v>
      </c>
      <c r="BM253">
        <v>0.90028919628228099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1.3333333333333419E-2</v>
      </c>
      <c r="BW253">
        <v>0</v>
      </c>
      <c r="BX253">
        <v>0</v>
      </c>
      <c r="BY253">
        <v>0</v>
      </c>
      <c r="BZ253">
        <v>9.971080371771901E-2</v>
      </c>
      <c r="CA253">
        <v>0</v>
      </c>
      <c r="CB253">
        <v>0.90028919628228099</v>
      </c>
      <c r="CC253">
        <v>0</v>
      </c>
      <c r="CD253">
        <v>0</v>
      </c>
      <c r="CE253">
        <v>0</v>
      </c>
      <c r="CF253">
        <v>0</v>
      </c>
      <c r="CG253">
        <v>0</v>
      </c>
    </row>
    <row r="254" spans="1:85" x14ac:dyDescent="0.25">
      <c r="A254" t="s">
        <v>128</v>
      </c>
      <c r="B254" t="s">
        <v>145</v>
      </c>
      <c r="C254" t="s">
        <v>117</v>
      </c>
      <c r="D254" s="12">
        <v>46231</v>
      </c>
      <c r="K254">
        <v>45.361994830502269</v>
      </c>
      <c r="N254">
        <v>38</v>
      </c>
      <c r="O254">
        <v>38</v>
      </c>
      <c r="P254">
        <v>44.575692041522487</v>
      </c>
      <c r="T254">
        <v>7.8123304298895968E-2</v>
      </c>
      <c r="U254">
        <v>0</v>
      </c>
      <c r="V254">
        <v>5.3682229425363166E-2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6.4657063875224033E-2</v>
      </c>
      <c r="AC254">
        <v>8.4530344487197082E-2</v>
      </c>
      <c r="AD254">
        <v>4.6668761671192646E-2</v>
      </c>
      <c r="AE254">
        <v>0</v>
      </c>
      <c r="AF254">
        <v>4.8788497889544084E-2</v>
      </c>
      <c r="AG254">
        <v>0</v>
      </c>
      <c r="AH254">
        <v>0.67057787281316505</v>
      </c>
      <c r="AI254">
        <v>0</v>
      </c>
      <c r="AJ254">
        <v>0</v>
      </c>
      <c r="AK254">
        <v>0</v>
      </c>
      <c r="AM254">
        <v>0</v>
      </c>
    </row>
    <row r="255" spans="1:85" x14ac:dyDescent="0.25">
      <c r="A255" t="s">
        <v>128</v>
      </c>
      <c r="B255" t="s">
        <v>145</v>
      </c>
      <c r="C255" t="s">
        <v>72</v>
      </c>
      <c r="D255" s="12">
        <v>46235</v>
      </c>
      <c r="E255" t="s">
        <v>134</v>
      </c>
      <c r="F255" t="s">
        <v>134</v>
      </c>
      <c r="G255" t="s">
        <v>134</v>
      </c>
      <c r="H255" t="s">
        <v>73</v>
      </c>
      <c r="I255">
        <v>20</v>
      </c>
      <c r="K255">
        <v>11.028542654457938</v>
      </c>
      <c r="L255">
        <v>46235</v>
      </c>
      <c r="M255" t="s">
        <v>191</v>
      </c>
      <c r="N255">
        <v>16.149999999999999</v>
      </c>
      <c r="O255">
        <v>16.149999999999999</v>
      </c>
      <c r="P255">
        <v>11.125</v>
      </c>
      <c r="Q255">
        <v>1.4643820589905299</v>
      </c>
      <c r="R255">
        <v>1.4643820589905299</v>
      </c>
      <c r="S255">
        <v>1.008746155186975</v>
      </c>
      <c r="T255">
        <v>0</v>
      </c>
      <c r="U255">
        <v>0</v>
      </c>
      <c r="V255">
        <v>0.21438205899052987</v>
      </c>
      <c r="W255">
        <v>0</v>
      </c>
      <c r="X255">
        <v>0</v>
      </c>
      <c r="Y255">
        <v>0</v>
      </c>
      <c r="Z255">
        <v>8.7461551869749687E-3</v>
      </c>
      <c r="AA255">
        <v>0</v>
      </c>
      <c r="AB255">
        <v>0.24125384481302503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0.68288189810885069</v>
      </c>
      <c r="AO255">
        <v>0.68288189810885069</v>
      </c>
      <c r="AP255">
        <v>0.68885448916408676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0.31114551083591324</v>
      </c>
      <c r="BB255">
        <v>0</v>
      </c>
      <c r="BC255">
        <v>0</v>
      </c>
      <c r="BD255">
        <v>0</v>
      </c>
      <c r="BE255">
        <v>0.68288189810885069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1.4516853932584268</v>
      </c>
      <c r="BL255">
        <v>1.4516853932584268</v>
      </c>
      <c r="BM255">
        <v>0.99132967680520789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0.45168539325842683</v>
      </c>
      <c r="BW255">
        <v>0</v>
      </c>
      <c r="BX255">
        <v>0</v>
      </c>
      <c r="BY255">
        <v>0</v>
      </c>
      <c r="BZ255">
        <v>8.6703231947921067E-3</v>
      </c>
      <c r="CA255">
        <v>0</v>
      </c>
      <c r="CB255">
        <v>0.99132967680520789</v>
      </c>
      <c r="CC255">
        <v>0</v>
      </c>
      <c r="CD255">
        <v>0</v>
      </c>
      <c r="CE255">
        <v>0</v>
      </c>
      <c r="CF255">
        <v>0</v>
      </c>
      <c r="CG255">
        <v>0</v>
      </c>
    </row>
    <row r="256" spans="1:85" x14ac:dyDescent="0.25">
      <c r="A256" t="s">
        <v>128</v>
      </c>
      <c r="B256" t="s">
        <v>145</v>
      </c>
      <c r="C256" t="s">
        <v>117</v>
      </c>
      <c r="D256" s="12">
        <v>46232</v>
      </c>
      <c r="K256">
        <v>43.719560553941719</v>
      </c>
      <c r="N256">
        <v>40.849999999999994</v>
      </c>
      <c r="O256">
        <v>40.849999999999994</v>
      </c>
      <c r="P256">
        <v>45.703935986159166</v>
      </c>
      <c r="T256">
        <v>7.9469607491778449E-2</v>
      </c>
      <c r="U256">
        <v>0</v>
      </c>
      <c r="V256">
        <v>9.7686994280134068E-2</v>
      </c>
      <c r="W256">
        <v>0</v>
      </c>
      <c r="X256">
        <v>0</v>
      </c>
      <c r="Y256">
        <v>0</v>
      </c>
      <c r="Z256">
        <v>8.5596056557404338E-3</v>
      </c>
      <c r="AA256">
        <v>0</v>
      </c>
      <c r="AB256">
        <v>7.6204135349275448E-2</v>
      </c>
      <c r="AC256">
        <v>5.0397473048859678E-2</v>
      </c>
      <c r="AD256">
        <v>4.2640480802666164E-2</v>
      </c>
      <c r="AE256">
        <v>0</v>
      </c>
      <c r="AF256">
        <v>0</v>
      </c>
      <c r="AG256">
        <v>0</v>
      </c>
      <c r="AH256">
        <v>0.7519136426366908</v>
      </c>
      <c r="AI256">
        <v>0</v>
      </c>
      <c r="AJ256">
        <v>0</v>
      </c>
      <c r="AK256">
        <v>0</v>
      </c>
      <c r="AM256">
        <v>0</v>
      </c>
    </row>
    <row r="257" spans="1:85" x14ac:dyDescent="0.25">
      <c r="A257" t="s">
        <v>128</v>
      </c>
      <c r="B257" t="s">
        <v>145</v>
      </c>
      <c r="C257" t="s">
        <v>72</v>
      </c>
      <c r="D257" s="12">
        <v>46234</v>
      </c>
      <c r="E257" t="s">
        <v>134</v>
      </c>
      <c r="F257" t="s">
        <v>134</v>
      </c>
      <c r="G257" t="s">
        <v>134</v>
      </c>
      <c r="H257" t="s">
        <v>75</v>
      </c>
      <c r="I257">
        <v>20</v>
      </c>
      <c r="K257">
        <v>11.028542654457938</v>
      </c>
      <c r="L257">
        <v>46234</v>
      </c>
      <c r="M257" t="s">
        <v>192</v>
      </c>
      <c r="N257">
        <v>11.4</v>
      </c>
      <c r="O257">
        <v>11.4</v>
      </c>
      <c r="P257">
        <v>11.128676470588234</v>
      </c>
      <c r="Q257">
        <v>1.0336814534050798</v>
      </c>
      <c r="R257">
        <v>1.0336814534050798</v>
      </c>
      <c r="S257">
        <v>1.0090795147888212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9.0795147888211858E-3</v>
      </c>
      <c r="AA257">
        <v>0</v>
      </c>
      <c r="AB257">
        <v>2.460193861625859E-2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1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0.96741602232087187</v>
      </c>
      <c r="AO257">
        <v>0.96741602232087187</v>
      </c>
      <c r="AP257">
        <v>0.97619969040247678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2.3800309597523217E-2</v>
      </c>
      <c r="BB257">
        <v>0</v>
      </c>
      <c r="BC257">
        <v>0</v>
      </c>
      <c r="BD257">
        <v>0</v>
      </c>
      <c r="BE257">
        <v>0.96741602232087187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1.0243805748265609</v>
      </c>
      <c r="BL257">
        <v>1.0243805748265609</v>
      </c>
      <c r="BM257">
        <v>0.99100218104147986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2.4380574826560863E-2</v>
      </c>
      <c r="BW257">
        <v>0</v>
      </c>
      <c r="BX257">
        <v>0</v>
      </c>
      <c r="BY257">
        <v>0</v>
      </c>
      <c r="BZ257">
        <v>8.9978189585201429E-3</v>
      </c>
      <c r="CA257">
        <v>0</v>
      </c>
      <c r="CB257">
        <v>0.99100218104147986</v>
      </c>
      <c r="CC257">
        <v>0</v>
      </c>
      <c r="CD257">
        <v>0</v>
      </c>
      <c r="CE257">
        <v>0</v>
      </c>
      <c r="CF257">
        <v>0</v>
      </c>
      <c r="CG257">
        <v>0</v>
      </c>
    </row>
    <row r="258" spans="1:85" x14ac:dyDescent="0.25">
      <c r="A258" t="s">
        <v>128</v>
      </c>
      <c r="B258" t="s">
        <v>145</v>
      </c>
      <c r="C258" t="s">
        <v>72</v>
      </c>
      <c r="D258" s="12">
        <v>46239</v>
      </c>
      <c r="E258" t="s">
        <v>134</v>
      </c>
      <c r="F258" t="s">
        <v>134</v>
      </c>
      <c r="G258" t="s">
        <v>134</v>
      </c>
      <c r="H258" t="s">
        <v>74</v>
      </c>
      <c r="I258">
        <v>20</v>
      </c>
      <c r="K258">
        <v>4.220105607573192</v>
      </c>
      <c r="L258">
        <v>46239</v>
      </c>
      <c r="M258" t="s">
        <v>179</v>
      </c>
      <c r="N258">
        <v>3.8</v>
      </c>
      <c r="O258">
        <v>3.8</v>
      </c>
      <c r="P258">
        <v>4.6875</v>
      </c>
      <c r="Q258">
        <v>0.90045139941064711</v>
      </c>
      <c r="R258">
        <v>0.90045139941064711</v>
      </c>
      <c r="S258">
        <v>1.1107541933519496</v>
      </c>
      <c r="T258">
        <v>0.11075419335194958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9.9548600589352887E-2</v>
      </c>
      <c r="AD258">
        <v>0</v>
      </c>
      <c r="AE258">
        <v>0</v>
      </c>
      <c r="AF258">
        <v>0</v>
      </c>
      <c r="AG258">
        <v>0</v>
      </c>
      <c r="AH258">
        <v>0.90045139941064711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1.1105541072561032</v>
      </c>
      <c r="AO258">
        <v>1.1105541072561032</v>
      </c>
      <c r="AP258">
        <v>1.2335526315789473</v>
      </c>
      <c r="AQ258">
        <v>0.12299852432284419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0.11055410725610315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1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0.81066666666666665</v>
      </c>
      <c r="BL258">
        <v>0.81066666666666665</v>
      </c>
      <c r="BM258">
        <v>0.90028919628228099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</v>
      </c>
      <c r="BW258">
        <v>0</v>
      </c>
      <c r="BX258">
        <v>9.971080371771901E-2</v>
      </c>
      <c r="BY258">
        <v>0</v>
      </c>
      <c r="BZ258">
        <v>0</v>
      </c>
      <c r="CA258">
        <v>0</v>
      </c>
      <c r="CB258">
        <v>0.81066666666666665</v>
      </c>
      <c r="CC258">
        <v>0</v>
      </c>
      <c r="CD258">
        <v>0</v>
      </c>
      <c r="CE258">
        <v>0</v>
      </c>
      <c r="CF258">
        <v>0</v>
      </c>
      <c r="CG258">
        <v>0</v>
      </c>
    </row>
    <row r="259" spans="1:85" x14ac:dyDescent="0.25">
      <c r="A259" t="s">
        <v>128</v>
      </c>
      <c r="B259" t="s">
        <v>145</v>
      </c>
      <c r="C259" t="s">
        <v>117</v>
      </c>
      <c r="D259" s="12">
        <v>46225</v>
      </c>
      <c r="K259">
        <v>44.21118353019645</v>
      </c>
      <c r="N259">
        <v>39.899999999999991</v>
      </c>
      <c r="O259">
        <v>39.899999999999991</v>
      </c>
      <c r="P259">
        <v>44.089664174493322</v>
      </c>
      <c r="T259">
        <v>6.4262800960931191E-2</v>
      </c>
      <c r="U259">
        <v>0</v>
      </c>
      <c r="V259">
        <v>9.7284573143375571E-3</v>
      </c>
      <c r="W259">
        <v>0</v>
      </c>
      <c r="X259">
        <v>0</v>
      </c>
      <c r="Y259">
        <v>0</v>
      </c>
      <c r="Z259">
        <v>9.981129400684333E-3</v>
      </c>
      <c r="AA259">
        <v>0</v>
      </c>
      <c r="AB259">
        <v>9.3104202144535825E-2</v>
      </c>
      <c r="AC259">
        <v>3.0790446431538391E-2</v>
      </c>
      <c r="AD259">
        <v>2.6212474251561965E-2</v>
      </c>
      <c r="AE259">
        <v>0</v>
      </c>
      <c r="AF259">
        <v>5.0780067343682303E-2</v>
      </c>
      <c r="AG259">
        <v>0</v>
      </c>
      <c r="AH259">
        <v>0.73889272782471549</v>
      </c>
      <c r="AI259">
        <v>0</v>
      </c>
      <c r="AJ259">
        <v>0</v>
      </c>
      <c r="AK259">
        <v>0</v>
      </c>
      <c r="AM259">
        <v>0</v>
      </c>
    </row>
    <row r="260" spans="1:85" x14ac:dyDescent="0.25">
      <c r="A260" t="s">
        <v>128</v>
      </c>
      <c r="B260" t="s">
        <v>145</v>
      </c>
      <c r="C260" t="s">
        <v>72</v>
      </c>
      <c r="D260" s="12">
        <v>46239</v>
      </c>
      <c r="E260" t="s">
        <v>134</v>
      </c>
      <c r="F260" t="s">
        <v>134</v>
      </c>
      <c r="G260" t="s">
        <v>134</v>
      </c>
      <c r="H260" t="s">
        <v>75</v>
      </c>
      <c r="I260">
        <v>20</v>
      </c>
      <c r="K260">
        <v>10.803470355387372</v>
      </c>
      <c r="L260">
        <v>46239</v>
      </c>
      <c r="M260" t="s">
        <v>178</v>
      </c>
      <c r="N260">
        <v>8.5499999999999989</v>
      </c>
      <c r="O260">
        <v>8.5499999999999989</v>
      </c>
      <c r="P260">
        <v>11.355238970588236</v>
      </c>
      <c r="Q260">
        <v>0.79141236276326399</v>
      </c>
      <c r="R260">
        <v>0.79141236276326399</v>
      </c>
      <c r="S260">
        <v>1.0510732752578631</v>
      </c>
      <c r="T260">
        <v>5.1073275257863093E-2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0.20858763723673601</v>
      </c>
      <c r="AD260">
        <v>0</v>
      </c>
      <c r="AE260">
        <v>0</v>
      </c>
      <c r="AF260">
        <v>0</v>
      </c>
      <c r="AG260">
        <v>0</v>
      </c>
      <c r="AH260">
        <v>0.79141236276326399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1.2635637842558332</v>
      </c>
      <c r="AO260">
        <v>1.2635637842558332</v>
      </c>
      <c r="AP260">
        <v>1.3280981252149984</v>
      </c>
      <c r="AQ260">
        <v>6.4534340959165215E-2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0.26356378425583316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1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0.75295641264316637</v>
      </c>
      <c r="BL260">
        <v>0.75295641264316637</v>
      </c>
      <c r="BM260">
        <v>0.95140845413909592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</v>
      </c>
      <c r="BW260">
        <v>0</v>
      </c>
      <c r="BX260">
        <v>4.8591545860904084E-2</v>
      </c>
      <c r="BY260">
        <v>0</v>
      </c>
      <c r="BZ260">
        <v>0</v>
      </c>
      <c r="CA260">
        <v>0</v>
      </c>
      <c r="CB260">
        <v>0.75295641264316637</v>
      </c>
      <c r="CC260">
        <v>0</v>
      </c>
      <c r="CD260">
        <v>0</v>
      </c>
      <c r="CE260">
        <v>0</v>
      </c>
      <c r="CF260">
        <v>0</v>
      </c>
      <c r="CG260">
        <v>0</v>
      </c>
    </row>
    <row r="261" spans="1:85" x14ac:dyDescent="0.25">
      <c r="A261" t="s">
        <v>128</v>
      </c>
      <c r="B261" t="s">
        <v>145</v>
      </c>
      <c r="C261" t="s">
        <v>109</v>
      </c>
      <c r="D261" s="12">
        <v>46245</v>
      </c>
      <c r="E261" t="s">
        <v>135</v>
      </c>
      <c r="F261" t="s">
        <v>135</v>
      </c>
      <c r="G261" t="s">
        <v>135</v>
      </c>
      <c r="K261">
        <v>11.659072988059904</v>
      </c>
      <c r="N261">
        <v>0</v>
      </c>
      <c r="O261">
        <v>0</v>
      </c>
      <c r="P261">
        <v>9.712478373702421</v>
      </c>
      <c r="T261">
        <v>1.4614670608169339E-2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0.5292835792925078</v>
      </c>
      <c r="AD261">
        <v>0.18157430936769992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  <c r="AL261">
        <v>0.28914211133979212</v>
      </c>
      <c r="AM261">
        <v>0</v>
      </c>
    </row>
    <row r="262" spans="1:85" x14ac:dyDescent="0.25">
      <c r="A262" t="s">
        <v>128</v>
      </c>
      <c r="B262" t="s">
        <v>145</v>
      </c>
      <c r="C262" t="s">
        <v>72</v>
      </c>
      <c r="D262" s="12">
        <v>46246</v>
      </c>
      <c r="E262" t="s">
        <v>134</v>
      </c>
      <c r="F262" t="s">
        <v>134</v>
      </c>
      <c r="G262" t="s">
        <v>134</v>
      </c>
      <c r="H262" t="s">
        <v>73</v>
      </c>
      <c r="I262">
        <v>20</v>
      </c>
      <c r="K262">
        <v>12.575914710568108</v>
      </c>
      <c r="L262">
        <v>46246</v>
      </c>
      <c r="M262" t="s">
        <v>197</v>
      </c>
      <c r="N262">
        <v>16.149999999999999</v>
      </c>
      <c r="O262">
        <v>16.149999999999999</v>
      </c>
      <c r="P262">
        <v>11.801011029411764</v>
      </c>
      <c r="Q262">
        <v>1.2842008213071312</v>
      </c>
      <c r="R262">
        <v>1.2842008213071312</v>
      </c>
      <c r="S262">
        <v>0.93838192298607448</v>
      </c>
      <c r="T262">
        <v>0</v>
      </c>
      <c r="U262">
        <v>0</v>
      </c>
      <c r="V262">
        <v>3.4200821307131202E-2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0.25</v>
      </c>
      <c r="AC262">
        <v>0</v>
      </c>
      <c r="AD262">
        <v>0</v>
      </c>
      <c r="AE262">
        <v>0</v>
      </c>
      <c r="AF262">
        <v>6.1618077013925521E-2</v>
      </c>
      <c r="AG262">
        <v>0</v>
      </c>
      <c r="AH262">
        <v>0.93838192298607448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0.77869440932310274</v>
      </c>
      <c r="AO262">
        <v>0.77869440932310274</v>
      </c>
      <c r="AP262">
        <v>0.73071275723911866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0.22130559067689726</v>
      </c>
      <c r="BB262">
        <v>0</v>
      </c>
      <c r="BC262">
        <v>4.7981652083984083E-2</v>
      </c>
      <c r="BD262">
        <v>0</v>
      </c>
      <c r="BE262">
        <v>0.73071275723911866</v>
      </c>
      <c r="BF262">
        <v>0</v>
      </c>
      <c r="BG262">
        <v>0</v>
      </c>
      <c r="BH262">
        <v>0</v>
      </c>
      <c r="BI262">
        <v>0</v>
      </c>
      <c r="BJ262">
        <v>0</v>
      </c>
      <c r="BK262">
        <v>1.3685268117917364</v>
      </c>
      <c r="BL262">
        <v>1.3685268117917364</v>
      </c>
      <c r="BM262">
        <v>1.0656641773509952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6.5664177350995168E-2</v>
      </c>
      <c r="BU262">
        <v>0</v>
      </c>
      <c r="BV262">
        <v>0.30286263444074124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1</v>
      </c>
      <c r="CC262">
        <v>0</v>
      </c>
      <c r="CD262">
        <v>0</v>
      </c>
      <c r="CE262">
        <v>0</v>
      </c>
      <c r="CF262">
        <v>0</v>
      </c>
      <c r="CG262">
        <v>0</v>
      </c>
    </row>
    <row r="263" spans="1:85" x14ac:dyDescent="0.25">
      <c r="A263" t="s">
        <v>128</v>
      </c>
      <c r="B263" t="s">
        <v>145</v>
      </c>
      <c r="C263" t="s">
        <v>72</v>
      </c>
      <c r="D263" s="12">
        <v>46245</v>
      </c>
      <c r="E263" t="s">
        <v>134</v>
      </c>
      <c r="F263" t="s">
        <v>134</v>
      </c>
      <c r="G263" t="s">
        <v>134</v>
      </c>
      <c r="H263" t="s">
        <v>75</v>
      </c>
      <c r="I263">
        <v>20</v>
      </c>
      <c r="K263">
        <v>10.972274579690296</v>
      </c>
      <c r="L263">
        <v>46245</v>
      </c>
      <c r="M263" t="s">
        <v>198</v>
      </c>
      <c r="N263">
        <v>10.45</v>
      </c>
      <c r="O263">
        <v>10.45</v>
      </c>
      <c r="P263">
        <v>11.6015625</v>
      </c>
      <c r="Q263">
        <v>0.95240051860741537</v>
      </c>
      <c r="R263">
        <v>0.95240051860741537</v>
      </c>
      <c r="S263">
        <v>1.0573525494407985</v>
      </c>
      <c r="T263">
        <v>5.7352549440798484E-2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4.7599481392584631E-2</v>
      </c>
      <c r="AD263">
        <v>0</v>
      </c>
      <c r="AE263">
        <v>0</v>
      </c>
      <c r="AF263">
        <v>0</v>
      </c>
      <c r="AG263">
        <v>0</v>
      </c>
      <c r="AH263">
        <v>0.95240051860741537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1.0499784286784972</v>
      </c>
      <c r="AO263">
        <v>1.0499784286784972</v>
      </c>
      <c r="AP263">
        <v>1.1101973684210527</v>
      </c>
      <c r="AQ263">
        <v>6.0218939742555433E-2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4.9978428678497222E-2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1</v>
      </c>
      <c r="BF263">
        <v>0</v>
      </c>
      <c r="BG263">
        <v>0</v>
      </c>
      <c r="BH263">
        <v>0</v>
      </c>
      <c r="BI263">
        <v>0</v>
      </c>
      <c r="BJ263">
        <v>0</v>
      </c>
      <c r="BK263">
        <v>0.90074074074074073</v>
      </c>
      <c r="BL263">
        <v>0.90074074074074073</v>
      </c>
      <c r="BM263">
        <v>0.94575834760966859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0</v>
      </c>
      <c r="BW263">
        <v>0</v>
      </c>
      <c r="BX263">
        <v>5.4241652390331407E-2</v>
      </c>
      <c r="BY263">
        <v>0</v>
      </c>
      <c r="BZ263">
        <v>0</v>
      </c>
      <c r="CA263">
        <v>0</v>
      </c>
      <c r="CB263">
        <v>0.90074074074074073</v>
      </c>
      <c r="CC263">
        <v>0</v>
      </c>
      <c r="CD263">
        <v>0</v>
      </c>
      <c r="CE263">
        <v>0</v>
      </c>
      <c r="CF263">
        <v>0</v>
      </c>
      <c r="CG263">
        <v>0</v>
      </c>
    </row>
    <row r="264" spans="1:85" x14ac:dyDescent="0.25">
      <c r="A264" t="s">
        <v>128</v>
      </c>
      <c r="B264" t="s">
        <v>145</v>
      </c>
      <c r="C264" t="s">
        <v>72</v>
      </c>
      <c r="D264" s="12">
        <v>46245</v>
      </c>
      <c r="E264" t="s">
        <v>134</v>
      </c>
      <c r="F264" t="s">
        <v>134</v>
      </c>
      <c r="G264" t="s">
        <v>134</v>
      </c>
      <c r="H264" t="s">
        <v>74</v>
      </c>
      <c r="I264">
        <v>20</v>
      </c>
      <c r="K264">
        <v>4.220105607573192</v>
      </c>
      <c r="L264">
        <v>46245</v>
      </c>
      <c r="M264" t="s">
        <v>199</v>
      </c>
      <c r="N264">
        <v>3.8</v>
      </c>
      <c r="O264">
        <v>3.8</v>
      </c>
      <c r="P264">
        <v>4.6875</v>
      </c>
      <c r="Q264">
        <v>0.90045139941064711</v>
      </c>
      <c r="R264">
        <v>0.90045139941064711</v>
      </c>
      <c r="S264">
        <v>1.1107541933519496</v>
      </c>
      <c r="T264">
        <v>0.11075419335194958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9.9548600589352887E-2</v>
      </c>
      <c r="AD264">
        <v>0</v>
      </c>
      <c r="AE264">
        <v>0</v>
      </c>
      <c r="AF264">
        <v>0</v>
      </c>
      <c r="AG264">
        <v>0</v>
      </c>
      <c r="AH264">
        <v>0.90045139941064711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1.1105541072561032</v>
      </c>
      <c r="AO264">
        <v>1.1105541072561032</v>
      </c>
      <c r="AP264">
        <v>1.2335526315789473</v>
      </c>
      <c r="AQ264">
        <v>0.12299852432284419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0.11055410725610315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1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0.81066666666666665</v>
      </c>
      <c r="BL264">
        <v>0.81066666666666665</v>
      </c>
      <c r="BM264">
        <v>0.90028919628228099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9.971080371771901E-2</v>
      </c>
      <c r="BY264">
        <v>0</v>
      </c>
      <c r="BZ264">
        <v>0</v>
      </c>
      <c r="CA264">
        <v>0</v>
      </c>
      <c r="CB264">
        <v>0.81066666666666665</v>
      </c>
      <c r="CC264">
        <v>0</v>
      </c>
      <c r="CD264">
        <v>0</v>
      </c>
      <c r="CE264">
        <v>0</v>
      </c>
      <c r="CF264">
        <v>0</v>
      </c>
      <c r="CG264">
        <v>0</v>
      </c>
    </row>
    <row r="265" spans="1:85" x14ac:dyDescent="0.25">
      <c r="A265" t="s">
        <v>128</v>
      </c>
      <c r="B265" t="s">
        <v>145</v>
      </c>
      <c r="C265" t="s">
        <v>72</v>
      </c>
      <c r="D265" s="12">
        <v>46245</v>
      </c>
      <c r="E265" t="s">
        <v>134</v>
      </c>
      <c r="F265" t="s">
        <v>134</v>
      </c>
      <c r="G265" t="s">
        <v>134</v>
      </c>
      <c r="H265" t="s">
        <v>73</v>
      </c>
      <c r="I265">
        <v>20</v>
      </c>
      <c r="K265">
        <v>11.73189358905347</v>
      </c>
      <c r="L265">
        <v>46245</v>
      </c>
      <c r="M265" t="s">
        <v>200</v>
      </c>
      <c r="N265">
        <v>21.85</v>
      </c>
      <c r="O265">
        <v>21.85</v>
      </c>
      <c r="P265">
        <v>11.7421875</v>
      </c>
      <c r="Q265">
        <v>1.8624444412270582</v>
      </c>
      <c r="R265">
        <v>1.8624444412270582</v>
      </c>
      <c r="S265">
        <v>1.0008774296210916</v>
      </c>
      <c r="T265">
        <v>0</v>
      </c>
      <c r="U265">
        <v>0</v>
      </c>
      <c r="V265">
        <v>0.61244444122705821</v>
      </c>
      <c r="W265">
        <v>0</v>
      </c>
      <c r="X265">
        <v>0</v>
      </c>
      <c r="Y265">
        <v>0</v>
      </c>
      <c r="Z265">
        <v>8.7742962109160771E-4</v>
      </c>
      <c r="AA265">
        <v>0</v>
      </c>
      <c r="AB265">
        <v>0.24912257037890839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0.53692876837773329</v>
      </c>
      <c r="AO265">
        <v>0.53692876837773329</v>
      </c>
      <c r="AP265">
        <v>0.53739988558352403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0.46260011441647597</v>
      </c>
      <c r="BB265">
        <v>0</v>
      </c>
      <c r="BC265">
        <v>0</v>
      </c>
      <c r="BD265">
        <v>0</v>
      </c>
      <c r="BE265">
        <v>0.53692876837773329</v>
      </c>
      <c r="BF265">
        <v>0</v>
      </c>
      <c r="BG265">
        <v>0</v>
      </c>
      <c r="BH265">
        <v>0</v>
      </c>
      <c r="BI265">
        <v>0</v>
      </c>
      <c r="BJ265">
        <v>0</v>
      </c>
      <c r="BK265">
        <v>1.8608117099135062</v>
      </c>
      <c r="BL265">
        <v>1.8608117099135062</v>
      </c>
      <c r="BM265">
        <v>0.99912333958672273</v>
      </c>
      <c r="CD265">
        <v>0</v>
      </c>
      <c r="CE265">
        <v>0</v>
      </c>
      <c r="CF265">
        <v>0</v>
      </c>
    </row>
    <row r="266" spans="1:85" x14ac:dyDescent="0.25">
      <c r="A266" t="s">
        <v>128</v>
      </c>
      <c r="B266" t="s">
        <v>145</v>
      </c>
      <c r="C266" t="s">
        <v>72</v>
      </c>
      <c r="D266" s="12">
        <v>46244</v>
      </c>
      <c r="E266" t="s">
        <v>134</v>
      </c>
      <c r="F266" t="s">
        <v>134</v>
      </c>
      <c r="G266" t="s">
        <v>134</v>
      </c>
      <c r="H266" t="s">
        <v>75</v>
      </c>
      <c r="I266">
        <v>20</v>
      </c>
      <c r="K266">
        <v>10.972274579690296</v>
      </c>
      <c r="L266">
        <v>46244</v>
      </c>
      <c r="M266" t="s">
        <v>201</v>
      </c>
      <c r="N266">
        <v>10.45</v>
      </c>
      <c r="O266">
        <v>10.45</v>
      </c>
      <c r="P266">
        <v>11.660386029411764</v>
      </c>
      <c r="Q266">
        <v>0.95240051860741537</v>
      </c>
      <c r="R266">
        <v>0.95240051860741537</v>
      </c>
      <c r="S266">
        <v>1.0627136556530552</v>
      </c>
      <c r="T266">
        <v>6.27136556530552E-2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4.7599481392584631E-2</v>
      </c>
      <c r="AD266">
        <v>0</v>
      </c>
      <c r="AE266">
        <v>0</v>
      </c>
      <c r="AF266">
        <v>0</v>
      </c>
      <c r="AG266">
        <v>0</v>
      </c>
      <c r="AH266">
        <v>0.95240051860741537</v>
      </c>
      <c r="AI266">
        <v>0</v>
      </c>
      <c r="AJ266">
        <v>0</v>
      </c>
      <c r="AK266">
        <v>0</v>
      </c>
      <c r="AL266">
        <v>0</v>
      </c>
      <c r="AM266">
        <v>0</v>
      </c>
      <c r="AN266">
        <v>1.0499784286784972</v>
      </c>
      <c r="AO266">
        <v>1.0499784286784972</v>
      </c>
      <c r="AP266">
        <v>1.1158264142977765</v>
      </c>
      <c r="AQ266">
        <v>6.5847985619279292E-2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4.9978428678497222E-2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1</v>
      </c>
      <c r="BF266">
        <v>0</v>
      </c>
      <c r="BG266">
        <v>0</v>
      </c>
      <c r="BH266">
        <v>0</v>
      </c>
      <c r="BI266">
        <v>0</v>
      </c>
      <c r="BJ266">
        <v>0</v>
      </c>
      <c r="BK266">
        <v>0.89619674457100063</v>
      </c>
      <c r="BL266">
        <v>0.89619674457100063</v>
      </c>
      <c r="BM266">
        <v>0.94098724965144387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0</v>
      </c>
      <c r="BX266">
        <v>5.9012750348556131E-2</v>
      </c>
      <c r="BY266">
        <v>0</v>
      </c>
      <c r="BZ266">
        <v>0</v>
      </c>
      <c r="CA266">
        <v>0</v>
      </c>
      <c r="CB266">
        <v>0.89619674457100063</v>
      </c>
      <c r="CC266">
        <v>0</v>
      </c>
      <c r="CD266">
        <v>0</v>
      </c>
      <c r="CE266">
        <v>0</v>
      </c>
      <c r="CF266">
        <v>0</v>
      </c>
      <c r="CG266">
        <v>0</v>
      </c>
    </row>
    <row r="267" spans="1:85" x14ac:dyDescent="0.25">
      <c r="A267" t="s">
        <v>128</v>
      </c>
      <c r="B267" t="s">
        <v>145</v>
      </c>
      <c r="C267" t="s">
        <v>72</v>
      </c>
      <c r="D267" s="12">
        <v>46244</v>
      </c>
      <c r="E267" t="s">
        <v>134</v>
      </c>
      <c r="F267" t="s">
        <v>134</v>
      </c>
      <c r="G267" t="s">
        <v>134</v>
      </c>
      <c r="H267" t="s">
        <v>74</v>
      </c>
      <c r="I267">
        <v>20</v>
      </c>
      <c r="K267">
        <v>4.220105607573192</v>
      </c>
      <c r="L267">
        <v>46244</v>
      </c>
      <c r="M267" t="s">
        <v>202</v>
      </c>
      <c r="N267">
        <v>3.8</v>
      </c>
      <c r="O267">
        <v>3.8</v>
      </c>
      <c r="P267">
        <v>4.6875</v>
      </c>
      <c r="Q267">
        <v>0.90045139941064711</v>
      </c>
      <c r="R267">
        <v>0.90045139941064711</v>
      </c>
      <c r="S267">
        <v>1.1107541933519496</v>
      </c>
      <c r="T267">
        <v>0.11075419335194958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9.9548600589352887E-2</v>
      </c>
      <c r="AD267">
        <v>0</v>
      </c>
      <c r="AE267">
        <v>0</v>
      </c>
      <c r="AF267">
        <v>0</v>
      </c>
      <c r="AG267">
        <v>0</v>
      </c>
      <c r="AH267">
        <v>0.90045139941064711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1.1105541072561032</v>
      </c>
      <c r="AO267">
        <v>1.1105541072561032</v>
      </c>
      <c r="AP267">
        <v>1.2335526315789473</v>
      </c>
      <c r="AQ267">
        <v>0.12299852432284419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0.11055410725610315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1</v>
      </c>
      <c r="BF267">
        <v>0</v>
      </c>
      <c r="BG267">
        <v>0</v>
      </c>
      <c r="BH267">
        <v>0</v>
      </c>
      <c r="BI267">
        <v>0</v>
      </c>
      <c r="BJ267">
        <v>0</v>
      </c>
      <c r="BK267">
        <v>0.81066666666666665</v>
      </c>
      <c r="BL267">
        <v>0.81066666666666665</v>
      </c>
      <c r="BM267">
        <v>0.90028919628228099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0</v>
      </c>
      <c r="BX267">
        <v>9.971080371771901E-2</v>
      </c>
      <c r="BY267">
        <v>0</v>
      </c>
      <c r="BZ267">
        <v>0</v>
      </c>
      <c r="CA267">
        <v>0</v>
      </c>
      <c r="CB267">
        <v>0.81066666666666665</v>
      </c>
      <c r="CC267">
        <v>0</v>
      </c>
      <c r="CD267">
        <v>0</v>
      </c>
      <c r="CE267">
        <v>0</v>
      </c>
      <c r="CF267">
        <v>0</v>
      </c>
      <c r="CG267">
        <v>0</v>
      </c>
    </row>
    <row r="268" spans="1:85" x14ac:dyDescent="0.25">
      <c r="A268" t="s">
        <v>128</v>
      </c>
      <c r="B268" t="s">
        <v>145</v>
      </c>
      <c r="C268" t="s">
        <v>72</v>
      </c>
      <c r="D268" s="12">
        <v>46244</v>
      </c>
      <c r="E268" t="s">
        <v>134</v>
      </c>
      <c r="F268" t="s">
        <v>134</v>
      </c>
      <c r="G268" t="s">
        <v>134</v>
      </c>
      <c r="H268" t="s">
        <v>73</v>
      </c>
      <c r="I268">
        <v>20</v>
      </c>
      <c r="K268">
        <v>11.872563775972576</v>
      </c>
      <c r="L268">
        <v>46244</v>
      </c>
      <c r="M268" t="s">
        <v>203</v>
      </c>
      <c r="N268">
        <v>11.4</v>
      </c>
      <c r="O268">
        <v>11.4</v>
      </c>
      <c r="P268">
        <v>11.839613970588236</v>
      </c>
      <c r="Q268">
        <v>0.96019698989287039</v>
      </c>
      <c r="R268">
        <v>0.96019698989287039</v>
      </c>
      <c r="S268">
        <v>0.99722471018003511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3.7027720287164723E-2</v>
      </c>
      <c r="AD268">
        <v>2.7752898199648879E-3</v>
      </c>
      <c r="AE268">
        <v>0</v>
      </c>
      <c r="AF268">
        <v>0</v>
      </c>
      <c r="AG268">
        <v>0</v>
      </c>
      <c r="AH268">
        <v>0.96019698989287039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1.0414529628046121</v>
      </c>
      <c r="AO268">
        <v>1.0414529628046121</v>
      </c>
      <c r="AP268">
        <v>1.0385626289989682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3.8562628998968229E-2</v>
      </c>
      <c r="AX268">
        <v>0</v>
      </c>
      <c r="AY268">
        <v>2.8903338056438521E-3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1</v>
      </c>
      <c r="BF268">
        <v>0</v>
      </c>
      <c r="BG268">
        <v>0</v>
      </c>
      <c r="BH268">
        <v>0</v>
      </c>
      <c r="BI268">
        <v>0</v>
      </c>
      <c r="BJ268">
        <v>0</v>
      </c>
      <c r="BK268">
        <v>0.96286923106781031</v>
      </c>
      <c r="BL268">
        <v>0.96286923106781031</v>
      </c>
      <c r="BM268">
        <v>1.0027830134889697</v>
      </c>
      <c r="BN268">
        <v>2.7830134889696989E-3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3.9803010107129611E-2</v>
      </c>
      <c r="BX268">
        <v>0</v>
      </c>
      <c r="BY268">
        <v>0</v>
      </c>
      <c r="BZ268">
        <v>0</v>
      </c>
      <c r="CA268">
        <v>0</v>
      </c>
      <c r="CB268">
        <v>0.96286923106781031</v>
      </c>
      <c r="CC268">
        <v>0</v>
      </c>
      <c r="CD268">
        <v>0</v>
      </c>
      <c r="CE268">
        <v>0</v>
      </c>
      <c r="CF268">
        <v>0</v>
      </c>
      <c r="CG268">
        <v>0</v>
      </c>
    </row>
    <row r="269" spans="1:85" x14ac:dyDescent="0.25">
      <c r="A269" t="s">
        <v>128</v>
      </c>
      <c r="B269" t="s">
        <v>145</v>
      </c>
      <c r="C269" t="s">
        <v>72</v>
      </c>
      <c r="D269" s="12">
        <v>46243</v>
      </c>
      <c r="E269" t="s">
        <v>134</v>
      </c>
      <c r="F269" t="s">
        <v>134</v>
      </c>
      <c r="G269" t="s">
        <v>134</v>
      </c>
      <c r="H269" t="s">
        <v>75</v>
      </c>
      <c r="I269">
        <v>20</v>
      </c>
      <c r="K269">
        <v>11.816295701204934</v>
      </c>
      <c r="L269">
        <v>46243</v>
      </c>
      <c r="M269" t="s">
        <v>205</v>
      </c>
      <c r="N269">
        <v>21.85</v>
      </c>
      <c r="O269">
        <v>21.85</v>
      </c>
      <c r="P269">
        <v>12.1875</v>
      </c>
      <c r="Q269">
        <v>1.849141266646865</v>
      </c>
      <c r="R269">
        <v>1.849141266646865</v>
      </c>
      <c r="S269">
        <v>1.0314146081125248</v>
      </c>
      <c r="T269">
        <v>0</v>
      </c>
      <c r="U269">
        <v>0</v>
      </c>
      <c r="V269">
        <v>0.59914126664686496</v>
      </c>
      <c r="W269">
        <v>0</v>
      </c>
      <c r="X269">
        <v>0</v>
      </c>
      <c r="Y269">
        <v>0</v>
      </c>
      <c r="Z269">
        <v>3.1414608112524833E-2</v>
      </c>
      <c r="AA269">
        <v>0</v>
      </c>
      <c r="AB269">
        <v>0.21858539188747517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0.54079156527253713</v>
      </c>
      <c r="AO269">
        <v>0.54079156527253713</v>
      </c>
      <c r="AP269">
        <v>0.55778032036613279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0.44221967963386721</v>
      </c>
      <c r="BB269">
        <v>0</v>
      </c>
      <c r="BC269">
        <v>0</v>
      </c>
      <c r="BD269">
        <v>0</v>
      </c>
      <c r="BE269">
        <v>0.54079156527253713</v>
      </c>
      <c r="BF269">
        <v>0</v>
      </c>
      <c r="BG269">
        <v>0</v>
      </c>
      <c r="BH269">
        <v>0</v>
      </c>
      <c r="BI269">
        <v>0</v>
      </c>
      <c r="BJ269">
        <v>0</v>
      </c>
      <c r="BK269">
        <v>1.7928205128205126</v>
      </c>
      <c r="BL269">
        <v>1.7928205128205126</v>
      </c>
      <c r="BM269">
        <v>0.96954221138091767</v>
      </c>
      <c r="CD269">
        <v>0</v>
      </c>
      <c r="CE269">
        <v>0</v>
      </c>
      <c r="CF269">
        <v>0</v>
      </c>
    </row>
    <row r="270" spans="1:85" x14ac:dyDescent="0.25">
      <c r="A270" t="s">
        <v>128</v>
      </c>
      <c r="B270" t="s">
        <v>145</v>
      </c>
      <c r="C270" t="s">
        <v>72</v>
      </c>
      <c r="D270" s="12">
        <v>46243</v>
      </c>
      <c r="E270" t="s">
        <v>134</v>
      </c>
      <c r="F270" t="s">
        <v>134</v>
      </c>
      <c r="G270" t="s">
        <v>134</v>
      </c>
      <c r="H270" t="s">
        <v>74</v>
      </c>
      <c r="I270">
        <v>20</v>
      </c>
      <c r="K270">
        <v>4.220105607573192</v>
      </c>
      <c r="L270">
        <v>46243</v>
      </c>
      <c r="M270" t="s">
        <v>214</v>
      </c>
      <c r="N270">
        <v>3.8</v>
      </c>
      <c r="O270">
        <v>3.8</v>
      </c>
      <c r="P270">
        <v>4.6875</v>
      </c>
      <c r="Q270">
        <v>0.90045139941064711</v>
      </c>
      <c r="R270">
        <v>0.90045139941064711</v>
      </c>
      <c r="S270">
        <v>1.1107541933519496</v>
      </c>
      <c r="T270">
        <v>0.11075419335194958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9.9548600589352887E-2</v>
      </c>
      <c r="AD270">
        <v>0</v>
      </c>
      <c r="AE270">
        <v>0</v>
      </c>
      <c r="AF270">
        <v>0</v>
      </c>
      <c r="AG270">
        <v>0</v>
      </c>
      <c r="AH270">
        <v>0.90045139941064711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1.1105541072561032</v>
      </c>
      <c r="AO270">
        <v>1.1105541072561032</v>
      </c>
      <c r="AP270">
        <v>1.2335526315789473</v>
      </c>
      <c r="AQ270">
        <v>0.12299852432284419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0.11055410725610315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1</v>
      </c>
      <c r="BF270">
        <v>0</v>
      </c>
      <c r="BG270">
        <v>0</v>
      </c>
      <c r="BH270">
        <v>0</v>
      </c>
      <c r="BI270">
        <v>0</v>
      </c>
      <c r="BJ270">
        <v>0</v>
      </c>
      <c r="BK270">
        <v>0.81066666666666665</v>
      </c>
      <c r="BL270">
        <v>0.81066666666666665</v>
      </c>
      <c r="BM270">
        <v>0.90028919628228099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0</v>
      </c>
      <c r="BX270">
        <v>9.971080371771901E-2</v>
      </c>
      <c r="BY270">
        <v>0</v>
      </c>
      <c r="BZ270">
        <v>0</v>
      </c>
      <c r="CA270">
        <v>0</v>
      </c>
      <c r="CB270">
        <v>0.81066666666666665</v>
      </c>
      <c r="CC270">
        <v>0</v>
      </c>
      <c r="CD270">
        <v>0</v>
      </c>
      <c r="CE270">
        <v>0</v>
      </c>
      <c r="CF270">
        <v>0</v>
      </c>
      <c r="CG270">
        <v>0</v>
      </c>
    </row>
    <row r="271" spans="1:85" x14ac:dyDescent="0.25">
      <c r="A271" t="s">
        <v>128</v>
      </c>
      <c r="B271" t="s">
        <v>145</v>
      </c>
      <c r="C271" t="s">
        <v>72</v>
      </c>
      <c r="D271" s="12">
        <v>46243</v>
      </c>
      <c r="E271" t="s">
        <v>134</v>
      </c>
      <c r="F271" t="s">
        <v>134</v>
      </c>
      <c r="G271" t="s">
        <v>134</v>
      </c>
      <c r="H271" t="s">
        <v>73</v>
      </c>
      <c r="I271">
        <v>20</v>
      </c>
      <c r="K271">
        <v>10.972274579690296</v>
      </c>
      <c r="L271">
        <v>46243</v>
      </c>
      <c r="M271" t="s">
        <v>206</v>
      </c>
      <c r="N271">
        <v>10.45</v>
      </c>
      <c r="O271">
        <v>10.45</v>
      </c>
      <c r="P271">
        <v>11.25</v>
      </c>
      <c r="Q271">
        <v>0.95240051860741537</v>
      </c>
      <c r="R271">
        <v>0.95240051860741537</v>
      </c>
      <c r="S271">
        <v>1.0253115630941076</v>
      </c>
      <c r="T271">
        <v>2.5311563094107647E-2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4.7599481392584631E-2</v>
      </c>
      <c r="AD271">
        <v>0</v>
      </c>
      <c r="AE271">
        <v>0</v>
      </c>
      <c r="AF271">
        <v>0</v>
      </c>
      <c r="AG271">
        <v>0</v>
      </c>
      <c r="AH271">
        <v>0.95240051860741537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1.0499784286784972</v>
      </c>
      <c r="AO271">
        <v>1.0499784286784972</v>
      </c>
      <c r="AP271">
        <v>1.0765550239234452</v>
      </c>
      <c r="AQ271">
        <v>2.6576595244947931E-2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4.9978428678497222E-2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1</v>
      </c>
      <c r="BF271">
        <v>0</v>
      </c>
      <c r="BG271">
        <v>0</v>
      </c>
      <c r="BH271">
        <v>0</v>
      </c>
      <c r="BI271">
        <v>0</v>
      </c>
      <c r="BJ271">
        <v>0</v>
      </c>
      <c r="BK271">
        <v>0.92888888888888888</v>
      </c>
      <c r="BL271">
        <v>0.92888888888888888</v>
      </c>
      <c r="BM271">
        <v>0.97531329597247074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0</v>
      </c>
      <c r="BX271">
        <v>2.468670402752926E-2</v>
      </c>
      <c r="BY271">
        <v>0</v>
      </c>
      <c r="BZ271">
        <v>0</v>
      </c>
      <c r="CA271">
        <v>0</v>
      </c>
      <c r="CB271">
        <v>0.92888888888888888</v>
      </c>
      <c r="CC271">
        <v>0</v>
      </c>
      <c r="CD271">
        <v>0</v>
      </c>
      <c r="CE271">
        <v>0</v>
      </c>
      <c r="CF271">
        <v>0</v>
      </c>
      <c r="CG271">
        <v>0</v>
      </c>
    </row>
    <row r="272" spans="1:85" x14ac:dyDescent="0.25">
      <c r="A272" t="s">
        <v>128</v>
      </c>
      <c r="B272" t="s">
        <v>145</v>
      </c>
      <c r="C272" t="s">
        <v>72</v>
      </c>
      <c r="D272" s="12">
        <v>46234</v>
      </c>
      <c r="E272" t="s">
        <v>134</v>
      </c>
      <c r="F272" t="s">
        <v>134</v>
      </c>
      <c r="G272" t="s">
        <v>134</v>
      </c>
      <c r="H272" t="s">
        <v>74</v>
      </c>
      <c r="I272">
        <v>20</v>
      </c>
      <c r="K272">
        <v>4.220105607573192</v>
      </c>
      <c r="L272">
        <v>46234</v>
      </c>
      <c r="M272" t="s">
        <v>193</v>
      </c>
      <c r="N272">
        <v>3.8</v>
      </c>
      <c r="O272">
        <v>3.8</v>
      </c>
      <c r="P272">
        <v>4.6875</v>
      </c>
      <c r="Q272">
        <v>0.90045139941064711</v>
      </c>
      <c r="R272">
        <v>0.90045139941064711</v>
      </c>
      <c r="S272">
        <v>1.1107541933519496</v>
      </c>
      <c r="T272">
        <v>0.11075419335194958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9.9548600589352887E-2</v>
      </c>
      <c r="AD272">
        <v>0</v>
      </c>
      <c r="AE272">
        <v>0</v>
      </c>
      <c r="AF272">
        <v>0</v>
      </c>
      <c r="AG272">
        <v>0</v>
      </c>
      <c r="AH272">
        <v>0.90045139941064711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1.1105541072561032</v>
      </c>
      <c r="AO272">
        <v>1.1105541072561032</v>
      </c>
      <c r="AP272">
        <v>1.2335526315789473</v>
      </c>
      <c r="AQ272">
        <v>0.12299852432284419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0.11055410725610315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1</v>
      </c>
      <c r="BF272">
        <v>0</v>
      </c>
      <c r="BG272">
        <v>0</v>
      </c>
      <c r="BH272">
        <v>0</v>
      </c>
      <c r="BI272">
        <v>0</v>
      </c>
      <c r="BJ272">
        <v>0</v>
      </c>
      <c r="BK272">
        <v>0.81066666666666665</v>
      </c>
      <c r="BL272">
        <v>0.81066666666666665</v>
      </c>
      <c r="BM272">
        <v>0.90028919628228099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</v>
      </c>
      <c r="BW272">
        <v>0</v>
      </c>
      <c r="BX272">
        <v>9.971080371771901E-2</v>
      </c>
      <c r="BY272">
        <v>0</v>
      </c>
      <c r="BZ272">
        <v>0</v>
      </c>
      <c r="CA272">
        <v>0</v>
      </c>
      <c r="CB272">
        <v>0.81066666666666665</v>
      </c>
      <c r="CC272">
        <v>0</v>
      </c>
      <c r="CD272">
        <v>0</v>
      </c>
      <c r="CE272">
        <v>0</v>
      </c>
      <c r="CF272">
        <v>0</v>
      </c>
      <c r="CG272">
        <v>0</v>
      </c>
    </row>
    <row r="273" spans="1:85" x14ac:dyDescent="0.25">
      <c r="A273" t="s">
        <v>128</v>
      </c>
      <c r="B273" t="s">
        <v>145</v>
      </c>
      <c r="C273" t="s">
        <v>72</v>
      </c>
      <c r="D273" s="12">
        <v>46242</v>
      </c>
      <c r="E273" t="s">
        <v>134</v>
      </c>
      <c r="F273" t="s">
        <v>134</v>
      </c>
      <c r="G273" t="s">
        <v>134</v>
      </c>
      <c r="H273" t="s">
        <v>75</v>
      </c>
      <c r="I273">
        <v>20</v>
      </c>
      <c r="K273">
        <v>10.972274579690296</v>
      </c>
      <c r="L273">
        <v>46242</v>
      </c>
      <c r="M273" t="s">
        <v>207</v>
      </c>
      <c r="N273">
        <v>10.45</v>
      </c>
      <c r="O273">
        <v>10.45</v>
      </c>
      <c r="P273">
        <v>11.308823529411764</v>
      </c>
      <c r="Q273">
        <v>0.95240051860741537</v>
      </c>
      <c r="R273">
        <v>0.95240051860741537</v>
      </c>
      <c r="S273">
        <v>1.0306726693063644</v>
      </c>
      <c r="T273">
        <v>3.0672669306364364E-2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4.7599481392584631E-2</v>
      </c>
      <c r="AD273">
        <v>0</v>
      </c>
      <c r="AE273">
        <v>0</v>
      </c>
      <c r="AF273">
        <v>0</v>
      </c>
      <c r="AG273">
        <v>0</v>
      </c>
      <c r="AH273">
        <v>0.95240051860741537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1.0499784286784972</v>
      </c>
      <c r="AO273">
        <v>1.0499784286784972</v>
      </c>
      <c r="AP273">
        <v>1.082184069800169</v>
      </c>
      <c r="AQ273">
        <v>3.2205641121671791E-2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4.9978428678497222E-2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1</v>
      </c>
      <c r="BF273">
        <v>0</v>
      </c>
      <c r="BG273">
        <v>0</v>
      </c>
      <c r="BH273">
        <v>0</v>
      </c>
      <c r="BI273">
        <v>0</v>
      </c>
      <c r="BJ273">
        <v>0</v>
      </c>
      <c r="BK273">
        <v>0.92405721716514955</v>
      </c>
      <c r="BL273">
        <v>0.92405721716514955</v>
      </c>
      <c r="BM273">
        <v>0.97024014488808863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</v>
      </c>
      <c r="BW273">
        <v>0</v>
      </c>
      <c r="BX273">
        <v>2.9759855111911371E-2</v>
      </c>
      <c r="BY273">
        <v>0</v>
      </c>
      <c r="BZ273">
        <v>0</v>
      </c>
      <c r="CA273">
        <v>0</v>
      </c>
      <c r="CB273">
        <v>0.92405721716514955</v>
      </c>
      <c r="CC273">
        <v>0</v>
      </c>
      <c r="CD273">
        <v>0</v>
      </c>
      <c r="CE273">
        <v>0</v>
      </c>
      <c r="CF273">
        <v>0</v>
      </c>
      <c r="CG273">
        <v>0</v>
      </c>
    </row>
    <row r="274" spans="1:85" x14ac:dyDescent="0.25">
      <c r="A274" t="s">
        <v>128</v>
      </c>
      <c r="B274" t="s">
        <v>145</v>
      </c>
      <c r="C274" t="s">
        <v>72</v>
      </c>
      <c r="D274" s="12">
        <v>46242</v>
      </c>
      <c r="E274" t="s">
        <v>134</v>
      </c>
      <c r="F274" t="s">
        <v>134</v>
      </c>
      <c r="G274" t="s">
        <v>134</v>
      </c>
      <c r="H274" t="s">
        <v>73</v>
      </c>
      <c r="I274">
        <v>20</v>
      </c>
      <c r="K274">
        <v>11.028542654457938</v>
      </c>
      <c r="L274">
        <v>46242</v>
      </c>
      <c r="M274" t="s">
        <v>209</v>
      </c>
      <c r="N274">
        <v>15.2</v>
      </c>
      <c r="O274">
        <v>15.2</v>
      </c>
      <c r="P274">
        <v>11.253676470588236</v>
      </c>
      <c r="Q274">
        <v>1.3782419378734398</v>
      </c>
      <c r="R274">
        <v>1.3782419378734398</v>
      </c>
      <c r="S274">
        <v>1.0204137412515963</v>
      </c>
      <c r="T274">
        <v>0</v>
      </c>
      <c r="U274">
        <v>0</v>
      </c>
      <c r="V274">
        <v>0.12824193787343985</v>
      </c>
      <c r="W274">
        <v>0</v>
      </c>
      <c r="X274">
        <v>0</v>
      </c>
      <c r="Y274">
        <v>0</v>
      </c>
      <c r="Z274">
        <v>2.041374125159634E-2</v>
      </c>
      <c r="AA274">
        <v>0</v>
      </c>
      <c r="AB274">
        <v>0.22958625874840366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1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0.7255620167406539</v>
      </c>
      <c r="AO274">
        <v>0.7255620167406539</v>
      </c>
      <c r="AP274">
        <v>0.74037345201238391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0.25962654798761609</v>
      </c>
      <c r="BB274">
        <v>0</v>
      </c>
      <c r="BC274">
        <v>0</v>
      </c>
      <c r="BD274">
        <v>0</v>
      </c>
      <c r="BE274">
        <v>0.7255620167406539</v>
      </c>
      <c r="BF274">
        <v>0</v>
      </c>
      <c r="BG274">
        <v>0</v>
      </c>
      <c r="BH274">
        <v>0</v>
      </c>
      <c r="BI274">
        <v>0</v>
      </c>
      <c r="BJ274">
        <v>0</v>
      </c>
      <c r="BK274">
        <v>1.350669715779157</v>
      </c>
      <c r="BL274">
        <v>1.350669715779157</v>
      </c>
      <c r="BM274">
        <v>0.97999464293125094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0.35066971577915695</v>
      </c>
      <c r="BW274">
        <v>0</v>
      </c>
      <c r="BX274">
        <v>0</v>
      </c>
      <c r="BY274">
        <v>0</v>
      </c>
      <c r="BZ274">
        <v>2.0005357068749063E-2</v>
      </c>
      <c r="CA274">
        <v>0</v>
      </c>
      <c r="CB274">
        <v>0.97999464293125094</v>
      </c>
      <c r="CC274">
        <v>0</v>
      </c>
      <c r="CD274">
        <v>0</v>
      </c>
      <c r="CE274">
        <v>0</v>
      </c>
      <c r="CF274">
        <v>0</v>
      </c>
      <c r="CG274">
        <v>0</v>
      </c>
    </row>
    <row r="275" spans="1:85" x14ac:dyDescent="0.25">
      <c r="A275" t="s">
        <v>128</v>
      </c>
      <c r="B275" t="s">
        <v>145</v>
      </c>
      <c r="C275" t="s">
        <v>72</v>
      </c>
      <c r="D275" s="12">
        <v>46241</v>
      </c>
      <c r="E275" t="s">
        <v>134</v>
      </c>
      <c r="F275" t="s">
        <v>134</v>
      </c>
      <c r="G275" t="s">
        <v>134</v>
      </c>
      <c r="H275" t="s">
        <v>75</v>
      </c>
      <c r="I275">
        <v>20</v>
      </c>
      <c r="K275">
        <v>11.028542654457938</v>
      </c>
      <c r="L275">
        <v>46241</v>
      </c>
      <c r="M275" t="s">
        <v>210</v>
      </c>
      <c r="N275">
        <v>10.45</v>
      </c>
      <c r="O275">
        <v>10.45</v>
      </c>
      <c r="P275">
        <v>11.253676470588236</v>
      </c>
      <c r="Q275">
        <v>0.94754133228798987</v>
      </c>
      <c r="R275">
        <v>0.94754133228798987</v>
      </c>
      <c r="S275">
        <v>1.0204137412515963</v>
      </c>
      <c r="T275">
        <v>2.041374125159634E-2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5.2458667712010132E-2</v>
      </c>
      <c r="AD275">
        <v>0</v>
      </c>
      <c r="AE275">
        <v>0</v>
      </c>
      <c r="AF275">
        <v>0</v>
      </c>
      <c r="AG275">
        <v>0</v>
      </c>
      <c r="AH275">
        <v>0.94754133228798987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1.0553629334409511</v>
      </c>
      <c r="AO275">
        <v>1.0553629334409511</v>
      </c>
      <c r="AP275">
        <v>1.0769068392907404</v>
      </c>
      <c r="AQ275">
        <v>2.1543905849789269E-2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5.5362933440951112E-2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1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0.92858542959817048</v>
      </c>
      <c r="BL275">
        <v>0.92858542959817048</v>
      </c>
      <c r="BM275">
        <v>0.97999464293125094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0</v>
      </c>
      <c r="BW275">
        <v>0</v>
      </c>
      <c r="BX275">
        <v>2.0005357068749063E-2</v>
      </c>
      <c r="BY275">
        <v>0</v>
      </c>
      <c r="BZ275">
        <v>0</v>
      </c>
      <c r="CA275">
        <v>0</v>
      </c>
      <c r="CB275">
        <v>0.92858542959817048</v>
      </c>
      <c r="CC275">
        <v>0</v>
      </c>
      <c r="CD275">
        <v>0</v>
      </c>
      <c r="CE275">
        <v>0</v>
      </c>
      <c r="CF275">
        <v>0</v>
      </c>
      <c r="CG275">
        <v>0</v>
      </c>
    </row>
    <row r="276" spans="1:85" x14ac:dyDescent="0.25">
      <c r="A276" t="s">
        <v>128</v>
      </c>
      <c r="B276" t="s">
        <v>145</v>
      </c>
      <c r="C276" t="s">
        <v>116</v>
      </c>
      <c r="D276" s="12"/>
      <c r="K276">
        <v>1198.3032344330186</v>
      </c>
      <c r="N276">
        <v>1016.5000000000005</v>
      </c>
      <c r="O276">
        <v>1016.5000000000005</v>
      </c>
      <c r="P276">
        <v>1231.7845467276202</v>
      </c>
      <c r="T276">
        <v>6.9561964179533947E-2</v>
      </c>
      <c r="U276">
        <v>0</v>
      </c>
      <c r="V276">
        <v>7.8982245745685339E-2</v>
      </c>
      <c r="W276">
        <v>0</v>
      </c>
      <c r="X276">
        <v>1.0141147435138058E-4</v>
      </c>
      <c r="Y276">
        <v>1.1253727815186676E-4</v>
      </c>
      <c r="Z276">
        <v>1.1593074090934755E-2</v>
      </c>
      <c r="AA276">
        <v>0</v>
      </c>
      <c r="AB276">
        <v>6.8470474441674437E-2</v>
      </c>
      <c r="AC276">
        <v>0.14163469803989967</v>
      </c>
      <c r="AD276">
        <v>3.5029678343785044E-2</v>
      </c>
      <c r="AE276">
        <v>0</v>
      </c>
      <c r="AF276">
        <v>1.8286170614424262E-2</v>
      </c>
      <c r="AG276">
        <v>0</v>
      </c>
      <c r="AH276">
        <v>0.66885668430551781</v>
      </c>
      <c r="AI276">
        <v>0</v>
      </c>
      <c r="AJ276">
        <v>0</v>
      </c>
      <c r="AK276">
        <v>0</v>
      </c>
      <c r="AM276">
        <v>1.9927201720796248E-3</v>
      </c>
    </row>
    <row r="277" spans="1:85" x14ac:dyDescent="0.25">
      <c r="A277" t="s">
        <v>128</v>
      </c>
      <c r="B277" t="s">
        <v>145</v>
      </c>
      <c r="C277" t="s">
        <v>72</v>
      </c>
      <c r="D277" s="12">
        <v>46241</v>
      </c>
      <c r="E277" t="s">
        <v>134</v>
      </c>
      <c r="F277" t="s">
        <v>134</v>
      </c>
      <c r="G277" t="s">
        <v>134</v>
      </c>
      <c r="H277" t="s">
        <v>74</v>
      </c>
      <c r="I277">
        <v>20</v>
      </c>
      <c r="K277">
        <v>4.220105607573192</v>
      </c>
      <c r="L277">
        <v>46241</v>
      </c>
      <c r="M277" t="s">
        <v>211</v>
      </c>
      <c r="N277">
        <v>3.8</v>
      </c>
      <c r="O277">
        <v>3.8</v>
      </c>
      <c r="P277">
        <v>4.6875</v>
      </c>
      <c r="Q277">
        <v>0.90045139941064711</v>
      </c>
      <c r="R277">
        <v>0.90045139941064711</v>
      </c>
      <c r="S277">
        <v>1.1107541933519496</v>
      </c>
      <c r="T277">
        <v>0.11075419335194958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9.9548600589352887E-2</v>
      </c>
      <c r="AD277">
        <v>0</v>
      </c>
      <c r="AE277">
        <v>0</v>
      </c>
      <c r="AF277">
        <v>0</v>
      </c>
      <c r="AG277">
        <v>0</v>
      </c>
      <c r="AH277">
        <v>0.90045139941064711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1.1105541072561032</v>
      </c>
      <c r="AO277">
        <v>1.1105541072561032</v>
      </c>
      <c r="AP277">
        <v>1.2335526315789473</v>
      </c>
      <c r="AQ277">
        <v>0.12299852432284419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0.11055410725610315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1</v>
      </c>
      <c r="BF277">
        <v>0</v>
      </c>
      <c r="BG277">
        <v>0</v>
      </c>
      <c r="BH277">
        <v>0</v>
      </c>
      <c r="BI277">
        <v>0</v>
      </c>
      <c r="BJ277">
        <v>0</v>
      </c>
      <c r="BK277">
        <v>0.81066666666666665</v>
      </c>
      <c r="BL277">
        <v>0.81066666666666665</v>
      </c>
      <c r="BM277">
        <v>0.90028919628228099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</v>
      </c>
      <c r="BW277">
        <v>0</v>
      </c>
      <c r="BX277">
        <v>9.971080371771901E-2</v>
      </c>
      <c r="BY277">
        <v>0</v>
      </c>
      <c r="BZ277">
        <v>0</v>
      </c>
      <c r="CA277">
        <v>0</v>
      </c>
      <c r="CB277">
        <v>0.81066666666666665</v>
      </c>
      <c r="CC277">
        <v>0</v>
      </c>
      <c r="CD277">
        <v>0</v>
      </c>
      <c r="CE277">
        <v>0</v>
      </c>
      <c r="CF277">
        <v>0</v>
      </c>
      <c r="CG277">
        <v>0</v>
      </c>
    </row>
    <row r="278" spans="1:85" x14ac:dyDescent="0.25">
      <c r="A278" t="s">
        <v>128</v>
      </c>
      <c r="B278" t="s">
        <v>145</v>
      </c>
      <c r="C278" t="s">
        <v>72</v>
      </c>
      <c r="D278" s="12">
        <v>46241</v>
      </c>
      <c r="E278" t="s">
        <v>134</v>
      </c>
      <c r="F278" t="s">
        <v>134</v>
      </c>
      <c r="G278" t="s">
        <v>134</v>
      </c>
      <c r="H278" t="s">
        <v>73</v>
      </c>
      <c r="I278">
        <v>20</v>
      </c>
      <c r="K278">
        <v>10.972274579690296</v>
      </c>
      <c r="L278">
        <v>46241</v>
      </c>
      <c r="M278" t="s">
        <v>212</v>
      </c>
      <c r="N278">
        <v>19</v>
      </c>
      <c r="O278">
        <v>19</v>
      </c>
      <c r="P278">
        <v>11.308823529411764</v>
      </c>
      <c r="Q278">
        <v>1.7316373065589372</v>
      </c>
      <c r="R278">
        <v>1.7316373065589372</v>
      </c>
      <c r="S278">
        <v>1.0306726693063644</v>
      </c>
      <c r="T278">
        <v>0</v>
      </c>
      <c r="U278">
        <v>0</v>
      </c>
      <c r="V278">
        <v>0.48163730655893722</v>
      </c>
      <c r="W278">
        <v>0</v>
      </c>
      <c r="X278">
        <v>0</v>
      </c>
      <c r="Y278">
        <v>0</v>
      </c>
      <c r="Z278">
        <v>3.0672669306364364E-2</v>
      </c>
      <c r="AA278">
        <v>0</v>
      </c>
      <c r="AB278">
        <v>0.21932733069363564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1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0.57748813577317348</v>
      </c>
      <c r="AO278">
        <v>0.57748813577317348</v>
      </c>
      <c r="AP278">
        <v>0.59520123839009287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0.40479876160990713</v>
      </c>
      <c r="BB278">
        <v>0</v>
      </c>
      <c r="BC278">
        <v>0</v>
      </c>
      <c r="BD278">
        <v>0</v>
      </c>
      <c r="BE278">
        <v>0.57748813577317348</v>
      </c>
      <c r="BF278">
        <v>0</v>
      </c>
      <c r="BG278">
        <v>0</v>
      </c>
      <c r="BH278">
        <v>0</v>
      </c>
      <c r="BI278">
        <v>0</v>
      </c>
      <c r="BJ278">
        <v>0</v>
      </c>
      <c r="BK278">
        <v>1.6801040312093629</v>
      </c>
      <c r="BL278">
        <v>1.6801040312093629</v>
      </c>
      <c r="BM278">
        <v>0.97024014488808863</v>
      </c>
      <c r="CD278">
        <v>0</v>
      </c>
      <c r="CE278">
        <v>0</v>
      </c>
      <c r="CF278">
        <v>0</v>
      </c>
    </row>
    <row r="279" spans="1:85" x14ac:dyDescent="0.25">
      <c r="A279" t="s">
        <v>128</v>
      </c>
      <c r="B279" t="s">
        <v>145</v>
      </c>
      <c r="C279" t="s">
        <v>72</v>
      </c>
      <c r="D279" s="12">
        <v>46240</v>
      </c>
      <c r="E279" t="s">
        <v>134</v>
      </c>
      <c r="F279" t="s">
        <v>134</v>
      </c>
      <c r="G279" t="s">
        <v>134</v>
      </c>
      <c r="H279" t="s">
        <v>75</v>
      </c>
      <c r="I279">
        <v>20</v>
      </c>
      <c r="K279">
        <v>10.972274579690296</v>
      </c>
      <c r="L279">
        <v>46240</v>
      </c>
      <c r="M279" t="s">
        <v>213</v>
      </c>
      <c r="N279">
        <v>10.45</v>
      </c>
      <c r="O279">
        <v>10.45</v>
      </c>
      <c r="P279">
        <v>11.6015625</v>
      </c>
      <c r="Q279">
        <v>0.95240051860741537</v>
      </c>
      <c r="R279">
        <v>0.95240051860741537</v>
      </c>
      <c r="S279">
        <v>1.0573525494407985</v>
      </c>
      <c r="T279">
        <v>5.7352549440798484E-2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4.7599481392584631E-2</v>
      </c>
      <c r="AD279">
        <v>0</v>
      </c>
      <c r="AE279">
        <v>0</v>
      </c>
      <c r="AF279">
        <v>0</v>
      </c>
      <c r="AG279">
        <v>0</v>
      </c>
      <c r="AH279">
        <v>0.95240051860741537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1.0499784286784972</v>
      </c>
      <c r="AO279">
        <v>1.0499784286784972</v>
      </c>
      <c r="AP279">
        <v>1.1101973684210527</v>
      </c>
      <c r="AQ279">
        <v>6.0218939742555433E-2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4.9978428678497222E-2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1</v>
      </c>
      <c r="BF279">
        <v>0</v>
      </c>
      <c r="BG279">
        <v>0</v>
      </c>
      <c r="BH279">
        <v>0</v>
      </c>
      <c r="BI279">
        <v>0</v>
      </c>
      <c r="BJ279">
        <v>0</v>
      </c>
      <c r="BK279">
        <v>0.90074074074074073</v>
      </c>
      <c r="BL279">
        <v>0.90074074074074073</v>
      </c>
      <c r="BM279">
        <v>0.94575834760966859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</v>
      </c>
      <c r="BW279">
        <v>0</v>
      </c>
      <c r="BX279">
        <v>5.4241652390331407E-2</v>
      </c>
      <c r="BY279">
        <v>0</v>
      </c>
      <c r="BZ279">
        <v>0</v>
      </c>
      <c r="CA279">
        <v>0</v>
      </c>
      <c r="CB279">
        <v>0.90074074074074073</v>
      </c>
      <c r="CC279">
        <v>0</v>
      </c>
      <c r="CD279">
        <v>0</v>
      </c>
      <c r="CE279">
        <v>0</v>
      </c>
      <c r="CF279">
        <v>0</v>
      </c>
      <c r="CG279">
        <v>0</v>
      </c>
    </row>
    <row r="280" spans="1:85" x14ac:dyDescent="0.25">
      <c r="A280" t="s">
        <v>128</v>
      </c>
      <c r="B280" t="s">
        <v>145</v>
      </c>
      <c r="C280" t="s">
        <v>117</v>
      </c>
      <c r="D280" s="12">
        <v>46223</v>
      </c>
      <c r="K280">
        <v>44.308723503659913</v>
      </c>
      <c r="N280">
        <v>44.650000000000006</v>
      </c>
      <c r="O280">
        <v>44.650000000000006</v>
      </c>
      <c r="P280">
        <v>41.601301182237599</v>
      </c>
      <c r="T280">
        <v>2.7528569114140589E-2</v>
      </c>
      <c r="U280">
        <v>0</v>
      </c>
      <c r="V280">
        <v>7.2430325819907465E-2</v>
      </c>
      <c r="W280">
        <v>0</v>
      </c>
      <c r="X280">
        <v>0</v>
      </c>
      <c r="Y280">
        <v>0</v>
      </c>
      <c r="Z280">
        <v>1.0548586270787084E-2</v>
      </c>
      <c r="AA280">
        <v>0</v>
      </c>
      <c r="AB280">
        <v>0.1209325374462716</v>
      </c>
      <c r="AC280">
        <v>9.7741871552438936E-2</v>
      </c>
      <c r="AD280">
        <v>1.7193119857865823E-2</v>
      </c>
      <c r="AE280">
        <v>0</v>
      </c>
      <c r="AF280">
        <v>8.1987631102291458E-2</v>
      </c>
      <c r="AG280">
        <v>0</v>
      </c>
      <c r="AH280">
        <v>0.72180316102680842</v>
      </c>
      <c r="AI280">
        <v>0</v>
      </c>
      <c r="AJ280">
        <v>0</v>
      </c>
      <c r="AK280">
        <v>0</v>
      </c>
      <c r="AM280">
        <v>0</v>
      </c>
    </row>
    <row r="281" spans="1:85" x14ac:dyDescent="0.25">
      <c r="A281" t="s">
        <v>128</v>
      </c>
      <c r="B281" t="s">
        <v>145</v>
      </c>
      <c r="C281" t="s">
        <v>72</v>
      </c>
      <c r="D281" s="12">
        <v>46240</v>
      </c>
      <c r="E281" t="s">
        <v>134</v>
      </c>
      <c r="F281" t="s">
        <v>134</v>
      </c>
      <c r="G281" t="s">
        <v>134</v>
      </c>
      <c r="H281" t="s">
        <v>74</v>
      </c>
      <c r="I281">
        <v>20</v>
      </c>
      <c r="K281">
        <v>4.220105607573192</v>
      </c>
      <c r="L281">
        <v>46240</v>
      </c>
      <c r="M281" t="s">
        <v>195</v>
      </c>
      <c r="N281">
        <v>3.8</v>
      </c>
      <c r="O281">
        <v>3.8</v>
      </c>
      <c r="P281">
        <v>4.6875</v>
      </c>
      <c r="Q281">
        <v>0.90045139941064711</v>
      </c>
      <c r="R281">
        <v>0.90045139941064711</v>
      </c>
      <c r="S281">
        <v>1.1107541933519496</v>
      </c>
      <c r="T281">
        <v>0.11075419335194958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9.9548600589352887E-2</v>
      </c>
      <c r="AD281">
        <v>0</v>
      </c>
      <c r="AE281">
        <v>0</v>
      </c>
      <c r="AF281">
        <v>0</v>
      </c>
      <c r="AG281">
        <v>0</v>
      </c>
      <c r="AH281">
        <v>0.90045139941064711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1.1105541072561032</v>
      </c>
      <c r="AO281">
        <v>1.1105541072561032</v>
      </c>
      <c r="AP281">
        <v>1.2335526315789473</v>
      </c>
      <c r="AQ281">
        <v>0.12299852432284419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0.11055410725610315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1</v>
      </c>
      <c r="BF281">
        <v>0</v>
      </c>
      <c r="BG281">
        <v>0</v>
      </c>
      <c r="BH281">
        <v>0</v>
      </c>
      <c r="BI281">
        <v>0</v>
      </c>
      <c r="BJ281">
        <v>0</v>
      </c>
      <c r="BK281">
        <v>0.81066666666666665</v>
      </c>
      <c r="BL281">
        <v>0.81066666666666665</v>
      </c>
      <c r="BM281">
        <v>0.90028919628228099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9.971080371771901E-2</v>
      </c>
      <c r="BY281">
        <v>0</v>
      </c>
      <c r="BZ281">
        <v>0</v>
      </c>
      <c r="CA281">
        <v>0</v>
      </c>
      <c r="CB281">
        <v>0.81066666666666665</v>
      </c>
      <c r="CC281">
        <v>0</v>
      </c>
      <c r="CD281">
        <v>0</v>
      </c>
      <c r="CE281">
        <v>0</v>
      </c>
      <c r="CF281">
        <v>0</v>
      </c>
      <c r="CG281">
        <v>0</v>
      </c>
    </row>
    <row r="282" spans="1:85" x14ac:dyDescent="0.25">
      <c r="A282" t="s">
        <v>128</v>
      </c>
      <c r="B282" t="s">
        <v>145</v>
      </c>
      <c r="C282" t="s">
        <v>117</v>
      </c>
      <c r="D282" s="12">
        <v>46224</v>
      </c>
      <c r="K282">
        <v>45.515177224413193</v>
      </c>
      <c r="N282">
        <v>43.7</v>
      </c>
      <c r="O282">
        <v>43.7</v>
      </c>
      <c r="P282">
        <v>45.565543129016305</v>
      </c>
      <c r="T282">
        <v>5.5103124628326505E-2</v>
      </c>
      <c r="U282">
        <v>0</v>
      </c>
      <c r="V282">
        <v>5.0578351659494016E-2</v>
      </c>
      <c r="W282">
        <v>0</v>
      </c>
      <c r="X282">
        <v>0</v>
      </c>
      <c r="Y282">
        <v>0</v>
      </c>
      <c r="Z282">
        <v>1.6370798888965962E-2</v>
      </c>
      <c r="AA282">
        <v>0</v>
      </c>
      <c r="AB282">
        <v>0.12708635678315228</v>
      </c>
      <c r="AC282">
        <v>7.3872181888751581E-2</v>
      </c>
      <c r="AD282">
        <v>9.9489016915205539E-3</v>
      </c>
      <c r="AE282">
        <v>0</v>
      </c>
      <c r="AF282">
        <v>6.0418447982177138E-2</v>
      </c>
      <c r="AG282">
        <v>0</v>
      </c>
      <c r="AH282">
        <v>0.70566534257527658</v>
      </c>
      <c r="AI282">
        <v>0</v>
      </c>
      <c r="AJ282">
        <v>0</v>
      </c>
      <c r="AK282">
        <v>0</v>
      </c>
      <c r="AM282">
        <v>0</v>
      </c>
    </row>
    <row r="283" spans="1:85" x14ac:dyDescent="0.25">
      <c r="A283" t="s">
        <v>128</v>
      </c>
      <c r="B283" t="s">
        <v>145</v>
      </c>
      <c r="C283" t="s">
        <v>72</v>
      </c>
      <c r="D283" s="12">
        <v>46240</v>
      </c>
      <c r="E283" t="s">
        <v>134</v>
      </c>
      <c r="F283" t="s">
        <v>134</v>
      </c>
      <c r="G283" t="s">
        <v>134</v>
      </c>
      <c r="H283" t="s">
        <v>73</v>
      </c>
      <c r="I283">
        <v>20</v>
      </c>
      <c r="K283">
        <v>11.73189358905347</v>
      </c>
      <c r="L283">
        <v>46240</v>
      </c>
      <c r="M283" t="s">
        <v>194</v>
      </c>
      <c r="N283">
        <v>19.95</v>
      </c>
      <c r="O283">
        <v>19.95</v>
      </c>
      <c r="P283">
        <v>11.742187500000002</v>
      </c>
      <c r="Q283">
        <v>1.7004927506855751</v>
      </c>
      <c r="R283">
        <v>1.7004927506855751</v>
      </c>
      <c r="S283">
        <v>1.0008774296210916</v>
      </c>
      <c r="T283">
        <v>0</v>
      </c>
      <c r="U283">
        <v>0</v>
      </c>
      <c r="V283">
        <v>0.45049275068557515</v>
      </c>
      <c r="W283">
        <v>0</v>
      </c>
      <c r="X283">
        <v>0</v>
      </c>
      <c r="Y283">
        <v>0</v>
      </c>
      <c r="Z283">
        <v>8.7742962109160771E-4</v>
      </c>
      <c r="AA283">
        <v>0</v>
      </c>
      <c r="AB283">
        <v>0.24912257037890839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1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0.58806484155656491</v>
      </c>
      <c r="AO283">
        <v>0.58806484155656491</v>
      </c>
      <c r="AP283">
        <v>0.58858082706766923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0.41141917293233077</v>
      </c>
      <c r="BB283">
        <v>0</v>
      </c>
      <c r="BC283">
        <v>0</v>
      </c>
      <c r="BD283">
        <v>0</v>
      </c>
      <c r="BE283">
        <v>0.58806484155656491</v>
      </c>
      <c r="BF283">
        <v>0</v>
      </c>
      <c r="BG283">
        <v>0</v>
      </c>
      <c r="BH283">
        <v>0</v>
      </c>
      <c r="BI283">
        <v>0</v>
      </c>
      <c r="BJ283">
        <v>0</v>
      </c>
      <c r="BK283">
        <v>1.6990019960079836</v>
      </c>
      <c r="BL283">
        <v>1.6990019960079836</v>
      </c>
      <c r="BM283">
        <v>0.9991233395867225</v>
      </c>
      <c r="CD283">
        <v>0</v>
      </c>
      <c r="CE283">
        <v>0</v>
      </c>
      <c r="CF283">
        <v>0</v>
      </c>
    </row>
    <row r="284" spans="1:85" x14ac:dyDescent="0.25">
      <c r="A284" t="s">
        <v>128</v>
      </c>
      <c r="B284" t="s">
        <v>145</v>
      </c>
      <c r="C284" t="s">
        <v>72</v>
      </c>
      <c r="D284" s="12">
        <v>46242</v>
      </c>
      <c r="E284" t="s">
        <v>134</v>
      </c>
      <c r="F284" t="s">
        <v>134</v>
      </c>
      <c r="G284" t="s">
        <v>134</v>
      </c>
      <c r="H284" t="s">
        <v>74</v>
      </c>
      <c r="I284">
        <v>20</v>
      </c>
      <c r="K284">
        <v>4.220105607573192</v>
      </c>
      <c r="L284">
        <v>46242</v>
      </c>
      <c r="M284" t="s">
        <v>208</v>
      </c>
      <c r="N284">
        <v>3.8</v>
      </c>
      <c r="O284">
        <v>3.8</v>
      </c>
      <c r="P284">
        <v>4.6875</v>
      </c>
      <c r="Q284">
        <v>0.90045139941064711</v>
      </c>
      <c r="R284">
        <v>0.90045139941064711</v>
      </c>
      <c r="S284">
        <v>1.1107541933519496</v>
      </c>
      <c r="T284">
        <v>0.11075419335194958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9.9548600589352887E-2</v>
      </c>
      <c r="AD284">
        <v>0</v>
      </c>
      <c r="AE284">
        <v>0</v>
      </c>
      <c r="AF284">
        <v>0</v>
      </c>
      <c r="AG284">
        <v>0</v>
      </c>
      <c r="AH284">
        <v>0.90045139941064711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1.1105541072561032</v>
      </c>
      <c r="AO284">
        <v>1.1105541072561032</v>
      </c>
      <c r="AP284">
        <v>1.2335526315789473</v>
      </c>
      <c r="AQ284">
        <v>0.12299852432284419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0.11055410725610315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1</v>
      </c>
      <c r="BF284">
        <v>0</v>
      </c>
      <c r="BG284">
        <v>0</v>
      </c>
      <c r="BH284">
        <v>0</v>
      </c>
      <c r="BI284">
        <v>0</v>
      </c>
      <c r="BJ284">
        <v>0</v>
      </c>
      <c r="BK284">
        <v>0.81066666666666665</v>
      </c>
      <c r="BL284">
        <v>0.81066666666666665</v>
      </c>
      <c r="BM284">
        <v>0.90028919628228099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</v>
      </c>
      <c r="BW284">
        <v>0</v>
      </c>
      <c r="BX284">
        <v>9.971080371771901E-2</v>
      </c>
      <c r="BY284">
        <v>0</v>
      </c>
      <c r="BZ284">
        <v>0</v>
      </c>
      <c r="CA284">
        <v>0</v>
      </c>
      <c r="CB284">
        <v>0.81066666666666665</v>
      </c>
      <c r="CC284">
        <v>0</v>
      </c>
      <c r="CD284">
        <v>0</v>
      </c>
      <c r="CE284">
        <v>0</v>
      </c>
      <c r="CF284">
        <v>0</v>
      </c>
      <c r="CG284">
        <v>0</v>
      </c>
    </row>
    <row r="285" spans="1:85" x14ac:dyDescent="0.25">
      <c r="A285" t="s">
        <v>128</v>
      </c>
      <c r="B285" t="s">
        <v>145</v>
      </c>
      <c r="C285" t="s">
        <v>72</v>
      </c>
      <c r="D285" s="12">
        <v>46246</v>
      </c>
      <c r="E285" t="s">
        <v>134</v>
      </c>
      <c r="F285" t="s">
        <v>134</v>
      </c>
      <c r="G285" t="s">
        <v>134</v>
      </c>
      <c r="H285" t="s">
        <v>74</v>
      </c>
      <c r="I285">
        <v>20</v>
      </c>
      <c r="K285">
        <v>4.220105607573192</v>
      </c>
      <c r="L285">
        <v>46246</v>
      </c>
      <c r="M285" t="s">
        <v>196</v>
      </c>
      <c r="N285">
        <v>3.8</v>
      </c>
      <c r="O285">
        <v>3.8</v>
      </c>
      <c r="P285">
        <v>4.6875</v>
      </c>
      <c r="Q285">
        <v>0.90045139941064711</v>
      </c>
      <c r="R285">
        <v>0.90045139941064711</v>
      </c>
      <c r="S285">
        <v>1.1107541933519496</v>
      </c>
      <c r="T285">
        <v>0.11075419335194958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9.9548600589352887E-2</v>
      </c>
      <c r="AD285">
        <v>0</v>
      </c>
      <c r="AE285">
        <v>0</v>
      </c>
      <c r="AF285">
        <v>0</v>
      </c>
      <c r="AG285">
        <v>0</v>
      </c>
      <c r="AH285">
        <v>0.90045139941064711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1.1105541072561032</v>
      </c>
      <c r="AO285">
        <v>1.1105541072561032</v>
      </c>
      <c r="AP285">
        <v>1.2335526315789473</v>
      </c>
      <c r="AQ285">
        <v>0.12299852432284419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0.11055410725610315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1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0.81066666666666665</v>
      </c>
      <c r="BL285">
        <v>0.81066666666666665</v>
      </c>
      <c r="BM285">
        <v>0.90028919628228099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9.971080371771901E-2</v>
      </c>
      <c r="BY285">
        <v>0</v>
      </c>
      <c r="BZ285">
        <v>0</v>
      </c>
      <c r="CA285">
        <v>0</v>
      </c>
      <c r="CB285">
        <v>0.81066666666666665</v>
      </c>
      <c r="CC285">
        <v>0</v>
      </c>
      <c r="CD285">
        <v>0</v>
      </c>
      <c r="CE285">
        <v>0</v>
      </c>
      <c r="CF285">
        <v>0</v>
      </c>
      <c r="CG285">
        <v>0</v>
      </c>
    </row>
    <row r="286" spans="1:85" x14ac:dyDescent="0.25">
      <c r="A286" t="s">
        <v>128</v>
      </c>
      <c r="B286" t="s">
        <v>145</v>
      </c>
      <c r="C286" t="s">
        <v>117</v>
      </c>
      <c r="D286" s="12">
        <v>46233</v>
      </c>
      <c r="K286">
        <v>43.249410850616073</v>
      </c>
      <c r="N286">
        <v>41.800000000000004</v>
      </c>
      <c r="O286">
        <v>41.800000000000004</v>
      </c>
      <c r="P286">
        <v>46.072350778546706</v>
      </c>
      <c r="T286">
        <v>8.2158705328214815E-2</v>
      </c>
      <c r="U286">
        <v>0</v>
      </c>
      <c r="V286">
        <v>0.10266404393143798</v>
      </c>
      <c r="W286">
        <v>0</v>
      </c>
      <c r="X286">
        <v>0</v>
      </c>
      <c r="Y286">
        <v>0</v>
      </c>
      <c r="Z286">
        <v>2.8609662878439159E-2</v>
      </c>
      <c r="AA286">
        <v>0</v>
      </c>
      <c r="AB286">
        <v>6.6384901643595617E-2</v>
      </c>
      <c r="AC286">
        <v>0.11220525555031235</v>
      </c>
      <c r="AD286">
        <v>4.5497191734884139E-2</v>
      </c>
      <c r="AE286">
        <v>0</v>
      </c>
      <c r="AF286">
        <v>0</v>
      </c>
      <c r="AG286">
        <v>0</v>
      </c>
      <c r="AH286">
        <v>0.76882854542655688</v>
      </c>
      <c r="AI286">
        <v>0</v>
      </c>
      <c r="AJ286">
        <v>0</v>
      </c>
      <c r="AK286">
        <v>0</v>
      </c>
      <c r="AM286">
        <v>0</v>
      </c>
    </row>
    <row r="287" spans="1:85" x14ac:dyDescent="0.25">
      <c r="A287" t="s">
        <v>128</v>
      </c>
      <c r="B287" t="s">
        <v>145</v>
      </c>
      <c r="C287" t="s">
        <v>72</v>
      </c>
      <c r="D287" s="12">
        <v>46233</v>
      </c>
      <c r="E287" t="s">
        <v>134</v>
      </c>
      <c r="F287" t="s">
        <v>134</v>
      </c>
      <c r="G287" t="s">
        <v>134</v>
      </c>
      <c r="H287" t="s">
        <v>75</v>
      </c>
      <c r="I287">
        <v>20</v>
      </c>
      <c r="K287">
        <v>10.972274579690296</v>
      </c>
      <c r="L287">
        <v>46233</v>
      </c>
      <c r="M287" t="s">
        <v>236</v>
      </c>
      <c r="N287">
        <v>11.4</v>
      </c>
      <c r="O287">
        <v>11.4</v>
      </c>
      <c r="P287">
        <v>11.25</v>
      </c>
      <c r="Q287">
        <v>1.0389823839353622</v>
      </c>
      <c r="R287">
        <v>1.0389823839353622</v>
      </c>
      <c r="S287">
        <v>1.0253115630941076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2.5311563094107647E-2</v>
      </c>
      <c r="AA287">
        <v>0</v>
      </c>
      <c r="AB287">
        <v>1.3670820841254594E-2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0.96248022628862262</v>
      </c>
      <c r="AO287">
        <v>0.96248022628862262</v>
      </c>
      <c r="AP287">
        <v>0.98684210526315796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1.3157894736842035E-2</v>
      </c>
      <c r="BB287">
        <v>0</v>
      </c>
      <c r="BC287">
        <v>0</v>
      </c>
      <c r="BD287">
        <v>0</v>
      </c>
      <c r="BE287">
        <v>0.96248022628862262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1.0133333333333332</v>
      </c>
      <c r="BL287">
        <v>1.0133333333333332</v>
      </c>
      <c r="BM287">
        <v>0.97531329597247074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1.3333333333333197E-2</v>
      </c>
      <c r="BW287">
        <v>0</v>
      </c>
      <c r="BX287">
        <v>0</v>
      </c>
      <c r="BY287">
        <v>0</v>
      </c>
      <c r="BZ287">
        <v>2.468670402752926E-2</v>
      </c>
      <c r="CA287">
        <v>0</v>
      </c>
      <c r="CB287">
        <v>0.97531329597247074</v>
      </c>
      <c r="CC287">
        <v>0</v>
      </c>
      <c r="CD287">
        <v>0</v>
      </c>
      <c r="CE287">
        <v>0</v>
      </c>
      <c r="CF287">
        <v>0</v>
      </c>
      <c r="CG287">
        <v>0</v>
      </c>
    </row>
    <row r="288" spans="1:85" x14ac:dyDescent="0.25">
      <c r="A288" t="s">
        <v>128</v>
      </c>
      <c r="B288" t="s">
        <v>145</v>
      </c>
      <c r="C288" t="s">
        <v>72</v>
      </c>
      <c r="D288" s="12">
        <v>46227</v>
      </c>
      <c r="E288" t="s">
        <v>134</v>
      </c>
      <c r="F288" t="s">
        <v>134</v>
      </c>
      <c r="G288" t="s">
        <v>134</v>
      </c>
      <c r="H288" t="s">
        <v>75</v>
      </c>
      <c r="I288">
        <v>20</v>
      </c>
      <c r="K288">
        <v>11.028542654457938</v>
      </c>
      <c r="L288">
        <v>46227</v>
      </c>
      <c r="M288" t="s">
        <v>227</v>
      </c>
      <c r="N288">
        <v>12.35</v>
      </c>
      <c r="O288">
        <v>12.35</v>
      </c>
      <c r="P288">
        <v>11.182291666666668</v>
      </c>
      <c r="Q288">
        <v>1.1198215745221698</v>
      </c>
      <c r="R288">
        <v>1.1198215745221698</v>
      </c>
      <c r="S288">
        <v>1.0139410089824137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1.3941008982413683E-2</v>
      </c>
      <c r="AA288">
        <v>0</v>
      </c>
      <c r="AB288">
        <v>0.10588056553975611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1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0.89299940521926624</v>
      </c>
      <c r="AO288">
        <v>0.89299940521926624</v>
      </c>
      <c r="AP288">
        <v>0.90544871794871806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9.4551282051281937E-2</v>
      </c>
      <c r="BB288">
        <v>0</v>
      </c>
      <c r="BC288">
        <v>0</v>
      </c>
      <c r="BD288">
        <v>0</v>
      </c>
      <c r="BE288">
        <v>0.89299940521926624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1.1044247787610617</v>
      </c>
      <c r="BL288">
        <v>1.1044247787610617</v>
      </c>
      <c r="BM288">
        <v>0.98625067054304794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0.10442477876106171</v>
      </c>
      <c r="BW288">
        <v>0</v>
      </c>
      <c r="BX288">
        <v>0</v>
      </c>
      <c r="BY288">
        <v>0</v>
      </c>
      <c r="BZ288">
        <v>1.3749329456952064E-2</v>
      </c>
      <c r="CA288">
        <v>0</v>
      </c>
      <c r="CB288">
        <v>0.98625067054304794</v>
      </c>
      <c r="CC288">
        <v>0</v>
      </c>
      <c r="CD288">
        <v>0</v>
      </c>
      <c r="CE288">
        <v>0</v>
      </c>
      <c r="CF288">
        <v>0</v>
      </c>
      <c r="CG288">
        <v>0</v>
      </c>
    </row>
    <row r="289" spans="1:85" x14ac:dyDescent="0.25">
      <c r="A289" t="s">
        <v>128</v>
      </c>
      <c r="B289" t="s">
        <v>145</v>
      </c>
      <c r="C289" t="s">
        <v>117</v>
      </c>
      <c r="D289" s="12">
        <v>46243</v>
      </c>
      <c r="K289">
        <v>41.939193745979424</v>
      </c>
      <c r="N289">
        <v>37.050000000000004</v>
      </c>
      <c r="O289">
        <v>37.050000000000004</v>
      </c>
      <c r="P289">
        <v>44.328935986159166</v>
      </c>
      <c r="T289">
        <v>7.873054599100808E-2</v>
      </c>
      <c r="U289">
        <v>0</v>
      </c>
      <c r="V289">
        <v>0.16880702133603917</v>
      </c>
      <c r="W289">
        <v>0</v>
      </c>
      <c r="X289">
        <v>0</v>
      </c>
      <c r="Y289">
        <v>0</v>
      </c>
      <c r="Z289">
        <v>8.851011801595518E-3</v>
      </c>
      <c r="AA289">
        <v>0</v>
      </c>
      <c r="AB289">
        <v>6.1586058190586469E-2</v>
      </c>
      <c r="AC289">
        <v>0.24945756340683628</v>
      </c>
      <c r="AD289">
        <v>3.0600437586666276E-2</v>
      </c>
      <c r="AE289">
        <v>0</v>
      </c>
      <c r="AF289">
        <v>0</v>
      </c>
      <c r="AG289">
        <v>0</v>
      </c>
      <c r="AH289">
        <v>0.64417775565356217</v>
      </c>
      <c r="AI289">
        <v>0</v>
      </c>
      <c r="AJ289">
        <v>0</v>
      </c>
      <c r="AK289">
        <v>0</v>
      </c>
      <c r="AM289">
        <v>0</v>
      </c>
    </row>
    <row r="290" spans="1:85" x14ac:dyDescent="0.25">
      <c r="A290" t="s">
        <v>128</v>
      </c>
      <c r="B290" t="s">
        <v>145</v>
      </c>
      <c r="C290" t="s">
        <v>72</v>
      </c>
      <c r="D290" s="12">
        <v>46227</v>
      </c>
      <c r="E290" t="s">
        <v>134</v>
      </c>
      <c r="F290" t="s">
        <v>134</v>
      </c>
      <c r="G290" t="s">
        <v>134</v>
      </c>
      <c r="H290" t="s">
        <v>74</v>
      </c>
      <c r="I290">
        <v>20</v>
      </c>
      <c r="K290">
        <v>4.220105607573192</v>
      </c>
      <c r="L290">
        <v>46227</v>
      </c>
      <c r="M290" t="s">
        <v>228</v>
      </c>
      <c r="N290">
        <v>3.8</v>
      </c>
      <c r="O290">
        <v>3.8</v>
      </c>
      <c r="P290">
        <v>4.6875</v>
      </c>
      <c r="Q290">
        <v>0.90045139941064711</v>
      </c>
      <c r="R290">
        <v>0.90045139941064711</v>
      </c>
      <c r="S290">
        <v>1.1107541933519496</v>
      </c>
      <c r="T290">
        <v>0.11075419335194958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9.9548600589352887E-2</v>
      </c>
      <c r="AD290">
        <v>0</v>
      </c>
      <c r="AE290">
        <v>0</v>
      </c>
      <c r="AF290">
        <v>0</v>
      </c>
      <c r="AG290">
        <v>0</v>
      </c>
      <c r="AH290">
        <v>0.90045139941064711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1.1105541072561032</v>
      </c>
      <c r="AO290">
        <v>1.1105541072561032</v>
      </c>
      <c r="AP290">
        <v>1.2335526315789473</v>
      </c>
      <c r="AQ290">
        <v>0.12299852432284419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0.11055410725610315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1</v>
      </c>
      <c r="BF290">
        <v>0</v>
      </c>
      <c r="BG290">
        <v>0</v>
      </c>
      <c r="BH290">
        <v>0</v>
      </c>
      <c r="BI290">
        <v>0</v>
      </c>
      <c r="BJ290">
        <v>0</v>
      </c>
      <c r="BK290">
        <v>0.81066666666666665</v>
      </c>
      <c r="BL290">
        <v>0.81066666666666665</v>
      </c>
      <c r="BM290">
        <v>0.90028919628228099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9.971080371771901E-2</v>
      </c>
      <c r="BY290">
        <v>0</v>
      </c>
      <c r="BZ290">
        <v>0</v>
      </c>
      <c r="CA290">
        <v>0</v>
      </c>
      <c r="CB290">
        <v>0.81066666666666665</v>
      </c>
      <c r="CC290">
        <v>0</v>
      </c>
      <c r="CD290">
        <v>0</v>
      </c>
      <c r="CE290">
        <v>0</v>
      </c>
      <c r="CF290">
        <v>0</v>
      </c>
      <c r="CG290">
        <v>0</v>
      </c>
    </row>
    <row r="291" spans="1:85" x14ac:dyDescent="0.25">
      <c r="A291" t="s">
        <v>128</v>
      </c>
      <c r="B291" t="s">
        <v>145</v>
      </c>
      <c r="C291" t="s">
        <v>72</v>
      </c>
      <c r="D291" s="12">
        <v>46227</v>
      </c>
      <c r="E291" t="s">
        <v>134</v>
      </c>
      <c r="F291" t="s">
        <v>134</v>
      </c>
      <c r="G291" t="s">
        <v>134</v>
      </c>
      <c r="H291" t="s">
        <v>73</v>
      </c>
      <c r="I291">
        <v>20</v>
      </c>
      <c r="K291">
        <v>10.972274579690296</v>
      </c>
      <c r="L291">
        <v>46227</v>
      </c>
      <c r="M291" t="s">
        <v>229</v>
      </c>
      <c r="N291">
        <v>18.05</v>
      </c>
      <c r="O291">
        <v>18.05</v>
      </c>
      <c r="P291">
        <v>10.505208333333336</v>
      </c>
      <c r="Q291">
        <v>1.6450554412309903</v>
      </c>
      <c r="R291">
        <v>1.6450554412309903</v>
      </c>
      <c r="S291">
        <v>0.95743214016704414</v>
      </c>
      <c r="T291">
        <v>0</v>
      </c>
      <c r="U291">
        <v>0</v>
      </c>
      <c r="V291">
        <v>0.39505544123099035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0.25</v>
      </c>
      <c r="AC291">
        <v>0</v>
      </c>
      <c r="AD291">
        <v>0</v>
      </c>
      <c r="AE291">
        <v>0</v>
      </c>
      <c r="AF291">
        <v>4.2567859832955857E-2</v>
      </c>
      <c r="AG291">
        <v>0</v>
      </c>
      <c r="AH291">
        <v>0.95743214016704414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0.60788224818228787</v>
      </c>
      <c r="AO291">
        <v>0.60788224818228787</v>
      </c>
      <c r="AP291">
        <v>0.58200600184672213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0.39211775181771213</v>
      </c>
      <c r="BB291">
        <v>0</v>
      </c>
      <c r="BC291">
        <v>2.5876246335565734E-2</v>
      </c>
      <c r="BD291">
        <v>0</v>
      </c>
      <c r="BE291">
        <v>0.58200600184672213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1.7181953396132867</v>
      </c>
      <c r="BL291">
        <v>1.7181953396132867</v>
      </c>
      <c r="BM291">
        <v>1.0444604458604543</v>
      </c>
      <c r="CD291">
        <v>0</v>
      </c>
      <c r="CE291">
        <v>0</v>
      </c>
      <c r="CF291">
        <v>0</v>
      </c>
    </row>
    <row r="292" spans="1:85" x14ac:dyDescent="0.25">
      <c r="A292" t="s">
        <v>128</v>
      </c>
      <c r="B292" t="s">
        <v>145</v>
      </c>
      <c r="C292" t="s">
        <v>72</v>
      </c>
      <c r="D292" s="12">
        <v>46226</v>
      </c>
      <c r="E292" t="s">
        <v>134</v>
      </c>
      <c r="F292" t="s">
        <v>134</v>
      </c>
      <c r="G292" t="s">
        <v>134</v>
      </c>
      <c r="H292" t="s">
        <v>75</v>
      </c>
      <c r="I292">
        <v>20</v>
      </c>
      <c r="K292">
        <v>10.972274579690296</v>
      </c>
      <c r="L292">
        <v>46226</v>
      </c>
      <c r="M292" t="s">
        <v>230</v>
      </c>
      <c r="N292">
        <v>13.3</v>
      </c>
      <c r="O292">
        <v>13.3</v>
      </c>
      <c r="P292">
        <v>10.3125</v>
      </c>
      <c r="Q292">
        <v>1.212146114591256</v>
      </c>
      <c r="R292">
        <v>1.212146114591256</v>
      </c>
      <c r="S292">
        <v>0.93986893283626527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0.21214611459125599</v>
      </c>
      <c r="AC292">
        <v>0</v>
      </c>
      <c r="AD292">
        <v>0</v>
      </c>
      <c r="AE292">
        <v>0</v>
      </c>
      <c r="AF292">
        <v>6.013106716373473E-2</v>
      </c>
      <c r="AG292">
        <v>0</v>
      </c>
      <c r="AH292">
        <v>0.93986893283626527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0.82498305110453363</v>
      </c>
      <c r="AO292">
        <v>0.82498305110453363</v>
      </c>
      <c r="AP292">
        <v>0.77537593984962416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0.17501694889546637</v>
      </c>
      <c r="BB292">
        <v>0</v>
      </c>
      <c r="BC292">
        <v>4.9607111254909464E-2</v>
      </c>
      <c r="BD292">
        <v>0</v>
      </c>
      <c r="BE292">
        <v>0.77537593984962416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1.2896969696969696</v>
      </c>
      <c r="BL292">
        <v>1.2896969696969696</v>
      </c>
      <c r="BM292">
        <v>1.0639781410608773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6.3978141060877292E-2</v>
      </c>
      <c r="BU292">
        <v>0</v>
      </c>
      <c r="BV292">
        <v>0.22571882863609227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1</v>
      </c>
      <c r="CC292">
        <v>0</v>
      </c>
      <c r="CD292">
        <v>0</v>
      </c>
      <c r="CE292">
        <v>0</v>
      </c>
      <c r="CF292">
        <v>0</v>
      </c>
      <c r="CG292">
        <v>0</v>
      </c>
    </row>
    <row r="293" spans="1:85" x14ac:dyDescent="0.25">
      <c r="A293" t="s">
        <v>128</v>
      </c>
      <c r="B293" t="s">
        <v>145</v>
      </c>
      <c r="C293" t="s">
        <v>117</v>
      </c>
      <c r="D293" s="12">
        <v>46244</v>
      </c>
      <c r="K293">
        <v>41.995461820747067</v>
      </c>
      <c r="N293">
        <v>25.65</v>
      </c>
      <c r="O293">
        <v>25.65</v>
      </c>
      <c r="P293">
        <v>44.318609429065738</v>
      </c>
      <c r="T293">
        <v>8.8397209853313549E-2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0.19472770049274499</v>
      </c>
      <c r="AD293">
        <v>3.3078194235988616E-2</v>
      </c>
      <c r="AE293">
        <v>0</v>
      </c>
      <c r="AF293">
        <v>0</v>
      </c>
      <c r="AG293">
        <v>0</v>
      </c>
      <c r="AH293">
        <v>0.61078028167624765</v>
      </c>
      <c r="AI293">
        <v>0</v>
      </c>
      <c r="AJ293">
        <v>0</v>
      </c>
      <c r="AK293">
        <v>0</v>
      </c>
      <c r="AM293">
        <v>0</v>
      </c>
    </row>
    <row r="294" spans="1:85" x14ac:dyDescent="0.25">
      <c r="A294" t="s">
        <v>128</v>
      </c>
      <c r="B294" t="s">
        <v>145</v>
      </c>
      <c r="C294" t="s">
        <v>72</v>
      </c>
      <c r="D294" s="12">
        <v>46226</v>
      </c>
      <c r="E294" t="s">
        <v>134</v>
      </c>
      <c r="F294" t="s">
        <v>134</v>
      </c>
      <c r="G294" t="s">
        <v>134</v>
      </c>
      <c r="H294" t="s">
        <v>74</v>
      </c>
      <c r="I294">
        <v>20</v>
      </c>
      <c r="K294">
        <v>4.220105607573192</v>
      </c>
      <c r="L294">
        <v>46226</v>
      </c>
      <c r="M294" t="s">
        <v>231</v>
      </c>
      <c r="N294">
        <v>3.8</v>
      </c>
      <c r="O294">
        <v>3.8</v>
      </c>
      <c r="P294">
        <v>2.8125</v>
      </c>
      <c r="Q294">
        <v>0.90045139941064711</v>
      </c>
      <c r="R294">
        <v>0.90045139941064711</v>
      </c>
      <c r="S294">
        <v>0.66645251601116973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9.9548600589352887E-2</v>
      </c>
      <c r="AE294">
        <v>0</v>
      </c>
      <c r="AF294">
        <v>0.23399888339947739</v>
      </c>
      <c r="AG294">
        <v>0</v>
      </c>
      <c r="AH294">
        <v>0.66645251601116973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1.1105541072561032</v>
      </c>
      <c r="AO294">
        <v>1.1105541072561032</v>
      </c>
      <c r="AP294">
        <v>0.74013157894736847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0.11055410725610315</v>
      </c>
      <c r="AZ294">
        <v>0</v>
      </c>
      <c r="BA294">
        <v>0</v>
      </c>
      <c r="BB294">
        <v>0</v>
      </c>
      <c r="BC294">
        <v>0.25986842105263153</v>
      </c>
      <c r="BD294">
        <v>0</v>
      </c>
      <c r="BE294">
        <v>0.74013157894736847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1.3511111111111112</v>
      </c>
      <c r="BL294">
        <v>1.3511111111111112</v>
      </c>
      <c r="BM294">
        <v>1.5004819938038017</v>
      </c>
      <c r="BN294">
        <v>0.1493708826926905</v>
      </c>
      <c r="BO294">
        <v>0</v>
      </c>
      <c r="BP294">
        <v>0</v>
      </c>
      <c r="BQ294">
        <v>0</v>
      </c>
      <c r="BR294">
        <v>0</v>
      </c>
      <c r="BS294">
        <v>0.14888888888888885</v>
      </c>
      <c r="BT294">
        <v>0.35111111111111115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</row>
    <row r="295" spans="1:85" x14ac:dyDescent="0.25">
      <c r="A295" t="s">
        <v>128</v>
      </c>
      <c r="B295" t="s">
        <v>145</v>
      </c>
      <c r="C295" t="s">
        <v>72</v>
      </c>
      <c r="D295" s="12">
        <v>46226</v>
      </c>
      <c r="E295" t="s">
        <v>134</v>
      </c>
      <c r="F295" t="s">
        <v>134</v>
      </c>
      <c r="G295" t="s">
        <v>134</v>
      </c>
      <c r="H295" t="s">
        <v>73</v>
      </c>
      <c r="I295">
        <v>20</v>
      </c>
      <c r="K295">
        <v>11.73189358905347</v>
      </c>
      <c r="L295">
        <v>46226</v>
      </c>
      <c r="M295" t="s">
        <v>232</v>
      </c>
      <c r="N295">
        <v>20.9</v>
      </c>
      <c r="O295">
        <v>20.9</v>
      </c>
      <c r="P295">
        <v>10.59375</v>
      </c>
      <c r="Q295">
        <v>1.7814685959563166</v>
      </c>
      <c r="R295">
        <v>1.7814685959563166</v>
      </c>
      <c r="S295">
        <v>0.90298722193359959</v>
      </c>
      <c r="T295">
        <v>0</v>
      </c>
      <c r="U295">
        <v>0</v>
      </c>
      <c r="V295">
        <v>0.53146859595631657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0.25</v>
      </c>
      <c r="AC295">
        <v>0</v>
      </c>
      <c r="AD295">
        <v>0</v>
      </c>
      <c r="AE295">
        <v>0</v>
      </c>
      <c r="AF295">
        <v>9.7012778066400407E-2</v>
      </c>
      <c r="AG295">
        <v>0</v>
      </c>
      <c r="AH295">
        <v>0.90298722193359959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0.56133462148581204</v>
      </c>
      <c r="AO295">
        <v>0.56133462148581204</v>
      </c>
      <c r="AP295">
        <v>0.50687799043062209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0.43866537851418796</v>
      </c>
      <c r="BB295">
        <v>0</v>
      </c>
      <c r="BC295">
        <v>5.4456631055189941E-2</v>
      </c>
      <c r="BD295">
        <v>0</v>
      </c>
      <c r="BE295">
        <v>0.50687799043062209</v>
      </c>
      <c r="BF295">
        <v>0</v>
      </c>
      <c r="BG295">
        <v>0</v>
      </c>
      <c r="BH295">
        <v>0</v>
      </c>
      <c r="BI295">
        <v>0</v>
      </c>
      <c r="BJ295">
        <v>0</v>
      </c>
      <c r="BK295">
        <v>1.9728613569321534</v>
      </c>
      <c r="BL295">
        <v>1.9728613569321534</v>
      </c>
      <c r="BM295">
        <v>1.1074353830374957</v>
      </c>
      <c r="CD295">
        <v>0</v>
      </c>
      <c r="CE295">
        <v>0</v>
      </c>
      <c r="CF295">
        <v>0</v>
      </c>
    </row>
    <row r="296" spans="1:85" x14ac:dyDescent="0.25">
      <c r="A296" t="s">
        <v>128</v>
      </c>
      <c r="B296" t="s">
        <v>145</v>
      </c>
      <c r="C296" t="s">
        <v>117</v>
      </c>
      <c r="D296" s="12">
        <v>46245</v>
      </c>
      <c r="K296">
        <v>45.361994830502269</v>
      </c>
      <c r="N296">
        <v>36.1</v>
      </c>
      <c r="O296">
        <v>36.1</v>
      </c>
      <c r="P296">
        <v>47.079152249134943</v>
      </c>
      <c r="T296">
        <v>8.4296372936172093E-2</v>
      </c>
      <c r="U296">
        <v>0</v>
      </c>
      <c r="V296">
        <v>0.15839543742577517</v>
      </c>
      <c r="W296">
        <v>0</v>
      </c>
      <c r="X296">
        <v>0</v>
      </c>
      <c r="Y296">
        <v>0</v>
      </c>
      <c r="Z296">
        <v>2.269280922277348E-4</v>
      </c>
      <c r="AA296">
        <v>0</v>
      </c>
      <c r="AB296">
        <v>6.4430135782996306E-2</v>
      </c>
      <c r="AC296">
        <v>0.15681268198622711</v>
      </c>
      <c r="AD296">
        <v>4.6668761671192625E-2</v>
      </c>
      <c r="AE296">
        <v>0</v>
      </c>
      <c r="AF296">
        <v>0</v>
      </c>
      <c r="AG296">
        <v>0</v>
      </c>
      <c r="AH296">
        <v>0.57276787950213226</v>
      </c>
      <c r="AI296">
        <v>0</v>
      </c>
      <c r="AJ296">
        <v>0</v>
      </c>
      <c r="AK296">
        <v>0</v>
      </c>
      <c r="AM296">
        <v>0</v>
      </c>
    </row>
    <row r="297" spans="1:85" x14ac:dyDescent="0.25">
      <c r="A297" t="s">
        <v>128</v>
      </c>
      <c r="B297" t="s">
        <v>145</v>
      </c>
      <c r="C297" t="s">
        <v>72</v>
      </c>
      <c r="D297" s="12">
        <v>46225</v>
      </c>
      <c r="E297" t="s">
        <v>134</v>
      </c>
      <c r="F297" t="s">
        <v>134</v>
      </c>
      <c r="G297" t="s">
        <v>134</v>
      </c>
      <c r="H297" t="s">
        <v>75</v>
      </c>
      <c r="I297">
        <v>20</v>
      </c>
      <c r="K297">
        <v>10.80347035538737</v>
      </c>
      <c r="L297">
        <v>46225</v>
      </c>
      <c r="M297" t="s">
        <v>215</v>
      </c>
      <c r="N297">
        <v>11.4</v>
      </c>
      <c r="O297">
        <v>11.4</v>
      </c>
      <c r="P297">
        <v>11.244747899159664</v>
      </c>
      <c r="Q297">
        <v>1.0552164836843521</v>
      </c>
      <c r="R297">
        <v>1.0552164836843521</v>
      </c>
      <c r="S297">
        <v>1.0408459068480937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4.0845906848093749E-2</v>
      </c>
      <c r="AA297">
        <v>0</v>
      </c>
      <c r="AB297">
        <v>1.4370576836258309E-2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1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0.94767283819187464</v>
      </c>
      <c r="AO297">
        <v>0.94767283819187464</v>
      </c>
      <c r="AP297">
        <v>0.98638139466312857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1.3618605336871425E-2</v>
      </c>
      <c r="BB297">
        <v>0</v>
      </c>
      <c r="BC297">
        <v>0</v>
      </c>
      <c r="BD297">
        <v>0</v>
      </c>
      <c r="BE297">
        <v>0.94767283819187464</v>
      </c>
      <c r="BF297">
        <v>0</v>
      </c>
      <c r="BG297">
        <v>0</v>
      </c>
      <c r="BH297">
        <v>0</v>
      </c>
      <c r="BI297">
        <v>0</v>
      </c>
      <c r="BJ297">
        <v>0</v>
      </c>
      <c r="BK297">
        <v>1.0138066324147592</v>
      </c>
      <c r="BL297">
        <v>1.0138066324147592</v>
      </c>
      <c r="BM297">
        <v>0.96075700871824155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1.3806632414759212E-2</v>
      </c>
      <c r="BW297">
        <v>0</v>
      </c>
      <c r="BX297">
        <v>0</v>
      </c>
      <c r="BY297">
        <v>0</v>
      </c>
      <c r="BZ297">
        <v>3.9242991281758455E-2</v>
      </c>
      <c r="CA297">
        <v>0</v>
      </c>
      <c r="CB297">
        <v>0.96075700871824155</v>
      </c>
      <c r="CC297">
        <v>0</v>
      </c>
      <c r="CD297">
        <v>0</v>
      </c>
      <c r="CE297">
        <v>0</v>
      </c>
      <c r="CF297">
        <v>0</v>
      </c>
      <c r="CG297">
        <v>0</v>
      </c>
    </row>
    <row r="298" spans="1:85" x14ac:dyDescent="0.25">
      <c r="A298" t="s">
        <v>128</v>
      </c>
      <c r="B298" t="s">
        <v>145</v>
      </c>
      <c r="C298" t="s">
        <v>117</v>
      </c>
      <c r="D298" s="12">
        <v>46246</v>
      </c>
      <c r="K298">
        <v>43.719560553941719</v>
      </c>
      <c r="N298">
        <v>30.4</v>
      </c>
      <c r="O298">
        <v>30.4</v>
      </c>
      <c r="P298">
        <v>44.953935986159166</v>
      </c>
      <c r="T298">
        <v>8.8598836465795819E-2</v>
      </c>
      <c r="U298">
        <v>0</v>
      </c>
      <c r="V298">
        <v>9.8378530419854469E-3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7.191240345984147E-2</v>
      </c>
      <c r="AC298">
        <v>0.1373150895997286</v>
      </c>
      <c r="AD298">
        <v>4.2640480802666109E-2</v>
      </c>
      <c r="AE298">
        <v>0</v>
      </c>
      <c r="AF298">
        <v>1.7724416058579981E-2</v>
      </c>
      <c r="AG298">
        <v>0</v>
      </c>
      <c r="AH298">
        <v>0.59586625984654429</v>
      </c>
      <c r="AI298">
        <v>0</v>
      </c>
      <c r="AJ298">
        <v>0</v>
      </c>
      <c r="AK298">
        <v>0</v>
      </c>
      <c r="AM298">
        <v>0</v>
      </c>
    </row>
    <row r="299" spans="1:85" x14ac:dyDescent="0.25">
      <c r="A299" t="s">
        <v>128</v>
      </c>
      <c r="B299" t="s">
        <v>145</v>
      </c>
      <c r="C299" t="s">
        <v>72</v>
      </c>
      <c r="D299" s="12">
        <v>46225</v>
      </c>
      <c r="E299" t="s">
        <v>134</v>
      </c>
      <c r="F299" t="s">
        <v>134</v>
      </c>
      <c r="G299" t="s">
        <v>134</v>
      </c>
      <c r="H299" t="s">
        <v>74</v>
      </c>
      <c r="I299">
        <v>20</v>
      </c>
      <c r="K299">
        <v>4.2201056075731911</v>
      </c>
      <c r="L299">
        <v>46225</v>
      </c>
      <c r="M299" t="s">
        <v>163</v>
      </c>
      <c r="N299">
        <v>3.8</v>
      </c>
      <c r="O299">
        <v>3.8</v>
      </c>
      <c r="P299">
        <v>4.5044642857142865</v>
      </c>
      <c r="Q299">
        <v>0.90045139941064734</v>
      </c>
      <c r="R299">
        <v>0.90045139941064734</v>
      </c>
      <c r="S299">
        <v>1.0673818867543976</v>
      </c>
      <c r="T299">
        <v>6.7381886754397602E-2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9.9548600589352665E-2</v>
      </c>
      <c r="AD299">
        <v>0</v>
      </c>
      <c r="AE299">
        <v>0</v>
      </c>
      <c r="AF299">
        <v>0</v>
      </c>
      <c r="AG299">
        <v>0</v>
      </c>
      <c r="AH299">
        <v>0.90045139941064734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1.1105541072561029</v>
      </c>
      <c r="AO299">
        <v>1.1105541072561029</v>
      </c>
      <c r="AP299">
        <v>1.185385338345865</v>
      </c>
      <c r="AQ299">
        <v>7.4831231089762085E-2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0.11055410725610293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1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0.84360753221010887</v>
      </c>
      <c r="BL299">
        <v>0.84360753221010887</v>
      </c>
      <c r="BM299">
        <v>0.93687180980812157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6.3128190191878431E-2</v>
      </c>
      <c r="BY299">
        <v>0</v>
      </c>
      <c r="BZ299">
        <v>0</v>
      </c>
      <c r="CA299">
        <v>0</v>
      </c>
      <c r="CB299">
        <v>0.84360753221010887</v>
      </c>
      <c r="CC299">
        <v>0</v>
      </c>
      <c r="CD299">
        <v>0</v>
      </c>
      <c r="CE299">
        <v>0</v>
      </c>
      <c r="CF299">
        <v>0</v>
      </c>
      <c r="CG299">
        <v>0</v>
      </c>
    </row>
    <row r="300" spans="1:85" x14ac:dyDescent="0.25">
      <c r="A300" t="s">
        <v>128</v>
      </c>
      <c r="B300" t="s">
        <v>145</v>
      </c>
      <c r="C300" t="s">
        <v>72</v>
      </c>
      <c r="D300" s="12">
        <v>46225</v>
      </c>
      <c r="E300" t="s">
        <v>134</v>
      </c>
      <c r="F300" t="s">
        <v>134</v>
      </c>
      <c r="G300" t="s">
        <v>134</v>
      </c>
      <c r="H300" t="s">
        <v>73</v>
      </c>
      <c r="I300">
        <v>20</v>
      </c>
      <c r="K300">
        <v>12.57591471056811</v>
      </c>
      <c r="L300">
        <v>46225</v>
      </c>
      <c r="M300" t="s">
        <v>166</v>
      </c>
      <c r="N300">
        <v>16.149999999999999</v>
      </c>
      <c r="O300">
        <v>16.149999999999999</v>
      </c>
      <c r="P300">
        <v>11.496323529411764</v>
      </c>
      <c r="Q300">
        <v>1.284200821307131</v>
      </c>
      <c r="R300">
        <v>1.284200821307131</v>
      </c>
      <c r="S300">
        <v>0.91415406306396807</v>
      </c>
      <c r="T300">
        <v>0</v>
      </c>
      <c r="U300">
        <v>0</v>
      </c>
      <c r="V300">
        <v>3.420082130713098E-2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0.25</v>
      </c>
      <c r="AC300">
        <v>0</v>
      </c>
      <c r="AD300">
        <v>0</v>
      </c>
      <c r="AE300">
        <v>0</v>
      </c>
      <c r="AF300">
        <v>8.584593693603193E-2</v>
      </c>
      <c r="AG300">
        <v>0</v>
      </c>
      <c r="AH300">
        <v>0.91415406306396807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0.77869440932310285</v>
      </c>
      <c r="AO300">
        <v>0.77869440932310285</v>
      </c>
      <c r="AP300">
        <v>0.71184665816791115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0.22130559067689715</v>
      </c>
      <c r="BB300">
        <v>0</v>
      </c>
      <c r="BC300">
        <v>6.6847751155191704E-2</v>
      </c>
      <c r="BD300">
        <v>0</v>
      </c>
      <c r="BE300">
        <v>0.71184665816791115</v>
      </c>
      <c r="BF300">
        <v>0</v>
      </c>
      <c r="BG300">
        <v>0</v>
      </c>
      <c r="BH300">
        <v>0</v>
      </c>
      <c r="BI300">
        <v>0</v>
      </c>
      <c r="BJ300">
        <v>0</v>
      </c>
      <c r="BK300">
        <v>1.4047969299648224</v>
      </c>
      <c r="BL300">
        <v>1.4047969299648224</v>
      </c>
      <c r="BM300">
        <v>1.0939075155978657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9.3907515597865698E-2</v>
      </c>
      <c r="BU300">
        <v>0</v>
      </c>
      <c r="BV300">
        <v>0.31088941436695672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1</v>
      </c>
      <c r="CC300">
        <v>0</v>
      </c>
      <c r="CD300">
        <v>0</v>
      </c>
      <c r="CE300">
        <v>0</v>
      </c>
      <c r="CF300">
        <v>0</v>
      </c>
      <c r="CG300">
        <v>0</v>
      </c>
    </row>
    <row r="301" spans="1:85" x14ac:dyDescent="0.25">
      <c r="A301" t="s">
        <v>128</v>
      </c>
      <c r="B301" t="s">
        <v>145</v>
      </c>
      <c r="C301" t="s">
        <v>117</v>
      </c>
      <c r="D301" s="12">
        <v>46247</v>
      </c>
      <c r="K301">
        <v>43.249410850616073</v>
      </c>
      <c r="N301">
        <v>38</v>
      </c>
      <c r="O301">
        <v>38</v>
      </c>
      <c r="P301">
        <v>45.075810986159162</v>
      </c>
      <c r="T301">
        <v>6.4292888008139593E-2</v>
      </c>
      <c r="U301">
        <v>0</v>
      </c>
      <c r="V301">
        <v>0.16856089533234903</v>
      </c>
      <c r="W301">
        <v>0</v>
      </c>
      <c r="X301">
        <v>0</v>
      </c>
      <c r="Y301">
        <v>0</v>
      </c>
      <c r="Z301">
        <v>2.3433783842704999E-2</v>
      </c>
      <c r="AA301">
        <v>0</v>
      </c>
      <c r="AB301">
        <v>6.164455265372857E-2</v>
      </c>
      <c r="AC301">
        <v>0.17810210695122344</v>
      </c>
      <c r="AD301">
        <v>4.5497191734884139E-2</v>
      </c>
      <c r="AE301">
        <v>0</v>
      </c>
      <c r="AF301">
        <v>0</v>
      </c>
      <c r="AG301">
        <v>0</v>
      </c>
      <c r="AH301">
        <v>0.62498545351669887</v>
      </c>
      <c r="AI301">
        <v>0</v>
      </c>
      <c r="AJ301">
        <v>0</v>
      </c>
      <c r="AK301">
        <v>0</v>
      </c>
      <c r="AM301">
        <v>0</v>
      </c>
    </row>
    <row r="302" spans="1:85" x14ac:dyDescent="0.25">
      <c r="A302" t="s">
        <v>128</v>
      </c>
      <c r="B302" t="s">
        <v>145</v>
      </c>
      <c r="C302" t="s">
        <v>72</v>
      </c>
      <c r="D302" s="12">
        <v>46224</v>
      </c>
      <c r="E302" t="s">
        <v>134</v>
      </c>
      <c r="F302" t="s">
        <v>134</v>
      </c>
      <c r="G302" t="s">
        <v>134</v>
      </c>
      <c r="H302" t="s">
        <v>75</v>
      </c>
      <c r="I302">
        <v>20</v>
      </c>
      <c r="K302">
        <v>10.972274579690296</v>
      </c>
      <c r="L302">
        <v>46224</v>
      </c>
      <c r="M302" t="s">
        <v>169</v>
      </c>
      <c r="N302">
        <v>15.2</v>
      </c>
      <c r="O302">
        <v>15.2</v>
      </c>
      <c r="P302">
        <v>11.25</v>
      </c>
      <c r="Q302">
        <v>1.3853098452471497</v>
      </c>
      <c r="R302">
        <v>1.3853098452471497</v>
      </c>
      <c r="S302">
        <v>1.0253115630941076</v>
      </c>
      <c r="T302">
        <v>0</v>
      </c>
      <c r="U302">
        <v>0</v>
      </c>
      <c r="V302">
        <v>0.13530984524714973</v>
      </c>
      <c r="W302">
        <v>0</v>
      </c>
      <c r="X302">
        <v>0</v>
      </c>
      <c r="Y302">
        <v>0</v>
      </c>
      <c r="Z302">
        <v>2.5311563094107647E-2</v>
      </c>
      <c r="AA302">
        <v>0</v>
      </c>
      <c r="AB302">
        <v>0.22468843690589235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0.72186016971646694</v>
      </c>
      <c r="AO302">
        <v>0.72186016971646694</v>
      </c>
      <c r="AP302">
        <v>0.74013157894736847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0.25986842105263153</v>
      </c>
      <c r="BB302">
        <v>0</v>
      </c>
      <c r="BC302">
        <v>0</v>
      </c>
      <c r="BD302">
        <v>0</v>
      </c>
      <c r="BE302">
        <v>0.72186016971646694</v>
      </c>
      <c r="BF302">
        <v>0</v>
      </c>
      <c r="BG302">
        <v>0</v>
      </c>
      <c r="BH302">
        <v>0</v>
      </c>
      <c r="BI302">
        <v>0</v>
      </c>
      <c r="BJ302">
        <v>0</v>
      </c>
      <c r="BK302">
        <v>1.3511111111111112</v>
      </c>
      <c r="BL302">
        <v>1.3511111111111112</v>
      </c>
      <c r="BM302">
        <v>0.97531329597247074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0.35111111111111115</v>
      </c>
      <c r="BW302">
        <v>0</v>
      </c>
      <c r="BX302">
        <v>0</v>
      </c>
      <c r="BY302">
        <v>0</v>
      </c>
      <c r="BZ302">
        <v>2.468670402752926E-2</v>
      </c>
      <c r="CA302">
        <v>0</v>
      </c>
      <c r="CB302">
        <v>0.97531329597247074</v>
      </c>
      <c r="CC302">
        <v>0</v>
      </c>
      <c r="CD302">
        <v>0</v>
      </c>
      <c r="CE302">
        <v>0</v>
      </c>
      <c r="CF302">
        <v>0</v>
      </c>
      <c r="CG302">
        <v>0</v>
      </c>
    </row>
    <row r="303" spans="1:85" x14ac:dyDescent="0.25">
      <c r="A303" t="s">
        <v>128</v>
      </c>
      <c r="B303" t="s">
        <v>145</v>
      </c>
      <c r="C303" t="s">
        <v>72</v>
      </c>
      <c r="D303" s="12">
        <v>46224</v>
      </c>
      <c r="E303" t="s">
        <v>134</v>
      </c>
      <c r="F303" t="s">
        <v>134</v>
      </c>
      <c r="G303" t="s">
        <v>134</v>
      </c>
      <c r="H303" t="s">
        <v>74</v>
      </c>
      <c r="I303">
        <v>20</v>
      </c>
      <c r="K303">
        <v>4.220105607573192</v>
      </c>
      <c r="L303">
        <v>46224</v>
      </c>
      <c r="M303" t="s">
        <v>172</v>
      </c>
      <c r="N303">
        <v>4.75</v>
      </c>
      <c r="O303">
        <v>4.75</v>
      </c>
      <c r="P303">
        <v>4.6875</v>
      </c>
      <c r="Q303">
        <v>1.1255642492633089</v>
      </c>
      <c r="R303">
        <v>1.1255642492633089</v>
      </c>
      <c r="S303">
        <v>1.1107541933519496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0.11075419335194958</v>
      </c>
      <c r="AA303">
        <v>0</v>
      </c>
      <c r="AB303">
        <v>1.481005591135931E-2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1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0.88844328580488252</v>
      </c>
      <c r="AO303">
        <v>0.88844328580488252</v>
      </c>
      <c r="AP303">
        <v>0.98684210526315785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1.3157894736842146E-2</v>
      </c>
      <c r="BB303">
        <v>0</v>
      </c>
      <c r="BC303">
        <v>0</v>
      </c>
      <c r="BD303">
        <v>0</v>
      </c>
      <c r="BE303">
        <v>0.88844328580488252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1.0133333333333334</v>
      </c>
      <c r="BL303">
        <v>1.0133333333333334</v>
      </c>
      <c r="BM303">
        <v>0.90028919628228099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1.3333333333333419E-2</v>
      </c>
      <c r="BW303">
        <v>0</v>
      </c>
      <c r="BX303">
        <v>0</v>
      </c>
      <c r="BY303">
        <v>0</v>
      </c>
      <c r="BZ303">
        <v>9.971080371771901E-2</v>
      </c>
      <c r="CA303">
        <v>0</v>
      </c>
      <c r="CB303">
        <v>0.90028919628228099</v>
      </c>
      <c r="CC303">
        <v>0</v>
      </c>
      <c r="CD303">
        <v>0</v>
      </c>
      <c r="CE303">
        <v>0</v>
      </c>
      <c r="CF303">
        <v>0</v>
      </c>
      <c r="CG303">
        <v>0</v>
      </c>
    </row>
    <row r="304" spans="1:85" x14ac:dyDescent="0.25">
      <c r="A304" t="s">
        <v>128</v>
      </c>
      <c r="B304" t="s">
        <v>145</v>
      </c>
      <c r="C304" t="s">
        <v>117</v>
      </c>
      <c r="D304" s="12">
        <v>46248</v>
      </c>
      <c r="K304">
        <v>41.072429863762913</v>
      </c>
      <c r="N304">
        <v>37.050000000000004</v>
      </c>
      <c r="O304">
        <v>37.050000000000004</v>
      </c>
      <c r="P304">
        <v>40.47838451557093</v>
      </c>
      <c r="T304">
        <v>7.2144811677517795E-2</v>
      </c>
      <c r="U304">
        <v>0</v>
      </c>
      <c r="V304">
        <v>0.13901112704700233</v>
      </c>
      <c r="W304">
        <v>0</v>
      </c>
      <c r="X304">
        <v>0</v>
      </c>
      <c r="Y304">
        <v>0</v>
      </c>
      <c r="Z304">
        <v>5.4813853691409488E-3</v>
      </c>
      <c r="AA304">
        <v>0</v>
      </c>
      <c r="AB304">
        <v>9.603567622639457E-2</v>
      </c>
      <c r="AC304">
        <v>0.16319490273955123</v>
      </c>
      <c r="AD304">
        <v>4.3186761290077737E-2</v>
      </c>
      <c r="AE304">
        <v>0</v>
      </c>
      <c r="AF304">
        <v>4.8902795975648339E-2</v>
      </c>
      <c r="AG304">
        <v>0</v>
      </c>
      <c r="AH304">
        <v>0.61263398019871662</v>
      </c>
      <c r="AI304">
        <v>0</v>
      </c>
      <c r="AJ304">
        <v>0</v>
      </c>
      <c r="AK304">
        <v>0</v>
      </c>
      <c r="AM304">
        <v>0</v>
      </c>
    </row>
    <row r="305" spans="1:85" x14ac:dyDescent="0.25">
      <c r="A305" t="s">
        <v>128</v>
      </c>
      <c r="B305" t="s">
        <v>145</v>
      </c>
      <c r="C305" t="s">
        <v>72</v>
      </c>
      <c r="D305" s="12">
        <v>46224</v>
      </c>
      <c r="E305" t="s">
        <v>134</v>
      </c>
      <c r="F305" t="s">
        <v>134</v>
      </c>
      <c r="G305" t="s">
        <v>134</v>
      </c>
      <c r="H305" t="s">
        <v>73</v>
      </c>
      <c r="I305">
        <v>20</v>
      </c>
      <c r="K305">
        <v>13.026059308709252</v>
      </c>
      <c r="L305">
        <v>46224</v>
      </c>
      <c r="M305" t="s">
        <v>175</v>
      </c>
      <c r="N305">
        <v>17.099999999999998</v>
      </c>
      <c r="O305">
        <v>17.099999999999998</v>
      </c>
      <c r="P305">
        <v>11.6875</v>
      </c>
      <c r="Q305">
        <v>1.3127531200911162</v>
      </c>
      <c r="R305">
        <v>1.3127531200911162</v>
      </c>
      <c r="S305">
        <v>0.8972398883663697</v>
      </c>
      <c r="T305">
        <v>0</v>
      </c>
      <c r="U305">
        <v>0</v>
      </c>
      <c r="V305">
        <v>6.2753120091116221E-2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0.25</v>
      </c>
      <c r="AC305">
        <v>0</v>
      </c>
      <c r="AD305">
        <v>0</v>
      </c>
      <c r="AE305">
        <v>0</v>
      </c>
      <c r="AF305">
        <v>0.1027601116336303</v>
      </c>
      <c r="AG305">
        <v>0</v>
      </c>
      <c r="AH305">
        <v>0.8972398883663697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0.76175785431048271</v>
      </c>
      <c r="AO305">
        <v>0.76175785431048271</v>
      </c>
      <c r="AP305">
        <v>0.6834795321637428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0.23824214568951729</v>
      </c>
      <c r="BB305">
        <v>0</v>
      </c>
      <c r="BC305">
        <v>7.8278322146739909E-2</v>
      </c>
      <c r="BD305">
        <v>0</v>
      </c>
      <c r="BE305">
        <v>0.6834795321637428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1.4631016042780747</v>
      </c>
      <c r="BL305">
        <v>1.4631016042780747</v>
      </c>
      <c r="BM305">
        <v>1.1145291387130911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0.11452913871309112</v>
      </c>
      <c r="BU305">
        <v>0</v>
      </c>
      <c r="BV305">
        <v>0.34857246556498356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1</v>
      </c>
      <c r="CC305">
        <v>0</v>
      </c>
      <c r="CD305">
        <v>0</v>
      </c>
      <c r="CE305">
        <v>0</v>
      </c>
      <c r="CF305">
        <v>0</v>
      </c>
      <c r="CG305">
        <v>0</v>
      </c>
    </row>
    <row r="306" spans="1:85" x14ac:dyDescent="0.25">
      <c r="A306" t="s">
        <v>128</v>
      </c>
      <c r="B306" t="s">
        <v>145</v>
      </c>
      <c r="C306" t="s">
        <v>72</v>
      </c>
      <c r="D306" s="12">
        <v>46223</v>
      </c>
      <c r="E306" t="s">
        <v>134</v>
      </c>
      <c r="F306" t="s">
        <v>134</v>
      </c>
      <c r="G306" t="s">
        <v>134</v>
      </c>
      <c r="H306" t="s">
        <v>75</v>
      </c>
      <c r="I306">
        <v>20</v>
      </c>
      <c r="K306">
        <v>10.972274579690296</v>
      </c>
      <c r="L306">
        <v>46223</v>
      </c>
      <c r="M306" t="s">
        <v>168</v>
      </c>
      <c r="N306">
        <v>13.3</v>
      </c>
      <c r="O306">
        <v>13.3</v>
      </c>
      <c r="P306">
        <v>10.234375</v>
      </c>
      <c r="Q306">
        <v>1.212146114591256</v>
      </c>
      <c r="R306">
        <v>1.212146114591256</v>
      </c>
      <c r="S306">
        <v>0.93274871364811174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0.21214611459125599</v>
      </c>
      <c r="AC306">
        <v>0</v>
      </c>
      <c r="AD306">
        <v>0</v>
      </c>
      <c r="AE306">
        <v>0</v>
      </c>
      <c r="AF306">
        <v>6.7251286351888262E-2</v>
      </c>
      <c r="AG306">
        <v>0</v>
      </c>
      <c r="AH306">
        <v>0.93274871364811174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0.82498305110453363</v>
      </c>
      <c r="AO306">
        <v>0.82498305110453363</v>
      </c>
      <c r="AP306">
        <v>0.76950187969924821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0.17501694889546637</v>
      </c>
      <c r="BB306">
        <v>0</v>
      </c>
      <c r="BC306">
        <v>5.5481171405285412E-2</v>
      </c>
      <c r="BD306">
        <v>0</v>
      </c>
      <c r="BE306">
        <v>0.76950187969924821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1.2995419847328242</v>
      </c>
      <c r="BL306">
        <v>1.2995419847328242</v>
      </c>
      <c r="BM306">
        <v>1.0721001116033266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7.2100111603326633E-2</v>
      </c>
      <c r="BU306">
        <v>0</v>
      </c>
      <c r="BV306">
        <v>0.2274418731294976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1</v>
      </c>
      <c r="CC306">
        <v>0</v>
      </c>
      <c r="CD306">
        <v>0</v>
      </c>
      <c r="CE306">
        <v>0</v>
      </c>
      <c r="CF306">
        <v>0</v>
      </c>
      <c r="CG306">
        <v>0</v>
      </c>
    </row>
    <row r="307" spans="1:85" x14ac:dyDescent="0.25">
      <c r="A307" t="s">
        <v>128</v>
      </c>
      <c r="B307" t="s">
        <v>145</v>
      </c>
      <c r="C307" t="s">
        <v>117</v>
      </c>
      <c r="D307" s="12">
        <v>46249</v>
      </c>
      <c r="K307">
        <v>41.946222842490528</v>
      </c>
      <c r="N307">
        <v>28.5</v>
      </c>
      <c r="O307">
        <v>28.5</v>
      </c>
      <c r="P307">
        <v>44.06812283737024</v>
      </c>
      <c r="T307">
        <v>6.9204480744603405E-2</v>
      </c>
      <c r="U307">
        <v>0</v>
      </c>
      <c r="V307">
        <v>1.1069451561136314E-2</v>
      </c>
      <c r="W307">
        <v>0</v>
      </c>
      <c r="X307">
        <v>0</v>
      </c>
      <c r="Y307">
        <v>0</v>
      </c>
      <c r="Z307">
        <v>1.6422259056686296E-2</v>
      </c>
      <c r="AA307">
        <v>0</v>
      </c>
      <c r="AB307">
        <v>6.194069792240095E-2</v>
      </c>
      <c r="AC307">
        <v>0.21208465052077721</v>
      </c>
      <c r="AD307">
        <v>3.5040540351400862E-2</v>
      </c>
      <c r="AE307">
        <v>0</v>
      </c>
      <c r="AF307">
        <v>0</v>
      </c>
      <c r="AG307">
        <v>0</v>
      </c>
      <c r="AH307">
        <v>0.59000898257187862</v>
      </c>
      <c r="AI307">
        <v>0</v>
      </c>
      <c r="AJ307">
        <v>0</v>
      </c>
      <c r="AK307">
        <v>0</v>
      </c>
      <c r="AM307">
        <v>0</v>
      </c>
    </row>
    <row r="308" spans="1:85" x14ac:dyDescent="0.25">
      <c r="A308" t="s">
        <v>128</v>
      </c>
      <c r="B308" t="s">
        <v>145</v>
      </c>
      <c r="C308" t="s">
        <v>72</v>
      </c>
      <c r="D308" s="12">
        <v>46223</v>
      </c>
      <c r="E308" t="s">
        <v>134</v>
      </c>
      <c r="F308" t="s">
        <v>134</v>
      </c>
      <c r="G308" t="s">
        <v>134</v>
      </c>
      <c r="H308" t="s">
        <v>74</v>
      </c>
      <c r="I308">
        <v>20</v>
      </c>
      <c r="K308">
        <v>4.220105607573192</v>
      </c>
      <c r="L308">
        <v>46223</v>
      </c>
      <c r="M308" t="s">
        <v>160</v>
      </c>
      <c r="N308">
        <v>4.75</v>
      </c>
      <c r="O308">
        <v>4.75</v>
      </c>
      <c r="P308">
        <v>4.6875</v>
      </c>
      <c r="Q308">
        <v>1.1255642492633089</v>
      </c>
      <c r="R308">
        <v>1.1255642492633089</v>
      </c>
      <c r="S308">
        <v>1.1107541933519496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0.11075419335194958</v>
      </c>
      <c r="AA308">
        <v>0</v>
      </c>
      <c r="AB308">
        <v>1.481005591135931E-2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0.88844328580488252</v>
      </c>
      <c r="AO308">
        <v>0.88844328580488252</v>
      </c>
      <c r="AP308">
        <v>0.98684210526315785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1.3157894736842146E-2</v>
      </c>
      <c r="BB308">
        <v>0</v>
      </c>
      <c r="BC308">
        <v>0</v>
      </c>
      <c r="BD308">
        <v>0</v>
      </c>
      <c r="BE308">
        <v>0.88844328580488252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1.0133333333333334</v>
      </c>
      <c r="BL308">
        <v>1.0133333333333334</v>
      </c>
      <c r="BM308">
        <v>0.90028919628228099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1.3333333333333419E-2</v>
      </c>
      <c r="BW308">
        <v>0</v>
      </c>
      <c r="BX308">
        <v>0</v>
      </c>
      <c r="BY308">
        <v>0</v>
      </c>
      <c r="BZ308">
        <v>9.971080371771901E-2</v>
      </c>
      <c r="CA308">
        <v>0</v>
      </c>
      <c r="CB308">
        <v>0.90028919628228099</v>
      </c>
      <c r="CC308">
        <v>0</v>
      </c>
      <c r="CD308">
        <v>0</v>
      </c>
      <c r="CE308">
        <v>0</v>
      </c>
      <c r="CF308">
        <v>0</v>
      </c>
      <c r="CG308">
        <v>0</v>
      </c>
    </row>
    <row r="309" spans="1:85" x14ac:dyDescent="0.25">
      <c r="A309" t="s">
        <v>128</v>
      </c>
      <c r="B309" t="s">
        <v>145</v>
      </c>
      <c r="C309" t="s">
        <v>117</v>
      </c>
      <c r="D309" s="12">
        <v>46242</v>
      </c>
      <c r="K309">
        <v>40.032120530081052</v>
      </c>
      <c r="N309">
        <v>29.45</v>
      </c>
      <c r="O309">
        <v>29.45</v>
      </c>
      <c r="P309">
        <v>43.453935986159166</v>
      </c>
      <c r="T309">
        <v>9.6302394528714849E-2</v>
      </c>
      <c r="U309">
        <v>0</v>
      </c>
      <c r="V309">
        <v>3.5329671853501304E-2</v>
      </c>
      <c r="W309">
        <v>0</v>
      </c>
      <c r="X309">
        <v>0</v>
      </c>
      <c r="Y309">
        <v>0</v>
      </c>
      <c r="Z309">
        <v>5.6238293937271476E-3</v>
      </c>
      <c r="AA309">
        <v>0</v>
      </c>
      <c r="AB309">
        <v>6.3249256196198311E-2</v>
      </c>
      <c r="AC309">
        <v>0.12311462124796124</v>
      </c>
      <c r="AD309">
        <v>1.6449476481424197E-2</v>
      </c>
      <c r="AE309">
        <v>0</v>
      </c>
      <c r="AF309">
        <v>0</v>
      </c>
      <c r="AG309">
        <v>0</v>
      </c>
      <c r="AH309">
        <v>0.63145649842513496</v>
      </c>
      <c r="AI309">
        <v>0</v>
      </c>
      <c r="AJ309">
        <v>0</v>
      </c>
      <c r="AK309">
        <v>0</v>
      </c>
      <c r="AM309">
        <v>0</v>
      </c>
    </row>
    <row r="310" spans="1:85" x14ac:dyDescent="0.25">
      <c r="A310" t="s">
        <v>128</v>
      </c>
      <c r="B310" t="s">
        <v>145</v>
      </c>
      <c r="C310" t="s">
        <v>72</v>
      </c>
      <c r="D310" s="12">
        <v>46228</v>
      </c>
      <c r="E310" t="s">
        <v>134</v>
      </c>
      <c r="F310" t="s">
        <v>134</v>
      </c>
      <c r="G310" t="s">
        <v>134</v>
      </c>
      <c r="H310" t="s">
        <v>73</v>
      </c>
      <c r="I310">
        <v>20</v>
      </c>
      <c r="K310">
        <v>11.028542654457938</v>
      </c>
      <c r="L310">
        <v>46228</v>
      </c>
      <c r="M310" t="s">
        <v>226</v>
      </c>
      <c r="N310">
        <v>15.2</v>
      </c>
      <c r="O310">
        <v>15.2</v>
      </c>
      <c r="P310">
        <v>11.253676470588236</v>
      </c>
      <c r="Q310">
        <v>1.3782419378734398</v>
      </c>
      <c r="R310">
        <v>1.3782419378734398</v>
      </c>
      <c r="S310">
        <v>1.0204137412515963</v>
      </c>
      <c r="T310">
        <v>0</v>
      </c>
      <c r="U310">
        <v>0</v>
      </c>
      <c r="V310">
        <v>0.12824193787343985</v>
      </c>
      <c r="W310">
        <v>0</v>
      </c>
      <c r="X310">
        <v>0</v>
      </c>
      <c r="Y310">
        <v>0</v>
      </c>
      <c r="Z310">
        <v>2.041374125159634E-2</v>
      </c>
      <c r="AA310">
        <v>0</v>
      </c>
      <c r="AB310">
        <v>0.22958625874840366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0.7255620167406539</v>
      </c>
      <c r="AO310">
        <v>0.7255620167406539</v>
      </c>
      <c r="AP310">
        <v>0.74037345201238391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0.25962654798761609</v>
      </c>
      <c r="BB310">
        <v>0</v>
      </c>
      <c r="BC310">
        <v>0</v>
      </c>
      <c r="BD310">
        <v>0</v>
      </c>
      <c r="BE310">
        <v>0.7255620167406539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1.350669715779157</v>
      </c>
      <c r="BL310">
        <v>1.350669715779157</v>
      </c>
      <c r="BM310">
        <v>0.97999464293125094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0.35066971577915695</v>
      </c>
      <c r="BW310">
        <v>0</v>
      </c>
      <c r="BX310">
        <v>0</v>
      </c>
      <c r="BY310">
        <v>0</v>
      </c>
      <c r="BZ310">
        <v>2.0005357068749063E-2</v>
      </c>
      <c r="CA310">
        <v>0</v>
      </c>
      <c r="CB310">
        <v>0.97999464293125094</v>
      </c>
      <c r="CC310">
        <v>0</v>
      </c>
      <c r="CD310">
        <v>0</v>
      </c>
      <c r="CE310">
        <v>0</v>
      </c>
      <c r="CF310">
        <v>0</v>
      </c>
      <c r="CG310">
        <v>0</v>
      </c>
    </row>
    <row r="311" spans="1:85" x14ac:dyDescent="0.25">
      <c r="A311" t="s">
        <v>128</v>
      </c>
      <c r="B311" t="s">
        <v>145</v>
      </c>
      <c r="C311" t="s">
        <v>72</v>
      </c>
      <c r="D311" s="12">
        <v>46228</v>
      </c>
      <c r="E311" t="s">
        <v>134</v>
      </c>
      <c r="F311" t="s">
        <v>134</v>
      </c>
      <c r="G311" t="s">
        <v>134</v>
      </c>
      <c r="H311" t="s">
        <v>74</v>
      </c>
      <c r="I311">
        <v>20</v>
      </c>
      <c r="K311">
        <v>4.220105607573192</v>
      </c>
      <c r="L311">
        <v>46228</v>
      </c>
      <c r="M311" t="s">
        <v>225</v>
      </c>
      <c r="N311">
        <v>4.75</v>
      </c>
      <c r="O311">
        <v>4.75</v>
      </c>
      <c r="P311">
        <v>4.6875</v>
      </c>
      <c r="Q311">
        <v>1.1255642492633089</v>
      </c>
      <c r="R311">
        <v>1.1255642492633089</v>
      </c>
      <c r="S311">
        <v>1.1107541933519496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0.11075419335194958</v>
      </c>
      <c r="AA311">
        <v>0</v>
      </c>
      <c r="AB311">
        <v>1.481005591135931E-2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0.88844328580488252</v>
      </c>
      <c r="AO311">
        <v>0.88844328580488252</v>
      </c>
      <c r="AP311">
        <v>0.98684210526315785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1.3157894736842146E-2</v>
      </c>
      <c r="BB311">
        <v>0</v>
      </c>
      <c r="BC311">
        <v>0</v>
      </c>
      <c r="BD311">
        <v>0</v>
      </c>
      <c r="BE311">
        <v>0.88844328580488252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1.0133333333333334</v>
      </c>
      <c r="BL311">
        <v>1.0133333333333334</v>
      </c>
      <c r="BM311">
        <v>0.90028919628228099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1.3333333333333419E-2</v>
      </c>
      <c r="BW311">
        <v>0</v>
      </c>
      <c r="BX311">
        <v>0</v>
      </c>
      <c r="BY311">
        <v>0</v>
      </c>
      <c r="BZ311">
        <v>9.971080371771901E-2</v>
      </c>
      <c r="CA311">
        <v>0</v>
      </c>
      <c r="CB311">
        <v>0.90028919628228099</v>
      </c>
      <c r="CC311">
        <v>0</v>
      </c>
      <c r="CD311">
        <v>0</v>
      </c>
      <c r="CE311">
        <v>0</v>
      </c>
      <c r="CF311">
        <v>0</v>
      </c>
      <c r="CG311">
        <v>0</v>
      </c>
    </row>
    <row r="312" spans="1:85" x14ac:dyDescent="0.25">
      <c r="A312" t="s">
        <v>128</v>
      </c>
      <c r="B312" t="s">
        <v>145</v>
      </c>
      <c r="C312" t="s">
        <v>72</v>
      </c>
      <c r="D312" s="12">
        <v>46228</v>
      </c>
      <c r="E312" t="s">
        <v>134</v>
      </c>
      <c r="F312" t="s">
        <v>134</v>
      </c>
      <c r="G312" t="s">
        <v>134</v>
      </c>
      <c r="H312" t="s">
        <v>75</v>
      </c>
      <c r="I312">
        <v>20</v>
      </c>
      <c r="K312">
        <v>10.972274579690296</v>
      </c>
      <c r="L312">
        <v>46228</v>
      </c>
      <c r="M312" t="s">
        <v>224</v>
      </c>
      <c r="N312">
        <v>10.45</v>
      </c>
      <c r="O312">
        <v>10.45</v>
      </c>
      <c r="P312">
        <v>11.308823529411764</v>
      </c>
      <c r="Q312">
        <v>0.95240051860741537</v>
      </c>
      <c r="R312">
        <v>0.95240051860741537</v>
      </c>
      <c r="S312">
        <v>1.0306726693063644</v>
      </c>
      <c r="T312">
        <v>3.0672669306364364E-2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4.7599481392584631E-2</v>
      </c>
      <c r="AD312">
        <v>0</v>
      </c>
      <c r="AE312">
        <v>0</v>
      </c>
      <c r="AF312">
        <v>0</v>
      </c>
      <c r="AG312">
        <v>0</v>
      </c>
      <c r="AH312">
        <v>0.95240051860741537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1.0499784286784972</v>
      </c>
      <c r="AO312">
        <v>1.0499784286784972</v>
      </c>
      <c r="AP312">
        <v>1.082184069800169</v>
      </c>
      <c r="AQ312">
        <v>3.2205641121671791E-2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4.9978428678497222E-2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1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0.92405721716514955</v>
      </c>
      <c r="BL312">
        <v>0.92405721716514955</v>
      </c>
      <c r="BM312">
        <v>0.97024014488808863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</v>
      </c>
      <c r="BW312">
        <v>0</v>
      </c>
      <c r="BX312">
        <v>2.9759855111911371E-2</v>
      </c>
      <c r="BY312">
        <v>0</v>
      </c>
      <c r="BZ312">
        <v>0</v>
      </c>
      <c r="CA312">
        <v>0</v>
      </c>
      <c r="CB312">
        <v>0.92405721716514955</v>
      </c>
      <c r="CC312">
        <v>0</v>
      </c>
      <c r="CD312">
        <v>0</v>
      </c>
      <c r="CE312">
        <v>0</v>
      </c>
      <c r="CF312">
        <v>0</v>
      </c>
      <c r="CG312">
        <v>0</v>
      </c>
    </row>
    <row r="313" spans="1:85" x14ac:dyDescent="0.25">
      <c r="A313" t="s">
        <v>128</v>
      </c>
      <c r="B313" t="s">
        <v>145</v>
      </c>
      <c r="C313" t="s">
        <v>117</v>
      </c>
      <c r="D313" s="12">
        <v>46234</v>
      </c>
      <c r="K313">
        <v>41.07242986376292</v>
      </c>
      <c r="N313">
        <v>41.800000000000004</v>
      </c>
      <c r="O313">
        <v>41.800000000000004</v>
      </c>
      <c r="P313">
        <v>43.728168252595147</v>
      </c>
      <c r="T313">
        <v>7.5146611705124378E-2</v>
      </c>
      <c r="U313">
        <v>0</v>
      </c>
      <c r="V313">
        <v>0.12965832903055446</v>
      </c>
      <c r="W313">
        <v>0</v>
      </c>
      <c r="X313">
        <v>0</v>
      </c>
      <c r="Y313">
        <v>0</v>
      </c>
      <c r="Z313">
        <v>3.2700029646622671E-2</v>
      </c>
      <c r="AA313">
        <v>0</v>
      </c>
      <c r="AB313">
        <v>5.6809669016557734E-2</v>
      </c>
      <c r="AC313">
        <v>9.7691781971502412E-2</v>
      </c>
      <c r="AD313">
        <v>2.6398807397145903E-2</v>
      </c>
      <c r="AE313">
        <v>0</v>
      </c>
      <c r="AF313">
        <v>1.6787953892931862E-2</v>
      </c>
      <c r="AG313">
        <v>0</v>
      </c>
      <c r="AH313">
        <v>0.78175833769394132</v>
      </c>
      <c r="AI313">
        <v>0</v>
      </c>
      <c r="AJ313">
        <v>0</v>
      </c>
      <c r="AK313">
        <v>0</v>
      </c>
      <c r="AM313">
        <v>0</v>
      </c>
    </row>
    <row r="314" spans="1:85" x14ac:dyDescent="0.25">
      <c r="A314" t="s">
        <v>128</v>
      </c>
      <c r="B314" t="s">
        <v>145</v>
      </c>
      <c r="C314" t="s">
        <v>72</v>
      </c>
      <c r="D314" s="12">
        <v>46233</v>
      </c>
      <c r="E314" t="s">
        <v>134</v>
      </c>
      <c r="F314" t="s">
        <v>134</v>
      </c>
      <c r="G314" t="s">
        <v>134</v>
      </c>
      <c r="H314" t="s">
        <v>74</v>
      </c>
      <c r="I314">
        <v>20</v>
      </c>
      <c r="K314">
        <v>4.220105607573192</v>
      </c>
      <c r="L314">
        <v>46233</v>
      </c>
      <c r="M314" t="s">
        <v>237</v>
      </c>
      <c r="N314">
        <v>4.75</v>
      </c>
      <c r="O314">
        <v>4.75</v>
      </c>
      <c r="P314">
        <v>4.6875</v>
      </c>
      <c r="Q314">
        <v>1.1255642492633089</v>
      </c>
      <c r="R314">
        <v>1.1255642492633089</v>
      </c>
      <c r="S314">
        <v>1.1107541933519496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0.11075419335194958</v>
      </c>
      <c r="AA314">
        <v>0</v>
      </c>
      <c r="AB314">
        <v>1.481005591135931E-2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1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0.88844328580488252</v>
      </c>
      <c r="AO314">
        <v>0.88844328580488252</v>
      </c>
      <c r="AP314">
        <v>0.98684210526315785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1.3157894736842146E-2</v>
      </c>
      <c r="BB314">
        <v>0</v>
      </c>
      <c r="BC314">
        <v>0</v>
      </c>
      <c r="BD314">
        <v>0</v>
      </c>
      <c r="BE314">
        <v>0.88844328580488252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1.0133333333333334</v>
      </c>
      <c r="BL314">
        <v>1.0133333333333334</v>
      </c>
      <c r="BM314">
        <v>0.90028919628228099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1.3333333333333419E-2</v>
      </c>
      <c r="BW314">
        <v>0</v>
      </c>
      <c r="BX314">
        <v>0</v>
      </c>
      <c r="BY314">
        <v>0</v>
      </c>
      <c r="BZ314">
        <v>9.971080371771901E-2</v>
      </c>
      <c r="CA314">
        <v>0</v>
      </c>
      <c r="CB314">
        <v>0.90028919628228099</v>
      </c>
      <c r="CC314">
        <v>0</v>
      </c>
      <c r="CD314">
        <v>0</v>
      </c>
      <c r="CE314">
        <v>0</v>
      </c>
      <c r="CF314">
        <v>0</v>
      </c>
      <c r="CG314">
        <v>0</v>
      </c>
    </row>
    <row r="315" spans="1:85" x14ac:dyDescent="0.25">
      <c r="A315" t="s">
        <v>128</v>
      </c>
      <c r="B315" t="s">
        <v>145</v>
      </c>
      <c r="C315" t="s">
        <v>72</v>
      </c>
      <c r="D315" s="12">
        <v>46233</v>
      </c>
      <c r="E315" t="s">
        <v>134</v>
      </c>
      <c r="F315" t="s">
        <v>134</v>
      </c>
      <c r="G315" t="s">
        <v>134</v>
      </c>
      <c r="H315" t="s">
        <v>73</v>
      </c>
      <c r="I315">
        <v>20</v>
      </c>
      <c r="K315">
        <v>10.887872467538834</v>
      </c>
      <c r="L315">
        <v>46233</v>
      </c>
      <c r="M315" t="s">
        <v>238</v>
      </c>
      <c r="N315">
        <v>18.05</v>
      </c>
      <c r="O315">
        <v>18.05</v>
      </c>
      <c r="P315">
        <v>11.15625</v>
      </c>
      <c r="Q315">
        <v>1.6578078089924708</v>
      </c>
      <c r="R315">
        <v>1.6578078089924708</v>
      </c>
      <c r="S315">
        <v>1.0246492171231163</v>
      </c>
      <c r="T315">
        <v>0</v>
      </c>
      <c r="U315">
        <v>0</v>
      </c>
      <c r="V315">
        <v>0.40780780899247082</v>
      </c>
      <c r="W315">
        <v>0</v>
      </c>
      <c r="X315">
        <v>0</v>
      </c>
      <c r="Y315">
        <v>0</v>
      </c>
      <c r="Z315">
        <v>2.4649217123116296E-2</v>
      </c>
      <c r="AA315">
        <v>0</v>
      </c>
      <c r="AB315">
        <v>0.2253507828768837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1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0.60320623088857805</v>
      </c>
      <c r="AO315">
        <v>0.60320623088857805</v>
      </c>
      <c r="AP315">
        <v>0.61807479224376727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0.38192520775623273</v>
      </c>
      <c r="BB315">
        <v>0</v>
      </c>
      <c r="BC315">
        <v>0</v>
      </c>
      <c r="BD315">
        <v>0</v>
      </c>
      <c r="BE315">
        <v>0.60320623088857805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1.6179271708683474</v>
      </c>
      <c r="BL315">
        <v>1.6179271708683474</v>
      </c>
      <c r="BM315">
        <v>0.97594375059171623</v>
      </c>
      <c r="CD315">
        <v>0</v>
      </c>
      <c r="CE315">
        <v>0</v>
      </c>
      <c r="CF315">
        <v>0</v>
      </c>
    </row>
    <row r="316" spans="1:85" x14ac:dyDescent="0.25">
      <c r="A316" t="s">
        <v>128</v>
      </c>
      <c r="B316" t="s">
        <v>145</v>
      </c>
      <c r="C316" t="s">
        <v>117</v>
      </c>
      <c r="D316" s="12">
        <v>46235</v>
      </c>
      <c r="K316">
        <v>41.946222842490535</v>
      </c>
      <c r="N316">
        <v>35.15</v>
      </c>
      <c r="O316">
        <v>35.15</v>
      </c>
      <c r="P316">
        <v>42.998486159169545</v>
      </c>
      <c r="T316">
        <v>4.6684296227684385E-2</v>
      </c>
      <c r="U316">
        <v>0</v>
      </c>
      <c r="V316">
        <v>5.6365544301943071E-2</v>
      </c>
      <c r="W316">
        <v>0</v>
      </c>
      <c r="X316">
        <v>0</v>
      </c>
      <c r="Y316">
        <v>0</v>
      </c>
      <c r="Z316">
        <v>1.3442252955317386E-2</v>
      </c>
      <c r="AA316">
        <v>0</v>
      </c>
      <c r="AB316">
        <v>6.4920704023769857E-2</v>
      </c>
      <c r="AC316">
        <v>0.10901149830872463</v>
      </c>
      <c r="AD316">
        <v>2.4873460711436438E-2</v>
      </c>
      <c r="AE316">
        <v>0</v>
      </c>
      <c r="AF316">
        <v>1.016707963996439E-2</v>
      </c>
      <c r="AG316">
        <v>0</v>
      </c>
      <c r="AH316">
        <v>0.69308213478393099</v>
      </c>
      <c r="AI316">
        <v>0</v>
      </c>
      <c r="AJ316">
        <v>0</v>
      </c>
      <c r="AK316">
        <v>0</v>
      </c>
      <c r="AM316">
        <v>0</v>
      </c>
    </row>
    <row r="317" spans="1:85" x14ac:dyDescent="0.25">
      <c r="A317" t="s">
        <v>128</v>
      </c>
      <c r="B317" t="s">
        <v>145</v>
      </c>
      <c r="C317" t="s">
        <v>72</v>
      </c>
      <c r="D317" s="12">
        <v>46232</v>
      </c>
      <c r="E317" t="s">
        <v>134</v>
      </c>
      <c r="F317" t="s">
        <v>134</v>
      </c>
      <c r="G317" t="s">
        <v>134</v>
      </c>
      <c r="H317" t="s">
        <v>75</v>
      </c>
      <c r="I317">
        <v>20</v>
      </c>
      <c r="K317">
        <v>10.80347035538737</v>
      </c>
      <c r="L317">
        <v>46232</v>
      </c>
      <c r="M317" t="s">
        <v>239</v>
      </c>
      <c r="N317">
        <v>10.45</v>
      </c>
      <c r="O317">
        <v>10.45</v>
      </c>
      <c r="P317">
        <v>11.253676470588236</v>
      </c>
      <c r="Q317">
        <v>0.96728177671065618</v>
      </c>
      <c r="R317">
        <v>0.96728177671065618</v>
      </c>
      <c r="S317">
        <v>1.0416723608610043</v>
      </c>
      <c r="T317">
        <v>4.1672360861004343E-2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3.2718223289343817E-2</v>
      </c>
      <c r="AD317">
        <v>0</v>
      </c>
      <c r="AE317">
        <v>0</v>
      </c>
      <c r="AF317">
        <v>0</v>
      </c>
      <c r="AG317">
        <v>0</v>
      </c>
      <c r="AH317">
        <v>0.96728177671065618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1.033824914391136</v>
      </c>
      <c r="AO317">
        <v>1.033824914391136</v>
      </c>
      <c r="AP317">
        <v>1.0769068392907404</v>
      </c>
      <c r="AQ317">
        <v>4.3081924899604385E-2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3.3824914391135996E-2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1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0.92858542959817048</v>
      </c>
      <c r="BL317">
        <v>0.92858542959817048</v>
      </c>
      <c r="BM317">
        <v>0.95999475225918474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4.0005247740815264E-2</v>
      </c>
      <c r="BY317">
        <v>0</v>
      </c>
      <c r="BZ317">
        <v>0</v>
      </c>
      <c r="CA317">
        <v>0</v>
      </c>
      <c r="CB317">
        <v>0.92858542959817048</v>
      </c>
      <c r="CC317">
        <v>0</v>
      </c>
      <c r="CD317">
        <v>0</v>
      </c>
      <c r="CE317">
        <v>0</v>
      </c>
      <c r="CF317">
        <v>0</v>
      </c>
      <c r="CG317">
        <v>0</v>
      </c>
    </row>
    <row r="318" spans="1:85" x14ac:dyDescent="0.25">
      <c r="A318" t="s">
        <v>128</v>
      </c>
      <c r="B318" t="s">
        <v>145</v>
      </c>
      <c r="C318" t="s">
        <v>72</v>
      </c>
      <c r="D318" s="12">
        <v>46232</v>
      </c>
      <c r="E318" t="s">
        <v>134</v>
      </c>
      <c r="F318" t="s">
        <v>134</v>
      </c>
      <c r="G318" t="s">
        <v>134</v>
      </c>
      <c r="H318" t="s">
        <v>74</v>
      </c>
      <c r="I318">
        <v>20</v>
      </c>
      <c r="K318">
        <v>4.220105607573192</v>
      </c>
      <c r="L318">
        <v>46232</v>
      </c>
      <c r="M318" t="s">
        <v>240</v>
      </c>
      <c r="N318">
        <v>3.8</v>
      </c>
      <c r="O318">
        <v>3.8</v>
      </c>
      <c r="P318">
        <v>4.6875</v>
      </c>
      <c r="Q318">
        <v>0.90045139941064711</v>
      </c>
      <c r="R318">
        <v>0.90045139941064711</v>
      </c>
      <c r="S318">
        <v>1.1107541933519496</v>
      </c>
      <c r="T318">
        <v>0.11075419335194958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9.9548600589352887E-2</v>
      </c>
      <c r="AD318">
        <v>0</v>
      </c>
      <c r="AE318">
        <v>0</v>
      </c>
      <c r="AF318">
        <v>0</v>
      </c>
      <c r="AG318">
        <v>0</v>
      </c>
      <c r="AH318">
        <v>0.90045139941064711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1.1105541072561032</v>
      </c>
      <c r="AO318">
        <v>1.1105541072561032</v>
      </c>
      <c r="AP318">
        <v>1.2335526315789473</v>
      </c>
      <c r="AQ318">
        <v>0.12299852432284419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0.11055410725610315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1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0.81066666666666665</v>
      </c>
      <c r="BL318">
        <v>0.81066666666666665</v>
      </c>
      <c r="BM318">
        <v>0.90028919628228099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9.971080371771901E-2</v>
      </c>
      <c r="BY318">
        <v>0</v>
      </c>
      <c r="BZ318">
        <v>0</v>
      </c>
      <c r="CA318">
        <v>0</v>
      </c>
      <c r="CB318">
        <v>0.81066666666666665</v>
      </c>
      <c r="CC318">
        <v>0</v>
      </c>
      <c r="CD318">
        <v>0</v>
      </c>
      <c r="CE318">
        <v>0</v>
      </c>
      <c r="CF318">
        <v>0</v>
      </c>
      <c r="CG318">
        <v>0</v>
      </c>
    </row>
    <row r="319" spans="1:85" x14ac:dyDescent="0.25">
      <c r="A319" t="s">
        <v>128</v>
      </c>
      <c r="B319" t="s">
        <v>145</v>
      </c>
      <c r="C319" t="s">
        <v>72</v>
      </c>
      <c r="D319" s="12">
        <v>46232</v>
      </c>
      <c r="E319" t="s">
        <v>134</v>
      </c>
      <c r="F319" t="s">
        <v>134</v>
      </c>
      <c r="G319" t="s">
        <v>134</v>
      </c>
      <c r="H319" t="s">
        <v>73</v>
      </c>
      <c r="I319">
        <v>20</v>
      </c>
      <c r="K319">
        <v>12.57591471056811</v>
      </c>
      <c r="L319">
        <v>46232</v>
      </c>
      <c r="M319" t="s">
        <v>241</v>
      </c>
      <c r="N319">
        <v>18.05</v>
      </c>
      <c r="O319">
        <v>18.05</v>
      </c>
      <c r="P319">
        <v>12.652573529411764</v>
      </c>
      <c r="Q319">
        <v>1.4352832708726762</v>
      </c>
      <c r="R319">
        <v>1.4352832708726762</v>
      </c>
      <c r="S319">
        <v>1.0060956853324741</v>
      </c>
      <c r="T319">
        <v>0</v>
      </c>
      <c r="U319">
        <v>0</v>
      </c>
      <c r="V319">
        <v>0.18528327087267615</v>
      </c>
      <c r="W319">
        <v>0</v>
      </c>
      <c r="X319">
        <v>0</v>
      </c>
      <c r="Y319">
        <v>0</v>
      </c>
      <c r="Z319">
        <v>6.0956853324740656E-3</v>
      </c>
      <c r="AA319">
        <v>0</v>
      </c>
      <c r="AB319">
        <v>0.24390431466752593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1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0.69672657676277616</v>
      </c>
      <c r="AO319">
        <v>0.69672657676277616</v>
      </c>
      <c r="AP319">
        <v>0.70097360273749387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0.29902639726250613</v>
      </c>
      <c r="BB319">
        <v>0</v>
      </c>
      <c r="BC319">
        <v>0</v>
      </c>
      <c r="BD319">
        <v>0</v>
      </c>
      <c r="BE319">
        <v>0.69672657676277616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1.426587243934331</v>
      </c>
      <c r="BL319">
        <v>1.426587243934331</v>
      </c>
      <c r="BM319">
        <v>0.99394124691981001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0.42658724393433101</v>
      </c>
      <c r="BW319">
        <v>0</v>
      </c>
      <c r="BX319">
        <v>0</v>
      </c>
      <c r="BY319">
        <v>0</v>
      </c>
      <c r="BZ319">
        <v>6.0587530801899936E-3</v>
      </c>
      <c r="CA319">
        <v>0</v>
      </c>
      <c r="CB319">
        <v>0.99394124691981001</v>
      </c>
      <c r="CC319">
        <v>0</v>
      </c>
      <c r="CD319">
        <v>0</v>
      </c>
      <c r="CE319">
        <v>0</v>
      </c>
      <c r="CF319">
        <v>0</v>
      </c>
      <c r="CG319">
        <v>0</v>
      </c>
    </row>
    <row r="320" spans="1:85" x14ac:dyDescent="0.25">
      <c r="A320" t="s">
        <v>128</v>
      </c>
      <c r="B320" t="s">
        <v>145</v>
      </c>
      <c r="C320" t="s">
        <v>117</v>
      </c>
      <c r="D320" s="12">
        <v>46236</v>
      </c>
      <c r="K320">
        <v>40.046084309064085</v>
      </c>
      <c r="N320">
        <v>41.800000000000004</v>
      </c>
      <c r="O320">
        <v>41.800000000000004</v>
      </c>
      <c r="P320">
        <v>41.633650519031136</v>
      </c>
      <c r="T320">
        <v>5.0302846338677452E-2</v>
      </c>
      <c r="U320">
        <v>0</v>
      </c>
      <c r="V320">
        <v>0.14938399577711287</v>
      </c>
      <c r="W320">
        <v>0</v>
      </c>
      <c r="X320">
        <v>0</v>
      </c>
      <c r="Y320">
        <v>0</v>
      </c>
      <c r="Z320">
        <v>1.8606558558532049E-2</v>
      </c>
      <c r="AA320">
        <v>0</v>
      </c>
      <c r="AB320">
        <v>9.8597189650993344E-2</v>
      </c>
      <c r="AC320">
        <v>0.13017629143836471</v>
      </c>
      <c r="AD320">
        <v>1.3268152597321297E-2</v>
      </c>
      <c r="AE320">
        <v>0</v>
      </c>
      <c r="AF320">
        <v>1.5997770612273407E-2</v>
      </c>
      <c r="AG320">
        <v>0</v>
      </c>
      <c r="AH320">
        <v>0.76121191831362234</v>
      </c>
      <c r="AI320">
        <v>0</v>
      </c>
      <c r="AJ320">
        <v>0</v>
      </c>
      <c r="AK320">
        <v>0</v>
      </c>
      <c r="AM320">
        <v>0</v>
      </c>
    </row>
    <row r="321" spans="1:85" x14ac:dyDescent="0.25">
      <c r="A321" t="s">
        <v>128</v>
      </c>
      <c r="B321" t="s">
        <v>145</v>
      </c>
      <c r="C321" t="s">
        <v>72</v>
      </c>
      <c r="D321" s="12">
        <v>46231</v>
      </c>
      <c r="E321" t="s">
        <v>134</v>
      </c>
      <c r="F321" t="s">
        <v>134</v>
      </c>
      <c r="G321" t="s">
        <v>134</v>
      </c>
      <c r="H321" t="s">
        <v>75</v>
      </c>
      <c r="I321">
        <v>20</v>
      </c>
      <c r="K321">
        <v>10.972274579690296</v>
      </c>
      <c r="L321">
        <v>46231</v>
      </c>
      <c r="M321" t="s">
        <v>234</v>
      </c>
      <c r="N321">
        <v>10.45</v>
      </c>
      <c r="O321">
        <v>10.45</v>
      </c>
      <c r="P321">
        <v>11.262499999999999</v>
      </c>
      <c r="Q321">
        <v>0.95240051860741537</v>
      </c>
      <c r="R321">
        <v>0.95240051860741537</v>
      </c>
      <c r="S321">
        <v>1.0264507981642121</v>
      </c>
      <c r="T321">
        <v>2.6450798164212141E-2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4.7599481392584631E-2</v>
      </c>
      <c r="AD321">
        <v>0</v>
      </c>
      <c r="AE321">
        <v>0</v>
      </c>
      <c r="AF321">
        <v>0</v>
      </c>
      <c r="AG321">
        <v>0</v>
      </c>
      <c r="AH321">
        <v>0.95240051860741537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1.0499784286784972</v>
      </c>
      <c r="AO321">
        <v>1.0499784286784972</v>
      </c>
      <c r="AP321">
        <v>1.0777511961722488</v>
      </c>
      <c r="AQ321">
        <v>2.7772767493751571E-2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4.9978428678497222E-2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1</v>
      </c>
      <c r="BF321">
        <v>0</v>
      </c>
      <c r="BG321">
        <v>0</v>
      </c>
      <c r="BH321">
        <v>0</v>
      </c>
      <c r="BI321">
        <v>0</v>
      </c>
      <c r="BJ321">
        <v>0</v>
      </c>
      <c r="BK321">
        <v>0.92785793562708097</v>
      </c>
      <c r="BL321">
        <v>0.92785793562708097</v>
      </c>
      <c r="BM321">
        <v>0.97423081728659688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</v>
      </c>
      <c r="BW321">
        <v>0</v>
      </c>
      <c r="BX321">
        <v>2.5769182713403116E-2</v>
      </c>
      <c r="BY321">
        <v>0</v>
      </c>
      <c r="BZ321">
        <v>0</v>
      </c>
      <c r="CA321">
        <v>0</v>
      </c>
      <c r="CB321">
        <v>0.92785793562708097</v>
      </c>
      <c r="CC321">
        <v>0</v>
      </c>
      <c r="CD321">
        <v>0</v>
      </c>
      <c r="CE321">
        <v>0</v>
      </c>
      <c r="CF321">
        <v>0</v>
      </c>
      <c r="CG321">
        <v>0</v>
      </c>
    </row>
    <row r="322" spans="1:85" x14ac:dyDescent="0.25">
      <c r="A322" t="s">
        <v>128</v>
      </c>
      <c r="B322" t="s">
        <v>145</v>
      </c>
      <c r="C322" t="s">
        <v>72</v>
      </c>
      <c r="D322" s="12">
        <v>46231</v>
      </c>
      <c r="E322" t="s">
        <v>134</v>
      </c>
      <c r="F322" t="s">
        <v>134</v>
      </c>
      <c r="G322" t="s">
        <v>134</v>
      </c>
      <c r="H322" t="s">
        <v>74</v>
      </c>
      <c r="I322">
        <v>20</v>
      </c>
      <c r="K322">
        <v>4.220105607573192</v>
      </c>
      <c r="L322">
        <v>46231</v>
      </c>
      <c r="M322" t="s">
        <v>233</v>
      </c>
      <c r="N322">
        <v>3.8</v>
      </c>
      <c r="O322">
        <v>3.8</v>
      </c>
      <c r="P322">
        <v>4.6875</v>
      </c>
      <c r="Q322">
        <v>0.90045139941064711</v>
      </c>
      <c r="R322">
        <v>0.90045139941064711</v>
      </c>
      <c r="S322">
        <v>1.1107541933519496</v>
      </c>
      <c r="T322">
        <v>0.11075419335194958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9.9548600589352887E-2</v>
      </c>
      <c r="AD322">
        <v>0</v>
      </c>
      <c r="AE322">
        <v>0</v>
      </c>
      <c r="AF322">
        <v>0</v>
      </c>
      <c r="AG322">
        <v>0</v>
      </c>
      <c r="AH322">
        <v>0.90045139941064711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1.1105541072561032</v>
      </c>
      <c r="AO322">
        <v>1.1105541072561032</v>
      </c>
      <c r="AP322">
        <v>1.2335526315789473</v>
      </c>
      <c r="AQ322">
        <v>0.12299852432284419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0.11055410725610315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1</v>
      </c>
      <c r="BF322">
        <v>0</v>
      </c>
      <c r="BG322">
        <v>0</v>
      </c>
      <c r="BH322">
        <v>0</v>
      </c>
      <c r="BI322">
        <v>0</v>
      </c>
      <c r="BJ322">
        <v>0</v>
      </c>
      <c r="BK322">
        <v>0.81066666666666665</v>
      </c>
      <c r="BL322">
        <v>0.81066666666666665</v>
      </c>
      <c r="BM322">
        <v>0.90028919628228099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0</v>
      </c>
      <c r="BW322">
        <v>0</v>
      </c>
      <c r="BX322">
        <v>9.971080371771901E-2</v>
      </c>
      <c r="BY322">
        <v>0</v>
      </c>
      <c r="BZ322">
        <v>0</v>
      </c>
      <c r="CA322">
        <v>0</v>
      </c>
      <c r="CB322">
        <v>0.81066666666666665</v>
      </c>
      <c r="CC322">
        <v>0</v>
      </c>
      <c r="CD322">
        <v>0</v>
      </c>
      <c r="CE322">
        <v>0</v>
      </c>
      <c r="CF322">
        <v>0</v>
      </c>
      <c r="CG322">
        <v>0</v>
      </c>
    </row>
    <row r="323" spans="1:85" x14ac:dyDescent="0.25">
      <c r="A323" t="s">
        <v>128</v>
      </c>
      <c r="B323" t="s">
        <v>145</v>
      </c>
      <c r="C323" t="s">
        <v>72</v>
      </c>
      <c r="D323" s="12">
        <v>46234</v>
      </c>
      <c r="E323" t="s">
        <v>134</v>
      </c>
      <c r="F323" t="s">
        <v>134</v>
      </c>
      <c r="G323" t="s">
        <v>134</v>
      </c>
      <c r="H323" t="s">
        <v>73</v>
      </c>
      <c r="I323">
        <v>20</v>
      </c>
      <c r="K323">
        <v>10.972274579690298</v>
      </c>
      <c r="L323">
        <v>46234</v>
      </c>
      <c r="M323" t="s">
        <v>216</v>
      </c>
      <c r="N323">
        <v>19</v>
      </c>
      <c r="O323">
        <v>19</v>
      </c>
      <c r="P323">
        <v>11.808823529411764</v>
      </c>
      <c r="Q323">
        <v>1.731637306558937</v>
      </c>
      <c r="R323">
        <v>1.731637306558937</v>
      </c>
      <c r="S323">
        <v>1.0762420721105468</v>
      </c>
      <c r="T323">
        <v>0</v>
      </c>
      <c r="U323">
        <v>0</v>
      </c>
      <c r="V323">
        <v>0.481637306558937</v>
      </c>
      <c r="W323">
        <v>0</v>
      </c>
      <c r="X323">
        <v>0</v>
      </c>
      <c r="Y323">
        <v>0</v>
      </c>
      <c r="Z323">
        <v>7.6242072110546788E-2</v>
      </c>
      <c r="AA323">
        <v>0</v>
      </c>
      <c r="AB323">
        <v>0.17375792788945321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0.57748813577317359</v>
      </c>
      <c r="AO323">
        <v>0.57748813577317359</v>
      </c>
      <c r="AP323">
        <v>0.62151702786377705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0.37848297213622295</v>
      </c>
      <c r="BB323">
        <v>0</v>
      </c>
      <c r="BC323">
        <v>0</v>
      </c>
      <c r="BD323">
        <v>0</v>
      </c>
      <c r="BE323">
        <v>0.57748813577317359</v>
      </c>
      <c r="BF323">
        <v>0</v>
      </c>
      <c r="BG323">
        <v>0</v>
      </c>
      <c r="BH323">
        <v>0</v>
      </c>
      <c r="BI323">
        <v>0</v>
      </c>
      <c r="BJ323">
        <v>0</v>
      </c>
      <c r="BK323">
        <v>1.6089663760896638</v>
      </c>
      <c r="BL323">
        <v>1.6089663760896638</v>
      </c>
      <c r="BM323">
        <v>0.92915899304973881</v>
      </c>
      <c r="CD323">
        <v>0</v>
      </c>
      <c r="CE323">
        <v>0</v>
      </c>
      <c r="CF323">
        <v>0</v>
      </c>
    </row>
    <row r="324" spans="1:85" x14ac:dyDescent="0.25">
      <c r="A324" t="s">
        <v>128</v>
      </c>
      <c r="B324" t="s">
        <v>145</v>
      </c>
      <c r="C324" t="s">
        <v>117</v>
      </c>
      <c r="D324" s="12">
        <v>46237</v>
      </c>
      <c r="K324">
        <v>44.308723503659913</v>
      </c>
      <c r="N324">
        <v>25.650000000000002</v>
      </c>
      <c r="O324">
        <v>25.650000000000002</v>
      </c>
      <c r="P324">
        <v>46.235402249134943</v>
      </c>
      <c r="T324">
        <v>8.5556556998606842E-2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0.1499642248653793</v>
      </c>
      <c r="AD324">
        <v>4.2073500094114973E-2</v>
      </c>
      <c r="AE324">
        <v>0</v>
      </c>
      <c r="AF324">
        <v>0</v>
      </c>
      <c r="AG324">
        <v>0</v>
      </c>
      <c r="AH324">
        <v>0.57889277712731446</v>
      </c>
      <c r="AI324">
        <v>0</v>
      </c>
      <c r="AJ324">
        <v>0</v>
      </c>
      <c r="AK324">
        <v>0</v>
      </c>
      <c r="AM324">
        <v>0</v>
      </c>
    </row>
    <row r="325" spans="1:85" x14ac:dyDescent="0.25">
      <c r="A325" t="s">
        <v>128</v>
      </c>
      <c r="B325" t="s">
        <v>145</v>
      </c>
      <c r="C325" t="s">
        <v>117</v>
      </c>
      <c r="D325" s="12">
        <v>46238</v>
      </c>
      <c r="K325">
        <v>45.515177224413186</v>
      </c>
      <c r="N325">
        <v>37.049999999999997</v>
      </c>
      <c r="O325">
        <v>37.049999999999997</v>
      </c>
      <c r="P325">
        <v>48.082203960015377</v>
      </c>
      <c r="T325">
        <v>6.4703731670776782E-2</v>
      </c>
      <c r="U325">
        <v>0</v>
      </c>
      <c r="V325">
        <v>0.10144804756767523</v>
      </c>
      <c r="W325">
        <v>0</v>
      </c>
      <c r="X325">
        <v>0</v>
      </c>
      <c r="Y325">
        <v>0</v>
      </c>
      <c r="Z325">
        <v>3.2653899087315336E-2</v>
      </c>
      <c r="AA325">
        <v>0</v>
      </c>
      <c r="AB325">
        <v>5.9933560676621783E-2</v>
      </c>
      <c r="AC325">
        <v>0.1149018795638037</v>
      </c>
      <c r="AD325">
        <v>4.0958273617386416E-2</v>
      </c>
      <c r="AE325">
        <v>0</v>
      </c>
      <c r="AF325">
        <v>0</v>
      </c>
      <c r="AG325">
        <v>0</v>
      </c>
      <c r="AH325">
        <v>0.6199786800091176</v>
      </c>
      <c r="AI325">
        <v>0</v>
      </c>
      <c r="AJ325">
        <v>0</v>
      </c>
      <c r="AK325">
        <v>0</v>
      </c>
      <c r="AM325">
        <v>0</v>
      </c>
    </row>
    <row r="326" spans="1:85" x14ac:dyDescent="0.25">
      <c r="A326" t="s">
        <v>128</v>
      </c>
      <c r="B326" t="s">
        <v>145</v>
      </c>
      <c r="C326" t="s">
        <v>72</v>
      </c>
      <c r="D326" s="12">
        <v>46230</v>
      </c>
      <c r="E326" t="s">
        <v>134</v>
      </c>
      <c r="F326" t="s">
        <v>134</v>
      </c>
      <c r="G326" t="s">
        <v>134</v>
      </c>
      <c r="H326" t="s">
        <v>75</v>
      </c>
      <c r="I326">
        <v>20</v>
      </c>
      <c r="K326">
        <v>10.972274579690296</v>
      </c>
      <c r="L326">
        <v>46230</v>
      </c>
      <c r="M326" t="s">
        <v>218</v>
      </c>
      <c r="N326">
        <v>10.45</v>
      </c>
      <c r="O326">
        <v>10.45</v>
      </c>
      <c r="P326">
        <v>10.955208333333331</v>
      </c>
      <c r="Q326">
        <v>0.95240051860741537</v>
      </c>
      <c r="R326">
        <v>0.95240051860741537</v>
      </c>
      <c r="S326">
        <v>0.99844460269080815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4.6044084083392778E-2</v>
      </c>
      <c r="AD326">
        <v>1.5553973091918527E-3</v>
      </c>
      <c r="AE326">
        <v>0</v>
      </c>
      <c r="AF326">
        <v>0</v>
      </c>
      <c r="AG326">
        <v>0</v>
      </c>
      <c r="AH326">
        <v>0.95240051860741537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1.0499784286784972</v>
      </c>
      <c r="AO326">
        <v>1.0499784286784972</v>
      </c>
      <c r="AP326">
        <v>1.0483452950558212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4.8345295055821191E-2</v>
      </c>
      <c r="AX326">
        <v>0</v>
      </c>
      <c r="AY326">
        <v>1.6331336226760307E-3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1</v>
      </c>
      <c r="BF326">
        <v>0</v>
      </c>
      <c r="BG326">
        <v>0</v>
      </c>
      <c r="BH326">
        <v>0</v>
      </c>
      <c r="BI326">
        <v>0</v>
      </c>
      <c r="BJ326">
        <v>0</v>
      </c>
      <c r="BK326">
        <v>0.95388418750594284</v>
      </c>
      <c r="BL326">
        <v>0.95388418750594284</v>
      </c>
      <c r="BM326">
        <v>1.001557820338755</v>
      </c>
      <c r="BN326">
        <v>1.5578203387549561E-3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</v>
      </c>
      <c r="BW326">
        <v>4.7599481392584631E-2</v>
      </c>
      <c r="BX326">
        <v>0</v>
      </c>
      <c r="BY326">
        <v>0</v>
      </c>
      <c r="BZ326">
        <v>0</v>
      </c>
      <c r="CA326">
        <v>0</v>
      </c>
      <c r="CB326">
        <v>0.95388418750594284</v>
      </c>
      <c r="CC326">
        <v>0</v>
      </c>
      <c r="CD326">
        <v>0</v>
      </c>
      <c r="CE326">
        <v>0</v>
      </c>
      <c r="CF326">
        <v>0</v>
      </c>
      <c r="CG326">
        <v>0</v>
      </c>
    </row>
    <row r="327" spans="1:85" x14ac:dyDescent="0.25">
      <c r="A327" t="s">
        <v>128</v>
      </c>
      <c r="B327" t="s">
        <v>145</v>
      </c>
      <c r="C327" t="s">
        <v>72</v>
      </c>
      <c r="D327" s="12">
        <v>46230</v>
      </c>
      <c r="E327" t="s">
        <v>134</v>
      </c>
      <c r="F327" t="s">
        <v>134</v>
      </c>
      <c r="G327" t="s">
        <v>134</v>
      </c>
      <c r="H327" t="s">
        <v>74</v>
      </c>
      <c r="I327">
        <v>20</v>
      </c>
      <c r="K327">
        <v>4.220105607573192</v>
      </c>
      <c r="L327">
        <v>46230</v>
      </c>
      <c r="M327" t="s">
        <v>219</v>
      </c>
      <c r="N327">
        <v>4.75</v>
      </c>
      <c r="O327">
        <v>4.75</v>
      </c>
      <c r="P327">
        <v>4.6875</v>
      </c>
      <c r="Q327">
        <v>1.1255642492633089</v>
      </c>
      <c r="R327">
        <v>1.1255642492633089</v>
      </c>
      <c r="S327">
        <v>1.1107541933519496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0.11075419335194958</v>
      </c>
      <c r="AA327">
        <v>0</v>
      </c>
      <c r="AB327">
        <v>1.481005591135931E-2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0.88844328580488252</v>
      </c>
      <c r="AO327">
        <v>0.88844328580488252</v>
      </c>
      <c r="AP327">
        <v>0.98684210526315785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1.3157894736842146E-2</v>
      </c>
      <c r="BB327">
        <v>0</v>
      </c>
      <c r="BC327">
        <v>0</v>
      </c>
      <c r="BD327">
        <v>0</v>
      </c>
      <c r="BE327">
        <v>0.88844328580488252</v>
      </c>
      <c r="BF327">
        <v>0</v>
      </c>
      <c r="BG327">
        <v>0</v>
      </c>
      <c r="BH327">
        <v>0</v>
      </c>
      <c r="BI327">
        <v>0</v>
      </c>
      <c r="BJ327">
        <v>0</v>
      </c>
      <c r="BK327">
        <v>1.0133333333333334</v>
      </c>
      <c r="BL327">
        <v>1.0133333333333334</v>
      </c>
      <c r="BM327">
        <v>0.90028919628228099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1.3333333333333419E-2</v>
      </c>
      <c r="BW327">
        <v>0</v>
      </c>
      <c r="BX327">
        <v>0</v>
      </c>
      <c r="BY327">
        <v>0</v>
      </c>
      <c r="BZ327">
        <v>9.971080371771901E-2</v>
      </c>
      <c r="CA327">
        <v>0</v>
      </c>
      <c r="CB327">
        <v>0.90028919628228099</v>
      </c>
      <c r="CC327">
        <v>0</v>
      </c>
      <c r="CD327">
        <v>0</v>
      </c>
      <c r="CE327">
        <v>0</v>
      </c>
      <c r="CF327">
        <v>0</v>
      </c>
      <c r="CG327">
        <v>0</v>
      </c>
    </row>
    <row r="328" spans="1:85" x14ac:dyDescent="0.25">
      <c r="A328" t="s">
        <v>128</v>
      </c>
      <c r="B328" t="s">
        <v>145</v>
      </c>
      <c r="C328" t="s">
        <v>117</v>
      </c>
      <c r="D328" s="12">
        <v>46239</v>
      </c>
      <c r="K328">
        <v>44.21118353019645</v>
      </c>
      <c r="N328">
        <v>30.4</v>
      </c>
      <c r="O328">
        <v>30.4</v>
      </c>
      <c r="P328">
        <v>45.310121107266433</v>
      </c>
      <c r="T328">
        <v>8.0883128009735517E-2</v>
      </c>
      <c r="U328">
        <v>0</v>
      </c>
      <c r="V328">
        <v>5.2704008934716544E-2</v>
      </c>
      <c r="W328">
        <v>0</v>
      </c>
      <c r="X328">
        <v>0</v>
      </c>
      <c r="Y328">
        <v>0</v>
      </c>
      <c r="Z328">
        <v>3.6777192072363768E-3</v>
      </c>
      <c r="AA328">
        <v>0</v>
      </c>
      <c r="AB328">
        <v>6.7435027084540106E-2</v>
      </c>
      <c r="AC328">
        <v>0.22317934981440271</v>
      </c>
      <c r="AD328">
        <v>5.9704295337526969E-2</v>
      </c>
      <c r="AE328">
        <v>0</v>
      </c>
      <c r="AF328">
        <v>0</v>
      </c>
      <c r="AG328">
        <v>0</v>
      </c>
      <c r="AH328">
        <v>0.56379207069956838</v>
      </c>
      <c r="AI328">
        <v>0</v>
      </c>
      <c r="AJ328">
        <v>0</v>
      </c>
      <c r="AK328">
        <v>0</v>
      </c>
      <c r="AM328">
        <v>0</v>
      </c>
    </row>
    <row r="329" spans="1:85" x14ac:dyDescent="0.25">
      <c r="A329" t="s">
        <v>128</v>
      </c>
      <c r="B329" t="s">
        <v>145</v>
      </c>
      <c r="C329" t="s">
        <v>72</v>
      </c>
      <c r="D329" s="12">
        <v>46230</v>
      </c>
      <c r="E329" t="s">
        <v>134</v>
      </c>
      <c r="F329" t="s">
        <v>134</v>
      </c>
      <c r="G329" t="s">
        <v>134</v>
      </c>
      <c r="H329" t="s">
        <v>73</v>
      </c>
      <c r="I329">
        <v>20</v>
      </c>
      <c r="K329">
        <v>11.872563775972576</v>
      </c>
      <c r="L329">
        <v>46230</v>
      </c>
      <c r="M329" t="s">
        <v>220</v>
      </c>
      <c r="N329">
        <v>18.05</v>
      </c>
      <c r="O329">
        <v>18.05</v>
      </c>
      <c r="P329">
        <v>11.966666666666669</v>
      </c>
      <c r="Q329">
        <v>1.5203119006637116</v>
      </c>
      <c r="R329">
        <v>1.5203119006637116</v>
      </c>
      <c r="S329">
        <v>1.0079260800337444</v>
      </c>
      <c r="T329">
        <v>0</v>
      </c>
      <c r="U329">
        <v>0</v>
      </c>
      <c r="V329">
        <v>0.27031190066371158</v>
      </c>
      <c r="W329">
        <v>0</v>
      </c>
      <c r="X329">
        <v>0</v>
      </c>
      <c r="Y329">
        <v>0</v>
      </c>
      <c r="Z329">
        <v>7.9260800337443982E-3</v>
      </c>
      <c r="AA329">
        <v>0</v>
      </c>
      <c r="AB329">
        <v>0.2420739199662556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0.65775976598186014</v>
      </c>
      <c r="AO329">
        <v>0.65775976598186014</v>
      </c>
      <c r="AP329">
        <v>0.66297322253000934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0.33702677746999066</v>
      </c>
      <c r="BB329">
        <v>0</v>
      </c>
      <c r="BC329">
        <v>0</v>
      </c>
      <c r="BD329">
        <v>0</v>
      </c>
      <c r="BE329">
        <v>0.65775976598186014</v>
      </c>
      <c r="BF329">
        <v>0</v>
      </c>
      <c r="BG329">
        <v>0</v>
      </c>
      <c r="BH329">
        <v>0</v>
      </c>
      <c r="BI329">
        <v>0</v>
      </c>
      <c r="BJ329">
        <v>0</v>
      </c>
      <c r="BK329">
        <v>1.5083565459610027</v>
      </c>
      <c r="BL329">
        <v>1.5083565459610027</v>
      </c>
      <c r="BM329">
        <v>0.99213624868851602</v>
      </c>
      <c r="CD329">
        <v>0</v>
      </c>
      <c r="CE329">
        <v>0</v>
      </c>
      <c r="CF329">
        <v>0</v>
      </c>
    </row>
    <row r="330" spans="1:85" x14ac:dyDescent="0.25">
      <c r="A330" t="s">
        <v>128</v>
      </c>
      <c r="B330" t="s">
        <v>145</v>
      </c>
      <c r="C330" t="s">
        <v>72</v>
      </c>
      <c r="D330" s="12">
        <v>46229</v>
      </c>
      <c r="E330" t="s">
        <v>134</v>
      </c>
      <c r="F330" t="s">
        <v>134</v>
      </c>
      <c r="G330" t="s">
        <v>134</v>
      </c>
      <c r="H330" t="s">
        <v>75</v>
      </c>
      <c r="I330">
        <v>20</v>
      </c>
      <c r="K330">
        <v>11.816295701204934</v>
      </c>
      <c r="L330">
        <v>46229</v>
      </c>
      <c r="M330" t="s">
        <v>221</v>
      </c>
      <c r="N330">
        <v>11.4</v>
      </c>
      <c r="O330">
        <v>11.4</v>
      </c>
      <c r="P330">
        <v>11.994791666666666</v>
      </c>
      <c r="Q330">
        <v>0.96476935651140783</v>
      </c>
      <c r="R330">
        <v>0.96476935651140783</v>
      </c>
      <c r="S330">
        <v>1.0151059155910875</v>
      </c>
      <c r="T330">
        <v>1.5105915591087538E-2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3.5230643488592173E-2</v>
      </c>
      <c r="AD330">
        <v>0</v>
      </c>
      <c r="AE330">
        <v>0</v>
      </c>
      <c r="AF330">
        <v>0</v>
      </c>
      <c r="AG330">
        <v>0</v>
      </c>
      <c r="AH330">
        <v>0.96476935651140783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1.0365171667723627</v>
      </c>
      <c r="AO330">
        <v>1.0365171667723627</v>
      </c>
      <c r="AP330">
        <v>1.0521747076023393</v>
      </c>
      <c r="AQ330">
        <v>1.5657540829976613E-2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3.6517166772362719E-2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1</v>
      </c>
      <c r="BF330">
        <v>0</v>
      </c>
      <c r="BG330">
        <v>0</v>
      </c>
      <c r="BH330">
        <v>0</v>
      </c>
      <c r="BI330">
        <v>0</v>
      </c>
      <c r="BJ330">
        <v>0</v>
      </c>
      <c r="BK330">
        <v>0.95041250542770295</v>
      </c>
      <c r="BL330">
        <v>0.95041250542770295</v>
      </c>
      <c r="BM330">
        <v>0.9851188773909455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</v>
      </c>
      <c r="BW330">
        <v>0</v>
      </c>
      <c r="BX330">
        <v>1.4881122609054498E-2</v>
      </c>
      <c r="BY330">
        <v>0</v>
      </c>
      <c r="BZ330">
        <v>0</v>
      </c>
      <c r="CA330">
        <v>0</v>
      </c>
      <c r="CB330">
        <v>0.95041250542770295</v>
      </c>
      <c r="CC330">
        <v>0</v>
      </c>
      <c r="CD330">
        <v>0</v>
      </c>
      <c r="CE330">
        <v>0</v>
      </c>
      <c r="CF330">
        <v>0</v>
      </c>
      <c r="CG330">
        <v>0</v>
      </c>
    </row>
    <row r="331" spans="1:85" x14ac:dyDescent="0.25">
      <c r="A331" t="s">
        <v>128</v>
      </c>
      <c r="B331" t="s">
        <v>145</v>
      </c>
      <c r="C331" t="s">
        <v>117</v>
      </c>
      <c r="D331" s="12">
        <v>46240</v>
      </c>
      <c r="K331">
        <v>44.45775971346233</v>
      </c>
      <c r="N331">
        <v>35.150000000000006</v>
      </c>
      <c r="O331">
        <v>35.150000000000006</v>
      </c>
      <c r="P331">
        <v>45.356338781642684</v>
      </c>
      <c r="T331">
        <v>8.2178187690760338E-2</v>
      </c>
      <c r="U331">
        <v>0</v>
      </c>
      <c r="V331">
        <v>0.11887987716310325</v>
      </c>
      <c r="W331">
        <v>0</v>
      </c>
      <c r="X331">
        <v>0</v>
      </c>
      <c r="Y331">
        <v>0</v>
      </c>
      <c r="Z331">
        <v>2.3154362731897017E-4</v>
      </c>
      <c r="AA331">
        <v>0</v>
      </c>
      <c r="AB331">
        <v>6.5740592984306762E-2</v>
      </c>
      <c r="AC331">
        <v>0.26054398497041781</v>
      </c>
      <c r="AD331">
        <v>6.2197757661020377E-2</v>
      </c>
      <c r="AE331">
        <v>0</v>
      </c>
      <c r="AF331">
        <v>0</v>
      </c>
      <c r="AG331">
        <v>0</v>
      </c>
      <c r="AH331">
        <v>0.60578611613887001</v>
      </c>
      <c r="AI331">
        <v>0</v>
      </c>
      <c r="AJ331">
        <v>0</v>
      </c>
      <c r="AK331">
        <v>0</v>
      </c>
      <c r="AM331">
        <v>0</v>
      </c>
    </row>
    <row r="332" spans="1:85" x14ac:dyDescent="0.25">
      <c r="A332" t="s">
        <v>128</v>
      </c>
      <c r="B332" t="s">
        <v>145</v>
      </c>
      <c r="C332" t="s">
        <v>72</v>
      </c>
      <c r="D332" s="12">
        <v>46229</v>
      </c>
      <c r="E332" t="s">
        <v>134</v>
      </c>
      <c r="F332" t="s">
        <v>134</v>
      </c>
      <c r="G332" t="s">
        <v>134</v>
      </c>
      <c r="H332" t="s">
        <v>74</v>
      </c>
      <c r="I332">
        <v>20</v>
      </c>
      <c r="K332">
        <v>4.220105607573192</v>
      </c>
      <c r="L332">
        <v>46229</v>
      </c>
      <c r="M332" t="s">
        <v>222</v>
      </c>
      <c r="N332">
        <v>4.75</v>
      </c>
      <c r="O332">
        <v>4.75</v>
      </c>
      <c r="P332">
        <v>4.6875</v>
      </c>
      <c r="Q332">
        <v>1.1255642492633089</v>
      </c>
      <c r="R332">
        <v>1.1255642492633089</v>
      </c>
      <c r="S332">
        <v>1.1107541933519496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0.11075419335194958</v>
      </c>
      <c r="AA332">
        <v>0</v>
      </c>
      <c r="AB332">
        <v>1.481005591135931E-2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1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0.88844328580488252</v>
      </c>
      <c r="AO332">
        <v>0.88844328580488252</v>
      </c>
      <c r="AP332">
        <v>0.98684210526315785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1.3157894736842146E-2</v>
      </c>
      <c r="BB332">
        <v>0</v>
      </c>
      <c r="BC332">
        <v>0</v>
      </c>
      <c r="BD332">
        <v>0</v>
      </c>
      <c r="BE332">
        <v>0.88844328580488252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1.0133333333333334</v>
      </c>
      <c r="BL332">
        <v>1.0133333333333334</v>
      </c>
      <c r="BM332">
        <v>0.90028919628228099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1.3333333333333419E-2</v>
      </c>
      <c r="BW332">
        <v>0</v>
      </c>
      <c r="BX332">
        <v>0</v>
      </c>
      <c r="BY332">
        <v>0</v>
      </c>
      <c r="BZ332">
        <v>9.971080371771901E-2</v>
      </c>
      <c r="CA332">
        <v>0</v>
      </c>
      <c r="CB332">
        <v>0.90028919628228099</v>
      </c>
      <c r="CC332">
        <v>0</v>
      </c>
      <c r="CD332">
        <v>0</v>
      </c>
      <c r="CE332">
        <v>0</v>
      </c>
      <c r="CF332">
        <v>0</v>
      </c>
      <c r="CG332">
        <v>0</v>
      </c>
    </row>
    <row r="333" spans="1:85" x14ac:dyDescent="0.25">
      <c r="A333" t="s">
        <v>128</v>
      </c>
      <c r="B333" t="s">
        <v>145</v>
      </c>
      <c r="C333" t="s">
        <v>72</v>
      </c>
      <c r="D333" s="12">
        <v>46229</v>
      </c>
      <c r="E333" t="s">
        <v>134</v>
      </c>
      <c r="F333" t="s">
        <v>134</v>
      </c>
      <c r="G333" t="s">
        <v>134</v>
      </c>
      <c r="H333" t="s">
        <v>73</v>
      </c>
      <c r="I333">
        <v>20</v>
      </c>
      <c r="K333">
        <v>10.972274579690298</v>
      </c>
      <c r="L333">
        <v>46229</v>
      </c>
      <c r="M333" t="s">
        <v>223</v>
      </c>
      <c r="N333">
        <v>10.45</v>
      </c>
      <c r="O333">
        <v>10.45</v>
      </c>
      <c r="P333">
        <v>11</v>
      </c>
      <c r="Q333">
        <v>0.95240051860741526</v>
      </c>
      <c r="R333">
        <v>0.95240051860741526</v>
      </c>
      <c r="S333">
        <v>1.0025268616920162</v>
      </c>
      <c r="T333">
        <v>2.5268616920162135E-3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4.7599481392584742E-2</v>
      </c>
      <c r="AD333">
        <v>0</v>
      </c>
      <c r="AE333">
        <v>0</v>
      </c>
      <c r="AF333">
        <v>0</v>
      </c>
      <c r="AG333">
        <v>0</v>
      </c>
      <c r="AH333">
        <v>0.95240051860741526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1.0499784286784974</v>
      </c>
      <c r="AO333">
        <v>1.0499784286784974</v>
      </c>
      <c r="AP333">
        <v>1.0526315789473686</v>
      </c>
      <c r="AQ333">
        <v>2.6531502688711406E-3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4.9978428678497444E-2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1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0.95</v>
      </c>
      <c r="BL333">
        <v>0.95</v>
      </c>
      <c r="BM333">
        <v>0.99747950724457257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</v>
      </c>
      <c r="BW333">
        <v>0</v>
      </c>
      <c r="BX333">
        <v>2.5204927554274281E-3</v>
      </c>
      <c r="BY333">
        <v>0</v>
      </c>
      <c r="BZ333">
        <v>0</v>
      </c>
      <c r="CA333">
        <v>0</v>
      </c>
      <c r="CB333">
        <v>0.95</v>
      </c>
      <c r="CC333">
        <v>0</v>
      </c>
      <c r="CD333">
        <v>0</v>
      </c>
      <c r="CE333">
        <v>0</v>
      </c>
      <c r="CF333">
        <v>0</v>
      </c>
      <c r="CG333">
        <v>0</v>
      </c>
    </row>
    <row r="334" spans="1:85" x14ac:dyDescent="0.25">
      <c r="A334" t="s">
        <v>128</v>
      </c>
      <c r="B334" t="s">
        <v>145</v>
      </c>
      <c r="C334" t="s">
        <v>117</v>
      </c>
      <c r="D334" s="12">
        <v>46241</v>
      </c>
      <c r="K334">
        <v>41.296293897593195</v>
      </c>
      <c r="N334">
        <v>34.200000000000003</v>
      </c>
      <c r="O334">
        <v>34.200000000000003</v>
      </c>
      <c r="P334">
        <v>42.512759515570927</v>
      </c>
      <c r="T334">
        <v>7.8682702760733608E-2</v>
      </c>
      <c r="U334">
        <v>0</v>
      </c>
      <c r="V334">
        <v>0.12796927463980312</v>
      </c>
      <c r="W334">
        <v>0</v>
      </c>
      <c r="X334">
        <v>0</v>
      </c>
      <c r="Y334">
        <v>0</v>
      </c>
      <c r="Z334">
        <v>8.1496162962236916E-3</v>
      </c>
      <c r="AA334">
        <v>0</v>
      </c>
      <c r="AB334">
        <v>5.8274471340426043E-2</v>
      </c>
      <c r="AC334">
        <v>0.23191283728869508</v>
      </c>
      <c r="AD334">
        <v>5.7375302381457556E-2</v>
      </c>
      <c r="AE334">
        <v>0</v>
      </c>
      <c r="AF334">
        <v>0</v>
      </c>
      <c r="AG334">
        <v>0</v>
      </c>
      <c r="AH334">
        <v>0.63376812080504041</v>
      </c>
      <c r="AI334">
        <v>0</v>
      </c>
      <c r="AJ334">
        <v>0</v>
      </c>
      <c r="AK334">
        <v>0</v>
      </c>
      <c r="AM334">
        <v>0</v>
      </c>
    </row>
    <row r="335" spans="1:85" x14ac:dyDescent="0.25">
      <c r="A335" t="s">
        <v>128</v>
      </c>
      <c r="B335" t="s">
        <v>145</v>
      </c>
      <c r="C335" t="s">
        <v>72</v>
      </c>
      <c r="D335" s="12">
        <v>46231</v>
      </c>
      <c r="E335" t="s">
        <v>134</v>
      </c>
      <c r="F335" t="s">
        <v>134</v>
      </c>
      <c r="G335" t="s">
        <v>134</v>
      </c>
      <c r="H335" t="s">
        <v>73</v>
      </c>
      <c r="I335">
        <v>20</v>
      </c>
      <c r="K335">
        <v>11.73189358905347</v>
      </c>
      <c r="L335">
        <v>46231</v>
      </c>
      <c r="M335" t="s">
        <v>217</v>
      </c>
      <c r="N335">
        <v>17.099999999999998</v>
      </c>
      <c r="O335">
        <v>17.099999999999998</v>
      </c>
      <c r="P335">
        <v>9.5187500000000007</v>
      </c>
      <c r="Q335">
        <v>1.45756521487335</v>
      </c>
      <c r="R335">
        <v>1.45756521487335</v>
      </c>
      <c r="S335">
        <v>0.81135666017986563</v>
      </c>
      <c r="T335">
        <v>0</v>
      </c>
      <c r="U335">
        <v>0</v>
      </c>
      <c r="V335">
        <v>0.20756521487335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0.25</v>
      </c>
      <c r="AC335">
        <v>0</v>
      </c>
      <c r="AD335">
        <v>0</v>
      </c>
      <c r="AE335">
        <v>0</v>
      </c>
      <c r="AF335">
        <v>0.18864333982013437</v>
      </c>
      <c r="AG335">
        <v>0</v>
      </c>
      <c r="AH335">
        <v>0.81135666017986563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0.68607564848265912</v>
      </c>
      <c r="AO335">
        <v>0.68607564848265912</v>
      </c>
      <c r="AP335">
        <v>0.55665204678362579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0.31392435151734088</v>
      </c>
      <c r="BB335">
        <v>0</v>
      </c>
      <c r="BC335">
        <v>0.12942360169903333</v>
      </c>
      <c r="BD335">
        <v>0</v>
      </c>
      <c r="BE335">
        <v>0.55665204678362579</v>
      </c>
      <c r="BF335">
        <v>0</v>
      </c>
      <c r="BG335">
        <v>0</v>
      </c>
      <c r="BH335">
        <v>0</v>
      </c>
      <c r="BI335">
        <v>0</v>
      </c>
      <c r="BJ335">
        <v>0</v>
      </c>
      <c r="BK335">
        <v>1.7964543663821402</v>
      </c>
      <c r="BL335">
        <v>1.7964543663821402</v>
      </c>
      <c r="BM335">
        <v>1.2325035943851315</v>
      </c>
      <c r="CD335">
        <v>0</v>
      </c>
      <c r="CE335">
        <v>0</v>
      </c>
      <c r="CF335">
        <v>0</v>
      </c>
    </row>
    <row r="336" spans="1:85" x14ac:dyDescent="0.25">
      <c r="A336" t="s">
        <v>128</v>
      </c>
      <c r="B336" t="s">
        <v>145</v>
      </c>
      <c r="C336" t="s">
        <v>72</v>
      </c>
      <c r="D336" s="12">
        <v>46246</v>
      </c>
      <c r="E336" t="s">
        <v>134</v>
      </c>
      <c r="F336" t="s">
        <v>134</v>
      </c>
      <c r="G336" t="s">
        <v>134</v>
      </c>
      <c r="H336" t="s">
        <v>75</v>
      </c>
      <c r="I336">
        <v>20</v>
      </c>
      <c r="K336">
        <v>10.80347035538737</v>
      </c>
      <c r="L336">
        <v>46246</v>
      </c>
      <c r="M336" t="s">
        <v>204</v>
      </c>
      <c r="N336">
        <v>10.45</v>
      </c>
      <c r="O336">
        <v>10.45</v>
      </c>
      <c r="P336">
        <v>11.355238970588234</v>
      </c>
      <c r="Q336">
        <v>0.96728177671065618</v>
      </c>
      <c r="R336">
        <v>0.96728177671065618</v>
      </c>
      <c r="S336">
        <v>1.0510732752578631</v>
      </c>
      <c r="T336">
        <v>5.1073275257863093E-2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3.2718223289343817E-2</v>
      </c>
      <c r="AD336">
        <v>0</v>
      </c>
      <c r="AE336">
        <v>0</v>
      </c>
      <c r="AF336">
        <v>0</v>
      </c>
      <c r="AG336">
        <v>0</v>
      </c>
      <c r="AH336">
        <v>0.96728177671065618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1.033824914391136</v>
      </c>
      <c r="AO336">
        <v>1.033824914391136</v>
      </c>
      <c r="AP336">
        <v>1.0866257388122713</v>
      </c>
      <c r="AQ336">
        <v>5.2800824421135317E-2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3.3824914391135996E-2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1</v>
      </c>
      <c r="BF336">
        <v>0</v>
      </c>
      <c r="BG336">
        <v>0</v>
      </c>
      <c r="BH336">
        <v>0</v>
      </c>
      <c r="BI336">
        <v>0</v>
      </c>
      <c r="BJ336">
        <v>0</v>
      </c>
      <c r="BK336">
        <v>0.92028005989720352</v>
      </c>
      <c r="BL336">
        <v>0.92028005989720352</v>
      </c>
      <c r="BM336">
        <v>0.95140845413909592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</v>
      </c>
      <c r="BW336">
        <v>0</v>
      </c>
      <c r="BX336">
        <v>4.8591545860904084E-2</v>
      </c>
      <c r="BY336">
        <v>0</v>
      </c>
      <c r="BZ336">
        <v>0</v>
      </c>
      <c r="CA336">
        <v>0</v>
      </c>
      <c r="CB336">
        <v>0.92028005989720352</v>
      </c>
      <c r="CC336">
        <v>0</v>
      </c>
      <c r="CD336">
        <v>0</v>
      </c>
      <c r="CE336">
        <v>0</v>
      </c>
      <c r="CF336">
        <v>0</v>
      </c>
      <c r="CG336">
        <v>0</v>
      </c>
    </row>
    <row r="337" spans="1:85" x14ac:dyDescent="0.25">
      <c r="A337" t="s">
        <v>128</v>
      </c>
      <c r="B337" t="s">
        <v>145</v>
      </c>
      <c r="C337" t="s">
        <v>109</v>
      </c>
      <c r="D337" s="12">
        <v>46223</v>
      </c>
      <c r="E337" t="s">
        <v>134</v>
      </c>
      <c r="F337" t="s">
        <v>134</v>
      </c>
      <c r="G337" t="s">
        <v>134</v>
      </c>
      <c r="K337">
        <v>27.064943963236065</v>
      </c>
      <c r="N337">
        <v>36.1</v>
      </c>
      <c r="O337">
        <v>36.1</v>
      </c>
      <c r="P337">
        <v>25.369791666666664</v>
      </c>
      <c r="T337">
        <v>0</v>
      </c>
      <c r="U337">
        <v>0</v>
      </c>
      <c r="V337">
        <v>0.11857756972981941</v>
      </c>
      <c r="W337">
        <v>0</v>
      </c>
      <c r="X337">
        <v>0</v>
      </c>
      <c r="Y337">
        <v>0</v>
      </c>
      <c r="Z337">
        <v>1.726936486776761E-2</v>
      </c>
      <c r="AA337">
        <v>0</v>
      </c>
      <c r="AB337">
        <v>0.19798180153564837</v>
      </c>
      <c r="AC337">
        <v>0</v>
      </c>
      <c r="AD337">
        <v>0</v>
      </c>
      <c r="AE337">
        <v>0</v>
      </c>
      <c r="AF337">
        <v>7.9902130665177928E-2</v>
      </c>
      <c r="AG337">
        <v>0</v>
      </c>
      <c r="AH337">
        <v>0.92009786933482218</v>
      </c>
      <c r="AI337">
        <v>0</v>
      </c>
      <c r="AJ337">
        <v>0</v>
      </c>
      <c r="AK337">
        <v>0</v>
      </c>
      <c r="AL337">
        <v>0</v>
      </c>
      <c r="AM337">
        <v>0</v>
      </c>
    </row>
    <row r="338" spans="1:85" x14ac:dyDescent="0.25">
      <c r="A338" t="s">
        <v>128</v>
      </c>
      <c r="B338" t="s">
        <v>145</v>
      </c>
      <c r="C338" t="s">
        <v>72</v>
      </c>
      <c r="D338" s="12">
        <v>46247</v>
      </c>
      <c r="E338" t="s">
        <v>134</v>
      </c>
      <c r="F338" t="s">
        <v>134</v>
      </c>
      <c r="G338" t="s">
        <v>134</v>
      </c>
      <c r="H338" t="s">
        <v>73</v>
      </c>
      <c r="I338">
        <v>20</v>
      </c>
      <c r="K338">
        <v>10.887872467538834</v>
      </c>
      <c r="L338">
        <v>46247</v>
      </c>
      <c r="M338" t="s">
        <v>177</v>
      </c>
      <c r="N338">
        <v>20.9</v>
      </c>
      <c r="O338">
        <v>20.9</v>
      </c>
      <c r="P338">
        <v>11.15625</v>
      </c>
      <c r="Q338">
        <v>1.9195669367281238</v>
      </c>
      <c r="R338">
        <v>1.9195669367281238</v>
      </c>
      <c r="S338">
        <v>1.0246492171231163</v>
      </c>
      <c r="T338">
        <v>0</v>
      </c>
      <c r="U338">
        <v>0</v>
      </c>
      <c r="V338">
        <v>0.66956693672812384</v>
      </c>
      <c r="W338">
        <v>0</v>
      </c>
      <c r="X338">
        <v>0</v>
      </c>
      <c r="Y338">
        <v>0</v>
      </c>
      <c r="Z338">
        <v>2.4649217123116296E-2</v>
      </c>
      <c r="AA338">
        <v>0</v>
      </c>
      <c r="AB338">
        <v>0.2253507828768837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0.52095083576740842</v>
      </c>
      <c r="AO338">
        <v>0.52095083576740842</v>
      </c>
      <c r="AP338">
        <v>0.53379186602870821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0.46620813397129179</v>
      </c>
      <c r="BB338">
        <v>0</v>
      </c>
      <c r="BC338">
        <v>0</v>
      </c>
      <c r="BD338">
        <v>0</v>
      </c>
      <c r="BE338">
        <v>0.52095083576740842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1.8733893557422967</v>
      </c>
      <c r="BL338">
        <v>1.8733893557422967</v>
      </c>
      <c r="BM338">
        <v>0.97594375059171623</v>
      </c>
      <c r="CD338">
        <v>0</v>
      </c>
      <c r="CE338">
        <v>0</v>
      </c>
      <c r="CF338">
        <v>0</v>
      </c>
    </row>
    <row r="339" spans="1:85" x14ac:dyDescent="0.25">
      <c r="A339" t="s">
        <v>128</v>
      </c>
      <c r="B339" t="s">
        <v>145</v>
      </c>
      <c r="C339" t="s">
        <v>72</v>
      </c>
      <c r="D339" s="12">
        <v>46228</v>
      </c>
      <c r="E339" t="s">
        <v>136</v>
      </c>
      <c r="F339" t="s">
        <v>136</v>
      </c>
      <c r="G339" t="s">
        <v>136</v>
      </c>
      <c r="H339" t="s">
        <v>75</v>
      </c>
      <c r="I339">
        <v>10</v>
      </c>
      <c r="K339">
        <v>3.1774912809962856</v>
      </c>
      <c r="L339">
        <v>46228</v>
      </c>
      <c r="M339" t="s">
        <v>224</v>
      </c>
      <c r="N339">
        <v>0</v>
      </c>
      <c r="O339">
        <v>0</v>
      </c>
      <c r="P339">
        <v>4.5813148788927336</v>
      </c>
      <c r="Q339">
        <v>0</v>
      </c>
      <c r="R339">
        <v>0</v>
      </c>
      <c r="S339">
        <v>1.4418025019588052</v>
      </c>
      <c r="T339">
        <v>0.44180250195880522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</v>
      </c>
      <c r="AM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</v>
      </c>
      <c r="BJ339">
        <v>1</v>
      </c>
      <c r="BK339">
        <v>0</v>
      </c>
      <c r="BL339">
        <v>0</v>
      </c>
      <c r="BM339">
        <v>0.69357626903921943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0.30642373096078057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0.69357626903921943</v>
      </c>
      <c r="CG339">
        <v>0</v>
      </c>
    </row>
    <row r="340" spans="1:85" x14ac:dyDescent="0.25">
      <c r="A340" t="s">
        <v>128</v>
      </c>
      <c r="B340" t="s">
        <v>145</v>
      </c>
      <c r="C340" t="s">
        <v>72</v>
      </c>
      <c r="D340" s="12">
        <v>46228</v>
      </c>
      <c r="E340" t="s">
        <v>136</v>
      </c>
      <c r="F340" t="s">
        <v>136</v>
      </c>
      <c r="G340" t="s">
        <v>136</v>
      </c>
      <c r="H340" t="s">
        <v>74</v>
      </c>
      <c r="I340">
        <v>10</v>
      </c>
      <c r="K340">
        <v>0</v>
      </c>
      <c r="L340">
        <v>46228</v>
      </c>
      <c r="M340" t="s">
        <v>225</v>
      </c>
      <c r="N340">
        <v>0</v>
      </c>
      <c r="O340">
        <v>0</v>
      </c>
      <c r="P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M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1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G340">
        <v>0</v>
      </c>
    </row>
    <row r="341" spans="1:85" x14ac:dyDescent="0.25">
      <c r="A341" t="s">
        <v>128</v>
      </c>
      <c r="B341" t="s">
        <v>145</v>
      </c>
      <c r="C341" t="s">
        <v>109</v>
      </c>
      <c r="D341" s="12">
        <v>46248</v>
      </c>
      <c r="E341" t="s">
        <v>136</v>
      </c>
      <c r="F341" t="s">
        <v>136</v>
      </c>
      <c r="G341" t="s">
        <v>136</v>
      </c>
      <c r="K341">
        <v>6.7786480661254069</v>
      </c>
      <c r="N341">
        <v>0.95</v>
      </c>
      <c r="O341">
        <v>0.95</v>
      </c>
      <c r="P341">
        <v>9.3354238754325252</v>
      </c>
      <c r="T341">
        <v>0.37718078654709392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0.39110406076067189</v>
      </c>
      <c r="AD341">
        <v>0</v>
      </c>
      <c r="AE341">
        <v>0</v>
      </c>
      <c r="AF341">
        <v>0</v>
      </c>
      <c r="AG341">
        <v>0</v>
      </c>
      <c r="AH341">
        <v>0.14014593923932805</v>
      </c>
      <c r="AI341">
        <v>0</v>
      </c>
      <c r="AJ341">
        <v>0</v>
      </c>
      <c r="AK341">
        <v>0</v>
      </c>
      <c r="AM341">
        <v>0</v>
      </c>
    </row>
    <row r="342" spans="1:85" x14ac:dyDescent="0.25">
      <c r="A342" t="s">
        <v>128</v>
      </c>
      <c r="B342" t="s">
        <v>145</v>
      </c>
      <c r="C342" t="s">
        <v>72</v>
      </c>
      <c r="D342" s="12">
        <v>46228</v>
      </c>
      <c r="E342" t="s">
        <v>136</v>
      </c>
      <c r="F342" t="s">
        <v>136</v>
      </c>
      <c r="G342" t="s">
        <v>136</v>
      </c>
      <c r="H342" t="s">
        <v>73</v>
      </c>
      <c r="I342">
        <v>10</v>
      </c>
      <c r="K342">
        <v>3.6011567851291222</v>
      </c>
      <c r="L342">
        <v>46228</v>
      </c>
      <c r="M342" t="s">
        <v>226</v>
      </c>
      <c r="N342">
        <v>0</v>
      </c>
      <c r="O342">
        <v>0</v>
      </c>
      <c r="P342">
        <v>3.8198529411764697</v>
      </c>
      <c r="Q342">
        <v>0</v>
      </c>
      <c r="R342">
        <v>0</v>
      </c>
      <c r="S342">
        <v>1.0607294180998859</v>
      </c>
      <c r="T342">
        <v>6.0729418099885857E-2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</v>
      </c>
      <c r="AM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1</v>
      </c>
      <c r="BJ342">
        <v>1</v>
      </c>
      <c r="BK342">
        <v>0</v>
      </c>
      <c r="BL342">
        <v>0</v>
      </c>
      <c r="BM342">
        <v>0.9427474933158051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</v>
      </c>
      <c r="BW342">
        <v>0</v>
      </c>
      <c r="BX342">
        <v>5.7252506684194904E-2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0</v>
      </c>
      <c r="CF342">
        <v>0.9427474933158051</v>
      </c>
      <c r="CG342">
        <v>0</v>
      </c>
    </row>
    <row r="343" spans="1:85" x14ac:dyDescent="0.25">
      <c r="A343" t="s">
        <v>128</v>
      </c>
      <c r="B343" t="s">
        <v>145</v>
      </c>
      <c r="C343" t="s">
        <v>72</v>
      </c>
      <c r="D343" s="12">
        <v>46227</v>
      </c>
      <c r="E343" t="s">
        <v>136</v>
      </c>
      <c r="F343" t="s">
        <v>136</v>
      </c>
      <c r="G343" t="s">
        <v>136</v>
      </c>
      <c r="H343" t="s">
        <v>75</v>
      </c>
      <c r="I343">
        <v>10</v>
      </c>
      <c r="K343">
        <v>3.1774912809962848</v>
      </c>
      <c r="L343">
        <v>46227</v>
      </c>
      <c r="M343" t="s">
        <v>227</v>
      </c>
      <c r="N343">
        <v>0</v>
      </c>
      <c r="O343">
        <v>0</v>
      </c>
      <c r="P343">
        <v>2.8685121107266438</v>
      </c>
      <c r="Q343">
        <v>0</v>
      </c>
      <c r="R343">
        <v>0</v>
      </c>
      <c r="S343">
        <v>0.9027600257733005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0.9027600257733005</v>
      </c>
      <c r="AD343">
        <v>9.7239974226699499E-2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1</v>
      </c>
      <c r="BK343">
        <v>0</v>
      </c>
      <c r="BL343">
        <v>0</v>
      </c>
      <c r="BM343">
        <v>1.1077140895149895</v>
      </c>
      <c r="BN343">
        <v>0.10771408951498951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0</v>
      </c>
      <c r="CF343">
        <v>1</v>
      </c>
      <c r="CG343">
        <v>1</v>
      </c>
    </row>
    <row r="344" spans="1:85" x14ac:dyDescent="0.25">
      <c r="A344" t="s">
        <v>128</v>
      </c>
      <c r="B344" t="s">
        <v>145</v>
      </c>
      <c r="C344" t="s">
        <v>72</v>
      </c>
      <c r="D344" s="12">
        <v>46227</v>
      </c>
      <c r="E344" t="s">
        <v>136</v>
      </c>
      <c r="F344" t="s">
        <v>136</v>
      </c>
      <c r="G344" t="s">
        <v>136</v>
      </c>
      <c r="H344" t="s">
        <v>74</v>
      </c>
      <c r="I344">
        <v>10</v>
      </c>
      <c r="K344">
        <v>0</v>
      </c>
      <c r="L344">
        <v>46227</v>
      </c>
      <c r="M344" t="s">
        <v>228</v>
      </c>
      <c r="N344">
        <v>0</v>
      </c>
      <c r="O344">
        <v>0</v>
      </c>
      <c r="P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1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M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N344">
        <v>0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1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0</v>
      </c>
      <c r="CG344">
        <v>0</v>
      </c>
    </row>
    <row r="345" spans="1:85" x14ac:dyDescent="0.25">
      <c r="A345" t="s">
        <v>128</v>
      </c>
      <c r="B345" t="s">
        <v>145</v>
      </c>
      <c r="C345" t="s">
        <v>109</v>
      </c>
      <c r="D345" s="12">
        <v>46249</v>
      </c>
      <c r="E345" t="s">
        <v>134</v>
      </c>
      <c r="F345" t="s">
        <v>134</v>
      </c>
      <c r="G345" t="s">
        <v>134</v>
      </c>
      <c r="K345">
        <v>26.220922841721425</v>
      </c>
      <c r="N345">
        <v>28.5</v>
      </c>
      <c r="O345">
        <v>28.5</v>
      </c>
      <c r="P345">
        <v>27.1875</v>
      </c>
      <c r="T345">
        <v>1.0591748505045047E-2</v>
      </c>
      <c r="U345">
        <v>0</v>
      </c>
      <c r="V345">
        <v>1.7708060266619332E-2</v>
      </c>
      <c r="W345">
        <v>0</v>
      </c>
      <c r="X345">
        <v>0</v>
      </c>
      <c r="Y345">
        <v>0</v>
      </c>
      <c r="Z345">
        <v>2.6271071469414691E-2</v>
      </c>
      <c r="AA345">
        <v>0</v>
      </c>
      <c r="AB345">
        <v>9.9087981523607108E-2</v>
      </c>
      <c r="AC345">
        <v>5.6148846803655846E-2</v>
      </c>
      <c r="AD345">
        <v>0</v>
      </c>
      <c r="AE345">
        <v>0</v>
      </c>
      <c r="AF345">
        <v>0</v>
      </c>
      <c r="AG345">
        <v>0</v>
      </c>
      <c r="AH345">
        <v>0.94385115319634416</v>
      </c>
      <c r="AI345">
        <v>0</v>
      </c>
      <c r="AJ345">
        <v>0</v>
      </c>
      <c r="AK345">
        <v>0</v>
      </c>
      <c r="AL345">
        <v>0</v>
      </c>
      <c r="AM345">
        <v>0</v>
      </c>
    </row>
    <row r="346" spans="1:85" x14ac:dyDescent="0.25">
      <c r="A346" t="s">
        <v>128</v>
      </c>
      <c r="B346" t="s">
        <v>145</v>
      </c>
      <c r="C346" t="s">
        <v>109</v>
      </c>
      <c r="D346" s="12">
        <v>46248</v>
      </c>
      <c r="E346" t="s">
        <v>134</v>
      </c>
      <c r="F346" t="s">
        <v>134</v>
      </c>
      <c r="G346" t="s">
        <v>134</v>
      </c>
      <c r="K346">
        <v>26.220922841721425</v>
      </c>
      <c r="N346">
        <v>36.1</v>
      </c>
      <c r="O346">
        <v>36.1</v>
      </c>
      <c r="P346">
        <v>24.4375</v>
      </c>
      <c r="T346">
        <v>0</v>
      </c>
      <c r="U346">
        <v>0</v>
      </c>
      <c r="V346">
        <v>0.2177469038898939</v>
      </c>
      <c r="W346">
        <v>0</v>
      </c>
      <c r="X346">
        <v>0</v>
      </c>
      <c r="Y346">
        <v>0</v>
      </c>
      <c r="Z346">
        <v>8.5860370929461E-3</v>
      </c>
      <c r="AA346">
        <v>0</v>
      </c>
      <c r="AB346">
        <v>0.1504301965280746</v>
      </c>
      <c r="AC346">
        <v>0</v>
      </c>
      <c r="AD346">
        <v>0</v>
      </c>
      <c r="AE346">
        <v>0</v>
      </c>
      <c r="AF346">
        <v>7.6601295460730648E-2</v>
      </c>
      <c r="AG346">
        <v>0</v>
      </c>
      <c r="AH346">
        <v>0.92339870453926953</v>
      </c>
      <c r="AI346">
        <v>0</v>
      </c>
      <c r="AJ346">
        <v>0</v>
      </c>
      <c r="AK346">
        <v>0</v>
      </c>
      <c r="AL346">
        <v>0</v>
      </c>
      <c r="AM346">
        <v>0</v>
      </c>
    </row>
    <row r="347" spans="1:85" x14ac:dyDescent="0.25">
      <c r="A347" t="s">
        <v>128</v>
      </c>
      <c r="B347" t="s">
        <v>145</v>
      </c>
      <c r="C347" t="s">
        <v>72</v>
      </c>
      <c r="D347" s="12">
        <v>46227</v>
      </c>
      <c r="E347" t="s">
        <v>136</v>
      </c>
      <c r="F347" t="s">
        <v>136</v>
      </c>
      <c r="G347" t="s">
        <v>136</v>
      </c>
      <c r="H347" t="s">
        <v>73</v>
      </c>
      <c r="I347">
        <v>10</v>
      </c>
      <c r="K347">
        <v>3.6011567851291222</v>
      </c>
      <c r="L347">
        <v>46227</v>
      </c>
      <c r="M347" t="s">
        <v>229</v>
      </c>
      <c r="N347">
        <v>0.95</v>
      </c>
      <c r="O347">
        <v>0.95</v>
      </c>
      <c r="P347">
        <v>4.702205882352942</v>
      </c>
      <c r="Q347">
        <v>0.26380412092108813</v>
      </c>
      <c r="R347">
        <v>0.26380412092108813</v>
      </c>
      <c r="S347">
        <v>1.3057487254569342</v>
      </c>
      <c r="T347">
        <v>0.30574872545693421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0.73619587907891182</v>
      </c>
      <c r="AD347">
        <v>0</v>
      </c>
      <c r="AE347">
        <v>0</v>
      </c>
      <c r="AF347">
        <v>0</v>
      </c>
      <c r="AG347">
        <v>0</v>
      </c>
      <c r="AH347">
        <v>0.26380412092108813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3.7906913527674972</v>
      </c>
      <c r="AO347">
        <v>3.7906913527674972</v>
      </c>
      <c r="AP347">
        <v>4.9496904024767812</v>
      </c>
      <c r="BG347">
        <v>0</v>
      </c>
      <c r="BH347">
        <v>0</v>
      </c>
      <c r="BI347">
        <v>0</v>
      </c>
      <c r="BK347">
        <v>0.20203283815480841</v>
      </c>
      <c r="BL347">
        <v>0.20203283815480841</v>
      </c>
      <c r="BM347">
        <v>0.76584413256850747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0.23415586743149253</v>
      </c>
      <c r="BY347">
        <v>0</v>
      </c>
      <c r="BZ347">
        <v>0</v>
      </c>
      <c r="CA347">
        <v>0</v>
      </c>
      <c r="CB347">
        <v>0.20203283815480841</v>
      </c>
      <c r="CC347">
        <v>0</v>
      </c>
      <c r="CD347">
        <v>0</v>
      </c>
      <c r="CE347">
        <v>0</v>
      </c>
      <c r="CF347">
        <v>0</v>
      </c>
      <c r="CG347">
        <v>0</v>
      </c>
    </row>
    <row r="348" spans="1:85" x14ac:dyDescent="0.25">
      <c r="A348" t="s">
        <v>128</v>
      </c>
      <c r="B348" t="s">
        <v>145</v>
      </c>
      <c r="C348" t="s">
        <v>109</v>
      </c>
      <c r="D348" s="12">
        <v>46249</v>
      </c>
      <c r="E348" t="s">
        <v>136</v>
      </c>
      <c r="F348" t="s">
        <v>136</v>
      </c>
      <c r="G348" t="s">
        <v>136</v>
      </c>
      <c r="K348">
        <v>6.8316062541420131</v>
      </c>
      <c r="N348">
        <v>0</v>
      </c>
      <c r="O348">
        <v>0</v>
      </c>
      <c r="P348">
        <v>9.4567474048442879</v>
      </c>
      <c r="T348">
        <v>0.38426411784353764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M348">
        <v>0</v>
      </c>
    </row>
    <row r="349" spans="1:85" x14ac:dyDescent="0.25">
      <c r="A349" t="s">
        <v>128</v>
      </c>
      <c r="B349" t="s">
        <v>145</v>
      </c>
      <c r="C349" t="s">
        <v>72</v>
      </c>
      <c r="D349" s="12">
        <v>46226</v>
      </c>
      <c r="E349" t="s">
        <v>136</v>
      </c>
      <c r="F349" t="s">
        <v>136</v>
      </c>
      <c r="G349" t="s">
        <v>136</v>
      </c>
      <c r="H349" t="s">
        <v>74</v>
      </c>
      <c r="I349">
        <v>10</v>
      </c>
      <c r="K349">
        <v>0</v>
      </c>
      <c r="L349">
        <v>46226</v>
      </c>
      <c r="M349" t="s">
        <v>231</v>
      </c>
      <c r="N349">
        <v>0</v>
      </c>
      <c r="O349">
        <v>0</v>
      </c>
      <c r="P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1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M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1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G349">
        <v>0</v>
      </c>
    </row>
    <row r="350" spans="1:85" x14ac:dyDescent="0.25">
      <c r="A350" t="s">
        <v>128</v>
      </c>
      <c r="B350" t="s">
        <v>145</v>
      </c>
      <c r="C350" t="s">
        <v>72</v>
      </c>
      <c r="D350" s="12">
        <v>46226</v>
      </c>
      <c r="E350" t="s">
        <v>136</v>
      </c>
      <c r="F350" t="s">
        <v>136</v>
      </c>
      <c r="G350" t="s">
        <v>136</v>
      </c>
      <c r="H350" t="s">
        <v>73</v>
      </c>
      <c r="I350">
        <v>10</v>
      </c>
      <c r="K350">
        <v>3.6011567851291222</v>
      </c>
      <c r="L350">
        <v>46226</v>
      </c>
      <c r="M350" t="s">
        <v>232</v>
      </c>
      <c r="N350">
        <v>0.95</v>
      </c>
      <c r="O350">
        <v>0.95</v>
      </c>
      <c r="P350">
        <v>4.7022058823529411</v>
      </c>
      <c r="Q350">
        <v>0.26380412092108813</v>
      </c>
      <c r="R350">
        <v>0.26380412092108813</v>
      </c>
      <c r="S350">
        <v>1.305748725456934</v>
      </c>
      <c r="T350">
        <v>0.30574872545693399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0.73619587907891182</v>
      </c>
      <c r="AD350">
        <v>0</v>
      </c>
      <c r="AE350">
        <v>0</v>
      </c>
      <c r="AF350">
        <v>0</v>
      </c>
      <c r="AG350">
        <v>0</v>
      </c>
      <c r="AH350">
        <v>0.26380412092108813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3.7906913527674972</v>
      </c>
      <c r="AO350">
        <v>3.7906913527674972</v>
      </c>
      <c r="AP350">
        <v>4.9496904024767803</v>
      </c>
      <c r="BG350">
        <v>0</v>
      </c>
      <c r="BH350">
        <v>0</v>
      </c>
      <c r="BI350">
        <v>0</v>
      </c>
      <c r="BK350">
        <v>0.20203283815480844</v>
      </c>
      <c r="BL350">
        <v>0.20203283815480844</v>
      </c>
      <c r="BM350">
        <v>0.76584413256850759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0.23415586743149241</v>
      </c>
      <c r="BY350">
        <v>0</v>
      </c>
      <c r="BZ350">
        <v>0</v>
      </c>
      <c r="CA350">
        <v>0</v>
      </c>
      <c r="CB350">
        <v>0.20203283815480844</v>
      </c>
      <c r="CC350">
        <v>0</v>
      </c>
      <c r="CD350">
        <v>0</v>
      </c>
      <c r="CE350">
        <v>0</v>
      </c>
      <c r="CF350">
        <v>0</v>
      </c>
      <c r="CG350">
        <v>0</v>
      </c>
    </row>
    <row r="351" spans="1:85" x14ac:dyDescent="0.25">
      <c r="A351" t="s">
        <v>128</v>
      </c>
      <c r="B351" t="s">
        <v>145</v>
      </c>
      <c r="C351" t="s">
        <v>109</v>
      </c>
      <c r="D351" s="12">
        <v>46249</v>
      </c>
      <c r="E351" t="s">
        <v>135</v>
      </c>
      <c r="F351" t="s">
        <v>135</v>
      </c>
      <c r="G351" t="s">
        <v>135</v>
      </c>
      <c r="K351">
        <v>8.8936937466270916</v>
      </c>
      <c r="N351">
        <v>0</v>
      </c>
      <c r="O351">
        <v>0</v>
      </c>
      <c r="P351">
        <v>7.4238754325259499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0.83473477320280276</v>
      </c>
      <c r="AD351">
        <v>0.16526522679719732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</row>
    <row r="352" spans="1:85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136</v>
      </c>
      <c r="F352" t="s">
        <v>136</v>
      </c>
      <c r="G352" t="s">
        <v>136</v>
      </c>
      <c r="H352" t="s">
        <v>75</v>
      </c>
      <c r="I352">
        <v>0</v>
      </c>
      <c r="K352">
        <v>3.1774912809962848</v>
      </c>
      <c r="L352">
        <v>46225</v>
      </c>
      <c r="M352" t="s">
        <v>215</v>
      </c>
      <c r="N352">
        <v>0</v>
      </c>
      <c r="O352">
        <v>0</v>
      </c>
      <c r="P352">
        <v>4.6332179930795849</v>
      </c>
      <c r="Q352">
        <v>0</v>
      </c>
      <c r="R352">
        <v>0</v>
      </c>
      <c r="S352">
        <v>1.4581371224492754</v>
      </c>
      <c r="T352">
        <v>0.4581371224492754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1</v>
      </c>
      <c r="BJ352">
        <v>1</v>
      </c>
      <c r="BK352">
        <v>0</v>
      </c>
      <c r="BL352">
        <v>0</v>
      </c>
      <c r="BM352">
        <v>0.68580655728747297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0.31419344271252703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0.68580655728747297</v>
      </c>
      <c r="CG352">
        <v>0</v>
      </c>
    </row>
    <row r="353" spans="1:85" x14ac:dyDescent="0.25">
      <c r="A353" t="s">
        <v>128</v>
      </c>
      <c r="B353" t="s">
        <v>145</v>
      </c>
      <c r="C353" t="s">
        <v>72</v>
      </c>
      <c r="D353" s="12">
        <v>46225</v>
      </c>
      <c r="E353" t="s">
        <v>136</v>
      </c>
      <c r="F353" t="s">
        <v>136</v>
      </c>
      <c r="G353" t="s">
        <v>136</v>
      </c>
      <c r="H353" t="s">
        <v>74</v>
      </c>
      <c r="I353">
        <v>10</v>
      </c>
      <c r="K353">
        <v>0</v>
      </c>
      <c r="L353">
        <v>46225</v>
      </c>
      <c r="M353" t="s">
        <v>163</v>
      </c>
      <c r="N353">
        <v>0</v>
      </c>
      <c r="O353">
        <v>0</v>
      </c>
      <c r="P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1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M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1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G353">
        <v>0</v>
      </c>
    </row>
    <row r="354" spans="1:85" x14ac:dyDescent="0.25">
      <c r="A354" t="s">
        <v>128</v>
      </c>
      <c r="B354" t="s">
        <v>145</v>
      </c>
      <c r="C354" t="s">
        <v>109</v>
      </c>
      <c r="D354" s="12">
        <v>46250</v>
      </c>
      <c r="E354" t="s">
        <v>134</v>
      </c>
      <c r="F354" t="s">
        <v>134</v>
      </c>
      <c r="G354" t="s">
        <v>134</v>
      </c>
      <c r="K354">
        <v>26.164654766953785</v>
      </c>
      <c r="N354">
        <v>23.75</v>
      </c>
      <c r="O354">
        <v>23.75</v>
      </c>
      <c r="P354">
        <v>27.1875</v>
      </c>
      <c r="T354">
        <v>2.1229052917638672E-2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1.7863579572895097E-2</v>
      </c>
      <c r="AA354">
        <v>0</v>
      </c>
      <c r="AB354">
        <v>2.3887186953805341E-3</v>
      </c>
      <c r="AC354">
        <v>0.11253919402367157</v>
      </c>
      <c r="AD354">
        <v>0</v>
      </c>
      <c r="AE354">
        <v>0</v>
      </c>
      <c r="AF354">
        <v>0</v>
      </c>
      <c r="AG354">
        <v>0</v>
      </c>
      <c r="AH354">
        <v>0.88746080597632837</v>
      </c>
      <c r="AI354">
        <v>0</v>
      </c>
      <c r="AJ354">
        <v>0</v>
      </c>
      <c r="AK354">
        <v>0</v>
      </c>
      <c r="AL354">
        <v>0</v>
      </c>
      <c r="AM354">
        <v>0</v>
      </c>
    </row>
    <row r="355" spans="1:85" x14ac:dyDescent="0.25">
      <c r="A355" t="s">
        <v>128</v>
      </c>
      <c r="B355" t="s">
        <v>145</v>
      </c>
      <c r="C355" t="s">
        <v>72</v>
      </c>
      <c r="D355" s="12">
        <v>46226</v>
      </c>
      <c r="E355" t="s">
        <v>136</v>
      </c>
      <c r="F355" t="s">
        <v>136</v>
      </c>
      <c r="G355" t="s">
        <v>136</v>
      </c>
      <c r="H355" t="s">
        <v>75</v>
      </c>
      <c r="I355">
        <v>10</v>
      </c>
      <c r="K355">
        <v>3.1774912809962856</v>
      </c>
      <c r="L355">
        <v>46226</v>
      </c>
      <c r="M355" t="s">
        <v>230</v>
      </c>
      <c r="N355">
        <v>0</v>
      </c>
      <c r="O355">
        <v>0</v>
      </c>
      <c r="P355">
        <v>4.6332179930795849</v>
      </c>
      <c r="Q355">
        <v>0</v>
      </c>
      <c r="R355">
        <v>0</v>
      </c>
      <c r="S355">
        <v>1.4581371224492752</v>
      </c>
      <c r="T355">
        <v>0.45813712244927518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1</v>
      </c>
      <c r="AM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</v>
      </c>
      <c r="BJ355">
        <v>1</v>
      </c>
      <c r="BK355">
        <v>0</v>
      </c>
      <c r="BL355">
        <v>0</v>
      </c>
      <c r="BM355">
        <v>0.68580655728747308</v>
      </c>
      <c r="BN355">
        <v>0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0</v>
      </c>
      <c r="BV355">
        <v>0</v>
      </c>
      <c r="BW355">
        <v>0</v>
      </c>
      <c r="BX355">
        <v>0.31419344271252692</v>
      </c>
      <c r="BY355">
        <v>0</v>
      </c>
      <c r="BZ355">
        <v>0</v>
      </c>
      <c r="CA355">
        <v>0</v>
      </c>
      <c r="CB355">
        <v>0</v>
      </c>
      <c r="CC355">
        <v>0</v>
      </c>
      <c r="CD355">
        <v>0</v>
      </c>
      <c r="CE355">
        <v>0</v>
      </c>
      <c r="CF355">
        <v>0.68580655728747308</v>
      </c>
      <c r="CG355">
        <v>0</v>
      </c>
    </row>
    <row r="356" spans="1:85" x14ac:dyDescent="0.25">
      <c r="A356" t="s">
        <v>128</v>
      </c>
      <c r="B356" t="s">
        <v>145</v>
      </c>
      <c r="C356" t="s">
        <v>72</v>
      </c>
      <c r="D356" s="12">
        <v>46225</v>
      </c>
      <c r="E356" t="s">
        <v>136</v>
      </c>
      <c r="F356" t="s">
        <v>136</v>
      </c>
      <c r="G356" t="s">
        <v>136</v>
      </c>
      <c r="H356" t="s">
        <v>73</v>
      </c>
      <c r="I356">
        <v>0</v>
      </c>
      <c r="K356">
        <v>3.6011567851291222</v>
      </c>
      <c r="L356">
        <v>46225</v>
      </c>
      <c r="M356" t="s">
        <v>166</v>
      </c>
      <c r="N356">
        <v>0</v>
      </c>
      <c r="O356">
        <v>0</v>
      </c>
      <c r="P356">
        <v>4.7022058823529402</v>
      </c>
      <c r="Q356">
        <v>0</v>
      </c>
      <c r="R356">
        <v>0</v>
      </c>
      <c r="S356">
        <v>1.3057487254569338</v>
      </c>
      <c r="T356">
        <v>0.30574872545693377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1</v>
      </c>
      <c r="AM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  <c r="BH356">
        <v>0</v>
      </c>
      <c r="BI356">
        <v>1</v>
      </c>
      <c r="BJ356">
        <v>1</v>
      </c>
      <c r="BK356">
        <v>0</v>
      </c>
      <c r="BL356">
        <v>0</v>
      </c>
      <c r="BM356">
        <v>0.76584413256850781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</v>
      </c>
      <c r="BV356">
        <v>0</v>
      </c>
      <c r="BW356">
        <v>0</v>
      </c>
      <c r="BX356">
        <v>0.23415586743149219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0</v>
      </c>
      <c r="CF356">
        <v>0.76584413256850781</v>
      </c>
      <c r="CG356">
        <v>0</v>
      </c>
    </row>
    <row r="357" spans="1:85" x14ac:dyDescent="0.25">
      <c r="A357" t="s">
        <v>128</v>
      </c>
      <c r="B357" t="s">
        <v>145</v>
      </c>
      <c r="C357" t="s">
        <v>72</v>
      </c>
      <c r="D357" s="12">
        <v>46229</v>
      </c>
      <c r="E357" t="s">
        <v>136</v>
      </c>
      <c r="F357" t="s">
        <v>136</v>
      </c>
      <c r="G357" t="s">
        <v>136</v>
      </c>
      <c r="H357" t="s">
        <v>73</v>
      </c>
      <c r="I357">
        <v>10</v>
      </c>
      <c r="K357">
        <v>3.6011567851291222</v>
      </c>
      <c r="L357">
        <v>46229</v>
      </c>
      <c r="M357" t="s">
        <v>223</v>
      </c>
      <c r="N357">
        <v>0.95</v>
      </c>
      <c r="O357">
        <v>0.95</v>
      </c>
      <c r="P357">
        <v>4.7610294117647056</v>
      </c>
      <c r="Q357">
        <v>0.26380412092108813</v>
      </c>
      <c r="R357">
        <v>0.26380412092108813</v>
      </c>
      <c r="S357">
        <v>1.3220833459474037</v>
      </c>
      <c r="T357">
        <v>0.32208334594740373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0.73619587907891182</v>
      </c>
      <c r="AD357">
        <v>0</v>
      </c>
      <c r="AE357">
        <v>0</v>
      </c>
      <c r="AF357">
        <v>0</v>
      </c>
      <c r="AG357">
        <v>0</v>
      </c>
      <c r="AH357">
        <v>0.26380412092108813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3.7906913527674972</v>
      </c>
      <c r="AO357">
        <v>3.7906913527674972</v>
      </c>
      <c r="AP357">
        <v>5.0116099071207429</v>
      </c>
      <c r="BG357">
        <v>0</v>
      </c>
      <c r="BH357">
        <v>0</v>
      </c>
      <c r="BI357">
        <v>0</v>
      </c>
      <c r="BK357">
        <v>0.19953667953667953</v>
      </c>
      <c r="BL357">
        <v>0.19953667953667953</v>
      </c>
      <c r="BM357">
        <v>0.75638196567963034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</v>
      </c>
      <c r="BV357">
        <v>0</v>
      </c>
      <c r="BW357">
        <v>0</v>
      </c>
      <c r="BX357">
        <v>0.24361803432036966</v>
      </c>
      <c r="BY357">
        <v>0</v>
      </c>
      <c r="BZ357">
        <v>0</v>
      </c>
      <c r="CA357">
        <v>0</v>
      </c>
      <c r="CB357">
        <v>0.19953667953667953</v>
      </c>
      <c r="CC357">
        <v>0</v>
      </c>
      <c r="CD357">
        <v>0</v>
      </c>
      <c r="CE357">
        <v>0</v>
      </c>
      <c r="CF357">
        <v>0</v>
      </c>
      <c r="CG357">
        <v>0</v>
      </c>
    </row>
    <row r="358" spans="1:85" x14ac:dyDescent="0.25">
      <c r="A358" t="s">
        <v>128</v>
      </c>
      <c r="B358" t="s">
        <v>145</v>
      </c>
      <c r="C358" t="s">
        <v>109</v>
      </c>
      <c r="D358" s="12">
        <v>46247</v>
      </c>
      <c r="E358" t="s">
        <v>135</v>
      </c>
      <c r="F358" t="s">
        <v>135</v>
      </c>
      <c r="G358" t="s">
        <v>135</v>
      </c>
      <c r="K358">
        <v>10.390510129688344</v>
      </c>
      <c r="N358">
        <v>0</v>
      </c>
      <c r="O358">
        <v>0</v>
      </c>
      <c r="P358">
        <v>8.646637110726644</v>
      </c>
      <c r="T358">
        <v>2.1544054732207038E-2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0.4861796339845566</v>
      </c>
      <c r="AD358">
        <v>0.18937729845130119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0.32444306756414221</v>
      </c>
      <c r="AM358">
        <v>0</v>
      </c>
    </row>
    <row r="359" spans="1:85" x14ac:dyDescent="0.25">
      <c r="A359" t="s">
        <v>128</v>
      </c>
      <c r="B359" t="s">
        <v>145</v>
      </c>
      <c r="C359" t="s">
        <v>72</v>
      </c>
      <c r="D359" s="12">
        <v>46233</v>
      </c>
      <c r="E359" t="s">
        <v>136</v>
      </c>
      <c r="F359" t="s">
        <v>136</v>
      </c>
      <c r="G359" t="s">
        <v>136</v>
      </c>
      <c r="H359" t="s">
        <v>73</v>
      </c>
      <c r="I359">
        <v>10</v>
      </c>
      <c r="K359">
        <v>3.6011567851291222</v>
      </c>
      <c r="L359">
        <v>46233</v>
      </c>
      <c r="M359" t="s">
        <v>238</v>
      </c>
      <c r="N359">
        <v>0.95</v>
      </c>
      <c r="O359">
        <v>0.95</v>
      </c>
      <c r="P359">
        <v>5.6433823529411775</v>
      </c>
      <c r="Q359">
        <v>0.26380412092108813</v>
      </c>
      <c r="R359">
        <v>0.26380412092108813</v>
      </c>
      <c r="S359">
        <v>1.5671026533044519</v>
      </c>
      <c r="T359">
        <v>0.56710265330445186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0.73619587907891182</v>
      </c>
      <c r="AD359">
        <v>0</v>
      </c>
      <c r="AE359">
        <v>0</v>
      </c>
      <c r="AF359">
        <v>0</v>
      </c>
      <c r="AG359">
        <v>0</v>
      </c>
      <c r="AH359">
        <v>0.26380412092108813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3.7906913527674972</v>
      </c>
      <c r="AO359">
        <v>3.7906913527674972</v>
      </c>
      <c r="AP359">
        <v>5.9404024767801875</v>
      </c>
      <c r="BG359">
        <v>0</v>
      </c>
      <c r="BH359">
        <v>0</v>
      </c>
      <c r="BI359">
        <v>0</v>
      </c>
      <c r="BK359">
        <v>0.16833876221498367</v>
      </c>
      <c r="BL359">
        <v>0.16833876221498367</v>
      </c>
      <c r="BM359">
        <v>0.63812029026392247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0.36187970973607753</v>
      </c>
      <c r="BY359">
        <v>0</v>
      </c>
      <c r="BZ359">
        <v>0</v>
      </c>
      <c r="CA359">
        <v>0</v>
      </c>
      <c r="CB359">
        <v>0.16833876221498367</v>
      </c>
      <c r="CC359">
        <v>0</v>
      </c>
      <c r="CD359">
        <v>0</v>
      </c>
      <c r="CE359">
        <v>0</v>
      </c>
      <c r="CF359">
        <v>0</v>
      </c>
      <c r="CG359">
        <v>0</v>
      </c>
    </row>
    <row r="360" spans="1:85" x14ac:dyDescent="0.25">
      <c r="A360" t="s">
        <v>128</v>
      </c>
      <c r="B360" t="s">
        <v>145</v>
      </c>
      <c r="C360" t="s">
        <v>109</v>
      </c>
      <c r="D360" s="12">
        <v>46246</v>
      </c>
      <c r="E360" t="s">
        <v>134</v>
      </c>
      <c r="F360" t="s">
        <v>134</v>
      </c>
      <c r="G360" t="s">
        <v>134</v>
      </c>
      <c r="K360">
        <v>27.59949067352867</v>
      </c>
      <c r="N360">
        <v>30.4</v>
      </c>
      <c r="O360">
        <v>30.4</v>
      </c>
      <c r="P360">
        <v>27.84375</v>
      </c>
      <c r="T360">
        <v>3.6926877371877546E-2</v>
      </c>
      <c r="U360">
        <v>0</v>
      </c>
      <c r="V360">
        <v>1.5583860473279965E-2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0.113914373088685</v>
      </c>
      <c r="AC360">
        <v>2.8028631836402616E-2</v>
      </c>
      <c r="AD360">
        <v>0</v>
      </c>
      <c r="AE360">
        <v>0</v>
      </c>
      <c r="AF360">
        <v>2.8076738455886548E-2</v>
      </c>
      <c r="AG360">
        <v>0</v>
      </c>
      <c r="AH360">
        <v>0.94389462970771087</v>
      </c>
      <c r="AI360">
        <v>0</v>
      </c>
      <c r="AJ360">
        <v>0</v>
      </c>
      <c r="AK360">
        <v>0</v>
      </c>
      <c r="AL360">
        <v>0</v>
      </c>
      <c r="AM360">
        <v>0</v>
      </c>
    </row>
    <row r="361" spans="1:85" x14ac:dyDescent="0.25">
      <c r="A361" t="s">
        <v>128</v>
      </c>
      <c r="B361" t="s">
        <v>145</v>
      </c>
      <c r="C361" t="s">
        <v>72</v>
      </c>
      <c r="D361" s="12">
        <v>46232</v>
      </c>
      <c r="E361" t="s">
        <v>136</v>
      </c>
      <c r="F361" t="s">
        <v>136</v>
      </c>
      <c r="G361" t="s">
        <v>136</v>
      </c>
      <c r="H361" t="s">
        <v>75</v>
      </c>
      <c r="I361">
        <v>10</v>
      </c>
      <c r="K361">
        <v>3.1774912809962848</v>
      </c>
      <c r="L361">
        <v>46232</v>
      </c>
      <c r="M361" t="s">
        <v>239</v>
      </c>
      <c r="N361">
        <v>0</v>
      </c>
      <c r="O361">
        <v>0</v>
      </c>
      <c r="P361">
        <v>4.6332179930795849</v>
      </c>
      <c r="Q361">
        <v>0</v>
      </c>
      <c r="R361">
        <v>0</v>
      </c>
      <c r="S361">
        <v>1.4581371224492754</v>
      </c>
      <c r="T361">
        <v>0.4581371224492754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1</v>
      </c>
      <c r="AM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</v>
      </c>
      <c r="BJ361">
        <v>1</v>
      </c>
      <c r="BK361">
        <v>0</v>
      </c>
      <c r="BL361">
        <v>0</v>
      </c>
      <c r="BM361">
        <v>0.68580655728747297</v>
      </c>
      <c r="BN361">
        <v>0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0</v>
      </c>
      <c r="BV361">
        <v>0</v>
      </c>
      <c r="BW361">
        <v>0</v>
      </c>
      <c r="BX361">
        <v>0.31419344271252703</v>
      </c>
      <c r="BY361">
        <v>0</v>
      </c>
      <c r="BZ361">
        <v>0</v>
      </c>
      <c r="CA361">
        <v>0</v>
      </c>
      <c r="CB361">
        <v>0</v>
      </c>
      <c r="CC361">
        <v>0</v>
      </c>
      <c r="CD361">
        <v>0</v>
      </c>
      <c r="CE361">
        <v>0</v>
      </c>
      <c r="CF361">
        <v>0.68580655728747297</v>
      </c>
      <c r="CG361">
        <v>0</v>
      </c>
    </row>
    <row r="362" spans="1:85" x14ac:dyDescent="0.25">
      <c r="A362" t="s">
        <v>128</v>
      </c>
      <c r="B362" t="s">
        <v>145</v>
      </c>
      <c r="C362" t="s">
        <v>109</v>
      </c>
      <c r="D362" s="12">
        <v>46246</v>
      </c>
      <c r="E362" t="s">
        <v>136</v>
      </c>
      <c r="F362" t="s">
        <v>136</v>
      </c>
      <c r="G362" t="s">
        <v>136</v>
      </c>
      <c r="K362">
        <v>6.7786480661254069</v>
      </c>
      <c r="N362">
        <v>0</v>
      </c>
      <c r="O362">
        <v>0</v>
      </c>
      <c r="P362">
        <v>9.3354238754325252</v>
      </c>
      <c r="T362">
        <v>0.37718078654709392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M362">
        <v>0</v>
      </c>
    </row>
    <row r="363" spans="1:85" x14ac:dyDescent="0.25">
      <c r="A363" t="s">
        <v>128</v>
      </c>
      <c r="B363" t="s">
        <v>145</v>
      </c>
      <c r="C363" t="s">
        <v>72</v>
      </c>
      <c r="D363" s="12">
        <v>46232</v>
      </c>
      <c r="E363" t="s">
        <v>136</v>
      </c>
      <c r="F363" t="s">
        <v>136</v>
      </c>
      <c r="G363" t="s">
        <v>136</v>
      </c>
      <c r="H363" t="s">
        <v>74</v>
      </c>
      <c r="I363">
        <v>10</v>
      </c>
      <c r="K363">
        <v>0</v>
      </c>
      <c r="L363">
        <v>46232</v>
      </c>
      <c r="M363" t="s">
        <v>240</v>
      </c>
      <c r="N363">
        <v>0</v>
      </c>
      <c r="O363">
        <v>0</v>
      </c>
      <c r="P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M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1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G363">
        <v>0</v>
      </c>
    </row>
    <row r="364" spans="1:85" x14ac:dyDescent="0.25">
      <c r="A364" t="s">
        <v>128</v>
      </c>
      <c r="B364" t="s">
        <v>145</v>
      </c>
      <c r="C364" t="s">
        <v>72</v>
      </c>
      <c r="D364" s="12">
        <v>46232</v>
      </c>
      <c r="E364" t="s">
        <v>136</v>
      </c>
      <c r="F364" t="s">
        <v>136</v>
      </c>
      <c r="G364" t="s">
        <v>136</v>
      </c>
      <c r="H364" t="s">
        <v>73</v>
      </c>
      <c r="I364">
        <v>10</v>
      </c>
      <c r="K364">
        <v>3.6011567851291235</v>
      </c>
      <c r="L364">
        <v>46232</v>
      </c>
      <c r="M364" t="s">
        <v>241</v>
      </c>
      <c r="N364">
        <v>0</v>
      </c>
      <c r="O364">
        <v>0</v>
      </c>
      <c r="P364">
        <v>4.7022058823529385</v>
      </c>
      <c r="Q364">
        <v>0</v>
      </c>
      <c r="R364">
        <v>0</v>
      </c>
      <c r="S364">
        <v>1.3057487254569327</v>
      </c>
      <c r="T364">
        <v>0.30574872545693266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1</v>
      </c>
      <c r="AM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1</v>
      </c>
      <c r="BJ364">
        <v>1</v>
      </c>
      <c r="BK364">
        <v>0</v>
      </c>
      <c r="BL364">
        <v>0</v>
      </c>
      <c r="BM364">
        <v>0.76584413256850836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0.23415586743149164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  <c r="CF364">
        <v>0.76584413256850836</v>
      </c>
      <c r="CG364">
        <v>0</v>
      </c>
    </row>
    <row r="365" spans="1:85" x14ac:dyDescent="0.25">
      <c r="A365" t="s">
        <v>128</v>
      </c>
      <c r="B365" t="s">
        <v>145</v>
      </c>
      <c r="C365" t="s">
        <v>72</v>
      </c>
      <c r="D365" s="12">
        <v>46231</v>
      </c>
      <c r="E365" t="s">
        <v>136</v>
      </c>
      <c r="F365" t="s">
        <v>136</v>
      </c>
      <c r="G365" t="s">
        <v>136</v>
      </c>
      <c r="H365" t="s">
        <v>75</v>
      </c>
      <c r="I365">
        <v>10</v>
      </c>
      <c r="K365">
        <v>3.1774912809962848</v>
      </c>
      <c r="L365">
        <v>46231</v>
      </c>
      <c r="M365" t="s">
        <v>234</v>
      </c>
      <c r="N365">
        <v>0</v>
      </c>
      <c r="O365">
        <v>0</v>
      </c>
      <c r="P365">
        <v>4.6885813148788937</v>
      </c>
      <c r="Q365">
        <v>0</v>
      </c>
      <c r="R365">
        <v>0</v>
      </c>
      <c r="S365">
        <v>1.4755607176391103</v>
      </c>
      <c r="T365">
        <v>0.47556071763911034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1</v>
      </c>
      <c r="AM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1</v>
      </c>
      <c r="BJ365">
        <v>1</v>
      </c>
      <c r="BK365">
        <v>0</v>
      </c>
      <c r="BL365">
        <v>0</v>
      </c>
      <c r="BM365">
        <v>0.67770847247817423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0.32229152752182577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0.67770847247817423</v>
      </c>
      <c r="CG365">
        <v>0</v>
      </c>
    </row>
    <row r="366" spans="1:85" x14ac:dyDescent="0.25">
      <c r="A366" t="s">
        <v>128</v>
      </c>
      <c r="B366" t="s">
        <v>145</v>
      </c>
      <c r="C366" t="s">
        <v>72</v>
      </c>
      <c r="D366" s="12">
        <v>46229</v>
      </c>
      <c r="E366" t="s">
        <v>136</v>
      </c>
      <c r="F366" t="s">
        <v>136</v>
      </c>
      <c r="G366" t="s">
        <v>136</v>
      </c>
      <c r="H366" t="s">
        <v>74</v>
      </c>
      <c r="I366">
        <v>10</v>
      </c>
      <c r="K366">
        <v>0</v>
      </c>
      <c r="L366">
        <v>46229</v>
      </c>
      <c r="M366" t="s">
        <v>222</v>
      </c>
      <c r="N366">
        <v>0</v>
      </c>
      <c r="O366">
        <v>0</v>
      </c>
      <c r="P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M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0</v>
      </c>
      <c r="BV366">
        <v>0</v>
      </c>
      <c r="BW366">
        <v>0</v>
      </c>
      <c r="BX366">
        <v>1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0</v>
      </c>
      <c r="CG366">
        <v>0</v>
      </c>
    </row>
    <row r="367" spans="1:85" x14ac:dyDescent="0.25">
      <c r="A367" t="s">
        <v>128</v>
      </c>
      <c r="B367" t="s">
        <v>145</v>
      </c>
      <c r="C367" t="s">
        <v>109</v>
      </c>
      <c r="D367" s="12">
        <v>46246</v>
      </c>
      <c r="E367" t="s">
        <v>135</v>
      </c>
      <c r="F367" t="s">
        <v>135</v>
      </c>
      <c r="G367" t="s">
        <v>135</v>
      </c>
      <c r="K367">
        <v>9.3414218142876422</v>
      </c>
      <c r="N367">
        <v>0</v>
      </c>
      <c r="O367">
        <v>0</v>
      </c>
      <c r="P367">
        <v>7.774762110726642</v>
      </c>
      <c r="T367">
        <v>3.1854185032649834E-2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0.55984833098595255</v>
      </c>
      <c r="AD367">
        <v>0.19956523959233205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0.24058642942171549</v>
      </c>
      <c r="AM367">
        <v>0</v>
      </c>
    </row>
    <row r="368" spans="1:85" x14ac:dyDescent="0.25">
      <c r="A368" t="s">
        <v>128</v>
      </c>
      <c r="B368" t="s">
        <v>145</v>
      </c>
      <c r="C368" t="s">
        <v>109</v>
      </c>
      <c r="D368" s="12">
        <v>46247</v>
      </c>
      <c r="E368" t="s">
        <v>134</v>
      </c>
      <c r="F368" t="s">
        <v>134</v>
      </c>
      <c r="G368" t="s">
        <v>134</v>
      </c>
      <c r="K368">
        <v>26.080252654802322</v>
      </c>
      <c r="N368">
        <v>37.049999999999997</v>
      </c>
      <c r="O368">
        <v>37.049999999999997</v>
      </c>
      <c r="P368">
        <v>27.09375</v>
      </c>
      <c r="T368">
        <v>0</v>
      </c>
      <c r="U368">
        <v>0</v>
      </c>
      <c r="V368">
        <v>0.27952794445931384</v>
      </c>
      <c r="W368">
        <v>0</v>
      </c>
      <c r="X368">
        <v>0</v>
      </c>
      <c r="Y368">
        <v>0</v>
      </c>
      <c r="Z368">
        <v>3.8860718054088923E-2</v>
      </c>
      <c r="AA368">
        <v>0</v>
      </c>
      <c r="AB368">
        <v>0.10222640937232708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1</v>
      </c>
      <c r="AI368">
        <v>0</v>
      </c>
      <c r="AJ368">
        <v>0</v>
      </c>
      <c r="AK368">
        <v>0</v>
      </c>
      <c r="AL368">
        <v>0</v>
      </c>
      <c r="AM368">
        <v>0</v>
      </c>
    </row>
    <row r="369" spans="1:85" x14ac:dyDescent="0.25">
      <c r="A369" t="s">
        <v>128</v>
      </c>
      <c r="B369" t="s">
        <v>145</v>
      </c>
      <c r="C369" t="s">
        <v>72</v>
      </c>
      <c r="D369" s="12">
        <v>46231</v>
      </c>
      <c r="E369" t="s">
        <v>136</v>
      </c>
      <c r="F369" t="s">
        <v>136</v>
      </c>
      <c r="G369" t="s">
        <v>136</v>
      </c>
      <c r="H369" t="s">
        <v>73</v>
      </c>
      <c r="I369">
        <v>10</v>
      </c>
      <c r="K369">
        <v>3.6011567851291222</v>
      </c>
      <c r="L369">
        <v>46231</v>
      </c>
      <c r="M369" t="s">
        <v>217</v>
      </c>
      <c r="N369">
        <v>0</v>
      </c>
      <c r="O369">
        <v>0</v>
      </c>
      <c r="P369">
        <v>4.7058823529411749</v>
      </c>
      <c r="Q369">
        <v>0</v>
      </c>
      <c r="R369">
        <v>0</v>
      </c>
      <c r="S369">
        <v>1.3067696392375878</v>
      </c>
      <c r="T369">
        <v>0.30676963923758782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1</v>
      </c>
      <c r="AM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1</v>
      </c>
      <c r="BJ369">
        <v>1</v>
      </c>
      <c r="BK369">
        <v>0</v>
      </c>
      <c r="BL369">
        <v>0</v>
      </c>
      <c r="BM369">
        <v>0.76524581683993875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</v>
      </c>
      <c r="BW369">
        <v>0</v>
      </c>
      <c r="BX369">
        <v>0.23475418316006125</v>
      </c>
      <c r="BY369">
        <v>0</v>
      </c>
      <c r="BZ369">
        <v>0</v>
      </c>
      <c r="CA369">
        <v>0</v>
      </c>
      <c r="CB369">
        <v>0</v>
      </c>
      <c r="CC369">
        <v>0</v>
      </c>
      <c r="CD369">
        <v>0</v>
      </c>
      <c r="CE369">
        <v>0</v>
      </c>
      <c r="CF369">
        <v>0.76524581683993875</v>
      </c>
      <c r="CG369">
        <v>0</v>
      </c>
    </row>
    <row r="370" spans="1:85" x14ac:dyDescent="0.25">
      <c r="A370" t="s">
        <v>128</v>
      </c>
      <c r="B370" t="s">
        <v>145</v>
      </c>
      <c r="C370" t="s">
        <v>72</v>
      </c>
      <c r="D370" s="12">
        <v>46230</v>
      </c>
      <c r="E370" t="s">
        <v>136</v>
      </c>
      <c r="F370" t="s">
        <v>136</v>
      </c>
      <c r="G370" t="s">
        <v>136</v>
      </c>
      <c r="H370" t="s">
        <v>75</v>
      </c>
      <c r="I370">
        <v>10</v>
      </c>
      <c r="K370">
        <v>3.1774912809962848</v>
      </c>
      <c r="L370">
        <v>46230</v>
      </c>
      <c r="M370" t="s">
        <v>218</v>
      </c>
      <c r="N370">
        <v>0</v>
      </c>
      <c r="O370">
        <v>0</v>
      </c>
      <c r="P370">
        <v>3.8062283737024223</v>
      </c>
      <c r="Q370">
        <v>0</v>
      </c>
      <c r="R370">
        <v>0</v>
      </c>
      <c r="S370">
        <v>1.1978721693011225</v>
      </c>
      <c r="T370">
        <v>0.1978721693011225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1</v>
      </c>
      <c r="AM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1</v>
      </c>
      <c r="BJ370">
        <v>1</v>
      </c>
      <c r="BK370">
        <v>0</v>
      </c>
      <c r="BL370">
        <v>0</v>
      </c>
      <c r="BM370">
        <v>0.834813618370842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0.165186381629158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  <c r="CF370">
        <v>0.834813618370842</v>
      </c>
      <c r="CG370">
        <v>0</v>
      </c>
    </row>
    <row r="371" spans="1:85" x14ac:dyDescent="0.25">
      <c r="A371" t="s">
        <v>128</v>
      </c>
      <c r="B371" t="s">
        <v>145</v>
      </c>
      <c r="C371" t="s">
        <v>109</v>
      </c>
      <c r="D371" s="12">
        <v>46247</v>
      </c>
      <c r="E371" t="s">
        <v>136</v>
      </c>
      <c r="F371" t="s">
        <v>136</v>
      </c>
      <c r="G371" t="s">
        <v>136</v>
      </c>
      <c r="K371">
        <v>6.7786480661254069</v>
      </c>
      <c r="N371">
        <v>0.95</v>
      </c>
      <c r="O371">
        <v>0.95</v>
      </c>
      <c r="P371">
        <v>9.3354238754325252</v>
      </c>
      <c r="T371">
        <v>0.37718078654709408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0.39110406076067189</v>
      </c>
      <c r="AD371">
        <v>0</v>
      </c>
      <c r="AE371">
        <v>0</v>
      </c>
      <c r="AF371">
        <v>0</v>
      </c>
      <c r="AG371">
        <v>0</v>
      </c>
      <c r="AH371">
        <v>0.14014593923932805</v>
      </c>
      <c r="AI371">
        <v>0</v>
      </c>
      <c r="AJ371">
        <v>0</v>
      </c>
      <c r="AK371">
        <v>0</v>
      </c>
      <c r="AM371">
        <v>0</v>
      </c>
    </row>
    <row r="372" spans="1:85" x14ac:dyDescent="0.25">
      <c r="A372" t="s">
        <v>128</v>
      </c>
      <c r="B372" t="s">
        <v>145</v>
      </c>
      <c r="C372" t="s">
        <v>72</v>
      </c>
      <c r="D372" s="12">
        <v>46230</v>
      </c>
      <c r="E372" t="s">
        <v>136</v>
      </c>
      <c r="F372" t="s">
        <v>136</v>
      </c>
      <c r="G372" t="s">
        <v>136</v>
      </c>
      <c r="H372" t="s">
        <v>74</v>
      </c>
      <c r="I372">
        <v>10</v>
      </c>
      <c r="K372">
        <v>0</v>
      </c>
      <c r="L372">
        <v>46230</v>
      </c>
      <c r="M372" t="s">
        <v>219</v>
      </c>
      <c r="N372">
        <v>0</v>
      </c>
      <c r="O372">
        <v>0</v>
      </c>
      <c r="P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1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M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</v>
      </c>
      <c r="BV372">
        <v>0</v>
      </c>
      <c r="BW372">
        <v>0</v>
      </c>
      <c r="BX372">
        <v>1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0</v>
      </c>
      <c r="CG372">
        <v>0</v>
      </c>
    </row>
    <row r="373" spans="1:85" x14ac:dyDescent="0.25">
      <c r="A373" t="s">
        <v>128</v>
      </c>
      <c r="B373" t="s">
        <v>145</v>
      </c>
      <c r="C373" t="s">
        <v>72</v>
      </c>
      <c r="D373" s="12">
        <v>46230</v>
      </c>
      <c r="E373" t="s">
        <v>136</v>
      </c>
      <c r="F373" t="s">
        <v>136</v>
      </c>
      <c r="G373" t="s">
        <v>136</v>
      </c>
      <c r="H373" t="s">
        <v>73</v>
      </c>
      <c r="I373">
        <v>10</v>
      </c>
      <c r="K373">
        <v>3.6011567851291222</v>
      </c>
      <c r="L373">
        <v>46230</v>
      </c>
      <c r="M373" t="s">
        <v>220</v>
      </c>
      <c r="N373">
        <v>0</v>
      </c>
      <c r="O373">
        <v>0</v>
      </c>
      <c r="P373">
        <v>4.7058823529411793</v>
      </c>
      <c r="Q373">
        <v>0</v>
      </c>
      <c r="R373">
        <v>0</v>
      </c>
      <c r="S373">
        <v>1.3067696392375892</v>
      </c>
      <c r="T373">
        <v>0.30676963923758915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</v>
      </c>
      <c r="AM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1</v>
      </c>
      <c r="BJ373">
        <v>1</v>
      </c>
      <c r="BK373">
        <v>0</v>
      </c>
      <c r="BL373">
        <v>0</v>
      </c>
      <c r="BM373">
        <v>0.76524581683993798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</v>
      </c>
      <c r="BV373">
        <v>0</v>
      </c>
      <c r="BW373">
        <v>0</v>
      </c>
      <c r="BX373">
        <v>0.23475418316006202</v>
      </c>
      <c r="BY373">
        <v>0</v>
      </c>
      <c r="BZ373">
        <v>0</v>
      </c>
      <c r="CA373">
        <v>0</v>
      </c>
      <c r="CB373">
        <v>0</v>
      </c>
      <c r="CC373">
        <v>0</v>
      </c>
      <c r="CD373">
        <v>0</v>
      </c>
      <c r="CE373">
        <v>0</v>
      </c>
      <c r="CF373">
        <v>0.76524581683993798</v>
      </c>
      <c r="CG373">
        <v>0</v>
      </c>
    </row>
    <row r="374" spans="1:85" x14ac:dyDescent="0.25">
      <c r="A374" t="s">
        <v>128</v>
      </c>
      <c r="B374" t="s">
        <v>145</v>
      </c>
      <c r="C374" t="s">
        <v>72</v>
      </c>
      <c r="D374" s="12">
        <v>46229</v>
      </c>
      <c r="E374" t="s">
        <v>136</v>
      </c>
      <c r="F374" t="s">
        <v>136</v>
      </c>
      <c r="G374" t="s">
        <v>136</v>
      </c>
      <c r="H374" t="s">
        <v>75</v>
      </c>
      <c r="I374">
        <v>10</v>
      </c>
      <c r="K374">
        <v>3.1774912809962848</v>
      </c>
      <c r="L374">
        <v>46229</v>
      </c>
      <c r="M374" t="s">
        <v>221</v>
      </c>
      <c r="N374">
        <v>0</v>
      </c>
      <c r="O374">
        <v>0</v>
      </c>
      <c r="P374">
        <v>4.6366782006920406</v>
      </c>
      <c r="Q374">
        <v>0</v>
      </c>
      <c r="R374">
        <v>0</v>
      </c>
      <c r="S374">
        <v>1.4592260971486399</v>
      </c>
      <c r="T374">
        <v>0.45922609714863993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1</v>
      </c>
      <c r="AM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1</v>
      </c>
      <c r="BJ374">
        <v>1</v>
      </c>
      <c r="BK374">
        <v>0</v>
      </c>
      <c r="BL374">
        <v>0</v>
      </c>
      <c r="BM374">
        <v>0.68529476134919887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</v>
      </c>
      <c r="BU374">
        <v>0</v>
      </c>
      <c r="BV374">
        <v>0</v>
      </c>
      <c r="BW374">
        <v>0</v>
      </c>
      <c r="BX374">
        <v>0.31470523865080113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0</v>
      </c>
      <c r="CF374">
        <v>0.68529476134919887</v>
      </c>
      <c r="CG374">
        <v>0</v>
      </c>
    </row>
    <row r="375" spans="1:85" x14ac:dyDescent="0.25">
      <c r="A375" t="s">
        <v>128</v>
      </c>
      <c r="B375" t="s">
        <v>145</v>
      </c>
      <c r="C375" t="s">
        <v>72</v>
      </c>
      <c r="D375" s="12">
        <v>46231</v>
      </c>
      <c r="E375" t="s">
        <v>136</v>
      </c>
      <c r="F375" t="s">
        <v>136</v>
      </c>
      <c r="G375" t="s">
        <v>136</v>
      </c>
      <c r="H375" t="s">
        <v>74</v>
      </c>
      <c r="I375">
        <v>10</v>
      </c>
      <c r="K375">
        <v>0</v>
      </c>
      <c r="L375">
        <v>46231</v>
      </c>
      <c r="M375" t="s">
        <v>233</v>
      </c>
      <c r="N375">
        <v>0</v>
      </c>
      <c r="O375">
        <v>0</v>
      </c>
      <c r="P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M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0</v>
      </c>
      <c r="BV375">
        <v>0</v>
      </c>
      <c r="BW375">
        <v>0</v>
      </c>
      <c r="BX375">
        <v>1</v>
      </c>
      <c r="BY375">
        <v>0</v>
      </c>
      <c r="BZ375">
        <v>0</v>
      </c>
      <c r="CA375">
        <v>0</v>
      </c>
      <c r="CB375">
        <v>0</v>
      </c>
      <c r="CC375">
        <v>0</v>
      </c>
      <c r="CD375">
        <v>0</v>
      </c>
      <c r="CE375">
        <v>0</v>
      </c>
      <c r="CG375">
        <v>0</v>
      </c>
    </row>
    <row r="376" spans="1:85" x14ac:dyDescent="0.25">
      <c r="A376" t="s">
        <v>128</v>
      </c>
      <c r="B376" t="s">
        <v>145</v>
      </c>
      <c r="C376" t="s">
        <v>72</v>
      </c>
      <c r="D376" s="12">
        <v>46224</v>
      </c>
      <c r="E376" t="s">
        <v>136</v>
      </c>
      <c r="F376" t="s">
        <v>136</v>
      </c>
      <c r="G376" t="s">
        <v>136</v>
      </c>
      <c r="H376" t="s">
        <v>75</v>
      </c>
      <c r="I376">
        <v>0</v>
      </c>
      <c r="K376">
        <v>3.2304494690128904</v>
      </c>
      <c r="L376">
        <v>46224</v>
      </c>
      <c r="M376" t="s">
        <v>169</v>
      </c>
      <c r="N376">
        <v>0</v>
      </c>
      <c r="O376">
        <v>0</v>
      </c>
      <c r="P376">
        <v>4.4063272367770638</v>
      </c>
      <c r="Q376">
        <v>0</v>
      </c>
      <c r="R376">
        <v>0</v>
      </c>
      <c r="S376">
        <v>1.363998192525042</v>
      </c>
      <c r="T376">
        <v>0.36399819252504195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1</v>
      </c>
      <c r="AM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1</v>
      </c>
      <c r="BJ376">
        <v>1</v>
      </c>
      <c r="BK376">
        <v>0</v>
      </c>
      <c r="BL376">
        <v>0</v>
      </c>
      <c r="BM376">
        <v>0.7331388014149739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0.2668611985850261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  <c r="CF376">
        <v>0.7331388014149739</v>
      </c>
      <c r="CG376">
        <v>0</v>
      </c>
    </row>
    <row r="377" spans="1:85" x14ac:dyDescent="0.25">
      <c r="A377" t="s">
        <v>128</v>
      </c>
      <c r="B377" t="s">
        <v>145</v>
      </c>
      <c r="C377" t="s">
        <v>109</v>
      </c>
      <c r="D377" s="12">
        <v>46248</v>
      </c>
      <c r="E377" t="s">
        <v>135</v>
      </c>
      <c r="F377" t="s">
        <v>135</v>
      </c>
      <c r="G377" t="s">
        <v>135</v>
      </c>
      <c r="K377">
        <v>8.0728589559160824</v>
      </c>
      <c r="N377">
        <v>0</v>
      </c>
      <c r="O377">
        <v>0</v>
      </c>
      <c r="P377">
        <v>6.7054606401384076</v>
      </c>
      <c r="T377">
        <v>5.0339899479390715E-2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0.50188594076643767</v>
      </c>
      <c r="AD377">
        <v>0.21972206300345373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0.27839199623010846</v>
      </c>
      <c r="AM377">
        <v>0</v>
      </c>
    </row>
    <row r="378" spans="1:85" x14ac:dyDescent="0.25">
      <c r="A378" t="s">
        <v>128</v>
      </c>
      <c r="B378" t="s">
        <v>145</v>
      </c>
      <c r="C378" t="s">
        <v>72</v>
      </c>
      <c r="D378" s="12">
        <v>46249</v>
      </c>
      <c r="E378" t="s">
        <v>134</v>
      </c>
      <c r="F378" t="s">
        <v>134</v>
      </c>
      <c r="G378" t="s">
        <v>134</v>
      </c>
      <c r="H378" t="s">
        <v>75</v>
      </c>
      <c r="I378">
        <v>20</v>
      </c>
      <c r="K378">
        <v>10.972274579690296</v>
      </c>
      <c r="L378">
        <v>46249</v>
      </c>
      <c r="M378" t="s">
        <v>170</v>
      </c>
      <c r="N378">
        <v>9.5</v>
      </c>
      <c r="O378">
        <v>9.5</v>
      </c>
      <c r="P378">
        <v>11.25</v>
      </c>
      <c r="Q378">
        <v>0.86581865327946861</v>
      </c>
      <c r="R378">
        <v>0.86581865327946861</v>
      </c>
      <c r="S378">
        <v>1.0253115630941076</v>
      </c>
      <c r="T378">
        <v>2.5311563094107647E-2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0.13418134672053139</v>
      </c>
      <c r="AD378">
        <v>0</v>
      </c>
      <c r="AE378">
        <v>0</v>
      </c>
      <c r="AF378">
        <v>0</v>
      </c>
      <c r="AG378">
        <v>0</v>
      </c>
      <c r="AH378">
        <v>0.86581865327946861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1.154976271546347</v>
      </c>
      <c r="AO378">
        <v>1.154976271546347</v>
      </c>
      <c r="AP378">
        <v>1.1842105263157894</v>
      </c>
      <c r="AQ378">
        <v>2.9234254769442414E-2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0.15497627154634697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1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0.84444444444444444</v>
      </c>
      <c r="BL378">
        <v>0.84444444444444444</v>
      </c>
      <c r="BM378">
        <v>0.97531329597247074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2.468670402752926E-2</v>
      </c>
      <c r="BY378">
        <v>0</v>
      </c>
      <c r="BZ378">
        <v>0</v>
      </c>
      <c r="CA378">
        <v>0</v>
      </c>
      <c r="CB378">
        <v>0.84444444444444444</v>
      </c>
      <c r="CC378">
        <v>0</v>
      </c>
      <c r="CD378">
        <v>0</v>
      </c>
      <c r="CE378">
        <v>0</v>
      </c>
      <c r="CF378">
        <v>0</v>
      </c>
      <c r="CG378">
        <v>0</v>
      </c>
    </row>
    <row r="379" spans="1:85" x14ac:dyDescent="0.25">
      <c r="A379" t="s">
        <v>128</v>
      </c>
      <c r="B379" t="s">
        <v>145</v>
      </c>
      <c r="C379" t="s">
        <v>72</v>
      </c>
      <c r="D379" s="12">
        <v>46248</v>
      </c>
      <c r="E379" t="s">
        <v>134</v>
      </c>
      <c r="F379" t="s">
        <v>134</v>
      </c>
      <c r="G379" t="s">
        <v>134</v>
      </c>
      <c r="H379" t="s">
        <v>74</v>
      </c>
      <c r="I379">
        <v>20</v>
      </c>
      <c r="K379">
        <v>4.220105607573192</v>
      </c>
      <c r="L379">
        <v>46248</v>
      </c>
      <c r="M379" t="s">
        <v>161</v>
      </c>
      <c r="N379">
        <v>5.6999999999999993</v>
      </c>
      <c r="O379">
        <v>5.6999999999999993</v>
      </c>
      <c r="P379">
        <v>3.75</v>
      </c>
      <c r="Q379">
        <v>1.3506770991159704</v>
      </c>
      <c r="R379">
        <v>1.3506770991159704</v>
      </c>
      <c r="S379">
        <v>0.88860335468155971</v>
      </c>
      <c r="T379">
        <v>0</v>
      </c>
      <c r="U379">
        <v>0</v>
      </c>
      <c r="V379">
        <v>0.10067709911597045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0.25</v>
      </c>
      <c r="AC379">
        <v>0</v>
      </c>
      <c r="AD379">
        <v>0</v>
      </c>
      <c r="AE379">
        <v>0</v>
      </c>
      <c r="AF379">
        <v>0.11139664531844029</v>
      </c>
      <c r="AG379">
        <v>0</v>
      </c>
      <c r="AH379">
        <v>0.88860335468155971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0.74036940483740221</v>
      </c>
      <c r="AO379">
        <v>0.74036940483740221</v>
      </c>
      <c r="AP379">
        <v>0.65789473684210531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0.25963059516259779</v>
      </c>
      <c r="BB379">
        <v>0</v>
      </c>
      <c r="BC379">
        <v>8.2474667995296902E-2</v>
      </c>
      <c r="BD379">
        <v>0</v>
      </c>
      <c r="BE379">
        <v>0.65789473684210531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1.5199999999999998</v>
      </c>
      <c r="BL379">
        <v>1.5199999999999998</v>
      </c>
      <c r="BM379">
        <v>1.1253614953528512</v>
      </c>
      <c r="CD379">
        <v>0</v>
      </c>
      <c r="CE379">
        <v>0</v>
      </c>
      <c r="CF379">
        <v>0</v>
      </c>
    </row>
    <row r="380" spans="1:85" x14ac:dyDescent="0.25">
      <c r="A380" t="s">
        <v>128</v>
      </c>
      <c r="B380" t="s">
        <v>145</v>
      </c>
      <c r="C380" t="s">
        <v>72</v>
      </c>
      <c r="D380" s="12">
        <v>46224</v>
      </c>
      <c r="E380" t="s">
        <v>136</v>
      </c>
      <c r="F380" t="s">
        <v>136</v>
      </c>
      <c r="G380" t="s">
        <v>136</v>
      </c>
      <c r="H380" t="s">
        <v>73</v>
      </c>
      <c r="I380">
        <v>0</v>
      </c>
      <c r="K380">
        <v>3.6011567851291235</v>
      </c>
      <c r="L380">
        <v>46224</v>
      </c>
      <c r="M380" t="s">
        <v>175</v>
      </c>
      <c r="N380">
        <v>0</v>
      </c>
      <c r="O380">
        <v>0</v>
      </c>
      <c r="P380">
        <v>4.8182773109243673</v>
      </c>
      <c r="Q380">
        <v>0</v>
      </c>
      <c r="R380">
        <v>0</v>
      </c>
      <c r="S380">
        <v>1.3379804319604491</v>
      </c>
      <c r="T380">
        <v>0.33798043196044913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1</v>
      </c>
      <c r="AM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1</v>
      </c>
      <c r="BJ380">
        <v>1</v>
      </c>
      <c r="BK380">
        <v>0</v>
      </c>
      <c r="BL380">
        <v>0</v>
      </c>
      <c r="BM380">
        <v>0.74739508599148186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0.25260491400851814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0</v>
      </c>
      <c r="CF380">
        <v>0.74739508599148186</v>
      </c>
      <c r="CG380">
        <v>0</v>
      </c>
    </row>
    <row r="381" spans="1:85" x14ac:dyDescent="0.25">
      <c r="A381" t="s">
        <v>128</v>
      </c>
      <c r="B381" t="s">
        <v>145</v>
      </c>
      <c r="C381" t="s">
        <v>72</v>
      </c>
      <c r="D381" s="12">
        <v>46249</v>
      </c>
      <c r="E381" t="s">
        <v>134</v>
      </c>
      <c r="F381" t="s">
        <v>134</v>
      </c>
      <c r="G381" t="s">
        <v>134</v>
      </c>
      <c r="H381" t="s">
        <v>74</v>
      </c>
      <c r="I381">
        <v>20</v>
      </c>
      <c r="K381">
        <v>4.220105607573192</v>
      </c>
      <c r="L381">
        <v>46249</v>
      </c>
      <c r="M381" t="s">
        <v>167</v>
      </c>
      <c r="N381">
        <v>4.75</v>
      </c>
      <c r="O381">
        <v>4.75</v>
      </c>
      <c r="P381">
        <v>4.6875</v>
      </c>
      <c r="Q381">
        <v>1.1255642492633089</v>
      </c>
      <c r="R381">
        <v>1.1255642492633089</v>
      </c>
      <c r="S381">
        <v>1.1107541933519496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0.11075419335194958</v>
      </c>
      <c r="AA381">
        <v>0</v>
      </c>
      <c r="AB381">
        <v>1.481005591135931E-2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0.88844328580488252</v>
      </c>
      <c r="AO381">
        <v>0.88844328580488252</v>
      </c>
      <c r="AP381">
        <v>0.98684210526315785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1.3157894736842146E-2</v>
      </c>
      <c r="BB381">
        <v>0</v>
      </c>
      <c r="BC381">
        <v>0</v>
      </c>
      <c r="BD381">
        <v>0</v>
      </c>
      <c r="BE381">
        <v>0.88844328580488252</v>
      </c>
      <c r="BF381">
        <v>0</v>
      </c>
      <c r="BG381">
        <v>0</v>
      </c>
      <c r="BH381">
        <v>0</v>
      </c>
      <c r="BI381">
        <v>0</v>
      </c>
      <c r="BJ381">
        <v>0</v>
      </c>
      <c r="BK381">
        <v>1.0133333333333334</v>
      </c>
      <c r="BL381">
        <v>1.0133333333333334</v>
      </c>
      <c r="BM381">
        <v>0.90028919628228099</v>
      </c>
      <c r="BN381">
        <v>0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0</v>
      </c>
      <c r="BV381">
        <v>1.3333333333333419E-2</v>
      </c>
      <c r="BW381">
        <v>0</v>
      </c>
      <c r="BX381">
        <v>0</v>
      </c>
      <c r="BY381">
        <v>0</v>
      </c>
      <c r="BZ381">
        <v>9.971080371771901E-2</v>
      </c>
      <c r="CA381">
        <v>0</v>
      </c>
      <c r="CB381">
        <v>0.90028919628228099</v>
      </c>
      <c r="CC381">
        <v>0</v>
      </c>
      <c r="CD381">
        <v>0</v>
      </c>
      <c r="CE381">
        <v>0</v>
      </c>
      <c r="CF381">
        <v>0</v>
      </c>
      <c r="CG381">
        <v>0</v>
      </c>
    </row>
    <row r="382" spans="1:85" x14ac:dyDescent="0.25">
      <c r="A382" t="s">
        <v>128</v>
      </c>
      <c r="B382" t="s">
        <v>145</v>
      </c>
      <c r="C382" t="s">
        <v>72</v>
      </c>
      <c r="D382" s="12">
        <v>46247</v>
      </c>
      <c r="E382" t="s">
        <v>134</v>
      </c>
      <c r="F382" t="s">
        <v>134</v>
      </c>
      <c r="G382" t="s">
        <v>134</v>
      </c>
      <c r="H382" t="s">
        <v>75</v>
      </c>
      <c r="I382">
        <v>20</v>
      </c>
      <c r="K382">
        <v>10.972274579690296</v>
      </c>
      <c r="L382">
        <v>46247</v>
      </c>
      <c r="M382" t="s">
        <v>164</v>
      </c>
      <c r="N382">
        <v>11.4</v>
      </c>
      <c r="O382">
        <v>11.4</v>
      </c>
      <c r="P382">
        <v>11.25</v>
      </c>
      <c r="Q382">
        <v>1.0389823839353622</v>
      </c>
      <c r="R382">
        <v>1.0389823839353622</v>
      </c>
      <c r="S382">
        <v>1.0253115630941076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2.5311563094107647E-2</v>
      </c>
      <c r="AA382">
        <v>0</v>
      </c>
      <c r="AB382">
        <v>1.3670820841254594E-2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1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0.96248022628862262</v>
      </c>
      <c r="AO382">
        <v>0.96248022628862262</v>
      </c>
      <c r="AP382">
        <v>0.98684210526315796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1.3157894736842035E-2</v>
      </c>
      <c r="BB382">
        <v>0</v>
      </c>
      <c r="BC382">
        <v>0</v>
      </c>
      <c r="BD382">
        <v>0</v>
      </c>
      <c r="BE382">
        <v>0.96248022628862262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1.0133333333333332</v>
      </c>
      <c r="BL382">
        <v>1.0133333333333332</v>
      </c>
      <c r="BM382">
        <v>0.97531329597247074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1.3333333333333197E-2</v>
      </c>
      <c r="BW382">
        <v>0</v>
      </c>
      <c r="BX382">
        <v>0</v>
      </c>
      <c r="BY382">
        <v>0</v>
      </c>
      <c r="BZ382">
        <v>2.468670402752926E-2</v>
      </c>
      <c r="CA382">
        <v>0</v>
      </c>
      <c r="CB382">
        <v>0.97531329597247074</v>
      </c>
      <c r="CC382">
        <v>0</v>
      </c>
      <c r="CD382">
        <v>0</v>
      </c>
      <c r="CE382">
        <v>0</v>
      </c>
      <c r="CF382">
        <v>0</v>
      </c>
      <c r="CG382">
        <v>0</v>
      </c>
    </row>
    <row r="383" spans="1:85" x14ac:dyDescent="0.25">
      <c r="A383" t="s">
        <v>128</v>
      </c>
      <c r="B383" t="s">
        <v>145</v>
      </c>
      <c r="C383" t="s">
        <v>72</v>
      </c>
      <c r="D383" s="12">
        <v>46223</v>
      </c>
      <c r="E383" t="s">
        <v>136</v>
      </c>
      <c r="F383" t="s">
        <v>136</v>
      </c>
      <c r="G383" t="s">
        <v>136</v>
      </c>
      <c r="H383" t="s">
        <v>73</v>
      </c>
      <c r="I383">
        <v>0</v>
      </c>
      <c r="K383">
        <v>3.6011567851291222</v>
      </c>
      <c r="L383">
        <v>46223</v>
      </c>
      <c r="M383" t="s">
        <v>176</v>
      </c>
      <c r="N383">
        <v>0</v>
      </c>
      <c r="O383">
        <v>0</v>
      </c>
      <c r="P383">
        <v>3.764705882352942</v>
      </c>
      <c r="Q383">
        <v>0</v>
      </c>
      <c r="R383">
        <v>0</v>
      </c>
      <c r="S383">
        <v>1.0454157113900708</v>
      </c>
      <c r="T383">
        <v>4.5415711390070834E-2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1</v>
      </c>
      <c r="AM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1</v>
      </c>
      <c r="BJ383">
        <v>1</v>
      </c>
      <c r="BK383">
        <v>0</v>
      </c>
      <c r="BL383">
        <v>0</v>
      </c>
      <c r="BM383">
        <v>0.95655727104992283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4.344272895007717E-2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0.95655727104992283</v>
      </c>
      <c r="CG383">
        <v>0</v>
      </c>
    </row>
    <row r="384" spans="1:85" x14ac:dyDescent="0.25">
      <c r="A384" t="s">
        <v>128</v>
      </c>
      <c r="B384" t="s">
        <v>145</v>
      </c>
      <c r="C384" t="s">
        <v>72</v>
      </c>
      <c r="D384" s="12">
        <v>46248</v>
      </c>
      <c r="E384" t="s">
        <v>134</v>
      </c>
      <c r="F384" t="s">
        <v>134</v>
      </c>
      <c r="G384" t="s">
        <v>134</v>
      </c>
      <c r="H384" t="s">
        <v>73</v>
      </c>
      <c r="I384">
        <v>20</v>
      </c>
      <c r="K384">
        <v>10.972274579690296</v>
      </c>
      <c r="L384">
        <v>46248</v>
      </c>
      <c r="M384" t="s">
        <v>162</v>
      </c>
      <c r="N384">
        <v>19</v>
      </c>
      <c r="O384">
        <v>19</v>
      </c>
      <c r="P384">
        <v>9.4338235294117645</v>
      </c>
      <c r="Q384">
        <v>1.7316373065589372</v>
      </c>
      <c r="R384">
        <v>1.7316373065589372</v>
      </c>
      <c r="S384">
        <v>0.85978740879067972</v>
      </c>
      <c r="T384">
        <v>0</v>
      </c>
      <c r="U384">
        <v>0</v>
      </c>
      <c r="V384">
        <v>0.48163730655893722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0.25</v>
      </c>
      <c r="AC384">
        <v>0</v>
      </c>
      <c r="AD384">
        <v>0</v>
      </c>
      <c r="AE384">
        <v>0</v>
      </c>
      <c r="AF384">
        <v>0.14021259120932028</v>
      </c>
      <c r="AG384">
        <v>0</v>
      </c>
      <c r="AH384">
        <v>0.85978740879067972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0.57748813577317348</v>
      </c>
      <c r="AO384">
        <v>0.57748813577317348</v>
      </c>
      <c r="AP384">
        <v>0.49651702786377711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0.42251186422682652</v>
      </c>
      <c r="BB384">
        <v>0</v>
      </c>
      <c r="BC384">
        <v>8.0971107909396378E-2</v>
      </c>
      <c r="BD384">
        <v>0</v>
      </c>
      <c r="BE384">
        <v>0.49651702786377711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2.0140296180826187</v>
      </c>
      <c r="BL384">
        <v>2.0140296180826187</v>
      </c>
      <c r="BM384">
        <v>1.1630782095384882</v>
      </c>
      <c r="CD384">
        <v>0</v>
      </c>
      <c r="CE384">
        <v>0</v>
      </c>
      <c r="CF384">
        <v>0</v>
      </c>
    </row>
    <row r="385" spans="1:85" x14ac:dyDescent="0.25">
      <c r="A385" t="s">
        <v>128</v>
      </c>
      <c r="B385" t="s">
        <v>145</v>
      </c>
      <c r="C385" t="s">
        <v>72</v>
      </c>
      <c r="D385" s="12">
        <v>46248</v>
      </c>
      <c r="E385" t="s">
        <v>134</v>
      </c>
      <c r="F385" t="s">
        <v>134</v>
      </c>
      <c r="G385" t="s">
        <v>134</v>
      </c>
      <c r="H385" t="s">
        <v>75</v>
      </c>
      <c r="I385">
        <v>20</v>
      </c>
      <c r="K385">
        <v>11.028542654457938</v>
      </c>
      <c r="L385">
        <v>46248</v>
      </c>
      <c r="M385" t="s">
        <v>159</v>
      </c>
      <c r="N385">
        <v>11.4</v>
      </c>
      <c r="O385">
        <v>11.4</v>
      </c>
      <c r="P385">
        <v>11.253676470588236</v>
      </c>
      <c r="Q385">
        <v>1.0336814534050798</v>
      </c>
      <c r="R385">
        <v>1.0336814534050798</v>
      </c>
      <c r="S385">
        <v>1.0204137412515963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2.041374125159634E-2</v>
      </c>
      <c r="AA385">
        <v>0</v>
      </c>
      <c r="AB385">
        <v>1.3267712153483435E-2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1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0.96741602232087187</v>
      </c>
      <c r="AO385">
        <v>0.96741602232087187</v>
      </c>
      <c r="AP385">
        <v>0.98716460268317863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1.2835397316821373E-2</v>
      </c>
      <c r="BB385">
        <v>0</v>
      </c>
      <c r="BC385">
        <v>0</v>
      </c>
      <c r="BD385">
        <v>0</v>
      </c>
      <c r="BE385">
        <v>0.96741602232087187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1.0130022868343678</v>
      </c>
      <c r="BL385">
        <v>1.0130022868343678</v>
      </c>
      <c r="BM385">
        <v>0.97999464293125094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1.3002286834367771E-2</v>
      </c>
      <c r="BW385">
        <v>0</v>
      </c>
      <c r="BX385">
        <v>0</v>
      </c>
      <c r="BY385">
        <v>0</v>
      </c>
      <c r="BZ385">
        <v>2.0005357068749063E-2</v>
      </c>
      <c r="CA385">
        <v>0</v>
      </c>
      <c r="CB385">
        <v>0.97999464293125094</v>
      </c>
      <c r="CC385">
        <v>0</v>
      </c>
      <c r="CD385">
        <v>0</v>
      </c>
      <c r="CE385">
        <v>0</v>
      </c>
      <c r="CF385">
        <v>0</v>
      </c>
      <c r="CG385">
        <v>0</v>
      </c>
    </row>
    <row r="386" spans="1:85" x14ac:dyDescent="0.25">
      <c r="A386" t="s">
        <v>128</v>
      </c>
      <c r="B386" t="s">
        <v>145</v>
      </c>
      <c r="C386" t="s">
        <v>109</v>
      </c>
      <c r="D386" s="12">
        <v>46250</v>
      </c>
      <c r="E386" t="s">
        <v>135</v>
      </c>
      <c r="F386" t="s">
        <v>135</v>
      </c>
      <c r="G386" t="s">
        <v>135</v>
      </c>
      <c r="K386">
        <v>7.1027814759848891</v>
      </c>
      <c r="N386">
        <v>0</v>
      </c>
      <c r="O386">
        <v>0</v>
      </c>
      <c r="P386">
        <v>5.9307958477508649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0.83499624306384646</v>
      </c>
      <c r="AD386">
        <v>0.1650037569361536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</row>
    <row r="387" spans="1:85" x14ac:dyDescent="0.25">
      <c r="A387" t="s">
        <v>128</v>
      </c>
      <c r="B387" t="s">
        <v>145</v>
      </c>
      <c r="C387" t="s">
        <v>72</v>
      </c>
      <c r="D387" s="12">
        <v>46250</v>
      </c>
      <c r="E387" t="s">
        <v>134</v>
      </c>
      <c r="F387" t="s">
        <v>134</v>
      </c>
      <c r="G387" t="s">
        <v>134</v>
      </c>
      <c r="H387" t="s">
        <v>73</v>
      </c>
      <c r="I387">
        <v>20</v>
      </c>
      <c r="K387">
        <v>10.972274579690296</v>
      </c>
      <c r="L387">
        <v>46250</v>
      </c>
      <c r="M387" t="s">
        <v>171</v>
      </c>
      <c r="N387">
        <v>10.45</v>
      </c>
      <c r="O387">
        <v>10.45</v>
      </c>
      <c r="P387">
        <v>11.25</v>
      </c>
      <c r="Q387">
        <v>0.95240051860741537</v>
      </c>
      <c r="R387">
        <v>0.95240051860741537</v>
      </c>
      <c r="S387">
        <v>1.0253115630941076</v>
      </c>
      <c r="T387">
        <v>2.5311563094107647E-2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4.7599481392584631E-2</v>
      </c>
      <c r="AD387">
        <v>0</v>
      </c>
      <c r="AE387">
        <v>0</v>
      </c>
      <c r="AF387">
        <v>0</v>
      </c>
      <c r="AG387">
        <v>0</v>
      </c>
      <c r="AH387">
        <v>0.95240051860741537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1.0499784286784972</v>
      </c>
      <c r="AO387">
        <v>1.0499784286784972</v>
      </c>
      <c r="AP387">
        <v>1.0765550239234452</v>
      </c>
      <c r="AQ387">
        <v>2.6576595244947931E-2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4.9978428678497222E-2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1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0.92888888888888888</v>
      </c>
      <c r="BL387">
        <v>0.92888888888888888</v>
      </c>
      <c r="BM387">
        <v>0.97531329597247074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</v>
      </c>
      <c r="BV387">
        <v>0</v>
      </c>
      <c r="BW387">
        <v>0</v>
      </c>
      <c r="BX387">
        <v>2.468670402752926E-2</v>
      </c>
      <c r="BY387">
        <v>0</v>
      </c>
      <c r="BZ387">
        <v>0</v>
      </c>
      <c r="CA387">
        <v>0</v>
      </c>
      <c r="CB387">
        <v>0.92888888888888888</v>
      </c>
      <c r="CC387">
        <v>0</v>
      </c>
      <c r="CD387">
        <v>0</v>
      </c>
      <c r="CE387">
        <v>0</v>
      </c>
      <c r="CF387">
        <v>0</v>
      </c>
      <c r="CG387">
        <v>0</v>
      </c>
    </row>
    <row r="388" spans="1:85" x14ac:dyDescent="0.25">
      <c r="A388" t="s">
        <v>128</v>
      </c>
      <c r="B388" t="s">
        <v>145</v>
      </c>
      <c r="C388" t="s">
        <v>72</v>
      </c>
      <c r="D388" s="12">
        <v>46224</v>
      </c>
      <c r="E388" t="s">
        <v>136</v>
      </c>
      <c r="F388" t="s">
        <v>136</v>
      </c>
      <c r="G388" t="s">
        <v>136</v>
      </c>
      <c r="H388" t="s">
        <v>74</v>
      </c>
      <c r="I388">
        <v>0</v>
      </c>
      <c r="K388">
        <v>0</v>
      </c>
      <c r="L388">
        <v>46224</v>
      </c>
      <c r="M388" t="s">
        <v>172</v>
      </c>
      <c r="N388">
        <v>0</v>
      </c>
      <c r="O388">
        <v>0</v>
      </c>
      <c r="P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M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1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G388">
        <v>0</v>
      </c>
    </row>
    <row r="389" spans="1:85" x14ac:dyDescent="0.25">
      <c r="A389" t="s">
        <v>128</v>
      </c>
      <c r="B389" t="s">
        <v>145</v>
      </c>
      <c r="C389" t="s">
        <v>72</v>
      </c>
      <c r="D389" s="12">
        <v>46247</v>
      </c>
      <c r="E389" t="s">
        <v>134</v>
      </c>
      <c r="F389" t="s">
        <v>134</v>
      </c>
      <c r="G389" t="s">
        <v>134</v>
      </c>
      <c r="H389" t="s">
        <v>74</v>
      </c>
      <c r="I389">
        <v>20</v>
      </c>
      <c r="K389">
        <v>4.220105607573192</v>
      </c>
      <c r="L389">
        <v>46247</v>
      </c>
      <c r="M389" t="s">
        <v>165</v>
      </c>
      <c r="N389">
        <v>4.75</v>
      </c>
      <c r="O389">
        <v>4.75</v>
      </c>
      <c r="P389">
        <v>4.6875</v>
      </c>
      <c r="Q389">
        <v>1.1255642492633089</v>
      </c>
      <c r="R389">
        <v>1.1255642492633089</v>
      </c>
      <c r="S389">
        <v>1.1107541933519496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0.11075419335194958</v>
      </c>
      <c r="AA389">
        <v>0</v>
      </c>
      <c r="AB389">
        <v>1.481005591135931E-2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1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0.88844328580488252</v>
      </c>
      <c r="AO389">
        <v>0.88844328580488252</v>
      </c>
      <c r="AP389">
        <v>0.98684210526315785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1.3157894736842146E-2</v>
      </c>
      <c r="BB389">
        <v>0</v>
      </c>
      <c r="BC389">
        <v>0</v>
      </c>
      <c r="BD389">
        <v>0</v>
      </c>
      <c r="BE389">
        <v>0.88844328580488252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1.0133333333333334</v>
      </c>
      <c r="BL389">
        <v>1.0133333333333334</v>
      </c>
      <c r="BM389">
        <v>0.90028919628228099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1.3333333333333419E-2</v>
      </c>
      <c r="BW389">
        <v>0</v>
      </c>
      <c r="BX389">
        <v>0</v>
      </c>
      <c r="BY389">
        <v>0</v>
      </c>
      <c r="BZ389">
        <v>9.971080371771901E-2</v>
      </c>
      <c r="CA389">
        <v>0</v>
      </c>
      <c r="CB389">
        <v>0.90028919628228099</v>
      </c>
      <c r="CC389">
        <v>0</v>
      </c>
      <c r="CD389">
        <v>0</v>
      </c>
      <c r="CE389">
        <v>0</v>
      </c>
      <c r="CF389">
        <v>0</v>
      </c>
      <c r="CG389">
        <v>0</v>
      </c>
    </row>
    <row r="390" spans="1:85" x14ac:dyDescent="0.25">
      <c r="A390" t="s">
        <v>128</v>
      </c>
      <c r="B390" t="s">
        <v>145</v>
      </c>
      <c r="C390" t="s">
        <v>72</v>
      </c>
      <c r="D390" s="12">
        <v>46250</v>
      </c>
      <c r="E390" t="s">
        <v>134</v>
      </c>
      <c r="F390" t="s">
        <v>134</v>
      </c>
      <c r="G390" t="s">
        <v>134</v>
      </c>
      <c r="H390" t="s">
        <v>75</v>
      </c>
      <c r="I390">
        <v>20</v>
      </c>
      <c r="K390">
        <v>10.972274579690296</v>
      </c>
      <c r="L390">
        <v>46250</v>
      </c>
      <c r="M390" t="s">
        <v>174</v>
      </c>
      <c r="N390">
        <v>8.5499999999999989</v>
      </c>
      <c r="O390">
        <v>8.5499999999999989</v>
      </c>
      <c r="P390">
        <v>11.25</v>
      </c>
      <c r="Q390">
        <v>0.77923678795152163</v>
      </c>
      <c r="R390">
        <v>0.77923678795152163</v>
      </c>
      <c r="S390">
        <v>1.0253115630941076</v>
      </c>
      <c r="T390">
        <v>2.5311563094107647E-2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0.22076321204847837</v>
      </c>
      <c r="AD390">
        <v>0</v>
      </c>
      <c r="AE390">
        <v>0</v>
      </c>
      <c r="AF390">
        <v>0</v>
      </c>
      <c r="AG390">
        <v>0</v>
      </c>
      <c r="AH390">
        <v>0.77923678795152163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1.2833069683848302</v>
      </c>
      <c r="AO390">
        <v>1.2833069683848302</v>
      </c>
      <c r="AP390">
        <v>1.3157894736842106</v>
      </c>
      <c r="AQ390">
        <v>3.248250529938046E-2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0.28330696838483016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1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0.7599999999999999</v>
      </c>
      <c r="BL390">
        <v>0.7599999999999999</v>
      </c>
      <c r="BM390">
        <v>0.97531329597247074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2.468670402752926E-2</v>
      </c>
      <c r="BY390">
        <v>0</v>
      </c>
      <c r="BZ390">
        <v>0</v>
      </c>
      <c r="CA390">
        <v>0</v>
      </c>
      <c r="CB390">
        <v>0.7599999999999999</v>
      </c>
      <c r="CC390">
        <v>0</v>
      </c>
      <c r="CD390">
        <v>0</v>
      </c>
      <c r="CE390">
        <v>0</v>
      </c>
      <c r="CF390">
        <v>0</v>
      </c>
      <c r="CG390">
        <v>0</v>
      </c>
    </row>
    <row r="391" spans="1:85" x14ac:dyDescent="0.25">
      <c r="A391" t="s">
        <v>128</v>
      </c>
      <c r="B391" t="s">
        <v>145</v>
      </c>
      <c r="C391" t="s">
        <v>72</v>
      </c>
      <c r="D391" s="12">
        <v>46223</v>
      </c>
      <c r="E391" t="s">
        <v>136</v>
      </c>
      <c r="F391" t="s">
        <v>136</v>
      </c>
      <c r="G391" t="s">
        <v>136</v>
      </c>
      <c r="H391" t="s">
        <v>75</v>
      </c>
      <c r="I391">
        <v>0</v>
      </c>
      <c r="K391">
        <v>3.1774912809962848</v>
      </c>
      <c r="L391">
        <v>46223</v>
      </c>
      <c r="M391" t="s">
        <v>168</v>
      </c>
      <c r="N391">
        <v>0</v>
      </c>
      <c r="O391">
        <v>0</v>
      </c>
      <c r="P391">
        <v>2.8685121107266438</v>
      </c>
      <c r="Q391">
        <v>0</v>
      </c>
      <c r="R391">
        <v>0</v>
      </c>
      <c r="S391">
        <v>0.9027600257733005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0.9027600257733005</v>
      </c>
      <c r="AD391">
        <v>9.7239974226699499E-2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1</v>
      </c>
      <c r="BK391">
        <v>0</v>
      </c>
      <c r="BL391">
        <v>0</v>
      </c>
      <c r="BM391">
        <v>1.1077140895149895</v>
      </c>
      <c r="BN391">
        <v>0.10771408951498951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0</v>
      </c>
      <c r="BW391">
        <v>0</v>
      </c>
      <c r="BX391">
        <v>0</v>
      </c>
      <c r="BY391">
        <v>0</v>
      </c>
      <c r="BZ391">
        <v>0</v>
      </c>
      <c r="CA391">
        <v>0</v>
      </c>
      <c r="CB391">
        <v>0</v>
      </c>
      <c r="CC391">
        <v>0</v>
      </c>
      <c r="CD391">
        <v>0</v>
      </c>
      <c r="CE391">
        <v>0</v>
      </c>
      <c r="CF391">
        <v>1</v>
      </c>
      <c r="CG391">
        <v>1</v>
      </c>
    </row>
    <row r="392" spans="1:85" x14ac:dyDescent="0.25">
      <c r="A392" t="s">
        <v>128</v>
      </c>
      <c r="B392" t="s">
        <v>145</v>
      </c>
      <c r="C392" t="s">
        <v>109</v>
      </c>
      <c r="D392" s="12">
        <v>46250</v>
      </c>
      <c r="E392" t="s">
        <v>136</v>
      </c>
      <c r="F392" t="s">
        <v>136</v>
      </c>
      <c r="G392" t="s">
        <v>136</v>
      </c>
      <c r="K392">
        <v>6.7786480661254078</v>
      </c>
      <c r="N392">
        <v>0.95</v>
      </c>
      <c r="O392">
        <v>0.95</v>
      </c>
      <c r="P392">
        <v>9.3354238754325252</v>
      </c>
      <c r="T392">
        <v>0.3771807865470938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0.39110406076067183</v>
      </c>
      <c r="AD392">
        <v>0</v>
      </c>
      <c r="AE392">
        <v>0</v>
      </c>
      <c r="AF392">
        <v>0</v>
      </c>
      <c r="AG392">
        <v>0</v>
      </c>
      <c r="AH392">
        <v>0.14014593923932805</v>
      </c>
      <c r="AI392">
        <v>0</v>
      </c>
      <c r="AJ392">
        <v>0</v>
      </c>
      <c r="AK392">
        <v>0</v>
      </c>
      <c r="AM392">
        <v>0</v>
      </c>
    </row>
    <row r="393" spans="1:85" x14ac:dyDescent="0.25">
      <c r="A393" t="s">
        <v>128</v>
      </c>
      <c r="B393" t="s">
        <v>145</v>
      </c>
      <c r="C393" t="s">
        <v>72</v>
      </c>
      <c r="D393" s="12">
        <v>46250</v>
      </c>
      <c r="E393" t="s">
        <v>134</v>
      </c>
      <c r="F393" t="s">
        <v>134</v>
      </c>
      <c r="G393" t="s">
        <v>134</v>
      </c>
      <c r="H393" t="s">
        <v>74</v>
      </c>
      <c r="I393">
        <v>20</v>
      </c>
      <c r="K393">
        <v>4.220105607573192</v>
      </c>
      <c r="L393">
        <v>46250</v>
      </c>
      <c r="M393" t="s">
        <v>173</v>
      </c>
      <c r="N393">
        <v>4.75</v>
      </c>
      <c r="O393">
        <v>4.75</v>
      </c>
      <c r="P393">
        <v>4.6875</v>
      </c>
      <c r="Q393">
        <v>1.1255642492633089</v>
      </c>
      <c r="R393">
        <v>1.1255642492633089</v>
      </c>
      <c r="S393">
        <v>1.1107541933519496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0.11075419335194958</v>
      </c>
      <c r="AA393">
        <v>0</v>
      </c>
      <c r="AB393">
        <v>1.481005591135931E-2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1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0.88844328580488252</v>
      </c>
      <c r="AO393">
        <v>0.88844328580488252</v>
      </c>
      <c r="AP393">
        <v>0.98684210526315785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1.3157894736842146E-2</v>
      </c>
      <c r="BB393">
        <v>0</v>
      </c>
      <c r="BC393">
        <v>0</v>
      </c>
      <c r="BD393">
        <v>0</v>
      </c>
      <c r="BE393">
        <v>0.88844328580488252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1.0133333333333334</v>
      </c>
      <c r="BL393">
        <v>1.0133333333333334</v>
      </c>
      <c r="BM393">
        <v>0.90028919628228099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</v>
      </c>
      <c r="BV393">
        <v>1.3333333333333419E-2</v>
      </c>
      <c r="BW393">
        <v>0</v>
      </c>
      <c r="BX393">
        <v>0</v>
      </c>
      <c r="BY393">
        <v>0</v>
      </c>
      <c r="BZ393">
        <v>9.971080371771901E-2</v>
      </c>
      <c r="CA393">
        <v>0</v>
      </c>
      <c r="CB393">
        <v>0.90028919628228099</v>
      </c>
      <c r="CC393">
        <v>0</v>
      </c>
      <c r="CD393">
        <v>0</v>
      </c>
      <c r="CE393">
        <v>0</v>
      </c>
      <c r="CF393">
        <v>0</v>
      </c>
      <c r="CG393">
        <v>0</v>
      </c>
    </row>
    <row r="394" spans="1:85" x14ac:dyDescent="0.25">
      <c r="A394" t="s">
        <v>128</v>
      </c>
      <c r="B394" t="s">
        <v>145</v>
      </c>
      <c r="C394" t="s">
        <v>72</v>
      </c>
      <c r="D394" s="12">
        <v>46249</v>
      </c>
      <c r="E394" t="s">
        <v>134</v>
      </c>
      <c r="F394" t="s">
        <v>134</v>
      </c>
      <c r="G394" t="s">
        <v>134</v>
      </c>
      <c r="H394" t="s">
        <v>73</v>
      </c>
      <c r="I394">
        <v>20</v>
      </c>
      <c r="K394">
        <v>11.028542654457937</v>
      </c>
      <c r="L394">
        <v>46249</v>
      </c>
      <c r="M394" t="s">
        <v>158</v>
      </c>
      <c r="N394">
        <v>14.25</v>
      </c>
      <c r="O394">
        <v>14.25</v>
      </c>
      <c r="P394">
        <v>11.25</v>
      </c>
      <c r="Q394">
        <v>1.2921018167563501</v>
      </c>
      <c r="R394">
        <v>1.2921018167563501</v>
      </c>
      <c r="S394">
        <v>1.0200803816497501</v>
      </c>
      <c r="T394">
        <v>0</v>
      </c>
      <c r="U394">
        <v>0</v>
      </c>
      <c r="V394">
        <v>4.2101816756350052E-2</v>
      </c>
      <c r="W394">
        <v>0</v>
      </c>
      <c r="X394">
        <v>0</v>
      </c>
      <c r="Y394">
        <v>0</v>
      </c>
      <c r="Z394">
        <v>2.0080381649750123E-2</v>
      </c>
      <c r="AA394">
        <v>0</v>
      </c>
      <c r="AB394">
        <v>0.22991961835024988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1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0.77393281785669732</v>
      </c>
      <c r="AO394">
        <v>0.77393281785669732</v>
      </c>
      <c r="AP394">
        <v>0.78947368421052633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0.21052631578947367</v>
      </c>
      <c r="BB394">
        <v>0</v>
      </c>
      <c r="BC394">
        <v>0</v>
      </c>
      <c r="BD394">
        <v>0</v>
      </c>
      <c r="BE394">
        <v>0.77393281785669732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1.2666666666666666</v>
      </c>
      <c r="BL394">
        <v>1.2666666666666666</v>
      </c>
      <c r="BM394">
        <v>0.9803149026184832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0.26666666666666661</v>
      </c>
      <c r="BW394">
        <v>0</v>
      </c>
      <c r="BX394">
        <v>0</v>
      </c>
      <c r="BY394">
        <v>0</v>
      </c>
      <c r="BZ394">
        <v>1.9685097381516803E-2</v>
      </c>
      <c r="CA394">
        <v>0</v>
      </c>
      <c r="CB394">
        <v>0.9803149026184832</v>
      </c>
      <c r="CC394">
        <v>0</v>
      </c>
      <c r="CD394">
        <v>0</v>
      </c>
      <c r="CE394">
        <v>0</v>
      </c>
      <c r="CF394">
        <v>0</v>
      </c>
      <c r="CG394">
        <v>0</v>
      </c>
    </row>
    <row r="395" spans="1:85" x14ac:dyDescent="0.25">
      <c r="A395" t="s">
        <v>128</v>
      </c>
      <c r="B395" t="s">
        <v>145</v>
      </c>
      <c r="C395" t="s">
        <v>72</v>
      </c>
      <c r="D395" s="12">
        <v>46223</v>
      </c>
      <c r="E395" t="s">
        <v>136</v>
      </c>
      <c r="F395" t="s">
        <v>136</v>
      </c>
      <c r="G395" t="s">
        <v>136</v>
      </c>
      <c r="H395" t="s">
        <v>74</v>
      </c>
      <c r="I395">
        <v>0</v>
      </c>
      <c r="K395">
        <v>0</v>
      </c>
      <c r="L395">
        <v>46223</v>
      </c>
      <c r="M395" t="s">
        <v>160</v>
      </c>
      <c r="N395">
        <v>0</v>
      </c>
      <c r="O395">
        <v>0</v>
      </c>
      <c r="P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M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1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  <c r="CG395">
        <v>0</v>
      </c>
    </row>
    <row r="396" spans="1:85" x14ac:dyDescent="0.25">
      <c r="A396" t="s">
        <v>128</v>
      </c>
      <c r="B396" t="s">
        <v>146</v>
      </c>
      <c r="C396" t="s">
        <v>109</v>
      </c>
      <c r="D396" s="12">
        <v>46226</v>
      </c>
      <c r="E396" t="s">
        <v>135</v>
      </c>
      <c r="F396" t="s">
        <v>135</v>
      </c>
      <c r="G396" t="s">
        <v>135</v>
      </c>
      <c r="K396">
        <v>10.752377986437555</v>
      </c>
      <c r="N396">
        <v>6.6499999999999995</v>
      </c>
      <c r="O396">
        <v>6.6499999999999995</v>
      </c>
      <c r="P396">
        <v>8.9862046985977049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2.741516685299026E-2</v>
      </c>
      <c r="AC396">
        <v>0.27661819639566004</v>
      </c>
      <c r="AD396">
        <v>0.13232912935390764</v>
      </c>
      <c r="AE396">
        <v>0</v>
      </c>
      <c r="AF396">
        <v>3.1929724833287133E-2</v>
      </c>
      <c r="AG396">
        <v>0</v>
      </c>
      <c r="AH396">
        <v>0.55912294941714513</v>
      </c>
      <c r="AI396">
        <v>0</v>
      </c>
      <c r="AJ396">
        <v>0</v>
      </c>
      <c r="AK396">
        <v>0</v>
      </c>
      <c r="AL396">
        <v>0</v>
      </c>
      <c r="AM396">
        <v>0</v>
      </c>
    </row>
    <row r="397" spans="1:85" x14ac:dyDescent="0.25">
      <c r="A397" t="s">
        <v>128</v>
      </c>
      <c r="B397" t="s">
        <v>146</v>
      </c>
      <c r="C397" t="s">
        <v>109</v>
      </c>
      <c r="D397" s="12">
        <v>46226</v>
      </c>
      <c r="E397" t="s">
        <v>136</v>
      </c>
      <c r="F397" t="s">
        <v>136</v>
      </c>
      <c r="G397" t="s">
        <v>136</v>
      </c>
      <c r="K397">
        <v>6.7655742969551058</v>
      </c>
      <c r="N397">
        <v>6.6499999999999995</v>
      </c>
      <c r="O397">
        <v>6.6499999999999995</v>
      </c>
      <c r="P397">
        <v>9.3354238754325252</v>
      </c>
      <c r="T397">
        <v>0.34845024783683287</v>
      </c>
      <c r="U397">
        <v>0</v>
      </c>
      <c r="V397">
        <v>0</v>
      </c>
      <c r="W397">
        <v>0</v>
      </c>
      <c r="X397">
        <v>0</v>
      </c>
      <c r="Y397">
        <v>0.10117700989211498</v>
      </c>
      <c r="Z397">
        <v>3.1391797447334564E-2</v>
      </c>
      <c r="AA397">
        <v>0</v>
      </c>
      <c r="AB397">
        <v>0</v>
      </c>
      <c r="AC397">
        <v>4.8474500538352429E-2</v>
      </c>
      <c r="AD397">
        <v>0</v>
      </c>
      <c r="AE397">
        <v>0</v>
      </c>
      <c r="AF397">
        <v>0</v>
      </c>
      <c r="AG397">
        <v>0</v>
      </c>
      <c r="AH397">
        <v>0.42125027010384947</v>
      </c>
      <c r="AI397">
        <v>0</v>
      </c>
      <c r="AJ397">
        <v>0</v>
      </c>
      <c r="AK397">
        <v>0</v>
      </c>
      <c r="AM397">
        <v>0.53027522935779814</v>
      </c>
    </row>
    <row r="398" spans="1:85" x14ac:dyDescent="0.25">
      <c r="A398" t="s">
        <v>128</v>
      </c>
      <c r="B398" t="s">
        <v>146</v>
      </c>
      <c r="C398" t="s">
        <v>109</v>
      </c>
      <c r="D398" s="12">
        <v>46243</v>
      </c>
      <c r="E398" t="s">
        <v>135</v>
      </c>
      <c r="F398" t="s">
        <v>135</v>
      </c>
      <c r="G398" t="s">
        <v>135</v>
      </c>
      <c r="K398">
        <v>8.1606633099352042</v>
      </c>
      <c r="N398">
        <v>0</v>
      </c>
      <c r="O398">
        <v>0</v>
      </c>
      <c r="P398">
        <v>6.8685121107266429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0.8416610084090308</v>
      </c>
      <c r="AD398">
        <v>0.15833899159096917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</row>
    <row r="399" spans="1:85" x14ac:dyDescent="0.25">
      <c r="A399" t="s">
        <v>128</v>
      </c>
      <c r="B399" t="s">
        <v>146</v>
      </c>
      <c r="C399" t="s">
        <v>117</v>
      </c>
      <c r="D399" s="12">
        <v>46242</v>
      </c>
      <c r="K399">
        <v>40.023176804576735</v>
      </c>
      <c r="N399">
        <v>15.2</v>
      </c>
      <c r="O399">
        <v>15.2</v>
      </c>
      <c r="P399">
        <v>43.453935986159166</v>
      </c>
      <c r="T399">
        <v>9.6928612315517512E-2</v>
      </c>
      <c r="U399">
        <v>0</v>
      </c>
      <c r="V399">
        <v>0</v>
      </c>
      <c r="W399">
        <v>0</v>
      </c>
      <c r="X399">
        <v>0</v>
      </c>
      <c r="Y399">
        <v>1.7103104556422645E-2</v>
      </c>
      <c r="Z399">
        <v>5.3065137478197659E-3</v>
      </c>
      <c r="AA399">
        <v>0</v>
      </c>
      <c r="AB399">
        <v>0</v>
      </c>
      <c r="AC399">
        <v>0.57305227740444464</v>
      </c>
      <c r="AD399">
        <v>1.651581401736996E-2</v>
      </c>
      <c r="AE399">
        <v>0</v>
      </c>
      <c r="AF399">
        <v>0</v>
      </c>
      <c r="AG399">
        <v>0</v>
      </c>
      <c r="AH399">
        <v>0.26109871415317087</v>
      </c>
      <c r="AI399">
        <v>0</v>
      </c>
      <c r="AJ399">
        <v>0</v>
      </c>
      <c r="AK399">
        <v>0</v>
      </c>
      <c r="AM399">
        <v>8.9638473216969647E-2</v>
      </c>
    </row>
    <row r="400" spans="1:85" x14ac:dyDescent="0.25">
      <c r="A400" t="s">
        <v>128</v>
      </c>
      <c r="B400" t="s">
        <v>146</v>
      </c>
      <c r="C400" t="s">
        <v>109</v>
      </c>
      <c r="D400" s="12">
        <v>46247</v>
      </c>
      <c r="E400" t="s">
        <v>134</v>
      </c>
      <c r="F400" t="s">
        <v>134</v>
      </c>
      <c r="G400" t="s">
        <v>134</v>
      </c>
      <c r="K400">
        <v>26.089357948327105</v>
      </c>
      <c r="N400">
        <v>5.6999999999999993</v>
      </c>
      <c r="O400">
        <v>5.6999999999999993</v>
      </c>
      <c r="P400">
        <v>27.09375</v>
      </c>
      <c r="T400">
        <v>3.8498151378895763E-2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0.2021470079518487</v>
      </c>
      <c r="AD400">
        <v>0</v>
      </c>
      <c r="AE400">
        <v>0</v>
      </c>
      <c r="AF400">
        <v>0</v>
      </c>
      <c r="AG400">
        <v>0</v>
      </c>
      <c r="AH400">
        <v>0.21847988790254969</v>
      </c>
      <c r="AI400">
        <v>0</v>
      </c>
      <c r="AJ400">
        <v>0</v>
      </c>
      <c r="AK400">
        <v>0</v>
      </c>
      <c r="AL400">
        <v>0.57937310414560161</v>
      </c>
      <c r="AM400">
        <v>0</v>
      </c>
    </row>
    <row r="401" spans="1:39" x14ac:dyDescent="0.25">
      <c r="A401" t="s">
        <v>128</v>
      </c>
      <c r="B401" t="s">
        <v>146</v>
      </c>
      <c r="C401" t="s">
        <v>109</v>
      </c>
      <c r="D401" s="12">
        <v>46239</v>
      </c>
      <c r="E401" t="s">
        <v>136</v>
      </c>
      <c r="F401" t="s">
        <v>136</v>
      </c>
      <c r="G401" t="s">
        <v>136</v>
      </c>
      <c r="K401">
        <v>6.7655742969551049</v>
      </c>
      <c r="N401">
        <v>7.6</v>
      </c>
      <c r="O401">
        <v>7.6</v>
      </c>
      <c r="P401">
        <v>9.3354238754325252</v>
      </c>
      <c r="T401">
        <v>0.3484502478368327</v>
      </c>
      <c r="U401">
        <v>0</v>
      </c>
      <c r="V401">
        <v>0</v>
      </c>
      <c r="W401">
        <v>0</v>
      </c>
      <c r="X401">
        <v>0</v>
      </c>
      <c r="Y401">
        <v>0.10117700989211498</v>
      </c>
      <c r="Z401">
        <v>3.1391797447334564E-2</v>
      </c>
      <c r="AA401">
        <v>0</v>
      </c>
      <c r="AB401">
        <v>0</v>
      </c>
      <c r="AC401">
        <v>4.8474500538352373E-2</v>
      </c>
      <c r="AD401">
        <v>0</v>
      </c>
      <c r="AE401">
        <v>0</v>
      </c>
      <c r="AF401">
        <v>0</v>
      </c>
      <c r="AG401">
        <v>0</v>
      </c>
      <c r="AH401">
        <v>0.42125027010384952</v>
      </c>
      <c r="AI401">
        <v>0</v>
      </c>
      <c r="AJ401">
        <v>0</v>
      </c>
      <c r="AK401">
        <v>0</v>
      </c>
      <c r="AM401">
        <v>0.53027522935779825</v>
      </c>
    </row>
    <row r="402" spans="1:39" x14ac:dyDescent="0.25">
      <c r="A402" t="s">
        <v>128</v>
      </c>
      <c r="B402" t="s">
        <v>146</v>
      </c>
      <c r="C402" t="s">
        <v>109</v>
      </c>
      <c r="D402" s="12">
        <v>46227</v>
      </c>
      <c r="E402" t="s">
        <v>134</v>
      </c>
      <c r="F402" t="s">
        <v>134</v>
      </c>
      <c r="G402" t="s">
        <v>134</v>
      </c>
      <c r="K402">
        <v>26.221255612373248</v>
      </c>
      <c r="N402">
        <v>5.6999999999999993</v>
      </c>
      <c r="O402">
        <v>5.6999999999999993</v>
      </c>
      <c r="P402">
        <v>26.375000000000004</v>
      </c>
      <c r="T402">
        <v>2.373729588444335E-2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0.76474515917556196</v>
      </c>
      <c r="AD402">
        <v>1.787394632180055E-2</v>
      </c>
      <c r="AE402">
        <v>0</v>
      </c>
      <c r="AF402">
        <v>0</v>
      </c>
      <c r="AG402">
        <v>0</v>
      </c>
      <c r="AH402">
        <v>0.21738089450263745</v>
      </c>
      <c r="AI402">
        <v>0</v>
      </c>
      <c r="AJ402">
        <v>0</v>
      </c>
      <c r="AK402">
        <v>0</v>
      </c>
      <c r="AL402">
        <v>0</v>
      </c>
      <c r="AM402">
        <v>0</v>
      </c>
    </row>
    <row r="403" spans="1:39" x14ac:dyDescent="0.25">
      <c r="A403" t="s">
        <v>128</v>
      </c>
      <c r="B403" t="s">
        <v>146</v>
      </c>
      <c r="C403" t="s">
        <v>109</v>
      </c>
      <c r="D403" s="12">
        <v>46243</v>
      </c>
      <c r="E403" t="s">
        <v>136</v>
      </c>
      <c r="F403" t="s">
        <v>136</v>
      </c>
      <c r="G403" t="s">
        <v>136</v>
      </c>
      <c r="K403">
        <v>6.7655742969551058</v>
      </c>
      <c r="N403">
        <v>7.6</v>
      </c>
      <c r="O403">
        <v>7.6</v>
      </c>
      <c r="P403">
        <v>9.3354238754325269</v>
      </c>
      <c r="T403">
        <v>0.34845024783683298</v>
      </c>
      <c r="U403">
        <v>0</v>
      </c>
      <c r="V403">
        <v>0</v>
      </c>
      <c r="W403">
        <v>0</v>
      </c>
      <c r="X403">
        <v>0</v>
      </c>
      <c r="Y403">
        <v>0.10117700989211498</v>
      </c>
      <c r="Z403">
        <v>3.1391797447334564E-2</v>
      </c>
      <c r="AA403">
        <v>0</v>
      </c>
      <c r="AB403">
        <v>0</v>
      </c>
      <c r="AC403">
        <v>4.8474500538352429E-2</v>
      </c>
      <c r="AD403">
        <v>0</v>
      </c>
      <c r="AE403">
        <v>0</v>
      </c>
      <c r="AF403">
        <v>0</v>
      </c>
      <c r="AG403">
        <v>0</v>
      </c>
      <c r="AH403">
        <v>0.42125027010384947</v>
      </c>
      <c r="AI403">
        <v>0</v>
      </c>
      <c r="AJ403">
        <v>0</v>
      </c>
      <c r="AK403">
        <v>0</v>
      </c>
      <c r="AM403">
        <v>0.53027522935779814</v>
      </c>
    </row>
    <row r="404" spans="1:39" x14ac:dyDescent="0.25">
      <c r="A404" t="s">
        <v>128</v>
      </c>
      <c r="B404" t="s">
        <v>146</v>
      </c>
      <c r="C404" t="s">
        <v>109</v>
      </c>
      <c r="D404" s="12">
        <v>46226</v>
      </c>
      <c r="E404" t="s">
        <v>134</v>
      </c>
      <c r="F404" t="s">
        <v>134</v>
      </c>
      <c r="G404" t="s">
        <v>134</v>
      </c>
      <c r="K404">
        <v>26.933502998222423</v>
      </c>
      <c r="N404">
        <v>6.6499999999999995</v>
      </c>
      <c r="O404">
        <v>6.6499999999999995</v>
      </c>
      <c r="P404">
        <v>23.71875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0.63373672563596783</v>
      </c>
      <c r="AD404">
        <v>0.11935888912907436</v>
      </c>
      <c r="AE404">
        <v>0</v>
      </c>
      <c r="AF404">
        <v>0</v>
      </c>
      <c r="AG404">
        <v>0</v>
      </c>
      <c r="AH404">
        <v>0.24690438523495778</v>
      </c>
      <c r="AI404">
        <v>0</v>
      </c>
      <c r="AJ404">
        <v>0</v>
      </c>
      <c r="AK404">
        <v>0</v>
      </c>
      <c r="AL404">
        <v>0</v>
      </c>
      <c r="AM404">
        <v>0</v>
      </c>
    </row>
    <row r="405" spans="1:39" x14ac:dyDescent="0.25">
      <c r="A405" t="s">
        <v>128</v>
      </c>
      <c r="B405" t="s">
        <v>146</v>
      </c>
      <c r="C405" t="s">
        <v>109</v>
      </c>
      <c r="D405" s="12">
        <v>46238</v>
      </c>
      <c r="E405" t="s">
        <v>134</v>
      </c>
      <c r="F405" t="s">
        <v>134</v>
      </c>
      <c r="G405" t="s">
        <v>134</v>
      </c>
      <c r="K405">
        <v>28.199720573065392</v>
      </c>
      <c r="N405">
        <v>4.75</v>
      </c>
      <c r="O405">
        <v>4.75</v>
      </c>
      <c r="P405">
        <v>29.90625</v>
      </c>
      <c r="T405">
        <v>6.0515827542084899E-2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0.68188602343652815</v>
      </c>
      <c r="AD405">
        <v>0</v>
      </c>
      <c r="AE405">
        <v>0</v>
      </c>
      <c r="AF405">
        <v>0</v>
      </c>
      <c r="AG405">
        <v>0</v>
      </c>
      <c r="AH405">
        <v>0.16844138535673658</v>
      </c>
      <c r="AI405">
        <v>0</v>
      </c>
      <c r="AJ405">
        <v>0</v>
      </c>
      <c r="AK405">
        <v>0</v>
      </c>
      <c r="AL405">
        <v>0.14967259120673529</v>
      </c>
      <c r="AM405">
        <v>0</v>
      </c>
    </row>
    <row r="406" spans="1:39" x14ac:dyDescent="0.25">
      <c r="A406" t="s">
        <v>128</v>
      </c>
      <c r="B406" t="s">
        <v>146</v>
      </c>
      <c r="C406" t="s">
        <v>109</v>
      </c>
      <c r="D406" s="12">
        <v>46247</v>
      </c>
      <c r="E406" t="s">
        <v>136</v>
      </c>
      <c r="F406" t="s">
        <v>136</v>
      </c>
      <c r="G406" t="s">
        <v>136</v>
      </c>
      <c r="K406">
        <v>6.7655742969551058</v>
      </c>
      <c r="N406">
        <v>6.6499999999999995</v>
      </c>
      <c r="O406">
        <v>6.6499999999999995</v>
      </c>
      <c r="P406">
        <v>9.3354238754325252</v>
      </c>
      <c r="T406">
        <v>0.34845024783683293</v>
      </c>
      <c r="U406">
        <v>0</v>
      </c>
      <c r="V406">
        <v>0</v>
      </c>
      <c r="W406">
        <v>0</v>
      </c>
      <c r="X406">
        <v>0</v>
      </c>
      <c r="Y406">
        <v>0.1011770098921151</v>
      </c>
      <c r="Z406">
        <v>3.1391797447334446E-2</v>
      </c>
      <c r="AA406">
        <v>0</v>
      </c>
      <c r="AB406">
        <v>0</v>
      </c>
      <c r="AC406">
        <v>4.8474500538352373E-2</v>
      </c>
      <c r="AD406">
        <v>0</v>
      </c>
      <c r="AE406">
        <v>0</v>
      </c>
      <c r="AF406">
        <v>0</v>
      </c>
      <c r="AG406">
        <v>0</v>
      </c>
      <c r="AH406">
        <v>0.42125027010384947</v>
      </c>
      <c r="AI406">
        <v>0</v>
      </c>
      <c r="AJ406">
        <v>0</v>
      </c>
      <c r="AK406">
        <v>0</v>
      </c>
      <c r="AM406">
        <v>0.53027522935779814</v>
      </c>
    </row>
    <row r="407" spans="1:39" x14ac:dyDescent="0.25">
      <c r="A407" t="s">
        <v>128</v>
      </c>
      <c r="B407" t="s">
        <v>146</v>
      </c>
      <c r="C407" t="s">
        <v>117</v>
      </c>
      <c r="D407" s="12">
        <v>46240</v>
      </c>
      <c r="K407">
        <v>44.451455281615075</v>
      </c>
      <c r="N407">
        <v>13.299999999999999</v>
      </c>
      <c r="O407">
        <v>13.299999999999999</v>
      </c>
      <c r="P407">
        <v>45.356338781642684</v>
      </c>
      <c r="T407">
        <v>7.7730032018527753E-2</v>
      </c>
      <c r="U407">
        <v>0</v>
      </c>
      <c r="V407">
        <v>0</v>
      </c>
      <c r="W407">
        <v>0</v>
      </c>
      <c r="X407">
        <v>0</v>
      </c>
      <c r="Y407">
        <v>1.5399283853187597E-2</v>
      </c>
      <c r="Z407">
        <v>4.7778759232827298E-3</v>
      </c>
      <c r="AA407">
        <v>0</v>
      </c>
      <c r="AB407">
        <v>0</v>
      </c>
      <c r="AC407">
        <v>0.64342383299117534</v>
      </c>
      <c r="AD407">
        <v>6.2151240330033414E-2</v>
      </c>
      <c r="AE407">
        <v>0</v>
      </c>
      <c r="AF407">
        <v>0</v>
      </c>
      <c r="AG407">
        <v>0</v>
      </c>
      <c r="AH407">
        <v>0.21371628757291009</v>
      </c>
      <c r="AI407">
        <v>0</v>
      </c>
      <c r="AJ407">
        <v>0</v>
      </c>
      <c r="AK407">
        <v>0</v>
      </c>
      <c r="AM407">
        <v>8.0708639105881302E-2</v>
      </c>
    </row>
    <row r="408" spans="1:39" x14ac:dyDescent="0.25">
      <c r="A408" t="s">
        <v>128</v>
      </c>
      <c r="B408" t="s">
        <v>146</v>
      </c>
      <c r="C408" t="s">
        <v>109</v>
      </c>
      <c r="D408" s="12">
        <v>46243</v>
      </c>
      <c r="E408" t="s">
        <v>134</v>
      </c>
      <c r="F408" t="s">
        <v>134</v>
      </c>
      <c r="G408" t="s">
        <v>134</v>
      </c>
      <c r="K408">
        <v>27.012641596650106</v>
      </c>
      <c r="N408">
        <v>8.5499999999999989</v>
      </c>
      <c r="O408">
        <v>8.5499999999999989</v>
      </c>
      <c r="P408">
        <v>28.125</v>
      </c>
      <c r="T408">
        <v>4.1179178991803504E-2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0.68348152958649189</v>
      </c>
      <c r="AD408">
        <v>0</v>
      </c>
      <c r="AE408">
        <v>0</v>
      </c>
      <c r="AF408">
        <v>0</v>
      </c>
      <c r="AG408">
        <v>0</v>
      </c>
      <c r="AH408">
        <v>0.31651847041350828</v>
      </c>
      <c r="AI408">
        <v>0</v>
      </c>
      <c r="AJ408">
        <v>0</v>
      </c>
      <c r="AK408">
        <v>0</v>
      </c>
      <c r="AL408">
        <v>0</v>
      </c>
      <c r="AM408">
        <v>0</v>
      </c>
    </row>
    <row r="409" spans="1:39" x14ac:dyDescent="0.25">
      <c r="A409" t="s">
        <v>128</v>
      </c>
      <c r="B409" t="s">
        <v>146</v>
      </c>
      <c r="C409" t="s">
        <v>109</v>
      </c>
      <c r="D409" s="12">
        <v>46227</v>
      </c>
      <c r="E409" t="s">
        <v>136</v>
      </c>
      <c r="F409" t="s">
        <v>136</v>
      </c>
      <c r="G409" t="s">
        <v>136</v>
      </c>
      <c r="K409">
        <v>6.7655742969551049</v>
      </c>
      <c r="N409">
        <v>6.6499999999999995</v>
      </c>
      <c r="O409">
        <v>6.6499999999999995</v>
      </c>
      <c r="P409">
        <v>7.5707179930795858</v>
      </c>
      <c r="T409">
        <v>0.13335244618612588</v>
      </c>
      <c r="U409">
        <v>0</v>
      </c>
      <c r="V409">
        <v>0</v>
      </c>
      <c r="W409">
        <v>0</v>
      </c>
      <c r="X409">
        <v>0</v>
      </c>
      <c r="Y409">
        <v>0.10117700989211498</v>
      </c>
      <c r="Z409">
        <v>3.1391797447334564E-2</v>
      </c>
      <c r="AA409">
        <v>0</v>
      </c>
      <c r="AB409">
        <v>0</v>
      </c>
      <c r="AC409">
        <v>2.7362216294004554E-3</v>
      </c>
      <c r="AD409">
        <v>4.5738278908951921E-2</v>
      </c>
      <c r="AE409">
        <v>0</v>
      </c>
      <c r="AF409">
        <v>0</v>
      </c>
      <c r="AG409">
        <v>0</v>
      </c>
      <c r="AH409">
        <v>0.42125027010384952</v>
      </c>
      <c r="AI409">
        <v>0</v>
      </c>
      <c r="AJ409">
        <v>0</v>
      </c>
      <c r="AK409">
        <v>0</v>
      </c>
      <c r="AM409">
        <v>0.53027522935779825</v>
      </c>
    </row>
    <row r="410" spans="1:39" x14ac:dyDescent="0.25">
      <c r="A410" t="s">
        <v>128</v>
      </c>
      <c r="B410" t="s">
        <v>146</v>
      </c>
      <c r="C410" t="s">
        <v>109</v>
      </c>
      <c r="D410" s="12">
        <v>46235</v>
      </c>
      <c r="E410" t="s">
        <v>135</v>
      </c>
      <c r="F410" t="s">
        <v>135</v>
      </c>
      <c r="G410" t="s">
        <v>135</v>
      </c>
      <c r="K410">
        <v>8.86336106911447</v>
      </c>
      <c r="N410">
        <v>5.7</v>
      </c>
      <c r="O410">
        <v>5.7</v>
      </c>
      <c r="P410">
        <v>7.4238754325259508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0.24261067601707045</v>
      </c>
      <c r="AD410">
        <v>0.11429242704364212</v>
      </c>
      <c r="AE410">
        <v>0</v>
      </c>
      <c r="AF410">
        <v>4.8116124899998419E-2</v>
      </c>
      <c r="AG410">
        <v>0</v>
      </c>
      <c r="AH410">
        <v>0.59498077203928901</v>
      </c>
      <c r="AI410">
        <v>0</v>
      </c>
      <c r="AJ410">
        <v>0</v>
      </c>
      <c r="AK410">
        <v>0</v>
      </c>
      <c r="AL410">
        <v>0</v>
      </c>
      <c r="AM410">
        <v>0</v>
      </c>
    </row>
    <row r="411" spans="1:39" x14ac:dyDescent="0.25">
      <c r="A411" t="s">
        <v>128</v>
      </c>
      <c r="B411" t="s">
        <v>146</v>
      </c>
      <c r="C411" t="s">
        <v>109</v>
      </c>
      <c r="D411" s="12">
        <v>46227</v>
      </c>
      <c r="E411" t="s">
        <v>135</v>
      </c>
      <c r="F411" t="s">
        <v>135</v>
      </c>
      <c r="G411" t="s">
        <v>135</v>
      </c>
      <c r="K411">
        <v>8.301202861771058</v>
      </c>
      <c r="N411">
        <v>6.6499999999999995</v>
      </c>
      <c r="O411">
        <v>6.6499999999999995</v>
      </c>
      <c r="P411">
        <v>5.813148788927335</v>
      </c>
      <c r="T411">
        <v>0</v>
      </c>
      <c r="U411">
        <v>0</v>
      </c>
      <c r="V411">
        <v>0.10470821719729559</v>
      </c>
      <c r="W411">
        <v>0</v>
      </c>
      <c r="X411">
        <v>1.4456315913739614E-2</v>
      </c>
      <c r="Y411">
        <v>0</v>
      </c>
      <c r="Z411">
        <v>6.7720090293453716E-2</v>
      </c>
      <c r="AA411">
        <v>0</v>
      </c>
      <c r="AB411">
        <v>0</v>
      </c>
      <c r="AC411">
        <v>0.11337832435375944</v>
      </c>
      <c r="AD411">
        <v>0.27241757603869782</v>
      </c>
      <c r="AE411">
        <v>0</v>
      </c>
      <c r="AF411">
        <v>0.10948094445409891</v>
      </c>
      <c r="AG411">
        <v>0</v>
      </c>
      <c r="AH411">
        <v>0.50472315515344379</v>
      </c>
      <c r="AI411">
        <v>0</v>
      </c>
      <c r="AJ411">
        <v>0</v>
      </c>
      <c r="AK411">
        <v>0</v>
      </c>
      <c r="AL411">
        <v>0</v>
      </c>
      <c r="AM411">
        <v>0</v>
      </c>
    </row>
    <row r="412" spans="1:39" x14ac:dyDescent="0.25">
      <c r="A412" t="s">
        <v>128</v>
      </c>
      <c r="B412" t="s">
        <v>146</v>
      </c>
      <c r="C412" t="s">
        <v>117</v>
      </c>
      <c r="D412" s="12">
        <v>46239</v>
      </c>
      <c r="K412">
        <v>44.199014950339183</v>
      </c>
      <c r="N412">
        <v>14.249999999999998</v>
      </c>
      <c r="O412">
        <v>14.249999999999998</v>
      </c>
      <c r="P412">
        <v>45.310121107266433</v>
      </c>
      <c r="T412">
        <v>7.9624968864676779E-2</v>
      </c>
      <c r="U412">
        <v>0</v>
      </c>
      <c r="V412">
        <v>0</v>
      </c>
      <c r="W412">
        <v>0</v>
      </c>
      <c r="X412">
        <v>0</v>
      </c>
      <c r="Y412">
        <v>1.5487236046730324E-2</v>
      </c>
      <c r="Z412">
        <v>4.8051645083840898E-3</v>
      </c>
      <c r="AA412">
        <v>0</v>
      </c>
      <c r="AB412">
        <v>0</v>
      </c>
      <c r="AC412">
        <v>0.64460205617721922</v>
      </c>
      <c r="AD412">
        <v>5.9291424780218809E-2</v>
      </c>
      <c r="AE412">
        <v>0</v>
      </c>
      <c r="AF412">
        <v>0</v>
      </c>
      <c r="AG412">
        <v>0</v>
      </c>
      <c r="AH412">
        <v>0.21493691682210436</v>
      </c>
      <c r="AI412">
        <v>0</v>
      </c>
      <c r="AJ412">
        <v>0</v>
      </c>
      <c r="AK412">
        <v>0</v>
      </c>
      <c r="AM412">
        <v>8.1169602220457659E-2</v>
      </c>
    </row>
    <row r="413" spans="1:39" x14ac:dyDescent="0.25">
      <c r="A413" t="s">
        <v>128</v>
      </c>
      <c r="B413" t="s">
        <v>146</v>
      </c>
      <c r="C413" t="s">
        <v>109</v>
      </c>
      <c r="D413" s="12">
        <v>46242</v>
      </c>
      <c r="E413" t="s">
        <v>135</v>
      </c>
      <c r="F413" t="s">
        <v>135</v>
      </c>
      <c r="G413" t="s">
        <v>135</v>
      </c>
      <c r="K413">
        <v>7.0363468952483803</v>
      </c>
      <c r="N413">
        <v>0</v>
      </c>
      <c r="O413">
        <v>0</v>
      </c>
      <c r="P413">
        <v>6.8685121107266429</v>
      </c>
      <c r="T413">
        <v>7.0090427221547388E-2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0.56650975696522454</v>
      </c>
      <c r="AD413">
        <v>9.3942972728517121E-2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0.33954727030625831</v>
      </c>
      <c r="AM413">
        <v>0</v>
      </c>
    </row>
    <row r="414" spans="1:39" x14ac:dyDescent="0.25">
      <c r="A414" t="s">
        <v>128</v>
      </c>
      <c r="B414" t="s">
        <v>146</v>
      </c>
      <c r="C414" t="s">
        <v>117</v>
      </c>
      <c r="D414" s="12">
        <v>46241</v>
      </c>
      <c r="K414">
        <v>41.28803277109941</v>
      </c>
      <c r="N414">
        <v>14.25</v>
      </c>
      <c r="O414">
        <v>14.25</v>
      </c>
      <c r="P414">
        <v>42.512759515570927</v>
      </c>
      <c r="T414">
        <v>6.6948412833902821E-2</v>
      </c>
      <c r="U414">
        <v>0</v>
      </c>
      <c r="V414">
        <v>0</v>
      </c>
      <c r="W414">
        <v>0</v>
      </c>
      <c r="X414">
        <v>0</v>
      </c>
      <c r="Y414">
        <v>2.0755841673177011E-2</v>
      </c>
      <c r="Z414">
        <v>2.0209868260639689E-2</v>
      </c>
      <c r="AA414">
        <v>0</v>
      </c>
      <c r="AB414">
        <v>0</v>
      </c>
      <c r="AC414">
        <v>0.35178972280896575</v>
      </c>
      <c r="AD414">
        <v>5.7495285251136924E-2</v>
      </c>
      <c r="AE414">
        <v>0</v>
      </c>
      <c r="AF414">
        <v>0</v>
      </c>
      <c r="AG414">
        <v>0</v>
      </c>
      <c r="AH414">
        <v>0.16106361949641818</v>
      </c>
      <c r="AI414">
        <v>0</v>
      </c>
      <c r="AJ414">
        <v>0</v>
      </c>
      <c r="AK414">
        <v>0</v>
      </c>
      <c r="AM414">
        <v>0.1638628397352668</v>
      </c>
    </row>
    <row r="415" spans="1:39" x14ac:dyDescent="0.25">
      <c r="A415" t="s">
        <v>128</v>
      </c>
      <c r="B415" t="s">
        <v>146</v>
      </c>
      <c r="C415" t="s">
        <v>109</v>
      </c>
      <c r="D415" s="12">
        <v>46236</v>
      </c>
      <c r="E415" t="s">
        <v>134</v>
      </c>
      <c r="F415" t="s">
        <v>134</v>
      </c>
      <c r="G415" t="s">
        <v>134</v>
      </c>
      <c r="K415">
        <v>26.168496546754792</v>
      </c>
      <c r="N415">
        <v>5.6999999999999993</v>
      </c>
      <c r="O415">
        <v>5.6999999999999993</v>
      </c>
      <c r="P415">
        <v>27.1875</v>
      </c>
      <c r="T415">
        <v>3.8940083983218965E-2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0.62089051498425241</v>
      </c>
      <c r="AD415">
        <v>0</v>
      </c>
      <c r="AE415">
        <v>0</v>
      </c>
      <c r="AF415">
        <v>0</v>
      </c>
      <c r="AG415">
        <v>0</v>
      </c>
      <c r="AH415">
        <v>0.21781916243510244</v>
      </c>
      <c r="AI415">
        <v>0</v>
      </c>
      <c r="AJ415">
        <v>0</v>
      </c>
      <c r="AK415">
        <v>0</v>
      </c>
      <c r="AL415">
        <v>0.16129032258064518</v>
      </c>
      <c r="AM415">
        <v>0</v>
      </c>
    </row>
    <row r="416" spans="1:39" x14ac:dyDescent="0.25">
      <c r="A416" t="s">
        <v>128</v>
      </c>
      <c r="B416" t="s">
        <v>146</v>
      </c>
      <c r="C416" t="s">
        <v>109</v>
      </c>
      <c r="D416" s="12">
        <v>46244</v>
      </c>
      <c r="E416" t="s">
        <v>134</v>
      </c>
      <c r="F416" t="s">
        <v>134</v>
      </c>
      <c r="G416" t="s">
        <v>134</v>
      </c>
      <c r="K416">
        <v>27.065400662268566</v>
      </c>
      <c r="N416">
        <v>6.6499999999999995</v>
      </c>
      <c r="O416">
        <v>6.6499999999999995</v>
      </c>
      <c r="P416">
        <v>28.1875</v>
      </c>
      <c r="T416">
        <v>4.2610680170119909E-2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0.34768889393104818</v>
      </c>
      <c r="AD416">
        <v>1.1518689101877731E-3</v>
      </c>
      <c r="AE416">
        <v>0</v>
      </c>
      <c r="AF416">
        <v>0</v>
      </c>
      <c r="AG416">
        <v>0</v>
      </c>
      <c r="AH416">
        <v>0.24570114749014804</v>
      </c>
      <c r="AI416">
        <v>0</v>
      </c>
      <c r="AJ416">
        <v>0</v>
      </c>
      <c r="AK416">
        <v>0</v>
      </c>
      <c r="AL416">
        <v>0.40545808966861596</v>
      </c>
      <c r="AM416">
        <v>0</v>
      </c>
    </row>
    <row r="417" spans="1:39" x14ac:dyDescent="0.25">
      <c r="A417" t="s">
        <v>128</v>
      </c>
      <c r="B417" t="s">
        <v>146</v>
      </c>
      <c r="C417" t="s">
        <v>109</v>
      </c>
      <c r="D417" s="12">
        <v>46246</v>
      </c>
      <c r="E417" t="s">
        <v>135</v>
      </c>
      <c r="F417" t="s">
        <v>135</v>
      </c>
      <c r="G417" t="s">
        <v>135</v>
      </c>
      <c r="K417">
        <v>9.355249500539955</v>
      </c>
      <c r="N417">
        <v>0</v>
      </c>
      <c r="O417">
        <v>0</v>
      </c>
      <c r="P417">
        <v>7.774762110726642</v>
      </c>
      <c r="T417">
        <v>3.1677388141404798E-2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0.55902083760169718</v>
      </c>
      <c r="AD417">
        <v>0.20061862158708602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0.24036054081121686</v>
      </c>
      <c r="AM417">
        <v>0</v>
      </c>
    </row>
    <row r="418" spans="1:39" x14ac:dyDescent="0.25">
      <c r="A418" t="s">
        <v>128</v>
      </c>
      <c r="B418" t="s">
        <v>146</v>
      </c>
      <c r="C418" t="s">
        <v>117</v>
      </c>
      <c r="D418" s="12">
        <v>46249</v>
      </c>
      <c r="K418">
        <v>41.899846569613139</v>
      </c>
      <c r="N418">
        <v>14.25</v>
      </c>
      <c r="O418">
        <v>14.25</v>
      </c>
      <c r="P418">
        <v>44.06812283737024</v>
      </c>
      <c r="T418">
        <v>8.1035579945610794E-2</v>
      </c>
      <c r="U418">
        <v>0</v>
      </c>
      <c r="V418">
        <v>0</v>
      </c>
      <c r="W418">
        <v>0</v>
      </c>
      <c r="X418">
        <v>0</v>
      </c>
      <c r="Y418">
        <v>1.6337066448002167E-2</v>
      </c>
      <c r="Z418">
        <v>5.0688380825464332E-3</v>
      </c>
      <c r="AA418">
        <v>0</v>
      </c>
      <c r="AB418">
        <v>0</v>
      </c>
      <c r="AC418">
        <v>0.65328984977288573</v>
      </c>
      <c r="AD418">
        <v>3.4355391593067837E-2</v>
      </c>
      <c r="AE418">
        <v>0</v>
      </c>
      <c r="AF418">
        <v>0</v>
      </c>
      <c r="AG418">
        <v>0</v>
      </c>
      <c r="AH418">
        <v>0.22673114051185209</v>
      </c>
      <c r="AI418">
        <v>0</v>
      </c>
      <c r="AJ418">
        <v>0</v>
      </c>
      <c r="AK418">
        <v>0</v>
      </c>
      <c r="AM418">
        <v>8.5623618122194406E-2</v>
      </c>
    </row>
    <row r="419" spans="1:39" x14ac:dyDescent="0.25">
      <c r="A419" t="s">
        <v>128</v>
      </c>
      <c r="B419" t="s">
        <v>146</v>
      </c>
      <c r="C419" t="s">
        <v>109</v>
      </c>
      <c r="D419" s="12">
        <v>46223</v>
      </c>
      <c r="E419" t="s">
        <v>136</v>
      </c>
      <c r="F419" t="s">
        <v>136</v>
      </c>
      <c r="G419" t="s">
        <v>136</v>
      </c>
      <c r="K419">
        <v>6.7655742969551049</v>
      </c>
      <c r="N419">
        <v>9.5</v>
      </c>
      <c r="O419">
        <v>9.5</v>
      </c>
      <c r="P419">
        <v>6.6332179930795858</v>
      </c>
      <c r="T419">
        <v>0</v>
      </c>
      <c r="U419">
        <v>0</v>
      </c>
      <c r="V419">
        <v>0.32007326021173443</v>
      </c>
      <c r="W419">
        <v>0</v>
      </c>
      <c r="X419">
        <v>0</v>
      </c>
      <c r="Y419">
        <v>0</v>
      </c>
      <c r="Z419">
        <v>2.6175075836141475E-2</v>
      </c>
      <c r="AA419">
        <v>0</v>
      </c>
      <c r="AB419">
        <v>0.10639373150330808</v>
      </c>
      <c r="AC419">
        <v>2.7362216294004554E-3</v>
      </c>
      <c r="AD419">
        <v>4.5738278908951921E-2</v>
      </c>
      <c r="AE419">
        <v>0</v>
      </c>
      <c r="AF419">
        <v>0</v>
      </c>
      <c r="AG419">
        <v>0</v>
      </c>
      <c r="AH419">
        <v>0.95152549946164766</v>
      </c>
      <c r="AI419">
        <v>0</v>
      </c>
      <c r="AJ419">
        <v>0</v>
      </c>
      <c r="AK419">
        <v>0</v>
      </c>
      <c r="AM419">
        <v>0</v>
      </c>
    </row>
    <row r="420" spans="1:39" x14ac:dyDescent="0.25">
      <c r="A420" t="s">
        <v>128</v>
      </c>
      <c r="B420" t="s">
        <v>146</v>
      </c>
      <c r="C420" t="s">
        <v>109</v>
      </c>
      <c r="D420" s="12">
        <v>46245</v>
      </c>
      <c r="E420" t="s">
        <v>136</v>
      </c>
      <c r="F420" t="s">
        <v>136</v>
      </c>
      <c r="G420" t="s">
        <v>136</v>
      </c>
      <c r="K420">
        <v>6.7655742969551049</v>
      </c>
      <c r="N420">
        <v>9.5</v>
      </c>
      <c r="O420">
        <v>9.5</v>
      </c>
      <c r="P420">
        <v>9.3354238754325252</v>
      </c>
      <c r="T420">
        <v>0.21509780165070722</v>
      </c>
      <c r="U420">
        <v>0</v>
      </c>
      <c r="V420">
        <v>0.14748106721644066</v>
      </c>
      <c r="W420">
        <v>0</v>
      </c>
      <c r="X420">
        <v>3.2175436294010547E-2</v>
      </c>
      <c r="Y420">
        <v>0</v>
      </c>
      <c r="Z420">
        <v>0.13256880733944956</v>
      </c>
      <c r="AA420">
        <v>0</v>
      </c>
      <c r="AB420">
        <v>0</v>
      </c>
      <c r="AC420">
        <v>4.8474500538352373E-2</v>
      </c>
      <c r="AD420">
        <v>0</v>
      </c>
      <c r="AE420">
        <v>0</v>
      </c>
      <c r="AF420">
        <v>0</v>
      </c>
      <c r="AG420">
        <v>0</v>
      </c>
      <c r="AH420">
        <v>0.95152549946164766</v>
      </c>
      <c r="AI420">
        <v>0</v>
      </c>
      <c r="AJ420">
        <v>0</v>
      </c>
      <c r="AK420">
        <v>0</v>
      </c>
      <c r="AM420">
        <v>0</v>
      </c>
    </row>
    <row r="421" spans="1:39" x14ac:dyDescent="0.25">
      <c r="A421" t="s">
        <v>128</v>
      </c>
      <c r="B421" t="s">
        <v>146</v>
      </c>
      <c r="C421" t="s">
        <v>109</v>
      </c>
      <c r="D421" s="12">
        <v>46245</v>
      </c>
      <c r="E421" t="s">
        <v>135</v>
      </c>
      <c r="F421" t="s">
        <v>135</v>
      </c>
      <c r="G421" t="s">
        <v>135</v>
      </c>
      <c r="K421">
        <v>11.674152105831531</v>
      </c>
      <c r="N421">
        <v>0</v>
      </c>
      <c r="O421">
        <v>0</v>
      </c>
      <c r="P421">
        <v>9.712478373702421</v>
      </c>
      <c r="T421">
        <v>1.4439870729866399E-2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0.52859992112578302</v>
      </c>
      <c r="AD421">
        <v>0.18247552028673705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0.28892455858748001</v>
      </c>
      <c r="AM421">
        <v>0</v>
      </c>
    </row>
    <row r="422" spans="1:39" x14ac:dyDescent="0.25">
      <c r="A422" t="s">
        <v>128</v>
      </c>
      <c r="B422" t="s">
        <v>146</v>
      </c>
      <c r="C422" t="s">
        <v>109</v>
      </c>
      <c r="D422" s="12">
        <v>46223</v>
      </c>
      <c r="E422" t="s">
        <v>135</v>
      </c>
      <c r="F422" t="s">
        <v>135</v>
      </c>
      <c r="G422" t="s">
        <v>135</v>
      </c>
      <c r="K422">
        <v>10.479565915226782</v>
      </c>
      <c r="N422">
        <v>8.5499999999999989</v>
      </c>
      <c r="O422">
        <v>8.5499999999999989</v>
      </c>
      <c r="P422">
        <v>9.5982915224913476</v>
      </c>
      <c r="T422">
        <v>0.10061355638270394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0.13971243909266695</v>
      </c>
      <c r="AD422">
        <v>4.441407252391897E-2</v>
      </c>
      <c r="AE422">
        <v>0</v>
      </c>
      <c r="AF422">
        <v>0.14029403508966598</v>
      </c>
      <c r="AG422">
        <v>0</v>
      </c>
      <c r="AH422">
        <v>0.67557945329374802</v>
      </c>
      <c r="AI422">
        <v>0</v>
      </c>
      <c r="AJ422">
        <v>0</v>
      </c>
      <c r="AK422">
        <v>0</v>
      </c>
      <c r="AL422">
        <v>0</v>
      </c>
      <c r="AM422">
        <v>0</v>
      </c>
    </row>
    <row r="423" spans="1:39" x14ac:dyDescent="0.25">
      <c r="A423" t="s">
        <v>128</v>
      </c>
      <c r="B423" t="s">
        <v>146</v>
      </c>
      <c r="C423" t="s">
        <v>117</v>
      </c>
      <c r="D423" s="12">
        <v>46248</v>
      </c>
      <c r="K423">
        <v>41.07722344334563</v>
      </c>
      <c r="N423">
        <v>13.3</v>
      </c>
      <c r="O423">
        <v>13.3</v>
      </c>
      <c r="P423">
        <v>40.47838451557093</v>
      </c>
      <c r="T423">
        <v>5.7638487519214146E-2</v>
      </c>
      <c r="U423">
        <v>0</v>
      </c>
      <c r="V423">
        <v>0</v>
      </c>
      <c r="W423">
        <v>0</v>
      </c>
      <c r="X423">
        <v>0</v>
      </c>
      <c r="Y423">
        <v>2.0862361166543438E-2</v>
      </c>
      <c r="Z423">
        <v>2.0313585804935138E-2</v>
      </c>
      <c r="AA423">
        <v>0</v>
      </c>
      <c r="AB423">
        <v>0</v>
      </c>
      <c r="AC423">
        <v>0.54926114192094988</v>
      </c>
      <c r="AD423">
        <v>9.253044249266501E-2</v>
      </c>
      <c r="AE423">
        <v>0</v>
      </c>
      <c r="AF423">
        <v>0</v>
      </c>
      <c r="AG423">
        <v>0</v>
      </c>
      <c r="AH423">
        <v>0.13876303026813708</v>
      </c>
      <c r="AI423">
        <v>0</v>
      </c>
      <c r="AJ423">
        <v>0</v>
      </c>
      <c r="AK423">
        <v>0</v>
      </c>
      <c r="AM423">
        <v>0.1647037878859143</v>
      </c>
    </row>
    <row r="424" spans="1:39" x14ac:dyDescent="0.25">
      <c r="A424" t="s">
        <v>128</v>
      </c>
      <c r="B424" t="s">
        <v>146</v>
      </c>
      <c r="C424" t="s">
        <v>109</v>
      </c>
      <c r="D424" s="12">
        <v>46237</v>
      </c>
      <c r="E424" t="s">
        <v>136</v>
      </c>
      <c r="F424" t="s">
        <v>136</v>
      </c>
      <c r="G424" t="s">
        <v>136</v>
      </c>
      <c r="K424">
        <v>6.7655742969551049</v>
      </c>
      <c r="N424">
        <v>6.6499999999999995</v>
      </c>
      <c r="O424">
        <v>6.6499999999999995</v>
      </c>
      <c r="P424">
        <v>9.3944636678200695</v>
      </c>
      <c r="T424">
        <v>0.35717674906143915</v>
      </c>
      <c r="U424">
        <v>0</v>
      </c>
      <c r="V424">
        <v>0</v>
      </c>
      <c r="W424">
        <v>0</v>
      </c>
      <c r="X424">
        <v>0</v>
      </c>
      <c r="Y424">
        <v>0.10117700989211498</v>
      </c>
      <c r="Z424">
        <v>3.1391797447334564E-2</v>
      </c>
      <c r="AA424">
        <v>0</v>
      </c>
      <c r="AB424">
        <v>0</v>
      </c>
      <c r="AC424">
        <v>4.8474500538352373E-2</v>
      </c>
      <c r="AD424">
        <v>0</v>
      </c>
      <c r="AE424">
        <v>0</v>
      </c>
      <c r="AF424">
        <v>0</v>
      </c>
      <c r="AG424">
        <v>0</v>
      </c>
      <c r="AH424">
        <v>0.42125027010384952</v>
      </c>
      <c r="AI424">
        <v>0</v>
      </c>
      <c r="AJ424">
        <v>0</v>
      </c>
      <c r="AK424">
        <v>0</v>
      </c>
      <c r="AM424">
        <v>0.53027522935779825</v>
      </c>
    </row>
    <row r="425" spans="1:39" x14ac:dyDescent="0.25">
      <c r="A425" t="s">
        <v>128</v>
      </c>
      <c r="B425" t="s">
        <v>146</v>
      </c>
      <c r="C425" t="s">
        <v>109</v>
      </c>
      <c r="D425" s="12">
        <v>46245</v>
      </c>
      <c r="E425" t="s">
        <v>134</v>
      </c>
      <c r="F425" t="s">
        <v>134</v>
      </c>
      <c r="G425" t="s">
        <v>134</v>
      </c>
      <c r="K425">
        <v>26.933502998222423</v>
      </c>
      <c r="N425">
        <v>4.75</v>
      </c>
      <c r="O425">
        <v>4.75</v>
      </c>
      <c r="P425">
        <v>28.03125</v>
      </c>
      <c r="T425">
        <v>4.0757676483821219E-2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0.66693061611522886</v>
      </c>
      <c r="AD425">
        <v>0</v>
      </c>
      <c r="AE425">
        <v>0</v>
      </c>
      <c r="AF425">
        <v>0</v>
      </c>
      <c r="AG425">
        <v>0</v>
      </c>
      <c r="AH425">
        <v>0.17636027516782701</v>
      </c>
      <c r="AI425">
        <v>0</v>
      </c>
      <c r="AJ425">
        <v>0</v>
      </c>
      <c r="AK425">
        <v>0</v>
      </c>
      <c r="AL425">
        <v>0.15670910871694418</v>
      </c>
      <c r="AM425">
        <v>0</v>
      </c>
    </row>
    <row r="426" spans="1:39" x14ac:dyDescent="0.25">
      <c r="A426" t="s">
        <v>128</v>
      </c>
      <c r="B426" t="s">
        <v>146</v>
      </c>
      <c r="C426" t="s">
        <v>109</v>
      </c>
      <c r="D426" s="12">
        <v>46224</v>
      </c>
      <c r="E426" t="s">
        <v>134</v>
      </c>
      <c r="F426" t="s">
        <v>134</v>
      </c>
      <c r="G426" t="s">
        <v>134</v>
      </c>
      <c r="K426">
        <v>28.199720573065399</v>
      </c>
      <c r="N426">
        <v>4.75</v>
      </c>
      <c r="O426">
        <v>4.75</v>
      </c>
      <c r="P426">
        <v>27.625</v>
      </c>
      <c r="T426">
        <v>2.6343846207961173E-2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0.63516181311906095</v>
      </c>
      <c r="AD426">
        <v>4.6724210317467089E-2</v>
      </c>
      <c r="AE426">
        <v>0</v>
      </c>
      <c r="AF426">
        <v>0</v>
      </c>
      <c r="AG426">
        <v>0</v>
      </c>
      <c r="AH426">
        <v>0.16844138535673653</v>
      </c>
      <c r="AI426">
        <v>0</v>
      </c>
      <c r="AJ426">
        <v>0</v>
      </c>
      <c r="AK426">
        <v>0</v>
      </c>
      <c r="AL426">
        <v>0.14967259120673526</v>
      </c>
      <c r="AM426">
        <v>0</v>
      </c>
    </row>
    <row r="427" spans="1:39" x14ac:dyDescent="0.25">
      <c r="A427" t="s">
        <v>128</v>
      </c>
      <c r="B427" t="s">
        <v>146</v>
      </c>
      <c r="C427" t="s">
        <v>109</v>
      </c>
      <c r="D427" s="12">
        <v>46246</v>
      </c>
      <c r="E427" t="s">
        <v>134</v>
      </c>
      <c r="F427" t="s">
        <v>134</v>
      </c>
      <c r="G427" t="s">
        <v>134</v>
      </c>
      <c r="K427">
        <v>27.619370851262367</v>
      </c>
      <c r="N427">
        <v>5.6999999999999993</v>
      </c>
      <c r="O427">
        <v>5.6999999999999993</v>
      </c>
      <c r="P427">
        <v>27.84375</v>
      </c>
      <c r="T427">
        <v>3.6438385028669792E-2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0.76530869745376473</v>
      </c>
      <c r="AD427">
        <v>2.8314407478783884E-2</v>
      </c>
      <c r="AE427">
        <v>0</v>
      </c>
      <c r="AF427">
        <v>0</v>
      </c>
      <c r="AG427">
        <v>0</v>
      </c>
      <c r="AH427">
        <v>0.20637689506745138</v>
      </c>
      <c r="AI427">
        <v>0</v>
      </c>
      <c r="AJ427">
        <v>0</v>
      </c>
      <c r="AK427">
        <v>0</v>
      </c>
      <c r="AL427">
        <v>0</v>
      </c>
      <c r="AM427">
        <v>0</v>
      </c>
    </row>
    <row r="428" spans="1:39" x14ac:dyDescent="0.25">
      <c r="A428" t="s">
        <v>128</v>
      </c>
      <c r="B428" t="s">
        <v>146</v>
      </c>
      <c r="C428" t="s">
        <v>117</v>
      </c>
      <c r="D428" s="12">
        <v>46247</v>
      </c>
      <c r="K428">
        <v>43.264228384591071</v>
      </c>
      <c r="N428">
        <v>12.349999999999998</v>
      </c>
      <c r="O428">
        <v>12.349999999999998</v>
      </c>
      <c r="P428">
        <v>45.075810986159162</v>
      </c>
      <c r="T428">
        <v>8.2837292630031131E-2</v>
      </c>
      <c r="U428">
        <v>0</v>
      </c>
      <c r="V428">
        <v>0</v>
      </c>
      <c r="W428">
        <v>0</v>
      </c>
      <c r="X428">
        <v>0</v>
      </c>
      <c r="Y428">
        <v>1.582186030186232E-2</v>
      </c>
      <c r="Z428">
        <v>4.9089870748867687E-3</v>
      </c>
      <c r="AA428">
        <v>0</v>
      </c>
      <c r="AB428">
        <v>0</v>
      </c>
      <c r="AC428">
        <v>0.24624264185648029</v>
      </c>
      <c r="AD428">
        <v>4.587375200225547E-2</v>
      </c>
      <c r="AE428">
        <v>0</v>
      </c>
      <c r="AF428">
        <v>0</v>
      </c>
      <c r="AG428">
        <v>0</v>
      </c>
      <c r="AH428">
        <v>0.19762284730923702</v>
      </c>
      <c r="AI428">
        <v>0</v>
      </c>
      <c r="AJ428">
        <v>0</v>
      </c>
      <c r="AK428">
        <v>0</v>
      </c>
      <c r="AM428">
        <v>8.2923389506996348E-2</v>
      </c>
    </row>
    <row r="429" spans="1:39" x14ac:dyDescent="0.25">
      <c r="A429" t="s">
        <v>128</v>
      </c>
      <c r="B429" t="s">
        <v>146</v>
      </c>
      <c r="C429" t="s">
        <v>109</v>
      </c>
      <c r="D429" s="12">
        <v>46236</v>
      </c>
      <c r="E429" t="s">
        <v>135</v>
      </c>
      <c r="F429" t="s">
        <v>135</v>
      </c>
      <c r="G429" t="s">
        <v>135</v>
      </c>
      <c r="K429">
        <v>7.0363468952483785</v>
      </c>
      <c r="N429">
        <v>5.7</v>
      </c>
      <c r="O429">
        <v>5.7</v>
      </c>
      <c r="P429">
        <v>5.9307958477508649</v>
      </c>
      <c r="T429">
        <v>0</v>
      </c>
      <c r="U429">
        <v>0</v>
      </c>
      <c r="V429">
        <v>5.0898429321533406E-2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0.12483355525965378</v>
      </c>
      <c r="AC429">
        <v>0.28986907659995825</v>
      </c>
      <c r="AD429">
        <v>7.5783461237466196E-2</v>
      </c>
      <c r="AE429">
        <v>0</v>
      </c>
      <c r="AF429">
        <v>8.1336570500037911E-2</v>
      </c>
      <c r="AG429">
        <v>0</v>
      </c>
      <c r="AH429">
        <v>0.5530108916625377</v>
      </c>
      <c r="AI429">
        <v>0</v>
      </c>
      <c r="AJ429">
        <v>0</v>
      </c>
      <c r="AK429">
        <v>0</v>
      </c>
      <c r="AL429">
        <v>0</v>
      </c>
      <c r="AM429">
        <v>0</v>
      </c>
    </row>
    <row r="430" spans="1:39" x14ac:dyDescent="0.25">
      <c r="A430" t="s">
        <v>128</v>
      </c>
      <c r="B430" t="s">
        <v>146</v>
      </c>
      <c r="C430" t="s">
        <v>117</v>
      </c>
      <c r="D430" s="12">
        <v>46243</v>
      </c>
      <c r="K430">
        <v>41.938879203540409</v>
      </c>
      <c r="N430">
        <v>16.149999999999999</v>
      </c>
      <c r="O430">
        <v>16.149999999999999</v>
      </c>
      <c r="P430">
        <v>44.328935986159166</v>
      </c>
      <c r="T430">
        <v>8.2735268795392322E-2</v>
      </c>
      <c r="U430">
        <v>0</v>
      </c>
      <c r="V430">
        <v>0</v>
      </c>
      <c r="W430">
        <v>0</v>
      </c>
      <c r="X430">
        <v>0</v>
      </c>
      <c r="Y430">
        <v>1.6321861493882733E-2</v>
      </c>
      <c r="Z430">
        <v>5.0641205005540193E-3</v>
      </c>
      <c r="AA430">
        <v>0</v>
      </c>
      <c r="AB430">
        <v>0</v>
      </c>
      <c r="AC430">
        <v>0.61182158487703875</v>
      </c>
      <c r="AD430">
        <v>3.0810341710311606E-2</v>
      </c>
      <c r="AE430">
        <v>0</v>
      </c>
      <c r="AF430">
        <v>0</v>
      </c>
      <c r="AG430">
        <v>0</v>
      </c>
      <c r="AH430">
        <v>0.27182414543490302</v>
      </c>
      <c r="AI430">
        <v>0</v>
      </c>
      <c r="AJ430">
        <v>0</v>
      </c>
      <c r="AK430">
        <v>0</v>
      </c>
      <c r="AM430">
        <v>8.5543927977747E-2</v>
      </c>
    </row>
    <row r="431" spans="1:39" x14ac:dyDescent="0.25">
      <c r="A431" t="s">
        <v>128</v>
      </c>
      <c r="B431" t="s">
        <v>146</v>
      </c>
      <c r="C431" t="s">
        <v>109</v>
      </c>
      <c r="D431" s="12">
        <v>46244</v>
      </c>
      <c r="E431" t="s">
        <v>135</v>
      </c>
      <c r="F431" t="s">
        <v>135</v>
      </c>
      <c r="G431" t="s">
        <v>135</v>
      </c>
      <c r="K431">
        <v>8.1606633099352042</v>
      </c>
      <c r="N431">
        <v>0</v>
      </c>
      <c r="O431">
        <v>0</v>
      </c>
      <c r="P431">
        <v>6.7956855536332164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0.83273691065771638</v>
      </c>
      <c r="AD431">
        <v>0.16726308934228359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</row>
    <row r="432" spans="1:39" x14ac:dyDescent="0.25">
      <c r="A432" t="s">
        <v>128</v>
      </c>
      <c r="B432" t="s">
        <v>146</v>
      </c>
      <c r="C432" t="s">
        <v>117</v>
      </c>
      <c r="D432" s="12">
        <v>46246</v>
      </c>
      <c r="K432">
        <v>43.740194648757424</v>
      </c>
      <c r="N432">
        <v>12.35</v>
      </c>
      <c r="O432">
        <v>12.35</v>
      </c>
      <c r="P432">
        <v>44.953935986159166</v>
      </c>
      <c r="T432">
        <v>8.3680953156268056E-2</v>
      </c>
      <c r="U432">
        <v>0</v>
      </c>
      <c r="V432">
        <v>0</v>
      </c>
      <c r="W432">
        <v>0</v>
      </c>
      <c r="X432">
        <v>0</v>
      </c>
      <c r="Y432">
        <v>1.564969207534863E-2</v>
      </c>
      <c r="Z432">
        <v>4.8555691086971655E-3</v>
      </c>
      <c r="AA432">
        <v>0</v>
      </c>
      <c r="AB432">
        <v>0</v>
      </c>
      <c r="AC432">
        <v>0.61031008644802986</v>
      </c>
      <c r="AD432">
        <v>6.0787643981539137E-2</v>
      </c>
      <c r="AE432">
        <v>0</v>
      </c>
      <c r="AF432">
        <v>0</v>
      </c>
      <c r="AG432">
        <v>0</v>
      </c>
      <c r="AH432">
        <v>0.19547238115098073</v>
      </c>
      <c r="AI432">
        <v>0</v>
      </c>
      <c r="AJ432">
        <v>0</v>
      </c>
      <c r="AK432">
        <v>0</v>
      </c>
      <c r="AM432">
        <v>8.2021044736183171E-2</v>
      </c>
    </row>
    <row r="433" spans="1:39" x14ac:dyDescent="0.25">
      <c r="A433" t="s">
        <v>128</v>
      </c>
      <c r="B433" t="s">
        <v>146</v>
      </c>
      <c r="C433" t="s">
        <v>109</v>
      </c>
      <c r="D433" s="12">
        <v>46224</v>
      </c>
      <c r="E433" t="s">
        <v>135</v>
      </c>
      <c r="F433" t="s">
        <v>135</v>
      </c>
      <c r="G433" t="s">
        <v>135</v>
      </c>
      <c r="K433">
        <v>10.479565915226782</v>
      </c>
      <c r="N433">
        <v>6.6499999999999995</v>
      </c>
      <c r="O433">
        <v>6.6499999999999995</v>
      </c>
      <c r="P433">
        <v>8.7159385813148766</v>
      </c>
      <c r="T433">
        <v>1.0802921266538602E-2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0.32101765873342564</v>
      </c>
      <c r="AD433">
        <v>4.4414072523919032E-2</v>
      </c>
      <c r="AE433">
        <v>0</v>
      </c>
      <c r="AF433">
        <v>0.13468087039490576</v>
      </c>
      <c r="AG433">
        <v>0</v>
      </c>
      <c r="AH433">
        <v>0.49988739834774959</v>
      </c>
      <c r="AI433">
        <v>0</v>
      </c>
      <c r="AJ433">
        <v>0</v>
      </c>
      <c r="AK433">
        <v>0</v>
      </c>
      <c r="AL433">
        <v>0</v>
      </c>
      <c r="AM433">
        <v>0</v>
      </c>
    </row>
    <row r="434" spans="1:39" x14ac:dyDescent="0.25">
      <c r="A434" t="s">
        <v>128</v>
      </c>
      <c r="B434" t="s">
        <v>146</v>
      </c>
      <c r="C434" t="s">
        <v>109</v>
      </c>
      <c r="D434" s="12">
        <v>46246</v>
      </c>
      <c r="E434" t="s">
        <v>136</v>
      </c>
      <c r="F434" t="s">
        <v>136</v>
      </c>
      <c r="G434" t="s">
        <v>136</v>
      </c>
      <c r="K434">
        <v>6.7655742969551049</v>
      </c>
      <c r="N434">
        <v>6.6499999999999995</v>
      </c>
      <c r="O434">
        <v>6.6499999999999995</v>
      </c>
      <c r="P434">
        <v>9.3354238754325252</v>
      </c>
      <c r="T434">
        <v>0.3484502478368327</v>
      </c>
      <c r="U434">
        <v>0</v>
      </c>
      <c r="V434">
        <v>0</v>
      </c>
      <c r="W434">
        <v>0</v>
      </c>
      <c r="X434">
        <v>0</v>
      </c>
      <c r="Y434">
        <v>0.10117700989211498</v>
      </c>
      <c r="Z434">
        <v>3.1391797447334564E-2</v>
      </c>
      <c r="AA434">
        <v>0</v>
      </c>
      <c r="AB434">
        <v>0</v>
      </c>
      <c r="AC434">
        <v>4.8474500538352373E-2</v>
      </c>
      <c r="AD434">
        <v>0</v>
      </c>
      <c r="AE434">
        <v>0</v>
      </c>
      <c r="AF434">
        <v>0</v>
      </c>
      <c r="AG434">
        <v>0</v>
      </c>
      <c r="AH434">
        <v>0.42125027010384952</v>
      </c>
      <c r="AI434">
        <v>0</v>
      </c>
      <c r="AJ434">
        <v>0</v>
      </c>
      <c r="AK434">
        <v>0</v>
      </c>
      <c r="AM434">
        <v>0.53027522935779825</v>
      </c>
    </row>
    <row r="435" spans="1:39" x14ac:dyDescent="0.25">
      <c r="A435" t="s">
        <v>128</v>
      </c>
      <c r="B435" t="s">
        <v>146</v>
      </c>
      <c r="C435" t="s">
        <v>109</v>
      </c>
      <c r="D435" s="12">
        <v>46244</v>
      </c>
      <c r="E435" t="s">
        <v>136</v>
      </c>
      <c r="F435" t="s">
        <v>136</v>
      </c>
      <c r="G435" t="s">
        <v>136</v>
      </c>
      <c r="K435">
        <v>6.7655742969551049</v>
      </c>
      <c r="N435">
        <v>6.6499999999999995</v>
      </c>
      <c r="O435">
        <v>6.6499999999999995</v>
      </c>
      <c r="P435">
        <v>9.3354238754325252</v>
      </c>
      <c r="T435">
        <v>0.34845024783683298</v>
      </c>
      <c r="U435">
        <v>0</v>
      </c>
      <c r="V435">
        <v>0</v>
      </c>
      <c r="W435">
        <v>0</v>
      </c>
      <c r="X435">
        <v>0</v>
      </c>
      <c r="Y435">
        <v>0.10117700989211498</v>
      </c>
      <c r="Z435">
        <v>3.1391797447334564E-2</v>
      </c>
      <c r="AA435">
        <v>0</v>
      </c>
      <c r="AB435">
        <v>0</v>
      </c>
      <c r="AC435">
        <v>4.8474500538352373E-2</v>
      </c>
      <c r="AD435">
        <v>0</v>
      </c>
      <c r="AE435">
        <v>0</v>
      </c>
      <c r="AF435">
        <v>0</v>
      </c>
      <c r="AG435">
        <v>0</v>
      </c>
      <c r="AH435">
        <v>0.42125027010384952</v>
      </c>
      <c r="AI435">
        <v>0</v>
      </c>
      <c r="AJ435">
        <v>0</v>
      </c>
      <c r="AK435">
        <v>0</v>
      </c>
      <c r="AM435">
        <v>0.53027522935779825</v>
      </c>
    </row>
    <row r="436" spans="1:39" x14ac:dyDescent="0.25">
      <c r="A436" t="s">
        <v>128</v>
      </c>
      <c r="B436" t="s">
        <v>146</v>
      </c>
      <c r="C436" t="s">
        <v>109</v>
      </c>
      <c r="D436" s="12">
        <v>46225</v>
      </c>
      <c r="E436" t="s">
        <v>134</v>
      </c>
      <c r="F436" t="s">
        <v>134</v>
      </c>
      <c r="G436" t="s">
        <v>134</v>
      </c>
      <c r="K436">
        <v>27.619370851262371</v>
      </c>
      <c r="N436">
        <v>6.6499999999999995</v>
      </c>
      <c r="O436">
        <v>6.6499999999999995</v>
      </c>
      <c r="P436">
        <v>27.245535714285715</v>
      </c>
      <c r="T436">
        <v>2.5810815440100915E-2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0.71988088858886246</v>
      </c>
      <c r="AD436">
        <v>3.9346067165777626E-2</v>
      </c>
      <c r="AE436">
        <v>0</v>
      </c>
      <c r="AF436">
        <v>0</v>
      </c>
      <c r="AG436">
        <v>0</v>
      </c>
      <c r="AH436">
        <v>0.24077304424535995</v>
      </c>
      <c r="AI436">
        <v>0</v>
      </c>
      <c r="AJ436">
        <v>0</v>
      </c>
      <c r="AK436">
        <v>0</v>
      </c>
      <c r="AL436">
        <v>0</v>
      </c>
      <c r="AM436">
        <v>0</v>
      </c>
    </row>
    <row r="437" spans="1:39" x14ac:dyDescent="0.25">
      <c r="A437" t="s">
        <v>128</v>
      </c>
      <c r="B437" t="s">
        <v>146</v>
      </c>
      <c r="C437" t="s">
        <v>117</v>
      </c>
      <c r="D437" s="12">
        <v>46245</v>
      </c>
      <c r="K437">
        <v>45.37322940100907</v>
      </c>
      <c r="N437">
        <v>14.249999999999998</v>
      </c>
      <c r="O437">
        <v>14.249999999999998</v>
      </c>
      <c r="P437">
        <v>47.079152249134943</v>
      </c>
      <c r="T437">
        <v>5.9982074081454499E-2</v>
      </c>
      <c r="U437">
        <v>0</v>
      </c>
      <c r="V437">
        <v>2.1990811119670245E-2</v>
      </c>
      <c r="W437">
        <v>0</v>
      </c>
      <c r="X437">
        <v>4.7976594934464375E-3</v>
      </c>
      <c r="Y437">
        <v>0</v>
      </c>
      <c r="Z437">
        <v>1.9767253231788403E-2</v>
      </c>
      <c r="AA437">
        <v>0</v>
      </c>
      <c r="AB437">
        <v>0</v>
      </c>
      <c r="AC437">
        <v>0.53912167568691471</v>
      </c>
      <c r="AD437">
        <v>4.6949423868223504E-2</v>
      </c>
      <c r="AE437">
        <v>0</v>
      </c>
      <c r="AF437">
        <v>0</v>
      </c>
      <c r="AG437">
        <v>0</v>
      </c>
      <c r="AH437">
        <v>0.24656866195656527</v>
      </c>
      <c r="AI437">
        <v>0</v>
      </c>
      <c r="AJ437">
        <v>0</v>
      </c>
      <c r="AK437">
        <v>0</v>
      </c>
      <c r="AM437">
        <v>0</v>
      </c>
    </row>
    <row r="438" spans="1:39" x14ac:dyDescent="0.25">
      <c r="A438" t="s">
        <v>128</v>
      </c>
      <c r="B438" t="s">
        <v>146</v>
      </c>
      <c r="C438" t="s">
        <v>109</v>
      </c>
      <c r="D438" s="12">
        <v>46236</v>
      </c>
      <c r="E438" t="s">
        <v>136</v>
      </c>
      <c r="F438" t="s">
        <v>136</v>
      </c>
      <c r="G438" t="s">
        <v>136</v>
      </c>
      <c r="K438">
        <v>6.7655742969551058</v>
      </c>
      <c r="N438">
        <v>6.6499999999999995</v>
      </c>
      <c r="O438">
        <v>6.6499999999999995</v>
      </c>
      <c r="P438">
        <v>8.5153546712802761</v>
      </c>
      <c r="T438">
        <v>0.22723818687087352</v>
      </c>
      <c r="U438">
        <v>0</v>
      </c>
      <c r="V438">
        <v>0</v>
      </c>
      <c r="W438">
        <v>0</v>
      </c>
      <c r="X438">
        <v>0</v>
      </c>
      <c r="Y438">
        <v>0.10117700989211498</v>
      </c>
      <c r="Z438">
        <v>3.1391797447334564E-2</v>
      </c>
      <c r="AA438">
        <v>0</v>
      </c>
      <c r="AB438">
        <v>0</v>
      </c>
      <c r="AC438">
        <v>4.8474500538352429E-2</v>
      </c>
      <c r="AD438">
        <v>0</v>
      </c>
      <c r="AE438">
        <v>0</v>
      </c>
      <c r="AF438">
        <v>0</v>
      </c>
      <c r="AG438">
        <v>0</v>
      </c>
      <c r="AH438">
        <v>0.42125027010384947</v>
      </c>
      <c r="AI438">
        <v>0</v>
      </c>
      <c r="AJ438">
        <v>0</v>
      </c>
      <c r="AK438">
        <v>0</v>
      </c>
      <c r="AM438">
        <v>0.53027522935779814</v>
      </c>
    </row>
    <row r="439" spans="1:39" x14ac:dyDescent="0.25">
      <c r="A439" t="s">
        <v>128</v>
      </c>
      <c r="B439" t="s">
        <v>146</v>
      </c>
      <c r="C439" t="s">
        <v>109</v>
      </c>
      <c r="D439" s="12">
        <v>46225</v>
      </c>
      <c r="E439" t="s">
        <v>136</v>
      </c>
      <c r="F439" t="s">
        <v>136</v>
      </c>
      <c r="G439" t="s">
        <v>136</v>
      </c>
      <c r="K439">
        <v>6.7655742969551058</v>
      </c>
      <c r="N439">
        <v>6.6499999999999995</v>
      </c>
      <c r="O439">
        <v>6.6499999999999995</v>
      </c>
      <c r="P439">
        <v>9.3354238754325252</v>
      </c>
      <c r="T439">
        <v>0.34845024783683287</v>
      </c>
      <c r="U439">
        <v>0</v>
      </c>
      <c r="V439">
        <v>0</v>
      </c>
      <c r="W439">
        <v>0</v>
      </c>
      <c r="X439">
        <v>0</v>
      </c>
      <c r="Y439">
        <v>0.1011770098921151</v>
      </c>
      <c r="Z439">
        <v>3.1391797447334446E-2</v>
      </c>
      <c r="AA439">
        <v>0</v>
      </c>
      <c r="AB439">
        <v>0</v>
      </c>
      <c r="AC439">
        <v>4.8474500538352373E-2</v>
      </c>
      <c r="AD439">
        <v>0</v>
      </c>
      <c r="AE439">
        <v>0</v>
      </c>
      <c r="AF439">
        <v>0</v>
      </c>
      <c r="AG439">
        <v>0</v>
      </c>
      <c r="AH439">
        <v>0.42125027010384947</v>
      </c>
      <c r="AI439">
        <v>0</v>
      </c>
      <c r="AJ439">
        <v>0</v>
      </c>
      <c r="AK439">
        <v>0</v>
      </c>
      <c r="AM439">
        <v>0.53027522935779814</v>
      </c>
    </row>
    <row r="440" spans="1:39" x14ac:dyDescent="0.25">
      <c r="A440" t="s">
        <v>128</v>
      </c>
      <c r="B440" t="s">
        <v>146</v>
      </c>
      <c r="C440" t="s">
        <v>117</v>
      </c>
      <c r="D440" s="12">
        <v>46244</v>
      </c>
      <c r="K440">
        <v>41.991638269158884</v>
      </c>
      <c r="N440">
        <v>13.3</v>
      </c>
      <c r="O440">
        <v>13.3</v>
      </c>
      <c r="P440">
        <v>44.318609429065738</v>
      </c>
      <c r="T440">
        <v>8.3605720484763377E-2</v>
      </c>
      <c r="U440">
        <v>0</v>
      </c>
      <c r="V440">
        <v>0</v>
      </c>
      <c r="W440">
        <v>0</v>
      </c>
      <c r="X440">
        <v>0</v>
      </c>
      <c r="Y440">
        <v>1.6301354407303931E-2</v>
      </c>
      <c r="Z440">
        <v>5.0577578465399982E-3</v>
      </c>
      <c r="AA440">
        <v>0</v>
      </c>
      <c r="AB440">
        <v>0</v>
      </c>
      <c r="AC440">
        <v>0.39374464274573379</v>
      </c>
      <c r="AD440">
        <v>3.3248370566481264E-2</v>
      </c>
      <c r="AE440">
        <v>0</v>
      </c>
      <c r="AF440">
        <v>0</v>
      </c>
      <c r="AG440">
        <v>0</v>
      </c>
      <c r="AH440">
        <v>0.22623551715478926</v>
      </c>
      <c r="AI440">
        <v>0</v>
      </c>
      <c r="AJ440">
        <v>0</v>
      </c>
      <c r="AK440">
        <v>0</v>
      </c>
      <c r="AM440">
        <v>8.5436449015375712E-2</v>
      </c>
    </row>
    <row r="441" spans="1:39" x14ac:dyDescent="0.25">
      <c r="A441" t="s">
        <v>128</v>
      </c>
      <c r="B441" t="s">
        <v>146</v>
      </c>
      <c r="C441" t="s">
        <v>109</v>
      </c>
      <c r="D441" s="12">
        <v>46228</v>
      </c>
      <c r="E441" t="s">
        <v>134</v>
      </c>
      <c r="F441" t="s">
        <v>134</v>
      </c>
      <c r="G441" t="s">
        <v>134</v>
      </c>
      <c r="K441">
        <v>26.221255612373248</v>
      </c>
      <c r="N441">
        <v>7.6</v>
      </c>
      <c r="O441">
        <v>7.6</v>
      </c>
      <c r="P441">
        <v>27.25</v>
      </c>
      <c r="T441">
        <v>3.9233223718749273E-2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0.54919301256120512</v>
      </c>
      <c r="AD441">
        <v>0</v>
      </c>
      <c r="AE441">
        <v>0</v>
      </c>
      <c r="AF441">
        <v>0</v>
      </c>
      <c r="AG441">
        <v>0</v>
      </c>
      <c r="AH441">
        <v>0.28984119267018327</v>
      </c>
      <c r="AI441">
        <v>0</v>
      </c>
      <c r="AJ441">
        <v>0</v>
      </c>
      <c r="AK441">
        <v>0</v>
      </c>
      <c r="AL441">
        <v>0.1609657947686117</v>
      </c>
      <c r="AM441">
        <v>0</v>
      </c>
    </row>
    <row r="442" spans="1:39" x14ac:dyDescent="0.25">
      <c r="A442" t="s">
        <v>128</v>
      </c>
      <c r="B442" t="s">
        <v>146</v>
      </c>
      <c r="C442" t="s">
        <v>109</v>
      </c>
      <c r="D442" s="12">
        <v>46237</v>
      </c>
      <c r="E442" t="s">
        <v>135</v>
      </c>
      <c r="F442" t="s">
        <v>135</v>
      </c>
      <c r="G442" t="s">
        <v>135</v>
      </c>
      <c r="K442">
        <v>10.479565915226781</v>
      </c>
      <c r="N442">
        <v>0</v>
      </c>
      <c r="O442">
        <v>0</v>
      </c>
      <c r="P442">
        <v>8.7159385813148784</v>
      </c>
      <c r="T442">
        <v>1.0802921266538677E-2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0.49904542364353571</v>
      </c>
      <c r="AD442">
        <v>0.17909494291882458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0.32185963343763974</v>
      </c>
      <c r="AM442">
        <v>0</v>
      </c>
    </row>
    <row r="443" spans="1:39" x14ac:dyDescent="0.25">
      <c r="A443" t="s">
        <v>128</v>
      </c>
      <c r="B443" t="s">
        <v>146</v>
      </c>
      <c r="C443" t="s">
        <v>109</v>
      </c>
      <c r="D443" s="12">
        <v>46225</v>
      </c>
      <c r="E443" t="s">
        <v>135</v>
      </c>
      <c r="F443" t="s">
        <v>135</v>
      </c>
      <c r="G443" t="s">
        <v>135</v>
      </c>
      <c r="K443">
        <v>9.8140698021217112</v>
      </c>
      <c r="N443">
        <v>8.5500000000000007</v>
      </c>
      <c r="O443">
        <v>8.5500000000000007</v>
      </c>
      <c r="P443">
        <v>7.5087045847750851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8.6402552206885821E-2</v>
      </c>
      <c r="AC443">
        <v>9.5900731252671706E-2</v>
      </c>
      <c r="AD443">
        <v>0.11930361548072468</v>
      </c>
      <c r="AE443">
        <v>0</v>
      </c>
      <c r="AF443">
        <v>0.11560048280154235</v>
      </c>
      <c r="AG443">
        <v>0</v>
      </c>
      <c r="AH443">
        <v>0.66919517046506138</v>
      </c>
      <c r="AI443">
        <v>0</v>
      </c>
      <c r="AJ443">
        <v>0</v>
      </c>
      <c r="AK443">
        <v>0</v>
      </c>
      <c r="AL443">
        <v>0</v>
      </c>
      <c r="AM443">
        <v>0</v>
      </c>
    </row>
    <row r="444" spans="1:39" x14ac:dyDescent="0.25">
      <c r="A444" t="s">
        <v>128</v>
      </c>
      <c r="B444" t="s">
        <v>146</v>
      </c>
      <c r="C444" t="s">
        <v>109</v>
      </c>
      <c r="D444" s="12">
        <v>46224</v>
      </c>
      <c r="E444" t="s">
        <v>136</v>
      </c>
      <c r="F444" t="s">
        <v>136</v>
      </c>
      <c r="G444" t="s">
        <v>136</v>
      </c>
      <c r="K444">
        <v>6.815229888125419</v>
      </c>
      <c r="N444">
        <v>9.5</v>
      </c>
      <c r="O444">
        <v>9.5</v>
      </c>
      <c r="P444">
        <v>9.224604547701432</v>
      </c>
      <c r="T444">
        <v>9.8984855797283486E-2</v>
      </c>
      <c r="U444">
        <v>0</v>
      </c>
      <c r="V444">
        <v>0</v>
      </c>
      <c r="W444">
        <v>0</v>
      </c>
      <c r="X444">
        <v>3.8953847014565793E-2</v>
      </c>
      <c r="Y444">
        <v>3.4410692880150674E-2</v>
      </c>
      <c r="Z444">
        <v>0.2155893071198493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0.5264116575591985</v>
      </c>
      <c r="AI444">
        <v>0</v>
      </c>
      <c r="AJ444">
        <v>0</v>
      </c>
      <c r="AK444">
        <v>0</v>
      </c>
      <c r="AM444">
        <v>0.47358834244080139</v>
      </c>
    </row>
    <row r="445" spans="1:39" x14ac:dyDescent="0.25">
      <c r="A445" t="s">
        <v>128</v>
      </c>
      <c r="B445" t="s">
        <v>146</v>
      </c>
      <c r="C445" t="s">
        <v>117</v>
      </c>
      <c r="D445" s="12">
        <v>46238</v>
      </c>
      <c r="K445">
        <v>45.494516376417593</v>
      </c>
      <c r="N445">
        <v>12.349999999999998</v>
      </c>
      <c r="O445">
        <v>12.349999999999998</v>
      </c>
      <c r="P445">
        <v>48.082203960015377</v>
      </c>
      <c r="T445">
        <v>9.3464919373417235E-2</v>
      </c>
      <c r="U445">
        <v>0</v>
      </c>
      <c r="V445">
        <v>0</v>
      </c>
      <c r="W445">
        <v>0</v>
      </c>
      <c r="X445">
        <v>0</v>
      </c>
      <c r="Y445">
        <v>1.5046221656808108E-2</v>
      </c>
      <c r="Z445">
        <v>4.6683326884423837E-3</v>
      </c>
      <c r="AA445">
        <v>0</v>
      </c>
      <c r="AB445">
        <v>0</v>
      </c>
      <c r="AC445">
        <v>0.54592047876561145</v>
      </c>
      <c r="AD445">
        <v>4.1254142452528036E-2</v>
      </c>
      <c r="AE445">
        <v>0</v>
      </c>
      <c r="AF445">
        <v>0</v>
      </c>
      <c r="AG445">
        <v>0</v>
      </c>
      <c r="AH445">
        <v>0.16705310013888869</v>
      </c>
      <c r="AI445">
        <v>0</v>
      </c>
      <c r="AJ445">
        <v>0</v>
      </c>
      <c r="AK445">
        <v>0</v>
      </c>
      <c r="AM445">
        <v>7.8858217381001974E-2</v>
      </c>
    </row>
    <row r="446" spans="1:39" x14ac:dyDescent="0.25">
      <c r="A446" t="s">
        <v>128</v>
      </c>
      <c r="B446" t="s">
        <v>146</v>
      </c>
      <c r="C446" t="s">
        <v>109</v>
      </c>
      <c r="D446" s="12">
        <v>46235</v>
      </c>
      <c r="E446" t="s">
        <v>136</v>
      </c>
      <c r="F446" t="s">
        <v>136</v>
      </c>
      <c r="G446" t="s">
        <v>136</v>
      </c>
      <c r="K446">
        <v>6.8152298881254181</v>
      </c>
      <c r="N446">
        <v>8.5500000000000007</v>
      </c>
      <c r="O446">
        <v>8.5500000000000007</v>
      </c>
      <c r="P446">
        <v>8.5121107266435985</v>
      </c>
      <c r="T446">
        <v>0.21782057611289099</v>
      </c>
      <c r="U446">
        <v>0</v>
      </c>
      <c r="V446">
        <v>0</v>
      </c>
      <c r="W446">
        <v>0</v>
      </c>
      <c r="X446">
        <v>0</v>
      </c>
      <c r="Y446">
        <v>0.10043983677814693</v>
      </c>
      <c r="Z446">
        <v>3.1163077611652708E-2</v>
      </c>
      <c r="AA446">
        <v>0</v>
      </c>
      <c r="AB446">
        <v>0</v>
      </c>
      <c r="AC446">
        <v>5.5407291062663074E-2</v>
      </c>
      <c r="AD446">
        <v>0</v>
      </c>
      <c r="AE446">
        <v>0</v>
      </c>
      <c r="AF446">
        <v>0</v>
      </c>
      <c r="AG446">
        <v>0</v>
      </c>
      <c r="AH446">
        <v>0.41818105137813838</v>
      </c>
      <c r="AI446">
        <v>0</v>
      </c>
      <c r="AJ446">
        <v>0</v>
      </c>
      <c r="AK446">
        <v>0</v>
      </c>
      <c r="AM446">
        <v>0.5264116575591985</v>
      </c>
    </row>
    <row r="447" spans="1:39" x14ac:dyDescent="0.25">
      <c r="A447" t="s">
        <v>128</v>
      </c>
      <c r="B447" t="s">
        <v>146</v>
      </c>
      <c r="C447" t="s">
        <v>109</v>
      </c>
      <c r="D447" s="12">
        <v>46238</v>
      </c>
      <c r="E447" t="s">
        <v>136</v>
      </c>
      <c r="F447" t="s">
        <v>136</v>
      </c>
      <c r="G447" t="s">
        <v>136</v>
      </c>
      <c r="K447">
        <v>6.8152298881254181</v>
      </c>
      <c r="N447">
        <v>7.6</v>
      </c>
      <c r="O447">
        <v>7.6</v>
      </c>
      <c r="P447">
        <v>9.4600153787005006</v>
      </c>
      <c r="T447">
        <v>0.35690680909653444</v>
      </c>
      <c r="U447">
        <v>0</v>
      </c>
      <c r="V447">
        <v>0</v>
      </c>
      <c r="W447">
        <v>0</v>
      </c>
      <c r="X447">
        <v>0</v>
      </c>
      <c r="Y447">
        <v>0.10043983677814693</v>
      </c>
      <c r="Z447">
        <v>3.1163077611652708E-2</v>
      </c>
      <c r="AA447">
        <v>0</v>
      </c>
      <c r="AB447">
        <v>0</v>
      </c>
      <c r="AC447">
        <v>5.5407291062663074E-2</v>
      </c>
      <c r="AD447">
        <v>0</v>
      </c>
      <c r="AE447">
        <v>0</v>
      </c>
      <c r="AF447">
        <v>0</v>
      </c>
      <c r="AG447">
        <v>0</v>
      </c>
      <c r="AH447">
        <v>0.41818105137813838</v>
      </c>
      <c r="AI447">
        <v>0</v>
      </c>
      <c r="AJ447">
        <v>0</v>
      </c>
      <c r="AK447">
        <v>0</v>
      </c>
      <c r="AM447">
        <v>0.5264116575591985</v>
      </c>
    </row>
    <row r="448" spans="1:39" x14ac:dyDescent="0.25">
      <c r="A448" t="s">
        <v>128</v>
      </c>
      <c r="B448" t="s">
        <v>146</v>
      </c>
      <c r="C448" t="s">
        <v>117</v>
      </c>
      <c r="D448" s="12">
        <v>46231</v>
      </c>
      <c r="K448">
        <v>45.37322940100907</v>
      </c>
      <c r="N448">
        <v>20.9</v>
      </c>
      <c r="O448">
        <v>20.9</v>
      </c>
      <c r="P448">
        <v>44.575692041522487</v>
      </c>
      <c r="T448">
        <v>5.3656877883548997E-2</v>
      </c>
      <c r="U448">
        <v>0</v>
      </c>
      <c r="V448">
        <v>9.7232768399431121E-4</v>
      </c>
      <c r="W448">
        <v>0</v>
      </c>
      <c r="X448">
        <v>4.8786868004459484E-3</v>
      </c>
      <c r="Y448">
        <v>0</v>
      </c>
      <c r="Z448">
        <v>1.9767253231788403E-2</v>
      </c>
      <c r="AA448">
        <v>0</v>
      </c>
      <c r="AB448">
        <v>0</v>
      </c>
      <c r="AC448">
        <v>0.41796669226129146</v>
      </c>
      <c r="AD448">
        <v>9.5880084731815474E-2</v>
      </c>
      <c r="AE448">
        <v>0</v>
      </c>
      <c r="AF448">
        <v>0</v>
      </c>
      <c r="AG448">
        <v>0</v>
      </c>
      <c r="AH448">
        <v>0.39313085485730048</v>
      </c>
      <c r="AI448">
        <v>0</v>
      </c>
      <c r="AJ448">
        <v>0</v>
      </c>
      <c r="AK448">
        <v>0</v>
      </c>
      <c r="AM448">
        <v>0</v>
      </c>
    </row>
    <row r="449" spans="1:39" x14ac:dyDescent="0.25">
      <c r="A449" t="s">
        <v>128</v>
      </c>
      <c r="B449" t="s">
        <v>146</v>
      </c>
      <c r="C449" t="s">
        <v>117</v>
      </c>
      <c r="D449" s="12">
        <v>46223</v>
      </c>
      <c r="K449">
        <v>44.310540874450453</v>
      </c>
      <c r="N449">
        <v>22.8</v>
      </c>
      <c r="O449">
        <v>22.8</v>
      </c>
      <c r="P449">
        <v>41.601301182237599</v>
      </c>
      <c r="T449">
        <v>3.4329554922640469E-2</v>
      </c>
      <c r="U449">
        <v>0</v>
      </c>
      <c r="V449">
        <v>4.8870525606239064E-2</v>
      </c>
      <c r="W449">
        <v>0</v>
      </c>
      <c r="X449">
        <v>0</v>
      </c>
      <c r="Y449">
        <v>0</v>
      </c>
      <c r="Z449">
        <v>3.996552892450914E-3</v>
      </c>
      <c r="AA449">
        <v>0</v>
      </c>
      <c r="AB449">
        <v>1.6244773388242942E-2</v>
      </c>
      <c r="AC449">
        <v>0.39302001619401367</v>
      </c>
      <c r="AD449">
        <v>6.6288282943763294E-2</v>
      </c>
      <c r="AE449">
        <v>0</v>
      </c>
      <c r="AF449">
        <v>3.3179928730750964E-2</v>
      </c>
      <c r="AG449">
        <v>0</v>
      </c>
      <c r="AH449">
        <v>0.41225847198703042</v>
      </c>
      <c r="AI449">
        <v>0</v>
      </c>
      <c r="AJ449">
        <v>0</v>
      </c>
      <c r="AK449">
        <v>0</v>
      </c>
      <c r="AM449">
        <v>0</v>
      </c>
    </row>
    <row r="450" spans="1:39" x14ac:dyDescent="0.25">
      <c r="A450" t="s">
        <v>128</v>
      </c>
      <c r="B450" t="s">
        <v>146</v>
      </c>
      <c r="C450" t="s">
        <v>109</v>
      </c>
      <c r="D450" s="12">
        <v>46231</v>
      </c>
      <c r="E450" t="s">
        <v>136</v>
      </c>
      <c r="F450" t="s">
        <v>136</v>
      </c>
      <c r="G450" t="s">
        <v>136</v>
      </c>
      <c r="K450">
        <v>6.7655742969551049</v>
      </c>
      <c r="N450">
        <v>9.5</v>
      </c>
      <c r="O450">
        <v>9.5</v>
      </c>
      <c r="P450">
        <v>9.3944636678200695</v>
      </c>
      <c r="T450">
        <v>0.22328089437414761</v>
      </c>
      <c r="U450">
        <v>0</v>
      </c>
      <c r="V450">
        <v>6.5209020139918054E-3</v>
      </c>
      <c r="W450">
        <v>0</v>
      </c>
      <c r="X450">
        <v>3.2718844795176429E-2</v>
      </c>
      <c r="Y450">
        <v>0</v>
      </c>
      <c r="Z450">
        <v>0.13256880733944956</v>
      </c>
      <c r="AA450">
        <v>0</v>
      </c>
      <c r="AB450">
        <v>0</v>
      </c>
      <c r="AC450">
        <v>4.8474500538352373E-2</v>
      </c>
      <c r="AD450">
        <v>0</v>
      </c>
      <c r="AE450">
        <v>0</v>
      </c>
      <c r="AF450">
        <v>0</v>
      </c>
      <c r="AG450">
        <v>0</v>
      </c>
      <c r="AH450">
        <v>0.95152549946164766</v>
      </c>
      <c r="AI450">
        <v>0</v>
      </c>
      <c r="AJ450">
        <v>0</v>
      </c>
      <c r="AK450">
        <v>0</v>
      </c>
      <c r="AM450">
        <v>0</v>
      </c>
    </row>
    <row r="451" spans="1:39" x14ac:dyDescent="0.25">
      <c r="A451" t="s">
        <v>128</v>
      </c>
      <c r="B451" t="s">
        <v>146</v>
      </c>
      <c r="C451" t="s">
        <v>117</v>
      </c>
      <c r="D451" s="12">
        <v>46230</v>
      </c>
      <c r="K451">
        <v>41.991638269158877</v>
      </c>
      <c r="N451">
        <v>22.8</v>
      </c>
      <c r="O451">
        <v>22.8</v>
      </c>
      <c r="P451">
        <v>41.920631487889274</v>
      </c>
      <c r="T451">
        <v>1.3547459689312789E-2</v>
      </c>
      <c r="U451">
        <v>0</v>
      </c>
      <c r="V451">
        <v>9.5794464986104725E-3</v>
      </c>
      <c r="W451">
        <v>0</v>
      </c>
      <c r="X451">
        <v>5.2715679715429342E-3</v>
      </c>
      <c r="Y451">
        <v>0</v>
      </c>
      <c r="Z451">
        <v>3.6172589192105024E-2</v>
      </c>
      <c r="AA451">
        <v>0</v>
      </c>
      <c r="AB451">
        <v>3.108768813795925E-2</v>
      </c>
      <c r="AC451">
        <v>0.43025648230886099</v>
      </c>
      <c r="AD451">
        <v>8.376098890008515E-3</v>
      </c>
      <c r="AE451">
        <v>0</v>
      </c>
      <c r="AF451">
        <v>4.8306492266323157E-2</v>
      </c>
      <c r="AG451">
        <v>0</v>
      </c>
      <c r="AH451">
        <v>0.4125474571049535</v>
      </c>
      <c r="AI451">
        <v>0</v>
      </c>
      <c r="AJ451">
        <v>0</v>
      </c>
      <c r="AK451">
        <v>0</v>
      </c>
      <c r="AM451">
        <v>0</v>
      </c>
    </row>
    <row r="452" spans="1:39" x14ac:dyDescent="0.25">
      <c r="A452" t="s">
        <v>128</v>
      </c>
      <c r="B452" t="s">
        <v>146</v>
      </c>
      <c r="C452" t="s">
        <v>109</v>
      </c>
      <c r="D452" s="12">
        <v>46231</v>
      </c>
      <c r="E452" t="s">
        <v>135</v>
      </c>
      <c r="F452" t="s">
        <v>135</v>
      </c>
      <c r="G452" t="s">
        <v>135</v>
      </c>
      <c r="K452">
        <v>11.674152105831531</v>
      </c>
      <c r="N452">
        <v>6.65</v>
      </c>
      <c r="O452">
        <v>6.65</v>
      </c>
      <c r="P452">
        <v>9.712478373702421</v>
      </c>
      <c r="T452">
        <v>1.4439870729866463E-2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0.24788996238689034</v>
      </c>
      <c r="AD452">
        <v>0.18247552028673711</v>
      </c>
      <c r="AE452">
        <v>0</v>
      </c>
      <c r="AF452">
        <v>0</v>
      </c>
      <c r="AG452">
        <v>0</v>
      </c>
      <c r="AH452">
        <v>0.5696345173263726</v>
      </c>
      <c r="AI452">
        <v>0</v>
      </c>
      <c r="AJ452">
        <v>0</v>
      </c>
      <c r="AK452">
        <v>0</v>
      </c>
      <c r="AL452">
        <v>0</v>
      </c>
      <c r="AM452">
        <v>0</v>
      </c>
    </row>
    <row r="453" spans="1:39" x14ac:dyDescent="0.25">
      <c r="A453" t="s">
        <v>128</v>
      </c>
      <c r="B453" t="s">
        <v>146</v>
      </c>
      <c r="C453" t="s">
        <v>109</v>
      </c>
      <c r="D453" s="12">
        <v>46240</v>
      </c>
      <c r="E453" t="s">
        <v>135</v>
      </c>
      <c r="F453" t="s">
        <v>135</v>
      </c>
      <c r="G453" t="s">
        <v>135</v>
      </c>
      <c r="K453">
        <v>10.752377986437555</v>
      </c>
      <c r="N453">
        <v>0</v>
      </c>
      <c r="O453">
        <v>0</v>
      </c>
      <c r="P453">
        <v>7.9896649062101623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0.74306027153136511</v>
      </c>
      <c r="AD453">
        <v>0.25693972846863483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</row>
    <row r="454" spans="1:39" x14ac:dyDescent="0.25">
      <c r="A454" t="s">
        <v>128</v>
      </c>
      <c r="B454" t="s">
        <v>146</v>
      </c>
      <c r="C454" t="s">
        <v>109</v>
      </c>
      <c r="D454" s="12">
        <v>46234</v>
      </c>
      <c r="E454" t="s">
        <v>136</v>
      </c>
      <c r="F454" t="s">
        <v>136</v>
      </c>
      <c r="G454" t="s">
        <v>136</v>
      </c>
      <c r="K454">
        <v>6.7655742969551058</v>
      </c>
      <c r="N454">
        <v>7.6</v>
      </c>
      <c r="O454">
        <v>7.6</v>
      </c>
      <c r="P454">
        <v>9.3977076124567454</v>
      </c>
      <c r="T454">
        <v>0.21723947044941982</v>
      </c>
      <c r="U454">
        <v>0</v>
      </c>
      <c r="V454">
        <v>0</v>
      </c>
      <c r="W454">
        <v>0</v>
      </c>
      <c r="X454">
        <v>3.9239746809168113E-2</v>
      </c>
      <c r="Y454">
        <v>0</v>
      </c>
      <c r="Z454">
        <v>0.13256880733944953</v>
      </c>
      <c r="AA454">
        <v>0</v>
      </c>
      <c r="AB454">
        <v>0</v>
      </c>
      <c r="AC454">
        <v>4.8474500538352373E-2</v>
      </c>
      <c r="AD454">
        <v>0</v>
      </c>
      <c r="AE454">
        <v>0</v>
      </c>
      <c r="AF454">
        <v>0</v>
      </c>
      <c r="AG454">
        <v>0</v>
      </c>
      <c r="AH454">
        <v>0.95152549946164766</v>
      </c>
      <c r="AI454">
        <v>0</v>
      </c>
      <c r="AJ454">
        <v>0</v>
      </c>
      <c r="AK454">
        <v>0</v>
      </c>
      <c r="AM454">
        <v>0</v>
      </c>
    </row>
    <row r="455" spans="1:39" x14ac:dyDescent="0.25">
      <c r="A455" t="s">
        <v>128</v>
      </c>
      <c r="B455" t="s">
        <v>146</v>
      </c>
      <c r="C455" t="s">
        <v>109</v>
      </c>
      <c r="D455" s="12">
        <v>46249</v>
      </c>
      <c r="E455" t="s">
        <v>136</v>
      </c>
      <c r="F455" t="s">
        <v>136</v>
      </c>
      <c r="G455" t="s">
        <v>136</v>
      </c>
      <c r="K455">
        <v>6.8152298881254181</v>
      </c>
      <c r="N455">
        <v>7.6</v>
      </c>
      <c r="O455">
        <v>7.6</v>
      </c>
      <c r="P455">
        <v>9.4567474048442879</v>
      </c>
      <c r="T455">
        <v>0.35642729866037065</v>
      </c>
      <c r="U455">
        <v>0</v>
      </c>
      <c r="V455">
        <v>0</v>
      </c>
      <c r="W455">
        <v>0</v>
      </c>
      <c r="X455">
        <v>0</v>
      </c>
      <c r="Y455">
        <v>0.10043983677814693</v>
      </c>
      <c r="Z455">
        <v>3.1163077611652708E-2</v>
      </c>
      <c r="AA455">
        <v>0</v>
      </c>
      <c r="AB455">
        <v>0</v>
      </c>
      <c r="AC455">
        <v>5.5407291062663074E-2</v>
      </c>
      <c r="AD455">
        <v>0</v>
      </c>
      <c r="AE455">
        <v>0</v>
      </c>
      <c r="AF455">
        <v>0</v>
      </c>
      <c r="AG455">
        <v>0</v>
      </c>
      <c r="AH455">
        <v>0.41818105137813838</v>
      </c>
      <c r="AI455">
        <v>0</v>
      </c>
      <c r="AJ455">
        <v>0</v>
      </c>
      <c r="AK455">
        <v>0</v>
      </c>
      <c r="AM455">
        <v>0.5264116575591985</v>
      </c>
    </row>
    <row r="456" spans="1:39" x14ac:dyDescent="0.25">
      <c r="A456" t="s">
        <v>128</v>
      </c>
      <c r="B456" t="s">
        <v>146</v>
      </c>
      <c r="C456" t="s">
        <v>109</v>
      </c>
      <c r="D456" s="12">
        <v>46232</v>
      </c>
      <c r="E456" t="s">
        <v>134</v>
      </c>
      <c r="F456" t="s">
        <v>134</v>
      </c>
      <c r="G456" t="s">
        <v>134</v>
      </c>
      <c r="K456">
        <v>27.619370851262371</v>
      </c>
      <c r="N456">
        <v>6.6499999999999995</v>
      </c>
      <c r="O456">
        <v>6.6499999999999995</v>
      </c>
      <c r="P456">
        <v>28.59375</v>
      </c>
      <c r="T456">
        <v>3.5278832164024283E-2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0.75922695575463994</v>
      </c>
      <c r="AD456">
        <v>0</v>
      </c>
      <c r="AE456">
        <v>0</v>
      </c>
      <c r="AF456">
        <v>0</v>
      </c>
      <c r="AG456">
        <v>0</v>
      </c>
      <c r="AH456">
        <v>0.24077304424535995</v>
      </c>
      <c r="AI456">
        <v>0</v>
      </c>
      <c r="AJ456">
        <v>0</v>
      </c>
      <c r="AK456">
        <v>0</v>
      </c>
      <c r="AL456">
        <v>0</v>
      </c>
      <c r="AM456">
        <v>0</v>
      </c>
    </row>
    <row r="457" spans="1:39" x14ac:dyDescent="0.25">
      <c r="A457" t="s">
        <v>128</v>
      </c>
      <c r="B457" t="s">
        <v>146</v>
      </c>
      <c r="C457" t="s">
        <v>109</v>
      </c>
      <c r="D457" s="12">
        <v>46240</v>
      </c>
      <c r="E457" t="s">
        <v>136</v>
      </c>
      <c r="F457" t="s">
        <v>136</v>
      </c>
      <c r="G457" t="s">
        <v>136</v>
      </c>
      <c r="K457">
        <v>6.7655742969551049</v>
      </c>
      <c r="N457">
        <v>6.6499999999999995</v>
      </c>
      <c r="O457">
        <v>6.6499999999999995</v>
      </c>
      <c r="P457">
        <v>9.3354238754325252</v>
      </c>
      <c r="T457">
        <v>0.34845024783683298</v>
      </c>
      <c r="U457">
        <v>0</v>
      </c>
      <c r="V457">
        <v>0</v>
      </c>
      <c r="W457">
        <v>0</v>
      </c>
      <c r="X457">
        <v>0</v>
      </c>
      <c r="Y457">
        <v>0.10117700989211498</v>
      </c>
      <c r="Z457">
        <v>3.1391797447334564E-2</v>
      </c>
      <c r="AA457">
        <v>0</v>
      </c>
      <c r="AB457">
        <v>0</v>
      </c>
      <c r="AC457">
        <v>4.8474500538352373E-2</v>
      </c>
      <c r="AD457">
        <v>0</v>
      </c>
      <c r="AE457">
        <v>0</v>
      </c>
      <c r="AF457">
        <v>0</v>
      </c>
      <c r="AG457">
        <v>0</v>
      </c>
      <c r="AH457">
        <v>0.42125027010384952</v>
      </c>
      <c r="AI457">
        <v>0</v>
      </c>
      <c r="AJ457">
        <v>0</v>
      </c>
      <c r="AK457">
        <v>0</v>
      </c>
      <c r="AM457">
        <v>0.53027522935779825</v>
      </c>
    </row>
    <row r="458" spans="1:39" x14ac:dyDescent="0.25">
      <c r="A458" t="s">
        <v>128</v>
      </c>
      <c r="B458" t="s">
        <v>146</v>
      </c>
      <c r="C458" t="s">
        <v>117</v>
      </c>
      <c r="D458" s="12">
        <v>46229</v>
      </c>
      <c r="K458">
        <v>41.938879203540424</v>
      </c>
      <c r="N458">
        <v>23.749999999999996</v>
      </c>
      <c r="O458">
        <v>23.749999999999996</v>
      </c>
      <c r="P458">
        <v>44.872224625144163</v>
      </c>
      <c r="T458">
        <v>5.1012327658786917E-2</v>
      </c>
      <c r="U458">
        <v>0</v>
      </c>
      <c r="V458">
        <v>8.539546404934836E-3</v>
      </c>
      <c r="W458">
        <v>0</v>
      </c>
      <c r="X458">
        <v>6.3301506256925079E-3</v>
      </c>
      <c r="Y458">
        <v>0</v>
      </c>
      <c r="Z458">
        <v>2.3102507248503743E-2</v>
      </c>
      <c r="AA458">
        <v>0</v>
      </c>
      <c r="AB458">
        <v>1.9227577584521285E-2</v>
      </c>
      <c r="AC458">
        <v>0.5030498486619881</v>
      </c>
      <c r="AD458">
        <v>1.0501642331858204E-2</v>
      </c>
      <c r="AE458">
        <v>0</v>
      </c>
      <c r="AF458">
        <v>0</v>
      </c>
      <c r="AG458">
        <v>0</v>
      </c>
      <c r="AH458">
        <v>0.4864485090061535</v>
      </c>
      <c r="AI458">
        <v>0</v>
      </c>
      <c r="AJ458">
        <v>0</v>
      </c>
      <c r="AK458">
        <v>0</v>
      </c>
      <c r="AM458">
        <v>0</v>
      </c>
    </row>
    <row r="459" spans="1:39" x14ac:dyDescent="0.25">
      <c r="A459" t="s">
        <v>128</v>
      </c>
      <c r="B459" t="s">
        <v>146</v>
      </c>
      <c r="C459" t="s">
        <v>109</v>
      </c>
      <c r="D459" s="12">
        <v>46250</v>
      </c>
      <c r="E459" t="s">
        <v>136</v>
      </c>
      <c r="F459" t="s">
        <v>136</v>
      </c>
      <c r="G459" t="s">
        <v>136</v>
      </c>
      <c r="K459">
        <v>6.7655742969551058</v>
      </c>
      <c r="N459">
        <v>7.6</v>
      </c>
      <c r="O459">
        <v>7.6</v>
      </c>
      <c r="P459">
        <v>9.3354238754325252</v>
      </c>
      <c r="T459">
        <v>0.34845024783683259</v>
      </c>
      <c r="U459">
        <v>0</v>
      </c>
      <c r="V459">
        <v>0</v>
      </c>
      <c r="W459">
        <v>0</v>
      </c>
      <c r="X459">
        <v>0</v>
      </c>
      <c r="Y459">
        <v>0.10117700989211498</v>
      </c>
      <c r="Z459">
        <v>3.1391797447334564E-2</v>
      </c>
      <c r="AA459">
        <v>0</v>
      </c>
      <c r="AB459">
        <v>0</v>
      </c>
      <c r="AC459">
        <v>4.8474500538352429E-2</v>
      </c>
      <c r="AD459">
        <v>0</v>
      </c>
      <c r="AE459">
        <v>0</v>
      </c>
      <c r="AF459">
        <v>0</v>
      </c>
      <c r="AG459">
        <v>0</v>
      </c>
      <c r="AH459">
        <v>0.42125027010384947</v>
      </c>
      <c r="AI459">
        <v>0</v>
      </c>
      <c r="AJ459">
        <v>0</v>
      </c>
      <c r="AK459">
        <v>0</v>
      </c>
      <c r="AM459">
        <v>0.53027522935779814</v>
      </c>
    </row>
    <row r="460" spans="1:39" x14ac:dyDescent="0.25">
      <c r="A460" t="s">
        <v>128</v>
      </c>
      <c r="B460" t="s">
        <v>146</v>
      </c>
      <c r="C460" t="s">
        <v>109</v>
      </c>
      <c r="D460" s="12">
        <v>46249</v>
      </c>
      <c r="E460" t="s">
        <v>134</v>
      </c>
      <c r="F460" t="s">
        <v>134</v>
      </c>
      <c r="G460" t="s">
        <v>134</v>
      </c>
      <c r="K460">
        <v>26.221255612373248</v>
      </c>
      <c r="N460">
        <v>6.6499999999999995</v>
      </c>
      <c r="O460">
        <v>6.6499999999999995</v>
      </c>
      <c r="P460">
        <v>27.1875</v>
      </c>
      <c r="T460">
        <v>3.6849661279027356E-2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0.74638895641358982</v>
      </c>
      <c r="AD460">
        <v>0</v>
      </c>
      <c r="AE460">
        <v>0</v>
      </c>
      <c r="AF460">
        <v>0</v>
      </c>
      <c r="AG460">
        <v>0</v>
      </c>
      <c r="AH460">
        <v>0.25361104358641035</v>
      </c>
      <c r="AI460">
        <v>0</v>
      </c>
      <c r="AJ460">
        <v>0</v>
      </c>
      <c r="AK460">
        <v>0</v>
      </c>
      <c r="AL460">
        <v>0</v>
      </c>
      <c r="AM460">
        <v>0</v>
      </c>
    </row>
    <row r="461" spans="1:39" x14ac:dyDescent="0.25">
      <c r="A461" t="s">
        <v>128</v>
      </c>
      <c r="B461" t="s">
        <v>146</v>
      </c>
      <c r="C461" t="s">
        <v>109</v>
      </c>
      <c r="D461" s="12">
        <v>46232</v>
      </c>
      <c r="E461" t="s">
        <v>136</v>
      </c>
      <c r="F461" t="s">
        <v>136</v>
      </c>
      <c r="G461" t="s">
        <v>136</v>
      </c>
      <c r="K461">
        <v>6.7655742969551058</v>
      </c>
      <c r="N461">
        <v>6.6499999999999995</v>
      </c>
      <c r="O461">
        <v>6.6499999999999995</v>
      </c>
      <c r="P461">
        <v>9.3354238754325234</v>
      </c>
      <c r="T461">
        <v>0.34845024783683259</v>
      </c>
      <c r="U461">
        <v>0</v>
      </c>
      <c r="V461">
        <v>0</v>
      </c>
      <c r="W461">
        <v>0</v>
      </c>
      <c r="X461">
        <v>0</v>
      </c>
      <c r="Y461">
        <v>0.1011770098921151</v>
      </c>
      <c r="Z461">
        <v>3.1391797447334446E-2</v>
      </c>
      <c r="AA461">
        <v>0</v>
      </c>
      <c r="AB461">
        <v>0</v>
      </c>
      <c r="AC461">
        <v>4.8474500538352373E-2</v>
      </c>
      <c r="AD461">
        <v>0</v>
      </c>
      <c r="AE461">
        <v>0</v>
      </c>
      <c r="AF461">
        <v>0</v>
      </c>
      <c r="AG461">
        <v>0</v>
      </c>
      <c r="AH461">
        <v>0.42125027010384947</v>
      </c>
      <c r="AI461">
        <v>0</v>
      </c>
      <c r="AJ461">
        <v>0</v>
      </c>
      <c r="AK461">
        <v>0</v>
      </c>
      <c r="AM461">
        <v>0.53027522935779814</v>
      </c>
    </row>
    <row r="462" spans="1:39" x14ac:dyDescent="0.25">
      <c r="A462" t="s">
        <v>128</v>
      </c>
      <c r="B462" t="s">
        <v>146</v>
      </c>
      <c r="C462" t="s">
        <v>117</v>
      </c>
      <c r="D462" s="12">
        <v>46228</v>
      </c>
      <c r="K462">
        <v>40.023176804576735</v>
      </c>
      <c r="N462">
        <v>21.85</v>
      </c>
      <c r="O462">
        <v>21.85</v>
      </c>
      <c r="P462">
        <v>43.516219723183383</v>
      </c>
      <c r="T462">
        <v>8.5091467376840826E-2</v>
      </c>
      <c r="U462">
        <v>0</v>
      </c>
      <c r="V462">
        <v>6.6331421847746928E-3</v>
      </c>
      <c r="W462">
        <v>0</v>
      </c>
      <c r="X462">
        <v>0</v>
      </c>
      <c r="Y462">
        <v>3.4096612864642651E-3</v>
      </c>
      <c r="Z462">
        <v>1.731656887947533E-2</v>
      </c>
      <c r="AA462">
        <v>0</v>
      </c>
      <c r="AB462">
        <v>1.6607068440314079E-2</v>
      </c>
      <c r="AC462">
        <v>0.39776979141060287</v>
      </c>
      <c r="AD462">
        <v>1.513253247353764E-2</v>
      </c>
      <c r="AE462">
        <v>0</v>
      </c>
      <c r="AF462">
        <v>0</v>
      </c>
      <c r="AG462">
        <v>0</v>
      </c>
      <c r="AH462">
        <v>0.42194592759373256</v>
      </c>
      <c r="AI462">
        <v>0</v>
      </c>
      <c r="AJ462">
        <v>0</v>
      </c>
      <c r="AK462">
        <v>0</v>
      </c>
      <c r="AM462">
        <v>5.9694721208045046E-2</v>
      </c>
    </row>
    <row r="463" spans="1:39" x14ac:dyDescent="0.25">
      <c r="A463" t="s">
        <v>128</v>
      </c>
      <c r="B463" t="s">
        <v>146</v>
      </c>
      <c r="C463" t="s">
        <v>109</v>
      </c>
      <c r="D463" s="12">
        <v>46232</v>
      </c>
      <c r="E463" t="s">
        <v>135</v>
      </c>
      <c r="F463" t="s">
        <v>135</v>
      </c>
      <c r="G463" t="s">
        <v>135</v>
      </c>
      <c r="K463">
        <v>9.3552495005399567</v>
      </c>
      <c r="N463">
        <v>8.5500000000000007</v>
      </c>
      <c r="O463">
        <v>8.5500000000000007</v>
      </c>
      <c r="P463">
        <v>7.7747621107266411</v>
      </c>
      <c r="T463">
        <v>0</v>
      </c>
      <c r="U463">
        <v>0</v>
      </c>
      <c r="V463">
        <v>0.20728564889381221</v>
      </c>
      <c r="W463">
        <v>0</v>
      </c>
      <c r="X463">
        <v>0</v>
      </c>
      <c r="Y463">
        <v>0</v>
      </c>
      <c r="Z463">
        <v>3.1677388141404847E-2</v>
      </c>
      <c r="AA463">
        <v>0</v>
      </c>
      <c r="AB463">
        <v>2.8412747061399356E-2</v>
      </c>
      <c r="AC463">
        <v>0.15283177767543041</v>
      </c>
      <c r="AD463">
        <v>0.20061862158708624</v>
      </c>
      <c r="AE463">
        <v>0</v>
      </c>
      <c r="AF463">
        <v>0</v>
      </c>
      <c r="AG463">
        <v>0</v>
      </c>
      <c r="AH463">
        <v>0.64654960073748347</v>
      </c>
      <c r="AI463">
        <v>0</v>
      </c>
      <c r="AJ463">
        <v>0</v>
      </c>
      <c r="AK463">
        <v>0</v>
      </c>
      <c r="AL463">
        <v>0</v>
      </c>
      <c r="AM463">
        <v>0</v>
      </c>
    </row>
    <row r="464" spans="1:39" x14ac:dyDescent="0.25">
      <c r="A464" t="s">
        <v>128</v>
      </c>
      <c r="B464" t="s">
        <v>146</v>
      </c>
      <c r="C464" t="s">
        <v>109</v>
      </c>
      <c r="D464" s="12">
        <v>46234</v>
      </c>
      <c r="E464" t="s">
        <v>134</v>
      </c>
      <c r="F464" t="s">
        <v>134</v>
      </c>
      <c r="G464" t="s">
        <v>134</v>
      </c>
      <c r="K464">
        <v>26.221255612373252</v>
      </c>
      <c r="N464">
        <v>6.6499999999999995</v>
      </c>
      <c r="O464">
        <v>6.6499999999999995</v>
      </c>
      <c r="P464">
        <v>27.625</v>
      </c>
      <c r="T464">
        <v>5.3534598357080493E-2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0.7463889564135896</v>
      </c>
      <c r="AD464">
        <v>0</v>
      </c>
      <c r="AE464">
        <v>0</v>
      </c>
      <c r="AF464">
        <v>0</v>
      </c>
      <c r="AG464">
        <v>0</v>
      </c>
      <c r="AH464">
        <v>0.25361104358641035</v>
      </c>
      <c r="AI464">
        <v>0</v>
      </c>
      <c r="AJ464">
        <v>0</v>
      </c>
      <c r="AK464">
        <v>0</v>
      </c>
      <c r="AL464">
        <v>0</v>
      </c>
      <c r="AM464">
        <v>0</v>
      </c>
    </row>
    <row r="465" spans="1:39" x14ac:dyDescent="0.25">
      <c r="A465" t="s">
        <v>128</v>
      </c>
      <c r="B465" t="s">
        <v>146</v>
      </c>
      <c r="C465" t="s">
        <v>109</v>
      </c>
      <c r="D465" s="12">
        <v>46240</v>
      </c>
      <c r="E465" t="s">
        <v>134</v>
      </c>
      <c r="F465" t="s">
        <v>134</v>
      </c>
      <c r="G465" t="s">
        <v>134</v>
      </c>
      <c r="K465">
        <v>26.933502998222423</v>
      </c>
      <c r="N465">
        <v>6.65</v>
      </c>
      <c r="O465">
        <v>6.65</v>
      </c>
      <c r="P465">
        <v>28.03125</v>
      </c>
      <c r="T465">
        <v>4.0757676483821316E-2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0.75309561476504228</v>
      </c>
      <c r="AD465">
        <v>0</v>
      </c>
      <c r="AE465">
        <v>0</v>
      </c>
      <c r="AF465">
        <v>0</v>
      </c>
      <c r="AG465">
        <v>0</v>
      </c>
      <c r="AH465">
        <v>0.24690438523495781</v>
      </c>
      <c r="AI465">
        <v>0</v>
      </c>
      <c r="AJ465">
        <v>0</v>
      </c>
      <c r="AK465">
        <v>0</v>
      </c>
      <c r="AL465">
        <v>0</v>
      </c>
      <c r="AM465">
        <v>0</v>
      </c>
    </row>
    <row r="466" spans="1:39" x14ac:dyDescent="0.25">
      <c r="A466" t="s">
        <v>128</v>
      </c>
      <c r="B466" t="s">
        <v>146</v>
      </c>
      <c r="C466" t="s">
        <v>109</v>
      </c>
      <c r="D466" s="12">
        <v>46249</v>
      </c>
      <c r="E466" t="s">
        <v>135</v>
      </c>
      <c r="F466" t="s">
        <v>135</v>
      </c>
      <c r="G466" t="s">
        <v>135</v>
      </c>
      <c r="K466">
        <v>8.8633610691144682</v>
      </c>
      <c r="N466">
        <v>0</v>
      </c>
      <c r="O466">
        <v>0</v>
      </c>
      <c r="P466">
        <v>7.4238754325259499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0.83759144805635943</v>
      </c>
      <c r="AD466">
        <v>0.16240855194364065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</row>
    <row r="467" spans="1:39" x14ac:dyDescent="0.25">
      <c r="A467" t="s">
        <v>128</v>
      </c>
      <c r="B467" t="s">
        <v>146</v>
      </c>
      <c r="C467" t="s">
        <v>109</v>
      </c>
      <c r="D467" s="12">
        <v>46233</v>
      </c>
      <c r="E467" t="s">
        <v>134</v>
      </c>
      <c r="F467" t="s">
        <v>134</v>
      </c>
      <c r="G467" t="s">
        <v>134</v>
      </c>
      <c r="K467">
        <v>26.089357948327105</v>
      </c>
      <c r="N467">
        <v>5.6999999999999993</v>
      </c>
      <c r="O467">
        <v>5.6999999999999993</v>
      </c>
      <c r="P467">
        <v>27.09375</v>
      </c>
      <c r="T467">
        <v>3.8498151378895763E-2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0.2021470079518487</v>
      </c>
      <c r="AD467">
        <v>0</v>
      </c>
      <c r="AE467">
        <v>0</v>
      </c>
      <c r="AF467">
        <v>0</v>
      </c>
      <c r="AG467">
        <v>0</v>
      </c>
      <c r="AH467">
        <v>0.21847988790254969</v>
      </c>
      <c r="AI467">
        <v>0</v>
      </c>
      <c r="AJ467">
        <v>0</v>
      </c>
      <c r="AK467">
        <v>0</v>
      </c>
      <c r="AL467">
        <v>0.57937310414560161</v>
      </c>
      <c r="AM467">
        <v>0</v>
      </c>
    </row>
    <row r="468" spans="1:39" x14ac:dyDescent="0.25">
      <c r="A468" t="s">
        <v>128</v>
      </c>
      <c r="B468" t="s">
        <v>146</v>
      </c>
      <c r="C468" t="s">
        <v>117</v>
      </c>
      <c r="D468" s="12">
        <v>46227</v>
      </c>
      <c r="K468">
        <v>41.288032771099402</v>
      </c>
      <c r="N468">
        <v>19</v>
      </c>
      <c r="O468">
        <v>19</v>
      </c>
      <c r="P468">
        <v>39.758866782006919</v>
      </c>
      <c r="T468">
        <v>3.6926622145888918E-2</v>
      </c>
      <c r="U468">
        <v>0</v>
      </c>
      <c r="V468">
        <v>2.105220554023482E-2</v>
      </c>
      <c r="W468">
        <v>0</v>
      </c>
      <c r="X468">
        <v>2.906527702569597E-3</v>
      </c>
      <c r="Y468">
        <v>1.6579152156845141E-2</v>
      </c>
      <c r="Z468">
        <v>1.8759473225144312E-2</v>
      </c>
      <c r="AA468">
        <v>0</v>
      </c>
      <c r="AB468">
        <v>0</v>
      </c>
      <c r="AC468">
        <v>0.50891906124164921</v>
      </c>
      <c r="AD468">
        <v>7.3617375236533389E-2</v>
      </c>
      <c r="AE468">
        <v>0</v>
      </c>
      <c r="AF468">
        <v>2.2011790545950111E-2</v>
      </c>
      <c r="AG468">
        <v>0</v>
      </c>
      <c r="AH468">
        <v>0.30855936805202872</v>
      </c>
      <c r="AI468">
        <v>0</v>
      </c>
      <c r="AJ468">
        <v>0</v>
      </c>
      <c r="AK468">
        <v>0</v>
      </c>
      <c r="AM468">
        <v>8.6892404923838734E-2</v>
      </c>
    </row>
    <row r="469" spans="1:39" x14ac:dyDescent="0.25">
      <c r="A469" t="s">
        <v>128</v>
      </c>
      <c r="B469" t="s">
        <v>146</v>
      </c>
      <c r="C469" t="s">
        <v>109</v>
      </c>
      <c r="D469" s="12">
        <v>46239</v>
      </c>
      <c r="E469" t="s">
        <v>135</v>
      </c>
      <c r="F469" t="s">
        <v>135</v>
      </c>
      <c r="G469" t="s">
        <v>135</v>
      </c>
      <c r="K469">
        <v>9.8140698021217112</v>
      </c>
      <c r="N469">
        <v>0</v>
      </c>
      <c r="O469">
        <v>0</v>
      </c>
      <c r="P469">
        <v>7.1934472318339093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0.73297290287040273</v>
      </c>
      <c r="AD469">
        <v>0.26702709712959732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</row>
    <row r="470" spans="1:39" x14ac:dyDescent="0.25">
      <c r="A470" t="s">
        <v>128</v>
      </c>
      <c r="B470" t="s">
        <v>146</v>
      </c>
      <c r="C470" t="s">
        <v>109</v>
      </c>
      <c r="D470" s="12">
        <v>46233</v>
      </c>
      <c r="E470" t="s">
        <v>136</v>
      </c>
      <c r="F470" t="s">
        <v>136</v>
      </c>
      <c r="G470" t="s">
        <v>136</v>
      </c>
      <c r="K470">
        <v>6.7655742969551058</v>
      </c>
      <c r="N470">
        <v>6.6499999999999995</v>
      </c>
      <c r="O470">
        <v>6.6499999999999995</v>
      </c>
      <c r="P470">
        <v>10.331963667820069</v>
      </c>
      <c r="T470">
        <v>0.49574591685875818</v>
      </c>
      <c r="U470">
        <v>0</v>
      </c>
      <c r="V470">
        <v>0</v>
      </c>
      <c r="W470">
        <v>0</v>
      </c>
      <c r="X470">
        <v>0</v>
      </c>
      <c r="Y470">
        <v>0.1011770098921151</v>
      </c>
      <c r="Z470">
        <v>3.1391797447334446E-2</v>
      </c>
      <c r="AA470">
        <v>0</v>
      </c>
      <c r="AB470">
        <v>0</v>
      </c>
      <c r="AC470">
        <v>4.8474500538352373E-2</v>
      </c>
      <c r="AD470">
        <v>0</v>
      </c>
      <c r="AE470">
        <v>0</v>
      </c>
      <c r="AF470">
        <v>0</v>
      </c>
      <c r="AG470">
        <v>0</v>
      </c>
      <c r="AH470">
        <v>0.42125027010384947</v>
      </c>
      <c r="AI470">
        <v>0</v>
      </c>
      <c r="AJ470">
        <v>0</v>
      </c>
      <c r="AK470">
        <v>0</v>
      </c>
      <c r="AM470">
        <v>0.53027522935779814</v>
      </c>
    </row>
    <row r="471" spans="1:39" x14ac:dyDescent="0.25">
      <c r="A471" t="s">
        <v>128</v>
      </c>
      <c r="B471" t="s">
        <v>146</v>
      </c>
      <c r="C471" t="s">
        <v>117</v>
      </c>
      <c r="D471" s="12">
        <v>46226</v>
      </c>
      <c r="K471">
        <v>44.451455281615083</v>
      </c>
      <c r="N471">
        <v>19.950000000000003</v>
      </c>
      <c r="O471">
        <v>19.950000000000003</v>
      </c>
      <c r="P471">
        <v>42.040378574030221</v>
      </c>
      <c r="T471">
        <v>5.3034620027559591E-2</v>
      </c>
      <c r="U471">
        <v>0</v>
      </c>
      <c r="V471">
        <v>0</v>
      </c>
      <c r="W471">
        <v>0</v>
      </c>
      <c r="X471">
        <v>0</v>
      </c>
      <c r="Y471">
        <v>1.5399283853187593E-2</v>
      </c>
      <c r="Z471">
        <v>4.7778759232827289E-3</v>
      </c>
      <c r="AA471">
        <v>0</v>
      </c>
      <c r="AB471">
        <v>6.631464250092256E-3</v>
      </c>
      <c r="AC471">
        <v>0.45827546278103803</v>
      </c>
      <c r="AD471">
        <v>0.10432967348922585</v>
      </c>
      <c r="AE471">
        <v>0</v>
      </c>
      <c r="AF471">
        <v>7.7234922509374151E-3</v>
      </c>
      <c r="AG471">
        <v>0</v>
      </c>
      <c r="AH471">
        <v>0.34896273237291742</v>
      </c>
      <c r="AI471">
        <v>0</v>
      </c>
      <c r="AJ471">
        <v>0</v>
      </c>
      <c r="AK471">
        <v>0</v>
      </c>
      <c r="AM471">
        <v>8.0708639105881289E-2</v>
      </c>
    </row>
    <row r="472" spans="1:39" x14ac:dyDescent="0.25">
      <c r="A472" t="s">
        <v>128</v>
      </c>
      <c r="B472" t="s">
        <v>146</v>
      </c>
      <c r="C472" t="s">
        <v>109</v>
      </c>
      <c r="D472" s="12">
        <v>46233</v>
      </c>
      <c r="E472" t="s">
        <v>135</v>
      </c>
      <c r="F472" t="s">
        <v>135</v>
      </c>
      <c r="G472" t="s">
        <v>135</v>
      </c>
      <c r="K472">
        <v>10.409296139308854</v>
      </c>
      <c r="N472">
        <v>6.6499999999999995</v>
      </c>
      <c r="O472">
        <v>6.6499999999999995</v>
      </c>
      <c r="P472">
        <v>8.646637110726644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2.1330304367361792E-2</v>
      </c>
      <c r="AA472">
        <v>0</v>
      </c>
      <c r="AB472">
        <v>1.9695596925506927E-2</v>
      </c>
      <c r="AC472">
        <v>0.21150848071759154</v>
      </c>
      <c r="AD472">
        <v>0.19066538764218982</v>
      </c>
      <c r="AE472">
        <v>0</v>
      </c>
      <c r="AF472">
        <v>0</v>
      </c>
      <c r="AG472">
        <v>0</v>
      </c>
      <c r="AH472">
        <v>0.59782613164021869</v>
      </c>
      <c r="AI472">
        <v>0</v>
      </c>
      <c r="AJ472">
        <v>0</v>
      </c>
      <c r="AK472">
        <v>0</v>
      </c>
      <c r="AL472">
        <v>0</v>
      </c>
      <c r="AM472">
        <v>0</v>
      </c>
    </row>
    <row r="473" spans="1:39" x14ac:dyDescent="0.25">
      <c r="A473" t="s">
        <v>128</v>
      </c>
      <c r="B473" t="s">
        <v>146</v>
      </c>
      <c r="C473" t="s">
        <v>109</v>
      </c>
      <c r="D473" s="12">
        <v>46250</v>
      </c>
      <c r="E473" t="s">
        <v>134</v>
      </c>
      <c r="F473" t="s">
        <v>134</v>
      </c>
      <c r="G473" t="s">
        <v>134</v>
      </c>
      <c r="K473">
        <v>26.168496546754792</v>
      </c>
      <c r="N473">
        <v>6.6499999999999995</v>
      </c>
      <c r="O473">
        <v>6.6499999999999995</v>
      </c>
      <c r="P473">
        <v>27.1875</v>
      </c>
      <c r="T473">
        <v>3.8940083983218965E-2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0.58458732124506863</v>
      </c>
      <c r="AD473">
        <v>0</v>
      </c>
      <c r="AE473">
        <v>0</v>
      </c>
      <c r="AF473">
        <v>0</v>
      </c>
      <c r="AG473">
        <v>0</v>
      </c>
      <c r="AH473">
        <v>0.25412235617428619</v>
      </c>
      <c r="AI473">
        <v>0</v>
      </c>
      <c r="AJ473">
        <v>0</v>
      </c>
      <c r="AK473">
        <v>0</v>
      </c>
      <c r="AL473">
        <v>0.16129032258064518</v>
      </c>
      <c r="AM473">
        <v>0</v>
      </c>
    </row>
    <row r="474" spans="1:39" x14ac:dyDescent="0.25">
      <c r="A474" t="s">
        <v>128</v>
      </c>
      <c r="B474" t="s">
        <v>146</v>
      </c>
      <c r="C474" t="s">
        <v>109</v>
      </c>
      <c r="D474" s="12">
        <v>46239</v>
      </c>
      <c r="E474" t="s">
        <v>134</v>
      </c>
      <c r="F474" t="s">
        <v>134</v>
      </c>
      <c r="G474" t="s">
        <v>134</v>
      </c>
      <c r="K474">
        <v>27.619370851262367</v>
      </c>
      <c r="N474">
        <v>6.6499999999999995</v>
      </c>
      <c r="O474">
        <v>6.6499999999999995</v>
      </c>
      <c r="P474">
        <v>28.78125</v>
      </c>
      <c r="T474">
        <v>4.2067545817558859E-2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0.75922695575464005</v>
      </c>
      <c r="AD474">
        <v>0</v>
      </c>
      <c r="AE474">
        <v>0</v>
      </c>
      <c r="AF474">
        <v>0</v>
      </c>
      <c r="AG474">
        <v>0</v>
      </c>
      <c r="AH474">
        <v>0.24077304424535997</v>
      </c>
      <c r="AI474">
        <v>0</v>
      </c>
      <c r="AJ474">
        <v>0</v>
      </c>
      <c r="AK474">
        <v>0</v>
      </c>
      <c r="AL474">
        <v>0</v>
      </c>
      <c r="AM474">
        <v>0</v>
      </c>
    </row>
    <row r="475" spans="1:39" x14ac:dyDescent="0.25">
      <c r="A475" t="s">
        <v>128</v>
      </c>
      <c r="B475" t="s">
        <v>146</v>
      </c>
      <c r="C475" t="s">
        <v>109</v>
      </c>
      <c r="D475" s="12">
        <v>46231</v>
      </c>
      <c r="E475" t="s">
        <v>134</v>
      </c>
      <c r="F475" t="s">
        <v>134</v>
      </c>
      <c r="G475" t="s">
        <v>134</v>
      </c>
      <c r="K475">
        <v>26.933502998222423</v>
      </c>
      <c r="N475">
        <v>4.75</v>
      </c>
      <c r="O475">
        <v>4.75</v>
      </c>
      <c r="P475">
        <v>25.46875</v>
      </c>
      <c r="T475">
        <v>2.8046448393072632E-2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0.58450011681280756</v>
      </c>
      <c r="AD475">
        <v>8.2430499302421273E-2</v>
      </c>
      <c r="AE475">
        <v>0</v>
      </c>
      <c r="AF475">
        <v>0</v>
      </c>
      <c r="AG475">
        <v>0</v>
      </c>
      <c r="AH475">
        <v>0.17636027516782701</v>
      </c>
      <c r="AI475">
        <v>0</v>
      </c>
      <c r="AJ475">
        <v>0</v>
      </c>
      <c r="AK475">
        <v>0</v>
      </c>
      <c r="AL475">
        <v>0.15670910871694418</v>
      </c>
      <c r="AM475">
        <v>0</v>
      </c>
    </row>
    <row r="476" spans="1:39" x14ac:dyDescent="0.25">
      <c r="A476" t="s">
        <v>128</v>
      </c>
      <c r="B476" t="s">
        <v>146</v>
      </c>
      <c r="C476" t="s">
        <v>109</v>
      </c>
      <c r="D476" s="12">
        <v>46241</v>
      </c>
      <c r="E476" t="s">
        <v>134</v>
      </c>
      <c r="F476" t="s">
        <v>134</v>
      </c>
      <c r="G476" t="s">
        <v>134</v>
      </c>
      <c r="K476">
        <v>26.221255612373252</v>
      </c>
      <c r="N476">
        <v>6.6499999999999995</v>
      </c>
      <c r="O476">
        <v>6.6499999999999995</v>
      </c>
      <c r="P476">
        <v>27.25</v>
      </c>
      <c r="T476">
        <v>3.9233223718749176E-2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0.32787789001519935</v>
      </c>
      <c r="AD476">
        <v>0</v>
      </c>
      <c r="AE476">
        <v>0</v>
      </c>
      <c r="AF476">
        <v>0</v>
      </c>
      <c r="AG476">
        <v>0</v>
      </c>
      <c r="AH476">
        <v>0.25361104358641035</v>
      </c>
      <c r="AI476">
        <v>0</v>
      </c>
      <c r="AJ476">
        <v>0</v>
      </c>
      <c r="AK476">
        <v>0</v>
      </c>
      <c r="AL476">
        <v>0.41851106639839036</v>
      </c>
      <c r="AM476">
        <v>0</v>
      </c>
    </row>
    <row r="477" spans="1:39" x14ac:dyDescent="0.25">
      <c r="A477" t="s">
        <v>128</v>
      </c>
      <c r="B477" t="s">
        <v>146</v>
      </c>
      <c r="C477" t="s">
        <v>117</v>
      </c>
      <c r="D477" s="12">
        <v>46232</v>
      </c>
      <c r="K477">
        <v>43.740194648757431</v>
      </c>
      <c r="N477">
        <v>21.85</v>
      </c>
      <c r="O477">
        <v>21.85</v>
      </c>
      <c r="P477">
        <v>45.703935986159166</v>
      </c>
      <c r="T477">
        <v>7.6173533657669532E-2</v>
      </c>
      <c r="U477">
        <v>0</v>
      </c>
      <c r="V477">
        <v>4.4334712702016436E-2</v>
      </c>
      <c r="W477">
        <v>0</v>
      </c>
      <c r="X477">
        <v>0</v>
      </c>
      <c r="Y477">
        <v>1.5649692075348647E-2</v>
      </c>
      <c r="Z477">
        <v>1.1630798893750394E-2</v>
      </c>
      <c r="AA477">
        <v>0</v>
      </c>
      <c r="AB477">
        <v>6.0769811357635449E-3</v>
      </c>
      <c r="AC477">
        <v>0.5195932089564379</v>
      </c>
      <c r="AD477">
        <v>4.2908754167030674E-2</v>
      </c>
      <c r="AE477">
        <v>0</v>
      </c>
      <c r="AF477">
        <v>0</v>
      </c>
      <c r="AG477">
        <v>0</v>
      </c>
      <c r="AH477">
        <v>0.35547699214034828</v>
      </c>
      <c r="AI477">
        <v>0</v>
      </c>
      <c r="AJ477">
        <v>0</v>
      </c>
      <c r="AK477">
        <v>0</v>
      </c>
      <c r="AM477">
        <v>8.2021044736183171E-2</v>
      </c>
    </row>
    <row r="478" spans="1:39" x14ac:dyDescent="0.25">
      <c r="A478" t="s">
        <v>128</v>
      </c>
      <c r="B478" t="s">
        <v>146</v>
      </c>
      <c r="C478" t="s">
        <v>109</v>
      </c>
      <c r="D478" s="12">
        <v>46228</v>
      </c>
      <c r="E478" t="s">
        <v>136</v>
      </c>
      <c r="F478" t="s">
        <v>136</v>
      </c>
      <c r="G478" t="s">
        <v>136</v>
      </c>
      <c r="K478">
        <v>6.7655742969551067</v>
      </c>
      <c r="N478">
        <v>8.5499999999999989</v>
      </c>
      <c r="O478">
        <v>8.5499999999999989</v>
      </c>
      <c r="P478">
        <v>8.4011678200692028</v>
      </c>
      <c r="T478">
        <v>0.20742615222248179</v>
      </c>
      <c r="U478">
        <v>0</v>
      </c>
      <c r="V478">
        <v>3.9239746809168106E-2</v>
      </c>
      <c r="W478">
        <v>0</v>
      </c>
      <c r="X478">
        <v>0</v>
      </c>
      <c r="Y478">
        <v>0</v>
      </c>
      <c r="Z478">
        <v>3.4326203353630458E-2</v>
      </c>
      <c r="AA478">
        <v>0</v>
      </c>
      <c r="AB478">
        <v>9.8242603985819063E-2</v>
      </c>
      <c r="AC478">
        <v>4.8474500538352422E-2</v>
      </c>
      <c r="AD478">
        <v>0</v>
      </c>
      <c r="AE478">
        <v>0</v>
      </c>
      <c r="AF478">
        <v>0</v>
      </c>
      <c r="AG478">
        <v>0</v>
      </c>
      <c r="AH478">
        <v>0.95152549946164755</v>
      </c>
      <c r="AI478">
        <v>0</v>
      </c>
      <c r="AJ478">
        <v>0</v>
      </c>
      <c r="AK478">
        <v>0</v>
      </c>
      <c r="AM478">
        <v>0</v>
      </c>
    </row>
    <row r="479" spans="1:39" x14ac:dyDescent="0.25">
      <c r="A479" t="s">
        <v>128</v>
      </c>
      <c r="B479" t="s">
        <v>146</v>
      </c>
      <c r="C479" t="s">
        <v>117</v>
      </c>
      <c r="D479" s="12">
        <v>46225</v>
      </c>
      <c r="K479">
        <v>44.19901495033919</v>
      </c>
      <c r="N479">
        <v>21.849999999999998</v>
      </c>
      <c r="O479">
        <v>21.849999999999998</v>
      </c>
      <c r="P479">
        <v>44.089664174493322</v>
      </c>
      <c r="T479">
        <v>6.9466356379116231E-2</v>
      </c>
      <c r="U479">
        <v>0</v>
      </c>
      <c r="V479">
        <v>0</v>
      </c>
      <c r="W479">
        <v>0</v>
      </c>
      <c r="X479">
        <v>0</v>
      </c>
      <c r="Y479">
        <v>1.5487236046730342E-2</v>
      </c>
      <c r="Z479">
        <v>4.8051645083840716E-3</v>
      </c>
      <c r="AA479">
        <v>0</v>
      </c>
      <c r="AB479">
        <v>1.91850582958147E-2</v>
      </c>
      <c r="AC479">
        <v>0.47855798505749292</v>
      </c>
      <c r="AD479">
        <v>5.1077329055865886E-2</v>
      </c>
      <c r="AE479">
        <v>0</v>
      </c>
      <c r="AF479">
        <v>2.5668246422414911E-2</v>
      </c>
      <c r="AG479">
        <v>0</v>
      </c>
      <c r="AH479">
        <v>0.36352683724376861</v>
      </c>
      <c r="AI479">
        <v>0</v>
      </c>
      <c r="AJ479">
        <v>0</v>
      </c>
      <c r="AK479">
        <v>0</v>
      </c>
      <c r="AM479">
        <v>8.1169602220457659E-2</v>
      </c>
    </row>
    <row r="480" spans="1:39" x14ac:dyDescent="0.25">
      <c r="A480" t="s">
        <v>128</v>
      </c>
      <c r="B480" t="s">
        <v>146</v>
      </c>
      <c r="C480" t="s">
        <v>117</v>
      </c>
      <c r="D480" s="12">
        <v>46237</v>
      </c>
      <c r="K480">
        <v>44.310540874450453</v>
      </c>
      <c r="N480">
        <v>11.4</v>
      </c>
      <c r="O480">
        <v>11.4</v>
      </c>
      <c r="P480">
        <v>46.235402249134943</v>
      </c>
      <c r="T480">
        <v>8.1003639885849271E-2</v>
      </c>
      <c r="U480">
        <v>0</v>
      </c>
      <c r="V480">
        <v>0</v>
      </c>
      <c r="W480">
        <v>0</v>
      </c>
      <c r="X480">
        <v>0</v>
      </c>
      <c r="Y480">
        <v>1.5448255969350207E-2</v>
      </c>
      <c r="Z480">
        <v>4.7930703113436461E-3</v>
      </c>
      <c r="AA480">
        <v>0</v>
      </c>
      <c r="AB480">
        <v>0</v>
      </c>
      <c r="AC480">
        <v>0.28612891561718806</v>
      </c>
      <c r="AD480">
        <v>4.2356451136975136E-2</v>
      </c>
      <c r="AE480">
        <v>0</v>
      </c>
      <c r="AF480">
        <v>0</v>
      </c>
      <c r="AG480">
        <v>0</v>
      </c>
      <c r="AH480">
        <v>0.17151675086823812</v>
      </c>
      <c r="AI480">
        <v>0</v>
      </c>
      <c r="AJ480">
        <v>0</v>
      </c>
      <c r="AK480">
        <v>0</v>
      </c>
      <c r="AM480">
        <v>8.0965305122775416E-2</v>
      </c>
    </row>
    <row r="481" spans="1:39" x14ac:dyDescent="0.25">
      <c r="A481" t="s">
        <v>128</v>
      </c>
      <c r="B481" t="s">
        <v>146</v>
      </c>
      <c r="C481" t="s">
        <v>109</v>
      </c>
      <c r="D481" s="12">
        <v>46228</v>
      </c>
      <c r="E481" t="s">
        <v>135</v>
      </c>
      <c r="F481" t="s">
        <v>135</v>
      </c>
      <c r="G481" t="s">
        <v>135</v>
      </c>
      <c r="K481">
        <v>7.0363468952483803</v>
      </c>
      <c r="N481">
        <v>5.6999999999999993</v>
      </c>
      <c r="O481">
        <v>5.6999999999999993</v>
      </c>
      <c r="P481">
        <v>7.8650519031141854</v>
      </c>
      <c r="T481">
        <v>0.13835722232826883</v>
      </c>
      <c r="U481">
        <v>0</v>
      </c>
      <c r="V481">
        <v>0</v>
      </c>
      <c r="W481">
        <v>0</v>
      </c>
      <c r="X481">
        <v>0</v>
      </c>
      <c r="Y481">
        <v>1.9394364510941679E-2</v>
      </c>
      <c r="Z481">
        <v>6.5492453065622902E-2</v>
      </c>
      <c r="AA481">
        <v>0</v>
      </c>
      <c r="AB481">
        <v>0</v>
      </c>
      <c r="AC481">
        <v>0.1693382246623048</v>
      </c>
      <c r="AD481">
        <v>8.6074781659555538E-2</v>
      </c>
      <c r="AE481">
        <v>0</v>
      </c>
      <c r="AF481">
        <v>0</v>
      </c>
      <c r="AG481">
        <v>0</v>
      </c>
      <c r="AH481">
        <v>0.40503972337188127</v>
      </c>
      <c r="AI481">
        <v>0</v>
      </c>
      <c r="AJ481">
        <v>0</v>
      </c>
      <c r="AK481">
        <v>0</v>
      </c>
      <c r="AL481">
        <v>0</v>
      </c>
      <c r="AM481">
        <v>0.33954727030625831</v>
      </c>
    </row>
    <row r="482" spans="1:39" x14ac:dyDescent="0.25">
      <c r="A482" t="s">
        <v>128</v>
      </c>
      <c r="B482" t="s">
        <v>146</v>
      </c>
      <c r="C482" t="s">
        <v>109</v>
      </c>
      <c r="D482" s="12">
        <v>46242</v>
      </c>
      <c r="E482" t="s">
        <v>136</v>
      </c>
      <c r="F482" t="s">
        <v>136</v>
      </c>
      <c r="G482" t="s">
        <v>136</v>
      </c>
      <c r="K482">
        <v>6.7655742969551058</v>
      </c>
      <c r="N482">
        <v>7.6</v>
      </c>
      <c r="O482">
        <v>7.6</v>
      </c>
      <c r="P482">
        <v>9.3354238754325269</v>
      </c>
      <c r="T482">
        <v>0.34845024783683298</v>
      </c>
      <c r="U482">
        <v>0</v>
      </c>
      <c r="V482">
        <v>0</v>
      </c>
      <c r="W482">
        <v>0</v>
      </c>
      <c r="X482">
        <v>0</v>
      </c>
      <c r="Y482">
        <v>0.10117700989211498</v>
      </c>
      <c r="Z482">
        <v>3.1391797447334564E-2</v>
      </c>
      <c r="AA482">
        <v>0</v>
      </c>
      <c r="AB482">
        <v>0</v>
      </c>
      <c r="AC482">
        <v>4.8474500538352429E-2</v>
      </c>
      <c r="AD482">
        <v>0</v>
      </c>
      <c r="AE482">
        <v>0</v>
      </c>
      <c r="AF482">
        <v>0</v>
      </c>
      <c r="AG482">
        <v>0</v>
      </c>
      <c r="AH482">
        <v>0.42125027010384947</v>
      </c>
      <c r="AI482">
        <v>0</v>
      </c>
      <c r="AJ482">
        <v>0</v>
      </c>
      <c r="AK482">
        <v>0</v>
      </c>
      <c r="AM482">
        <v>0.53027522935779814</v>
      </c>
    </row>
    <row r="483" spans="1:39" x14ac:dyDescent="0.25">
      <c r="A483" t="s">
        <v>128</v>
      </c>
      <c r="B483" t="s">
        <v>146</v>
      </c>
      <c r="C483" t="s">
        <v>109</v>
      </c>
      <c r="D483" s="12">
        <v>46248</v>
      </c>
      <c r="E483" t="s">
        <v>134</v>
      </c>
      <c r="F483" t="s">
        <v>134</v>
      </c>
      <c r="G483" t="s">
        <v>134</v>
      </c>
      <c r="K483">
        <v>26.221255612373248</v>
      </c>
      <c r="N483">
        <v>5.7</v>
      </c>
      <c r="O483">
        <v>5.7</v>
      </c>
      <c r="P483">
        <v>24.4375</v>
      </c>
      <c r="T483">
        <v>8.6583098722221273E-3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0.70593370955640422</v>
      </c>
      <c r="AD483">
        <v>7.6685395940958481E-2</v>
      </c>
      <c r="AE483">
        <v>0</v>
      </c>
      <c r="AF483">
        <v>0</v>
      </c>
      <c r="AG483">
        <v>0</v>
      </c>
      <c r="AH483">
        <v>0.21738089450263748</v>
      </c>
      <c r="AI483">
        <v>0</v>
      </c>
      <c r="AJ483">
        <v>0</v>
      </c>
      <c r="AK483">
        <v>0</v>
      </c>
      <c r="AL483">
        <v>0</v>
      </c>
      <c r="AM483">
        <v>0</v>
      </c>
    </row>
    <row r="484" spans="1:39" x14ac:dyDescent="0.25">
      <c r="A484" t="s">
        <v>128</v>
      </c>
      <c r="B484" t="s">
        <v>146</v>
      </c>
      <c r="C484" t="s">
        <v>117</v>
      </c>
      <c r="D484" s="12">
        <v>46236</v>
      </c>
      <c r="K484">
        <v>39.970417738958275</v>
      </c>
      <c r="N484">
        <v>18.049999999999997</v>
      </c>
      <c r="O484">
        <v>18.049999999999997</v>
      </c>
      <c r="P484">
        <v>41.633650519031136</v>
      </c>
      <c r="T484">
        <v>6.3957307284627243E-2</v>
      </c>
      <c r="U484">
        <v>0</v>
      </c>
      <c r="V484">
        <v>8.9601016298741492E-3</v>
      </c>
      <c r="W484">
        <v>0</v>
      </c>
      <c r="X484">
        <v>0</v>
      </c>
      <c r="Y484">
        <v>1.7125679847515795E-2</v>
      </c>
      <c r="Z484">
        <v>5.3135180956065441E-3</v>
      </c>
      <c r="AA484">
        <v>0</v>
      </c>
      <c r="AB484">
        <v>2.1975557141049141E-2</v>
      </c>
      <c r="AC484">
        <v>0.46572814502253473</v>
      </c>
      <c r="AD484">
        <v>1.3340834355846255E-2</v>
      </c>
      <c r="AE484">
        <v>0</v>
      </c>
      <c r="AF484">
        <v>1.4318397396939702E-2</v>
      </c>
      <c r="AG484">
        <v>0</v>
      </c>
      <c r="AH484">
        <v>0.31125960583749651</v>
      </c>
      <c r="AI484">
        <v>0</v>
      </c>
      <c r="AJ484">
        <v>0</v>
      </c>
      <c r="AK484">
        <v>0</v>
      </c>
      <c r="AM484">
        <v>8.9756791772489353E-2</v>
      </c>
    </row>
    <row r="485" spans="1:39" x14ac:dyDescent="0.25">
      <c r="A485" t="s">
        <v>128</v>
      </c>
      <c r="B485" t="s">
        <v>146</v>
      </c>
      <c r="C485" t="s">
        <v>109</v>
      </c>
      <c r="D485" s="12">
        <v>46229</v>
      </c>
      <c r="E485" t="s">
        <v>134</v>
      </c>
      <c r="F485" t="s">
        <v>134</v>
      </c>
      <c r="G485" t="s">
        <v>134</v>
      </c>
      <c r="K485">
        <v>27.012641596650109</v>
      </c>
      <c r="N485">
        <v>8.5499999999999989</v>
      </c>
      <c r="O485">
        <v>8.5499999999999989</v>
      </c>
      <c r="P485">
        <v>27.682291666666664</v>
      </c>
      <c r="T485">
        <v>2.4790247470636125E-2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0.68348152958649167</v>
      </c>
      <c r="AD485">
        <v>0</v>
      </c>
      <c r="AE485">
        <v>0</v>
      </c>
      <c r="AF485">
        <v>0</v>
      </c>
      <c r="AG485">
        <v>0</v>
      </c>
      <c r="AH485">
        <v>0.31651847041350822</v>
      </c>
      <c r="AI485">
        <v>0</v>
      </c>
      <c r="AJ485">
        <v>0</v>
      </c>
      <c r="AK485">
        <v>0</v>
      </c>
      <c r="AL485">
        <v>0</v>
      </c>
      <c r="AM485">
        <v>0</v>
      </c>
    </row>
    <row r="486" spans="1:39" x14ac:dyDescent="0.25">
      <c r="A486" t="s">
        <v>128</v>
      </c>
      <c r="B486" t="s">
        <v>146</v>
      </c>
      <c r="C486" t="s">
        <v>109</v>
      </c>
      <c r="D486" s="12">
        <v>46235</v>
      </c>
      <c r="E486" t="s">
        <v>134</v>
      </c>
      <c r="F486" t="s">
        <v>134</v>
      </c>
      <c r="G486" t="s">
        <v>134</v>
      </c>
      <c r="K486">
        <v>26.221255612373248</v>
      </c>
      <c r="N486">
        <v>7.6</v>
      </c>
      <c r="O486">
        <v>7.6</v>
      </c>
      <c r="P486">
        <v>27.0625</v>
      </c>
      <c r="T486">
        <v>3.2082536399583556E-2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0.54919301256120512</v>
      </c>
      <c r="AD486">
        <v>0</v>
      </c>
      <c r="AE486">
        <v>0</v>
      </c>
      <c r="AF486">
        <v>0</v>
      </c>
      <c r="AG486">
        <v>0</v>
      </c>
      <c r="AH486">
        <v>0.28984119267018327</v>
      </c>
      <c r="AI486">
        <v>0</v>
      </c>
      <c r="AJ486">
        <v>0</v>
      </c>
      <c r="AK486">
        <v>0</v>
      </c>
      <c r="AL486">
        <v>0.1609657947686117</v>
      </c>
      <c r="AM486">
        <v>0</v>
      </c>
    </row>
    <row r="487" spans="1:39" x14ac:dyDescent="0.25">
      <c r="A487" t="s">
        <v>128</v>
      </c>
      <c r="B487" t="s">
        <v>146</v>
      </c>
      <c r="C487" t="s">
        <v>109</v>
      </c>
      <c r="D487" s="12">
        <v>46242</v>
      </c>
      <c r="E487" t="s">
        <v>134</v>
      </c>
      <c r="F487" t="s">
        <v>134</v>
      </c>
      <c r="G487" t="s">
        <v>134</v>
      </c>
      <c r="K487">
        <v>26.221255612373248</v>
      </c>
      <c r="N487">
        <v>7.6000000000000005</v>
      </c>
      <c r="O487">
        <v>7.6000000000000005</v>
      </c>
      <c r="P487">
        <v>27.25</v>
      </c>
      <c r="T487">
        <v>3.9233223718749273E-2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0.71015880732981673</v>
      </c>
      <c r="AD487">
        <v>0</v>
      </c>
      <c r="AE487">
        <v>0</v>
      </c>
      <c r="AF487">
        <v>0</v>
      </c>
      <c r="AG487">
        <v>0</v>
      </c>
      <c r="AH487">
        <v>0.28984119267018332</v>
      </c>
      <c r="AI487">
        <v>0</v>
      </c>
      <c r="AJ487">
        <v>0</v>
      </c>
      <c r="AK487">
        <v>0</v>
      </c>
      <c r="AL487">
        <v>0</v>
      </c>
      <c r="AM487">
        <v>0</v>
      </c>
    </row>
    <row r="488" spans="1:39" x14ac:dyDescent="0.25">
      <c r="A488" t="s">
        <v>128</v>
      </c>
      <c r="B488" t="s">
        <v>146</v>
      </c>
      <c r="C488" t="s">
        <v>109</v>
      </c>
      <c r="D488" s="12">
        <v>46229</v>
      </c>
      <c r="E488" t="s">
        <v>136</v>
      </c>
      <c r="F488" t="s">
        <v>136</v>
      </c>
      <c r="G488" t="s">
        <v>136</v>
      </c>
      <c r="K488">
        <v>6.7655742969551058</v>
      </c>
      <c r="N488">
        <v>8.5500000000000007</v>
      </c>
      <c r="O488">
        <v>8.5500000000000007</v>
      </c>
      <c r="P488">
        <v>9.3977076124567454</v>
      </c>
      <c r="T488">
        <v>0.21723947044941982</v>
      </c>
      <c r="U488">
        <v>0</v>
      </c>
      <c r="V488">
        <v>0</v>
      </c>
      <c r="W488">
        <v>0</v>
      </c>
      <c r="X488">
        <v>3.9239746809168113E-2</v>
      </c>
      <c r="Y488">
        <v>0</v>
      </c>
      <c r="Z488">
        <v>0.13256880733944953</v>
      </c>
      <c r="AA488">
        <v>0</v>
      </c>
      <c r="AB488">
        <v>0</v>
      </c>
      <c r="AC488">
        <v>4.8474500538352373E-2</v>
      </c>
      <c r="AD488">
        <v>0</v>
      </c>
      <c r="AE488">
        <v>0</v>
      </c>
      <c r="AF488">
        <v>0</v>
      </c>
      <c r="AG488">
        <v>0</v>
      </c>
      <c r="AH488">
        <v>0.95152549946164766</v>
      </c>
      <c r="AI488">
        <v>0</v>
      </c>
      <c r="AJ488">
        <v>0</v>
      </c>
      <c r="AK488">
        <v>0</v>
      </c>
      <c r="AM488">
        <v>0</v>
      </c>
    </row>
    <row r="489" spans="1:39" x14ac:dyDescent="0.25">
      <c r="A489" t="s">
        <v>128</v>
      </c>
      <c r="B489" t="s">
        <v>146</v>
      </c>
      <c r="C489" t="s">
        <v>116</v>
      </c>
      <c r="D489" s="12"/>
      <c r="K489">
        <v>1198.0447894349427</v>
      </c>
      <c r="N489">
        <v>486.40000000000055</v>
      </c>
      <c r="O489">
        <v>486.40000000000055</v>
      </c>
      <c r="P489">
        <v>1231.7845467276202</v>
      </c>
      <c r="T489">
        <v>6.806422337368398E-2</v>
      </c>
      <c r="U489">
        <v>0</v>
      </c>
      <c r="V489">
        <v>6.2093065438224302E-3</v>
      </c>
      <c r="W489">
        <v>0</v>
      </c>
      <c r="X489">
        <v>1.3161877984541985E-3</v>
      </c>
      <c r="Y489">
        <v>1.2024832898377571E-2</v>
      </c>
      <c r="Z489">
        <v>1.2099268945003534E-2</v>
      </c>
      <c r="AA489">
        <v>0</v>
      </c>
      <c r="AB489">
        <v>5.1293657428528438E-3</v>
      </c>
      <c r="AC489">
        <v>0.47556738538874771</v>
      </c>
      <c r="AD489">
        <v>4.5817571116404991E-2</v>
      </c>
      <c r="AE489">
        <v>0</v>
      </c>
      <c r="AF489">
        <v>7.4997584857895115E-3</v>
      </c>
      <c r="AG489">
        <v>0</v>
      </c>
      <c r="AH489">
        <v>0.29275480390826603</v>
      </c>
      <c r="AI489">
        <v>0</v>
      </c>
      <c r="AJ489">
        <v>0</v>
      </c>
      <c r="AK489">
        <v>0</v>
      </c>
      <c r="AM489">
        <v>6.9884725059127878E-2</v>
      </c>
    </row>
    <row r="490" spans="1:39" x14ac:dyDescent="0.25">
      <c r="A490" t="s">
        <v>128</v>
      </c>
      <c r="B490" t="s">
        <v>146</v>
      </c>
      <c r="C490" t="s">
        <v>117</v>
      </c>
      <c r="D490" s="12">
        <v>46235</v>
      </c>
      <c r="K490">
        <v>41.899846569613139</v>
      </c>
      <c r="N490">
        <v>21.849999999999998</v>
      </c>
      <c r="O490">
        <v>21.849999999999998</v>
      </c>
      <c r="P490">
        <v>42.998486159169545</v>
      </c>
      <c r="T490">
        <v>5.5507164789636958E-2</v>
      </c>
      <c r="U490">
        <v>0</v>
      </c>
      <c r="V490">
        <v>0</v>
      </c>
      <c r="W490">
        <v>0</v>
      </c>
      <c r="X490">
        <v>0</v>
      </c>
      <c r="Y490">
        <v>1.6337066448002167E-2</v>
      </c>
      <c r="Z490">
        <v>5.0688380825464332E-3</v>
      </c>
      <c r="AA490">
        <v>0</v>
      </c>
      <c r="AB490">
        <v>0</v>
      </c>
      <c r="AC490">
        <v>0.40402271596873163</v>
      </c>
      <c r="AD490">
        <v>2.4177058659873192E-2</v>
      </c>
      <c r="AE490">
        <v>0</v>
      </c>
      <c r="AF490">
        <v>1.0178332933194627E-2</v>
      </c>
      <c r="AG490">
        <v>0</v>
      </c>
      <c r="AH490">
        <v>0.37526460593695388</v>
      </c>
      <c r="AI490">
        <v>0</v>
      </c>
      <c r="AJ490">
        <v>0</v>
      </c>
      <c r="AK490">
        <v>0</v>
      </c>
      <c r="AM490">
        <v>8.5623618122194406E-2</v>
      </c>
    </row>
    <row r="491" spans="1:39" x14ac:dyDescent="0.25">
      <c r="A491" t="s">
        <v>128</v>
      </c>
      <c r="B491" t="s">
        <v>146</v>
      </c>
      <c r="C491" t="s">
        <v>109</v>
      </c>
      <c r="D491" s="12">
        <v>46248</v>
      </c>
      <c r="E491" t="s">
        <v>136</v>
      </c>
      <c r="F491" t="s">
        <v>136</v>
      </c>
      <c r="G491" t="s">
        <v>136</v>
      </c>
      <c r="K491">
        <v>6.7655742969551049</v>
      </c>
      <c r="N491">
        <v>7.6</v>
      </c>
      <c r="O491">
        <v>7.6</v>
      </c>
      <c r="P491">
        <v>9.3354238754325252</v>
      </c>
      <c r="T491">
        <v>0.25650799167390187</v>
      </c>
      <c r="U491">
        <v>0</v>
      </c>
      <c r="V491">
        <v>0</v>
      </c>
      <c r="W491">
        <v>0</v>
      </c>
      <c r="X491">
        <v>0</v>
      </c>
      <c r="Y491">
        <v>0.12666594638973458</v>
      </c>
      <c r="Z491">
        <v>0.12333405361026542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M491">
        <v>1</v>
      </c>
    </row>
    <row r="492" spans="1:39" x14ac:dyDescent="0.25">
      <c r="A492" t="s">
        <v>128</v>
      </c>
      <c r="B492" t="s">
        <v>146</v>
      </c>
      <c r="C492" t="s">
        <v>109</v>
      </c>
      <c r="D492" s="12">
        <v>46241</v>
      </c>
      <c r="E492" t="s">
        <v>135</v>
      </c>
      <c r="F492" t="s">
        <v>135</v>
      </c>
      <c r="G492" t="s">
        <v>135</v>
      </c>
      <c r="K492">
        <v>8.301202861771058</v>
      </c>
      <c r="N492">
        <v>0</v>
      </c>
      <c r="O492">
        <v>0</v>
      </c>
      <c r="P492">
        <v>5.9273356401384092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0.71403334418378672</v>
      </c>
      <c r="AD492">
        <v>0.28596665581621339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</row>
    <row r="493" spans="1:39" x14ac:dyDescent="0.25">
      <c r="A493" t="s">
        <v>128</v>
      </c>
      <c r="B493" t="s">
        <v>146</v>
      </c>
      <c r="C493" t="s">
        <v>109</v>
      </c>
      <c r="D493" s="12">
        <v>46229</v>
      </c>
      <c r="E493" t="s">
        <v>135</v>
      </c>
      <c r="F493" t="s">
        <v>135</v>
      </c>
      <c r="G493" t="s">
        <v>135</v>
      </c>
      <c r="K493">
        <v>8.1606633099352059</v>
      </c>
      <c r="N493">
        <v>6.65</v>
      </c>
      <c r="O493">
        <v>6.65</v>
      </c>
      <c r="P493">
        <v>7.7922253460207589</v>
      </c>
      <c r="T493">
        <v>0</v>
      </c>
      <c r="U493">
        <v>0</v>
      </c>
      <c r="V493">
        <v>4.3886016556224462E-2</v>
      </c>
      <c r="W493">
        <v>0</v>
      </c>
      <c r="X493">
        <v>0</v>
      </c>
      <c r="Y493">
        <v>0</v>
      </c>
      <c r="Z493">
        <v>8.8214820960079363E-3</v>
      </c>
      <c r="AA493">
        <v>0</v>
      </c>
      <c r="AB493">
        <v>9.8813420315013861E-2</v>
      </c>
      <c r="AC493">
        <v>0.28266665554452386</v>
      </c>
      <c r="AD493">
        <v>5.3969523366855426E-2</v>
      </c>
      <c r="AE493">
        <v>0</v>
      </c>
      <c r="AF493">
        <v>0</v>
      </c>
      <c r="AG493">
        <v>0</v>
      </c>
      <c r="AH493">
        <v>0.66336382108862046</v>
      </c>
      <c r="AI493">
        <v>0</v>
      </c>
      <c r="AJ493">
        <v>0</v>
      </c>
      <c r="AK493">
        <v>0</v>
      </c>
      <c r="AL493">
        <v>0</v>
      </c>
      <c r="AM493">
        <v>0</v>
      </c>
    </row>
    <row r="494" spans="1:39" x14ac:dyDescent="0.25">
      <c r="A494" t="s">
        <v>128</v>
      </c>
      <c r="B494" t="s">
        <v>146</v>
      </c>
      <c r="C494" t="s">
        <v>117</v>
      </c>
      <c r="D494" s="12">
        <v>46234</v>
      </c>
      <c r="K494">
        <v>41.07722344334563</v>
      </c>
      <c r="N494">
        <v>20.9</v>
      </c>
      <c r="O494">
        <v>20.9</v>
      </c>
      <c r="P494">
        <v>43.728168252595147</v>
      </c>
      <c r="T494">
        <v>6.9953466283977223E-2</v>
      </c>
      <c r="U494">
        <v>0</v>
      </c>
      <c r="V494">
        <v>9.5451834365132041E-4</v>
      </c>
      <c r="W494">
        <v>0</v>
      </c>
      <c r="X494">
        <v>6.4629349351542085E-3</v>
      </c>
      <c r="Y494">
        <v>0</v>
      </c>
      <c r="Z494">
        <v>3.1698284483849593E-2</v>
      </c>
      <c r="AA494">
        <v>0</v>
      </c>
      <c r="AB494">
        <v>3.8216995985591948E-3</v>
      </c>
      <c r="AC494">
        <v>0.50734660648631469</v>
      </c>
      <c r="AD494">
        <v>2.679305322506368E-2</v>
      </c>
      <c r="AE494">
        <v>0</v>
      </c>
      <c r="AF494">
        <v>1.6785994792820644E-2</v>
      </c>
      <c r="AG494">
        <v>0</v>
      </c>
      <c r="AH494">
        <v>0.449074345495801</v>
      </c>
      <c r="AI494">
        <v>0</v>
      </c>
      <c r="AJ494">
        <v>0</v>
      </c>
      <c r="AK494">
        <v>0</v>
      </c>
      <c r="AM494">
        <v>0</v>
      </c>
    </row>
    <row r="495" spans="1:39" x14ac:dyDescent="0.25">
      <c r="A495" t="s">
        <v>128</v>
      </c>
      <c r="B495" t="s">
        <v>146</v>
      </c>
      <c r="C495" t="s">
        <v>109</v>
      </c>
      <c r="D495" s="12">
        <v>46230</v>
      </c>
      <c r="E495" t="s">
        <v>134</v>
      </c>
      <c r="F495" t="s">
        <v>134</v>
      </c>
      <c r="G495" t="s">
        <v>134</v>
      </c>
      <c r="K495">
        <v>27.065400662268566</v>
      </c>
      <c r="N495">
        <v>5.7</v>
      </c>
      <c r="O495">
        <v>5.7</v>
      </c>
      <c r="P495">
        <v>27.609375</v>
      </c>
      <c r="T495">
        <v>2.0788595005785195E-2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0.63276351646112095</v>
      </c>
      <c r="AD495">
        <v>6.9008087258106397E-4</v>
      </c>
      <c r="AE495">
        <v>0</v>
      </c>
      <c r="AF495">
        <v>0</v>
      </c>
      <c r="AG495">
        <v>0</v>
      </c>
      <c r="AH495">
        <v>0.21060098356298407</v>
      </c>
      <c r="AI495">
        <v>0</v>
      </c>
      <c r="AJ495">
        <v>0</v>
      </c>
      <c r="AK495">
        <v>0</v>
      </c>
      <c r="AL495">
        <v>0.15594541910331386</v>
      </c>
      <c r="AM495">
        <v>0</v>
      </c>
    </row>
    <row r="496" spans="1:39" x14ac:dyDescent="0.25">
      <c r="A496" t="s">
        <v>128</v>
      </c>
      <c r="B496" t="s">
        <v>146</v>
      </c>
      <c r="C496" t="s">
        <v>109</v>
      </c>
      <c r="D496" s="12">
        <v>46237</v>
      </c>
      <c r="E496" t="s">
        <v>134</v>
      </c>
      <c r="F496" t="s">
        <v>134</v>
      </c>
      <c r="G496" t="s">
        <v>134</v>
      </c>
      <c r="K496">
        <v>27.065400662268566</v>
      </c>
      <c r="N496">
        <v>4.75</v>
      </c>
      <c r="O496">
        <v>4.75</v>
      </c>
      <c r="P496">
        <v>28.125</v>
      </c>
      <c r="T496">
        <v>3.9149589948934554E-2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0.26309567159225006</v>
      </c>
      <c r="AD496">
        <v>0</v>
      </c>
      <c r="AE496">
        <v>0</v>
      </c>
      <c r="AF496">
        <v>0</v>
      </c>
      <c r="AG496">
        <v>0</v>
      </c>
      <c r="AH496">
        <v>0.17550081963582004</v>
      </c>
      <c r="AI496">
        <v>0</v>
      </c>
      <c r="AJ496">
        <v>0</v>
      </c>
      <c r="AK496">
        <v>0</v>
      </c>
      <c r="AL496">
        <v>0.56140350877192979</v>
      </c>
      <c r="AM496">
        <v>0</v>
      </c>
    </row>
    <row r="497" spans="1:85" x14ac:dyDescent="0.25">
      <c r="A497" t="s">
        <v>128</v>
      </c>
      <c r="B497" t="s">
        <v>146</v>
      </c>
      <c r="C497" t="s">
        <v>109</v>
      </c>
      <c r="D497" s="12">
        <v>46238</v>
      </c>
      <c r="E497" t="s">
        <v>135</v>
      </c>
      <c r="F497" t="s">
        <v>135</v>
      </c>
      <c r="G497" t="s">
        <v>135</v>
      </c>
      <c r="K497">
        <v>10.479565915226782</v>
      </c>
      <c r="N497">
        <v>0</v>
      </c>
      <c r="O497">
        <v>0</v>
      </c>
      <c r="P497">
        <v>8.7159385813148784</v>
      </c>
      <c r="T497">
        <v>1.0802921266538673E-2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0.4990454236435356</v>
      </c>
      <c r="AD497">
        <v>0.17909494291882463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0.32185963343763968</v>
      </c>
      <c r="AM497">
        <v>0</v>
      </c>
    </row>
    <row r="498" spans="1:85" x14ac:dyDescent="0.25">
      <c r="A498" t="s">
        <v>128</v>
      </c>
      <c r="B498" t="s">
        <v>146</v>
      </c>
      <c r="C498" t="s">
        <v>117</v>
      </c>
      <c r="D498" s="12">
        <v>46233</v>
      </c>
      <c r="K498">
        <v>43.264228384591071</v>
      </c>
      <c r="N498">
        <v>19</v>
      </c>
      <c r="O498">
        <v>19</v>
      </c>
      <c r="P498">
        <v>46.072350778546706</v>
      </c>
      <c r="T498">
        <v>0.10073906428769762</v>
      </c>
      <c r="U498">
        <v>0</v>
      </c>
      <c r="V498">
        <v>0</v>
      </c>
      <c r="W498">
        <v>0</v>
      </c>
      <c r="X498">
        <v>0</v>
      </c>
      <c r="Y498">
        <v>1.582186030186232E-2</v>
      </c>
      <c r="Z498">
        <v>1.0041020239276706E-2</v>
      </c>
      <c r="AA498">
        <v>0</v>
      </c>
      <c r="AB498">
        <v>4.7387254712043187E-3</v>
      </c>
      <c r="AC498">
        <v>0.18036835942006793</v>
      </c>
      <c r="AD498">
        <v>4.587375200225547E-2</v>
      </c>
      <c r="AE498">
        <v>0</v>
      </c>
      <c r="AF498">
        <v>0</v>
      </c>
      <c r="AG498">
        <v>0</v>
      </c>
      <c r="AH498">
        <v>0.34145874769193818</v>
      </c>
      <c r="AI498">
        <v>0</v>
      </c>
      <c r="AJ498">
        <v>0</v>
      </c>
      <c r="AK498">
        <v>0</v>
      </c>
      <c r="AM498">
        <v>8.2923389506996348E-2</v>
      </c>
    </row>
    <row r="499" spans="1:85" x14ac:dyDescent="0.25">
      <c r="A499" t="s">
        <v>128</v>
      </c>
      <c r="B499" t="s">
        <v>146</v>
      </c>
      <c r="C499" t="s">
        <v>109</v>
      </c>
      <c r="D499" s="12">
        <v>46230</v>
      </c>
      <c r="E499" t="s">
        <v>136</v>
      </c>
      <c r="F499" t="s">
        <v>136</v>
      </c>
      <c r="G499" t="s">
        <v>136</v>
      </c>
      <c r="K499">
        <v>6.7655742969551049</v>
      </c>
      <c r="N499">
        <v>8.5500000000000007</v>
      </c>
      <c r="O499">
        <v>8.5500000000000007</v>
      </c>
      <c r="P499">
        <v>8.512110726643602</v>
      </c>
      <c r="T499">
        <v>9.2059793138708171E-4</v>
      </c>
      <c r="U499">
        <v>0</v>
      </c>
      <c r="V499">
        <v>6.5209020139909797E-3</v>
      </c>
      <c r="W499">
        <v>0</v>
      </c>
      <c r="X499">
        <v>3.2718844795177254E-2</v>
      </c>
      <c r="Y499">
        <v>0</v>
      </c>
      <c r="Z499">
        <v>0.2245110635023804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1</v>
      </c>
      <c r="AI499">
        <v>0</v>
      </c>
      <c r="AJ499">
        <v>0</v>
      </c>
      <c r="AK499">
        <v>0</v>
      </c>
      <c r="AM499">
        <v>0</v>
      </c>
    </row>
    <row r="500" spans="1:85" x14ac:dyDescent="0.25">
      <c r="A500" t="s">
        <v>128</v>
      </c>
      <c r="B500" t="s">
        <v>146</v>
      </c>
      <c r="C500" t="s">
        <v>109</v>
      </c>
      <c r="D500" s="12">
        <v>46248</v>
      </c>
      <c r="E500" t="s">
        <v>135</v>
      </c>
      <c r="F500" t="s">
        <v>135</v>
      </c>
      <c r="G500" t="s">
        <v>135</v>
      </c>
      <c r="K500">
        <v>8.0903935340172772</v>
      </c>
      <c r="N500">
        <v>0</v>
      </c>
      <c r="O500">
        <v>0</v>
      </c>
      <c r="P500">
        <v>6.7054606401384085</v>
      </c>
      <c r="T500">
        <v>5.0080802286865234E-2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0.50079818672959664</v>
      </c>
      <c r="AD500">
        <v>0.22126319138273684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0.27793862188766649</v>
      </c>
      <c r="AM500">
        <v>0</v>
      </c>
    </row>
    <row r="501" spans="1:85" x14ac:dyDescent="0.25">
      <c r="A501" t="s">
        <v>128</v>
      </c>
      <c r="B501" t="s">
        <v>146</v>
      </c>
      <c r="C501" t="s">
        <v>109</v>
      </c>
      <c r="D501" s="12">
        <v>46241</v>
      </c>
      <c r="E501" t="s">
        <v>136</v>
      </c>
      <c r="F501" t="s">
        <v>136</v>
      </c>
      <c r="G501" t="s">
        <v>136</v>
      </c>
      <c r="K501">
        <v>6.7655742969551067</v>
      </c>
      <c r="N501">
        <v>7.6</v>
      </c>
      <c r="O501">
        <v>7.6</v>
      </c>
      <c r="P501">
        <v>9.3354238754325252</v>
      </c>
      <c r="T501">
        <v>0.25650799167390187</v>
      </c>
      <c r="U501">
        <v>0</v>
      </c>
      <c r="V501">
        <v>0</v>
      </c>
      <c r="W501">
        <v>0</v>
      </c>
      <c r="X501">
        <v>0</v>
      </c>
      <c r="Y501">
        <v>0.1266659463897348</v>
      </c>
      <c r="Z501">
        <v>0.12333405361026518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M501">
        <v>1</v>
      </c>
    </row>
    <row r="502" spans="1:85" x14ac:dyDescent="0.25">
      <c r="A502" t="s">
        <v>128</v>
      </c>
      <c r="B502" t="s">
        <v>146</v>
      </c>
      <c r="C502" t="s">
        <v>109</v>
      </c>
      <c r="D502" s="12">
        <v>46250</v>
      </c>
      <c r="E502" t="s">
        <v>135</v>
      </c>
      <c r="F502" t="s">
        <v>135</v>
      </c>
      <c r="G502" t="s">
        <v>135</v>
      </c>
      <c r="K502">
        <v>7.0363468952483785</v>
      </c>
      <c r="N502">
        <v>0</v>
      </c>
      <c r="O502">
        <v>0</v>
      </c>
      <c r="P502">
        <v>5.9307958477508649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0.84287996826249589</v>
      </c>
      <c r="AD502">
        <v>0.15712003173750411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</row>
    <row r="503" spans="1:85" x14ac:dyDescent="0.25">
      <c r="A503" t="s">
        <v>128</v>
      </c>
      <c r="B503" t="s">
        <v>146</v>
      </c>
      <c r="C503" t="s">
        <v>109</v>
      </c>
      <c r="D503" s="12">
        <v>46234</v>
      </c>
      <c r="E503" t="s">
        <v>135</v>
      </c>
      <c r="F503" t="s">
        <v>135</v>
      </c>
      <c r="G503" t="s">
        <v>135</v>
      </c>
      <c r="K503">
        <v>8.090393534017279</v>
      </c>
      <c r="N503">
        <v>6.6499999999999995</v>
      </c>
      <c r="O503">
        <v>6.6499999999999995</v>
      </c>
      <c r="P503">
        <v>6.7054606401384085</v>
      </c>
      <c r="T503">
        <v>0</v>
      </c>
      <c r="U503">
        <v>0</v>
      </c>
      <c r="V503">
        <v>4.8463604542940296E-3</v>
      </c>
      <c r="W503">
        <v>0</v>
      </c>
      <c r="X503">
        <v>0</v>
      </c>
      <c r="Y503">
        <v>0</v>
      </c>
      <c r="Z503">
        <v>5.0080802286865227E-2</v>
      </c>
      <c r="AA503">
        <v>0</v>
      </c>
      <c r="AB503">
        <v>1.940385318505139E-2</v>
      </c>
      <c r="AC503">
        <v>0.1163325945308985</v>
      </c>
      <c r="AD503">
        <v>0.13603593316293217</v>
      </c>
      <c r="AE503">
        <v>0</v>
      </c>
      <c r="AF503">
        <v>8.52272582198048E-2</v>
      </c>
      <c r="AG503">
        <v>0</v>
      </c>
      <c r="AH503">
        <v>0.66240421408636452</v>
      </c>
      <c r="AI503">
        <v>0</v>
      </c>
      <c r="AJ503">
        <v>0</v>
      </c>
      <c r="AK503">
        <v>0</v>
      </c>
      <c r="AL503">
        <v>0</v>
      </c>
      <c r="AM503">
        <v>0</v>
      </c>
    </row>
    <row r="504" spans="1:85" x14ac:dyDescent="0.25">
      <c r="A504" t="s">
        <v>128</v>
      </c>
      <c r="B504" t="s">
        <v>146</v>
      </c>
      <c r="C504" t="s">
        <v>109</v>
      </c>
      <c r="D504" s="12">
        <v>46230</v>
      </c>
      <c r="E504" t="s">
        <v>135</v>
      </c>
      <c r="F504" t="s">
        <v>135</v>
      </c>
      <c r="G504" t="s">
        <v>135</v>
      </c>
      <c r="K504">
        <v>8.1606633099352042</v>
      </c>
      <c r="N504">
        <v>8.5500000000000007</v>
      </c>
      <c r="O504">
        <v>8.5500000000000007</v>
      </c>
      <c r="P504">
        <v>5.7991457612456747</v>
      </c>
      <c r="T504">
        <v>0</v>
      </c>
      <c r="U504">
        <v>0</v>
      </c>
      <c r="V504">
        <v>4.3886016556224643E-2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0.15996530004176476</v>
      </c>
      <c r="AC504">
        <v>0.1153308787341342</v>
      </c>
      <c r="AD504">
        <v>4.0811486363454781E-2</v>
      </c>
      <c r="AE504">
        <v>0</v>
      </c>
      <c r="AF504">
        <v>0.24856665105026479</v>
      </c>
      <c r="AG504">
        <v>0</v>
      </c>
      <c r="AH504">
        <v>0.59529098385214618</v>
      </c>
      <c r="AI504">
        <v>0</v>
      </c>
      <c r="AJ504">
        <v>0</v>
      </c>
      <c r="AK504">
        <v>0</v>
      </c>
      <c r="AL504">
        <v>0</v>
      </c>
      <c r="AM504">
        <v>0</v>
      </c>
    </row>
    <row r="505" spans="1:85" x14ac:dyDescent="0.25">
      <c r="A505" t="s">
        <v>128</v>
      </c>
      <c r="B505" t="s">
        <v>146</v>
      </c>
      <c r="C505" t="s">
        <v>109</v>
      </c>
      <c r="D505" s="12">
        <v>46247</v>
      </c>
      <c r="E505" t="s">
        <v>135</v>
      </c>
      <c r="F505" t="s">
        <v>135</v>
      </c>
      <c r="G505" t="s">
        <v>135</v>
      </c>
      <c r="K505">
        <v>10.409296139308854</v>
      </c>
      <c r="N505">
        <v>0</v>
      </c>
      <c r="O505">
        <v>0</v>
      </c>
      <c r="P505">
        <v>8.646637110726644</v>
      </c>
      <c r="T505">
        <v>2.1330304367361792E-2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0.48530220911748617</v>
      </c>
      <c r="AD505">
        <v>0.19066538764218982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0.32403240324032406</v>
      </c>
      <c r="AM505">
        <v>0</v>
      </c>
    </row>
    <row r="506" spans="1:85" x14ac:dyDescent="0.25">
      <c r="A506" t="s">
        <v>128</v>
      </c>
      <c r="B506" t="s">
        <v>146</v>
      </c>
      <c r="C506" t="s">
        <v>117</v>
      </c>
      <c r="D506" s="12">
        <v>46224</v>
      </c>
      <c r="K506">
        <v>45.494516376417607</v>
      </c>
      <c r="N506">
        <v>20.9</v>
      </c>
      <c r="O506">
        <v>20.9</v>
      </c>
      <c r="P506">
        <v>45.565543129016305</v>
      </c>
      <c r="T506">
        <v>3.3645891790793754E-2</v>
      </c>
      <c r="U506">
        <v>0</v>
      </c>
      <c r="V506">
        <v>0</v>
      </c>
      <c r="W506">
        <v>0</v>
      </c>
      <c r="X506">
        <v>5.8354158605529657E-3</v>
      </c>
      <c r="Y506">
        <v>5.1548362586720624E-3</v>
      </c>
      <c r="Z506">
        <v>3.2295995352201699E-2</v>
      </c>
      <c r="AA506">
        <v>0</v>
      </c>
      <c r="AB506">
        <v>0</v>
      </c>
      <c r="AC506">
        <v>0.46765001714176091</v>
      </c>
      <c r="AD506">
        <v>3.9192632816996809E-2</v>
      </c>
      <c r="AE506">
        <v>0</v>
      </c>
      <c r="AF506">
        <v>3.1023454500444751E-2</v>
      </c>
      <c r="AG506">
        <v>0</v>
      </c>
      <c r="AH506">
        <v>0.29841441308889016</v>
      </c>
      <c r="AI506">
        <v>0</v>
      </c>
      <c r="AJ506">
        <v>0</v>
      </c>
      <c r="AK506">
        <v>0</v>
      </c>
      <c r="AM506">
        <v>7.09451090624931E-2</v>
      </c>
    </row>
    <row r="507" spans="1:85" x14ac:dyDescent="0.25">
      <c r="A507" t="s">
        <v>128</v>
      </c>
      <c r="B507" t="s">
        <v>146</v>
      </c>
      <c r="C507" t="s">
        <v>72</v>
      </c>
      <c r="D507" s="12">
        <v>46230</v>
      </c>
      <c r="E507" t="s">
        <v>135</v>
      </c>
      <c r="F507" t="s">
        <v>135</v>
      </c>
      <c r="G507" t="s">
        <v>135</v>
      </c>
      <c r="H507" t="s">
        <v>73</v>
      </c>
      <c r="I507">
        <v>10</v>
      </c>
      <c r="J507">
        <v>1</v>
      </c>
      <c r="K507">
        <v>3.5134887958963268</v>
      </c>
      <c r="L507">
        <v>46230</v>
      </c>
      <c r="M507" t="s">
        <v>220</v>
      </c>
      <c r="N507">
        <v>4.75</v>
      </c>
      <c r="O507">
        <v>4.75</v>
      </c>
      <c r="P507">
        <v>1.703125</v>
      </c>
      <c r="Q507">
        <v>1.3519325877879245</v>
      </c>
      <c r="R507">
        <v>1.3519325877879245</v>
      </c>
      <c r="S507">
        <v>0.48473898706869661</v>
      </c>
      <c r="T507">
        <v>0</v>
      </c>
      <c r="U507">
        <v>0</v>
      </c>
      <c r="V507">
        <v>0.10193258778792447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0.25</v>
      </c>
      <c r="AC507">
        <v>0</v>
      </c>
      <c r="AD507">
        <v>0</v>
      </c>
      <c r="AE507">
        <v>0</v>
      </c>
      <c r="AF507">
        <v>0.51526101293130333</v>
      </c>
      <c r="AG507">
        <v>0</v>
      </c>
      <c r="AH507">
        <v>0.48473898706869661</v>
      </c>
      <c r="AI507">
        <v>0</v>
      </c>
      <c r="AJ507">
        <v>0</v>
      </c>
      <c r="AK507">
        <v>0</v>
      </c>
      <c r="AL507">
        <v>0</v>
      </c>
      <c r="AM507">
        <v>0</v>
      </c>
      <c r="AN507">
        <v>0.73968185176764778</v>
      </c>
      <c r="AO507">
        <v>0.73968185176764778</v>
      </c>
      <c r="AP507">
        <v>0.35855263157894735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0.26031814823235222</v>
      </c>
      <c r="BB507">
        <v>0</v>
      </c>
      <c r="BC507">
        <v>0.38112922018870043</v>
      </c>
      <c r="BD507">
        <v>0</v>
      </c>
      <c r="BE507">
        <v>0.35855263157894735</v>
      </c>
      <c r="BF507">
        <v>0</v>
      </c>
      <c r="BG507">
        <v>0</v>
      </c>
      <c r="BH507">
        <v>0</v>
      </c>
      <c r="BI507">
        <v>0</v>
      </c>
      <c r="BJ507">
        <v>0</v>
      </c>
      <c r="BK507">
        <v>2.7889908256880735</v>
      </c>
      <c r="BL507">
        <v>2.7889908256880735</v>
      </c>
      <c r="BM507">
        <v>2.0629658985079349</v>
      </c>
      <c r="CD507">
        <v>0</v>
      </c>
      <c r="CE507">
        <v>0</v>
      </c>
      <c r="CF507">
        <v>0</v>
      </c>
    </row>
    <row r="508" spans="1:85" x14ac:dyDescent="0.25">
      <c r="A508" t="s">
        <v>128</v>
      </c>
      <c r="B508" t="s">
        <v>146</v>
      </c>
      <c r="C508" t="s">
        <v>72</v>
      </c>
      <c r="D508" s="12">
        <v>46250</v>
      </c>
      <c r="E508" t="s">
        <v>135</v>
      </c>
      <c r="F508" t="s">
        <v>135</v>
      </c>
      <c r="G508" t="s">
        <v>135</v>
      </c>
      <c r="H508" t="s">
        <v>75</v>
      </c>
      <c r="I508">
        <v>10</v>
      </c>
      <c r="J508">
        <v>1</v>
      </c>
      <c r="K508">
        <v>2.2486328293736499</v>
      </c>
      <c r="L508">
        <v>46250</v>
      </c>
      <c r="M508" t="s">
        <v>174</v>
      </c>
      <c r="N508">
        <v>0</v>
      </c>
      <c r="O508">
        <v>0</v>
      </c>
      <c r="P508">
        <v>2.0484429065743952</v>
      </c>
      <c r="Q508">
        <v>0</v>
      </c>
      <c r="R508">
        <v>0</v>
      </c>
      <c r="S508">
        <v>0.91097260513846667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0.91097260513846667</v>
      </c>
      <c r="AD508">
        <v>8.9027394861533327E-2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1</v>
      </c>
      <c r="BK508">
        <v>0</v>
      </c>
      <c r="BL508">
        <v>0</v>
      </c>
      <c r="BM508">
        <v>1.0977278508259876</v>
      </c>
      <c r="BN508">
        <v>9.7727850825987561E-2</v>
      </c>
      <c r="BO508">
        <v>0</v>
      </c>
      <c r="BP508">
        <v>0</v>
      </c>
      <c r="BQ508">
        <v>0</v>
      </c>
      <c r="BR508">
        <v>0</v>
      </c>
      <c r="BS508">
        <v>0</v>
      </c>
      <c r="BT508">
        <v>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0</v>
      </c>
      <c r="CF508">
        <v>1</v>
      </c>
      <c r="CG508">
        <v>1</v>
      </c>
    </row>
    <row r="509" spans="1:85" x14ac:dyDescent="0.25">
      <c r="A509" t="s">
        <v>128</v>
      </c>
      <c r="B509" t="s">
        <v>146</v>
      </c>
      <c r="C509" t="s">
        <v>72</v>
      </c>
      <c r="D509" s="12">
        <v>46225</v>
      </c>
      <c r="E509" t="s">
        <v>136</v>
      </c>
      <c r="F509" t="s">
        <v>136</v>
      </c>
      <c r="G509" t="s">
        <v>136</v>
      </c>
      <c r="H509" t="s">
        <v>73</v>
      </c>
      <c r="I509">
        <v>10</v>
      </c>
      <c r="J509">
        <v>1</v>
      </c>
      <c r="K509">
        <v>3.587616462055093</v>
      </c>
      <c r="L509">
        <v>46225</v>
      </c>
      <c r="M509" t="s">
        <v>166</v>
      </c>
      <c r="N509">
        <v>3.8</v>
      </c>
      <c r="O509">
        <v>3.8</v>
      </c>
      <c r="P509">
        <v>4.7022058823529402</v>
      </c>
      <c r="Q509">
        <v>1.059199064390302</v>
      </c>
      <c r="R509">
        <v>1.059199064390302</v>
      </c>
      <c r="S509">
        <v>1.3106768608312656</v>
      </c>
      <c r="T509">
        <v>0.25147779644096357</v>
      </c>
      <c r="U509">
        <v>0</v>
      </c>
      <c r="V509">
        <v>0</v>
      </c>
      <c r="W509">
        <v>0</v>
      </c>
      <c r="X509">
        <v>0</v>
      </c>
      <c r="Y509">
        <v>0.19080093560969802</v>
      </c>
      <c r="Z509">
        <v>5.9199064390301981E-2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1</v>
      </c>
      <c r="AN509">
        <v>0.94410959527765614</v>
      </c>
      <c r="AO509">
        <v>0.94410959527765614</v>
      </c>
      <c r="AP509">
        <v>1.2374226006191948</v>
      </c>
      <c r="AQ509">
        <v>0.23742260061919485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0.94410959527765614</v>
      </c>
      <c r="BF509">
        <v>0</v>
      </c>
      <c r="BG509">
        <v>0</v>
      </c>
      <c r="BH509">
        <v>0</v>
      </c>
      <c r="BI509">
        <v>0</v>
      </c>
      <c r="BJ509">
        <v>0</v>
      </c>
      <c r="BK509">
        <v>0.80813135261923386</v>
      </c>
      <c r="BL509">
        <v>0.80813135261923386</v>
      </c>
      <c r="BM509">
        <v>0.76296456425252968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0.19186864738076614</v>
      </c>
      <c r="BY509">
        <v>0</v>
      </c>
      <c r="BZ509">
        <v>4.516678836670418E-2</v>
      </c>
      <c r="CA509">
        <v>0</v>
      </c>
      <c r="CB509">
        <v>0.76296456425252968</v>
      </c>
      <c r="CC509">
        <v>0</v>
      </c>
      <c r="CD509">
        <v>0</v>
      </c>
      <c r="CE509">
        <v>0</v>
      </c>
      <c r="CF509">
        <v>0</v>
      </c>
      <c r="CG509">
        <v>0</v>
      </c>
    </row>
    <row r="510" spans="1:85" x14ac:dyDescent="0.25">
      <c r="A510" t="s">
        <v>128</v>
      </c>
      <c r="B510" t="s">
        <v>146</v>
      </c>
      <c r="C510" t="s">
        <v>72</v>
      </c>
      <c r="D510" s="12">
        <v>46224</v>
      </c>
      <c r="E510" t="s">
        <v>136</v>
      </c>
      <c r="F510" t="s">
        <v>136</v>
      </c>
      <c r="G510" t="s">
        <v>136</v>
      </c>
      <c r="H510" t="s">
        <v>75</v>
      </c>
      <c r="I510">
        <v>10</v>
      </c>
      <c r="J510">
        <v>1</v>
      </c>
      <c r="K510">
        <v>3.2276134260703255</v>
      </c>
      <c r="L510">
        <v>46224</v>
      </c>
      <c r="M510" t="s">
        <v>169</v>
      </c>
      <c r="N510">
        <v>3.8</v>
      </c>
      <c r="O510">
        <v>3.8</v>
      </c>
      <c r="P510">
        <v>4.4063272367770638</v>
      </c>
      <c r="Q510">
        <v>1.1773404984953741</v>
      </c>
      <c r="R510">
        <v>1.1773404984953741</v>
      </c>
      <c r="S510">
        <v>1.3651967119686457</v>
      </c>
      <c r="T510">
        <v>0.18785621347327153</v>
      </c>
      <c r="U510">
        <v>0</v>
      </c>
      <c r="V510">
        <v>0</v>
      </c>
      <c r="W510">
        <v>0</v>
      </c>
      <c r="X510">
        <v>0</v>
      </c>
      <c r="Y510">
        <v>7.2659501504625856E-2</v>
      </c>
      <c r="Z510">
        <v>0.17734049849537414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1</v>
      </c>
      <c r="AN510">
        <v>0.84937195422903311</v>
      </c>
      <c r="AO510">
        <v>0.84937195422903311</v>
      </c>
      <c r="AP510">
        <v>1.1595597991518589</v>
      </c>
      <c r="AQ510">
        <v>0.15955979915185892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0.84937195422903311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0.86239623064841819</v>
      </c>
      <c r="BL510">
        <v>0.86239623064841819</v>
      </c>
      <c r="BM510">
        <v>0.73249517174559886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0.13760376935158181</v>
      </c>
      <c r="BY510">
        <v>0</v>
      </c>
      <c r="BZ510">
        <v>0.12990105890281933</v>
      </c>
      <c r="CA510">
        <v>0</v>
      </c>
      <c r="CB510">
        <v>0.73249517174559886</v>
      </c>
      <c r="CC510">
        <v>0</v>
      </c>
      <c r="CD510">
        <v>0</v>
      </c>
      <c r="CE510">
        <v>0</v>
      </c>
      <c r="CF510">
        <v>0</v>
      </c>
      <c r="CG510">
        <v>0</v>
      </c>
    </row>
    <row r="511" spans="1:85" x14ac:dyDescent="0.25">
      <c r="A511" t="s">
        <v>128</v>
      </c>
      <c r="B511" t="s">
        <v>146</v>
      </c>
      <c r="C511" t="s">
        <v>72</v>
      </c>
      <c r="D511" s="12">
        <v>46224</v>
      </c>
      <c r="E511" t="s">
        <v>136</v>
      </c>
      <c r="F511" t="s">
        <v>136</v>
      </c>
      <c r="G511" t="s">
        <v>136</v>
      </c>
      <c r="H511" t="s">
        <v>74</v>
      </c>
      <c r="I511">
        <v>10</v>
      </c>
      <c r="J511">
        <v>1</v>
      </c>
      <c r="K511">
        <v>0</v>
      </c>
      <c r="L511">
        <v>46224</v>
      </c>
      <c r="M511" t="s">
        <v>172</v>
      </c>
      <c r="N511">
        <v>0.95</v>
      </c>
      <c r="O511">
        <v>0.95</v>
      </c>
      <c r="P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1</v>
      </c>
      <c r="AK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1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1</v>
      </c>
      <c r="CE511">
        <v>0</v>
      </c>
      <c r="CG511">
        <v>0</v>
      </c>
    </row>
    <row r="512" spans="1:85" x14ac:dyDescent="0.25">
      <c r="A512" t="s">
        <v>128</v>
      </c>
      <c r="B512" t="s">
        <v>146</v>
      </c>
      <c r="C512" t="s">
        <v>72</v>
      </c>
      <c r="D512" s="12">
        <v>46224</v>
      </c>
      <c r="E512" t="s">
        <v>136</v>
      </c>
      <c r="F512" t="s">
        <v>136</v>
      </c>
      <c r="G512" t="s">
        <v>136</v>
      </c>
      <c r="H512" t="s">
        <v>73</v>
      </c>
      <c r="I512">
        <v>10</v>
      </c>
      <c r="J512">
        <v>1</v>
      </c>
      <c r="K512">
        <v>3.587616462055093</v>
      </c>
      <c r="L512">
        <v>46224</v>
      </c>
      <c r="M512" t="s">
        <v>175</v>
      </c>
      <c r="N512">
        <v>4.75</v>
      </c>
      <c r="O512">
        <v>4.75</v>
      </c>
      <c r="P512">
        <v>4.8182773109243673</v>
      </c>
      <c r="Q512">
        <v>1.3239988304878776</v>
      </c>
      <c r="R512">
        <v>1.3239988304878776</v>
      </c>
      <c r="S512">
        <v>1.3430302157116079</v>
      </c>
      <c r="T512">
        <v>1.9031385223730268E-2</v>
      </c>
      <c r="U512">
        <v>0</v>
      </c>
      <c r="V512">
        <v>0</v>
      </c>
      <c r="W512">
        <v>0</v>
      </c>
      <c r="X512">
        <v>7.3998830487877587E-2</v>
      </c>
      <c r="Y512">
        <v>0</v>
      </c>
      <c r="Z512">
        <v>0.25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1</v>
      </c>
      <c r="AI512">
        <v>0</v>
      </c>
      <c r="AJ512">
        <v>0</v>
      </c>
      <c r="AK512">
        <v>0</v>
      </c>
      <c r="AL512">
        <v>0</v>
      </c>
      <c r="AM512">
        <v>0</v>
      </c>
      <c r="AN512">
        <v>0.75528767622212489</v>
      </c>
      <c r="AO512">
        <v>0.75528767622212489</v>
      </c>
      <c r="AP512">
        <v>1.0143741707209195</v>
      </c>
      <c r="AQ512">
        <v>1.437417072091951E-2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0.75528767622212489</v>
      </c>
      <c r="BF512">
        <v>0</v>
      </c>
      <c r="BG512">
        <v>0</v>
      </c>
      <c r="BH512">
        <v>0</v>
      </c>
      <c r="BI512">
        <v>0</v>
      </c>
      <c r="BJ512">
        <v>0</v>
      </c>
      <c r="BK512">
        <v>0.98582951820361941</v>
      </c>
      <c r="BL512">
        <v>0.98582951820361941</v>
      </c>
      <c r="BM512">
        <v>0.74458488595518868</v>
      </c>
      <c r="BN512">
        <v>0</v>
      </c>
      <c r="BO512">
        <v>0</v>
      </c>
      <c r="BP512">
        <v>0</v>
      </c>
      <c r="BQ512">
        <v>0</v>
      </c>
      <c r="BR512">
        <v>0</v>
      </c>
      <c r="BS512">
        <v>0</v>
      </c>
      <c r="BT512">
        <v>0</v>
      </c>
      <c r="BU512">
        <v>0</v>
      </c>
      <c r="BV512">
        <v>0</v>
      </c>
      <c r="BW512">
        <v>0</v>
      </c>
      <c r="BX512">
        <v>1.4170481796380585E-2</v>
      </c>
      <c r="BY512">
        <v>0</v>
      </c>
      <c r="BZ512">
        <v>0.24124463224843073</v>
      </c>
      <c r="CA512">
        <v>0</v>
      </c>
      <c r="CB512">
        <v>0.74458488595518868</v>
      </c>
      <c r="CC512">
        <v>0</v>
      </c>
      <c r="CD512">
        <v>0</v>
      </c>
      <c r="CE512">
        <v>0</v>
      </c>
      <c r="CF512">
        <v>0</v>
      </c>
      <c r="CG512">
        <v>0</v>
      </c>
    </row>
    <row r="513" spans="1:85" x14ac:dyDescent="0.25">
      <c r="A513" t="s">
        <v>128</v>
      </c>
      <c r="B513" t="s">
        <v>146</v>
      </c>
      <c r="C513" t="s">
        <v>72</v>
      </c>
      <c r="D513" s="12">
        <v>46223</v>
      </c>
      <c r="E513" t="s">
        <v>136</v>
      </c>
      <c r="F513" t="s">
        <v>136</v>
      </c>
      <c r="G513" t="s">
        <v>136</v>
      </c>
      <c r="H513" t="s">
        <v>75</v>
      </c>
      <c r="I513">
        <v>10</v>
      </c>
      <c r="J513">
        <v>1</v>
      </c>
      <c r="K513">
        <v>3.1779578349000128</v>
      </c>
      <c r="L513">
        <v>46223</v>
      </c>
      <c r="M513" t="s">
        <v>168</v>
      </c>
      <c r="N513">
        <v>2.8499999999999996</v>
      </c>
      <c r="O513">
        <v>2.8499999999999996</v>
      </c>
      <c r="P513">
        <v>2.8685121107266438</v>
      </c>
      <c r="Q513">
        <v>0.89680233283827326</v>
      </c>
      <c r="R513">
        <v>0.89680233283827326</v>
      </c>
      <c r="S513">
        <v>0.90262749216648908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5.8251593282158121E-3</v>
      </c>
      <c r="AD513">
        <v>9.7372507833510924E-2</v>
      </c>
      <c r="AE513">
        <v>0</v>
      </c>
      <c r="AF513">
        <v>0</v>
      </c>
      <c r="AG513">
        <v>0</v>
      </c>
      <c r="AH513">
        <v>0.89680233283827326</v>
      </c>
      <c r="AI513">
        <v>0</v>
      </c>
      <c r="AJ513">
        <v>0</v>
      </c>
      <c r="AK513">
        <v>0</v>
      </c>
      <c r="AL513">
        <v>0</v>
      </c>
      <c r="AM513">
        <v>0</v>
      </c>
      <c r="AN513">
        <v>1.1150729245263205</v>
      </c>
      <c r="AO513">
        <v>1.1150729245263205</v>
      </c>
      <c r="AP513">
        <v>1.0064954774479453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6.4954774479453192E-3</v>
      </c>
      <c r="AX513">
        <v>0</v>
      </c>
      <c r="AY513">
        <v>0.10857744707837513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1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0.99354644149577787</v>
      </c>
      <c r="BL513">
        <v>0.99354644149577787</v>
      </c>
      <c r="BM513">
        <v>1.1078767361714157</v>
      </c>
      <c r="BN513">
        <v>0.10787673617141569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0.10319766716172674</v>
      </c>
      <c r="BX513">
        <v>0</v>
      </c>
      <c r="BY513">
        <v>0</v>
      </c>
      <c r="BZ513">
        <v>0</v>
      </c>
      <c r="CA513">
        <v>0</v>
      </c>
      <c r="CB513">
        <v>0.99354644149577787</v>
      </c>
      <c r="CC513">
        <v>0</v>
      </c>
      <c r="CD513">
        <v>0</v>
      </c>
      <c r="CE513">
        <v>0</v>
      </c>
      <c r="CF513">
        <v>0</v>
      </c>
      <c r="CG513">
        <v>0</v>
      </c>
    </row>
    <row r="514" spans="1:85" x14ac:dyDescent="0.25">
      <c r="A514" t="s">
        <v>128</v>
      </c>
      <c r="B514" t="s">
        <v>146</v>
      </c>
      <c r="C514" t="s">
        <v>72</v>
      </c>
      <c r="D514" s="12">
        <v>46223</v>
      </c>
      <c r="E514" t="s">
        <v>136</v>
      </c>
      <c r="F514" t="s">
        <v>136</v>
      </c>
      <c r="G514" t="s">
        <v>136</v>
      </c>
      <c r="H514" t="s">
        <v>74</v>
      </c>
      <c r="I514">
        <v>10</v>
      </c>
      <c r="J514">
        <v>1</v>
      </c>
      <c r="K514">
        <v>0</v>
      </c>
      <c r="L514">
        <v>46223</v>
      </c>
      <c r="M514" t="s">
        <v>160</v>
      </c>
      <c r="N514">
        <v>0</v>
      </c>
      <c r="O514">
        <v>0</v>
      </c>
      <c r="P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1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M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1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G514">
        <v>0</v>
      </c>
    </row>
    <row r="515" spans="1:85" x14ac:dyDescent="0.25">
      <c r="A515" t="s">
        <v>128</v>
      </c>
      <c r="B515" t="s">
        <v>146</v>
      </c>
      <c r="C515" t="s">
        <v>72</v>
      </c>
      <c r="D515" s="12">
        <v>46223</v>
      </c>
      <c r="E515" t="s">
        <v>136</v>
      </c>
      <c r="F515" t="s">
        <v>136</v>
      </c>
      <c r="G515" t="s">
        <v>136</v>
      </c>
      <c r="H515" t="s">
        <v>73</v>
      </c>
      <c r="I515">
        <v>10</v>
      </c>
      <c r="J515">
        <v>1</v>
      </c>
      <c r="K515">
        <v>3.5876164620550925</v>
      </c>
      <c r="L515">
        <v>46223</v>
      </c>
      <c r="M515" t="s">
        <v>176</v>
      </c>
      <c r="N515">
        <v>6.6499999999999995</v>
      </c>
      <c r="O515">
        <v>6.6499999999999995</v>
      </c>
      <c r="P515">
        <v>3.764705882352942</v>
      </c>
      <c r="Q515">
        <v>1.8535983626830286</v>
      </c>
      <c r="R515">
        <v>1.8535983626830286</v>
      </c>
      <c r="S515">
        <v>1.0493613021823429</v>
      </c>
      <c r="T515">
        <v>0</v>
      </c>
      <c r="U515">
        <v>0</v>
      </c>
      <c r="V515">
        <v>0.60359836268302858</v>
      </c>
      <c r="W515">
        <v>0</v>
      </c>
      <c r="X515">
        <v>0</v>
      </c>
      <c r="Y515">
        <v>0</v>
      </c>
      <c r="Z515">
        <v>4.9361302182342914E-2</v>
      </c>
      <c r="AA515">
        <v>0</v>
      </c>
      <c r="AB515">
        <v>0.20063869781765709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1</v>
      </c>
      <c r="AI515">
        <v>0</v>
      </c>
      <c r="AJ515">
        <v>0</v>
      </c>
      <c r="AK515">
        <v>0</v>
      </c>
      <c r="AL515">
        <v>0</v>
      </c>
      <c r="AM515">
        <v>0</v>
      </c>
      <c r="AN515">
        <v>0.53949119730151773</v>
      </c>
      <c r="AO515">
        <v>0.53949119730151773</v>
      </c>
      <c r="AP515">
        <v>0.5661211853162319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0.4338788146837681</v>
      </c>
      <c r="BB515">
        <v>0</v>
      </c>
      <c r="BC515">
        <v>0</v>
      </c>
      <c r="BD515">
        <v>0</v>
      </c>
      <c r="BE515">
        <v>0.53949119730151773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1.7664062499999995</v>
      </c>
      <c r="BL515">
        <v>1.7664062499999995</v>
      </c>
      <c r="BM515">
        <v>0.95296062273338378</v>
      </c>
      <c r="CD515">
        <v>0</v>
      </c>
      <c r="CE515">
        <v>0</v>
      </c>
      <c r="CF515">
        <v>0</v>
      </c>
    </row>
    <row r="516" spans="1:85" x14ac:dyDescent="0.25">
      <c r="A516" t="s">
        <v>128</v>
      </c>
      <c r="B516" t="s">
        <v>146</v>
      </c>
      <c r="C516" t="s">
        <v>72</v>
      </c>
      <c r="D516" s="12">
        <v>46250</v>
      </c>
      <c r="E516" t="s">
        <v>134</v>
      </c>
      <c r="F516" t="s">
        <v>134</v>
      </c>
      <c r="G516" t="s">
        <v>134</v>
      </c>
      <c r="H516" t="s">
        <v>75</v>
      </c>
      <c r="I516">
        <v>10</v>
      </c>
      <c r="J516">
        <v>1</v>
      </c>
      <c r="K516">
        <v>10.973885648639106</v>
      </c>
      <c r="L516">
        <v>46250</v>
      </c>
      <c r="M516" t="s">
        <v>174</v>
      </c>
      <c r="N516">
        <v>2.8499999999999996</v>
      </c>
      <c r="O516">
        <v>2.8499999999999996</v>
      </c>
      <c r="P516">
        <v>11.25</v>
      </c>
      <c r="Q516">
        <v>0.25970746290339136</v>
      </c>
      <c r="R516">
        <v>0.25970746290339136</v>
      </c>
      <c r="S516">
        <v>1.025161037776545</v>
      </c>
      <c r="T516">
        <v>2.5161037776544992E-2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0.74029253709660869</v>
      </c>
      <c r="AD516">
        <v>0</v>
      </c>
      <c r="AE516">
        <v>0</v>
      </c>
      <c r="AF516">
        <v>0</v>
      </c>
      <c r="AG516">
        <v>0</v>
      </c>
      <c r="AH516">
        <v>0.25970746290339136</v>
      </c>
      <c r="AI516">
        <v>0</v>
      </c>
      <c r="AJ516">
        <v>0</v>
      </c>
      <c r="AK516">
        <v>0</v>
      </c>
      <c r="AL516">
        <v>0</v>
      </c>
      <c r="AM516">
        <v>0</v>
      </c>
      <c r="AN516">
        <v>3.8504861925049498</v>
      </c>
      <c r="AO516">
        <v>3.8504861925049498</v>
      </c>
      <c r="AP516">
        <v>3.9473684210526319</v>
      </c>
      <c r="BG516">
        <v>0</v>
      </c>
      <c r="BH516">
        <v>0</v>
      </c>
      <c r="BI516">
        <v>0</v>
      </c>
      <c r="BK516">
        <v>0.2533333333333333</v>
      </c>
      <c r="BL516">
        <v>0.2533333333333333</v>
      </c>
      <c r="BM516">
        <v>0.9754565021012539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2.4543497898746103E-2</v>
      </c>
      <c r="BY516">
        <v>0</v>
      </c>
      <c r="BZ516">
        <v>0</v>
      </c>
      <c r="CA516">
        <v>0</v>
      </c>
      <c r="CB516">
        <v>0.2533333333333333</v>
      </c>
      <c r="CC516">
        <v>0</v>
      </c>
      <c r="CD516">
        <v>0</v>
      </c>
      <c r="CE516">
        <v>0</v>
      </c>
      <c r="CF516">
        <v>0</v>
      </c>
      <c r="CG516">
        <v>0</v>
      </c>
    </row>
    <row r="517" spans="1:85" x14ac:dyDescent="0.25">
      <c r="A517" t="s">
        <v>128</v>
      </c>
      <c r="B517" t="s">
        <v>146</v>
      </c>
      <c r="C517" t="s">
        <v>72</v>
      </c>
      <c r="D517" s="12">
        <v>46250</v>
      </c>
      <c r="E517" t="s">
        <v>134</v>
      </c>
      <c r="F517" t="s">
        <v>134</v>
      </c>
      <c r="G517" t="s">
        <v>134</v>
      </c>
      <c r="H517" t="s">
        <v>74</v>
      </c>
      <c r="I517">
        <v>10</v>
      </c>
      <c r="J517">
        <v>1</v>
      </c>
      <c r="K517">
        <v>4.2207252494765797</v>
      </c>
      <c r="L517">
        <v>46250</v>
      </c>
      <c r="M517" t="s">
        <v>173</v>
      </c>
      <c r="N517">
        <v>0</v>
      </c>
      <c r="O517">
        <v>0</v>
      </c>
      <c r="P517">
        <v>4.6875</v>
      </c>
      <c r="Q517">
        <v>0</v>
      </c>
      <c r="R517">
        <v>0</v>
      </c>
      <c r="S517">
        <v>1.1105911242579236</v>
      </c>
      <c r="T517">
        <v>0.11059112425792361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>
        <v>1</v>
      </c>
      <c r="AM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1</v>
      </c>
      <c r="BJ517">
        <v>1</v>
      </c>
      <c r="BK517">
        <v>0</v>
      </c>
      <c r="BL517">
        <v>0</v>
      </c>
      <c r="BM517">
        <v>0.9004213865550037</v>
      </c>
      <c r="BN517">
        <v>0</v>
      </c>
      <c r="BO517">
        <v>0</v>
      </c>
      <c r="BP517">
        <v>0</v>
      </c>
      <c r="BQ517">
        <v>0</v>
      </c>
      <c r="BR517">
        <v>0</v>
      </c>
      <c r="BS517">
        <v>0</v>
      </c>
      <c r="BT517">
        <v>0</v>
      </c>
      <c r="BU517">
        <v>0</v>
      </c>
      <c r="BV517">
        <v>0</v>
      </c>
      <c r="BW517">
        <v>0</v>
      </c>
      <c r="BX517">
        <v>9.95786134449963E-2</v>
      </c>
      <c r="BY517">
        <v>0</v>
      </c>
      <c r="BZ517">
        <v>0</v>
      </c>
      <c r="CA517">
        <v>0</v>
      </c>
      <c r="CB517">
        <v>0</v>
      </c>
      <c r="CC517">
        <v>0</v>
      </c>
      <c r="CD517">
        <v>0</v>
      </c>
      <c r="CE517">
        <v>0</v>
      </c>
      <c r="CF517">
        <v>0.9004213865550037</v>
      </c>
      <c r="CG517">
        <v>0</v>
      </c>
    </row>
    <row r="518" spans="1:85" x14ac:dyDescent="0.25">
      <c r="A518" t="s">
        <v>128</v>
      </c>
      <c r="B518" t="s">
        <v>146</v>
      </c>
      <c r="C518" t="s">
        <v>72</v>
      </c>
      <c r="D518" s="12">
        <v>46250</v>
      </c>
      <c r="E518" t="s">
        <v>134</v>
      </c>
      <c r="F518" t="s">
        <v>134</v>
      </c>
      <c r="G518" t="s">
        <v>134</v>
      </c>
      <c r="H518" t="s">
        <v>73</v>
      </c>
      <c r="I518">
        <v>10</v>
      </c>
      <c r="J518">
        <v>1</v>
      </c>
      <c r="K518">
        <v>10.973885648639106</v>
      </c>
      <c r="L518">
        <v>46250</v>
      </c>
      <c r="M518" t="s">
        <v>171</v>
      </c>
      <c r="N518">
        <v>3.8</v>
      </c>
      <c r="O518">
        <v>3.8</v>
      </c>
      <c r="P518">
        <v>11.25</v>
      </c>
      <c r="Q518">
        <v>0.34627661720452185</v>
      </c>
      <c r="R518">
        <v>0.34627661720452185</v>
      </c>
      <c r="S518">
        <v>1.025161037776545</v>
      </c>
      <c r="T518">
        <v>2.5161037776544992E-2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0.65372338279547815</v>
      </c>
      <c r="AD518">
        <v>0</v>
      </c>
      <c r="AE518">
        <v>0</v>
      </c>
      <c r="AF518">
        <v>0</v>
      </c>
      <c r="AG518">
        <v>0</v>
      </c>
      <c r="AH518">
        <v>0.34627661720452185</v>
      </c>
      <c r="AI518">
        <v>0</v>
      </c>
      <c r="AJ518">
        <v>0</v>
      </c>
      <c r="AK518">
        <v>0</v>
      </c>
      <c r="AL518">
        <v>0</v>
      </c>
      <c r="AM518">
        <v>0</v>
      </c>
      <c r="AN518">
        <v>2.8878646443787122</v>
      </c>
      <c r="AO518">
        <v>2.8878646443787122</v>
      </c>
      <c r="AP518">
        <v>2.9605263157894739</v>
      </c>
      <c r="BG518">
        <v>0</v>
      </c>
      <c r="BH518">
        <v>0</v>
      </c>
      <c r="BI518">
        <v>0</v>
      </c>
      <c r="BK518">
        <v>0.33777777777777779</v>
      </c>
      <c r="BL518">
        <v>0.33777777777777779</v>
      </c>
      <c r="BM518">
        <v>0.9754565021012539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2.4543497898746103E-2</v>
      </c>
      <c r="BY518">
        <v>0</v>
      </c>
      <c r="BZ518">
        <v>0</v>
      </c>
      <c r="CA518">
        <v>0</v>
      </c>
      <c r="CB518">
        <v>0.33777777777777779</v>
      </c>
      <c r="CC518">
        <v>0</v>
      </c>
      <c r="CD518">
        <v>0</v>
      </c>
      <c r="CE518">
        <v>0</v>
      </c>
      <c r="CF518">
        <v>0</v>
      </c>
      <c r="CG518">
        <v>0</v>
      </c>
    </row>
    <row r="519" spans="1:85" x14ac:dyDescent="0.25">
      <c r="A519" t="s">
        <v>128</v>
      </c>
      <c r="B519" t="s">
        <v>146</v>
      </c>
      <c r="C519" t="s">
        <v>72</v>
      </c>
      <c r="D519" s="12">
        <v>46249</v>
      </c>
      <c r="E519" t="s">
        <v>134</v>
      </c>
      <c r="F519" t="s">
        <v>134</v>
      </c>
      <c r="G519" t="s">
        <v>134</v>
      </c>
      <c r="H519" t="s">
        <v>75</v>
      </c>
      <c r="I519">
        <v>10</v>
      </c>
      <c r="J519">
        <v>1</v>
      </c>
      <c r="K519">
        <v>10.973885648639106</v>
      </c>
      <c r="L519">
        <v>46249</v>
      </c>
      <c r="M519" t="s">
        <v>170</v>
      </c>
      <c r="N519">
        <v>1.9</v>
      </c>
      <c r="O519">
        <v>1.9</v>
      </c>
      <c r="P519">
        <v>11.25</v>
      </c>
      <c r="Q519">
        <v>0.17313830860226093</v>
      </c>
      <c r="R519">
        <v>0.17313830860226093</v>
      </c>
      <c r="S519">
        <v>1.025161037776545</v>
      </c>
      <c r="T519">
        <v>2.5161037776544992E-2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0.82686169139773913</v>
      </c>
      <c r="AD519">
        <v>0</v>
      </c>
      <c r="AE519">
        <v>0</v>
      </c>
      <c r="AF519">
        <v>0</v>
      </c>
      <c r="AG519">
        <v>0</v>
      </c>
      <c r="AH519">
        <v>0.17313830860226093</v>
      </c>
      <c r="AI519">
        <v>0</v>
      </c>
      <c r="AJ519">
        <v>0</v>
      </c>
      <c r="AK519">
        <v>0</v>
      </c>
      <c r="AL519">
        <v>0</v>
      </c>
      <c r="AM519">
        <v>0</v>
      </c>
      <c r="AN519">
        <v>5.7757292887574243</v>
      </c>
      <c r="AO519">
        <v>5.7757292887574243</v>
      </c>
      <c r="AP519">
        <v>5.9210526315789478</v>
      </c>
      <c r="BG519">
        <v>0</v>
      </c>
      <c r="BH519">
        <v>0</v>
      </c>
      <c r="BI519">
        <v>0</v>
      </c>
      <c r="BK519">
        <v>0.16888888888888889</v>
      </c>
      <c r="BL519">
        <v>0.16888888888888889</v>
      </c>
      <c r="BM519">
        <v>0.9754565021012539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2.4543497898746103E-2</v>
      </c>
      <c r="BY519">
        <v>0</v>
      </c>
      <c r="BZ519">
        <v>0</v>
      </c>
      <c r="CA519">
        <v>0</v>
      </c>
      <c r="CB519">
        <v>0.16888888888888889</v>
      </c>
      <c r="CC519">
        <v>0</v>
      </c>
      <c r="CD519">
        <v>0</v>
      </c>
      <c r="CE519">
        <v>0</v>
      </c>
      <c r="CF519">
        <v>0</v>
      </c>
      <c r="CG519">
        <v>0</v>
      </c>
    </row>
    <row r="520" spans="1:85" x14ac:dyDescent="0.25">
      <c r="A520" t="s">
        <v>128</v>
      </c>
      <c r="B520" t="s">
        <v>146</v>
      </c>
      <c r="C520" t="s">
        <v>72</v>
      </c>
      <c r="D520" s="12">
        <v>46249</v>
      </c>
      <c r="E520" t="s">
        <v>134</v>
      </c>
      <c r="F520" t="s">
        <v>134</v>
      </c>
      <c r="G520" t="s">
        <v>134</v>
      </c>
      <c r="H520" t="s">
        <v>74</v>
      </c>
      <c r="I520">
        <v>10</v>
      </c>
      <c r="J520">
        <v>1</v>
      </c>
      <c r="K520">
        <v>4.2207252494765797</v>
      </c>
      <c r="L520">
        <v>46249</v>
      </c>
      <c r="M520" t="s">
        <v>167</v>
      </c>
      <c r="N520">
        <v>0.95</v>
      </c>
      <c r="O520">
        <v>0.95</v>
      </c>
      <c r="P520">
        <v>4.6875</v>
      </c>
      <c r="Q520">
        <v>0.22507980118293919</v>
      </c>
      <c r="R520">
        <v>0.22507980118293919</v>
      </c>
      <c r="S520">
        <v>1.1105911242579236</v>
      </c>
      <c r="T520">
        <v>0.11059112425792361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0.77492019881706087</v>
      </c>
      <c r="AD520">
        <v>0</v>
      </c>
      <c r="AE520">
        <v>0</v>
      </c>
      <c r="AF520">
        <v>0</v>
      </c>
      <c r="AG520">
        <v>0</v>
      </c>
      <c r="AH520">
        <v>0.22507980118293919</v>
      </c>
      <c r="AI520">
        <v>0</v>
      </c>
      <c r="AJ520">
        <v>0</v>
      </c>
      <c r="AK520">
        <v>0</v>
      </c>
      <c r="AL520">
        <v>0</v>
      </c>
      <c r="AM520">
        <v>0</v>
      </c>
      <c r="AN520">
        <v>4.4428686836595581</v>
      </c>
      <c r="AO520">
        <v>4.4428686836595581</v>
      </c>
      <c r="AP520">
        <v>4.9342105263157894</v>
      </c>
      <c r="BG520">
        <v>0</v>
      </c>
      <c r="BH520">
        <v>0</v>
      </c>
      <c r="BI520">
        <v>0</v>
      </c>
      <c r="BK520">
        <v>0.20266666666666666</v>
      </c>
      <c r="BL520">
        <v>0.20266666666666666</v>
      </c>
      <c r="BM520">
        <v>0.9004213865550037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9.95786134449963E-2</v>
      </c>
      <c r="BY520">
        <v>0</v>
      </c>
      <c r="BZ520">
        <v>0</v>
      </c>
      <c r="CA520">
        <v>0</v>
      </c>
      <c r="CB520">
        <v>0.20266666666666666</v>
      </c>
      <c r="CC520">
        <v>0</v>
      </c>
      <c r="CD520">
        <v>0</v>
      </c>
      <c r="CE520">
        <v>0</v>
      </c>
      <c r="CF520">
        <v>0</v>
      </c>
      <c r="CG520">
        <v>0</v>
      </c>
    </row>
    <row r="521" spans="1:85" x14ac:dyDescent="0.25">
      <c r="A521" t="s">
        <v>128</v>
      </c>
      <c r="B521" t="s">
        <v>146</v>
      </c>
      <c r="C521" t="s">
        <v>72</v>
      </c>
      <c r="D521" s="12">
        <v>46249</v>
      </c>
      <c r="E521" t="s">
        <v>134</v>
      </c>
      <c r="F521" t="s">
        <v>134</v>
      </c>
      <c r="G521" t="s">
        <v>134</v>
      </c>
      <c r="H521" t="s">
        <v>73</v>
      </c>
      <c r="I521">
        <v>10</v>
      </c>
      <c r="J521">
        <v>1</v>
      </c>
      <c r="K521">
        <v>11.026644714257564</v>
      </c>
      <c r="L521">
        <v>46249</v>
      </c>
      <c r="M521" t="s">
        <v>158</v>
      </c>
      <c r="N521">
        <v>3.8</v>
      </c>
      <c r="O521">
        <v>3.8</v>
      </c>
      <c r="P521">
        <v>11.25</v>
      </c>
      <c r="Q521">
        <v>0.34461979128488296</v>
      </c>
      <c r="R521">
        <v>0.34461979128488296</v>
      </c>
      <c r="S521">
        <v>1.020255961040772</v>
      </c>
      <c r="T521">
        <v>2.0255961040771986E-2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0.65538020871511704</v>
      </c>
      <c r="AD521">
        <v>0</v>
      </c>
      <c r="AE521">
        <v>0</v>
      </c>
      <c r="AF521">
        <v>0</v>
      </c>
      <c r="AG521">
        <v>0</v>
      </c>
      <c r="AH521">
        <v>0.34461979128488296</v>
      </c>
      <c r="AI521">
        <v>0</v>
      </c>
      <c r="AJ521">
        <v>0</v>
      </c>
      <c r="AK521">
        <v>0</v>
      </c>
      <c r="AL521">
        <v>0</v>
      </c>
      <c r="AM521">
        <v>0</v>
      </c>
      <c r="AN521">
        <v>2.9017486090151485</v>
      </c>
      <c r="AO521">
        <v>2.9017486090151485</v>
      </c>
      <c r="AP521">
        <v>2.9605263157894739</v>
      </c>
      <c r="BG521">
        <v>0</v>
      </c>
      <c r="BH521">
        <v>0</v>
      </c>
      <c r="BI521">
        <v>0</v>
      </c>
      <c r="BK521">
        <v>0.33777777777777779</v>
      </c>
      <c r="BL521">
        <v>0.33777777777777779</v>
      </c>
      <c r="BM521">
        <v>0.98014619682289461</v>
      </c>
      <c r="BN521">
        <v>0</v>
      </c>
      <c r="BO521">
        <v>0</v>
      </c>
      <c r="BP521">
        <v>0</v>
      </c>
      <c r="BQ521">
        <v>0</v>
      </c>
      <c r="BR521">
        <v>0</v>
      </c>
      <c r="BS521">
        <v>0</v>
      </c>
      <c r="BT521">
        <v>0</v>
      </c>
      <c r="BU521">
        <v>0</v>
      </c>
      <c r="BV521">
        <v>0</v>
      </c>
      <c r="BW521">
        <v>0</v>
      </c>
      <c r="BX521">
        <v>1.9853803177105389E-2</v>
      </c>
      <c r="BY521">
        <v>0</v>
      </c>
      <c r="BZ521">
        <v>0</v>
      </c>
      <c r="CA521">
        <v>0</v>
      </c>
      <c r="CB521">
        <v>0.33777777777777779</v>
      </c>
      <c r="CC521">
        <v>0</v>
      </c>
      <c r="CD521">
        <v>0</v>
      </c>
      <c r="CE521">
        <v>0</v>
      </c>
      <c r="CF521">
        <v>0</v>
      </c>
      <c r="CG521">
        <v>0</v>
      </c>
    </row>
    <row r="522" spans="1:85" x14ac:dyDescent="0.25">
      <c r="A522" t="s">
        <v>128</v>
      </c>
      <c r="B522" t="s">
        <v>146</v>
      </c>
      <c r="C522" t="s">
        <v>72</v>
      </c>
      <c r="D522" s="12">
        <v>46248</v>
      </c>
      <c r="E522" t="s">
        <v>134</v>
      </c>
      <c r="F522" t="s">
        <v>134</v>
      </c>
      <c r="G522" t="s">
        <v>134</v>
      </c>
      <c r="H522" t="s">
        <v>75</v>
      </c>
      <c r="I522">
        <v>10</v>
      </c>
      <c r="J522">
        <v>1</v>
      </c>
      <c r="K522">
        <v>11.026644714257564</v>
      </c>
      <c r="L522">
        <v>46248</v>
      </c>
      <c r="M522" t="s">
        <v>159</v>
      </c>
      <c r="N522">
        <v>4.75</v>
      </c>
      <c r="O522">
        <v>4.75</v>
      </c>
      <c r="P522">
        <v>11.253676470588236</v>
      </c>
      <c r="Q522">
        <v>0.43077473910610375</v>
      </c>
      <c r="R522">
        <v>0.43077473910610375</v>
      </c>
      <c r="S522">
        <v>1.0205893780215043</v>
      </c>
      <c r="T522">
        <v>2.058937802150429E-2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0.56922526089389625</v>
      </c>
      <c r="AD522">
        <v>0</v>
      </c>
      <c r="AE522">
        <v>0</v>
      </c>
      <c r="AF522">
        <v>0</v>
      </c>
      <c r="AG522">
        <v>0</v>
      </c>
      <c r="AH522">
        <v>0.43077473910610375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2.3213988872121187</v>
      </c>
      <c r="AO522">
        <v>2.3213988872121187</v>
      </c>
      <c r="AP522">
        <v>2.3691950464396285</v>
      </c>
      <c r="BG522">
        <v>0</v>
      </c>
      <c r="BH522">
        <v>0</v>
      </c>
      <c r="BI522">
        <v>0</v>
      </c>
      <c r="BK522">
        <v>0.42208428618098659</v>
      </c>
      <c r="BL522">
        <v>0.42208428618098659</v>
      </c>
      <c r="BM522">
        <v>0.97982599225026379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0</v>
      </c>
      <c r="BV522">
        <v>0</v>
      </c>
      <c r="BW522">
        <v>0</v>
      </c>
      <c r="BX522">
        <v>2.0174007749736211E-2</v>
      </c>
      <c r="BY522">
        <v>0</v>
      </c>
      <c r="BZ522">
        <v>0</v>
      </c>
      <c r="CA522">
        <v>0</v>
      </c>
      <c r="CB522">
        <v>0.42208428618098659</v>
      </c>
      <c r="CC522">
        <v>0</v>
      </c>
      <c r="CD522">
        <v>0</v>
      </c>
      <c r="CE522">
        <v>0</v>
      </c>
      <c r="CF522">
        <v>0</v>
      </c>
      <c r="CG522">
        <v>0</v>
      </c>
    </row>
    <row r="523" spans="1:85" x14ac:dyDescent="0.25">
      <c r="A523" t="s">
        <v>128</v>
      </c>
      <c r="B523" t="s">
        <v>146</v>
      </c>
      <c r="C523" t="s">
        <v>72</v>
      </c>
      <c r="D523" s="12">
        <v>46248</v>
      </c>
      <c r="E523" t="s">
        <v>134</v>
      </c>
      <c r="F523" t="s">
        <v>134</v>
      </c>
      <c r="G523" t="s">
        <v>134</v>
      </c>
      <c r="H523" t="s">
        <v>74</v>
      </c>
      <c r="I523">
        <v>10</v>
      </c>
      <c r="J523">
        <v>1</v>
      </c>
      <c r="K523">
        <v>4.2207252494765797</v>
      </c>
      <c r="L523">
        <v>46248</v>
      </c>
      <c r="M523" t="s">
        <v>161</v>
      </c>
      <c r="N523">
        <v>0.95</v>
      </c>
      <c r="O523">
        <v>0.95</v>
      </c>
      <c r="P523">
        <v>3.75</v>
      </c>
      <c r="Q523">
        <v>0.22507980118293919</v>
      </c>
      <c r="R523">
        <v>0.22507980118293919</v>
      </c>
      <c r="S523">
        <v>0.88847289940633889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0.66339309822339976</v>
      </c>
      <c r="AD523">
        <v>0.11152710059366111</v>
      </c>
      <c r="AE523">
        <v>0</v>
      </c>
      <c r="AF523">
        <v>0</v>
      </c>
      <c r="AG523">
        <v>0</v>
      </c>
      <c r="AH523">
        <v>0.22507980118293919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4.4428686836595581</v>
      </c>
      <c r="AO523">
        <v>4.4428686836595581</v>
      </c>
      <c r="AP523">
        <v>3.9473684210526319</v>
      </c>
      <c r="BG523">
        <v>0</v>
      </c>
      <c r="BH523">
        <v>0</v>
      </c>
      <c r="BI523">
        <v>0</v>
      </c>
      <c r="BK523">
        <v>0.2533333333333333</v>
      </c>
      <c r="BL523">
        <v>0.2533333333333333</v>
      </c>
      <c r="BM523">
        <v>1.1255267331937546</v>
      </c>
      <c r="BN523">
        <v>0.12552673319375462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0</v>
      </c>
      <c r="BV523">
        <v>0</v>
      </c>
      <c r="BW523">
        <v>0.77492019881706087</v>
      </c>
      <c r="BX523">
        <v>0</v>
      </c>
      <c r="BY523">
        <v>0</v>
      </c>
      <c r="BZ523">
        <v>0</v>
      </c>
      <c r="CA523">
        <v>0</v>
      </c>
      <c r="CB523">
        <v>0.2533333333333333</v>
      </c>
      <c r="CC523">
        <v>0</v>
      </c>
      <c r="CD523">
        <v>0</v>
      </c>
      <c r="CE523">
        <v>0</v>
      </c>
      <c r="CF523">
        <v>0</v>
      </c>
      <c r="CG523">
        <v>0</v>
      </c>
    </row>
    <row r="524" spans="1:85" x14ac:dyDescent="0.25">
      <c r="A524" t="s">
        <v>128</v>
      </c>
      <c r="B524" t="s">
        <v>146</v>
      </c>
      <c r="C524" t="s">
        <v>72</v>
      </c>
      <c r="D524" s="12">
        <v>46248</v>
      </c>
      <c r="E524" t="s">
        <v>134</v>
      </c>
      <c r="F524" t="s">
        <v>134</v>
      </c>
      <c r="G524" t="s">
        <v>134</v>
      </c>
      <c r="H524" t="s">
        <v>73</v>
      </c>
      <c r="I524">
        <v>10</v>
      </c>
      <c r="J524">
        <v>1</v>
      </c>
      <c r="K524">
        <v>10.973885648639106</v>
      </c>
      <c r="L524">
        <v>46248</v>
      </c>
      <c r="M524" t="s">
        <v>162</v>
      </c>
      <c r="N524">
        <v>0</v>
      </c>
      <c r="O524">
        <v>0</v>
      </c>
      <c r="P524">
        <v>9.4338235294117645</v>
      </c>
      <c r="Q524">
        <v>0</v>
      </c>
      <c r="R524">
        <v>0</v>
      </c>
      <c r="S524">
        <v>0.85966118396556024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0.85966118396556024</v>
      </c>
      <c r="AD524">
        <v>0.14033881603443976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1</v>
      </c>
      <c r="BK524">
        <v>0</v>
      </c>
      <c r="BL524">
        <v>0</v>
      </c>
      <c r="BM524">
        <v>1.1632489853584711</v>
      </c>
      <c r="BN524">
        <v>0.1632489853584711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0</v>
      </c>
      <c r="CF524">
        <v>1</v>
      </c>
      <c r="CG524">
        <v>1</v>
      </c>
    </row>
    <row r="525" spans="1:85" x14ac:dyDescent="0.25">
      <c r="A525" t="s">
        <v>128</v>
      </c>
      <c r="B525" t="s">
        <v>146</v>
      </c>
      <c r="C525" t="s">
        <v>72</v>
      </c>
      <c r="D525" s="12">
        <v>46247</v>
      </c>
      <c r="E525" t="s">
        <v>134</v>
      </c>
      <c r="F525" t="s">
        <v>134</v>
      </c>
      <c r="G525" t="s">
        <v>134</v>
      </c>
      <c r="H525" t="s">
        <v>75</v>
      </c>
      <c r="I525">
        <v>10</v>
      </c>
      <c r="J525">
        <v>1</v>
      </c>
      <c r="K525">
        <v>10.973885648639106</v>
      </c>
      <c r="L525">
        <v>46247</v>
      </c>
      <c r="M525" t="s">
        <v>164</v>
      </c>
      <c r="N525">
        <v>5.6999999999999993</v>
      </c>
      <c r="O525">
        <v>5.6999999999999993</v>
      </c>
      <c r="P525">
        <v>11.25</v>
      </c>
      <c r="Q525">
        <v>0.51941492580678272</v>
      </c>
      <c r="R525">
        <v>0.51941492580678272</v>
      </c>
      <c r="S525">
        <v>1.025161037776545</v>
      </c>
      <c r="T525">
        <v>2.5161037776544992E-2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0.48058507419321728</v>
      </c>
      <c r="AD525">
        <v>0</v>
      </c>
      <c r="AE525">
        <v>0</v>
      </c>
      <c r="AF525">
        <v>0</v>
      </c>
      <c r="AG525">
        <v>0</v>
      </c>
      <c r="AH525">
        <v>0.51941492580678272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1.9252430962524749</v>
      </c>
      <c r="AO525">
        <v>1.9252430962524749</v>
      </c>
      <c r="AP525">
        <v>1.9736842105263159</v>
      </c>
      <c r="BG525">
        <v>0</v>
      </c>
      <c r="BH525">
        <v>0</v>
      </c>
      <c r="BI525">
        <v>0</v>
      </c>
      <c r="BK525">
        <v>0.5066666666666666</v>
      </c>
      <c r="BL525">
        <v>0.5066666666666666</v>
      </c>
      <c r="BM525">
        <v>0.9754565021012539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2.4543497898746103E-2</v>
      </c>
      <c r="BY525">
        <v>0</v>
      </c>
      <c r="BZ525">
        <v>0</v>
      </c>
      <c r="CA525">
        <v>0</v>
      </c>
      <c r="CB525">
        <v>0.5066666666666666</v>
      </c>
      <c r="CC525">
        <v>0</v>
      </c>
      <c r="CD525">
        <v>0</v>
      </c>
      <c r="CE525">
        <v>0</v>
      </c>
      <c r="CF525">
        <v>0</v>
      </c>
      <c r="CG525">
        <v>0</v>
      </c>
    </row>
    <row r="526" spans="1:85" x14ac:dyDescent="0.25">
      <c r="A526" t="s">
        <v>128</v>
      </c>
      <c r="B526" t="s">
        <v>146</v>
      </c>
      <c r="C526" t="s">
        <v>72</v>
      </c>
      <c r="D526" s="12">
        <v>46247</v>
      </c>
      <c r="E526" t="s">
        <v>134</v>
      </c>
      <c r="F526" t="s">
        <v>134</v>
      </c>
      <c r="G526" t="s">
        <v>134</v>
      </c>
      <c r="H526" t="s">
        <v>74</v>
      </c>
      <c r="I526">
        <v>10</v>
      </c>
      <c r="J526">
        <v>1</v>
      </c>
      <c r="K526">
        <v>4.2207252494765797</v>
      </c>
      <c r="L526">
        <v>46247</v>
      </c>
      <c r="M526" t="s">
        <v>165</v>
      </c>
      <c r="N526">
        <v>0</v>
      </c>
      <c r="O526">
        <v>0</v>
      </c>
      <c r="P526">
        <v>4.6875</v>
      </c>
      <c r="Q526">
        <v>0</v>
      </c>
      <c r="R526">
        <v>0</v>
      </c>
      <c r="S526">
        <v>1.1105911242579236</v>
      </c>
      <c r="T526">
        <v>0.11059112425792361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1</v>
      </c>
      <c r="AM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1</v>
      </c>
      <c r="BJ526">
        <v>1</v>
      </c>
      <c r="BK526">
        <v>0</v>
      </c>
      <c r="BL526">
        <v>0</v>
      </c>
      <c r="BM526">
        <v>0.9004213865550037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0</v>
      </c>
      <c r="BU526">
        <v>0</v>
      </c>
      <c r="BV526">
        <v>0</v>
      </c>
      <c r="BW526">
        <v>0</v>
      </c>
      <c r="BX526">
        <v>9.95786134449963E-2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0</v>
      </c>
      <c r="CF526">
        <v>0.9004213865550037</v>
      </c>
      <c r="CG526">
        <v>0</v>
      </c>
    </row>
    <row r="527" spans="1:85" x14ac:dyDescent="0.25">
      <c r="A527" t="s">
        <v>128</v>
      </c>
      <c r="B527" t="s">
        <v>146</v>
      </c>
      <c r="C527" t="s">
        <v>72</v>
      </c>
      <c r="D527" s="12">
        <v>46247</v>
      </c>
      <c r="E527" t="s">
        <v>134</v>
      </c>
      <c r="F527" t="s">
        <v>134</v>
      </c>
      <c r="G527" t="s">
        <v>134</v>
      </c>
      <c r="H527" t="s">
        <v>73</v>
      </c>
      <c r="I527">
        <v>10</v>
      </c>
      <c r="J527">
        <v>1</v>
      </c>
      <c r="K527">
        <v>10.89474705021142</v>
      </c>
      <c r="L527">
        <v>46247</v>
      </c>
      <c r="M527" t="s">
        <v>177</v>
      </c>
      <c r="N527">
        <v>0</v>
      </c>
      <c r="O527">
        <v>0</v>
      </c>
      <c r="P527">
        <v>11.15625</v>
      </c>
      <c r="Q527">
        <v>0</v>
      </c>
      <c r="R527">
        <v>0</v>
      </c>
      <c r="S527">
        <v>1.0240026637225603</v>
      </c>
      <c r="T527">
        <v>2.4002663722560325E-2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1</v>
      </c>
      <c r="AM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1</v>
      </c>
      <c r="BJ527">
        <v>1</v>
      </c>
      <c r="BK527">
        <v>0</v>
      </c>
      <c r="BL527">
        <v>0</v>
      </c>
      <c r="BM527">
        <v>0.97655995968281628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2.3440040317183719E-2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0.97655995968281628</v>
      </c>
      <c r="CG527">
        <v>0</v>
      </c>
    </row>
    <row r="528" spans="1:85" x14ac:dyDescent="0.25">
      <c r="A528" t="s">
        <v>128</v>
      </c>
      <c r="B528" t="s">
        <v>146</v>
      </c>
      <c r="C528" t="s">
        <v>72</v>
      </c>
      <c r="D528" s="12">
        <v>46246</v>
      </c>
      <c r="E528" t="s">
        <v>134</v>
      </c>
      <c r="F528" t="s">
        <v>134</v>
      </c>
      <c r="G528" t="s">
        <v>134</v>
      </c>
      <c r="H528" t="s">
        <v>75</v>
      </c>
      <c r="I528">
        <v>10</v>
      </c>
      <c r="J528">
        <v>1</v>
      </c>
      <c r="K528">
        <v>10.815608451783737</v>
      </c>
      <c r="L528">
        <v>46246</v>
      </c>
      <c r="M528" t="s">
        <v>204</v>
      </c>
      <c r="N528">
        <v>1.9</v>
      </c>
      <c r="O528">
        <v>1.9</v>
      </c>
      <c r="P528">
        <v>11.355238970588234</v>
      </c>
      <c r="Q528">
        <v>0.17567203994765984</v>
      </c>
      <c r="R528">
        <v>0.17567203994765984</v>
      </c>
      <c r="S528">
        <v>1.0498936810823158</v>
      </c>
      <c r="T528">
        <v>4.9893681082315844E-2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0.8243279600523401</v>
      </c>
      <c r="AD528">
        <v>0</v>
      </c>
      <c r="AE528">
        <v>0</v>
      </c>
      <c r="AF528">
        <v>0</v>
      </c>
      <c r="AG528">
        <v>0</v>
      </c>
      <c r="AH528">
        <v>0.17567203994765984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5.6924255009388087</v>
      </c>
      <c r="AO528">
        <v>5.6924255009388087</v>
      </c>
      <c r="AP528">
        <v>5.9764415634674917</v>
      </c>
      <c r="BG528">
        <v>0</v>
      </c>
      <c r="BH528">
        <v>0</v>
      </c>
      <c r="BI528">
        <v>0</v>
      </c>
      <c r="BK528">
        <v>0.16732364725403701</v>
      </c>
      <c r="BL528">
        <v>0.16732364725403701</v>
      </c>
      <c r="BM528">
        <v>0.95247739653897023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4.7522603461029767E-2</v>
      </c>
      <c r="BY528">
        <v>0</v>
      </c>
      <c r="BZ528">
        <v>0</v>
      </c>
      <c r="CA528">
        <v>0</v>
      </c>
      <c r="CB528">
        <v>0.16732364725403701</v>
      </c>
      <c r="CC528">
        <v>0</v>
      </c>
      <c r="CD528">
        <v>0</v>
      </c>
      <c r="CE528">
        <v>0</v>
      </c>
      <c r="CF528">
        <v>0</v>
      </c>
      <c r="CG528">
        <v>0</v>
      </c>
    </row>
    <row r="529" spans="1:85" x14ac:dyDescent="0.25">
      <c r="A529" t="s">
        <v>128</v>
      </c>
      <c r="B529" t="s">
        <v>146</v>
      </c>
      <c r="C529" t="s">
        <v>72</v>
      </c>
      <c r="D529" s="12">
        <v>46246</v>
      </c>
      <c r="E529" t="s">
        <v>134</v>
      </c>
      <c r="F529" t="s">
        <v>134</v>
      </c>
      <c r="G529" t="s">
        <v>134</v>
      </c>
      <c r="H529" t="s">
        <v>74</v>
      </c>
      <c r="I529">
        <v>10</v>
      </c>
      <c r="J529">
        <v>1</v>
      </c>
      <c r="K529">
        <v>4.2207252494765797</v>
      </c>
      <c r="L529">
        <v>46246</v>
      </c>
      <c r="M529" t="s">
        <v>196</v>
      </c>
      <c r="N529">
        <v>1.9</v>
      </c>
      <c r="O529">
        <v>1.9</v>
      </c>
      <c r="P529">
        <v>4.6875</v>
      </c>
      <c r="Q529">
        <v>0.45015960236587838</v>
      </c>
      <c r="R529">
        <v>0.45015960236587838</v>
      </c>
      <c r="S529">
        <v>1.1105911242579236</v>
      </c>
      <c r="T529">
        <v>0.11059112425792361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0.54984039763412162</v>
      </c>
      <c r="AD529">
        <v>0</v>
      </c>
      <c r="AE529">
        <v>0</v>
      </c>
      <c r="AF529">
        <v>0</v>
      </c>
      <c r="AG529">
        <v>0</v>
      </c>
      <c r="AH529">
        <v>0.45015960236587838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2.2214343418297791</v>
      </c>
      <c r="AO529">
        <v>2.2214343418297791</v>
      </c>
      <c r="AP529">
        <v>2.4671052631578947</v>
      </c>
      <c r="BG529">
        <v>0</v>
      </c>
      <c r="BH529">
        <v>0</v>
      </c>
      <c r="BI529">
        <v>0</v>
      </c>
      <c r="BK529">
        <v>0.40533333333333332</v>
      </c>
      <c r="BL529">
        <v>0.40533333333333332</v>
      </c>
      <c r="BM529">
        <v>0.9004213865550037</v>
      </c>
      <c r="BN529">
        <v>0</v>
      </c>
      <c r="BO529">
        <v>0</v>
      </c>
      <c r="BP529">
        <v>0</v>
      </c>
      <c r="BQ529">
        <v>0</v>
      </c>
      <c r="BR529">
        <v>0</v>
      </c>
      <c r="BS529">
        <v>0</v>
      </c>
      <c r="BT529">
        <v>0</v>
      </c>
      <c r="BU529">
        <v>0</v>
      </c>
      <c r="BV529">
        <v>0</v>
      </c>
      <c r="BW529">
        <v>0</v>
      </c>
      <c r="BX529">
        <v>9.95786134449963E-2</v>
      </c>
      <c r="BY529">
        <v>0</v>
      </c>
      <c r="BZ529">
        <v>0</v>
      </c>
      <c r="CA529">
        <v>0</v>
      </c>
      <c r="CB529">
        <v>0.40533333333333332</v>
      </c>
      <c r="CC529">
        <v>0</v>
      </c>
      <c r="CD529">
        <v>0</v>
      </c>
      <c r="CE529">
        <v>0</v>
      </c>
      <c r="CF529">
        <v>0</v>
      </c>
      <c r="CG529">
        <v>0</v>
      </c>
    </row>
    <row r="530" spans="1:85" x14ac:dyDescent="0.25">
      <c r="A530" t="s">
        <v>128</v>
      </c>
      <c r="B530" t="s">
        <v>146</v>
      </c>
      <c r="C530" t="s">
        <v>72</v>
      </c>
      <c r="D530" s="12">
        <v>46246</v>
      </c>
      <c r="E530" t="s">
        <v>134</v>
      </c>
      <c r="F530" t="s">
        <v>134</v>
      </c>
      <c r="G530" t="s">
        <v>134</v>
      </c>
      <c r="H530" t="s">
        <v>73</v>
      </c>
      <c r="I530">
        <v>10</v>
      </c>
      <c r="J530">
        <v>1</v>
      </c>
      <c r="K530">
        <v>12.583037150002053</v>
      </c>
      <c r="L530">
        <v>46246</v>
      </c>
      <c r="M530" t="s">
        <v>197</v>
      </c>
      <c r="N530">
        <v>1.9</v>
      </c>
      <c r="O530">
        <v>1.9</v>
      </c>
      <c r="P530">
        <v>11.801011029411764</v>
      </c>
      <c r="Q530">
        <v>0.15099693161119609</v>
      </c>
      <c r="R530">
        <v>0.15099693161119609</v>
      </c>
      <c r="S530">
        <v>0.93785076597424166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0.78685383436304557</v>
      </c>
      <c r="AD530">
        <v>6.2149234025758338E-2</v>
      </c>
      <c r="AE530">
        <v>0</v>
      </c>
      <c r="AF530">
        <v>0</v>
      </c>
      <c r="AG530">
        <v>0</v>
      </c>
      <c r="AH530">
        <v>0.15099693161119609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6.622651131580028</v>
      </c>
      <c r="AO530">
        <v>6.622651131580028</v>
      </c>
      <c r="AP530">
        <v>6.2110584365325083</v>
      </c>
      <c r="BG530">
        <v>0</v>
      </c>
      <c r="BH530">
        <v>0</v>
      </c>
      <c r="BI530">
        <v>0</v>
      </c>
      <c r="BK530">
        <v>0.16100315432843956</v>
      </c>
      <c r="BL530">
        <v>0.16100315432843956</v>
      </c>
      <c r="BM530">
        <v>1.0662677222011943</v>
      </c>
      <c r="BN530">
        <v>6.6267722201194257E-2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0.84900306838880391</v>
      </c>
      <c r="BX530">
        <v>0</v>
      </c>
      <c r="BY530">
        <v>0</v>
      </c>
      <c r="BZ530">
        <v>0</v>
      </c>
      <c r="CA530">
        <v>0</v>
      </c>
      <c r="CB530">
        <v>0.16100315432843956</v>
      </c>
      <c r="CC530">
        <v>0</v>
      </c>
      <c r="CD530">
        <v>0</v>
      </c>
      <c r="CE530">
        <v>0</v>
      </c>
      <c r="CF530">
        <v>0</v>
      </c>
      <c r="CG530">
        <v>0</v>
      </c>
    </row>
    <row r="531" spans="1:85" x14ac:dyDescent="0.25">
      <c r="A531" t="s">
        <v>128</v>
      </c>
      <c r="B531" t="s">
        <v>146</v>
      </c>
      <c r="C531" t="s">
        <v>72</v>
      </c>
      <c r="D531" s="12">
        <v>46245</v>
      </c>
      <c r="E531" t="s">
        <v>134</v>
      </c>
      <c r="F531" t="s">
        <v>134</v>
      </c>
      <c r="G531" t="s">
        <v>134</v>
      </c>
      <c r="H531" t="s">
        <v>75</v>
      </c>
      <c r="I531">
        <v>10</v>
      </c>
      <c r="J531">
        <v>1</v>
      </c>
      <c r="K531">
        <v>10.973885648639106</v>
      </c>
      <c r="L531">
        <v>46245</v>
      </c>
      <c r="M531" t="s">
        <v>198</v>
      </c>
      <c r="N531">
        <v>0.95</v>
      </c>
      <c r="O531">
        <v>0.95</v>
      </c>
      <c r="P531">
        <v>11.6015625</v>
      </c>
      <c r="Q531">
        <v>8.6569154301130463E-2</v>
      </c>
      <c r="R531">
        <v>8.6569154301130463E-2</v>
      </c>
      <c r="S531">
        <v>1.0571973202070621</v>
      </c>
      <c r="T531">
        <v>5.7197320207062141E-2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0.91343084569886956</v>
      </c>
      <c r="AD531">
        <v>0</v>
      </c>
      <c r="AE531">
        <v>0</v>
      </c>
      <c r="AF531">
        <v>0</v>
      </c>
      <c r="AG531">
        <v>0</v>
      </c>
      <c r="AH531">
        <v>8.6569154301130463E-2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11.551458577514849</v>
      </c>
      <c r="AO531">
        <v>11.551458577514849</v>
      </c>
      <c r="AP531">
        <v>12.212171052631579</v>
      </c>
      <c r="BG531">
        <v>0</v>
      </c>
      <c r="BH531">
        <v>0</v>
      </c>
      <c r="BI531">
        <v>0</v>
      </c>
      <c r="BK531">
        <v>8.1885521885521881E-2</v>
      </c>
      <c r="BL531">
        <v>8.1885521885521881E-2</v>
      </c>
      <c r="BM531">
        <v>0.94589721415879169</v>
      </c>
      <c r="BN531">
        <v>0</v>
      </c>
      <c r="BO531">
        <v>0</v>
      </c>
      <c r="BP531">
        <v>0</v>
      </c>
      <c r="BQ531">
        <v>0</v>
      </c>
      <c r="BR531">
        <v>0</v>
      </c>
      <c r="BS531">
        <v>0</v>
      </c>
      <c r="BT531">
        <v>0</v>
      </c>
      <c r="BU531">
        <v>0</v>
      </c>
      <c r="BV531">
        <v>0</v>
      </c>
      <c r="BW531">
        <v>0</v>
      </c>
      <c r="BX531">
        <v>5.4102785841208312E-2</v>
      </c>
      <c r="BY531">
        <v>0</v>
      </c>
      <c r="BZ531">
        <v>0</v>
      </c>
      <c r="CA531">
        <v>0</v>
      </c>
      <c r="CB531">
        <v>8.1885521885521881E-2</v>
      </c>
      <c r="CC531">
        <v>0</v>
      </c>
      <c r="CD531">
        <v>0</v>
      </c>
      <c r="CE531">
        <v>0</v>
      </c>
      <c r="CF531">
        <v>0</v>
      </c>
      <c r="CG531">
        <v>0</v>
      </c>
    </row>
    <row r="532" spans="1:85" x14ac:dyDescent="0.25">
      <c r="A532" t="s">
        <v>128</v>
      </c>
      <c r="B532" t="s">
        <v>146</v>
      </c>
      <c r="C532" t="s">
        <v>72</v>
      </c>
      <c r="D532" s="12">
        <v>46245</v>
      </c>
      <c r="E532" t="s">
        <v>134</v>
      </c>
      <c r="F532" t="s">
        <v>134</v>
      </c>
      <c r="G532" t="s">
        <v>134</v>
      </c>
      <c r="H532" t="s">
        <v>74</v>
      </c>
      <c r="I532">
        <v>10</v>
      </c>
      <c r="J532">
        <v>1</v>
      </c>
      <c r="K532">
        <v>4.2207252494765797</v>
      </c>
      <c r="L532">
        <v>46245</v>
      </c>
      <c r="M532" t="s">
        <v>199</v>
      </c>
      <c r="N532">
        <v>0</v>
      </c>
      <c r="O532">
        <v>0</v>
      </c>
      <c r="P532">
        <v>4.6875</v>
      </c>
      <c r="Q532">
        <v>0</v>
      </c>
      <c r="R532">
        <v>0</v>
      </c>
      <c r="S532">
        <v>1.1105911242579236</v>
      </c>
      <c r="T532">
        <v>0.11059112425792361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1</v>
      </c>
      <c r="BJ532">
        <v>1</v>
      </c>
      <c r="BK532">
        <v>0</v>
      </c>
      <c r="BL532">
        <v>0</v>
      </c>
      <c r="BM532">
        <v>0.9004213865550037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0</v>
      </c>
      <c r="BU532">
        <v>0</v>
      </c>
      <c r="BV532">
        <v>0</v>
      </c>
      <c r="BW532">
        <v>0</v>
      </c>
      <c r="BX532">
        <v>9.95786134449963E-2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0</v>
      </c>
      <c r="CF532">
        <v>0.9004213865550037</v>
      </c>
      <c r="CG532">
        <v>0</v>
      </c>
    </row>
    <row r="533" spans="1:85" x14ac:dyDescent="0.25">
      <c r="A533" t="s">
        <v>128</v>
      </c>
      <c r="B533" t="s">
        <v>146</v>
      </c>
      <c r="C533" t="s">
        <v>72</v>
      </c>
      <c r="D533" s="12">
        <v>46245</v>
      </c>
      <c r="E533" t="s">
        <v>134</v>
      </c>
      <c r="F533" t="s">
        <v>134</v>
      </c>
      <c r="G533" t="s">
        <v>134</v>
      </c>
      <c r="H533" t="s">
        <v>73</v>
      </c>
      <c r="I533">
        <v>10</v>
      </c>
      <c r="J533">
        <v>1</v>
      </c>
      <c r="K533">
        <v>11.738892100106735</v>
      </c>
      <c r="L533">
        <v>46245</v>
      </c>
      <c r="M533" t="s">
        <v>200</v>
      </c>
      <c r="N533">
        <v>3.8</v>
      </c>
      <c r="O533">
        <v>3.8</v>
      </c>
      <c r="P533">
        <v>11.7421875</v>
      </c>
      <c r="Q533">
        <v>0.32371027585860923</v>
      </c>
      <c r="R533">
        <v>0.32371027585860923</v>
      </c>
      <c r="S533">
        <v>1.0002807249496086</v>
      </c>
      <c r="T533">
        <v>2.8072494960862393E-4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0.67628972414139077</v>
      </c>
      <c r="AD533">
        <v>0</v>
      </c>
      <c r="AE533">
        <v>0</v>
      </c>
      <c r="AF533">
        <v>0</v>
      </c>
      <c r="AG533">
        <v>0</v>
      </c>
      <c r="AH533">
        <v>0.32371027585860923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3.0891821316070356</v>
      </c>
      <c r="AO533">
        <v>3.0891821316070356</v>
      </c>
      <c r="AP533">
        <v>3.0900493421052633</v>
      </c>
      <c r="BG533">
        <v>0</v>
      </c>
      <c r="BH533">
        <v>0</v>
      </c>
      <c r="BI533">
        <v>0</v>
      </c>
      <c r="BK533">
        <v>0.32361942781104458</v>
      </c>
      <c r="BL533">
        <v>0.32361942781104458</v>
      </c>
      <c r="BM533">
        <v>0.99971935383477184</v>
      </c>
      <c r="BN533">
        <v>0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0</v>
      </c>
      <c r="BV533">
        <v>0</v>
      </c>
      <c r="BW533">
        <v>0</v>
      </c>
      <c r="BX533">
        <v>2.8064616522815999E-4</v>
      </c>
      <c r="BY533">
        <v>0</v>
      </c>
      <c r="BZ533">
        <v>0</v>
      </c>
      <c r="CA533">
        <v>0</v>
      </c>
      <c r="CB533">
        <v>0.32361942781104458</v>
      </c>
      <c r="CC533">
        <v>0</v>
      </c>
      <c r="CD533">
        <v>0</v>
      </c>
      <c r="CE533">
        <v>0</v>
      </c>
      <c r="CF533">
        <v>0</v>
      </c>
      <c r="CG533">
        <v>0</v>
      </c>
    </row>
    <row r="534" spans="1:85" x14ac:dyDescent="0.25">
      <c r="A534" t="s">
        <v>128</v>
      </c>
      <c r="B534" t="s">
        <v>146</v>
      </c>
      <c r="C534" t="s">
        <v>72</v>
      </c>
      <c r="D534" s="12">
        <v>46244</v>
      </c>
      <c r="E534" t="s">
        <v>134</v>
      </c>
      <c r="F534" t="s">
        <v>134</v>
      </c>
      <c r="G534" t="s">
        <v>134</v>
      </c>
      <c r="H534" t="s">
        <v>75</v>
      </c>
      <c r="I534">
        <v>10</v>
      </c>
      <c r="J534">
        <v>1</v>
      </c>
      <c r="K534">
        <v>10.973885648639106</v>
      </c>
      <c r="L534">
        <v>46244</v>
      </c>
      <c r="M534" t="s">
        <v>201</v>
      </c>
      <c r="N534">
        <v>0</v>
      </c>
      <c r="O534">
        <v>0</v>
      </c>
      <c r="P534">
        <v>11.660386029411764</v>
      </c>
      <c r="Q534">
        <v>0</v>
      </c>
      <c r="R534">
        <v>0</v>
      </c>
      <c r="S534">
        <v>1.0625576393588347</v>
      </c>
      <c r="T534">
        <v>6.2557639358834738E-2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1</v>
      </c>
      <c r="AM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1</v>
      </c>
      <c r="BJ534">
        <v>1</v>
      </c>
      <c r="BK534">
        <v>0</v>
      </c>
      <c r="BL534">
        <v>0</v>
      </c>
      <c r="BM534">
        <v>0.94112541565596086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0</v>
      </c>
      <c r="BU534">
        <v>0</v>
      </c>
      <c r="BV534">
        <v>0</v>
      </c>
      <c r="BW534">
        <v>0</v>
      </c>
      <c r="BX534">
        <v>5.8874584344039138E-2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0</v>
      </c>
      <c r="CF534">
        <v>0.94112541565596086</v>
      </c>
      <c r="CG534">
        <v>0</v>
      </c>
    </row>
    <row r="535" spans="1:85" x14ac:dyDescent="0.25">
      <c r="A535" t="s">
        <v>128</v>
      </c>
      <c r="B535" t="s">
        <v>146</v>
      </c>
      <c r="C535" t="s">
        <v>72</v>
      </c>
      <c r="D535" s="12">
        <v>46244</v>
      </c>
      <c r="E535" t="s">
        <v>134</v>
      </c>
      <c r="F535" t="s">
        <v>134</v>
      </c>
      <c r="G535" t="s">
        <v>134</v>
      </c>
      <c r="H535" t="s">
        <v>74</v>
      </c>
      <c r="I535">
        <v>10</v>
      </c>
      <c r="J535">
        <v>1</v>
      </c>
      <c r="K535">
        <v>4.2207252494765797</v>
      </c>
      <c r="L535">
        <v>46244</v>
      </c>
      <c r="M535" t="s">
        <v>202</v>
      </c>
      <c r="N535">
        <v>0.95</v>
      </c>
      <c r="O535">
        <v>0.95</v>
      </c>
      <c r="P535">
        <v>4.6875</v>
      </c>
      <c r="Q535">
        <v>0.22507980118293919</v>
      </c>
      <c r="R535">
        <v>0.22507980118293919</v>
      </c>
      <c r="S535">
        <v>1.1105911242579236</v>
      </c>
      <c r="T535">
        <v>0.11059112425792361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0.77492019881706087</v>
      </c>
      <c r="AD535">
        <v>0</v>
      </c>
      <c r="AE535">
        <v>0</v>
      </c>
      <c r="AF535">
        <v>0</v>
      </c>
      <c r="AG535">
        <v>0</v>
      </c>
      <c r="AH535">
        <v>0.22507980118293919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4.4428686836595581</v>
      </c>
      <c r="AO535">
        <v>4.4428686836595581</v>
      </c>
      <c r="AP535">
        <v>4.9342105263157894</v>
      </c>
      <c r="BG535">
        <v>0</v>
      </c>
      <c r="BH535">
        <v>0</v>
      </c>
      <c r="BI535">
        <v>0</v>
      </c>
      <c r="BK535">
        <v>0.20266666666666666</v>
      </c>
      <c r="BL535">
        <v>0.20266666666666666</v>
      </c>
      <c r="BM535">
        <v>0.9004213865550037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9.95786134449963E-2</v>
      </c>
      <c r="BY535">
        <v>0</v>
      </c>
      <c r="BZ535">
        <v>0</v>
      </c>
      <c r="CA535">
        <v>0</v>
      </c>
      <c r="CB535">
        <v>0.20266666666666666</v>
      </c>
      <c r="CC535">
        <v>0</v>
      </c>
      <c r="CD535">
        <v>0</v>
      </c>
      <c r="CE535">
        <v>0</v>
      </c>
      <c r="CF535">
        <v>0</v>
      </c>
      <c r="CG535">
        <v>0</v>
      </c>
    </row>
    <row r="536" spans="1:85" x14ac:dyDescent="0.25">
      <c r="A536" t="s">
        <v>128</v>
      </c>
      <c r="B536" t="s">
        <v>146</v>
      </c>
      <c r="C536" t="s">
        <v>72</v>
      </c>
      <c r="D536" s="12">
        <v>46225</v>
      </c>
      <c r="E536" t="s">
        <v>136</v>
      </c>
      <c r="F536" t="s">
        <v>136</v>
      </c>
      <c r="G536" t="s">
        <v>136</v>
      </c>
      <c r="H536" t="s">
        <v>74</v>
      </c>
      <c r="I536">
        <v>10</v>
      </c>
      <c r="J536">
        <v>1</v>
      </c>
      <c r="K536">
        <v>0</v>
      </c>
      <c r="L536">
        <v>46225</v>
      </c>
      <c r="M536" t="s">
        <v>163</v>
      </c>
      <c r="N536">
        <v>0</v>
      </c>
      <c r="O536">
        <v>0</v>
      </c>
      <c r="P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M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1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G536">
        <v>0</v>
      </c>
    </row>
    <row r="537" spans="1:85" x14ac:dyDescent="0.25">
      <c r="A537" t="s">
        <v>128</v>
      </c>
      <c r="B537" t="s">
        <v>146</v>
      </c>
      <c r="C537" t="s">
        <v>72</v>
      </c>
      <c r="D537" s="12">
        <v>46225</v>
      </c>
      <c r="E537" t="s">
        <v>136</v>
      </c>
      <c r="F537" t="s">
        <v>136</v>
      </c>
      <c r="G537" t="s">
        <v>136</v>
      </c>
      <c r="H537" t="s">
        <v>75</v>
      </c>
      <c r="I537">
        <v>10</v>
      </c>
      <c r="J537">
        <v>1</v>
      </c>
      <c r="K537">
        <v>3.1779578349000128</v>
      </c>
      <c r="L537">
        <v>46225</v>
      </c>
      <c r="M537" t="s">
        <v>215</v>
      </c>
      <c r="N537">
        <v>2.8499999999999996</v>
      </c>
      <c r="O537">
        <v>2.8499999999999996</v>
      </c>
      <c r="P537">
        <v>4.6332179930795849</v>
      </c>
      <c r="Q537">
        <v>0.89680233283827326</v>
      </c>
      <c r="R537">
        <v>0.89680233283827326</v>
      </c>
      <c r="S537">
        <v>1.4579230542954509</v>
      </c>
      <c r="T537">
        <v>0.45792305429545088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0.10319766716172674</v>
      </c>
      <c r="AD537">
        <v>0</v>
      </c>
      <c r="AE537">
        <v>0</v>
      </c>
      <c r="AF537">
        <v>0</v>
      </c>
      <c r="AG537">
        <v>0</v>
      </c>
      <c r="AH537">
        <v>0.89680233283827326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1.1150729245263205</v>
      </c>
      <c r="AO537">
        <v>1.1150729245263205</v>
      </c>
      <c r="AP537">
        <v>1.6256905238875738</v>
      </c>
      <c r="AQ537">
        <v>0.51061759936125339</v>
      </c>
      <c r="AR537">
        <v>0</v>
      </c>
      <c r="AS537">
        <v>0</v>
      </c>
      <c r="AT537">
        <v>0</v>
      </c>
      <c r="AU537">
        <v>0</v>
      </c>
      <c r="AV537">
        <v>0.38492707547367955</v>
      </c>
      <c r="AW537">
        <v>0.11507292452632045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0.61512322628827476</v>
      </c>
      <c r="BL537">
        <v>0.61512322628827476</v>
      </c>
      <c r="BM537">
        <v>0.68590725488133208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0.31409274511866792</v>
      </c>
      <c r="BY537">
        <v>0</v>
      </c>
      <c r="BZ537">
        <v>0</v>
      </c>
      <c r="CA537">
        <v>0</v>
      </c>
      <c r="CB537">
        <v>0.61512322628827476</v>
      </c>
      <c r="CC537">
        <v>0</v>
      </c>
      <c r="CD537">
        <v>0</v>
      </c>
      <c r="CE537">
        <v>0</v>
      </c>
      <c r="CF537">
        <v>0</v>
      </c>
      <c r="CG537">
        <v>0</v>
      </c>
    </row>
    <row r="538" spans="1:85" x14ac:dyDescent="0.25">
      <c r="A538" t="s">
        <v>128</v>
      </c>
      <c r="B538" t="s">
        <v>146</v>
      </c>
      <c r="C538" t="s">
        <v>72</v>
      </c>
      <c r="D538" s="12">
        <v>46226</v>
      </c>
      <c r="E538" t="s">
        <v>136</v>
      </c>
      <c r="F538" t="s">
        <v>136</v>
      </c>
      <c r="G538" t="s">
        <v>136</v>
      </c>
      <c r="H538" t="s">
        <v>73</v>
      </c>
      <c r="I538">
        <v>10</v>
      </c>
      <c r="J538">
        <v>1</v>
      </c>
      <c r="K538">
        <v>3.5876164620550925</v>
      </c>
      <c r="L538">
        <v>46226</v>
      </c>
      <c r="M538" t="s">
        <v>232</v>
      </c>
      <c r="N538">
        <v>3.8</v>
      </c>
      <c r="O538">
        <v>3.8</v>
      </c>
      <c r="P538">
        <v>4.7022058823529411</v>
      </c>
      <c r="Q538">
        <v>1.0591990643903022</v>
      </c>
      <c r="R538">
        <v>1.0591990643903022</v>
      </c>
      <c r="S538">
        <v>1.310676860831266</v>
      </c>
      <c r="T538">
        <v>0.2514777964409638</v>
      </c>
      <c r="U538">
        <v>0</v>
      </c>
      <c r="V538">
        <v>0</v>
      </c>
      <c r="W538">
        <v>0</v>
      </c>
      <c r="X538">
        <v>0</v>
      </c>
      <c r="Y538">
        <v>0.1908009356096978</v>
      </c>
      <c r="Z538">
        <v>5.9199064390302203E-2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1</v>
      </c>
      <c r="AN538">
        <v>0.94410959527765603</v>
      </c>
      <c r="AO538">
        <v>0.94410959527765603</v>
      </c>
      <c r="AP538">
        <v>1.2374226006191951</v>
      </c>
      <c r="AQ538">
        <v>0.23742260061919507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0.94410959527765603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0.80813135261923374</v>
      </c>
      <c r="BL538">
        <v>0.80813135261923374</v>
      </c>
      <c r="BM538">
        <v>0.76296456425252945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0.19186864738076626</v>
      </c>
      <c r="BY538">
        <v>0</v>
      </c>
      <c r="BZ538">
        <v>4.5166788366704291E-2</v>
      </c>
      <c r="CA538">
        <v>0</v>
      </c>
      <c r="CB538">
        <v>0.76296456425252945</v>
      </c>
      <c r="CC538">
        <v>0</v>
      </c>
      <c r="CD538">
        <v>0</v>
      </c>
      <c r="CE538">
        <v>0</v>
      </c>
      <c r="CF538">
        <v>0</v>
      </c>
      <c r="CG538">
        <v>0</v>
      </c>
    </row>
    <row r="539" spans="1:85" x14ac:dyDescent="0.25">
      <c r="A539" t="s">
        <v>128</v>
      </c>
      <c r="B539" t="s">
        <v>146</v>
      </c>
      <c r="C539" t="s">
        <v>72</v>
      </c>
      <c r="D539" s="12">
        <v>46226</v>
      </c>
      <c r="E539" t="s">
        <v>136</v>
      </c>
      <c r="F539" t="s">
        <v>136</v>
      </c>
      <c r="G539" t="s">
        <v>136</v>
      </c>
      <c r="H539" t="s">
        <v>74</v>
      </c>
      <c r="I539">
        <v>10</v>
      </c>
      <c r="J539">
        <v>1</v>
      </c>
      <c r="K539">
        <v>0</v>
      </c>
      <c r="L539">
        <v>46226</v>
      </c>
      <c r="M539" t="s">
        <v>231</v>
      </c>
      <c r="N539">
        <v>0</v>
      </c>
      <c r="O539">
        <v>0</v>
      </c>
      <c r="P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1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M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1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G539">
        <v>0</v>
      </c>
    </row>
    <row r="540" spans="1:85" x14ac:dyDescent="0.25">
      <c r="A540" t="s">
        <v>128</v>
      </c>
      <c r="B540" t="s">
        <v>146</v>
      </c>
      <c r="C540" t="s">
        <v>72</v>
      </c>
      <c r="D540" s="12">
        <v>46235</v>
      </c>
      <c r="E540" t="s">
        <v>136</v>
      </c>
      <c r="F540" t="s">
        <v>136</v>
      </c>
      <c r="G540" t="s">
        <v>136</v>
      </c>
      <c r="H540" t="s">
        <v>75</v>
      </c>
      <c r="I540">
        <v>10</v>
      </c>
      <c r="J540">
        <v>1</v>
      </c>
      <c r="K540">
        <v>3.2276134260703255</v>
      </c>
      <c r="L540">
        <v>46235</v>
      </c>
      <c r="M540" t="s">
        <v>189</v>
      </c>
      <c r="N540">
        <v>2.8499999999999996</v>
      </c>
      <c r="O540">
        <v>2.8499999999999996</v>
      </c>
      <c r="P540">
        <v>3.8062283737024223</v>
      </c>
      <c r="Q540">
        <v>0.88300537387153066</v>
      </c>
      <c r="R540">
        <v>0.88300537387153066</v>
      </c>
      <c r="S540">
        <v>1.1792702133900126</v>
      </c>
      <c r="T540">
        <v>0.17927021339001259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0.11699462612846934</v>
      </c>
      <c r="AD540">
        <v>0</v>
      </c>
      <c r="AE540">
        <v>0</v>
      </c>
      <c r="AF540">
        <v>0</v>
      </c>
      <c r="AG540">
        <v>0</v>
      </c>
      <c r="AH540">
        <v>0.88300537387153066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1.1324959389720441</v>
      </c>
      <c r="AO540">
        <v>1.1324959389720441</v>
      </c>
      <c r="AP540">
        <v>1.3355187276148852</v>
      </c>
      <c r="AQ540">
        <v>0.20302278864284107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0.13249593897204415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1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0.74877272727272715</v>
      </c>
      <c r="BL540">
        <v>0.74877272727272715</v>
      </c>
      <c r="BM540">
        <v>0.84798207284938554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0</v>
      </c>
      <c r="BU540">
        <v>0</v>
      </c>
      <c r="BV540">
        <v>0</v>
      </c>
      <c r="BW540">
        <v>0</v>
      </c>
      <c r="BX540">
        <v>0.15201792715061446</v>
      </c>
      <c r="BY540">
        <v>0</v>
      </c>
      <c r="BZ540">
        <v>0</v>
      </c>
      <c r="CA540">
        <v>0</v>
      </c>
      <c r="CB540">
        <v>0.74877272727272715</v>
      </c>
      <c r="CC540">
        <v>0</v>
      </c>
      <c r="CD540">
        <v>0</v>
      </c>
      <c r="CE540">
        <v>0</v>
      </c>
      <c r="CF540">
        <v>0</v>
      </c>
      <c r="CG540">
        <v>0</v>
      </c>
    </row>
    <row r="541" spans="1:85" x14ac:dyDescent="0.25">
      <c r="A541" t="s">
        <v>128</v>
      </c>
      <c r="B541" t="s">
        <v>146</v>
      </c>
      <c r="C541" t="s">
        <v>72</v>
      </c>
      <c r="D541" s="12">
        <v>46235</v>
      </c>
      <c r="E541" t="s">
        <v>136</v>
      </c>
      <c r="F541" t="s">
        <v>136</v>
      </c>
      <c r="G541" t="s">
        <v>136</v>
      </c>
      <c r="H541" t="s">
        <v>74</v>
      </c>
      <c r="I541">
        <v>10</v>
      </c>
      <c r="J541">
        <v>1</v>
      </c>
      <c r="K541">
        <v>0</v>
      </c>
      <c r="L541">
        <v>46235</v>
      </c>
      <c r="M541" t="s">
        <v>190</v>
      </c>
      <c r="N541">
        <v>1.9</v>
      </c>
      <c r="O541">
        <v>1.9</v>
      </c>
      <c r="P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1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1</v>
      </c>
      <c r="AK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1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1</v>
      </c>
      <c r="CE541">
        <v>0</v>
      </c>
      <c r="CG541">
        <v>0</v>
      </c>
    </row>
    <row r="542" spans="1:85" x14ac:dyDescent="0.25">
      <c r="A542" t="s">
        <v>128</v>
      </c>
      <c r="B542" t="s">
        <v>146</v>
      </c>
      <c r="C542" t="s">
        <v>72</v>
      </c>
      <c r="D542" s="12">
        <v>46235</v>
      </c>
      <c r="E542" t="s">
        <v>136</v>
      </c>
      <c r="F542" t="s">
        <v>136</v>
      </c>
      <c r="G542" t="s">
        <v>136</v>
      </c>
      <c r="H542" t="s">
        <v>73</v>
      </c>
      <c r="I542">
        <v>10</v>
      </c>
      <c r="J542">
        <v>1</v>
      </c>
      <c r="K542">
        <v>3.5876164620550925</v>
      </c>
      <c r="L542">
        <v>46235</v>
      </c>
      <c r="M542" t="s">
        <v>191</v>
      </c>
      <c r="N542">
        <v>3.8</v>
      </c>
      <c r="O542">
        <v>3.8</v>
      </c>
      <c r="P542">
        <v>4.7058823529411757</v>
      </c>
      <c r="Q542">
        <v>1.0591990643903022</v>
      </c>
      <c r="R542">
        <v>1.0591990643903022</v>
      </c>
      <c r="S542">
        <v>1.3117016277279281</v>
      </c>
      <c r="T542">
        <v>0.25250256333762588</v>
      </c>
      <c r="U542">
        <v>0</v>
      </c>
      <c r="V542">
        <v>0</v>
      </c>
      <c r="W542">
        <v>0</v>
      </c>
      <c r="X542">
        <v>0</v>
      </c>
      <c r="Y542">
        <v>0.1908009356096978</v>
      </c>
      <c r="Z542">
        <v>5.9199064390302203E-2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1</v>
      </c>
      <c r="AN542">
        <v>0.94410959527765603</v>
      </c>
      <c r="AO542">
        <v>0.94410959527765603</v>
      </c>
      <c r="AP542">
        <v>1.2383900928792568</v>
      </c>
      <c r="AQ542">
        <v>0.23839009287925683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0.94410959527765603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0.80750000000000011</v>
      </c>
      <c r="BL542">
        <v>0.80750000000000011</v>
      </c>
      <c r="BM542">
        <v>0.76236849818670727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0.19249999999999989</v>
      </c>
      <c r="BY542">
        <v>0</v>
      </c>
      <c r="BZ542">
        <v>4.513150181329284E-2</v>
      </c>
      <c r="CA542">
        <v>0</v>
      </c>
      <c r="CB542">
        <v>0.76236849818670727</v>
      </c>
      <c r="CC542">
        <v>0</v>
      </c>
      <c r="CD542">
        <v>0</v>
      </c>
      <c r="CE542">
        <v>0</v>
      </c>
      <c r="CF542">
        <v>0</v>
      </c>
      <c r="CG542">
        <v>0</v>
      </c>
    </row>
    <row r="543" spans="1:85" x14ac:dyDescent="0.25">
      <c r="A543" t="s">
        <v>128</v>
      </c>
      <c r="B543" t="s">
        <v>146</v>
      </c>
      <c r="C543" t="s">
        <v>72</v>
      </c>
      <c r="D543" s="12">
        <v>46234</v>
      </c>
      <c r="E543" t="s">
        <v>136</v>
      </c>
      <c r="F543" t="s">
        <v>136</v>
      </c>
      <c r="G543" t="s">
        <v>136</v>
      </c>
      <c r="H543" t="s">
        <v>75</v>
      </c>
      <c r="I543">
        <v>10</v>
      </c>
      <c r="J543">
        <v>1</v>
      </c>
      <c r="K543">
        <v>3.1779578349000128</v>
      </c>
      <c r="L543">
        <v>46234</v>
      </c>
      <c r="M543" t="s">
        <v>192</v>
      </c>
      <c r="N543">
        <v>2.8499999999999996</v>
      </c>
      <c r="O543">
        <v>2.8499999999999996</v>
      </c>
      <c r="P543">
        <v>4.6366782006920415</v>
      </c>
      <c r="Q543">
        <v>0.89680233283827326</v>
      </c>
      <c r="R543">
        <v>0.89680233283827326</v>
      </c>
      <c r="S543">
        <v>1.4590118691231546</v>
      </c>
      <c r="T543">
        <v>0.45901186912315461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0.10319766716172674</v>
      </c>
      <c r="AD543">
        <v>0</v>
      </c>
      <c r="AE543">
        <v>0</v>
      </c>
      <c r="AF543">
        <v>0</v>
      </c>
      <c r="AG543">
        <v>0</v>
      </c>
      <c r="AH543">
        <v>0.89680233283827326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1.1150729245263205</v>
      </c>
      <c r="AO543">
        <v>1.1150729245263205</v>
      </c>
      <c r="AP543">
        <v>1.6269046318217693</v>
      </c>
      <c r="AQ543">
        <v>0.5118317072954488</v>
      </c>
      <c r="AR543">
        <v>0</v>
      </c>
      <c r="AS543">
        <v>0</v>
      </c>
      <c r="AT543">
        <v>0</v>
      </c>
      <c r="AU543">
        <v>0</v>
      </c>
      <c r="AV543">
        <v>0.38492707547367955</v>
      </c>
      <c r="AW543">
        <v>0.11507292452632045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0</v>
      </c>
      <c r="BJ543">
        <v>0</v>
      </c>
      <c r="BK543">
        <v>0.61466417910447757</v>
      </c>
      <c r="BL543">
        <v>0.61466417910447757</v>
      </c>
      <c r="BM543">
        <v>0.68539538379559983</v>
      </c>
      <c r="BN543">
        <v>0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0</v>
      </c>
      <c r="BV543">
        <v>0</v>
      </c>
      <c r="BW543">
        <v>0</v>
      </c>
      <c r="BX543">
        <v>0.31460461620440017</v>
      </c>
      <c r="BY543">
        <v>0</v>
      </c>
      <c r="BZ543">
        <v>0</v>
      </c>
      <c r="CA543">
        <v>0</v>
      </c>
      <c r="CB543">
        <v>0.61466417910447757</v>
      </c>
      <c r="CC543">
        <v>0</v>
      </c>
      <c r="CD543">
        <v>0</v>
      </c>
      <c r="CE543">
        <v>0</v>
      </c>
      <c r="CF543">
        <v>0</v>
      </c>
      <c r="CG543">
        <v>0</v>
      </c>
    </row>
    <row r="544" spans="1:85" x14ac:dyDescent="0.25">
      <c r="A544" t="s">
        <v>128</v>
      </c>
      <c r="B544" t="s">
        <v>146</v>
      </c>
      <c r="C544" t="s">
        <v>72</v>
      </c>
      <c r="D544" s="12">
        <v>46234</v>
      </c>
      <c r="E544" t="s">
        <v>136</v>
      </c>
      <c r="F544" t="s">
        <v>136</v>
      </c>
      <c r="G544" t="s">
        <v>136</v>
      </c>
      <c r="H544" t="s">
        <v>74</v>
      </c>
      <c r="I544">
        <v>10</v>
      </c>
      <c r="J544">
        <v>1</v>
      </c>
      <c r="K544">
        <v>0</v>
      </c>
      <c r="L544">
        <v>46234</v>
      </c>
      <c r="M544" t="s">
        <v>193</v>
      </c>
      <c r="N544">
        <v>0</v>
      </c>
      <c r="O544">
        <v>0</v>
      </c>
      <c r="P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M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0</v>
      </c>
      <c r="BG544">
        <v>0</v>
      </c>
      <c r="BH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0</v>
      </c>
      <c r="BV544">
        <v>0</v>
      </c>
      <c r="BW544">
        <v>0</v>
      </c>
      <c r="BX544">
        <v>1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0</v>
      </c>
      <c r="CG544">
        <v>0</v>
      </c>
    </row>
    <row r="545" spans="1:85" x14ac:dyDescent="0.25">
      <c r="A545" t="s">
        <v>128</v>
      </c>
      <c r="B545" t="s">
        <v>146</v>
      </c>
      <c r="C545" t="s">
        <v>72</v>
      </c>
      <c r="D545" s="12">
        <v>46234</v>
      </c>
      <c r="E545" t="s">
        <v>136</v>
      </c>
      <c r="F545" t="s">
        <v>136</v>
      </c>
      <c r="G545" t="s">
        <v>136</v>
      </c>
      <c r="H545" t="s">
        <v>73</v>
      </c>
      <c r="I545">
        <v>10</v>
      </c>
      <c r="J545">
        <v>1</v>
      </c>
      <c r="K545">
        <v>3.587616462055093</v>
      </c>
      <c r="L545">
        <v>46234</v>
      </c>
      <c r="M545" t="s">
        <v>216</v>
      </c>
      <c r="N545">
        <v>4.75</v>
      </c>
      <c r="O545">
        <v>4.75</v>
      </c>
      <c r="P545">
        <v>4.7610294117647047</v>
      </c>
      <c r="Q545">
        <v>1.3239988304878776</v>
      </c>
      <c r="R545">
        <v>1.3239988304878776</v>
      </c>
      <c r="S545">
        <v>1.3270731311778645</v>
      </c>
      <c r="T545">
        <v>3.0743006899869307E-3</v>
      </c>
      <c r="U545">
        <v>0</v>
      </c>
      <c r="V545">
        <v>0</v>
      </c>
      <c r="W545">
        <v>0</v>
      </c>
      <c r="X545">
        <v>7.3998830487877587E-2</v>
      </c>
      <c r="Y545">
        <v>0</v>
      </c>
      <c r="Z545">
        <v>0.25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0.75528767622212489</v>
      </c>
      <c r="AO545">
        <v>0.75528767622212489</v>
      </c>
      <c r="AP545">
        <v>1.0023219814241484</v>
      </c>
      <c r="AQ545">
        <v>2.3219814241484116E-3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0.75528767622212489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0.99768339768339798</v>
      </c>
      <c r="BL545">
        <v>0.99768339768339798</v>
      </c>
      <c r="BM545">
        <v>0.75353797504168762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2.3166023166020233E-3</v>
      </c>
      <c r="BY545">
        <v>0</v>
      </c>
      <c r="BZ545">
        <v>0.24414542264171035</v>
      </c>
      <c r="CA545">
        <v>0</v>
      </c>
      <c r="CB545">
        <v>0.75353797504168762</v>
      </c>
      <c r="CC545">
        <v>0</v>
      </c>
      <c r="CD545">
        <v>0</v>
      </c>
      <c r="CE545">
        <v>0</v>
      </c>
      <c r="CF545">
        <v>0</v>
      </c>
      <c r="CG545">
        <v>0</v>
      </c>
    </row>
    <row r="546" spans="1:85" x14ac:dyDescent="0.25">
      <c r="A546" t="s">
        <v>128</v>
      </c>
      <c r="B546" t="s">
        <v>146</v>
      </c>
      <c r="C546" t="s">
        <v>72</v>
      </c>
      <c r="D546" s="12">
        <v>46233</v>
      </c>
      <c r="E546" t="s">
        <v>136</v>
      </c>
      <c r="F546" t="s">
        <v>136</v>
      </c>
      <c r="G546" t="s">
        <v>136</v>
      </c>
      <c r="H546" t="s">
        <v>75</v>
      </c>
      <c r="I546">
        <v>10</v>
      </c>
      <c r="J546">
        <v>1</v>
      </c>
      <c r="K546">
        <v>3.1779578349000128</v>
      </c>
      <c r="L546">
        <v>46233</v>
      </c>
      <c r="M546" t="s">
        <v>236</v>
      </c>
      <c r="N546">
        <v>2.8499999999999996</v>
      </c>
      <c r="O546">
        <v>2.8499999999999996</v>
      </c>
      <c r="P546">
        <v>4.6885813148788928</v>
      </c>
      <c r="Q546">
        <v>0.89680233283827326</v>
      </c>
      <c r="R546">
        <v>0.89680233283827326</v>
      </c>
      <c r="S546">
        <v>1.4753440915387124</v>
      </c>
      <c r="T546">
        <v>0.47534409153871238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0.10319766716172674</v>
      </c>
      <c r="AD546">
        <v>0</v>
      </c>
      <c r="AE546">
        <v>0</v>
      </c>
      <c r="AF546">
        <v>0</v>
      </c>
      <c r="AG546">
        <v>0</v>
      </c>
      <c r="AH546">
        <v>0.89680233283827326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1.1150729245263205</v>
      </c>
      <c r="AO546">
        <v>1.1150729245263205</v>
      </c>
      <c r="AP546">
        <v>1.6451162508346995</v>
      </c>
      <c r="AQ546">
        <v>0.53004332630837903</v>
      </c>
      <c r="AR546">
        <v>0</v>
      </c>
      <c r="AS546">
        <v>0</v>
      </c>
      <c r="AT546">
        <v>0</v>
      </c>
      <c r="AU546">
        <v>0</v>
      </c>
      <c r="AV546">
        <v>0.38492707547367955</v>
      </c>
      <c r="AW546">
        <v>0.11507292452632045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0</v>
      </c>
      <c r="BG546">
        <v>0</v>
      </c>
      <c r="BH546">
        <v>0</v>
      </c>
      <c r="BI546">
        <v>0</v>
      </c>
      <c r="BJ546">
        <v>0</v>
      </c>
      <c r="BK546">
        <v>0.60785977859778584</v>
      </c>
      <c r="BL546">
        <v>0.60785977859778584</v>
      </c>
      <c r="BM546">
        <v>0.6778079810229547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0</v>
      </c>
      <c r="BU546">
        <v>0</v>
      </c>
      <c r="BV546">
        <v>0</v>
      </c>
      <c r="BW546">
        <v>0</v>
      </c>
      <c r="BX546">
        <v>0.3221920189770453</v>
      </c>
      <c r="BY546">
        <v>0</v>
      </c>
      <c r="BZ546">
        <v>0</v>
      </c>
      <c r="CA546">
        <v>0</v>
      </c>
      <c r="CB546">
        <v>0.60785977859778584</v>
      </c>
      <c r="CC546">
        <v>0</v>
      </c>
      <c r="CD546">
        <v>0</v>
      </c>
      <c r="CE546">
        <v>0</v>
      </c>
      <c r="CF546">
        <v>0</v>
      </c>
      <c r="CG546">
        <v>0</v>
      </c>
    </row>
    <row r="547" spans="1:85" x14ac:dyDescent="0.25">
      <c r="A547" t="s">
        <v>128</v>
      </c>
      <c r="B547" t="s">
        <v>146</v>
      </c>
      <c r="C547" t="s">
        <v>72</v>
      </c>
      <c r="D547" s="12">
        <v>46233</v>
      </c>
      <c r="E547" t="s">
        <v>136</v>
      </c>
      <c r="F547" t="s">
        <v>136</v>
      </c>
      <c r="G547" t="s">
        <v>136</v>
      </c>
      <c r="H547" t="s">
        <v>74</v>
      </c>
      <c r="I547">
        <v>10</v>
      </c>
      <c r="J547">
        <v>1</v>
      </c>
      <c r="K547">
        <v>0</v>
      </c>
      <c r="L547">
        <v>46233</v>
      </c>
      <c r="M547" t="s">
        <v>237</v>
      </c>
      <c r="N547">
        <v>0</v>
      </c>
      <c r="O547">
        <v>0</v>
      </c>
      <c r="P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M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N547">
        <v>0</v>
      </c>
      <c r="BO547">
        <v>0</v>
      </c>
      <c r="BP547">
        <v>0</v>
      </c>
      <c r="BQ547">
        <v>0</v>
      </c>
      <c r="BR547">
        <v>0</v>
      </c>
      <c r="BS547">
        <v>0</v>
      </c>
      <c r="BT547">
        <v>0</v>
      </c>
      <c r="BU547">
        <v>0</v>
      </c>
      <c r="BV547">
        <v>0</v>
      </c>
      <c r="BW547">
        <v>0</v>
      </c>
      <c r="BX547">
        <v>1</v>
      </c>
      <c r="BY547">
        <v>0</v>
      </c>
      <c r="BZ547">
        <v>0</v>
      </c>
      <c r="CA547">
        <v>0</v>
      </c>
      <c r="CB547">
        <v>0</v>
      </c>
      <c r="CC547">
        <v>0</v>
      </c>
      <c r="CD547">
        <v>0</v>
      </c>
      <c r="CE547">
        <v>0</v>
      </c>
      <c r="CG547">
        <v>0</v>
      </c>
    </row>
    <row r="548" spans="1:85" x14ac:dyDescent="0.25">
      <c r="A548" t="s">
        <v>128</v>
      </c>
      <c r="B548" t="s">
        <v>146</v>
      </c>
      <c r="C548" t="s">
        <v>72</v>
      </c>
      <c r="D548" s="12">
        <v>46233</v>
      </c>
      <c r="E548" t="s">
        <v>136</v>
      </c>
      <c r="F548" t="s">
        <v>136</v>
      </c>
      <c r="G548" t="s">
        <v>136</v>
      </c>
      <c r="H548" t="s">
        <v>73</v>
      </c>
      <c r="I548">
        <v>10</v>
      </c>
      <c r="J548">
        <v>1</v>
      </c>
      <c r="K548">
        <v>3.587616462055093</v>
      </c>
      <c r="L548">
        <v>46233</v>
      </c>
      <c r="M548" t="s">
        <v>238</v>
      </c>
      <c r="N548">
        <v>3.8</v>
      </c>
      <c r="O548">
        <v>3.8</v>
      </c>
      <c r="P548">
        <v>5.6433823529411775</v>
      </c>
      <c r="Q548">
        <v>1.059199064390302</v>
      </c>
      <c r="R548">
        <v>1.059199064390302</v>
      </c>
      <c r="S548">
        <v>1.5730171863768516</v>
      </c>
      <c r="T548">
        <v>0.51381812198654964</v>
      </c>
      <c r="U548">
        <v>0</v>
      </c>
      <c r="V548">
        <v>0</v>
      </c>
      <c r="W548">
        <v>0</v>
      </c>
      <c r="X548">
        <v>0</v>
      </c>
      <c r="Y548">
        <v>0.19080093560969802</v>
      </c>
      <c r="Z548">
        <v>5.9199064390301981E-2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1</v>
      </c>
      <c r="AN548">
        <v>0.94410959527765614</v>
      </c>
      <c r="AO548">
        <v>0.94410959527765614</v>
      </c>
      <c r="AP548">
        <v>1.4851006191950469</v>
      </c>
      <c r="AQ548">
        <v>0.48510061919504688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0.94410959527765614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0.67335504885993469</v>
      </c>
      <c r="BL548">
        <v>0.67335504885993469</v>
      </c>
      <c r="BM548">
        <v>0.63572096265731926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0</v>
      </c>
      <c r="BU548">
        <v>0</v>
      </c>
      <c r="BV548">
        <v>0</v>
      </c>
      <c r="BW548">
        <v>0</v>
      </c>
      <c r="BX548">
        <v>0.32664495114006531</v>
      </c>
      <c r="BY548">
        <v>0</v>
      </c>
      <c r="BZ548">
        <v>3.7634086202615435E-2</v>
      </c>
      <c r="CA548">
        <v>0</v>
      </c>
      <c r="CB548">
        <v>0.63572096265731926</v>
      </c>
      <c r="CC548">
        <v>0</v>
      </c>
      <c r="CD548">
        <v>0</v>
      </c>
      <c r="CE548">
        <v>0</v>
      </c>
      <c r="CF548">
        <v>0</v>
      </c>
      <c r="CG548">
        <v>0</v>
      </c>
    </row>
    <row r="549" spans="1:85" x14ac:dyDescent="0.25">
      <c r="A549" t="s">
        <v>128</v>
      </c>
      <c r="B549" t="s">
        <v>146</v>
      </c>
      <c r="C549" t="s">
        <v>72</v>
      </c>
      <c r="D549" s="12">
        <v>46232</v>
      </c>
      <c r="E549" t="s">
        <v>136</v>
      </c>
      <c r="F549" t="s">
        <v>136</v>
      </c>
      <c r="G549" t="s">
        <v>136</v>
      </c>
      <c r="H549" t="s">
        <v>75</v>
      </c>
      <c r="I549">
        <v>10</v>
      </c>
      <c r="J549">
        <v>1</v>
      </c>
      <c r="K549">
        <v>3.1779578349000128</v>
      </c>
      <c r="L549">
        <v>46232</v>
      </c>
      <c r="M549" t="s">
        <v>239</v>
      </c>
      <c r="N549">
        <v>2.8499999999999996</v>
      </c>
      <c r="O549">
        <v>2.8499999999999996</v>
      </c>
      <c r="P549">
        <v>4.6332179930795849</v>
      </c>
      <c r="Q549">
        <v>0.89680233283827326</v>
      </c>
      <c r="R549">
        <v>0.89680233283827326</v>
      </c>
      <c r="S549">
        <v>1.4579230542954509</v>
      </c>
      <c r="T549">
        <v>0.45792305429545088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0.10319766716172674</v>
      </c>
      <c r="AD549">
        <v>0</v>
      </c>
      <c r="AE549">
        <v>0</v>
      </c>
      <c r="AF549">
        <v>0</v>
      </c>
      <c r="AG549">
        <v>0</v>
      </c>
      <c r="AH549">
        <v>0.89680233283827326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1.1150729245263205</v>
      </c>
      <c r="AO549">
        <v>1.1150729245263205</v>
      </c>
      <c r="AP549">
        <v>1.6256905238875738</v>
      </c>
      <c r="AQ549">
        <v>0.51061759936125339</v>
      </c>
      <c r="AR549">
        <v>0</v>
      </c>
      <c r="AS549">
        <v>0</v>
      </c>
      <c r="AT549">
        <v>0</v>
      </c>
      <c r="AU549">
        <v>0</v>
      </c>
      <c r="AV549">
        <v>0.38492707547367955</v>
      </c>
      <c r="AW549">
        <v>0.11507292452632045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0.61512322628827476</v>
      </c>
      <c r="BL549">
        <v>0.61512322628827476</v>
      </c>
      <c r="BM549">
        <v>0.68590725488133208</v>
      </c>
      <c r="BN549">
        <v>0</v>
      </c>
      <c r="BO549">
        <v>0</v>
      </c>
      <c r="BP549">
        <v>0</v>
      </c>
      <c r="BQ549">
        <v>0</v>
      </c>
      <c r="BR549">
        <v>0</v>
      </c>
      <c r="BS549">
        <v>0</v>
      </c>
      <c r="BT549">
        <v>0</v>
      </c>
      <c r="BU549">
        <v>0</v>
      </c>
      <c r="BV549">
        <v>0</v>
      </c>
      <c r="BW549">
        <v>0</v>
      </c>
      <c r="BX549">
        <v>0.31409274511866792</v>
      </c>
      <c r="BY549">
        <v>0</v>
      </c>
      <c r="BZ549">
        <v>0</v>
      </c>
      <c r="CA549">
        <v>0</v>
      </c>
      <c r="CB549">
        <v>0.61512322628827476</v>
      </c>
      <c r="CC549">
        <v>0</v>
      </c>
      <c r="CD549">
        <v>0</v>
      </c>
      <c r="CE549">
        <v>0</v>
      </c>
      <c r="CF549">
        <v>0</v>
      </c>
      <c r="CG549">
        <v>0</v>
      </c>
    </row>
    <row r="550" spans="1:85" x14ac:dyDescent="0.25">
      <c r="A550" t="s">
        <v>128</v>
      </c>
      <c r="B550" t="s">
        <v>146</v>
      </c>
      <c r="C550" t="s">
        <v>72</v>
      </c>
      <c r="D550" s="12">
        <v>46232</v>
      </c>
      <c r="E550" t="s">
        <v>136</v>
      </c>
      <c r="F550" t="s">
        <v>136</v>
      </c>
      <c r="G550" t="s">
        <v>136</v>
      </c>
      <c r="H550" t="s">
        <v>74</v>
      </c>
      <c r="I550">
        <v>10</v>
      </c>
      <c r="J550">
        <v>1</v>
      </c>
      <c r="K550">
        <v>0</v>
      </c>
      <c r="L550">
        <v>46232</v>
      </c>
      <c r="M550" t="s">
        <v>240</v>
      </c>
      <c r="N550">
        <v>0</v>
      </c>
      <c r="O550">
        <v>0</v>
      </c>
      <c r="P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1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M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0</v>
      </c>
      <c r="BV550">
        <v>0</v>
      </c>
      <c r="BW550">
        <v>0</v>
      </c>
      <c r="BX550">
        <v>1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0</v>
      </c>
      <c r="CG550">
        <v>0</v>
      </c>
    </row>
    <row r="551" spans="1:85" x14ac:dyDescent="0.25">
      <c r="A551" t="s">
        <v>128</v>
      </c>
      <c r="B551" t="s">
        <v>146</v>
      </c>
      <c r="C551" t="s">
        <v>72</v>
      </c>
      <c r="D551" s="12">
        <v>46232</v>
      </c>
      <c r="E551" t="s">
        <v>136</v>
      </c>
      <c r="F551" t="s">
        <v>136</v>
      </c>
      <c r="G551" t="s">
        <v>136</v>
      </c>
      <c r="H551" t="s">
        <v>73</v>
      </c>
      <c r="I551">
        <v>10</v>
      </c>
      <c r="J551">
        <v>1</v>
      </c>
      <c r="K551">
        <v>3.587616462055093</v>
      </c>
      <c r="L551">
        <v>46232</v>
      </c>
      <c r="M551" t="s">
        <v>241</v>
      </c>
      <c r="N551">
        <v>3.8</v>
      </c>
      <c r="O551">
        <v>3.8</v>
      </c>
      <c r="P551">
        <v>4.7022058823529385</v>
      </c>
      <c r="Q551">
        <v>1.059199064390302</v>
      </c>
      <c r="R551">
        <v>1.059199064390302</v>
      </c>
      <c r="S551">
        <v>1.3106768608312651</v>
      </c>
      <c r="T551">
        <v>0.25147779644096313</v>
      </c>
      <c r="U551">
        <v>0</v>
      </c>
      <c r="V551">
        <v>0</v>
      </c>
      <c r="W551">
        <v>0</v>
      </c>
      <c r="X551">
        <v>0</v>
      </c>
      <c r="Y551">
        <v>0.19080093560969802</v>
      </c>
      <c r="Z551">
        <v>5.9199064390301981E-2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1</v>
      </c>
      <c r="AN551">
        <v>0.94410959527765614</v>
      </c>
      <c r="AO551">
        <v>0.94410959527765614</v>
      </c>
      <c r="AP551">
        <v>1.2374226006191944</v>
      </c>
      <c r="AQ551">
        <v>0.2374226006191944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0.94410959527765614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0.80813135261923419</v>
      </c>
      <c r="BL551">
        <v>0.80813135261923419</v>
      </c>
      <c r="BM551">
        <v>0.76296456425253001</v>
      </c>
      <c r="BN551">
        <v>0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0</v>
      </c>
      <c r="BU551">
        <v>0</v>
      </c>
      <c r="BV551">
        <v>0</v>
      </c>
      <c r="BW551">
        <v>0</v>
      </c>
      <c r="BX551">
        <v>0.19186864738076581</v>
      </c>
      <c r="BY551">
        <v>0</v>
      </c>
      <c r="BZ551">
        <v>4.516678836670418E-2</v>
      </c>
      <c r="CA551">
        <v>0</v>
      </c>
      <c r="CB551">
        <v>0.76296456425253001</v>
      </c>
      <c r="CC551">
        <v>0</v>
      </c>
      <c r="CD551">
        <v>0</v>
      </c>
      <c r="CE551">
        <v>0</v>
      </c>
      <c r="CF551">
        <v>0</v>
      </c>
      <c r="CG551">
        <v>0</v>
      </c>
    </row>
    <row r="552" spans="1:85" x14ac:dyDescent="0.25">
      <c r="A552" t="s">
        <v>128</v>
      </c>
      <c r="B552" t="s">
        <v>146</v>
      </c>
      <c r="C552" t="s">
        <v>72</v>
      </c>
      <c r="D552" s="12">
        <v>46231</v>
      </c>
      <c r="E552" t="s">
        <v>136</v>
      </c>
      <c r="F552" t="s">
        <v>136</v>
      </c>
      <c r="G552" t="s">
        <v>136</v>
      </c>
      <c r="H552" t="s">
        <v>75</v>
      </c>
      <c r="I552">
        <v>10</v>
      </c>
      <c r="J552">
        <v>1</v>
      </c>
      <c r="K552">
        <v>3.1779578349000128</v>
      </c>
      <c r="L552">
        <v>46231</v>
      </c>
      <c r="M552" t="s">
        <v>234</v>
      </c>
      <c r="N552">
        <v>2.8499999999999996</v>
      </c>
      <c r="O552">
        <v>2.8499999999999996</v>
      </c>
      <c r="P552">
        <v>4.6885813148788937</v>
      </c>
      <c r="Q552">
        <v>0.89680233283827326</v>
      </c>
      <c r="R552">
        <v>0.89680233283827326</v>
      </c>
      <c r="S552">
        <v>1.4753440915387126</v>
      </c>
      <c r="T552">
        <v>0.4753440915387126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0.10319766716172674</v>
      </c>
      <c r="AD552">
        <v>0</v>
      </c>
      <c r="AE552">
        <v>0</v>
      </c>
      <c r="AF552">
        <v>0</v>
      </c>
      <c r="AG552">
        <v>0</v>
      </c>
      <c r="AH552">
        <v>0.89680233283827326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1.1150729245263205</v>
      </c>
      <c r="AO552">
        <v>1.1150729245263205</v>
      </c>
      <c r="AP552">
        <v>1.6451162508346997</v>
      </c>
      <c r="AQ552">
        <v>0.53004332630837925</v>
      </c>
      <c r="AR552">
        <v>0</v>
      </c>
      <c r="AS552">
        <v>0</v>
      </c>
      <c r="AT552">
        <v>0</v>
      </c>
      <c r="AU552">
        <v>0</v>
      </c>
      <c r="AV552">
        <v>0.38492707547367955</v>
      </c>
      <c r="AW552">
        <v>0.11507292452632045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0.60785977859778573</v>
      </c>
      <c r="BL552">
        <v>0.60785977859778573</v>
      </c>
      <c r="BM552">
        <v>0.67780798102295459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0</v>
      </c>
      <c r="BV552">
        <v>0</v>
      </c>
      <c r="BW552">
        <v>0</v>
      </c>
      <c r="BX552">
        <v>0.32219201897704541</v>
      </c>
      <c r="BY552">
        <v>0</v>
      </c>
      <c r="BZ552">
        <v>0</v>
      </c>
      <c r="CA552">
        <v>0</v>
      </c>
      <c r="CB552">
        <v>0.60785977859778573</v>
      </c>
      <c r="CC552">
        <v>0</v>
      </c>
      <c r="CD552">
        <v>0</v>
      </c>
      <c r="CE552">
        <v>0</v>
      </c>
      <c r="CF552">
        <v>0</v>
      </c>
      <c r="CG552">
        <v>0</v>
      </c>
    </row>
    <row r="553" spans="1:85" x14ac:dyDescent="0.25">
      <c r="A553" t="s">
        <v>128</v>
      </c>
      <c r="B553" t="s">
        <v>146</v>
      </c>
      <c r="C553" t="s">
        <v>72</v>
      </c>
      <c r="D553" s="12">
        <v>46244</v>
      </c>
      <c r="E553" t="s">
        <v>134</v>
      </c>
      <c r="F553" t="s">
        <v>134</v>
      </c>
      <c r="G553" t="s">
        <v>134</v>
      </c>
      <c r="H553" t="s">
        <v>73</v>
      </c>
      <c r="I553">
        <v>10</v>
      </c>
      <c r="J553">
        <v>1</v>
      </c>
      <c r="K553">
        <v>11.870789764152878</v>
      </c>
      <c r="L553">
        <v>46244</v>
      </c>
      <c r="M553" t="s">
        <v>203</v>
      </c>
      <c r="N553">
        <v>5.6999999999999993</v>
      </c>
      <c r="O553">
        <v>5.6999999999999993</v>
      </c>
      <c r="P553">
        <v>11.839613970588236</v>
      </c>
      <c r="Q553">
        <v>0.48017024252360363</v>
      </c>
      <c r="R553">
        <v>0.48017024252360363</v>
      </c>
      <c r="S553">
        <v>0.99737373888477188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0.51720349636116825</v>
      </c>
      <c r="AD553">
        <v>2.6262611152281234E-3</v>
      </c>
      <c r="AE553">
        <v>0</v>
      </c>
      <c r="AF553">
        <v>0</v>
      </c>
      <c r="AG553">
        <v>0</v>
      </c>
      <c r="AH553">
        <v>0.48017024252360363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2.0825946954654175</v>
      </c>
      <c r="AO553">
        <v>2.0825946954654175</v>
      </c>
      <c r="AP553">
        <v>2.0771252579979365</v>
      </c>
      <c r="BG553">
        <v>0</v>
      </c>
      <c r="BH553">
        <v>0</v>
      </c>
      <c r="BI553">
        <v>0</v>
      </c>
      <c r="BK553">
        <v>0.48143461553390515</v>
      </c>
      <c r="BL553">
        <v>0.48143461553390515</v>
      </c>
      <c r="BM553">
        <v>1.0026331765243435</v>
      </c>
      <c r="BN553">
        <v>2.6331765243434724E-3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0</v>
      </c>
      <c r="BV553">
        <v>0</v>
      </c>
      <c r="BW553">
        <v>0.51982975747639637</v>
      </c>
      <c r="BX553">
        <v>0</v>
      </c>
      <c r="BY553">
        <v>0</v>
      </c>
      <c r="BZ553">
        <v>0</v>
      </c>
      <c r="CA553">
        <v>0</v>
      </c>
      <c r="CB553">
        <v>0.48143461553390515</v>
      </c>
      <c r="CC553">
        <v>0</v>
      </c>
      <c r="CD553">
        <v>0</v>
      </c>
      <c r="CE553">
        <v>0</v>
      </c>
      <c r="CF553">
        <v>0</v>
      </c>
      <c r="CG553">
        <v>0</v>
      </c>
    </row>
    <row r="554" spans="1:85" x14ac:dyDescent="0.25">
      <c r="A554" t="s">
        <v>128</v>
      </c>
      <c r="B554" t="s">
        <v>146</v>
      </c>
      <c r="C554" t="s">
        <v>72</v>
      </c>
      <c r="D554" s="12">
        <v>46231</v>
      </c>
      <c r="E554" t="s">
        <v>136</v>
      </c>
      <c r="F554" t="s">
        <v>136</v>
      </c>
      <c r="G554" t="s">
        <v>136</v>
      </c>
      <c r="H554" t="s">
        <v>74</v>
      </c>
      <c r="I554">
        <v>10</v>
      </c>
      <c r="J554">
        <v>1</v>
      </c>
      <c r="K554">
        <v>0</v>
      </c>
      <c r="L554">
        <v>46231</v>
      </c>
      <c r="M554" t="s">
        <v>233</v>
      </c>
      <c r="N554">
        <v>1.9</v>
      </c>
      <c r="O554">
        <v>1.9</v>
      </c>
      <c r="P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1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1</v>
      </c>
      <c r="AK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0</v>
      </c>
      <c r="BU554">
        <v>0</v>
      </c>
      <c r="BV554">
        <v>0</v>
      </c>
      <c r="BW554">
        <v>0</v>
      </c>
      <c r="BX554">
        <v>1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1</v>
      </c>
      <c r="CE554">
        <v>0</v>
      </c>
      <c r="CG554">
        <v>0</v>
      </c>
    </row>
    <row r="555" spans="1:85" x14ac:dyDescent="0.25">
      <c r="A555" t="s">
        <v>128</v>
      </c>
      <c r="B555" t="s">
        <v>146</v>
      </c>
      <c r="C555" t="s">
        <v>72</v>
      </c>
      <c r="D555" s="12">
        <v>46230</v>
      </c>
      <c r="E555" t="s">
        <v>136</v>
      </c>
      <c r="F555" t="s">
        <v>136</v>
      </c>
      <c r="G555" t="s">
        <v>136</v>
      </c>
      <c r="H555" t="s">
        <v>75</v>
      </c>
      <c r="I555">
        <v>10</v>
      </c>
      <c r="J555">
        <v>1</v>
      </c>
      <c r="K555">
        <v>3.1779578349000128</v>
      </c>
      <c r="L555">
        <v>46230</v>
      </c>
      <c r="M555" t="s">
        <v>218</v>
      </c>
      <c r="N555">
        <v>3.8</v>
      </c>
      <c r="O555">
        <v>3.8</v>
      </c>
      <c r="P555">
        <v>3.8062283737024223</v>
      </c>
      <c r="Q555">
        <v>1.1957364437843645</v>
      </c>
      <c r="R555">
        <v>1.1957364437843645</v>
      </c>
      <c r="S555">
        <v>1.1976963104742315</v>
      </c>
      <c r="T555">
        <v>1.9598666898670292E-3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0.1957364437843645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1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0.83630469339474023</v>
      </c>
      <c r="AO555">
        <v>0.83630469339474023</v>
      </c>
      <c r="AP555">
        <v>1.0016390457111639</v>
      </c>
      <c r="AQ555">
        <v>1.6390457111639112E-3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0.83630469339474023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0.99836363636363623</v>
      </c>
      <c r="BL555">
        <v>0.99836363636363623</v>
      </c>
      <c r="BM555">
        <v>0.83493619480554881</v>
      </c>
      <c r="BN555">
        <v>0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0</v>
      </c>
      <c r="BU555">
        <v>0</v>
      </c>
      <c r="BV555">
        <v>0</v>
      </c>
      <c r="BW555">
        <v>0</v>
      </c>
      <c r="BX555">
        <v>1.636363636363769E-3</v>
      </c>
      <c r="BY555">
        <v>0</v>
      </c>
      <c r="BZ555">
        <v>0.16342744155808742</v>
      </c>
      <c r="CA555">
        <v>0</v>
      </c>
      <c r="CB555">
        <v>0.83493619480554881</v>
      </c>
      <c r="CC555">
        <v>0</v>
      </c>
      <c r="CD555">
        <v>0</v>
      </c>
      <c r="CE555">
        <v>0</v>
      </c>
      <c r="CF555">
        <v>0</v>
      </c>
      <c r="CG555">
        <v>0</v>
      </c>
    </row>
    <row r="556" spans="1:85" x14ac:dyDescent="0.25">
      <c r="A556" t="s">
        <v>128</v>
      </c>
      <c r="B556" t="s">
        <v>146</v>
      </c>
      <c r="C556" t="s">
        <v>72</v>
      </c>
      <c r="D556" s="12">
        <v>46230</v>
      </c>
      <c r="E556" t="s">
        <v>136</v>
      </c>
      <c r="F556" t="s">
        <v>136</v>
      </c>
      <c r="G556" t="s">
        <v>136</v>
      </c>
      <c r="H556" t="s">
        <v>74</v>
      </c>
      <c r="I556">
        <v>10</v>
      </c>
      <c r="J556">
        <v>1</v>
      </c>
      <c r="K556">
        <v>0</v>
      </c>
      <c r="L556">
        <v>46230</v>
      </c>
      <c r="M556" t="s">
        <v>219</v>
      </c>
      <c r="N556">
        <v>0</v>
      </c>
      <c r="O556">
        <v>0</v>
      </c>
      <c r="P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1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M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1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0</v>
      </c>
      <c r="CG556">
        <v>0</v>
      </c>
    </row>
    <row r="557" spans="1:85" x14ac:dyDescent="0.25">
      <c r="A557" t="s">
        <v>128</v>
      </c>
      <c r="B557" t="s">
        <v>146</v>
      </c>
      <c r="C557" t="s">
        <v>72</v>
      </c>
      <c r="D557" s="12">
        <v>46230</v>
      </c>
      <c r="E557" t="s">
        <v>136</v>
      </c>
      <c r="F557" t="s">
        <v>136</v>
      </c>
      <c r="G557" t="s">
        <v>136</v>
      </c>
      <c r="H557" t="s">
        <v>73</v>
      </c>
      <c r="I557">
        <v>10</v>
      </c>
      <c r="J557">
        <v>1</v>
      </c>
      <c r="K557">
        <v>3.5876164620550921</v>
      </c>
      <c r="L557">
        <v>46230</v>
      </c>
      <c r="M557" t="s">
        <v>220</v>
      </c>
      <c r="N557">
        <v>4.75</v>
      </c>
      <c r="O557">
        <v>4.75</v>
      </c>
      <c r="P557">
        <v>4.7058823529411793</v>
      </c>
      <c r="Q557">
        <v>1.3239988304878778</v>
      </c>
      <c r="R557">
        <v>1.3239988304878778</v>
      </c>
      <c r="S557">
        <v>1.3117016277279294</v>
      </c>
      <c r="T557">
        <v>0</v>
      </c>
      <c r="U557">
        <v>0</v>
      </c>
      <c r="V557">
        <v>1.2297202759948389E-2</v>
      </c>
      <c r="W557">
        <v>0</v>
      </c>
      <c r="X557">
        <v>6.170162772792942E-2</v>
      </c>
      <c r="Y557">
        <v>0</v>
      </c>
      <c r="Z557">
        <v>0.25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1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0.75528767622212467</v>
      </c>
      <c r="AO557">
        <v>0.75528767622212467</v>
      </c>
      <c r="AP557">
        <v>0.99071207430340613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9.2879256965938684E-3</v>
      </c>
      <c r="BB557">
        <v>0</v>
      </c>
      <c r="BC557">
        <v>0</v>
      </c>
      <c r="BD557">
        <v>0</v>
      </c>
      <c r="BE557">
        <v>0.75528767622212467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1.0093749999999995</v>
      </c>
      <c r="BL557">
        <v>1.0093749999999995</v>
      </c>
      <c r="BM557">
        <v>0.7623684981867066</v>
      </c>
      <c r="BN557">
        <v>0</v>
      </c>
      <c r="BO557">
        <v>0</v>
      </c>
      <c r="BP557">
        <v>0</v>
      </c>
      <c r="BQ557">
        <v>0</v>
      </c>
      <c r="BR557">
        <v>0</v>
      </c>
      <c r="BS557">
        <v>0</v>
      </c>
      <c r="BT557">
        <v>0</v>
      </c>
      <c r="BU557">
        <v>0</v>
      </c>
      <c r="BV557">
        <v>9.3749999999994671E-3</v>
      </c>
      <c r="BW557">
        <v>0</v>
      </c>
      <c r="BX557">
        <v>0</v>
      </c>
      <c r="BY557">
        <v>0</v>
      </c>
      <c r="BZ557">
        <v>0.2376315018132934</v>
      </c>
      <c r="CA557">
        <v>0</v>
      </c>
      <c r="CB557">
        <v>0.7623684981867066</v>
      </c>
      <c r="CC557">
        <v>0</v>
      </c>
      <c r="CD557">
        <v>0</v>
      </c>
      <c r="CE557">
        <v>0</v>
      </c>
      <c r="CF557">
        <v>0</v>
      </c>
      <c r="CG557">
        <v>0</v>
      </c>
    </row>
    <row r="558" spans="1:85" x14ac:dyDescent="0.25">
      <c r="A558" t="s">
        <v>128</v>
      </c>
      <c r="B558" t="s">
        <v>146</v>
      </c>
      <c r="C558" t="s">
        <v>72</v>
      </c>
      <c r="D558" s="12">
        <v>46229</v>
      </c>
      <c r="E558" t="s">
        <v>136</v>
      </c>
      <c r="F558" t="s">
        <v>136</v>
      </c>
      <c r="G558" t="s">
        <v>136</v>
      </c>
      <c r="H558" t="s">
        <v>75</v>
      </c>
      <c r="I558">
        <v>10</v>
      </c>
      <c r="J558">
        <v>1</v>
      </c>
      <c r="K558">
        <v>3.1779578349000128</v>
      </c>
      <c r="L558">
        <v>46229</v>
      </c>
      <c r="M558" t="s">
        <v>221</v>
      </c>
      <c r="N558">
        <v>2.8499999999999996</v>
      </c>
      <c r="O558">
        <v>2.8499999999999996</v>
      </c>
      <c r="P558">
        <v>4.6366782006920406</v>
      </c>
      <c r="Q558">
        <v>0.89680233283827326</v>
      </c>
      <c r="R558">
        <v>0.89680233283827326</v>
      </c>
      <c r="S558">
        <v>1.4590118691231544</v>
      </c>
      <c r="T558">
        <v>0.45901186912315439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0.10319766716172674</v>
      </c>
      <c r="AD558">
        <v>0</v>
      </c>
      <c r="AE558">
        <v>0</v>
      </c>
      <c r="AF558">
        <v>0</v>
      </c>
      <c r="AG558">
        <v>0</v>
      </c>
      <c r="AH558">
        <v>0.89680233283827326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1.1150729245263205</v>
      </c>
      <c r="AO558">
        <v>1.1150729245263205</v>
      </c>
      <c r="AP558">
        <v>1.6269046318217688</v>
      </c>
      <c r="AQ558">
        <v>0.51183170729544836</v>
      </c>
      <c r="AR558">
        <v>0</v>
      </c>
      <c r="AS558">
        <v>0</v>
      </c>
      <c r="AT558">
        <v>0</v>
      </c>
      <c r="AU558">
        <v>0</v>
      </c>
      <c r="AV558">
        <v>0.38492707547367955</v>
      </c>
      <c r="AW558">
        <v>0.11507292452632045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0.61466417910447768</v>
      </c>
      <c r="BL558">
        <v>0.61466417910447768</v>
      </c>
      <c r="BM558">
        <v>0.68539538379559994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0.31460461620440006</v>
      </c>
      <c r="BY558">
        <v>0</v>
      </c>
      <c r="BZ558">
        <v>0</v>
      </c>
      <c r="CA558">
        <v>0</v>
      </c>
      <c r="CB558">
        <v>0.61466417910447768</v>
      </c>
      <c r="CC558">
        <v>0</v>
      </c>
      <c r="CD558">
        <v>0</v>
      </c>
      <c r="CE558">
        <v>0</v>
      </c>
      <c r="CF558">
        <v>0</v>
      </c>
      <c r="CG558">
        <v>0</v>
      </c>
    </row>
    <row r="559" spans="1:85" x14ac:dyDescent="0.25">
      <c r="A559" t="s">
        <v>128</v>
      </c>
      <c r="B559" t="s">
        <v>146</v>
      </c>
      <c r="C559" t="s">
        <v>72</v>
      </c>
      <c r="D559" s="12">
        <v>46229</v>
      </c>
      <c r="E559" t="s">
        <v>136</v>
      </c>
      <c r="F559" t="s">
        <v>136</v>
      </c>
      <c r="G559" t="s">
        <v>136</v>
      </c>
      <c r="H559" t="s">
        <v>74</v>
      </c>
      <c r="I559">
        <v>10</v>
      </c>
      <c r="J559">
        <v>1</v>
      </c>
      <c r="K559">
        <v>0</v>
      </c>
      <c r="L559">
        <v>46229</v>
      </c>
      <c r="M559" t="s">
        <v>222</v>
      </c>
      <c r="N559">
        <v>0.95</v>
      </c>
      <c r="O559">
        <v>0.95</v>
      </c>
      <c r="P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1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1</v>
      </c>
      <c r="AK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1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1</v>
      </c>
      <c r="CE559">
        <v>0</v>
      </c>
      <c r="CG559">
        <v>0</v>
      </c>
    </row>
    <row r="560" spans="1:85" x14ac:dyDescent="0.25">
      <c r="A560" t="s">
        <v>128</v>
      </c>
      <c r="B560" t="s">
        <v>146</v>
      </c>
      <c r="C560" t="s">
        <v>72</v>
      </c>
      <c r="D560" s="12">
        <v>46229</v>
      </c>
      <c r="E560" t="s">
        <v>136</v>
      </c>
      <c r="F560" t="s">
        <v>136</v>
      </c>
      <c r="G560" t="s">
        <v>136</v>
      </c>
      <c r="H560" t="s">
        <v>73</v>
      </c>
      <c r="I560">
        <v>10</v>
      </c>
      <c r="J560">
        <v>1</v>
      </c>
      <c r="K560">
        <v>3.587616462055093</v>
      </c>
      <c r="L560">
        <v>46229</v>
      </c>
      <c r="M560" t="s">
        <v>223</v>
      </c>
      <c r="N560">
        <v>4.75</v>
      </c>
      <c r="O560">
        <v>4.75</v>
      </c>
      <c r="P560">
        <v>4.7610294117647056</v>
      </c>
      <c r="Q560">
        <v>1.3239988304878776</v>
      </c>
      <c r="R560">
        <v>1.3239988304878776</v>
      </c>
      <c r="S560">
        <v>1.3270731311778647</v>
      </c>
      <c r="T560">
        <v>3.0743006899871528E-3</v>
      </c>
      <c r="U560">
        <v>0</v>
      </c>
      <c r="V560">
        <v>0</v>
      </c>
      <c r="W560">
        <v>0</v>
      </c>
      <c r="X560">
        <v>7.3998830487877587E-2</v>
      </c>
      <c r="Y560">
        <v>0</v>
      </c>
      <c r="Z560">
        <v>0.25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1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0.75528767622212489</v>
      </c>
      <c r="AO560">
        <v>0.75528767622212489</v>
      </c>
      <c r="AP560">
        <v>1.0023219814241486</v>
      </c>
      <c r="AQ560">
        <v>2.3219814241486336E-3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0.75528767622212489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0.99768339768339775</v>
      </c>
      <c r="BL560">
        <v>0.99768339768339775</v>
      </c>
      <c r="BM560">
        <v>0.75353797504168751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2.3166023166022454E-3</v>
      </c>
      <c r="BY560">
        <v>0</v>
      </c>
      <c r="BZ560">
        <v>0.24414542264171024</v>
      </c>
      <c r="CA560">
        <v>0</v>
      </c>
      <c r="CB560">
        <v>0.75353797504168751</v>
      </c>
      <c r="CC560">
        <v>0</v>
      </c>
      <c r="CD560">
        <v>0</v>
      </c>
      <c r="CE560">
        <v>0</v>
      </c>
      <c r="CF560">
        <v>0</v>
      </c>
      <c r="CG560">
        <v>0</v>
      </c>
    </row>
    <row r="561" spans="1:85" x14ac:dyDescent="0.25">
      <c r="A561" t="s">
        <v>128</v>
      </c>
      <c r="B561" t="s">
        <v>146</v>
      </c>
      <c r="C561" t="s">
        <v>72</v>
      </c>
      <c r="D561" s="12">
        <v>46228</v>
      </c>
      <c r="E561" t="s">
        <v>136</v>
      </c>
      <c r="F561" t="s">
        <v>136</v>
      </c>
      <c r="G561" t="s">
        <v>136</v>
      </c>
      <c r="H561" t="s">
        <v>75</v>
      </c>
      <c r="I561">
        <v>10</v>
      </c>
      <c r="J561">
        <v>1</v>
      </c>
      <c r="K561">
        <v>3.1779578349000133</v>
      </c>
      <c r="L561">
        <v>46228</v>
      </c>
      <c r="M561" t="s">
        <v>224</v>
      </c>
      <c r="N561">
        <v>2.8499999999999996</v>
      </c>
      <c r="O561">
        <v>2.8499999999999996</v>
      </c>
      <c r="P561">
        <v>4.5813148788927336</v>
      </c>
      <c r="Q561">
        <v>0.89680233283827315</v>
      </c>
      <c r="R561">
        <v>0.89680233283827315</v>
      </c>
      <c r="S561">
        <v>1.4415908318798929</v>
      </c>
      <c r="T561">
        <v>0.4415908318798929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0.10319766716172685</v>
      </c>
      <c r="AD561">
        <v>0</v>
      </c>
      <c r="AE561">
        <v>0</v>
      </c>
      <c r="AF561">
        <v>0</v>
      </c>
      <c r="AG561">
        <v>0</v>
      </c>
      <c r="AH561">
        <v>0.89680233283827315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1.1150729245263207</v>
      </c>
      <c r="AO561">
        <v>1.1150729245263207</v>
      </c>
      <c r="AP561">
        <v>1.6074789048746436</v>
      </c>
      <c r="AQ561">
        <v>0.49240598034832295</v>
      </c>
      <c r="AR561">
        <v>0</v>
      </c>
      <c r="AS561">
        <v>0</v>
      </c>
      <c r="AT561">
        <v>0</v>
      </c>
      <c r="AU561">
        <v>0</v>
      </c>
      <c r="AV561">
        <v>0.38492707547367933</v>
      </c>
      <c r="AW561">
        <v>0.11507292452632067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0.62209214501510568</v>
      </c>
      <c r="BL561">
        <v>0.62209214501510568</v>
      </c>
      <c r="BM561">
        <v>0.69367810746684577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0.30632189253315423</v>
      </c>
      <c r="BY561">
        <v>0</v>
      </c>
      <c r="BZ561">
        <v>0</v>
      </c>
      <c r="CA561">
        <v>0</v>
      </c>
      <c r="CB561">
        <v>0.62209214501510568</v>
      </c>
      <c r="CC561">
        <v>0</v>
      </c>
      <c r="CD561">
        <v>0</v>
      </c>
      <c r="CE561">
        <v>0</v>
      </c>
      <c r="CF561">
        <v>0</v>
      </c>
      <c r="CG561">
        <v>0</v>
      </c>
    </row>
    <row r="562" spans="1:85" x14ac:dyDescent="0.25">
      <c r="A562" t="s">
        <v>128</v>
      </c>
      <c r="B562" t="s">
        <v>146</v>
      </c>
      <c r="C562" t="s">
        <v>72</v>
      </c>
      <c r="D562" s="12">
        <v>46228</v>
      </c>
      <c r="E562" t="s">
        <v>136</v>
      </c>
      <c r="F562" t="s">
        <v>136</v>
      </c>
      <c r="G562" t="s">
        <v>136</v>
      </c>
      <c r="H562" t="s">
        <v>74</v>
      </c>
      <c r="I562">
        <v>10</v>
      </c>
      <c r="J562">
        <v>1</v>
      </c>
      <c r="K562">
        <v>0</v>
      </c>
      <c r="L562">
        <v>46228</v>
      </c>
      <c r="M562" t="s">
        <v>225</v>
      </c>
      <c r="N562">
        <v>0.95</v>
      </c>
      <c r="O562">
        <v>0.95</v>
      </c>
      <c r="P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1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1</v>
      </c>
      <c r="AK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0</v>
      </c>
      <c r="BU562">
        <v>0</v>
      </c>
      <c r="BV562">
        <v>0</v>
      </c>
      <c r="BW562">
        <v>0</v>
      </c>
      <c r="BX562">
        <v>1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1</v>
      </c>
      <c r="CE562">
        <v>0</v>
      </c>
      <c r="CG562">
        <v>0</v>
      </c>
    </row>
    <row r="563" spans="1:85" x14ac:dyDescent="0.25">
      <c r="A563" t="s">
        <v>128</v>
      </c>
      <c r="B563" t="s">
        <v>146</v>
      </c>
      <c r="C563" t="s">
        <v>72</v>
      </c>
      <c r="D563" s="12">
        <v>46228</v>
      </c>
      <c r="E563" t="s">
        <v>136</v>
      </c>
      <c r="F563" t="s">
        <v>136</v>
      </c>
      <c r="G563" t="s">
        <v>136</v>
      </c>
      <c r="H563" t="s">
        <v>73</v>
      </c>
      <c r="I563">
        <v>10</v>
      </c>
      <c r="J563">
        <v>1</v>
      </c>
      <c r="K563">
        <v>3.587616462055093</v>
      </c>
      <c r="L563">
        <v>46228</v>
      </c>
      <c r="M563" t="s">
        <v>226</v>
      </c>
      <c r="N563">
        <v>4.75</v>
      </c>
      <c r="O563">
        <v>4.75</v>
      </c>
      <c r="P563">
        <v>3.8198529411764697</v>
      </c>
      <c r="Q563">
        <v>1.3239988304878776</v>
      </c>
      <c r="R563">
        <v>1.3239988304878776</v>
      </c>
      <c r="S563">
        <v>1.0647328056322789</v>
      </c>
      <c r="T563">
        <v>0</v>
      </c>
      <c r="U563">
        <v>0</v>
      </c>
      <c r="V563">
        <v>7.3998830487877587E-2</v>
      </c>
      <c r="W563">
        <v>0</v>
      </c>
      <c r="X563">
        <v>0</v>
      </c>
      <c r="Y563">
        <v>0</v>
      </c>
      <c r="Z563">
        <v>6.47328056322789E-2</v>
      </c>
      <c r="AA563">
        <v>0</v>
      </c>
      <c r="AB563">
        <v>0.1852671943677211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1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0.75528767622212489</v>
      </c>
      <c r="AO563">
        <v>0.75528767622212489</v>
      </c>
      <c r="AP563">
        <v>0.80417956656346734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0.19582043343653266</v>
      </c>
      <c r="BB563">
        <v>0</v>
      </c>
      <c r="BC563">
        <v>0</v>
      </c>
      <c r="BD563">
        <v>0</v>
      </c>
      <c r="BE563">
        <v>0.75528767622212489</v>
      </c>
      <c r="BF563">
        <v>0</v>
      </c>
      <c r="BG563">
        <v>0</v>
      </c>
      <c r="BH563">
        <v>0</v>
      </c>
      <c r="BI563">
        <v>0</v>
      </c>
      <c r="BJ563">
        <v>0</v>
      </c>
      <c r="BK563">
        <v>1.2435033686236769</v>
      </c>
      <c r="BL563">
        <v>1.2435033686236769</v>
      </c>
      <c r="BM563">
        <v>0.93920276966216121</v>
      </c>
      <c r="BN563">
        <v>0</v>
      </c>
      <c r="BO563">
        <v>0</v>
      </c>
      <c r="BP563">
        <v>0</v>
      </c>
      <c r="BQ563">
        <v>0</v>
      </c>
      <c r="BR563">
        <v>0</v>
      </c>
      <c r="BS563">
        <v>0</v>
      </c>
      <c r="BT563">
        <v>0</v>
      </c>
      <c r="BU563">
        <v>0</v>
      </c>
      <c r="BV563">
        <v>0.24350336862367694</v>
      </c>
      <c r="BW563">
        <v>0</v>
      </c>
      <c r="BX563">
        <v>0</v>
      </c>
      <c r="BY563">
        <v>0</v>
      </c>
      <c r="BZ563">
        <v>6.0797230337838792E-2</v>
      </c>
      <c r="CA563">
        <v>0</v>
      </c>
      <c r="CB563">
        <v>0.93920276966216121</v>
      </c>
      <c r="CC563">
        <v>0</v>
      </c>
      <c r="CD563">
        <v>0</v>
      </c>
      <c r="CE563">
        <v>0</v>
      </c>
      <c r="CF563">
        <v>0</v>
      </c>
      <c r="CG563">
        <v>0</v>
      </c>
    </row>
    <row r="564" spans="1:85" x14ac:dyDescent="0.25">
      <c r="A564" t="s">
        <v>128</v>
      </c>
      <c r="B564" t="s">
        <v>146</v>
      </c>
      <c r="C564" t="s">
        <v>72</v>
      </c>
      <c r="D564" s="12">
        <v>46227</v>
      </c>
      <c r="E564" t="s">
        <v>136</v>
      </c>
      <c r="F564" t="s">
        <v>136</v>
      </c>
      <c r="G564" t="s">
        <v>136</v>
      </c>
      <c r="H564" t="s">
        <v>75</v>
      </c>
      <c r="I564">
        <v>10</v>
      </c>
      <c r="J564">
        <v>1</v>
      </c>
      <c r="K564">
        <v>3.1779578349000128</v>
      </c>
      <c r="L564">
        <v>46227</v>
      </c>
      <c r="M564" t="s">
        <v>227</v>
      </c>
      <c r="N564">
        <v>2.8499999999999996</v>
      </c>
      <c r="O564">
        <v>2.8499999999999996</v>
      </c>
      <c r="P564">
        <v>2.8685121107266438</v>
      </c>
      <c r="Q564">
        <v>0.89680233283827326</v>
      </c>
      <c r="R564">
        <v>0.89680233283827326</v>
      </c>
      <c r="S564">
        <v>0.90262749216648908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5.8251593282158121E-3</v>
      </c>
      <c r="AD564">
        <v>9.7372507833510924E-2</v>
      </c>
      <c r="AE564">
        <v>0</v>
      </c>
      <c r="AF564">
        <v>0</v>
      </c>
      <c r="AG564">
        <v>0</v>
      </c>
      <c r="AH564">
        <v>0.89680233283827326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1.1150729245263205</v>
      </c>
      <c r="AO564">
        <v>1.1150729245263205</v>
      </c>
      <c r="AP564">
        <v>1.0064954774479453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6.4954774479453192E-3</v>
      </c>
      <c r="AX564">
        <v>0</v>
      </c>
      <c r="AY564">
        <v>0.10857744707837513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1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0.99354644149577787</v>
      </c>
      <c r="BL564">
        <v>0.99354644149577787</v>
      </c>
      <c r="BM564">
        <v>1.1078767361714157</v>
      </c>
      <c r="BN564">
        <v>0.10787673617141569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0</v>
      </c>
      <c r="BV564">
        <v>0</v>
      </c>
      <c r="BW564">
        <v>0.10319766716172674</v>
      </c>
      <c r="BX564">
        <v>0</v>
      </c>
      <c r="BY564">
        <v>0</v>
      </c>
      <c r="BZ564">
        <v>0</v>
      </c>
      <c r="CA564">
        <v>0</v>
      </c>
      <c r="CB564">
        <v>0.99354644149577787</v>
      </c>
      <c r="CC564">
        <v>0</v>
      </c>
      <c r="CD564">
        <v>0</v>
      </c>
      <c r="CE564">
        <v>0</v>
      </c>
      <c r="CF564">
        <v>0</v>
      </c>
      <c r="CG564">
        <v>0</v>
      </c>
    </row>
    <row r="565" spans="1:85" x14ac:dyDescent="0.25">
      <c r="A565" t="s">
        <v>128</v>
      </c>
      <c r="B565" t="s">
        <v>146</v>
      </c>
      <c r="C565" t="s">
        <v>72</v>
      </c>
      <c r="D565" s="12">
        <v>46227</v>
      </c>
      <c r="E565" t="s">
        <v>136</v>
      </c>
      <c r="F565" t="s">
        <v>136</v>
      </c>
      <c r="G565" t="s">
        <v>136</v>
      </c>
      <c r="H565" t="s">
        <v>74</v>
      </c>
      <c r="I565">
        <v>10</v>
      </c>
      <c r="J565">
        <v>1</v>
      </c>
      <c r="K565">
        <v>0</v>
      </c>
      <c r="L565">
        <v>46227</v>
      </c>
      <c r="M565" t="s">
        <v>228</v>
      </c>
      <c r="N565">
        <v>0</v>
      </c>
      <c r="O565">
        <v>0</v>
      </c>
      <c r="P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1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M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1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G565">
        <v>0</v>
      </c>
    </row>
    <row r="566" spans="1:85" x14ac:dyDescent="0.25">
      <c r="A566" t="s">
        <v>128</v>
      </c>
      <c r="B566" t="s">
        <v>146</v>
      </c>
      <c r="C566" t="s">
        <v>72</v>
      </c>
      <c r="D566" s="12">
        <v>46227</v>
      </c>
      <c r="E566" t="s">
        <v>136</v>
      </c>
      <c r="F566" t="s">
        <v>136</v>
      </c>
      <c r="G566" t="s">
        <v>136</v>
      </c>
      <c r="H566" t="s">
        <v>73</v>
      </c>
      <c r="I566">
        <v>10</v>
      </c>
      <c r="J566">
        <v>1</v>
      </c>
      <c r="K566">
        <v>3.5876164620550925</v>
      </c>
      <c r="L566">
        <v>46227</v>
      </c>
      <c r="M566" t="s">
        <v>229</v>
      </c>
      <c r="N566">
        <v>3.8</v>
      </c>
      <c r="O566">
        <v>3.8</v>
      </c>
      <c r="P566">
        <v>4.702205882352942</v>
      </c>
      <c r="Q566">
        <v>1.0591990643903022</v>
      </c>
      <c r="R566">
        <v>1.0591990643903022</v>
      </c>
      <c r="S566">
        <v>1.3106768608312662</v>
      </c>
      <c r="T566">
        <v>0.25147779644096402</v>
      </c>
      <c r="U566">
        <v>0</v>
      </c>
      <c r="V566">
        <v>0</v>
      </c>
      <c r="W566">
        <v>0</v>
      </c>
      <c r="X566">
        <v>0</v>
      </c>
      <c r="Y566">
        <v>0.1908009356096978</v>
      </c>
      <c r="Z566">
        <v>5.9199064390302203E-2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1</v>
      </c>
      <c r="AN566">
        <v>0.94410959527765603</v>
      </c>
      <c r="AO566">
        <v>0.94410959527765603</v>
      </c>
      <c r="AP566">
        <v>1.2374226006191953</v>
      </c>
      <c r="AQ566">
        <v>0.23742260061919529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0.94410959527765603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0.80813135261923363</v>
      </c>
      <c r="BL566">
        <v>0.80813135261923363</v>
      </c>
      <c r="BM566">
        <v>0.76296456425252934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0.19186864738076637</v>
      </c>
      <c r="BY566">
        <v>0</v>
      </c>
      <c r="BZ566">
        <v>4.5166788366704291E-2</v>
      </c>
      <c r="CA566">
        <v>0</v>
      </c>
      <c r="CB566">
        <v>0.76296456425252934</v>
      </c>
      <c r="CC566">
        <v>0</v>
      </c>
      <c r="CD566">
        <v>0</v>
      </c>
      <c r="CE566">
        <v>0</v>
      </c>
      <c r="CF566">
        <v>0</v>
      </c>
      <c r="CG566">
        <v>0</v>
      </c>
    </row>
    <row r="567" spans="1:85" x14ac:dyDescent="0.25">
      <c r="A567" t="s">
        <v>128</v>
      </c>
      <c r="B567" t="s">
        <v>146</v>
      </c>
      <c r="C567" t="s">
        <v>72</v>
      </c>
      <c r="D567" s="12">
        <v>46226</v>
      </c>
      <c r="E567" t="s">
        <v>136</v>
      </c>
      <c r="F567" t="s">
        <v>136</v>
      </c>
      <c r="G567" t="s">
        <v>136</v>
      </c>
      <c r="H567" t="s">
        <v>75</v>
      </c>
      <c r="I567">
        <v>10</v>
      </c>
      <c r="J567">
        <v>1</v>
      </c>
      <c r="K567">
        <v>3.1779578349000133</v>
      </c>
      <c r="L567">
        <v>46226</v>
      </c>
      <c r="M567" t="s">
        <v>230</v>
      </c>
      <c r="N567">
        <v>2.8499999999999996</v>
      </c>
      <c r="O567">
        <v>2.8499999999999996</v>
      </c>
      <c r="P567">
        <v>4.6332179930795849</v>
      </c>
      <c r="Q567">
        <v>0.89680233283827315</v>
      </c>
      <c r="R567">
        <v>0.89680233283827315</v>
      </c>
      <c r="S567">
        <v>1.4579230542954507</v>
      </c>
      <c r="T567">
        <v>0.45792305429545066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0.10319766716172685</v>
      </c>
      <c r="AD567">
        <v>0</v>
      </c>
      <c r="AE567">
        <v>0</v>
      </c>
      <c r="AF567">
        <v>0</v>
      </c>
      <c r="AG567">
        <v>0</v>
      </c>
      <c r="AH567">
        <v>0.89680233283827315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1.1150729245263207</v>
      </c>
      <c r="AO567">
        <v>1.1150729245263207</v>
      </c>
      <c r="AP567">
        <v>1.6256905238875738</v>
      </c>
      <c r="AQ567">
        <v>0.51061759936125317</v>
      </c>
      <c r="AR567">
        <v>0</v>
      </c>
      <c r="AS567">
        <v>0</v>
      </c>
      <c r="AT567">
        <v>0</v>
      </c>
      <c r="AU567">
        <v>0</v>
      </c>
      <c r="AV567">
        <v>0.38492707547367933</v>
      </c>
      <c r="AW567">
        <v>0.11507292452632067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0.61512322628827476</v>
      </c>
      <c r="BL567">
        <v>0.61512322628827476</v>
      </c>
      <c r="BM567">
        <v>0.6859072548813322</v>
      </c>
      <c r="BN567">
        <v>0</v>
      </c>
      <c r="BO567">
        <v>0</v>
      </c>
      <c r="BP567">
        <v>0</v>
      </c>
      <c r="BQ567">
        <v>0</v>
      </c>
      <c r="BR567">
        <v>0</v>
      </c>
      <c r="BS567">
        <v>0</v>
      </c>
      <c r="BT567">
        <v>0</v>
      </c>
      <c r="BU567">
        <v>0</v>
      </c>
      <c r="BV567">
        <v>0</v>
      </c>
      <c r="BW567">
        <v>0</v>
      </c>
      <c r="BX567">
        <v>0.3140927451186678</v>
      </c>
      <c r="BY567">
        <v>0</v>
      </c>
      <c r="BZ567">
        <v>0</v>
      </c>
      <c r="CA567">
        <v>0</v>
      </c>
      <c r="CB567">
        <v>0.61512322628827476</v>
      </c>
      <c r="CC567">
        <v>0</v>
      </c>
      <c r="CD567">
        <v>0</v>
      </c>
      <c r="CE567">
        <v>0</v>
      </c>
      <c r="CF567">
        <v>0</v>
      </c>
      <c r="CG567">
        <v>0</v>
      </c>
    </row>
    <row r="568" spans="1:85" x14ac:dyDescent="0.25">
      <c r="A568" t="s">
        <v>128</v>
      </c>
      <c r="B568" t="s">
        <v>146</v>
      </c>
      <c r="C568" t="s">
        <v>72</v>
      </c>
      <c r="D568" s="12">
        <v>46231</v>
      </c>
      <c r="E568" t="s">
        <v>136</v>
      </c>
      <c r="F568" t="s">
        <v>136</v>
      </c>
      <c r="G568" t="s">
        <v>136</v>
      </c>
      <c r="H568" t="s">
        <v>73</v>
      </c>
      <c r="I568">
        <v>10</v>
      </c>
      <c r="J568">
        <v>1</v>
      </c>
      <c r="K568">
        <v>3.5876164620550925</v>
      </c>
      <c r="L568">
        <v>46231</v>
      </c>
      <c r="M568" t="s">
        <v>217</v>
      </c>
      <c r="N568">
        <v>4.75</v>
      </c>
      <c r="O568">
        <v>4.75</v>
      </c>
      <c r="P568">
        <v>4.7058823529411749</v>
      </c>
      <c r="Q568">
        <v>1.3239988304878778</v>
      </c>
      <c r="R568">
        <v>1.3239988304878778</v>
      </c>
      <c r="S568">
        <v>1.3117016277279279</v>
      </c>
      <c r="T568">
        <v>0</v>
      </c>
      <c r="U568">
        <v>0</v>
      </c>
      <c r="V568">
        <v>1.2297202759949943E-2</v>
      </c>
      <c r="W568">
        <v>0</v>
      </c>
      <c r="X568">
        <v>6.1701627727927866E-2</v>
      </c>
      <c r="Y568">
        <v>0</v>
      </c>
      <c r="Z568">
        <v>0.25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1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0.75528767622212478</v>
      </c>
      <c r="AO568">
        <v>0.75528767622212478</v>
      </c>
      <c r="AP568">
        <v>0.99071207430340524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9.2879256965947565E-3</v>
      </c>
      <c r="BB568">
        <v>0</v>
      </c>
      <c r="BC568">
        <v>0</v>
      </c>
      <c r="BD568">
        <v>0</v>
      </c>
      <c r="BE568">
        <v>0.75528767622212478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1.0093750000000004</v>
      </c>
      <c r="BL568">
        <v>1.0093750000000004</v>
      </c>
      <c r="BM568">
        <v>0.76236849818670738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0</v>
      </c>
      <c r="BV568">
        <v>9.3750000000003553E-3</v>
      </c>
      <c r="BW568">
        <v>0</v>
      </c>
      <c r="BX568">
        <v>0</v>
      </c>
      <c r="BY568">
        <v>0</v>
      </c>
      <c r="BZ568">
        <v>0.23763150181329262</v>
      </c>
      <c r="CA568">
        <v>0</v>
      </c>
      <c r="CB568">
        <v>0.76236849818670738</v>
      </c>
      <c r="CC568">
        <v>0</v>
      </c>
      <c r="CD568">
        <v>0</v>
      </c>
      <c r="CE568">
        <v>0</v>
      </c>
      <c r="CF568">
        <v>0</v>
      </c>
      <c r="CG568">
        <v>0</v>
      </c>
    </row>
    <row r="569" spans="1:85" x14ac:dyDescent="0.25">
      <c r="A569" t="s">
        <v>128</v>
      </c>
      <c r="B569" t="s">
        <v>146</v>
      </c>
      <c r="C569" t="s">
        <v>72</v>
      </c>
      <c r="D569" s="12">
        <v>46243</v>
      </c>
      <c r="E569" t="s">
        <v>134</v>
      </c>
      <c r="F569" t="s">
        <v>134</v>
      </c>
      <c r="G569" t="s">
        <v>134</v>
      </c>
      <c r="H569" t="s">
        <v>75</v>
      </c>
      <c r="I569">
        <v>10</v>
      </c>
      <c r="J569">
        <v>1</v>
      </c>
      <c r="K569">
        <v>11.818030698534422</v>
      </c>
      <c r="L569">
        <v>46243</v>
      </c>
      <c r="M569" t="s">
        <v>205</v>
      </c>
      <c r="N569">
        <v>5.6999999999999993</v>
      </c>
      <c r="O569">
        <v>5.6999999999999993</v>
      </c>
      <c r="P569">
        <v>12.1875</v>
      </c>
      <c r="Q569">
        <v>0.48231385967772683</v>
      </c>
      <c r="R569">
        <v>0.48231385967772683</v>
      </c>
      <c r="S569">
        <v>1.0312631868109292</v>
      </c>
      <c r="T569">
        <v>3.1263186810929211E-2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0.51768614032227322</v>
      </c>
      <c r="AD569">
        <v>0</v>
      </c>
      <c r="AE569">
        <v>0</v>
      </c>
      <c r="AF569">
        <v>0</v>
      </c>
      <c r="AG569">
        <v>0</v>
      </c>
      <c r="AH569">
        <v>0.48231385967772683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2.0733387190411268</v>
      </c>
      <c r="AO569">
        <v>2.0733387190411268</v>
      </c>
      <c r="AP569">
        <v>2.1381578947368425</v>
      </c>
      <c r="BG569">
        <v>0</v>
      </c>
      <c r="BH569">
        <v>0</v>
      </c>
      <c r="BI569">
        <v>0</v>
      </c>
      <c r="BK569">
        <v>0.46769230769230763</v>
      </c>
      <c r="BL569">
        <v>0.46769230769230763</v>
      </c>
      <c r="BM569">
        <v>0.96968457013615772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3.031542986384228E-2</v>
      </c>
      <c r="BY569">
        <v>0</v>
      </c>
      <c r="BZ569">
        <v>0</v>
      </c>
      <c r="CA569">
        <v>0</v>
      </c>
      <c r="CB569">
        <v>0.46769230769230763</v>
      </c>
      <c r="CC569">
        <v>0</v>
      </c>
      <c r="CD569">
        <v>0</v>
      </c>
      <c r="CE569">
        <v>0</v>
      </c>
      <c r="CF569">
        <v>0</v>
      </c>
      <c r="CG569">
        <v>0</v>
      </c>
    </row>
    <row r="570" spans="1:85" x14ac:dyDescent="0.25">
      <c r="A570" t="s">
        <v>128</v>
      </c>
      <c r="B570" t="s">
        <v>146</v>
      </c>
      <c r="C570" t="s">
        <v>72</v>
      </c>
      <c r="D570" s="12">
        <v>46243</v>
      </c>
      <c r="E570" t="s">
        <v>134</v>
      </c>
      <c r="F570" t="s">
        <v>134</v>
      </c>
      <c r="G570" t="s">
        <v>134</v>
      </c>
      <c r="H570" t="s">
        <v>74</v>
      </c>
      <c r="I570">
        <v>10</v>
      </c>
      <c r="J570">
        <v>1</v>
      </c>
      <c r="K570">
        <v>4.2207252494765797</v>
      </c>
      <c r="L570">
        <v>46243</v>
      </c>
      <c r="M570" t="s">
        <v>214</v>
      </c>
      <c r="N570">
        <v>1.9</v>
      </c>
      <c r="O570">
        <v>1.9</v>
      </c>
      <c r="P570">
        <v>4.6875</v>
      </c>
      <c r="Q570">
        <v>0.45015960236587838</v>
      </c>
      <c r="R570">
        <v>0.45015960236587838</v>
      </c>
      <c r="S570">
        <v>1.1105911242579236</v>
      </c>
      <c r="T570">
        <v>0.11059112425792361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0.54984039763412162</v>
      </c>
      <c r="AD570">
        <v>0</v>
      </c>
      <c r="AE570">
        <v>0</v>
      </c>
      <c r="AF570">
        <v>0</v>
      </c>
      <c r="AG570">
        <v>0</v>
      </c>
      <c r="AH570">
        <v>0.45015960236587838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2.2214343418297791</v>
      </c>
      <c r="AO570">
        <v>2.2214343418297791</v>
      </c>
      <c r="AP570">
        <v>2.4671052631578947</v>
      </c>
      <c r="BG570">
        <v>0</v>
      </c>
      <c r="BH570">
        <v>0</v>
      </c>
      <c r="BI570">
        <v>0</v>
      </c>
      <c r="BK570">
        <v>0.40533333333333332</v>
      </c>
      <c r="BL570">
        <v>0.40533333333333332</v>
      </c>
      <c r="BM570">
        <v>0.9004213865550037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0</v>
      </c>
      <c r="BU570">
        <v>0</v>
      </c>
      <c r="BV570">
        <v>0</v>
      </c>
      <c r="BW570">
        <v>0</v>
      </c>
      <c r="BX570">
        <v>9.95786134449963E-2</v>
      </c>
      <c r="BY570">
        <v>0</v>
      </c>
      <c r="BZ570">
        <v>0</v>
      </c>
      <c r="CA570">
        <v>0</v>
      </c>
      <c r="CB570">
        <v>0.40533333333333332</v>
      </c>
      <c r="CC570">
        <v>0</v>
      </c>
      <c r="CD570">
        <v>0</v>
      </c>
      <c r="CE570">
        <v>0</v>
      </c>
      <c r="CF570">
        <v>0</v>
      </c>
      <c r="CG570">
        <v>0</v>
      </c>
    </row>
    <row r="571" spans="1:85" x14ac:dyDescent="0.25">
      <c r="A571" t="s">
        <v>128</v>
      </c>
      <c r="B571" t="s">
        <v>146</v>
      </c>
      <c r="C571" t="s">
        <v>72</v>
      </c>
      <c r="D571" s="12">
        <v>46243</v>
      </c>
      <c r="E571" t="s">
        <v>134</v>
      </c>
      <c r="F571" t="s">
        <v>134</v>
      </c>
      <c r="G571" t="s">
        <v>134</v>
      </c>
      <c r="H571" t="s">
        <v>73</v>
      </c>
      <c r="I571">
        <v>10</v>
      </c>
      <c r="J571">
        <v>1</v>
      </c>
      <c r="K571">
        <v>10.973885648639106</v>
      </c>
      <c r="L571">
        <v>46243</v>
      </c>
      <c r="M571" t="s">
        <v>206</v>
      </c>
      <c r="N571">
        <v>0.95</v>
      </c>
      <c r="O571">
        <v>0.95</v>
      </c>
      <c r="P571">
        <v>11.25</v>
      </c>
      <c r="Q571">
        <v>8.6569154301130463E-2</v>
      </c>
      <c r="R571">
        <v>8.6569154301130463E-2</v>
      </c>
      <c r="S571">
        <v>1.025161037776545</v>
      </c>
      <c r="T571">
        <v>2.5161037776544992E-2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0.91343084569886956</v>
      </c>
      <c r="AD571">
        <v>0</v>
      </c>
      <c r="AE571">
        <v>0</v>
      </c>
      <c r="AF571">
        <v>0</v>
      </c>
      <c r="AG571">
        <v>0</v>
      </c>
      <c r="AH571">
        <v>8.6569154301130463E-2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11.551458577514849</v>
      </c>
      <c r="AO571">
        <v>11.551458577514849</v>
      </c>
      <c r="AP571">
        <v>11.842105263157896</v>
      </c>
      <c r="BG571">
        <v>0</v>
      </c>
      <c r="BH571">
        <v>0</v>
      </c>
      <c r="BI571">
        <v>0</v>
      </c>
      <c r="BK571">
        <v>8.4444444444444447E-2</v>
      </c>
      <c r="BL571">
        <v>8.4444444444444447E-2</v>
      </c>
      <c r="BM571">
        <v>0.9754565021012539</v>
      </c>
      <c r="BN571">
        <v>0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0</v>
      </c>
      <c r="BV571">
        <v>0</v>
      </c>
      <c r="BW571">
        <v>0</v>
      </c>
      <c r="BX571">
        <v>2.4543497898746103E-2</v>
      </c>
      <c r="BY571">
        <v>0</v>
      </c>
      <c r="BZ571">
        <v>0</v>
      </c>
      <c r="CA571">
        <v>0</v>
      </c>
      <c r="CB571">
        <v>8.4444444444444447E-2</v>
      </c>
      <c r="CC571">
        <v>0</v>
      </c>
      <c r="CD571">
        <v>0</v>
      </c>
      <c r="CE571">
        <v>0</v>
      </c>
      <c r="CF571">
        <v>0</v>
      </c>
      <c r="CG571">
        <v>0</v>
      </c>
    </row>
    <row r="572" spans="1:85" x14ac:dyDescent="0.25">
      <c r="A572" t="s">
        <v>128</v>
      </c>
      <c r="B572" t="s">
        <v>146</v>
      </c>
      <c r="C572" t="s">
        <v>72</v>
      </c>
      <c r="D572" s="12">
        <v>46232</v>
      </c>
      <c r="E572" t="s">
        <v>134</v>
      </c>
      <c r="F572" t="s">
        <v>134</v>
      </c>
      <c r="G572" t="s">
        <v>134</v>
      </c>
      <c r="H572" t="s">
        <v>73</v>
      </c>
      <c r="I572">
        <v>10</v>
      </c>
      <c r="J572">
        <v>1</v>
      </c>
      <c r="K572">
        <v>12.583037150002054</v>
      </c>
      <c r="L572">
        <v>46232</v>
      </c>
      <c r="M572" t="s">
        <v>241</v>
      </c>
      <c r="N572">
        <v>2.8499999999999996</v>
      </c>
      <c r="O572">
        <v>2.8499999999999996</v>
      </c>
      <c r="P572">
        <v>12.652573529411764</v>
      </c>
      <c r="Q572">
        <v>0.22649539741679411</v>
      </c>
      <c r="R572">
        <v>0.22649539741679411</v>
      </c>
      <c r="S572">
        <v>1.0055261999611675</v>
      </c>
      <c r="T572">
        <v>5.5261999611675439E-3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0.77350460258320586</v>
      </c>
      <c r="AD572">
        <v>0</v>
      </c>
      <c r="AE572">
        <v>0</v>
      </c>
      <c r="AF572">
        <v>0</v>
      </c>
      <c r="AG572">
        <v>0</v>
      </c>
      <c r="AH572">
        <v>0.22649539741679411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4.4151007543866863</v>
      </c>
      <c r="AO572">
        <v>4.4151007543866863</v>
      </c>
      <c r="AP572">
        <v>4.4394994840041289</v>
      </c>
      <c r="BG572">
        <v>0</v>
      </c>
      <c r="BH572">
        <v>0</v>
      </c>
      <c r="BI572">
        <v>0</v>
      </c>
      <c r="BK572">
        <v>0.2252506174633154</v>
      </c>
      <c r="BL572">
        <v>0.2252506174633154</v>
      </c>
      <c r="BM572">
        <v>0.99450417108835065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0</v>
      </c>
      <c r="BU572">
        <v>0</v>
      </c>
      <c r="BV572">
        <v>0</v>
      </c>
      <c r="BW572">
        <v>0</v>
      </c>
      <c r="BX572">
        <v>5.4958289116493475E-3</v>
      </c>
      <c r="BY572">
        <v>0</v>
      </c>
      <c r="BZ572">
        <v>0</v>
      </c>
      <c r="CA572">
        <v>0</v>
      </c>
      <c r="CB572">
        <v>0.2252506174633154</v>
      </c>
      <c r="CC572">
        <v>0</v>
      </c>
      <c r="CD572">
        <v>0</v>
      </c>
      <c r="CE572">
        <v>0</v>
      </c>
      <c r="CF572">
        <v>0</v>
      </c>
      <c r="CG572">
        <v>0</v>
      </c>
    </row>
    <row r="573" spans="1:85" x14ac:dyDescent="0.25">
      <c r="A573" t="s">
        <v>128</v>
      </c>
      <c r="B573" t="s">
        <v>146</v>
      </c>
      <c r="C573" t="s">
        <v>72</v>
      </c>
      <c r="D573" s="12">
        <v>46231</v>
      </c>
      <c r="E573" t="s">
        <v>134</v>
      </c>
      <c r="F573" t="s">
        <v>134</v>
      </c>
      <c r="G573" t="s">
        <v>134</v>
      </c>
      <c r="H573" t="s">
        <v>75</v>
      </c>
      <c r="I573">
        <v>10</v>
      </c>
      <c r="J573">
        <v>1</v>
      </c>
      <c r="K573">
        <v>10.973885648639106</v>
      </c>
      <c r="L573">
        <v>46231</v>
      </c>
      <c r="M573" t="s">
        <v>234</v>
      </c>
      <c r="N573">
        <v>0.95</v>
      </c>
      <c r="O573">
        <v>0.95</v>
      </c>
      <c r="P573">
        <v>11.262499999999999</v>
      </c>
      <c r="Q573">
        <v>8.6569154301130463E-2</v>
      </c>
      <c r="R573">
        <v>8.6569154301130463E-2</v>
      </c>
      <c r="S573">
        <v>1.0263001055962966</v>
      </c>
      <c r="T573">
        <v>2.6300105596296586E-2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0.91343084569886956</v>
      </c>
      <c r="AD573">
        <v>0</v>
      </c>
      <c r="AE573">
        <v>0</v>
      </c>
      <c r="AF573">
        <v>0</v>
      </c>
      <c r="AG573">
        <v>0</v>
      </c>
      <c r="AH573">
        <v>8.6569154301130463E-2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11.551458577514849</v>
      </c>
      <c r="AO573">
        <v>11.551458577514849</v>
      </c>
      <c r="AP573">
        <v>11.855263157894736</v>
      </c>
      <c r="BG573">
        <v>0</v>
      </c>
      <c r="BH573">
        <v>0</v>
      </c>
      <c r="BI573">
        <v>0</v>
      </c>
      <c r="BK573">
        <v>8.4350721420643732E-2</v>
      </c>
      <c r="BL573">
        <v>8.4350721420643732E-2</v>
      </c>
      <c r="BM573">
        <v>0.97437386447406049</v>
      </c>
      <c r="BN573">
        <v>0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0</v>
      </c>
      <c r="BV573">
        <v>0</v>
      </c>
      <c r="BW573">
        <v>0</v>
      </c>
      <c r="BX573">
        <v>2.5626135525939508E-2</v>
      </c>
      <c r="BY573">
        <v>0</v>
      </c>
      <c r="BZ573">
        <v>0</v>
      </c>
      <c r="CA573">
        <v>0</v>
      </c>
      <c r="CB573">
        <v>8.4350721420643732E-2</v>
      </c>
      <c r="CC573">
        <v>0</v>
      </c>
      <c r="CD573">
        <v>0</v>
      </c>
      <c r="CE573">
        <v>0</v>
      </c>
      <c r="CF573">
        <v>0</v>
      </c>
      <c r="CG573">
        <v>0</v>
      </c>
    </row>
    <row r="574" spans="1:85" x14ac:dyDescent="0.25">
      <c r="A574" t="s">
        <v>128</v>
      </c>
      <c r="B574" t="s">
        <v>146</v>
      </c>
      <c r="C574" t="s">
        <v>72</v>
      </c>
      <c r="D574" s="12">
        <v>46231</v>
      </c>
      <c r="E574" t="s">
        <v>134</v>
      </c>
      <c r="F574" t="s">
        <v>134</v>
      </c>
      <c r="G574" t="s">
        <v>134</v>
      </c>
      <c r="H574" t="s">
        <v>74</v>
      </c>
      <c r="I574">
        <v>10</v>
      </c>
      <c r="J574">
        <v>1</v>
      </c>
      <c r="K574">
        <v>4.2207252494765797</v>
      </c>
      <c r="L574">
        <v>46231</v>
      </c>
      <c r="M574" t="s">
        <v>233</v>
      </c>
      <c r="N574">
        <v>0</v>
      </c>
      <c r="O574">
        <v>0</v>
      </c>
      <c r="P574">
        <v>4.6875</v>
      </c>
      <c r="Q574">
        <v>0</v>
      </c>
      <c r="R574">
        <v>0</v>
      </c>
      <c r="S574">
        <v>1.1105911242579236</v>
      </c>
      <c r="T574">
        <v>0.11059112425792361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1</v>
      </c>
      <c r="AM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1</v>
      </c>
      <c r="BJ574">
        <v>1</v>
      </c>
      <c r="BK574">
        <v>0</v>
      </c>
      <c r="BL574">
        <v>0</v>
      </c>
      <c r="BM574">
        <v>0.9004213865550037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0</v>
      </c>
      <c r="BV574">
        <v>0</v>
      </c>
      <c r="BW574">
        <v>0</v>
      </c>
      <c r="BX574">
        <v>9.95786134449963E-2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0</v>
      </c>
      <c r="CF574">
        <v>0.9004213865550037</v>
      </c>
      <c r="CG574">
        <v>0</v>
      </c>
    </row>
    <row r="575" spans="1:85" x14ac:dyDescent="0.25">
      <c r="A575" t="s">
        <v>128</v>
      </c>
      <c r="B575" t="s">
        <v>146</v>
      </c>
      <c r="C575" t="s">
        <v>72</v>
      </c>
      <c r="D575" s="12">
        <v>46231</v>
      </c>
      <c r="E575" t="s">
        <v>134</v>
      </c>
      <c r="F575" t="s">
        <v>134</v>
      </c>
      <c r="G575" t="s">
        <v>134</v>
      </c>
      <c r="H575" t="s">
        <v>73</v>
      </c>
      <c r="I575">
        <v>10</v>
      </c>
      <c r="J575">
        <v>1</v>
      </c>
      <c r="K575">
        <v>11.738892100106735</v>
      </c>
      <c r="L575">
        <v>46231</v>
      </c>
      <c r="M575" t="s">
        <v>217</v>
      </c>
      <c r="N575">
        <v>3.8</v>
      </c>
      <c r="O575">
        <v>3.8</v>
      </c>
      <c r="P575">
        <v>9.5187500000000007</v>
      </c>
      <c r="Q575">
        <v>0.32371027585860923</v>
      </c>
      <c r="R575">
        <v>0.32371027585860923</v>
      </c>
      <c r="S575">
        <v>0.8108729442971413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0.48716266843853206</v>
      </c>
      <c r="AD575">
        <v>0.1891270557028587</v>
      </c>
      <c r="AE575">
        <v>0</v>
      </c>
      <c r="AF575">
        <v>0</v>
      </c>
      <c r="AG575">
        <v>0</v>
      </c>
      <c r="AH575">
        <v>0.32371027585860923</v>
      </c>
      <c r="AI575">
        <v>0</v>
      </c>
      <c r="AJ575">
        <v>0</v>
      </c>
      <c r="AK575">
        <v>0</v>
      </c>
      <c r="AL575">
        <v>0</v>
      </c>
      <c r="AM575">
        <v>0</v>
      </c>
      <c r="AN575">
        <v>3.0891821316070356</v>
      </c>
      <c r="AO575">
        <v>3.0891821316070356</v>
      </c>
      <c r="AP575">
        <v>2.5049342105263159</v>
      </c>
      <c r="BG575">
        <v>0</v>
      </c>
      <c r="BH575">
        <v>0</v>
      </c>
      <c r="BI575">
        <v>0</v>
      </c>
      <c r="BK575">
        <v>0.39921208141825337</v>
      </c>
      <c r="BL575">
        <v>0.39921208141825337</v>
      </c>
      <c r="BM575">
        <v>1.2332388286389215</v>
      </c>
      <c r="BN575">
        <v>0.23323882863892154</v>
      </c>
      <c r="BO575">
        <v>0</v>
      </c>
      <c r="BP575">
        <v>0</v>
      </c>
      <c r="BQ575">
        <v>0</v>
      </c>
      <c r="BR575">
        <v>0</v>
      </c>
      <c r="BS575">
        <v>0</v>
      </c>
      <c r="BT575">
        <v>0</v>
      </c>
      <c r="BU575">
        <v>0</v>
      </c>
      <c r="BV575">
        <v>0</v>
      </c>
      <c r="BW575">
        <v>0.67628972414139077</v>
      </c>
      <c r="BX575">
        <v>0</v>
      </c>
      <c r="BY575">
        <v>0</v>
      </c>
      <c r="BZ575">
        <v>0</v>
      </c>
      <c r="CA575">
        <v>0</v>
      </c>
      <c r="CB575">
        <v>0.39921208141825337</v>
      </c>
      <c r="CC575">
        <v>0</v>
      </c>
      <c r="CD575">
        <v>0</v>
      </c>
      <c r="CE575">
        <v>0</v>
      </c>
      <c r="CF575">
        <v>0</v>
      </c>
      <c r="CG575">
        <v>0</v>
      </c>
    </row>
    <row r="576" spans="1:85" x14ac:dyDescent="0.25">
      <c r="A576" t="s">
        <v>128</v>
      </c>
      <c r="B576" t="s">
        <v>146</v>
      </c>
      <c r="C576" t="s">
        <v>72</v>
      </c>
      <c r="D576" s="12">
        <v>46230</v>
      </c>
      <c r="E576" t="s">
        <v>134</v>
      </c>
      <c r="F576" t="s">
        <v>134</v>
      </c>
      <c r="G576" t="s">
        <v>134</v>
      </c>
      <c r="H576" t="s">
        <v>75</v>
      </c>
      <c r="I576">
        <v>10</v>
      </c>
      <c r="J576">
        <v>1</v>
      </c>
      <c r="K576">
        <v>10.973885648639106</v>
      </c>
      <c r="L576">
        <v>46230</v>
      </c>
      <c r="M576" t="s">
        <v>218</v>
      </c>
      <c r="N576">
        <v>0.95</v>
      </c>
      <c r="O576">
        <v>0.95</v>
      </c>
      <c r="P576">
        <v>10.955208333333331</v>
      </c>
      <c r="Q576">
        <v>8.6569154301130463E-2</v>
      </c>
      <c r="R576">
        <v>8.6569154301130463E-2</v>
      </c>
      <c r="S576">
        <v>0.99829802169406689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0.91172886739293646</v>
      </c>
      <c r="AD576">
        <v>1.7019783059331051E-3</v>
      </c>
      <c r="AE576">
        <v>0</v>
      </c>
      <c r="AF576">
        <v>0</v>
      </c>
      <c r="AG576">
        <v>0</v>
      </c>
      <c r="AH576">
        <v>8.6569154301130463E-2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11.551458577514849</v>
      </c>
      <c r="AO576">
        <v>11.551458577514849</v>
      </c>
      <c r="AP576">
        <v>11.531798245614034</v>
      </c>
      <c r="BG576">
        <v>0</v>
      </c>
      <c r="BH576">
        <v>0</v>
      </c>
      <c r="BI576">
        <v>0</v>
      </c>
      <c r="BK576">
        <v>8.6716744318722075E-2</v>
      </c>
      <c r="BL576">
        <v>8.6716744318722075E-2</v>
      </c>
      <c r="BM576">
        <v>1.0017048799746642</v>
      </c>
      <c r="BN576">
        <v>1.7048799746641752E-3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0.91343084569886956</v>
      </c>
      <c r="BX576">
        <v>0</v>
      </c>
      <c r="BY576">
        <v>0</v>
      </c>
      <c r="BZ576">
        <v>0</v>
      </c>
      <c r="CA576">
        <v>0</v>
      </c>
      <c r="CB576">
        <v>8.6716744318722075E-2</v>
      </c>
      <c r="CC576">
        <v>0</v>
      </c>
      <c r="CD576">
        <v>0</v>
      </c>
      <c r="CE576">
        <v>0</v>
      </c>
      <c r="CF576">
        <v>0</v>
      </c>
      <c r="CG576">
        <v>0</v>
      </c>
    </row>
    <row r="577" spans="1:85" x14ac:dyDescent="0.25">
      <c r="A577" t="s">
        <v>128</v>
      </c>
      <c r="B577" t="s">
        <v>146</v>
      </c>
      <c r="C577" t="s">
        <v>72</v>
      </c>
      <c r="D577" s="12">
        <v>46230</v>
      </c>
      <c r="E577" t="s">
        <v>134</v>
      </c>
      <c r="F577" t="s">
        <v>134</v>
      </c>
      <c r="G577" t="s">
        <v>134</v>
      </c>
      <c r="H577" t="s">
        <v>74</v>
      </c>
      <c r="I577">
        <v>10</v>
      </c>
      <c r="J577">
        <v>1</v>
      </c>
      <c r="K577">
        <v>4.2207252494765797</v>
      </c>
      <c r="L577">
        <v>46230</v>
      </c>
      <c r="M577" t="s">
        <v>219</v>
      </c>
      <c r="N577">
        <v>0</v>
      </c>
      <c r="O577">
        <v>0</v>
      </c>
      <c r="P577">
        <v>4.6875</v>
      </c>
      <c r="Q577">
        <v>0</v>
      </c>
      <c r="R577">
        <v>0</v>
      </c>
      <c r="S577">
        <v>1.1105911242579236</v>
      </c>
      <c r="T577">
        <v>0.11059112425792361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  <c r="AL577">
        <v>1</v>
      </c>
      <c r="AM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1</v>
      </c>
      <c r="BJ577">
        <v>1</v>
      </c>
      <c r="BK577">
        <v>0</v>
      </c>
      <c r="BL577">
        <v>0</v>
      </c>
      <c r="BM577">
        <v>0.9004213865550037</v>
      </c>
      <c r="BN577">
        <v>0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0</v>
      </c>
      <c r="BV577">
        <v>0</v>
      </c>
      <c r="BW577">
        <v>0</v>
      </c>
      <c r="BX577">
        <v>9.95786134449963E-2</v>
      </c>
      <c r="BY577">
        <v>0</v>
      </c>
      <c r="BZ577">
        <v>0</v>
      </c>
      <c r="CA577">
        <v>0</v>
      </c>
      <c r="CB577">
        <v>0</v>
      </c>
      <c r="CC577">
        <v>0</v>
      </c>
      <c r="CD577">
        <v>0</v>
      </c>
      <c r="CE577">
        <v>0</v>
      </c>
      <c r="CF577">
        <v>0.9004213865550037</v>
      </c>
      <c r="CG577">
        <v>0</v>
      </c>
    </row>
    <row r="578" spans="1:85" x14ac:dyDescent="0.25">
      <c r="A578" t="s">
        <v>128</v>
      </c>
      <c r="B578" t="s">
        <v>146</v>
      </c>
      <c r="C578" t="s">
        <v>72</v>
      </c>
      <c r="D578" s="12">
        <v>46230</v>
      </c>
      <c r="E578" t="s">
        <v>134</v>
      </c>
      <c r="F578" t="s">
        <v>134</v>
      </c>
      <c r="G578" t="s">
        <v>134</v>
      </c>
      <c r="H578" t="s">
        <v>73</v>
      </c>
      <c r="I578">
        <v>10</v>
      </c>
      <c r="J578">
        <v>1</v>
      </c>
      <c r="K578">
        <v>11.870789764152878</v>
      </c>
      <c r="L578">
        <v>46230</v>
      </c>
      <c r="M578" t="s">
        <v>220</v>
      </c>
      <c r="N578">
        <v>4.75</v>
      </c>
      <c r="O578">
        <v>4.75</v>
      </c>
      <c r="P578">
        <v>11.966666666666669</v>
      </c>
      <c r="Q578">
        <v>0.40014186876966978</v>
      </c>
      <c r="R578">
        <v>0.40014186876966978</v>
      </c>
      <c r="S578">
        <v>1.0080767079881507</v>
      </c>
      <c r="T578">
        <v>8.0767079881507442E-3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0.59985813123033016</v>
      </c>
      <c r="AD578">
        <v>0</v>
      </c>
      <c r="AE578">
        <v>0</v>
      </c>
      <c r="AF578">
        <v>0</v>
      </c>
      <c r="AG578">
        <v>0</v>
      </c>
      <c r="AH578">
        <v>0.40014186876966978</v>
      </c>
      <c r="AI578">
        <v>0</v>
      </c>
      <c r="AJ578">
        <v>0</v>
      </c>
      <c r="AK578">
        <v>0</v>
      </c>
      <c r="AL578">
        <v>0</v>
      </c>
      <c r="AM578">
        <v>0</v>
      </c>
      <c r="AN578">
        <v>2.4991136345585008</v>
      </c>
      <c r="AO578">
        <v>2.4991136345585008</v>
      </c>
      <c r="AP578">
        <v>2.5192982456140354</v>
      </c>
      <c r="BG578">
        <v>0</v>
      </c>
      <c r="BH578">
        <v>0</v>
      </c>
      <c r="BI578">
        <v>0</v>
      </c>
      <c r="BK578">
        <v>0.39693593314763226</v>
      </c>
      <c r="BL578">
        <v>0.39693593314763226</v>
      </c>
      <c r="BM578">
        <v>0.99198800257544928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0</v>
      </c>
      <c r="BV578">
        <v>0</v>
      </c>
      <c r="BW578">
        <v>0</v>
      </c>
      <c r="BX578">
        <v>8.0119974245507208E-3</v>
      </c>
      <c r="BY578">
        <v>0</v>
      </c>
      <c r="BZ578">
        <v>0</v>
      </c>
      <c r="CA578">
        <v>0</v>
      </c>
      <c r="CB578">
        <v>0.39693593314763226</v>
      </c>
      <c r="CC578">
        <v>0</v>
      </c>
      <c r="CD578">
        <v>0</v>
      </c>
      <c r="CE578">
        <v>0</v>
      </c>
      <c r="CF578">
        <v>0</v>
      </c>
      <c r="CG578">
        <v>0</v>
      </c>
    </row>
    <row r="579" spans="1:85" x14ac:dyDescent="0.25">
      <c r="A579" t="s">
        <v>128</v>
      </c>
      <c r="B579" t="s">
        <v>146</v>
      </c>
      <c r="C579" t="s">
        <v>72</v>
      </c>
      <c r="D579" s="12">
        <v>46229</v>
      </c>
      <c r="E579" t="s">
        <v>134</v>
      </c>
      <c r="F579" t="s">
        <v>134</v>
      </c>
      <c r="G579" t="s">
        <v>134</v>
      </c>
      <c r="H579" t="s">
        <v>75</v>
      </c>
      <c r="I579">
        <v>10</v>
      </c>
      <c r="J579">
        <v>1</v>
      </c>
      <c r="K579">
        <v>11.818030698534422</v>
      </c>
      <c r="L579">
        <v>46229</v>
      </c>
      <c r="M579" t="s">
        <v>221</v>
      </c>
      <c r="N579">
        <v>5.6999999999999993</v>
      </c>
      <c r="O579">
        <v>5.6999999999999993</v>
      </c>
      <c r="P579">
        <v>11.994791666666666</v>
      </c>
      <c r="Q579">
        <v>0.48231385967772683</v>
      </c>
      <c r="R579">
        <v>0.48231385967772683</v>
      </c>
      <c r="S579">
        <v>1.0149568885579359</v>
      </c>
      <c r="T579">
        <v>1.4956888557935866E-2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0.51768614032227322</v>
      </c>
      <c r="AD579">
        <v>0</v>
      </c>
      <c r="AE579">
        <v>0</v>
      </c>
      <c r="AF579">
        <v>0</v>
      </c>
      <c r="AG579">
        <v>0</v>
      </c>
      <c r="AH579">
        <v>0.48231385967772683</v>
      </c>
      <c r="AI579">
        <v>0</v>
      </c>
      <c r="AJ579">
        <v>0</v>
      </c>
      <c r="AK579">
        <v>0</v>
      </c>
      <c r="AL579">
        <v>0</v>
      </c>
      <c r="AM579">
        <v>0</v>
      </c>
      <c r="AN579">
        <v>2.0733387190411268</v>
      </c>
      <c r="AO579">
        <v>2.0733387190411268</v>
      </c>
      <c r="AP579">
        <v>2.1043494152046787</v>
      </c>
      <c r="BG579">
        <v>0</v>
      </c>
      <c r="BH579">
        <v>0</v>
      </c>
      <c r="BI579">
        <v>0</v>
      </c>
      <c r="BK579">
        <v>0.47520625271385147</v>
      </c>
      <c r="BL579">
        <v>0.47520625271385147</v>
      </c>
      <c r="BM579">
        <v>0.98526352328207079</v>
      </c>
      <c r="BN579">
        <v>0</v>
      </c>
      <c r="BO579">
        <v>0</v>
      </c>
      <c r="BP579">
        <v>0</v>
      </c>
      <c r="BQ579">
        <v>0</v>
      </c>
      <c r="BR579">
        <v>0</v>
      </c>
      <c r="BS579">
        <v>0</v>
      </c>
      <c r="BT579">
        <v>0</v>
      </c>
      <c r="BU579">
        <v>0</v>
      </c>
      <c r="BV579">
        <v>0</v>
      </c>
      <c r="BW579">
        <v>0</v>
      </c>
      <c r="BX579">
        <v>1.4736476717929214E-2</v>
      </c>
      <c r="BY579">
        <v>0</v>
      </c>
      <c r="BZ579">
        <v>0</v>
      </c>
      <c r="CA579">
        <v>0</v>
      </c>
      <c r="CB579">
        <v>0.47520625271385147</v>
      </c>
      <c r="CC579">
        <v>0</v>
      </c>
      <c r="CD579">
        <v>0</v>
      </c>
      <c r="CE579">
        <v>0</v>
      </c>
      <c r="CF579">
        <v>0</v>
      </c>
      <c r="CG579">
        <v>0</v>
      </c>
    </row>
    <row r="580" spans="1:85" x14ac:dyDescent="0.25">
      <c r="A580" t="s">
        <v>128</v>
      </c>
      <c r="B580" t="s">
        <v>146</v>
      </c>
      <c r="C580" t="s">
        <v>72</v>
      </c>
      <c r="D580" s="12">
        <v>46229</v>
      </c>
      <c r="E580" t="s">
        <v>134</v>
      </c>
      <c r="F580" t="s">
        <v>134</v>
      </c>
      <c r="G580" t="s">
        <v>134</v>
      </c>
      <c r="H580" t="s">
        <v>74</v>
      </c>
      <c r="I580">
        <v>10</v>
      </c>
      <c r="J580">
        <v>1</v>
      </c>
      <c r="K580">
        <v>4.2207252494765797</v>
      </c>
      <c r="L580">
        <v>46229</v>
      </c>
      <c r="M580" t="s">
        <v>222</v>
      </c>
      <c r="N580">
        <v>0.95</v>
      </c>
      <c r="O580">
        <v>0.95</v>
      </c>
      <c r="P580">
        <v>4.6875</v>
      </c>
      <c r="Q580">
        <v>0.22507980118293919</v>
      </c>
      <c r="R580">
        <v>0.22507980118293919</v>
      </c>
      <c r="S580">
        <v>1.1105911242579236</v>
      </c>
      <c r="T580">
        <v>0.11059112425792361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0.77492019881706087</v>
      </c>
      <c r="AD580">
        <v>0</v>
      </c>
      <c r="AE580">
        <v>0</v>
      </c>
      <c r="AF580">
        <v>0</v>
      </c>
      <c r="AG580">
        <v>0</v>
      </c>
      <c r="AH580">
        <v>0.22507980118293919</v>
      </c>
      <c r="AI580">
        <v>0</v>
      </c>
      <c r="AJ580">
        <v>0</v>
      </c>
      <c r="AK580">
        <v>0</v>
      </c>
      <c r="AL580">
        <v>0</v>
      </c>
      <c r="AM580">
        <v>0</v>
      </c>
      <c r="AN580">
        <v>4.4428686836595581</v>
      </c>
      <c r="AO580">
        <v>4.4428686836595581</v>
      </c>
      <c r="AP580">
        <v>4.9342105263157894</v>
      </c>
      <c r="BG580">
        <v>0</v>
      </c>
      <c r="BH580">
        <v>0</v>
      </c>
      <c r="BI580">
        <v>0</v>
      </c>
      <c r="BK580">
        <v>0.20266666666666666</v>
      </c>
      <c r="BL580">
        <v>0.20266666666666666</v>
      </c>
      <c r="BM580">
        <v>0.9004213865550037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0</v>
      </c>
      <c r="BV580">
        <v>0</v>
      </c>
      <c r="BW580">
        <v>0</v>
      </c>
      <c r="BX580">
        <v>9.95786134449963E-2</v>
      </c>
      <c r="BY580">
        <v>0</v>
      </c>
      <c r="BZ580">
        <v>0</v>
      </c>
      <c r="CA580">
        <v>0</v>
      </c>
      <c r="CB580">
        <v>0.20266666666666666</v>
      </c>
      <c r="CC580">
        <v>0</v>
      </c>
      <c r="CD580">
        <v>0</v>
      </c>
      <c r="CE580">
        <v>0</v>
      </c>
      <c r="CF580">
        <v>0</v>
      </c>
      <c r="CG580">
        <v>0</v>
      </c>
    </row>
    <row r="581" spans="1:85" x14ac:dyDescent="0.25">
      <c r="A581" t="s">
        <v>128</v>
      </c>
      <c r="B581" t="s">
        <v>146</v>
      </c>
      <c r="C581" t="s">
        <v>72</v>
      </c>
      <c r="D581" s="12">
        <v>46229</v>
      </c>
      <c r="E581" t="s">
        <v>134</v>
      </c>
      <c r="F581" t="s">
        <v>134</v>
      </c>
      <c r="G581" t="s">
        <v>134</v>
      </c>
      <c r="H581" t="s">
        <v>73</v>
      </c>
      <c r="I581">
        <v>10</v>
      </c>
      <c r="J581">
        <v>1</v>
      </c>
      <c r="K581">
        <v>10.973885648639108</v>
      </c>
      <c r="L581">
        <v>46229</v>
      </c>
      <c r="M581" t="s">
        <v>223</v>
      </c>
      <c r="N581">
        <v>1.9</v>
      </c>
      <c r="O581">
        <v>1.9</v>
      </c>
      <c r="P581">
        <v>11</v>
      </c>
      <c r="Q581">
        <v>0.1731383086022609</v>
      </c>
      <c r="R581">
        <v>0.1731383086022609</v>
      </c>
      <c r="S581">
        <v>1.0023796813815105</v>
      </c>
      <c r="T581">
        <v>2.3796813815104567E-3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0.82686169139773913</v>
      </c>
      <c r="AD581">
        <v>0</v>
      </c>
      <c r="AE581">
        <v>0</v>
      </c>
      <c r="AF581">
        <v>0</v>
      </c>
      <c r="AG581">
        <v>0</v>
      </c>
      <c r="AH581">
        <v>0.1731383086022609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5.7757292887574252</v>
      </c>
      <c r="AO581">
        <v>5.7757292887574252</v>
      </c>
      <c r="AP581">
        <v>5.7894736842105265</v>
      </c>
      <c r="BG581">
        <v>0</v>
      </c>
      <c r="BH581">
        <v>0</v>
      </c>
      <c r="BI581">
        <v>0</v>
      </c>
      <c r="BK581">
        <v>0.17272727272727273</v>
      </c>
      <c r="BL581">
        <v>0.17272727272727273</v>
      </c>
      <c r="BM581">
        <v>0.99762596805810067</v>
      </c>
      <c r="BN581">
        <v>0</v>
      </c>
      <c r="BO581">
        <v>0</v>
      </c>
      <c r="BP581">
        <v>0</v>
      </c>
      <c r="BQ581">
        <v>0</v>
      </c>
      <c r="BR581">
        <v>0</v>
      </c>
      <c r="BS581">
        <v>0</v>
      </c>
      <c r="BT581">
        <v>0</v>
      </c>
      <c r="BU581">
        <v>0</v>
      </c>
      <c r="BV581">
        <v>0</v>
      </c>
      <c r="BW581">
        <v>0</v>
      </c>
      <c r="BX581">
        <v>2.374031941899335E-3</v>
      </c>
      <c r="BY581">
        <v>0</v>
      </c>
      <c r="BZ581">
        <v>0</v>
      </c>
      <c r="CA581">
        <v>0</v>
      </c>
      <c r="CB581">
        <v>0.17272727272727273</v>
      </c>
      <c r="CC581">
        <v>0</v>
      </c>
      <c r="CD581">
        <v>0</v>
      </c>
      <c r="CE581">
        <v>0</v>
      </c>
      <c r="CF581">
        <v>0</v>
      </c>
      <c r="CG581">
        <v>0</v>
      </c>
    </row>
    <row r="582" spans="1:85" x14ac:dyDescent="0.25">
      <c r="A582" t="s">
        <v>128</v>
      </c>
      <c r="B582" t="s">
        <v>146</v>
      </c>
      <c r="C582" t="s">
        <v>72</v>
      </c>
      <c r="D582" s="12">
        <v>46228</v>
      </c>
      <c r="E582" t="s">
        <v>134</v>
      </c>
      <c r="F582" t="s">
        <v>134</v>
      </c>
      <c r="G582" t="s">
        <v>134</v>
      </c>
      <c r="H582" t="s">
        <v>75</v>
      </c>
      <c r="I582">
        <v>10</v>
      </c>
      <c r="J582">
        <v>1</v>
      </c>
      <c r="K582">
        <v>10.973885648639106</v>
      </c>
      <c r="L582">
        <v>46228</v>
      </c>
      <c r="M582" t="s">
        <v>224</v>
      </c>
      <c r="N582">
        <v>1.9</v>
      </c>
      <c r="O582">
        <v>1.9</v>
      </c>
      <c r="P582">
        <v>11.308823529411764</v>
      </c>
      <c r="Q582">
        <v>0.17313830860226093</v>
      </c>
      <c r="R582">
        <v>0.17313830860226093</v>
      </c>
      <c r="S582">
        <v>1.0305213569283178</v>
      </c>
      <c r="T582">
        <v>3.0521356928317811E-2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0.82686169139773913</v>
      </c>
      <c r="AD582">
        <v>0</v>
      </c>
      <c r="AE582">
        <v>0</v>
      </c>
      <c r="AF582">
        <v>0</v>
      </c>
      <c r="AG582">
        <v>0</v>
      </c>
      <c r="AH582">
        <v>0.17313830860226093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5.7757292887574243</v>
      </c>
      <c r="AO582">
        <v>5.7757292887574243</v>
      </c>
      <c r="AP582">
        <v>5.9520123839009287</v>
      </c>
      <c r="BG582">
        <v>0</v>
      </c>
      <c r="BH582">
        <v>0</v>
      </c>
      <c r="BI582">
        <v>0</v>
      </c>
      <c r="BK582">
        <v>0.16801040312093626</v>
      </c>
      <c r="BL582">
        <v>0.16801040312093626</v>
      </c>
      <c r="BM582">
        <v>0.97038260612153349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0</v>
      </c>
      <c r="BU582">
        <v>0</v>
      </c>
      <c r="BV582">
        <v>0</v>
      </c>
      <c r="BW582">
        <v>0</v>
      </c>
      <c r="BX582">
        <v>2.9617393878466514E-2</v>
      </c>
      <c r="BY582">
        <v>0</v>
      </c>
      <c r="BZ582">
        <v>0</v>
      </c>
      <c r="CA582">
        <v>0</v>
      </c>
      <c r="CB582">
        <v>0.16801040312093626</v>
      </c>
      <c r="CC582">
        <v>0</v>
      </c>
      <c r="CD582">
        <v>0</v>
      </c>
      <c r="CE582">
        <v>0</v>
      </c>
      <c r="CF582">
        <v>0</v>
      </c>
      <c r="CG582">
        <v>0</v>
      </c>
    </row>
    <row r="583" spans="1:85" x14ac:dyDescent="0.25">
      <c r="A583" t="s">
        <v>128</v>
      </c>
      <c r="B583" t="s">
        <v>146</v>
      </c>
      <c r="C583" t="s">
        <v>72</v>
      </c>
      <c r="D583" s="12">
        <v>46228</v>
      </c>
      <c r="E583" t="s">
        <v>134</v>
      </c>
      <c r="F583" t="s">
        <v>134</v>
      </c>
      <c r="G583" t="s">
        <v>134</v>
      </c>
      <c r="H583" t="s">
        <v>74</v>
      </c>
      <c r="I583">
        <v>10</v>
      </c>
      <c r="J583">
        <v>1</v>
      </c>
      <c r="K583">
        <v>4.2207252494765797</v>
      </c>
      <c r="L583">
        <v>46228</v>
      </c>
      <c r="M583" t="s">
        <v>225</v>
      </c>
      <c r="N583">
        <v>0</v>
      </c>
      <c r="O583">
        <v>0</v>
      </c>
      <c r="P583">
        <v>4.6875</v>
      </c>
      <c r="Q583">
        <v>0</v>
      </c>
      <c r="R583">
        <v>0</v>
      </c>
      <c r="S583">
        <v>1.1105911242579236</v>
      </c>
      <c r="T583">
        <v>0.11059112425792361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1</v>
      </c>
      <c r="BJ583">
        <v>1</v>
      </c>
      <c r="BK583">
        <v>0</v>
      </c>
      <c r="BL583">
        <v>0</v>
      </c>
      <c r="BM583">
        <v>0.9004213865550037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9.95786134449963E-2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0.9004213865550037</v>
      </c>
      <c r="CG583">
        <v>0</v>
      </c>
    </row>
    <row r="584" spans="1:85" x14ac:dyDescent="0.25">
      <c r="A584" t="s">
        <v>128</v>
      </c>
      <c r="B584" t="s">
        <v>146</v>
      </c>
      <c r="C584" t="s">
        <v>72</v>
      </c>
      <c r="D584" s="12">
        <v>46228</v>
      </c>
      <c r="E584" t="s">
        <v>134</v>
      </c>
      <c r="F584" t="s">
        <v>134</v>
      </c>
      <c r="G584" t="s">
        <v>134</v>
      </c>
      <c r="H584" t="s">
        <v>73</v>
      </c>
      <c r="I584">
        <v>10</v>
      </c>
      <c r="J584">
        <v>1</v>
      </c>
      <c r="K584">
        <v>11.026644714257564</v>
      </c>
      <c r="L584">
        <v>46228</v>
      </c>
      <c r="M584" t="s">
        <v>226</v>
      </c>
      <c r="N584">
        <v>5.6999999999999993</v>
      </c>
      <c r="O584">
        <v>5.6999999999999993</v>
      </c>
      <c r="P584">
        <v>11.253676470588236</v>
      </c>
      <c r="Q584">
        <v>0.51692968692732444</v>
      </c>
      <c r="R584">
        <v>0.51692968692732444</v>
      </c>
      <c r="S584">
        <v>1.0205893780215043</v>
      </c>
      <c r="T584">
        <v>2.058937802150429E-2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0.48307031307267556</v>
      </c>
      <c r="AD584">
        <v>0</v>
      </c>
      <c r="AE584">
        <v>0</v>
      </c>
      <c r="AF584">
        <v>0</v>
      </c>
      <c r="AG584">
        <v>0</v>
      </c>
      <c r="AH584">
        <v>0.51692968692732444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1.9344990726767659</v>
      </c>
      <c r="AO584">
        <v>1.9344990726767659</v>
      </c>
      <c r="AP584">
        <v>1.9743292053663573</v>
      </c>
      <c r="BG584">
        <v>0</v>
      </c>
      <c r="BH584">
        <v>0</v>
      </c>
      <c r="BI584">
        <v>0</v>
      </c>
      <c r="BK584">
        <v>0.50650114341718389</v>
      </c>
      <c r="BL584">
        <v>0.50650114341718389</v>
      </c>
      <c r="BM584">
        <v>0.97982599225026379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2.0174007749736211E-2</v>
      </c>
      <c r="BY584">
        <v>0</v>
      </c>
      <c r="BZ584">
        <v>0</v>
      </c>
      <c r="CA584">
        <v>0</v>
      </c>
      <c r="CB584">
        <v>0.50650114341718389</v>
      </c>
      <c r="CC584">
        <v>0</v>
      </c>
      <c r="CD584">
        <v>0</v>
      </c>
      <c r="CE584">
        <v>0</v>
      </c>
      <c r="CF584">
        <v>0</v>
      </c>
      <c r="CG584">
        <v>0</v>
      </c>
    </row>
    <row r="585" spans="1:85" x14ac:dyDescent="0.25">
      <c r="A585" t="s">
        <v>128</v>
      </c>
      <c r="B585" t="s">
        <v>146</v>
      </c>
      <c r="C585" t="s">
        <v>72</v>
      </c>
      <c r="D585" s="12">
        <v>46232</v>
      </c>
      <c r="E585" t="s">
        <v>134</v>
      </c>
      <c r="F585" t="s">
        <v>134</v>
      </c>
      <c r="G585" t="s">
        <v>134</v>
      </c>
      <c r="H585" t="s">
        <v>74</v>
      </c>
      <c r="I585">
        <v>10</v>
      </c>
      <c r="J585">
        <v>1</v>
      </c>
      <c r="K585">
        <v>4.2207252494765797</v>
      </c>
      <c r="L585">
        <v>46232</v>
      </c>
      <c r="M585" t="s">
        <v>240</v>
      </c>
      <c r="N585">
        <v>2.8499999999999996</v>
      </c>
      <c r="O585">
        <v>2.8499999999999996</v>
      </c>
      <c r="P585">
        <v>4.6875</v>
      </c>
      <c r="Q585">
        <v>0.67523940354881751</v>
      </c>
      <c r="R585">
        <v>0.67523940354881751</v>
      </c>
      <c r="S585">
        <v>1.1105911242579236</v>
      </c>
      <c r="T585">
        <v>0.11059112425792361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0.32476059645118249</v>
      </c>
      <c r="AD585">
        <v>0</v>
      </c>
      <c r="AE585">
        <v>0</v>
      </c>
      <c r="AF585">
        <v>0</v>
      </c>
      <c r="AG585">
        <v>0</v>
      </c>
      <c r="AH585">
        <v>0.67523940354881751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1.4809562278865194</v>
      </c>
      <c r="AO585">
        <v>1.4809562278865194</v>
      </c>
      <c r="AP585">
        <v>1.6447368421052633</v>
      </c>
      <c r="AQ585">
        <v>0.1637806142187439</v>
      </c>
      <c r="AR585">
        <v>0</v>
      </c>
      <c r="AS585">
        <v>0</v>
      </c>
      <c r="AT585">
        <v>0</v>
      </c>
      <c r="AU585">
        <v>0</v>
      </c>
      <c r="AV585">
        <v>1.9043772113480628E-2</v>
      </c>
      <c r="AW585">
        <v>0.48095622788651937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0.60799999999999987</v>
      </c>
      <c r="BL585">
        <v>0.60799999999999987</v>
      </c>
      <c r="BM585">
        <v>0.9004213865550037</v>
      </c>
      <c r="BN585">
        <v>0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0</v>
      </c>
      <c r="BU585">
        <v>0</v>
      </c>
      <c r="BV585">
        <v>0</v>
      </c>
      <c r="BW585">
        <v>0</v>
      </c>
      <c r="BX585">
        <v>9.95786134449963E-2</v>
      </c>
      <c r="BY585">
        <v>0</v>
      </c>
      <c r="BZ585">
        <v>0</v>
      </c>
      <c r="CA585">
        <v>0</v>
      </c>
      <c r="CB585">
        <v>0.60799999999999987</v>
      </c>
      <c r="CC585">
        <v>0</v>
      </c>
      <c r="CD585">
        <v>0</v>
      </c>
      <c r="CE585">
        <v>0</v>
      </c>
      <c r="CF585">
        <v>0</v>
      </c>
      <c r="CG585">
        <v>0</v>
      </c>
    </row>
    <row r="586" spans="1:85" x14ac:dyDescent="0.25">
      <c r="A586" t="s">
        <v>128</v>
      </c>
      <c r="B586" t="s">
        <v>146</v>
      </c>
      <c r="C586" t="s">
        <v>72</v>
      </c>
      <c r="D586" s="12">
        <v>46227</v>
      </c>
      <c r="E586" t="s">
        <v>134</v>
      </c>
      <c r="F586" t="s">
        <v>134</v>
      </c>
      <c r="G586" t="s">
        <v>134</v>
      </c>
      <c r="H586" t="s">
        <v>75</v>
      </c>
      <c r="I586">
        <v>10</v>
      </c>
      <c r="J586">
        <v>1</v>
      </c>
      <c r="K586">
        <v>11.026644714257564</v>
      </c>
      <c r="L586">
        <v>46227</v>
      </c>
      <c r="M586" t="s">
        <v>227</v>
      </c>
      <c r="N586">
        <v>1.9</v>
      </c>
      <c r="O586">
        <v>1.9</v>
      </c>
      <c r="P586">
        <v>11.182291666666668</v>
      </c>
      <c r="Q586">
        <v>0.17230989564244148</v>
      </c>
      <c r="R586">
        <v>0.17230989564244148</v>
      </c>
      <c r="S586">
        <v>1.0141155316456194</v>
      </c>
      <c r="T586">
        <v>1.4115531645619406E-2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0.82769010435755852</v>
      </c>
      <c r="AD586">
        <v>0</v>
      </c>
      <c r="AE586">
        <v>0</v>
      </c>
      <c r="AF586">
        <v>0</v>
      </c>
      <c r="AG586">
        <v>0</v>
      </c>
      <c r="AH586">
        <v>0.17230989564244148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5.8034972180302971</v>
      </c>
      <c r="AO586">
        <v>5.8034972180302971</v>
      </c>
      <c r="AP586">
        <v>5.8854166666666679</v>
      </c>
      <c r="BG586">
        <v>0</v>
      </c>
      <c r="BH586">
        <v>0</v>
      </c>
      <c r="BI586">
        <v>0</v>
      </c>
      <c r="BK586">
        <v>0.16991150442477873</v>
      </c>
      <c r="BL586">
        <v>0.16991150442477873</v>
      </c>
      <c r="BM586">
        <v>0.98608094324054596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0</v>
      </c>
      <c r="BU586">
        <v>0</v>
      </c>
      <c r="BV586">
        <v>0</v>
      </c>
      <c r="BW586">
        <v>0</v>
      </c>
      <c r="BX586">
        <v>1.391905675945404E-2</v>
      </c>
      <c r="BY586">
        <v>0</v>
      </c>
      <c r="BZ586">
        <v>0</v>
      </c>
      <c r="CA586">
        <v>0</v>
      </c>
      <c r="CB586">
        <v>0.16991150442477873</v>
      </c>
      <c r="CC586">
        <v>0</v>
      </c>
      <c r="CD586">
        <v>0</v>
      </c>
      <c r="CE586">
        <v>0</v>
      </c>
      <c r="CF586">
        <v>0</v>
      </c>
      <c r="CG586">
        <v>0</v>
      </c>
    </row>
    <row r="587" spans="1:85" x14ac:dyDescent="0.25">
      <c r="A587" t="s">
        <v>128</v>
      </c>
      <c r="B587" t="s">
        <v>146</v>
      </c>
      <c r="C587" t="s">
        <v>72</v>
      </c>
      <c r="D587" s="12">
        <v>46227</v>
      </c>
      <c r="E587" t="s">
        <v>134</v>
      </c>
      <c r="F587" t="s">
        <v>134</v>
      </c>
      <c r="G587" t="s">
        <v>134</v>
      </c>
      <c r="H587" t="s">
        <v>73</v>
      </c>
      <c r="I587">
        <v>10</v>
      </c>
      <c r="J587">
        <v>1</v>
      </c>
      <c r="K587">
        <v>10.973885648639106</v>
      </c>
      <c r="L587">
        <v>46227</v>
      </c>
      <c r="M587" t="s">
        <v>229</v>
      </c>
      <c r="N587">
        <v>1.9</v>
      </c>
      <c r="O587">
        <v>1.9</v>
      </c>
      <c r="P587">
        <v>10.505208333333336</v>
      </c>
      <c r="Q587">
        <v>0.17313830860226093</v>
      </c>
      <c r="R587">
        <v>0.17313830860226093</v>
      </c>
      <c r="S587">
        <v>0.95729158018300542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0.78415327158074444</v>
      </c>
      <c r="AD587">
        <v>4.2708419816994581E-2</v>
      </c>
      <c r="AE587">
        <v>0</v>
      </c>
      <c r="AF587">
        <v>0</v>
      </c>
      <c r="AG587">
        <v>0</v>
      </c>
      <c r="AH587">
        <v>0.17313830860226093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5.7757292887574243</v>
      </c>
      <c r="AO587">
        <v>5.7757292887574243</v>
      </c>
      <c r="AP587">
        <v>5.5290570175438614</v>
      </c>
      <c r="BG587">
        <v>0</v>
      </c>
      <c r="BH587">
        <v>0</v>
      </c>
      <c r="BI587">
        <v>0</v>
      </c>
      <c r="BK587">
        <v>0.18086266732771439</v>
      </c>
      <c r="BL587">
        <v>0.18086266732771439</v>
      </c>
      <c r="BM587">
        <v>1.0446138049274705</v>
      </c>
      <c r="BN587">
        <v>4.4613804927470468E-2</v>
      </c>
      <c r="BO587">
        <v>0</v>
      </c>
      <c r="BP587">
        <v>0</v>
      </c>
      <c r="BQ587">
        <v>0</v>
      </c>
      <c r="BR587">
        <v>0</v>
      </c>
      <c r="BS587">
        <v>0</v>
      </c>
      <c r="BT587">
        <v>0</v>
      </c>
      <c r="BU587">
        <v>0</v>
      </c>
      <c r="BV587">
        <v>0</v>
      </c>
      <c r="BW587">
        <v>0.82686169139773913</v>
      </c>
      <c r="BX587">
        <v>0</v>
      </c>
      <c r="BY587">
        <v>0</v>
      </c>
      <c r="BZ587">
        <v>0</v>
      </c>
      <c r="CA587">
        <v>0</v>
      </c>
      <c r="CB587">
        <v>0.18086266732771439</v>
      </c>
      <c r="CC587">
        <v>0</v>
      </c>
      <c r="CD587">
        <v>0</v>
      </c>
      <c r="CE587">
        <v>0</v>
      </c>
      <c r="CF587">
        <v>0</v>
      </c>
      <c r="CG587">
        <v>0</v>
      </c>
    </row>
    <row r="588" spans="1:85" x14ac:dyDescent="0.25">
      <c r="A588" t="s">
        <v>128</v>
      </c>
      <c r="B588" t="s">
        <v>146</v>
      </c>
      <c r="C588" t="s">
        <v>72</v>
      </c>
      <c r="D588" s="12">
        <v>46226</v>
      </c>
      <c r="E588" t="s">
        <v>134</v>
      </c>
      <c r="F588" t="s">
        <v>134</v>
      </c>
      <c r="G588" t="s">
        <v>134</v>
      </c>
      <c r="H588" t="s">
        <v>75</v>
      </c>
      <c r="I588">
        <v>10</v>
      </c>
      <c r="J588">
        <v>1</v>
      </c>
      <c r="K588">
        <v>10.973885648639106</v>
      </c>
      <c r="L588">
        <v>46226</v>
      </c>
      <c r="M588" t="s">
        <v>230</v>
      </c>
      <c r="N588">
        <v>0</v>
      </c>
      <c r="O588">
        <v>0</v>
      </c>
      <c r="P588">
        <v>10.3125</v>
      </c>
      <c r="Q588">
        <v>0</v>
      </c>
      <c r="R588">
        <v>0</v>
      </c>
      <c r="S588">
        <v>0.93973095129516626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0.93973095129516626</v>
      </c>
      <c r="AD588">
        <v>6.0269048704833739E-2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0</v>
      </c>
      <c r="AM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F588">
        <v>0</v>
      </c>
      <c r="BG588">
        <v>0</v>
      </c>
      <c r="BH588">
        <v>0</v>
      </c>
      <c r="BI588">
        <v>1</v>
      </c>
      <c r="BK588">
        <v>0</v>
      </c>
      <c r="BL588">
        <v>0</v>
      </c>
      <c r="BM588">
        <v>1.0641343659286406</v>
      </c>
      <c r="BN588">
        <v>6.4134365928640635E-2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0</v>
      </c>
      <c r="CF588">
        <v>1</v>
      </c>
      <c r="CG588">
        <v>1</v>
      </c>
    </row>
    <row r="589" spans="1:85" x14ac:dyDescent="0.25">
      <c r="A589" t="s">
        <v>128</v>
      </c>
      <c r="B589" t="s">
        <v>146</v>
      </c>
      <c r="C589" t="s">
        <v>72</v>
      </c>
      <c r="D589" s="12">
        <v>46226</v>
      </c>
      <c r="E589" t="s">
        <v>134</v>
      </c>
      <c r="F589" t="s">
        <v>134</v>
      </c>
      <c r="G589" t="s">
        <v>134</v>
      </c>
      <c r="H589" t="s">
        <v>74</v>
      </c>
      <c r="I589">
        <v>10</v>
      </c>
      <c r="J589">
        <v>1</v>
      </c>
      <c r="K589">
        <v>4.2207252494765797</v>
      </c>
      <c r="L589">
        <v>46226</v>
      </c>
      <c r="M589" t="s">
        <v>231</v>
      </c>
      <c r="N589">
        <v>0.95</v>
      </c>
      <c r="O589">
        <v>0.95</v>
      </c>
      <c r="P589">
        <v>2.8125</v>
      </c>
      <c r="Q589">
        <v>0.22507980118293919</v>
      </c>
      <c r="R589">
        <v>0.22507980118293919</v>
      </c>
      <c r="S589">
        <v>0.66635467455475417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0.44127487337181498</v>
      </c>
      <c r="AD589">
        <v>0.33364532544524583</v>
      </c>
      <c r="AE589">
        <v>0</v>
      </c>
      <c r="AF589">
        <v>0</v>
      </c>
      <c r="AG589">
        <v>0</v>
      </c>
      <c r="AH589">
        <v>0.22507980118293919</v>
      </c>
      <c r="AI589">
        <v>0</v>
      </c>
      <c r="AJ589">
        <v>0</v>
      </c>
      <c r="AK589">
        <v>0</v>
      </c>
      <c r="AL589">
        <v>0</v>
      </c>
      <c r="AM589">
        <v>0</v>
      </c>
      <c r="AN589">
        <v>4.4428686836595581</v>
      </c>
      <c r="AO589">
        <v>4.4428686836595581</v>
      </c>
      <c r="AP589">
        <v>2.9605263157894739</v>
      </c>
      <c r="BG589">
        <v>0</v>
      </c>
      <c r="BH589">
        <v>0</v>
      </c>
      <c r="BI589">
        <v>0</v>
      </c>
      <c r="BK589">
        <v>0.33777777777777779</v>
      </c>
      <c r="BL589">
        <v>0.33777777777777779</v>
      </c>
      <c r="BM589">
        <v>1.5007023109250062</v>
      </c>
      <c r="BN589">
        <v>0.50070231092500617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0</v>
      </c>
      <c r="BV589">
        <v>0</v>
      </c>
      <c r="BW589">
        <v>0.77492019881706087</v>
      </c>
      <c r="BX589">
        <v>0</v>
      </c>
      <c r="BY589">
        <v>0</v>
      </c>
      <c r="BZ589">
        <v>0</v>
      </c>
      <c r="CA589">
        <v>0</v>
      </c>
      <c r="CB589">
        <v>0.33777777777777779</v>
      </c>
      <c r="CC589">
        <v>0</v>
      </c>
      <c r="CD589">
        <v>0</v>
      </c>
      <c r="CE589">
        <v>0</v>
      </c>
      <c r="CF589">
        <v>0</v>
      </c>
      <c r="CG589">
        <v>0</v>
      </c>
    </row>
    <row r="590" spans="1:85" x14ac:dyDescent="0.25">
      <c r="A590" t="s">
        <v>128</v>
      </c>
      <c r="B590" t="s">
        <v>146</v>
      </c>
      <c r="C590" t="s">
        <v>72</v>
      </c>
      <c r="D590" s="12">
        <v>46226</v>
      </c>
      <c r="E590" t="s">
        <v>134</v>
      </c>
      <c r="F590" t="s">
        <v>134</v>
      </c>
      <c r="G590" t="s">
        <v>134</v>
      </c>
      <c r="H590" t="s">
        <v>73</v>
      </c>
      <c r="I590">
        <v>10</v>
      </c>
      <c r="J590">
        <v>1</v>
      </c>
      <c r="K590">
        <v>11.738892100106735</v>
      </c>
      <c r="L590">
        <v>46226</v>
      </c>
      <c r="M590" t="s">
        <v>232</v>
      </c>
      <c r="N590">
        <v>5.6999999999999993</v>
      </c>
      <c r="O590">
        <v>5.6999999999999993</v>
      </c>
      <c r="P590">
        <v>10.59375</v>
      </c>
      <c r="Q590">
        <v>0.48556541378791379</v>
      </c>
      <c r="R590">
        <v>0.48556541378791379</v>
      </c>
      <c r="S590">
        <v>0.90244887759924775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0.41688346381133395</v>
      </c>
      <c r="AD590">
        <v>9.7551122400752255E-2</v>
      </c>
      <c r="AE590">
        <v>0</v>
      </c>
      <c r="AF590">
        <v>0</v>
      </c>
      <c r="AG590">
        <v>0</v>
      </c>
      <c r="AH590">
        <v>0.48556541378791379</v>
      </c>
      <c r="AI590">
        <v>0</v>
      </c>
      <c r="AJ590">
        <v>0</v>
      </c>
      <c r="AK590">
        <v>0</v>
      </c>
      <c r="AL590">
        <v>0</v>
      </c>
      <c r="AM590">
        <v>0</v>
      </c>
      <c r="AN590">
        <v>2.0594547544046908</v>
      </c>
      <c r="AO590">
        <v>2.0594547544046908</v>
      </c>
      <c r="AP590">
        <v>1.8585526315789476</v>
      </c>
      <c r="BG590">
        <v>0</v>
      </c>
      <c r="BH590">
        <v>0</v>
      </c>
      <c r="BI590">
        <v>0</v>
      </c>
      <c r="BK590">
        <v>0.53805309734513262</v>
      </c>
      <c r="BL590">
        <v>0.53805309734513262</v>
      </c>
      <c r="BM590">
        <v>1.1080960094496033</v>
      </c>
      <c r="BN590">
        <v>0.10809600944960329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0.51443458621208626</v>
      </c>
      <c r="BX590">
        <v>0</v>
      </c>
      <c r="BY590">
        <v>0</v>
      </c>
      <c r="BZ590">
        <v>0</v>
      </c>
      <c r="CA590">
        <v>0</v>
      </c>
      <c r="CB590">
        <v>0.53805309734513262</v>
      </c>
      <c r="CC590">
        <v>0</v>
      </c>
      <c r="CD590">
        <v>0</v>
      </c>
      <c r="CE590">
        <v>0</v>
      </c>
      <c r="CF590">
        <v>0</v>
      </c>
      <c r="CG590">
        <v>0</v>
      </c>
    </row>
    <row r="591" spans="1:85" x14ac:dyDescent="0.25">
      <c r="A591" t="s">
        <v>128</v>
      </c>
      <c r="B591" t="s">
        <v>146</v>
      </c>
      <c r="C591" t="s">
        <v>72</v>
      </c>
      <c r="D591" s="12">
        <v>46225</v>
      </c>
      <c r="E591" t="s">
        <v>134</v>
      </c>
      <c r="F591" t="s">
        <v>134</v>
      </c>
      <c r="G591" t="s">
        <v>134</v>
      </c>
      <c r="H591" t="s">
        <v>75</v>
      </c>
      <c r="I591">
        <v>10</v>
      </c>
      <c r="J591">
        <v>1</v>
      </c>
      <c r="K591">
        <v>10.815608451783737</v>
      </c>
      <c r="L591">
        <v>46225</v>
      </c>
      <c r="M591" t="s">
        <v>215</v>
      </c>
      <c r="N591">
        <v>0.95</v>
      </c>
      <c r="O591">
        <v>0.95</v>
      </c>
      <c r="P591">
        <v>11.244747899159664</v>
      </c>
      <c r="Q591">
        <v>8.7836019973829921E-2</v>
      </c>
      <c r="R591">
        <v>8.7836019973829921E-2</v>
      </c>
      <c r="S591">
        <v>1.0396777906013372</v>
      </c>
      <c r="T591">
        <v>3.9677790601337248E-2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0.91216398002617005</v>
      </c>
      <c r="AD591">
        <v>0</v>
      </c>
      <c r="AE591">
        <v>0</v>
      </c>
      <c r="AF591">
        <v>0</v>
      </c>
      <c r="AG591">
        <v>0</v>
      </c>
      <c r="AH591">
        <v>8.7836019973829921E-2</v>
      </c>
      <c r="AI591">
        <v>0</v>
      </c>
      <c r="AJ591">
        <v>0</v>
      </c>
      <c r="AK591">
        <v>0</v>
      </c>
      <c r="AL591">
        <v>0</v>
      </c>
      <c r="AM591">
        <v>0</v>
      </c>
      <c r="AN591">
        <v>11.384851001877617</v>
      </c>
      <c r="AO591">
        <v>11.384851001877617</v>
      </c>
      <c r="AP591">
        <v>11.836576735957541</v>
      </c>
      <c r="BG591">
        <v>0</v>
      </c>
      <c r="BH591">
        <v>0</v>
      </c>
      <c r="BI591">
        <v>0</v>
      </c>
      <c r="BK591">
        <v>8.4483886034563277E-2</v>
      </c>
      <c r="BL591">
        <v>8.4483886034563277E-2</v>
      </c>
      <c r="BM591">
        <v>0.96183645456311229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3.8163545436887714E-2</v>
      </c>
      <c r="BY591">
        <v>0</v>
      </c>
      <c r="BZ591">
        <v>0</v>
      </c>
      <c r="CA591">
        <v>0</v>
      </c>
      <c r="CB591">
        <v>8.4483886034563277E-2</v>
      </c>
      <c r="CC591">
        <v>0</v>
      </c>
      <c r="CD591">
        <v>0</v>
      </c>
      <c r="CE591">
        <v>0</v>
      </c>
      <c r="CF591">
        <v>0</v>
      </c>
      <c r="CG591">
        <v>0</v>
      </c>
    </row>
    <row r="592" spans="1:85" x14ac:dyDescent="0.25">
      <c r="A592" t="s">
        <v>128</v>
      </c>
      <c r="B592" t="s">
        <v>146</v>
      </c>
      <c r="C592" t="s">
        <v>72</v>
      </c>
      <c r="D592" s="12">
        <v>46225</v>
      </c>
      <c r="E592" t="s">
        <v>134</v>
      </c>
      <c r="F592" t="s">
        <v>134</v>
      </c>
      <c r="G592" t="s">
        <v>134</v>
      </c>
      <c r="H592" t="s">
        <v>74</v>
      </c>
      <c r="I592">
        <v>10</v>
      </c>
      <c r="J592">
        <v>1</v>
      </c>
      <c r="K592">
        <v>4.2207252494765788</v>
      </c>
      <c r="L592">
        <v>46225</v>
      </c>
      <c r="M592" t="s">
        <v>163</v>
      </c>
      <c r="N592">
        <v>2.8499999999999996</v>
      </c>
      <c r="O592">
        <v>2.8499999999999996</v>
      </c>
      <c r="P592">
        <v>4.5044642857142865</v>
      </c>
      <c r="Q592">
        <v>0.67523940354881762</v>
      </c>
      <c r="R592">
        <v>0.67523940354881762</v>
      </c>
      <c r="S592">
        <v>1.0672251851202337</v>
      </c>
      <c r="T592">
        <v>6.7225185120233677E-2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0.32476059645118238</v>
      </c>
      <c r="AD592">
        <v>0</v>
      </c>
      <c r="AE592">
        <v>0</v>
      </c>
      <c r="AF592">
        <v>0</v>
      </c>
      <c r="AG592">
        <v>0</v>
      </c>
      <c r="AH592">
        <v>0.67523940354881762</v>
      </c>
      <c r="AI592">
        <v>0</v>
      </c>
      <c r="AJ592">
        <v>0</v>
      </c>
      <c r="AK592">
        <v>0</v>
      </c>
      <c r="AL592">
        <v>0</v>
      </c>
      <c r="AM592">
        <v>0</v>
      </c>
      <c r="AN592">
        <v>1.4809562278865191</v>
      </c>
      <c r="AO592">
        <v>1.4809562278865191</v>
      </c>
      <c r="AP592">
        <v>1.5805137844611534</v>
      </c>
      <c r="AQ592">
        <v>9.9557556574634276E-2</v>
      </c>
      <c r="AR592">
        <v>0</v>
      </c>
      <c r="AS592">
        <v>0</v>
      </c>
      <c r="AT592">
        <v>0</v>
      </c>
      <c r="AU592">
        <v>0</v>
      </c>
      <c r="AV592">
        <v>1.904377211348085E-2</v>
      </c>
      <c r="AW592">
        <v>0.48095622788651915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0.63270564915758154</v>
      </c>
      <c r="BL592">
        <v>0.63270564915758154</v>
      </c>
      <c r="BM592">
        <v>0.9370093715389034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6.2990628461096598E-2</v>
      </c>
      <c r="BY592">
        <v>0</v>
      </c>
      <c r="BZ592">
        <v>0</v>
      </c>
      <c r="CA592">
        <v>0</v>
      </c>
      <c r="CB592">
        <v>0.63270564915758154</v>
      </c>
      <c r="CC592">
        <v>0</v>
      </c>
      <c r="CD592">
        <v>0</v>
      </c>
      <c r="CE592">
        <v>0</v>
      </c>
      <c r="CF592">
        <v>0</v>
      </c>
      <c r="CG592">
        <v>0</v>
      </c>
    </row>
    <row r="593" spans="1:85" x14ac:dyDescent="0.25">
      <c r="A593" t="s">
        <v>128</v>
      </c>
      <c r="B593" t="s">
        <v>146</v>
      </c>
      <c r="C593" t="s">
        <v>72</v>
      </c>
      <c r="D593" s="12">
        <v>46225</v>
      </c>
      <c r="E593" t="s">
        <v>134</v>
      </c>
      <c r="F593" t="s">
        <v>134</v>
      </c>
      <c r="G593" t="s">
        <v>134</v>
      </c>
      <c r="H593" t="s">
        <v>73</v>
      </c>
      <c r="I593">
        <v>10</v>
      </c>
      <c r="J593">
        <v>1</v>
      </c>
      <c r="K593">
        <v>12.583037150002054</v>
      </c>
      <c r="L593">
        <v>46225</v>
      </c>
      <c r="M593" t="s">
        <v>166</v>
      </c>
      <c r="N593">
        <v>2.8499999999999996</v>
      </c>
      <c r="O593">
        <v>2.8499999999999996</v>
      </c>
      <c r="P593">
        <v>11.496323529411764</v>
      </c>
      <c r="Q593">
        <v>0.22649539741679411</v>
      </c>
      <c r="R593">
        <v>0.22649539741679411</v>
      </c>
      <c r="S593">
        <v>0.91363661986882772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0.68714122245203357</v>
      </c>
      <c r="AD593">
        <v>8.6363380131172285E-2</v>
      </c>
      <c r="AE593">
        <v>0</v>
      </c>
      <c r="AF593">
        <v>0</v>
      </c>
      <c r="AG593">
        <v>0</v>
      </c>
      <c r="AH593">
        <v>0.22649539741679411</v>
      </c>
      <c r="AI593">
        <v>0</v>
      </c>
      <c r="AJ593">
        <v>0</v>
      </c>
      <c r="AK593">
        <v>0</v>
      </c>
      <c r="AL593">
        <v>0</v>
      </c>
      <c r="AM593">
        <v>0</v>
      </c>
      <c r="AN593">
        <v>4.4151007543866863</v>
      </c>
      <c r="AO593">
        <v>4.4151007543866863</v>
      </c>
      <c r="AP593">
        <v>4.0337977296181631</v>
      </c>
      <c r="BG593">
        <v>0</v>
      </c>
      <c r="BH593">
        <v>0</v>
      </c>
      <c r="BI593">
        <v>0</v>
      </c>
      <c r="BK593">
        <v>0.24790534058202748</v>
      </c>
      <c r="BL593">
        <v>0.24790534058202748</v>
      </c>
      <c r="BM593">
        <v>1.0945270562201979</v>
      </c>
      <c r="BN593">
        <v>9.4527056220197858E-2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0.77350460258320586</v>
      </c>
      <c r="BX593">
        <v>0</v>
      </c>
      <c r="BY593">
        <v>0</v>
      </c>
      <c r="BZ593">
        <v>0</v>
      </c>
      <c r="CA593">
        <v>0</v>
      </c>
      <c r="CB593">
        <v>0.24790534058202748</v>
      </c>
      <c r="CC593">
        <v>0</v>
      </c>
      <c r="CD593">
        <v>0</v>
      </c>
      <c r="CE593">
        <v>0</v>
      </c>
      <c r="CF593">
        <v>0</v>
      </c>
      <c r="CG593">
        <v>0</v>
      </c>
    </row>
    <row r="594" spans="1:85" x14ac:dyDescent="0.25">
      <c r="A594" t="s">
        <v>128</v>
      </c>
      <c r="B594" t="s">
        <v>146</v>
      </c>
      <c r="C594" t="s">
        <v>72</v>
      </c>
      <c r="D594" s="12">
        <v>46224</v>
      </c>
      <c r="E594" t="s">
        <v>134</v>
      </c>
      <c r="F594" t="s">
        <v>134</v>
      </c>
      <c r="G594" t="s">
        <v>134</v>
      </c>
      <c r="H594" t="s">
        <v>75</v>
      </c>
      <c r="I594">
        <v>10</v>
      </c>
      <c r="J594">
        <v>1</v>
      </c>
      <c r="K594">
        <v>10.973885648639106</v>
      </c>
      <c r="L594">
        <v>46224</v>
      </c>
      <c r="M594" t="s">
        <v>169</v>
      </c>
      <c r="N594">
        <v>2.8499999999999996</v>
      </c>
      <c r="O594">
        <v>2.8499999999999996</v>
      </c>
      <c r="P594">
        <v>11.25</v>
      </c>
      <c r="Q594">
        <v>0.25970746290339136</v>
      </c>
      <c r="R594">
        <v>0.25970746290339136</v>
      </c>
      <c r="S594">
        <v>1.025161037776545</v>
      </c>
      <c r="T594">
        <v>2.5161037776544992E-2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0.74029253709660869</v>
      </c>
      <c r="AD594">
        <v>0</v>
      </c>
      <c r="AE594">
        <v>0</v>
      </c>
      <c r="AF594">
        <v>0</v>
      </c>
      <c r="AG594">
        <v>0</v>
      </c>
      <c r="AH594">
        <v>0.25970746290339136</v>
      </c>
      <c r="AI594">
        <v>0</v>
      </c>
      <c r="AJ594">
        <v>0</v>
      </c>
      <c r="AK594">
        <v>0</v>
      </c>
      <c r="AL594">
        <v>0</v>
      </c>
      <c r="AM594">
        <v>0</v>
      </c>
      <c r="AN594">
        <v>3.8504861925049498</v>
      </c>
      <c r="AO594">
        <v>3.8504861925049498</v>
      </c>
      <c r="AP594">
        <v>3.9473684210526319</v>
      </c>
      <c r="BG594">
        <v>0</v>
      </c>
      <c r="BH594">
        <v>0</v>
      </c>
      <c r="BI594">
        <v>0</v>
      </c>
      <c r="BK594">
        <v>0.2533333333333333</v>
      </c>
      <c r="BL594">
        <v>0.2533333333333333</v>
      </c>
      <c r="BM594">
        <v>0.9754565021012539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2.4543497898746103E-2</v>
      </c>
      <c r="BY594">
        <v>0</v>
      </c>
      <c r="BZ594">
        <v>0</v>
      </c>
      <c r="CA594">
        <v>0</v>
      </c>
      <c r="CB594">
        <v>0.2533333333333333</v>
      </c>
      <c r="CC594">
        <v>0</v>
      </c>
      <c r="CD594">
        <v>0</v>
      </c>
      <c r="CE594">
        <v>0</v>
      </c>
      <c r="CF594">
        <v>0</v>
      </c>
      <c r="CG594">
        <v>0</v>
      </c>
    </row>
    <row r="595" spans="1:85" x14ac:dyDescent="0.25">
      <c r="A595" t="s">
        <v>128</v>
      </c>
      <c r="B595" t="s">
        <v>146</v>
      </c>
      <c r="C595" t="s">
        <v>72</v>
      </c>
      <c r="D595" s="12">
        <v>46224</v>
      </c>
      <c r="E595" t="s">
        <v>134</v>
      </c>
      <c r="F595" t="s">
        <v>134</v>
      </c>
      <c r="G595" t="s">
        <v>134</v>
      </c>
      <c r="H595" t="s">
        <v>74</v>
      </c>
      <c r="I595">
        <v>10</v>
      </c>
      <c r="J595">
        <v>1</v>
      </c>
      <c r="K595">
        <v>4.2207252494765797</v>
      </c>
      <c r="L595">
        <v>46224</v>
      </c>
      <c r="M595" t="s">
        <v>172</v>
      </c>
      <c r="N595">
        <v>0</v>
      </c>
      <c r="O595">
        <v>0</v>
      </c>
      <c r="P595">
        <v>4.6875</v>
      </c>
      <c r="Q595">
        <v>0</v>
      </c>
      <c r="R595">
        <v>0</v>
      </c>
      <c r="S595">
        <v>1.1105911242579236</v>
      </c>
      <c r="T595">
        <v>0.11059112425792361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1</v>
      </c>
      <c r="BJ595">
        <v>1</v>
      </c>
      <c r="BK595">
        <v>0</v>
      </c>
      <c r="BL595">
        <v>0</v>
      </c>
      <c r="BM595">
        <v>0.9004213865550037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9.95786134449963E-2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0.9004213865550037</v>
      </c>
      <c r="CG595">
        <v>0</v>
      </c>
    </row>
    <row r="596" spans="1:85" x14ac:dyDescent="0.25">
      <c r="A596" t="s">
        <v>128</v>
      </c>
      <c r="B596" t="s">
        <v>146</v>
      </c>
      <c r="C596" t="s">
        <v>72</v>
      </c>
      <c r="D596" s="12">
        <v>46224</v>
      </c>
      <c r="E596" t="s">
        <v>134</v>
      </c>
      <c r="F596" t="s">
        <v>134</v>
      </c>
      <c r="G596" t="s">
        <v>134</v>
      </c>
      <c r="H596" t="s">
        <v>73</v>
      </c>
      <c r="I596">
        <v>10</v>
      </c>
      <c r="J596">
        <v>1</v>
      </c>
      <c r="K596">
        <v>13.005109674949711</v>
      </c>
      <c r="L596">
        <v>46224</v>
      </c>
      <c r="M596" t="s">
        <v>175</v>
      </c>
      <c r="N596">
        <v>1.9</v>
      </c>
      <c r="O596">
        <v>1.9</v>
      </c>
      <c r="P596">
        <v>11.6875</v>
      </c>
      <c r="Q596">
        <v>0.14609642267452441</v>
      </c>
      <c r="R596">
        <v>0.14609642267452441</v>
      </c>
      <c r="S596">
        <v>0.89868523158342328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0.7525888089088989</v>
      </c>
      <c r="AD596">
        <v>0.10131476841657672</v>
      </c>
      <c r="AE596">
        <v>0</v>
      </c>
      <c r="AF596">
        <v>0</v>
      </c>
      <c r="AG596">
        <v>0</v>
      </c>
      <c r="AH596">
        <v>0.14609642267452441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6.8447945657630065</v>
      </c>
      <c r="AO596">
        <v>6.8447945657630065</v>
      </c>
      <c r="AP596">
        <v>6.1513157894736841</v>
      </c>
      <c r="BG596">
        <v>0</v>
      </c>
      <c r="BH596">
        <v>0</v>
      </c>
      <c r="BI596">
        <v>0</v>
      </c>
      <c r="BK596">
        <v>0.1625668449197861</v>
      </c>
      <c r="BL596">
        <v>0.1625668449197861</v>
      </c>
      <c r="BM596">
        <v>1.1127366566801893</v>
      </c>
      <c r="BN596">
        <v>0.11273665668018928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0.85390357732547562</v>
      </c>
      <c r="BX596">
        <v>0</v>
      </c>
      <c r="BY596">
        <v>0</v>
      </c>
      <c r="BZ596">
        <v>0</v>
      </c>
      <c r="CA596">
        <v>0</v>
      </c>
      <c r="CB596">
        <v>0.1625668449197861</v>
      </c>
      <c r="CC596">
        <v>0</v>
      </c>
      <c r="CD596">
        <v>0</v>
      </c>
      <c r="CE596">
        <v>0</v>
      </c>
      <c r="CF596">
        <v>0</v>
      </c>
      <c r="CG596">
        <v>0</v>
      </c>
    </row>
    <row r="597" spans="1:85" x14ac:dyDescent="0.25">
      <c r="A597" t="s">
        <v>128</v>
      </c>
      <c r="B597" t="s">
        <v>146</v>
      </c>
      <c r="C597" t="s">
        <v>72</v>
      </c>
      <c r="D597" s="12">
        <v>46223</v>
      </c>
      <c r="E597" t="s">
        <v>134</v>
      </c>
      <c r="F597" t="s">
        <v>134</v>
      </c>
      <c r="G597" t="s">
        <v>134</v>
      </c>
      <c r="H597" t="s">
        <v>75</v>
      </c>
      <c r="I597">
        <v>10</v>
      </c>
      <c r="J597">
        <v>1</v>
      </c>
      <c r="K597">
        <v>10.973885648639106</v>
      </c>
      <c r="L597">
        <v>46223</v>
      </c>
      <c r="M597" t="s">
        <v>168</v>
      </c>
      <c r="N597">
        <v>0.95</v>
      </c>
      <c r="O597">
        <v>0.95</v>
      </c>
      <c r="P597">
        <v>10.234375</v>
      </c>
      <c r="Q597">
        <v>8.6569154301130463E-2</v>
      </c>
      <c r="R597">
        <v>8.6569154301130463E-2</v>
      </c>
      <c r="S597">
        <v>0.93261177742171808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0.84604262312058764</v>
      </c>
      <c r="AD597">
        <v>6.738822257828192E-2</v>
      </c>
      <c r="AE597">
        <v>0</v>
      </c>
      <c r="AF597">
        <v>0</v>
      </c>
      <c r="AG597">
        <v>0</v>
      </c>
      <c r="AH597">
        <v>8.6569154301130463E-2</v>
      </c>
      <c r="AI597">
        <v>0</v>
      </c>
      <c r="AJ597">
        <v>0</v>
      </c>
      <c r="AK597">
        <v>0</v>
      </c>
      <c r="AL597">
        <v>0</v>
      </c>
      <c r="AM597">
        <v>0</v>
      </c>
      <c r="AN597">
        <v>11.551458577514849</v>
      </c>
      <c r="AO597">
        <v>11.551458577514849</v>
      </c>
      <c r="AP597">
        <v>10.773026315789474</v>
      </c>
      <c r="BG597">
        <v>0</v>
      </c>
      <c r="BH597">
        <v>0</v>
      </c>
      <c r="BI597">
        <v>0</v>
      </c>
      <c r="BK597">
        <v>9.282442748091603E-2</v>
      </c>
      <c r="BL597">
        <v>9.282442748091603E-2</v>
      </c>
      <c r="BM597">
        <v>1.0722575290273324</v>
      </c>
      <c r="BN597">
        <v>7.2257529027332401E-2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0.91343084569886956</v>
      </c>
      <c r="BX597">
        <v>0</v>
      </c>
      <c r="BY597">
        <v>0</v>
      </c>
      <c r="BZ597">
        <v>0</v>
      </c>
      <c r="CA597">
        <v>0</v>
      </c>
      <c r="CB597">
        <v>9.282442748091603E-2</v>
      </c>
      <c r="CC597">
        <v>0</v>
      </c>
      <c r="CD597">
        <v>0</v>
      </c>
      <c r="CE597">
        <v>0</v>
      </c>
      <c r="CF597">
        <v>0</v>
      </c>
      <c r="CG597">
        <v>0</v>
      </c>
    </row>
    <row r="598" spans="1:85" x14ac:dyDescent="0.25">
      <c r="A598" t="s">
        <v>128</v>
      </c>
      <c r="B598" t="s">
        <v>146</v>
      </c>
      <c r="C598" t="s">
        <v>72</v>
      </c>
      <c r="D598" s="12">
        <v>46223</v>
      </c>
      <c r="E598" t="s">
        <v>134</v>
      </c>
      <c r="F598" t="s">
        <v>134</v>
      </c>
      <c r="G598" t="s">
        <v>134</v>
      </c>
      <c r="H598" t="s">
        <v>74</v>
      </c>
      <c r="I598">
        <v>10</v>
      </c>
      <c r="J598">
        <v>1</v>
      </c>
      <c r="K598">
        <v>4.2207252494765797</v>
      </c>
      <c r="L598">
        <v>46223</v>
      </c>
      <c r="M598" t="s">
        <v>160</v>
      </c>
      <c r="N598">
        <v>0</v>
      </c>
      <c r="O598">
        <v>0</v>
      </c>
      <c r="P598">
        <v>4.6875</v>
      </c>
      <c r="Q598">
        <v>0</v>
      </c>
      <c r="R598">
        <v>0</v>
      </c>
      <c r="S598">
        <v>1.1105911242579236</v>
      </c>
      <c r="T598">
        <v>0.11059112425792361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  <c r="AL598">
        <v>1</v>
      </c>
      <c r="AM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F598">
        <v>0</v>
      </c>
      <c r="BG598">
        <v>0</v>
      </c>
      <c r="BH598">
        <v>0</v>
      </c>
      <c r="BI598">
        <v>1</v>
      </c>
      <c r="BJ598">
        <v>1</v>
      </c>
      <c r="BK598">
        <v>0</v>
      </c>
      <c r="BL598">
        <v>0</v>
      </c>
      <c r="BM598">
        <v>0.9004213865550037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0</v>
      </c>
      <c r="BV598">
        <v>0</v>
      </c>
      <c r="BW598">
        <v>0</v>
      </c>
      <c r="BX598">
        <v>9.95786134449963E-2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0</v>
      </c>
      <c r="CF598">
        <v>0.9004213865550037</v>
      </c>
      <c r="CG598">
        <v>0</v>
      </c>
    </row>
    <row r="599" spans="1:85" x14ac:dyDescent="0.25">
      <c r="A599" t="s">
        <v>128</v>
      </c>
      <c r="B599" t="s">
        <v>146</v>
      </c>
      <c r="C599" t="s">
        <v>72</v>
      </c>
      <c r="D599" s="12">
        <v>46223</v>
      </c>
      <c r="E599" t="s">
        <v>134</v>
      </c>
      <c r="F599" t="s">
        <v>134</v>
      </c>
      <c r="G599" t="s">
        <v>134</v>
      </c>
      <c r="H599" t="s">
        <v>73</v>
      </c>
      <c r="I599">
        <v>10</v>
      </c>
      <c r="J599">
        <v>1</v>
      </c>
      <c r="K599">
        <v>11.87078976415288</v>
      </c>
      <c r="L599">
        <v>46223</v>
      </c>
      <c r="M599" t="s">
        <v>176</v>
      </c>
      <c r="N599">
        <v>3.8</v>
      </c>
      <c r="O599">
        <v>3.8</v>
      </c>
      <c r="P599">
        <v>10.447916666666666</v>
      </c>
      <c r="Q599">
        <v>0.32011349501573577</v>
      </c>
      <c r="R599">
        <v>0.32011349501573577</v>
      </c>
      <c r="S599">
        <v>0.88013661047363745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0.56002311545790162</v>
      </c>
      <c r="AD599">
        <v>0.11986338952636255</v>
      </c>
      <c r="AE599">
        <v>0</v>
      </c>
      <c r="AF599">
        <v>0</v>
      </c>
      <c r="AG599">
        <v>0</v>
      </c>
      <c r="AH599">
        <v>0.32011349501573577</v>
      </c>
      <c r="AI599">
        <v>0</v>
      </c>
      <c r="AJ599">
        <v>0</v>
      </c>
      <c r="AK599">
        <v>0</v>
      </c>
      <c r="AL599">
        <v>0</v>
      </c>
      <c r="AM599">
        <v>0</v>
      </c>
      <c r="AN599">
        <v>3.1238920431981265</v>
      </c>
      <c r="AO599">
        <v>3.1238920431981265</v>
      </c>
      <c r="AP599">
        <v>2.7494517543859649</v>
      </c>
      <c r="BG599">
        <v>0</v>
      </c>
      <c r="BH599">
        <v>0</v>
      </c>
      <c r="BI599">
        <v>0</v>
      </c>
      <c r="BK599">
        <v>0.36370887337986041</v>
      </c>
      <c r="BL599">
        <v>0.36370887337986041</v>
      </c>
      <c r="BM599">
        <v>1.1361872555919008</v>
      </c>
      <c r="BN599">
        <v>0.13618725559190081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0.67988650498426417</v>
      </c>
      <c r="BX599">
        <v>0</v>
      </c>
      <c r="BY599">
        <v>0</v>
      </c>
      <c r="BZ599">
        <v>0</v>
      </c>
      <c r="CA599">
        <v>0</v>
      </c>
      <c r="CB599">
        <v>0.36370887337986041</v>
      </c>
      <c r="CC599">
        <v>0</v>
      </c>
      <c r="CD599">
        <v>0</v>
      </c>
      <c r="CE599">
        <v>0</v>
      </c>
      <c r="CF599">
        <v>0</v>
      </c>
      <c r="CG599">
        <v>0</v>
      </c>
    </row>
    <row r="600" spans="1:85" x14ac:dyDescent="0.25">
      <c r="A600" t="s">
        <v>128</v>
      </c>
      <c r="B600" t="s">
        <v>146</v>
      </c>
      <c r="C600" t="s">
        <v>72</v>
      </c>
      <c r="D600" s="12">
        <v>46227</v>
      </c>
      <c r="E600" t="s">
        <v>134</v>
      </c>
      <c r="F600" t="s">
        <v>134</v>
      </c>
      <c r="G600" t="s">
        <v>134</v>
      </c>
      <c r="H600" t="s">
        <v>74</v>
      </c>
      <c r="I600">
        <v>10</v>
      </c>
      <c r="J600">
        <v>1</v>
      </c>
      <c r="K600">
        <v>4.2207252494765797</v>
      </c>
      <c r="L600">
        <v>46227</v>
      </c>
      <c r="M600" t="s">
        <v>228</v>
      </c>
      <c r="N600">
        <v>1.9</v>
      </c>
      <c r="O600">
        <v>1.9</v>
      </c>
      <c r="P600">
        <v>4.6875</v>
      </c>
      <c r="Q600">
        <v>0.45015960236587838</v>
      </c>
      <c r="R600">
        <v>0.45015960236587838</v>
      </c>
      <c r="S600">
        <v>1.1105911242579236</v>
      </c>
      <c r="T600">
        <v>0.11059112425792361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0.54984039763412162</v>
      </c>
      <c r="AD600">
        <v>0</v>
      </c>
      <c r="AE600">
        <v>0</v>
      </c>
      <c r="AF600">
        <v>0</v>
      </c>
      <c r="AG600">
        <v>0</v>
      </c>
      <c r="AH600">
        <v>0.45015960236587838</v>
      </c>
      <c r="AI600">
        <v>0</v>
      </c>
      <c r="AJ600">
        <v>0</v>
      </c>
      <c r="AK600">
        <v>0</v>
      </c>
      <c r="AL600">
        <v>0</v>
      </c>
      <c r="AM600">
        <v>0</v>
      </c>
      <c r="AN600">
        <v>2.2214343418297791</v>
      </c>
      <c r="AO600">
        <v>2.2214343418297791</v>
      </c>
      <c r="AP600">
        <v>2.4671052631578947</v>
      </c>
      <c r="BG600">
        <v>0</v>
      </c>
      <c r="BH600">
        <v>0</v>
      </c>
      <c r="BI600">
        <v>0</v>
      </c>
      <c r="BK600">
        <v>0.40533333333333332</v>
      </c>
      <c r="BL600">
        <v>0.40533333333333332</v>
      </c>
      <c r="BM600">
        <v>0.9004213865550037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9.95786134449963E-2</v>
      </c>
      <c r="BY600">
        <v>0</v>
      </c>
      <c r="BZ600">
        <v>0</v>
      </c>
      <c r="CA600">
        <v>0</v>
      </c>
      <c r="CB600">
        <v>0.40533333333333332</v>
      </c>
      <c r="CC600">
        <v>0</v>
      </c>
      <c r="CD600">
        <v>0</v>
      </c>
      <c r="CE600">
        <v>0</v>
      </c>
      <c r="CF600">
        <v>0</v>
      </c>
      <c r="CG600">
        <v>0</v>
      </c>
    </row>
    <row r="601" spans="1:85" x14ac:dyDescent="0.25">
      <c r="A601" t="s">
        <v>128</v>
      </c>
      <c r="B601" t="s">
        <v>146</v>
      </c>
      <c r="C601" t="s">
        <v>72</v>
      </c>
      <c r="D601" s="12">
        <v>46236</v>
      </c>
      <c r="E601" t="s">
        <v>136</v>
      </c>
      <c r="F601" t="s">
        <v>136</v>
      </c>
      <c r="G601" t="s">
        <v>136</v>
      </c>
      <c r="H601" t="s">
        <v>73</v>
      </c>
      <c r="I601">
        <v>10</v>
      </c>
      <c r="J601">
        <v>1</v>
      </c>
      <c r="K601">
        <v>3.5876164620550925</v>
      </c>
      <c r="L601">
        <v>46236</v>
      </c>
      <c r="M601" t="s">
        <v>188</v>
      </c>
      <c r="N601">
        <v>3.8</v>
      </c>
      <c r="O601">
        <v>3.8</v>
      </c>
      <c r="P601">
        <v>4.7610294117647047</v>
      </c>
      <c r="Q601">
        <v>1.0591990643903022</v>
      </c>
      <c r="R601">
        <v>1.0591990643903022</v>
      </c>
      <c r="S601">
        <v>1.3270731311778647</v>
      </c>
      <c r="T601">
        <v>0.26787406678756254</v>
      </c>
      <c r="U601">
        <v>0</v>
      </c>
      <c r="V601">
        <v>0</v>
      </c>
      <c r="W601">
        <v>0</v>
      </c>
      <c r="X601">
        <v>0</v>
      </c>
      <c r="Y601">
        <v>0.1908009356096978</v>
      </c>
      <c r="Z601">
        <v>5.9199064390302203E-2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>
        <v>0</v>
      </c>
      <c r="AM601">
        <v>1</v>
      </c>
      <c r="AN601">
        <v>0.94410959527765603</v>
      </c>
      <c r="AO601">
        <v>0.94410959527765603</v>
      </c>
      <c r="AP601">
        <v>1.2529024767801855</v>
      </c>
      <c r="AQ601">
        <v>0.25290247678018551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0.94410959527765603</v>
      </c>
      <c r="BF601">
        <v>0</v>
      </c>
      <c r="BG601">
        <v>0</v>
      </c>
      <c r="BH601">
        <v>0</v>
      </c>
      <c r="BI601">
        <v>0</v>
      </c>
      <c r="BJ601">
        <v>0</v>
      </c>
      <c r="BK601">
        <v>0.79814671814671834</v>
      </c>
      <c r="BL601">
        <v>0.79814671814671834</v>
      </c>
      <c r="BM601">
        <v>0.75353797504168762</v>
      </c>
      <c r="BN601">
        <v>0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0</v>
      </c>
      <c r="BV601">
        <v>0</v>
      </c>
      <c r="BW601">
        <v>0</v>
      </c>
      <c r="BX601">
        <v>0.20185328185328166</v>
      </c>
      <c r="BY601">
        <v>0</v>
      </c>
      <c r="BZ601">
        <v>4.4608743105030713E-2</v>
      </c>
      <c r="CA601">
        <v>0</v>
      </c>
      <c r="CB601">
        <v>0.75353797504168762</v>
      </c>
      <c r="CC601">
        <v>0</v>
      </c>
      <c r="CD601">
        <v>0</v>
      </c>
      <c r="CE601">
        <v>0</v>
      </c>
      <c r="CF601">
        <v>0</v>
      </c>
      <c r="CG601">
        <v>0</v>
      </c>
    </row>
    <row r="602" spans="1:85" x14ac:dyDescent="0.25">
      <c r="A602" t="s">
        <v>128</v>
      </c>
      <c r="B602" t="s">
        <v>146</v>
      </c>
      <c r="C602" t="s">
        <v>72</v>
      </c>
      <c r="D602" s="12">
        <v>46232</v>
      </c>
      <c r="E602" t="s">
        <v>134</v>
      </c>
      <c r="F602" t="s">
        <v>134</v>
      </c>
      <c r="G602" t="s">
        <v>134</v>
      </c>
      <c r="H602" t="s">
        <v>75</v>
      </c>
      <c r="I602">
        <v>10</v>
      </c>
      <c r="J602">
        <v>1</v>
      </c>
      <c r="K602">
        <v>10.815608451783737</v>
      </c>
      <c r="L602">
        <v>46232</v>
      </c>
      <c r="M602" t="s">
        <v>239</v>
      </c>
      <c r="N602">
        <v>0.95</v>
      </c>
      <c r="O602">
        <v>0.95</v>
      </c>
      <c r="P602">
        <v>11.253676470588236</v>
      </c>
      <c r="Q602">
        <v>8.7836019973829921E-2</v>
      </c>
      <c r="R602">
        <v>8.7836019973829921E-2</v>
      </c>
      <c r="S602">
        <v>1.0405033171048506</v>
      </c>
      <c r="T602">
        <v>4.0503317104850556E-2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0.91216398002617005</v>
      </c>
      <c r="AD602">
        <v>0</v>
      </c>
      <c r="AE602">
        <v>0</v>
      </c>
      <c r="AF602">
        <v>0</v>
      </c>
      <c r="AG602">
        <v>0</v>
      </c>
      <c r="AH602">
        <v>8.7836019973829921E-2</v>
      </c>
      <c r="AI602">
        <v>0</v>
      </c>
      <c r="AJ602">
        <v>0</v>
      </c>
      <c r="AK602">
        <v>0</v>
      </c>
      <c r="AL602">
        <v>0</v>
      </c>
      <c r="AM602">
        <v>0</v>
      </c>
      <c r="AN602">
        <v>11.384851001877617</v>
      </c>
      <c r="AO602">
        <v>11.384851001877617</v>
      </c>
      <c r="AP602">
        <v>11.845975232198143</v>
      </c>
      <c r="BG602">
        <v>0</v>
      </c>
      <c r="BH602">
        <v>0</v>
      </c>
      <c r="BI602">
        <v>0</v>
      </c>
      <c r="BK602">
        <v>8.441685723619731E-2</v>
      </c>
      <c r="BL602">
        <v>8.441685723619731E-2</v>
      </c>
      <c r="BM602">
        <v>0.96107334168088088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0</v>
      </c>
      <c r="BU602">
        <v>0</v>
      </c>
      <c r="BV602">
        <v>0</v>
      </c>
      <c r="BW602">
        <v>0</v>
      </c>
      <c r="BX602">
        <v>3.8926658319119123E-2</v>
      </c>
      <c r="BY602">
        <v>0</v>
      </c>
      <c r="BZ602">
        <v>0</v>
      </c>
      <c r="CA602">
        <v>0</v>
      </c>
      <c r="CB602">
        <v>8.441685723619731E-2</v>
      </c>
      <c r="CC602">
        <v>0</v>
      </c>
      <c r="CD602">
        <v>0</v>
      </c>
      <c r="CE602">
        <v>0</v>
      </c>
      <c r="CF602">
        <v>0</v>
      </c>
      <c r="CG602">
        <v>0</v>
      </c>
    </row>
    <row r="603" spans="1:85" x14ac:dyDescent="0.25">
      <c r="A603" t="s">
        <v>128</v>
      </c>
      <c r="B603" t="s">
        <v>146</v>
      </c>
      <c r="C603" t="s">
        <v>72</v>
      </c>
      <c r="D603" s="12">
        <v>46233</v>
      </c>
      <c r="E603" t="s">
        <v>134</v>
      </c>
      <c r="F603" t="s">
        <v>134</v>
      </c>
      <c r="G603" t="s">
        <v>134</v>
      </c>
      <c r="H603" t="s">
        <v>74</v>
      </c>
      <c r="I603">
        <v>10</v>
      </c>
      <c r="J603">
        <v>1</v>
      </c>
      <c r="K603">
        <v>4.2207252494765797</v>
      </c>
      <c r="L603">
        <v>46233</v>
      </c>
      <c r="M603" t="s">
        <v>237</v>
      </c>
      <c r="N603">
        <v>0</v>
      </c>
      <c r="O603">
        <v>0</v>
      </c>
      <c r="P603">
        <v>4.6875</v>
      </c>
      <c r="Q603">
        <v>0</v>
      </c>
      <c r="R603">
        <v>0</v>
      </c>
      <c r="S603">
        <v>1.1105911242579236</v>
      </c>
      <c r="T603">
        <v>0.11059112425792361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>
        <v>1</v>
      </c>
      <c r="AM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F603">
        <v>0</v>
      </c>
      <c r="BG603">
        <v>0</v>
      </c>
      <c r="BH603">
        <v>0</v>
      </c>
      <c r="BI603">
        <v>1</v>
      </c>
      <c r="BJ603">
        <v>1</v>
      </c>
      <c r="BK603">
        <v>0</v>
      </c>
      <c r="BL603">
        <v>0</v>
      </c>
      <c r="BM603">
        <v>0.9004213865550037</v>
      </c>
      <c r="BN603">
        <v>0</v>
      </c>
      <c r="BO603">
        <v>0</v>
      </c>
      <c r="BP603">
        <v>0</v>
      </c>
      <c r="BQ603">
        <v>0</v>
      </c>
      <c r="BR603">
        <v>0</v>
      </c>
      <c r="BS603">
        <v>0</v>
      </c>
      <c r="BT603">
        <v>0</v>
      </c>
      <c r="BU603">
        <v>0</v>
      </c>
      <c r="BV603">
        <v>0</v>
      </c>
      <c r="BW603">
        <v>0</v>
      </c>
      <c r="BX603">
        <v>9.95786134449963E-2</v>
      </c>
      <c r="BY603">
        <v>0</v>
      </c>
      <c r="BZ603">
        <v>0</v>
      </c>
      <c r="CA603">
        <v>0</v>
      </c>
      <c r="CB603">
        <v>0</v>
      </c>
      <c r="CC603">
        <v>0</v>
      </c>
      <c r="CD603">
        <v>0</v>
      </c>
      <c r="CE603">
        <v>0</v>
      </c>
      <c r="CF603">
        <v>0.9004213865550037</v>
      </c>
      <c r="CG603">
        <v>0</v>
      </c>
    </row>
    <row r="604" spans="1:85" x14ac:dyDescent="0.25">
      <c r="A604" t="s">
        <v>128</v>
      </c>
      <c r="B604" t="s">
        <v>146</v>
      </c>
      <c r="C604" t="s">
        <v>72</v>
      </c>
      <c r="D604" s="12">
        <v>46242</v>
      </c>
      <c r="E604" t="s">
        <v>134</v>
      </c>
      <c r="F604" t="s">
        <v>134</v>
      </c>
      <c r="G604" t="s">
        <v>134</v>
      </c>
      <c r="H604" t="s">
        <v>75</v>
      </c>
      <c r="I604">
        <v>10</v>
      </c>
      <c r="J604">
        <v>1</v>
      </c>
      <c r="K604">
        <v>10.973885648639106</v>
      </c>
      <c r="L604">
        <v>46242</v>
      </c>
      <c r="M604" t="s">
        <v>207</v>
      </c>
      <c r="N604">
        <v>1.9</v>
      </c>
      <c r="O604">
        <v>1.9</v>
      </c>
      <c r="P604">
        <v>11.308823529411764</v>
      </c>
      <c r="Q604">
        <v>0.17313830860226093</v>
      </c>
      <c r="R604">
        <v>0.17313830860226093</v>
      </c>
      <c r="S604">
        <v>1.0305213569283178</v>
      </c>
      <c r="T604">
        <v>3.0521356928317811E-2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0.82686169139773913</v>
      </c>
      <c r="AD604">
        <v>0</v>
      </c>
      <c r="AE604">
        <v>0</v>
      </c>
      <c r="AF604">
        <v>0</v>
      </c>
      <c r="AG604">
        <v>0</v>
      </c>
      <c r="AH604">
        <v>0.17313830860226093</v>
      </c>
      <c r="AI604">
        <v>0</v>
      </c>
      <c r="AJ604">
        <v>0</v>
      </c>
      <c r="AK604">
        <v>0</v>
      </c>
      <c r="AL604">
        <v>0</v>
      </c>
      <c r="AM604">
        <v>0</v>
      </c>
      <c r="AN604">
        <v>5.7757292887574243</v>
      </c>
      <c r="AO604">
        <v>5.7757292887574243</v>
      </c>
      <c r="AP604">
        <v>5.9520123839009287</v>
      </c>
      <c r="BG604">
        <v>0</v>
      </c>
      <c r="BH604">
        <v>0</v>
      </c>
      <c r="BI604">
        <v>0</v>
      </c>
      <c r="BK604">
        <v>0.16801040312093626</v>
      </c>
      <c r="BL604">
        <v>0.16801040312093626</v>
      </c>
      <c r="BM604">
        <v>0.97038260612153349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2.9617393878466514E-2</v>
      </c>
      <c r="BY604">
        <v>0</v>
      </c>
      <c r="BZ604">
        <v>0</v>
      </c>
      <c r="CA604">
        <v>0</v>
      </c>
      <c r="CB604">
        <v>0.16801040312093626</v>
      </c>
      <c r="CC604">
        <v>0</v>
      </c>
      <c r="CD604">
        <v>0</v>
      </c>
      <c r="CE604">
        <v>0</v>
      </c>
      <c r="CF604">
        <v>0</v>
      </c>
      <c r="CG604">
        <v>0</v>
      </c>
    </row>
    <row r="605" spans="1:85" x14ac:dyDescent="0.25">
      <c r="A605" t="s">
        <v>128</v>
      </c>
      <c r="B605" t="s">
        <v>146</v>
      </c>
      <c r="C605" t="s">
        <v>72</v>
      </c>
      <c r="D605" s="12">
        <v>46242</v>
      </c>
      <c r="E605" t="s">
        <v>134</v>
      </c>
      <c r="F605" t="s">
        <v>134</v>
      </c>
      <c r="G605" t="s">
        <v>134</v>
      </c>
      <c r="H605" t="s">
        <v>74</v>
      </c>
      <c r="I605">
        <v>10</v>
      </c>
      <c r="J605">
        <v>1</v>
      </c>
      <c r="K605">
        <v>4.2207252494765797</v>
      </c>
      <c r="L605">
        <v>46242</v>
      </c>
      <c r="M605" t="s">
        <v>208</v>
      </c>
      <c r="N605">
        <v>0.95</v>
      </c>
      <c r="O605">
        <v>0.95</v>
      </c>
      <c r="P605">
        <v>4.6875</v>
      </c>
      <c r="Q605">
        <v>0.22507980118293919</v>
      </c>
      <c r="R605">
        <v>0.22507980118293919</v>
      </c>
      <c r="S605">
        <v>1.1105911242579236</v>
      </c>
      <c r="T605">
        <v>0.11059112425792361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0.77492019881706087</v>
      </c>
      <c r="AD605">
        <v>0</v>
      </c>
      <c r="AE605">
        <v>0</v>
      </c>
      <c r="AF605">
        <v>0</v>
      </c>
      <c r="AG605">
        <v>0</v>
      </c>
      <c r="AH605">
        <v>0.22507980118293919</v>
      </c>
      <c r="AI605">
        <v>0</v>
      </c>
      <c r="AJ605">
        <v>0</v>
      </c>
      <c r="AK605">
        <v>0</v>
      </c>
      <c r="AL605">
        <v>0</v>
      </c>
      <c r="AM605">
        <v>0</v>
      </c>
      <c r="AN605">
        <v>4.4428686836595581</v>
      </c>
      <c r="AO605">
        <v>4.4428686836595581</v>
      </c>
      <c r="AP605">
        <v>4.9342105263157894</v>
      </c>
      <c r="BG605">
        <v>0</v>
      </c>
      <c r="BH605">
        <v>0</v>
      </c>
      <c r="BI605">
        <v>0</v>
      </c>
      <c r="BK605">
        <v>0.20266666666666666</v>
      </c>
      <c r="BL605">
        <v>0.20266666666666666</v>
      </c>
      <c r="BM605">
        <v>0.9004213865550037</v>
      </c>
      <c r="BN605">
        <v>0</v>
      </c>
      <c r="BO605">
        <v>0</v>
      </c>
      <c r="BP605">
        <v>0</v>
      </c>
      <c r="BQ605">
        <v>0</v>
      </c>
      <c r="BR605">
        <v>0</v>
      </c>
      <c r="BS605">
        <v>0</v>
      </c>
      <c r="BT605">
        <v>0</v>
      </c>
      <c r="BU605">
        <v>0</v>
      </c>
      <c r="BV605">
        <v>0</v>
      </c>
      <c r="BW605">
        <v>0</v>
      </c>
      <c r="BX605">
        <v>9.95786134449963E-2</v>
      </c>
      <c r="BY605">
        <v>0</v>
      </c>
      <c r="BZ605">
        <v>0</v>
      </c>
      <c r="CA605">
        <v>0</v>
      </c>
      <c r="CB605">
        <v>0.20266666666666666</v>
      </c>
      <c r="CC605">
        <v>0</v>
      </c>
      <c r="CD605">
        <v>0</v>
      </c>
      <c r="CE605">
        <v>0</v>
      </c>
      <c r="CF605">
        <v>0</v>
      </c>
      <c r="CG605">
        <v>0</v>
      </c>
    </row>
    <row r="606" spans="1:85" x14ac:dyDescent="0.25">
      <c r="A606" t="s">
        <v>128</v>
      </c>
      <c r="B606" t="s">
        <v>146</v>
      </c>
      <c r="C606" t="s">
        <v>72</v>
      </c>
      <c r="D606" s="12">
        <v>46242</v>
      </c>
      <c r="E606" t="s">
        <v>134</v>
      </c>
      <c r="F606" t="s">
        <v>134</v>
      </c>
      <c r="G606" t="s">
        <v>134</v>
      </c>
      <c r="H606" t="s">
        <v>73</v>
      </c>
      <c r="I606">
        <v>10</v>
      </c>
      <c r="J606">
        <v>1</v>
      </c>
      <c r="K606">
        <v>11.026644714257564</v>
      </c>
      <c r="L606">
        <v>46242</v>
      </c>
      <c r="M606" t="s">
        <v>209</v>
      </c>
      <c r="N606">
        <v>4.75</v>
      </c>
      <c r="O606">
        <v>4.75</v>
      </c>
      <c r="P606">
        <v>11.253676470588236</v>
      </c>
      <c r="Q606">
        <v>0.43077473910610375</v>
      </c>
      <c r="R606">
        <v>0.43077473910610375</v>
      </c>
      <c r="S606">
        <v>1.0205893780215043</v>
      </c>
      <c r="T606">
        <v>2.058937802150429E-2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0.56922526089389625</v>
      </c>
      <c r="AD606">
        <v>0</v>
      </c>
      <c r="AE606">
        <v>0</v>
      </c>
      <c r="AF606">
        <v>0</v>
      </c>
      <c r="AG606">
        <v>0</v>
      </c>
      <c r="AH606">
        <v>0.43077473910610375</v>
      </c>
      <c r="AI606">
        <v>0</v>
      </c>
      <c r="AJ606">
        <v>0</v>
      </c>
      <c r="AK606">
        <v>0</v>
      </c>
      <c r="AL606">
        <v>0</v>
      </c>
      <c r="AM606">
        <v>0</v>
      </c>
      <c r="AN606">
        <v>2.3213988872121187</v>
      </c>
      <c r="AO606">
        <v>2.3213988872121187</v>
      </c>
      <c r="AP606">
        <v>2.3691950464396285</v>
      </c>
      <c r="BG606">
        <v>0</v>
      </c>
      <c r="BH606">
        <v>0</v>
      </c>
      <c r="BI606">
        <v>0</v>
      </c>
      <c r="BK606">
        <v>0.42208428618098659</v>
      </c>
      <c r="BL606">
        <v>0.42208428618098659</v>
      </c>
      <c r="BM606">
        <v>0.97982599225026379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2.0174007749736211E-2</v>
      </c>
      <c r="BY606">
        <v>0</v>
      </c>
      <c r="BZ606">
        <v>0</v>
      </c>
      <c r="CA606">
        <v>0</v>
      </c>
      <c r="CB606">
        <v>0.42208428618098659</v>
      </c>
      <c r="CC606">
        <v>0</v>
      </c>
      <c r="CD606">
        <v>0</v>
      </c>
      <c r="CE606">
        <v>0</v>
      </c>
      <c r="CF606">
        <v>0</v>
      </c>
      <c r="CG606">
        <v>0</v>
      </c>
    </row>
    <row r="607" spans="1:85" x14ac:dyDescent="0.25">
      <c r="A607" t="s">
        <v>128</v>
      </c>
      <c r="B607" t="s">
        <v>146</v>
      </c>
      <c r="C607" t="s">
        <v>72</v>
      </c>
      <c r="D607" s="12">
        <v>46241</v>
      </c>
      <c r="E607" t="s">
        <v>134</v>
      </c>
      <c r="F607" t="s">
        <v>134</v>
      </c>
      <c r="G607" t="s">
        <v>134</v>
      </c>
      <c r="H607" t="s">
        <v>75</v>
      </c>
      <c r="I607">
        <v>10</v>
      </c>
      <c r="J607">
        <v>1</v>
      </c>
      <c r="K607">
        <v>11.026644714257564</v>
      </c>
      <c r="L607">
        <v>46241</v>
      </c>
      <c r="M607" t="s">
        <v>210</v>
      </c>
      <c r="N607">
        <v>2.8499999999999996</v>
      </c>
      <c r="O607">
        <v>2.8499999999999996</v>
      </c>
      <c r="P607">
        <v>11.253676470588236</v>
      </c>
      <c r="Q607">
        <v>0.25846484346366222</v>
      </c>
      <c r="R607">
        <v>0.25846484346366222</v>
      </c>
      <c r="S607">
        <v>1.0205893780215043</v>
      </c>
      <c r="T607">
        <v>2.058937802150429E-2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0.74153515653633773</v>
      </c>
      <c r="AD607">
        <v>0</v>
      </c>
      <c r="AE607">
        <v>0</v>
      </c>
      <c r="AF607">
        <v>0</v>
      </c>
      <c r="AG607">
        <v>0</v>
      </c>
      <c r="AH607">
        <v>0.25846484346366222</v>
      </c>
      <c r="AI607">
        <v>0</v>
      </c>
      <c r="AJ607">
        <v>0</v>
      </c>
      <c r="AK607">
        <v>0</v>
      </c>
      <c r="AL607">
        <v>0</v>
      </c>
      <c r="AM607">
        <v>0</v>
      </c>
      <c r="AN607">
        <v>3.8689981453535318</v>
      </c>
      <c r="AO607">
        <v>3.8689981453535318</v>
      </c>
      <c r="AP607">
        <v>3.9486584107327145</v>
      </c>
      <c r="BG607">
        <v>0</v>
      </c>
      <c r="BH607">
        <v>0</v>
      </c>
      <c r="BI607">
        <v>0</v>
      </c>
      <c r="BK607">
        <v>0.25325057170859194</v>
      </c>
      <c r="BL607">
        <v>0.25325057170859194</v>
      </c>
      <c r="BM607">
        <v>0.97982599225026379</v>
      </c>
      <c r="BN607">
        <v>0</v>
      </c>
      <c r="BO607">
        <v>0</v>
      </c>
      <c r="BP607">
        <v>0</v>
      </c>
      <c r="BQ607">
        <v>0</v>
      </c>
      <c r="BR607">
        <v>0</v>
      </c>
      <c r="BS607">
        <v>0</v>
      </c>
      <c r="BT607">
        <v>0</v>
      </c>
      <c r="BU607">
        <v>0</v>
      </c>
      <c r="BV607">
        <v>0</v>
      </c>
      <c r="BW607">
        <v>0</v>
      </c>
      <c r="BX607">
        <v>2.0174007749736211E-2</v>
      </c>
      <c r="BY607">
        <v>0</v>
      </c>
      <c r="BZ607">
        <v>0</v>
      </c>
      <c r="CA607">
        <v>0</v>
      </c>
      <c r="CB607">
        <v>0.25325057170859194</v>
      </c>
      <c r="CC607">
        <v>0</v>
      </c>
      <c r="CD607">
        <v>0</v>
      </c>
      <c r="CE607">
        <v>0</v>
      </c>
      <c r="CF607">
        <v>0</v>
      </c>
      <c r="CG607">
        <v>0</v>
      </c>
    </row>
    <row r="608" spans="1:85" x14ac:dyDescent="0.25">
      <c r="A608" t="s">
        <v>128</v>
      </c>
      <c r="B608" t="s">
        <v>146</v>
      </c>
      <c r="C608" t="s">
        <v>72</v>
      </c>
      <c r="D608" s="12">
        <v>46241</v>
      </c>
      <c r="E608" t="s">
        <v>134</v>
      </c>
      <c r="F608" t="s">
        <v>134</v>
      </c>
      <c r="G608" t="s">
        <v>134</v>
      </c>
      <c r="H608" t="s">
        <v>74</v>
      </c>
      <c r="I608">
        <v>10</v>
      </c>
      <c r="J608">
        <v>1</v>
      </c>
      <c r="K608">
        <v>4.2207252494765797</v>
      </c>
      <c r="L608">
        <v>46241</v>
      </c>
      <c r="M608" t="s">
        <v>211</v>
      </c>
      <c r="N608">
        <v>3.8</v>
      </c>
      <c r="O608">
        <v>3.8</v>
      </c>
      <c r="P608">
        <v>4.6875</v>
      </c>
      <c r="Q608">
        <v>0.90031920473175675</v>
      </c>
      <c r="R608">
        <v>0.90031920473175675</v>
      </c>
      <c r="S608">
        <v>1.1105911242579236</v>
      </c>
      <c r="T608">
        <v>0.11059112425792361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9.968079526824325E-2</v>
      </c>
      <c r="AD608">
        <v>0</v>
      </c>
      <c r="AE608">
        <v>0</v>
      </c>
      <c r="AF608">
        <v>0</v>
      </c>
      <c r="AG608">
        <v>0</v>
      </c>
      <c r="AH608">
        <v>0.90031920473175675</v>
      </c>
      <c r="AI608">
        <v>0</v>
      </c>
      <c r="AJ608">
        <v>0</v>
      </c>
      <c r="AK608">
        <v>0</v>
      </c>
      <c r="AL608">
        <v>0</v>
      </c>
      <c r="AM608">
        <v>0</v>
      </c>
      <c r="AN608">
        <v>1.1107171709148895</v>
      </c>
      <c r="AO608">
        <v>1.1107171709148895</v>
      </c>
      <c r="AP608">
        <v>1.2335526315789473</v>
      </c>
      <c r="AQ608">
        <v>0.12283546066405782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0.11071717091488953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1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0.81066666666666665</v>
      </c>
      <c r="BL608">
        <v>0.81066666666666665</v>
      </c>
      <c r="BM608">
        <v>0.9004213865550037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0</v>
      </c>
      <c r="BU608">
        <v>0</v>
      </c>
      <c r="BV608">
        <v>0</v>
      </c>
      <c r="BW608">
        <v>0</v>
      </c>
      <c r="BX608">
        <v>9.95786134449963E-2</v>
      </c>
      <c r="BY608">
        <v>0</v>
      </c>
      <c r="BZ608">
        <v>0</v>
      </c>
      <c r="CA608">
        <v>0</v>
      </c>
      <c r="CB608">
        <v>0.81066666666666665</v>
      </c>
      <c r="CC608">
        <v>0</v>
      </c>
      <c r="CD608">
        <v>0</v>
      </c>
      <c r="CE608">
        <v>0</v>
      </c>
      <c r="CF608">
        <v>0</v>
      </c>
      <c r="CG608">
        <v>0</v>
      </c>
    </row>
    <row r="609" spans="1:85" x14ac:dyDescent="0.25">
      <c r="A609" t="s">
        <v>128</v>
      </c>
      <c r="B609" t="s">
        <v>146</v>
      </c>
      <c r="C609" t="s">
        <v>72</v>
      </c>
      <c r="D609" s="12">
        <v>46241</v>
      </c>
      <c r="E609" t="s">
        <v>134</v>
      </c>
      <c r="F609" t="s">
        <v>134</v>
      </c>
      <c r="G609" t="s">
        <v>134</v>
      </c>
      <c r="H609" t="s">
        <v>73</v>
      </c>
      <c r="I609">
        <v>10</v>
      </c>
      <c r="J609">
        <v>1</v>
      </c>
      <c r="K609">
        <v>10.973885648639108</v>
      </c>
      <c r="L609">
        <v>46241</v>
      </c>
      <c r="M609" t="s">
        <v>212</v>
      </c>
      <c r="N609">
        <v>0</v>
      </c>
      <c r="O609">
        <v>0</v>
      </c>
      <c r="P609">
        <v>11.308823529411764</v>
      </c>
      <c r="Q609">
        <v>0</v>
      </c>
      <c r="R609">
        <v>0</v>
      </c>
      <c r="S609">
        <v>1.0305213569283176</v>
      </c>
      <c r="T609">
        <v>3.0521356928317589E-2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1</v>
      </c>
      <c r="BJ609">
        <v>1</v>
      </c>
      <c r="BK609">
        <v>0</v>
      </c>
      <c r="BL609">
        <v>0</v>
      </c>
      <c r="BM609">
        <v>0.9703826061215336</v>
      </c>
      <c r="BN609">
        <v>0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0</v>
      </c>
      <c r="BV609">
        <v>0</v>
      </c>
      <c r="BW609">
        <v>0</v>
      </c>
      <c r="BX609">
        <v>2.9617393878466403E-2</v>
      </c>
      <c r="BY609">
        <v>0</v>
      </c>
      <c r="BZ609">
        <v>0</v>
      </c>
      <c r="CA609">
        <v>0</v>
      </c>
      <c r="CB609">
        <v>0</v>
      </c>
      <c r="CC609">
        <v>0</v>
      </c>
      <c r="CD609">
        <v>0</v>
      </c>
      <c r="CE609">
        <v>0</v>
      </c>
      <c r="CF609">
        <v>0.9703826061215336</v>
      </c>
      <c r="CG609">
        <v>0</v>
      </c>
    </row>
    <row r="610" spans="1:85" x14ac:dyDescent="0.25">
      <c r="A610" t="s">
        <v>128</v>
      </c>
      <c r="B610" t="s">
        <v>146</v>
      </c>
      <c r="C610" t="s">
        <v>72</v>
      </c>
      <c r="D610" s="12">
        <v>46240</v>
      </c>
      <c r="E610" t="s">
        <v>134</v>
      </c>
      <c r="F610" t="s">
        <v>134</v>
      </c>
      <c r="G610" t="s">
        <v>134</v>
      </c>
      <c r="H610" t="s">
        <v>75</v>
      </c>
      <c r="I610">
        <v>10</v>
      </c>
      <c r="J610">
        <v>1</v>
      </c>
      <c r="K610">
        <v>10.973885648639106</v>
      </c>
      <c r="L610">
        <v>46240</v>
      </c>
      <c r="M610" t="s">
        <v>213</v>
      </c>
      <c r="N610">
        <v>0.95</v>
      </c>
      <c r="O610">
        <v>0.95</v>
      </c>
      <c r="P610">
        <v>11.6015625</v>
      </c>
      <c r="Q610">
        <v>8.6569154301130463E-2</v>
      </c>
      <c r="R610">
        <v>8.6569154301130463E-2</v>
      </c>
      <c r="S610">
        <v>1.0571973202070621</v>
      </c>
      <c r="T610">
        <v>5.7197320207062141E-2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0.91343084569886956</v>
      </c>
      <c r="AD610">
        <v>0</v>
      </c>
      <c r="AE610">
        <v>0</v>
      </c>
      <c r="AF610">
        <v>0</v>
      </c>
      <c r="AG610">
        <v>0</v>
      </c>
      <c r="AH610">
        <v>8.6569154301130463E-2</v>
      </c>
      <c r="AI610">
        <v>0</v>
      </c>
      <c r="AJ610">
        <v>0</v>
      </c>
      <c r="AK610">
        <v>0</v>
      </c>
      <c r="AL610">
        <v>0</v>
      </c>
      <c r="AM610">
        <v>0</v>
      </c>
      <c r="AN610">
        <v>11.551458577514849</v>
      </c>
      <c r="AO610">
        <v>11.551458577514849</v>
      </c>
      <c r="AP610">
        <v>12.212171052631579</v>
      </c>
      <c r="BG610">
        <v>0</v>
      </c>
      <c r="BH610">
        <v>0</v>
      </c>
      <c r="BI610">
        <v>0</v>
      </c>
      <c r="BK610">
        <v>8.1885521885521881E-2</v>
      </c>
      <c r="BL610">
        <v>8.1885521885521881E-2</v>
      </c>
      <c r="BM610">
        <v>0.94589721415879169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0</v>
      </c>
      <c r="BV610">
        <v>0</v>
      </c>
      <c r="BW610">
        <v>0</v>
      </c>
      <c r="BX610">
        <v>5.4102785841208312E-2</v>
      </c>
      <c r="BY610">
        <v>0</v>
      </c>
      <c r="BZ610">
        <v>0</v>
      </c>
      <c r="CA610">
        <v>0</v>
      </c>
      <c r="CB610">
        <v>8.1885521885521881E-2</v>
      </c>
      <c r="CC610">
        <v>0</v>
      </c>
      <c r="CD610">
        <v>0</v>
      </c>
      <c r="CE610">
        <v>0</v>
      </c>
      <c r="CF610">
        <v>0</v>
      </c>
      <c r="CG610">
        <v>0</v>
      </c>
    </row>
    <row r="611" spans="1:85" x14ac:dyDescent="0.25">
      <c r="A611" t="s">
        <v>128</v>
      </c>
      <c r="B611" t="s">
        <v>146</v>
      </c>
      <c r="C611" t="s">
        <v>72</v>
      </c>
      <c r="D611" s="12">
        <v>46240</v>
      </c>
      <c r="E611" t="s">
        <v>134</v>
      </c>
      <c r="F611" t="s">
        <v>134</v>
      </c>
      <c r="G611" t="s">
        <v>134</v>
      </c>
      <c r="H611" t="s">
        <v>74</v>
      </c>
      <c r="I611">
        <v>10</v>
      </c>
      <c r="J611">
        <v>1</v>
      </c>
      <c r="K611">
        <v>4.2207252494765797</v>
      </c>
      <c r="L611">
        <v>46240</v>
      </c>
      <c r="M611" t="s">
        <v>195</v>
      </c>
      <c r="N611">
        <v>0.95</v>
      </c>
      <c r="O611">
        <v>0.95</v>
      </c>
      <c r="P611">
        <v>4.6875</v>
      </c>
      <c r="Q611">
        <v>0.22507980118293919</v>
      </c>
      <c r="R611">
        <v>0.22507980118293919</v>
      </c>
      <c r="S611">
        <v>1.1105911242579236</v>
      </c>
      <c r="T611">
        <v>0.11059112425792361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0.77492019881706087</v>
      </c>
      <c r="AD611">
        <v>0</v>
      </c>
      <c r="AE611">
        <v>0</v>
      </c>
      <c r="AF611">
        <v>0</v>
      </c>
      <c r="AG611">
        <v>0</v>
      </c>
      <c r="AH611">
        <v>0.22507980118293919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4.4428686836595581</v>
      </c>
      <c r="AO611">
        <v>4.4428686836595581</v>
      </c>
      <c r="AP611">
        <v>4.9342105263157894</v>
      </c>
      <c r="BG611">
        <v>0</v>
      </c>
      <c r="BH611">
        <v>0</v>
      </c>
      <c r="BI611">
        <v>0</v>
      </c>
      <c r="BK611">
        <v>0.20266666666666666</v>
      </c>
      <c r="BL611">
        <v>0.20266666666666666</v>
      </c>
      <c r="BM611">
        <v>0.9004213865550037</v>
      </c>
      <c r="BN611">
        <v>0</v>
      </c>
      <c r="BO611">
        <v>0</v>
      </c>
      <c r="BP611">
        <v>0</v>
      </c>
      <c r="BQ611">
        <v>0</v>
      </c>
      <c r="BR611">
        <v>0</v>
      </c>
      <c r="BS611">
        <v>0</v>
      </c>
      <c r="BT611">
        <v>0</v>
      </c>
      <c r="BU611">
        <v>0</v>
      </c>
      <c r="BV611">
        <v>0</v>
      </c>
      <c r="BW611">
        <v>0</v>
      </c>
      <c r="BX611">
        <v>9.95786134449963E-2</v>
      </c>
      <c r="BY611">
        <v>0</v>
      </c>
      <c r="BZ611">
        <v>0</v>
      </c>
      <c r="CA611">
        <v>0</v>
      </c>
      <c r="CB611">
        <v>0.20266666666666666</v>
      </c>
      <c r="CC611">
        <v>0</v>
      </c>
      <c r="CD611">
        <v>0</v>
      </c>
      <c r="CE611">
        <v>0</v>
      </c>
      <c r="CF611">
        <v>0</v>
      </c>
      <c r="CG611">
        <v>0</v>
      </c>
    </row>
    <row r="612" spans="1:85" x14ac:dyDescent="0.25">
      <c r="A612" t="s">
        <v>128</v>
      </c>
      <c r="B612" t="s">
        <v>146</v>
      </c>
      <c r="C612" t="s">
        <v>72</v>
      </c>
      <c r="D612" s="12">
        <v>46240</v>
      </c>
      <c r="E612" t="s">
        <v>134</v>
      </c>
      <c r="F612" t="s">
        <v>134</v>
      </c>
      <c r="G612" t="s">
        <v>134</v>
      </c>
      <c r="H612" t="s">
        <v>73</v>
      </c>
      <c r="I612">
        <v>10</v>
      </c>
      <c r="J612">
        <v>1</v>
      </c>
      <c r="K612">
        <v>11.738892100106735</v>
      </c>
      <c r="L612">
        <v>46240</v>
      </c>
      <c r="M612" t="s">
        <v>194</v>
      </c>
      <c r="N612">
        <v>4.75</v>
      </c>
      <c r="O612">
        <v>4.75</v>
      </c>
      <c r="P612">
        <v>11.742187500000002</v>
      </c>
      <c r="Q612">
        <v>0.40463784482326154</v>
      </c>
      <c r="R612">
        <v>0.40463784482326154</v>
      </c>
      <c r="S612">
        <v>1.0002807249496088</v>
      </c>
      <c r="T612">
        <v>2.8072494960884598E-4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0.59536215517673852</v>
      </c>
      <c r="AD612">
        <v>0</v>
      </c>
      <c r="AE612">
        <v>0</v>
      </c>
      <c r="AF612">
        <v>0</v>
      </c>
      <c r="AG612">
        <v>0</v>
      </c>
      <c r="AH612">
        <v>0.40463784482326154</v>
      </c>
      <c r="AI612">
        <v>0</v>
      </c>
      <c r="AJ612">
        <v>0</v>
      </c>
      <c r="AK612">
        <v>0</v>
      </c>
      <c r="AL612">
        <v>0</v>
      </c>
      <c r="AM612">
        <v>0</v>
      </c>
      <c r="AN612">
        <v>2.4713457052856285</v>
      </c>
      <c r="AO612">
        <v>2.4713457052856285</v>
      </c>
      <c r="AP612">
        <v>2.4720394736842111</v>
      </c>
      <c r="BG612">
        <v>0</v>
      </c>
      <c r="BH612">
        <v>0</v>
      </c>
      <c r="BI612">
        <v>0</v>
      </c>
      <c r="BK612">
        <v>0.40452428476380564</v>
      </c>
      <c r="BL612">
        <v>0.40452428476380564</v>
      </c>
      <c r="BM612">
        <v>0.99971935383477173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0</v>
      </c>
      <c r="BV612">
        <v>0</v>
      </c>
      <c r="BW612">
        <v>0</v>
      </c>
      <c r="BX612">
        <v>2.8064616522827102E-4</v>
      </c>
      <c r="BY612">
        <v>0</v>
      </c>
      <c r="BZ612">
        <v>0</v>
      </c>
      <c r="CA612">
        <v>0</v>
      </c>
      <c r="CB612">
        <v>0.40452428476380564</v>
      </c>
      <c r="CC612">
        <v>0</v>
      </c>
      <c r="CD612">
        <v>0</v>
      </c>
      <c r="CE612">
        <v>0</v>
      </c>
      <c r="CF612">
        <v>0</v>
      </c>
      <c r="CG612">
        <v>0</v>
      </c>
    </row>
    <row r="613" spans="1:85" x14ac:dyDescent="0.25">
      <c r="A613" t="s">
        <v>128</v>
      </c>
      <c r="B613" t="s">
        <v>146</v>
      </c>
      <c r="C613" t="s">
        <v>72</v>
      </c>
      <c r="D613" s="12">
        <v>46239</v>
      </c>
      <c r="E613" t="s">
        <v>134</v>
      </c>
      <c r="F613" t="s">
        <v>134</v>
      </c>
      <c r="G613" t="s">
        <v>134</v>
      </c>
      <c r="H613" t="s">
        <v>75</v>
      </c>
      <c r="I613">
        <v>10</v>
      </c>
      <c r="J613">
        <v>1</v>
      </c>
      <c r="K613">
        <v>10.815608451783737</v>
      </c>
      <c r="L613">
        <v>46239</v>
      </c>
      <c r="M613" t="s">
        <v>178</v>
      </c>
      <c r="N613">
        <v>1.9</v>
      </c>
      <c r="O613">
        <v>1.9</v>
      </c>
      <c r="P613">
        <v>11.355238970588236</v>
      </c>
      <c r="Q613">
        <v>0.17567203994765984</v>
      </c>
      <c r="R613">
        <v>0.17567203994765984</v>
      </c>
      <c r="S613">
        <v>1.0498936810823158</v>
      </c>
      <c r="T613">
        <v>4.9893681082315844E-2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0.8243279600523401</v>
      </c>
      <c r="AD613">
        <v>0</v>
      </c>
      <c r="AE613">
        <v>0</v>
      </c>
      <c r="AF613">
        <v>0</v>
      </c>
      <c r="AG613">
        <v>0</v>
      </c>
      <c r="AH613">
        <v>0.17567203994765984</v>
      </c>
      <c r="AI613">
        <v>0</v>
      </c>
      <c r="AJ613">
        <v>0</v>
      </c>
      <c r="AK613">
        <v>0</v>
      </c>
      <c r="AL613">
        <v>0</v>
      </c>
      <c r="AM613">
        <v>0</v>
      </c>
      <c r="AN613">
        <v>5.6924255009388087</v>
      </c>
      <c r="AO613">
        <v>5.6924255009388087</v>
      </c>
      <c r="AP613">
        <v>5.9764415634674926</v>
      </c>
      <c r="BG613">
        <v>0</v>
      </c>
      <c r="BH613">
        <v>0</v>
      </c>
      <c r="BI613">
        <v>0</v>
      </c>
      <c r="BK613">
        <v>0.16732364725403698</v>
      </c>
      <c r="BL613">
        <v>0.16732364725403698</v>
      </c>
      <c r="BM613">
        <v>0.95247739653897001</v>
      </c>
      <c r="BN613">
        <v>0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0</v>
      </c>
      <c r="BV613">
        <v>0</v>
      </c>
      <c r="BW613">
        <v>0</v>
      </c>
      <c r="BX613">
        <v>4.7522603461029989E-2</v>
      </c>
      <c r="BY613">
        <v>0</v>
      </c>
      <c r="BZ613">
        <v>0</v>
      </c>
      <c r="CA613">
        <v>0</v>
      </c>
      <c r="CB613">
        <v>0.16732364725403698</v>
      </c>
      <c r="CC613">
        <v>0</v>
      </c>
      <c r="CD613">
        <v>0</v>
      </c>
      <c r="CE613">
        <v>0</v>
      </c>
      <c r="CF613">
        <v>0</v>
      </c>
      <c r="CG613">
        <v>0</v>
      </c>
    </row>
    <row r="614" spans="1:85" x14ac:dyDescent="0.25">
      <c r="A614" t="s">
        <v>128</v>
      </c>
      <c r="B614" t="s">
        <v>146</v>
      </c>
      <c r="C614" t="s">
        <v>72</v>
      </c>
      <c r="D614" s="12">
        <v>46239</v>
      </c>
      <c r="E614" t="s">
        <v>134</v>
      </c>
      <c r="F614" t="s">
        <v>134</v>
      </c>
      <c r="G614" t="s">
        <v>134</v>
      </c>
      <c r="H614" t="s">
        <v>74</v>
      </c>
      <c r="I614">
        <v>10</v>
      </c>
      <c r="J614">
        <v>1</v>
      </c>
      <c r="K614">
        <v>4.2207252494765797</v>
      </c>
      <c r="L614">
        <v>46239</v>
      </c>
      <c r="M614" t="s">
        <v>179</v>
      </c>
      <c r="N614">
        <v>1.9</v>
      </c>
      <c r="O614">
        <v>1.9</v>
      </c>
      <c r="P614">
        <v>4.6875</v>
      </c>
      <c r="Q614">
        <v>0.45015960236587838</v>
      </c>
      <c r="R614">
        <v>0.45015960236587838</v>
      </c>
      <c r="S614">
        <v>1.1105911242579236</v>
      </c>
      <c r="T614">
        <v>0.11059112425792361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0.54984039763412162</v>
      </c>
      <c r="AD614">
        <v>0</v>
      </c>
      <c r="AE614">
        <v>0</v>
      </c>
      <c r="AF614">
        <v>0</v>
      </c>
      <c r="AG614">
        <v>0</v>
      </c>
      <c r="AH614">
        <v>0.45015960236587838</v>
      </c>
      <c r="AI614">
        <v>0</v>
      </c>
      <c r="AJ614">
        <v>0</v>
      </c>
      <c r="AK614">
        <v>0</v>
      </c>
      <c r="AL614">
        <v>0</v>
      </c>
      <c r="AM614">
        <v>0</v>
      </c>
      <c r="AN614">
        <v>2.2214343418297791</v>
      </c>
      <c r="AO614">
        <v>2.2214343418297791</v>
      </c>
      <c r="AP614">
        <v>2.4671052631578947</v>
      </c>
      <c r="BG614">
        <v>0</v>
      </c>
      <c r="BH614">
        <v>0</v>
      </c>
      <c r="BI614">
        <v>0</v>
      </c>
      <c r="BK614">
        <v>0.40533333333333332</v>
      </c>
      <c r="BL614">
        <v>0.40533333333333332</v>
      </c>
      <c r="BM614">
        <v>0.9004213865550037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0</v>
      </c>
      <c r="BU614">
        <v>0</v>
      </c>
      <c r="BV614">
        <v>0</v>
      </c>
      <c r="BW614">
        <v>0</v>
      </c>
      <c r="BX614">
        <v>9.95786134449963E-2</v>
      </c>
      <c r="BY614">
        <v>0</v>
      </c>
      <c r="BZ614">
        <v>0</v>
      </c>
      <c r="CA614">
        <v>0</v>
      </c>
      <c r="CB614">
        <v>0.40533333333333332</v>
      </c>
      <c r="CC614">
        <v>0</v>
      </c>
      <c r="CD614">
        <v>0</v>
      </c>
      <c r="CE614">
        <v>0</v>
      </c>
      <c r="CF614">
        <v>0</v>
      </c>
      <c r="CG614">
        <v>0</v>
      </c>
    </row>
    <row r="615" spans="1:85" x14ac:dyDescent="0.25">
      <c r="A615" t="s">
        <v>128</v>
      </c>
      <c r="B615" t="s">
        <v>146</v>
      </c>
      <c r="C615" t="s">
        <v>72</v>
      </c>
      <c r="D615" s="12">
        <v>46239</v>
      </c>
      <c r="E615" t="s">
        <v>134</v>
      </c>
      <c r="F615" t="s">
        <v>134</v>
      </c>
      <c r="G615" t="s">
        <v>134</v>
      </c>
      <c r="H615" t="s">
        <v>73</v>
      </c>
      <c r="I615">
        <v>10</v>
      </c>
      <c r="J615">
        <v>1</v>
      </c>
      <c r="K615">
        <v>12.583037150002053</v>
      </c>
      <c r="L615">
        <v>46239</v>
      </c>
      <c r="M615" t="s">
        <v>180</v>
      </c>
      <c r="N615">
        <v>2.8499999999999996</v>
      </c>
      <c r="O615">
        <v>2.8499999999999996</v>
      </c>
      <c r="P615">
        <v>12.738511029411764</v>
      </c>
      <c r="Q615">
        <v>0.22649539741679414</v>
      </c>
      <c r="R615">
        <v>0.22649539741679414</v>
      </c>
      <c r="S615">
        <v>1.0123558309139766</v>
      </c>
      <c r="T615">
        <v>1.2355830913976629E-2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0.77350460258320586</v>
      </c>
      <c r="AD615">
        <v>0</v>
      </c>
      <c r="AE615">
        <v>0</v>
      </c>
      <c r="AF615">
        <v>0</v>
      </c>
      <c r="AG615">
        <v>0</v>
      </c>
      <c r="AH615">
        <v>0.22649539741679414</v>
      </c>
      <c r="AI615">
        <v>0</v>
      </c>
      <c r="AJ615">
        <v>0</v>
      </c>
      <c r="AK615">
        <v>0</v>
      </c>
      <c r="AL615">
        <v>0</v>
      </c>
      <c r="AM615">
        <v>0</v>
      </c>
      <c r="AN615">
        <v>4.4151007543866854</v>
      </c>
      <c r="AO615">
        <v>4.4151007543866854</v>
      </c>
      <c r="AP615">
        <v>4.4696529927760587</v>
      </c>
      <c r="BG615">
        <v>0</v>
      </c>
      <c r="BH615">
        <v>0</v>
      </c>
      <c r="BI615">
        <v>0</v>
      </c>
      <c r="BK615">
        <v>0.2237310148273747</v>
      </c>
      <c r="BL615">
        <v>0.2237310148273747</v>
      </c>
      <c r="BM615">
        <v>0.98779497234404079</v>
      </c>
      <c r="BN615">
        <v>0</v>
      </c>
      <c r="BO615">
        <v>0</v>
      </c>
      <c r="BP615">
        <v>0</v>
      </c>
      <c r="BQ615">
        <v>0</v>
      </c>
      <c r="BR615">
        <v>0</v>
      </c>
      <c r="BS615">
        <v>0</v>
      </c>
      <c r="BT615">
        <v>0</v>
      </c>
      <c r="BU615">
        <v>0</v>
      </c>
      <c r="BV615">
        <v>0</v>
      </c>
      <c r="BW615">
        <v>0</v>
      </c>
      <c r="BX615">
        <v>1.2205027655959211E-2</v>
      </c>
      <c r="BY615">
        <v>0</v>
      </c>
      <c r="BZ615">
        <v>0</v>
      </c>
      <c r="CA615">
        <v>0</v>
      </c>
      <c r="CB615">
        <v>0.2237310148273747</v>
      </c>
      <c r="CC615">
        <v>0</v>
      </c>
      <c r="CD615">
        <v>0</v>
      </c>
      <c r="CE615">
        <v>0</v>
      </c>
      <c r="CF615">
        <v>0</v>
      </c>
      <c r="CG615">
        <v>0</v>
      </c>
    </row>
    <row r="616" spans="1:85" x14ac:dyDescent="0.25">
      <c r="A616" t="s">
        <v>128</v>
      </c>
      <c r="B616" t="s">
        <v>146</v>
      </c>
      <c r="C616" t="s">
        <v>72</v>
      </c>
      <c r="D616" s="12">
        <v>46238</v>
      </c>
      <c r="E616" t="s">
        <v>134</v>
      </c>
      <c r="F616" t="s">
        <v>134</v>
      </c>
      <c r="G616" t="s">
        <v>134</v>
      </c>
      <c r="H616" t="s">
        <v>75</v>
      </c>
      <c r="I616">
        <v>10</v>
      </c>
      <c r="J616">
        <v>1</v>
      </c>
      <c r="K616">
        <v>10.973885648639106</v>
      </c>
      <c r="L616">
        <v>46238</v>
      </c>
      <c r="M616" t="s">
        <v>181</v>
      </c>
      <c r="N616">
        <v>1.9</v>
      </c>
      <c r="O616">
        <v>1.9</v>
      </c>
      <c r="P616">
        <v>11.6015625</v>
      </c>
      <c r="Q616">
        <v>0.17313830860226093</v>
      </c>
      <c r="R616">
        <v>0.17313830860226093</v>
      </c>
      <c r="S616">
        <v>1.0571973202070621</v>
      </c>
      <c r="T616">
        <v>5.7197320207062141E-2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0.82686169139773913</v>
      </c>
      <c r="AD616">
        <v>0</v>
      </c>
      <c r="AE616">
        <v>0</v>
      </c>
      <c r="AF616">
        <v>0</v>
      </c>
      <c r="AG616">
        <v>0</v>
      </c>
      <c r="AH616">
        <v>0.17313830860226093</v>
      </c>
      <c r="AI616">
        <v>0</v>
      </c>
      <c r="AJ616">
        <v>0</v>
      </c>
      <c r="AK616">
        <v>0</v>
      </c>
      <c r="AL616">
        <v>0</v>
      </c>
      <c r="AM616">
        <v>0</v>
      </c>
      <c r="AN616">
        <v>5.7757292887574243</v>
      </c>
      <c r="AO616">
        <v>5.7757292887574243</v>
      </c>
      <c r="AP616">
        <v>6.1060855263157894</v>
      </c>
      <c r="BG616">
        <v>0</v>
      </c>
      <c r="BH616">
        <v>0</v>
      </c>
      <c r="BI616">
        <v>0</v>
      </c>
      <c r="BK616">
        <v>0.16377104377104376</v>
      </c>
      <c r="BL616">
        <v>0.16377104377104376</v>
      </c>
      <c r="BM616">
        <v>0.94589721415879169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0</v>
      </c>
      <c r="BU616">
        <v>0</v>
      </c>
      <c r="BV616">
        <v>0</v>
      </c>
      <c r="BW616">
        <v>0</v>
      </c>
      <c r="BX616">
        <v>5.4102785841208312E-2</v>
      </c>
      <c r="BY616">
        <v>0</v>
      </c>
      <c r="BZ616">
        <v>0</v>
      </c>
      <c r="CA616">
        <v>0</v>
      </c>
      <c r="CB616">
        <v>0.16377104377104376</v>
      </c>
      <c r="CC616">
        <v>0</v>
      </c>
      <c r="CD616">
        <v>0</v>
      </c>
      <c r="CE616">
        <v>0</v>
      </c>
      <c r="CF616">
        <v>0</v>
      </c>
      <c r="CG616">
        <v>0</v>
      </c>
    </row>
    <row r="617" spans="1:85" x14ac:dyDescent="0.25">
      <c r="A617" t="s">
        <v>128</v>
      </c>
      <c r="B617" t="s">
        <v>146</v>
      </c>
      <c r="C617" t="s">
        <v>72</v>
      </c>
      <c r="D617" s="12">
        <v>46233</v>
      </c>
      <c r="E617" t="s">
        <v>134</v>
      </c>
      <c r="F617" t="s">
        <v>134</v>
      </c>
      <c r="G617" t="s">
        <v>134</v>
      </c>
      <c r="H617" t="s">
        <v>73</v>
      </c>
      <c r="I617">
        <v>10</v>
      </c>
      <c r="J617">
        <v>1</v>
      </c>
      <c r="K617">
        <v>10.89474705021142</v>
      </c>
      <c r="L617">
        <v>46233</v>
      </c>
      <c r="M617" t="s">
        <v>238</v>
      </c>
      <c r="N617">
        <v>0</v>
      </c>
      <c r="O617">
        <v>0</v>
      </c>
      <c r="P617">
        <v>11.15625</v>
      </c>
      <c r="Q617">
        <v>0</v>
      </c>
      <c r="R617">
        <v>0</v>
      </c>
      <c r="S617">
        <v>1.0240026637225603</v>
      </c>
      <c r="T617">
        <v>2.4002663722560325E-2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1</v>
      </c>
      <c r="AM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1</v>
      </c>
      <c r="BJ617">
        <v>1</v>
      </c>
      <c r="BK617">
        <v>0</v>
      </c>
      <c r="BL617">
        <v>0</v>
      </c>
      <c r="BM617">
        <v>0.97655995968281628</v>
      </c>
      <c r="BN617">
        <v>0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0</v>
      </c>
      <c r="BV617">
        <v>0</v>
      </c>
      <c r="BW617">
        <v>0</v>
      </c>
      <c r="BX617">
        <v>2.3440040317183719E-2</v>
      </c>
      <c r="BY617">
        <v>0</v>
      </c>
      <c r="BZ617">
        <v>0</v>
      </c>
      <c r="CA617">
        <v>0</v>
      </c>
      <c r="CB617">
        <v>0</v>
      </c>
      <c r="CC617">
        <v>0</v>
      </c>
      <c r="CD617">
        <v>0</v>
      </c>
      <c r="CE617">
        <v>0</v>
      </c>
      <c r="CF617">
        <v>0.97655995968281628</v>
      </c>
      <c r="CG617">
        <v>0</v>
      </c>
    </row>
    <row r="618" spans="1:85" x14ac:dyDescent="0.25">
      <c r="A618" t="s">
        <v>128</v>
      </c>
      <c r="B618" t="s">
        <v>146</v>
      </c>
      <c r="C618" t="s">
        <v>72</v>
      </c>
      <c r="D618" s="12">
        <v>46238</v>
      </c>
      <c r="E618" t="s">
        <v>134</v>
      </c>
      <c r="F618" t="s">
        <v>134</v>
      </c>
      <c r="G618" t="s">
        <v>134</v>
      </c>
      <c r="H618" t="s">
        <v>74</v>
      </c>
      <c r="I618">
        <v>10</v>
      </c>
      <c r="J618">
        <v>1</v>
      </c>
      <c r="K618">
        <v>4.2207252494765797</v>
      </c>
      <c r="L618">
        <v>46238</v>
      </c>
      <c r="M618" t="s">
        <v>182</v>
      </c>
      <c r="N618">
        <v>0</v>
      </c>
      <c r="O618">
        <v>0</v>
      </c>
      <c r="P618">
        <v>4.6875</v>
      </c>
      <c r="Q618">
        <v>0</v>
      </c>
      <c r="R618">
        <v>0</v>
      </c>
      <c r="S618">
        <v>1.1105911242579236</v>
      </c>
      <c r="T618">
        <v>0.11059112425792361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1</v>
      </c>
      <c r="AM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1</v>
      </c>
      <c r="BJ618">
        <v>1</v>
      </c>
      <c r="BK618">
        <v>0</v>
      </c>
      <c r="BL618">
        <v>0</v>
      </c>
      <c r="BM618">
        <v>0.9004213865550037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0</v>
      </c>
      <c r="BU618">
        <v>0</v>
      </c>
      <c r="BV618">
        <v>0</v>
      </c>
      <c r="BW618">
        <v>0</v>
      </c>
      <c r="BX618">
        <v>9.95786134449963E-2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0</v>
      </c>
      <c r="CF618">
        <v>0.9004213865550037</v>
      </c>
      <c r="CG618">
        <v>0</v>
      </c>
    </row>
    <row r="619" spans="1:85" x14ac:dyDescent="0.25">
      <c r="A619" t="s">
        <v>128</v>
      </c>
      <c r="B619" t="s">
        <v>146</v>
      </c>
      <c r="C619" t="s">
        <v>72</v>
      </c>
      <c r="D619" s="12">
        <v>46237</v>
      </c>
      <c r="E619" t="s">
        <v>134</v>
      </c>
      <c r="F619" t="s">
        <v>134</v>
      </c>
      <c r="G619" t="s">
        <v>134</v>
      </c>
      <c r="H619" t="s">
        <v>75</v>
      </c>
      <c r="I619">
        <v>10</v>
      </c>
      <c r="J619">
        <v>1</v>
      </c>
      <c r="K619">
        <v>10.973885648639106</v>
      </c>
      <c r="L619">
        <v>46237</v>
      </c>
      <c r="M619" t="s">
        <v>184</v>
      </c>
      <c r="N619">
        <v>0</v>
      </c>
      <c r="O619">
        <v>0</v>
      </c>
      <c r="P619">
        <v>11.3671875</v>
      </c>
      <c r="Q619">
        <v>0</v>
      </c>
      <c r="R619">
        <v>0</v>
      </c>
      <c r="S619">
        <v>1.0358397985867174</v>
      </c>
      <c r="T619">
        <v>3.5839798586717375E-2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1</v>
      </c>
      <c r="AM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1</v>
      </c>
      <c r="BJ619">
        <v>1</v>
      </c>
      <c r="BK619">
        <v>0</v>
      </c>
      <c r="BL619">
        <v>0</v>
      </c>
      <c r="BM619">
        <v>0.96540024950227188</v>
      </c>
      <c r="BN619">
        <v>0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0</v>
      </c>
      <c r="BU619">
        <v>0</v>
      </c>
      <c r="BV619">
        <v>0</v>
      </c>
      <c r="BW619">
        <v>0</v>
      </c>
      <c r="BX619">
        <v>3.4599750497728121E-2</v>
      </c>
      <c r="BY619">
        <v>0</v>
      </c>
      <c r="BZ619">
        <v>0</v>
      </c>
      <c r="CA619">
        <v>0</v>
      </c>
      <c r="CB619">
        <v>0</v>
      </c>
      <c r="CC619">
        <v>0</v>
      </c>
      <c r="CD619">
        <v>0</v>
      </c>
      <c r="CE619">
        <v>0</v>
      </c>
      <c r="CF619">
        <v>0.96540024950227188</v>
      </c>
      <c r="CG619">
        <v>0</v>
      </c>
    </row>
    <row r="620" spans="1:85" x14ac:dyDescent="0.25">
      <c r="A620" t="s">
        <v>128</v>
      </c>
      <c r="B620" t="s">
        <v>146</v>
      </c>
      <c r="C620" t="s">
        <v>72</v>
      </c>
      <c r="D620" s="12">
        <v>46237</v>
      </c>
      <c r="E620" t="s">
        <v>134</v>
      </c>
      <c r="F620" t="s">
        <v>134</v>
      </c>
      <c r="G620" t="s">
        <v>134</v>
      </c>
      <c r="H620" t="s">
        <v>74</v>
      </c>
      <c r="I620">
        <v>10</v>
      </c>
      <c r="J620">
        <v>1</v>
      </c>
      <c r="K620">
        <v>4.2207252494765797</v>
      </c>
      <c r="L620">
        <v>46237</v>
      </c>
      <c r="M620" t="s">
        <v>185</v>
      </c>
      <c r="N620">
        <v>0</v>
      </c>
      <c r="O620">
        <v>0</v>
      </c>
      <c r="P620">
        <v>4.6875</v>
      </c>
      <c r="Q620">
        <v>0</v>
      </c>
      <c r="R620">
        <v>0</v>
      </c>
      <c r="S620">
        <v>1.1105911242579236</v>
      </c>
      <c r="T620">
        <v>0.11059112425792361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  <c r="AL620">
        <v>1</v>
      </c>
      <c r="AM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1</v>
      </c>
      <c r="BJ620">
        <v>1</v>
      </c>
      <c r="BK620">
        <v>0</v>
      </c>
      <c r="BL620">
        <v>0</v>
      </c>
      <c r="BM620">
        <v>0.9004213865550037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9.95786134449963E-2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0.9004213865550037</v>
      </c>
      <c r="CG620">
        <v>0</v>
      </c>
    </row>
    <row r="621" spans="1:85" x14ac:dyDescent="0.25">
      <c r="A621" t="s">
        <v>128</v>
      </c>
      <c r="B621" t="s">
        <v>146</v>
      </c>
      <c r="C621" t="s">
        <v>72</v>
      </c>
      <c r="D621" s="12">
        <v>46237</v>
      </c>
      <c r="E621" t="s">
        <v>134</v>
      </c>
      <c r="F621" t="s">
        <v>134</v>
      </c>
      <c r="G621" t="s">
        <v>134</v>
      </c>
      <c r="H621" t="s">
        <v>73</v>
      </c>
      <c r="I621">
        <v>10</v>
      </c>
      <c r="J621">
        <v>1</v>
      </c>
      <c r="K621">
        <v>11.870789764152878</v>
      </c>
      <c r="L621">
        <v>46237</v>
      </c>
      <c r="M621" t="s">
        <v>235</v>
      </c>
      <c r="N621">
        <v>4.75</v>
      </c>
      <c r="O621">
        <v>4.75</v>
      </c>
      <c r="P621">
        <v>12.0703125</v>
      </c>
      <c r="Q621">
        <v>0.40014186876966978</v>
      </c>
      <c r="R621">
        <v>0.40014186876966978</v>
      </c>
      <c r="S621">
        <v>1.0168078737650326</v>
      </c>
      <c r="T621">
        <v>1.6807873765032566E-2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0.59985813123033016</v>
      </c>
      <c r="AD621">
        <v>0</v>
      </c>
      <c r="AE621">
        <v>0</v>
      </c>
      <c r="AF621">
        <v>0</v>
      </c>
      <c r="AG621">
        <v>0</v>
      </c>
      <c r="AH621">
        <v>0.40014186876966978</v>
      </c>
      <c r="AI621">
        <v>0</v>
      </c>
      <c r="AJ621">
        <v>0</v>
      </c>
      <c r="AK621">
        <v>0</v>
      </c>
      <c r="AL621">
        <v>0</v>
      </c>
      <c r="AM621">
        <v>0</v>
      </c>
      <c r="AN621">
        <v>2.4991136345585008</v>
      </c>
      <c r="AO621">
        <v>2.4991136345585008</v>
      </c>
      <c r="AP621">
        <v>2.5411184210526314</v>
      </c>
      <c r="BG621">
        <v>0</v>
      </c>
      <c r="BH621">
        <v>0</v>
      </c>
      <c r="BI621">
        <v>0</v>
      </c>
      <c r="BK621">
        <v>0.39352750809061487</v>
      </c>
      <c r="BL621">
        <v>0.39352750809061487</v>
      </c>
      <c r="BM621">
        <v>0.98346996104308637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1.6530038956913629E-2</v>
      </c>
      <c r="BY621">
        <v>0</v>
      </c>
      <c r="BZ621">
        <v>0</v>
      </c>
      <c r="CA621">
        <v>0</v>
      </c>
      <c r="CB621">
        <v>0.39352750809061487</v>
      </c>
      <c r="CC621">
        <v>0</v>
      </c>
      <c r="CD621">
        <v>0</v>
      </c>
      <c r="CE621">
        <v>0</v>
      </c>
      <c r="CF621">
        <v>0</v>
      </c>
      <c r="CG621">
        <v>0</v>
      </c>
    </row>
    <row r="622" spans="1:85" x14ac:dyDescent="0.25">
      <c r="A622" t="s">
        <v>128</v>
      </c>
      <c r="B622" t="s">
        <v>146</v>
      </c>
      <c r="C622" t="s">
        <v>72</v>
      </c>
      <c r="D622" s="12">
        <v>46236</v>
      </c>
      <c r="E622" t="s">
        <v>134</v>
      </c>
      <c r="F622" t="s">
        <v>134</v>
      </c>
      <c r="G622" t="s">
        <v>134</v>
      </c>
      <c r="H622" t="s">
        <v>75</v>
      </c>
      <c r="I622">
        <v>10</v>
      </c>
      <c r="J622">
        <v>1</v>
      </c>
      <c r="K622">
        <v>10.973885648639106</v>
      </c>
      <c r="L622">
        <v>46236</v>
      </c>
      <c r="M622" t="s">
        <v>186</v>
      </c>
      <c r="N622">
        <v>1.9</v>
      </c>
      <c r="O622">
        <v>1.9</v>
      </c>
      <c r="P622">
        <v>11.25</v>
      </c>
      <c r="Q622">
        <v>0.17313830860226093</v>
      </c>
      <c r="R622">
        <v>0.17313830860226093</v>
      </c>
      <c r="S622">
        <v>1.025161037776545</v>
      </c>
      <c r="T622">
        <v>2.5161037776544992E-2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0.82686169139773913</v>
      </c>
      <c r="AD622">
        <v>0</v>
      </c>
      <c r="AE622">
        <v>0</v>
      </c>
      <c r="AF622">
        <v>0</v>
      </c>
      <c r="AG622">
        <v>0</v>
      </c>
      <c r="AH622">
        <v>0.17313830860226093</v>
      </c>
      <c r="AI622">
        <v>0</v>
      </c>
      <c r="AJ622">
        <v>0</v>
      </c>
      <c r="AK622">
        <v>0</v>
      </c>
      <c r="AL622">
        <v>0</v>
      </c>
      <c r="AM622">
        <v>0</v>
      </c>
      <c r="AN622">
        <v>5.7757292887574243</v>
      </c>
      <c r="AO622">
        <v>5.7757292887574243</v>
      </c>
      <c r="AP622">
        <v>5.9210526315789478</v>
      </c>
      <c r="BG622">
        <v>0</v>
      </c>
      <c r="BH622">
        <v>0</v>
      </c>
      <c r="BI622">
        <v>0</v>
      </c>
      <c r="BK622">
        <v>0.16888888888888889</v>
      </c>
      <c r="BL622">
        <v>0.16888888888888889</v>
      </c>
      <c r="BM622">
        <v>0.9754565021012539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0</v>
      </c>
      <c r="BV622">
        <v>0</v>
      </c>
      <c r="BW622">
        <v>0</v>
      </c>
      <c r="BX622">
        <v>2.4543497898746103E-2</v>
      </c>
      <c r="BY622">
        <v>0</v>
      </c>
      <c r="BZ622">
        <v>0</v>
      </c>
      <c r="CA622">
        <v>0</v>
      </c>
      <c r="CB622">
        <v>0.16888888888888889</v>
      </c>
      <c r="CC622">
        <v>0</v>
      </c>
      <c r="CD622">
        <v>0</v>
      </c>
      <c r="CE622">
        <v>0</v>
      </c>
      <c r="CF622">
        <v>0</v>
      </c>
      <c r="CG622">
        <v>0</v>
      </c>
    </row>
    <row r="623" spans="1:85" x14ac:dyDescent="0.25">
      <c r="A623" t="s">
        <v>128</v>
      </c>
      <c r="B623" t="s">
        <v>146</v>
      </c>
      <c r="C623" t="s">
        <v>72</v>
      </c>
      <c r="D623" s="12">
        <v>46236</v>
      </c>
      <c r="E623" t="s">
        <v>134</v>
      </c>
      <c r="F623" t="s">
        <v>134</v>
      </c>
      <c r="G623" t="s">
        <v>134</v>
      </c>
      <c r="H623" t="s">
        <v>74</v>
      </c>
      <c r="I623">
        <v>10</v>
      </c>
      <c r="J623">
        <v>1</v>
      </c>
      <c r="K623">
        <v>4.2207252494765797</v>
      </c>
      <c r="L623">
        <v>46236</v>
      </c>
      <c r="M623" t="s">
        <v>187</v>
      </c>
      <c r="N623">
        <v>0</v>
      </c>
      <c r="O623">
        <v>0</v>
      </c>
      <c r="P623">
        <v>4.6875</v>
      </c>
      <c r="Q623">
        <v>0</v>
      </c>
      <c r="R623">
        <v>0</v>
      </c>
      <c r="S623">
        <v>1.1105911242579236</v>
      </c>
      <c r="T623">
        <v>0.11059112425792361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1</v>
      </c>
      <c r="AM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1</v>
      </c>
      <c r="BJ623">
        <v>1</v>
      </c>
      <c r="BK623">
        <v>0</v>
      </c>
      <c r="BL623">
        <v>0</v>
      </c>
      <c r="BM623">
        <v>0.9004213865550037</v>
      </c>
      <c r="BN623">
        <v>0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0</v>
      </c>
      <c r="BV623">
        <v>0</v>
      </c>
      <c r="BW623">
        <v>0</v>
      </c>
      <c r="BX623">
        <v>9.95786134449963E-2</v>
      </c>
      <c r="BY623">
        <v>0</v>
      </c>
      <c r="BZ623">
        <v>0</v>
      </c>
      <c r="CA623">
        <v>0</v>
      </c>
      <c r="CB623">
        <v>0</v>
      </c>
      <c r="CC623">
        <v>0</v>
      </c>
      <c r="CD623">
        <v>0</v>
      </c>
      <c r="CE623">
        <v>0</v>
      </c>
      <c r="CF623">
        <v>0.9004213865550037</v>
      </c>
      <c r="CG623">
        <v>0</v>
      </c>
    </row>
    <row r="624" spans="1:85" x14ac:dyDescent="0.25">
      <c r="A624" t="s">
        <v>128</v>
      </c>
      <c r="B624" t="s">
        <v>146</v>
      </c>
      <c r="C624" t="s">
        <v>72</v>
      </c>
      <c r="D624" s="12">
        <v>46236</v>
      </c>
      <c r="E624" t="s">
        <v>134</v>
      </c>
      <c r="F624" t="s">
        <v>134</v>
      </c>
      <c r="G624" t="s">
        <v>134</v>
      </c>
      <c r="H624" t="s">
        <v>73</v>
      </c>
      <c r="I624">
        <v>10</v>
      </c>
      <c r="J624">
        <v>1</v>
      </c>
      <c r="K624">
        <v>10.973885648639106</v>
      </c>
      <c r="L624">
        <v>46236</v>
      </c>
      <c r="M624" t="s">
        <v>188</v>
      </c>
      <c r="N624">
        <v>3.8</v>
      </c>
      <c r="O624">
        <v>3.8</v>
      </c>
      <c r="P624">
        <v>11.25</v>
      </c>
      <c r="Q624">
        <v>0.34627661720452185</v>
      </c>
      <c r="R624">
        <v>0.34627661720452185</v>
      </c>
      <c r="S624">
        <v>1.025161037776545</v>
      </c>
      <c r="T624">
        <v>2.5161037776544992E-2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0.65372338279547815</v>
      </c>
      <c r="AD624">
        <v>0</v>
      </c>
      <c r="AE624">
        <v>0</v>
      </c>
      <c r="AF624">
        <v>0</v>
      </c>
      <c r="AG624">
        <v>0</v>
      </c>
      <c r="AH624">
        <v>0.34627661720452185</v>
      </c>
      <c r="AI624">
        <v>0</v>
      </c>
      <c r="AJ624">
        <v>0</v>
      </c>
      <c r="AK624">
        <v>0</v>
      </c>
      <c r="AL624">
        <v>0</v>
      </c>
      <c r="AM624">
        <v>0</v>
      </c>
      <c r="AN624">
        <v>2.8878646443787122</v>
      </c>
      <c r="AO624">
        <v>2.8878646443787122</v>
      </c>
      <c r="AP624">
        <v>2.9605263157894739</v>
      </c>
      <c r="BG624">
        <v>0</v>
      </c>
      <c r="BH624">
        <v>0</v>
      </c>
      <c r="BI624">
        <v>0</v>
      </c>
      <c r="BK624">
        <v>0.33777777777777779</v>
      </c>
      <c r="BL624">
        <v>0.33777777777777779</v>
      </c>
      <c r="BM624">
        <v>0.9754565021012539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0</v>
      </c>
      <c r="BU624">
        <v>0</v>
      </c>
      <c r="BV624">
        <v>0</v>
      </c>
      <c r="BW624">
        <v>0</v>
      </c>
      <c r="BX624">
        <v>2.4543497898746103E-2</v>
      </c>
      <c r="BY624">
        <v>0</v>
      </c>
      <c r="BZ624">
        <v>0</v>
      </c>
      <c r="CA624">
        <v>0</v>
      </c>
      <c r="CB624">
        <v>0.33777777777777779</v>
      </c>
      <c r="CC624">
        <v>0</v>
      </c>
      <c r="CD624">
        <v>0</v>
      </c>
      <c r="CE624">
        <v>0</v>
      </c>
      <c r="CF624">
        <v>0</v>
      </c>
      <c r="CG624">
        <v>0</v>
      </c>
    </row>
    <row r="625" spans="1:85" x14ac:dyDescent="0.25">
      <c r="A625" t="s">
        <v>128</v>
      </c>
      <c r="B625" t="s">
        <v>146</v>
      </c>
      <c r="C625" t="s">
        <v>72</v>
      </c>
      <c r="D625" s="12">
        <v>46235</v>
      </c>
      <c r="E625" t="s">
        <v>134</v>
      </c>
      <c r="F625" t="s">
        <v>134</v>
      </c>
      <c r="G625" t="s">
        <v>134</v>
      </c>
      <c r="H625" t="s">
        <v>75</v>
      </c>
      <c r="I625">
        <v>10</v>
      </c>
      <c r="J625">
        <v>1</v>
      </c>
      <c r="K625">
        <v>10.973885648639106</v>
      </c>
      <c r="L625">
        <v>46235</v>
      </c>
      <c r="M625" t="s">
        <v>189</v>
      </c>
      <c r="N625">
        <v>1.9</v>
      </c>
      <c r="O625">
        <v>1.9</v>
      </c>
      <c r="P625">
        <v>11.25</v>
      </c>
      <c r="Q625">
        <v>0.17313830860226093</v>
      </c>
      <c r="R625">
        <v>0.17313830860226093</v>
      </c>
      <c r="S625">
        <v>1.025161037776545</v>
      </c>
      <c r="T625">
        <v>2.5161037776544992E-2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0.82686169139773913</v>
      </c>
      <c r="AD625">
        <v>0</v>
      </c>
      <c r="AE625">
        <v>0</v>
      </c>
      <c r="AF625">
        <v>0</v>
      </c>
      <c r="AG625">
        <v>0</v>
      </c>
      <c r="AH625">
        <v>0.17313830860226093</v>
      </c>
      <c r="AI625">
        <v>0</v>
      </c>
      <c r="AJ625">
        <v>0</v>
      </c>
      <c r="AK625">
        <v>0</v>
      </c>
      <c r="AL625">
        <v>0</v>
      </c>
      <c r="AM625">
        <v>0</v>
      </c>
      <c r="AN625">
        <v>5.7757292887574243</v>
      </c>
      <c r="AO625">
        <v>5.7757292887574243</v>
      </c>
      <c r="AP625">
        <v>5.9210526315789478</v>
      </c>
      <c r="BG625">
        <v>0</v>
      </c>
      <c r="BH625">
        <v>0</v>
      </c>
      <c r="BI625">
        <v>0</v>
      </c>
      <c r="BK625">
        <v>0.16888888888888889</v>
      </c>
      <c r="BL625">
        <v>0.16888888888888889</v>
      </c>
      <c r="BM625">
        <v>0.9754565021012539</v>
      </c>
      <c r="BN625">
        <v>0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0</v>
      </c>
      <c r="BV625">
        <v>0</v>
      </c>
      <c r="BW625">
        <v>0</v>
      </c>
      <c r="BX625">
        <v>2.4543497898746103E-2</v>
      </c>
      <c r="BY625">
        <v>0</v>
      </c>
      <c r="BZ625">
        <v>0</v>
      </c>
      <c r="CA625">
        <v>0</v>
      </c>
      <c r="CB625">
        <v>0.16888888888888889</v>
      </c>
      <c r="CC625">
        <v>0</v>
      </c>
      <c r="CD625">
        <v>0</v>
      </c>
      <c r="CE625">
        <v>0</v>
      </c>
      <c r="CF625">
        <v>0</v>
      </c>
      <c r="CG625">
        <v>0</v>
      </c>
    </row>
    <row r="626" spans="1:85" x14ac:dyDescent="0.25">
      <c r="A626" t="s">
        <v>128</v>
      </c>
      <c r="B626" t="s">
        <v>146</v>
      </c>
      <c r="C626" t="s">
        <v>72</v>
      </c>
      <c r="D626" s="12">
        <v>46235</v>
      </c>
      <c r="E626" t="s">
        <v>134</v>
      </c>
      <c r="F626" t="s">
        <v>134</v>
      </c>
      <c r="G626" t="s">
        <v>134</v>
      </c>
      <c r="H626" t="s">
        <v>74</v>
      </c>
      <c r="I626">
        <v>10</v>
      </c>
      <c r="J626">
        <v>1</v>
      </c>
      <c r="K626">
        <v>4.2207252494765797</v>
      </c>
      <c r="L626">
        <v>46235</v>
      </c>
      <c r="M626" t="s">
        <v>190</v>
      </c>
      <c r="N626">
        <v>0</v>
      </c>
      <c r="O626">
        <v>0</v>
      </c>
      <c r="P626">
        <v>4.6875</v>
      </c>
      <c r="Q626">
        <v>0</v>
      </c>
      <c r="R626">
        <v>0</v>
      </c>
      <c r="S626">
        <v>1.1105911242579236</v>
      </c>
      <c r="T626">
        <v>0.11059112425792361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1</v>
      </c>
      <c r="AM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1</v>
      </c>
      <c r="BJ626">
        <v>1</v>
      </c>
      <c r="BK626">
        <v>0</v>
      </c>
      <c r="BL626">
        <v>0</v>
      </c>
      <c r="BM626">
        <v>0.9004213865550037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0</v>
      </c>
      <c r="BV626">
        <v>0</v>
      </c>
      <c r="BW626">
        <v>0</v>
      </c>
      <c r="BX626">
        <v>9.95786134449963E-2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0</v>
      </c>
      <c r="CF626">
        <v>0.9004213865550037</v>
      </c>
      <c r="CG626">
        <v>0</v>
      </c>
    </row>
    <row r="627" spans="1:85" x14ac:dyDescent="0.25">
      <c r="A627" t="s">
        <v>128</v>
      </c>
      <c r="B627" t="s">
        <v>146</v>
      </c>
      <c r="C627" t="s">
        <v>72</v>
      </c>
      <c r="D627" s="12">
        <v>46235</v>
      </c>
      <c r="E627" t="s">
        <v>134</v>
      </c>
      <c r="F627" t="s">
        <v>134</v>
      </c>
      <c r="G627" t="s">
        <v>134</v>
      </c>
      <c r="H627" t="s">
        <v>73</v>
      </c>
      <c r="I627">
        <v>10</v>
      </c>
      <c r="J627">
        <v>1</v>
      </c>
      <c r="K627">
        <v>11.026644714257564</v>
      </c>
      <c r="L627">
        <v>46235</v>
      </c>
      <c r="M627" t="s">
        <v>191</v>
      </c>
      <c r="N627">
        <v>5.6999999999999993</v>
      </c>
      <c r="O627">
        <v>5.6999999999999993</v>
      </c>
      <c r="P627">
        <v>11.125</v>
      </c>
      <c r="Q627">
        <v>0.51692968692732444</v>
      </c>
      <c r="R627">
        <v>0.51692968692732444</v>
      </c>
      <c r="S627">
        <v>1.0089197836958745</v>
      </c>
      <c r="T627">
        <v>8.9197836958745391E-3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0.48307031307267556</v>
      </c>
      <c r="AD627">
        <v>0</v>
      </c>
      <c r="AE627">
        <v>0</v>
      </c>
      <c r="AF627">
        <v>0</v>
      </c>
      <c r="AG627">
        <v>0</v>
      </c>
      <c r="AH627">
        <v>0.51692968692732444</v>
      </c>
      <c r="AI627">
        <v>0</v>
      </c>
      <c r="AJ627">
        <v>0</v>
      </c>
      <c r="AK627">
        <v>0</v>
      </c>
      <c r="AL627">
        <v>0</v>
      </c>
      <c r="AM627">
        <v>0</v>
      </c>
      <c r="AN627">
        <v>1.9344990726767659</v>
      </c>
      <c r="AO627">
        <v>1.9344990726767659</v>
      </c>
      <c r="AP627">
        <v>1.9517543859649125</v>
      </c>
      <c r="BG627">
        <v>0</v>
      </c>
      <c r="BH627">
        <v>0</v>
      </c>
      <c r="BI627">
        <v>0</v>
      </c>
      <c r="BK627">
        <v>0.51235955056179772</v>
      </c>
      <c r="BL627">
        <v>0.51235955056179772</v>
      </c>
      <c r="BM627">
        <v>0.99115907543888215</v>
      </c>
      <c r="BN627">
        <v>0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0</v>
      </c>
      <c r="BV627">
        <v>0</v>
      </c>
      <c r="BW627">
        <v>0</v>
      </c>
      <c r="BX627">
        <v>8.8409245611178466E-3</v>
      </c>
      <c r="BY627">
        <v>0</v>
      </c>
      <c r="BZ627">
        <v>0</v>
      </c>
      <c r="CA627">
        <v>0</v>
      </c>
      <c r="CB627">
        <v>0.51235955056179772</v>
      </c>
      <c r="CC627">
        <v>0</v>
      </c>
      <c r="CD627">
        <v>0</v>
      </c>
      <c r="CE627">
        <v>0</v>
      </c>
      <c r="CF627">
        <v>0</v>
      </c>
      <c r="CG627">
        <v>0</v>
      </c>
    </row>
    <row r="628" spans="1:85" x14ac:dyDescent="0.25">
      <c r="A628" t="s">
        <v>128</v>
      </c>
      <c r="B628" t="s">
        <v>146</v>
      </c>
      <c r="C628" t="s">
        <v>72</v>
      </c>
      <c r="D628" s="12">
        <v>46234</v>
      </c>
      <c r="E628" t="s">
        <v>134</v>
      </c>
      <c r="F628" t="s">
        <v>134</v>
      </c>
      <c r="G628" t="s">
        <v>134</v>
      </c>
      <c r="H628" t="s">
        <v>75</v>
      </c>
      <c r="I628">
        <v>10</v>
      </c>
      <c r="J628">
        <v>1</v>
      </c>
      <c r="K628">
        <v>11.026644714257564</v>
      </c>
      <c r="L628">
        <v>46234</v>
      </c>
      <c r="M628" t="s">
        <v>192</v>
      </c>
      <c r="N628">
        <v>2.8499999999999996</v>
      </c>
      <c r="O628">
        <v>2.8499999999999996</v>
      </c>
      <c r="P628">
        <v>11.128676470588234</v>
      </c>
      <c r="Q628">
        <v>0.25846484346366222</v>
      </c>
      <c r="R628">
        <v>0.25846484346366222</v>
      </c>
      <c r="S628">
        <v>1.0092532006766066</v>
      </c>
      <c r="T628">
        <v>9.253200676606621E-3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0.74153515653633773</v>
      </c>
      <c r="AD628">
        <v>0</v>
      </c>
      <c r="AE628">
        <v>0</v>
      </c>
      <c r="AF628">
        <v>0</v>
      </c>
      <c r="AG628">
        <v>0</v>
      </c>
      <c r="AH628">
        <v>0.25846484346366222</v>
      </c>
      <c r="AI628">
        <v>0</v>
      </c>
      <c r="AJ628">
        <v>0</v>
      </c>
      <c r="AK628">
        <v>0</v>
      </c>
      <c r="AL628">
        <v>0</v>
      </c>
      <c r="AM628">
        <v>0</v>
      </c>
      <c r="AN628">
        <v>3.8689981453535318</v>
      </c>
      <c r="AO628">
        <v>3.8689981453535318</v>
      </c>
      <c r="AP628">
        <v>3.9047987616099071</v>
      </c>
      <c r="BG628">
        <v>0</v>
      </c>
      <c r="BH628">
        <v>0</v>
      </c>
      <c r="BI628">
        <v>0</v>
      </c>
      <c r="BK628">
        <v>0.25609514370664022</v>
      </c>
      <c r="BL628">
        <v>0.25609514370664022</v>
      </c>
      <c r="BM628">
        <v>0.99083163603503732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0</v>
      </c>
      <c r="BV628">
        <v>0</v>
      </c>
      <c r="BW628">
        <v>0</v>
      </c>
      <c r="BX628">
        <v>9.168363964962678E-3</v>
      </c>
      <c r="BY628">
        <v>0</v>
      </c>
      <c r="BZ628">
        <v>0</v>
      </c>
      <c r="CA628">
        <v>0</v>
      </c>
      <c r="CB628">
        <v>0.25609514370664022</v>
      </c>
      <c r="CC628">
        <v>0</v>
      </c>
      <c r="CD628">
        <v>0</v>
      </c>
      <c r="CE628">
        <v>0</v>
      </c>
      <c r="CF628">
        <v>0</v>
      </c>
      <c r="CG628">
        <v>0</v>
      </c>
    </row>
    <row r="629" spans="1:85" x14ac:dyDescent="0.25">
      <c r="A629" t="s">
        <v>128</v>
      </c>
      <c r="B629" t="s">
        <v>146</v>
      </c>
      <c r="C629" t="s">
        <v>72</v>
      </c>
      <c r="D629" s="12">
        <v>46234</v>
      </c>
      <c r="E629" t="s">
        <v>134</v>
      </c>
      <c r="F629" t="s">
        <v>134</v>
      </c>
      <c r="G629" t="s">
        <v>134</v>
      </c>
      <c r="H629" t="s">
        <v>74</v>
      </c>
      <c r="I629">
        <v>10</v>
      </c>
      <c r="J629">
        <v>1</v>
      </c>
      <c r="K629">
        <v>4.2207252494765797</v>
      </c>
      <c r="L629">
        <v>46234</v>
      </c>
      <c r="M629" t="s">
        <v>193</v>
      </c>
      <c r="N629">
        <v>1.9</v>
      </c>
      <c r="O629">
        <v>1.9</v>
      </c>
      <c r="P629">
        <v>4.6875</v>
      </c>
      <c r="Q629">
        <v>0.45015960236587838</v>
      </c>
      <c r="R629">
        <v>0.45015960236587838</v>
      </c>
      <c r="S629">
        <v>1.1105911242579236</v>
      </c>
      <c r="T629">
        <v>0.11059112425792361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0.54984039763412162</v>
      </c>
      <c r="AD629">
        <v>0</v>
      </c>
      <c r="AE629">
        <v>0</v>
      </c>
      <c r="AF629">
        <v>0</v>
      </c>
      <c r="AG629">
        <v>0</v>
      </c>
      <c r="AH629">
        <v>0.45015960236587838</v>
      </c>
      <c r="AI629">
        <v>0</v>
      </c>
      <c r="AJ629">
        <v>0</v>
      </c>
      <c r="AK629">
        <v>0</v>
      </c>
      <c r="AL629">
        <v>0</v>
      </c>
      <c r="AM629">
        <v>0</v>
      </c>
      <c r="AN629">
        <v>2.2214343418297791</v>
      </c>
      <c r="AO629">
        <v>2.2214343418297791</v>
      </c>
      <c r="AP629">
        <v>2.4671052631578947</v>
      </c>
      <c r="BG629">
        <v>0</v>
      </c>
      <c r="BH629">
        <v>0</v>
      </c>
      <c r="BI629">
        <v>0</v>
      </c>
      <c r="BK629">
        <v>0.40533333333333332</v>
      </c>
      <c r="BL629">
        <v>0.40533333333333332</v>
      </c>
      <c r="BM629">
        <v>0.9004213865550037</v>
      </c>
      <c r="BN629">
        <v>0</v>
      </c>
      <c r="BO629">
        <v>0</v>
      </c>
      <c r="BP629">
        <v>0</v>
      </c>
      <c r="BQ629">
        <v>0</v>
      </c>
      <c r="BR629">
        <v>0</v>
      </c>
      <c r="BS629">
        <v>0</v>
      </c>
      <c r="BT629">
        <v>0</v>
      </c>
      <c r="BU629">
        <v>0</v>
      </c>
      <c r="BV629">
        <v>0</v>
      </c>
      <c r="BW629">
        <v>0</v>
      </c>
      <c r="BX629">
        <v>9.95786134449963E-2</v>
      </c>
      <c r="BY629">
        <v>0</v>
      </c>
      <c r="BZ629">
        <v>0</v>
      </c>
      <c r="CA629">
        <v>0</v>
      </c>
      <c r="CB629">
        <v>0.40533333333333332</v>
      </c>
      <c r="CC629">
        <v>0</v>
      </c>
      <c r="CD629">
        <v>0</v>
      </c>
      <c r="CE629">
        <v>0</v>
      </c>
      <c r="CF629">
        <v>0</v>
      </c>
      <c r="CG629">
        <v>0</v>
      </c>
    </row>
    <row r="630" spans="1:85" x14ac:dyDescent="0.25">
      <c r="A630" t="s">
        <v>128</v>
      </c>
      <c r="B630" t="s">
        <v>146</v>
      </c>
      <c r="C630" t="s">
        <v>72</v>
      </c>
      <c r="D630" s="12">
        <v>46234</v>
      </c>
      <c r="E630" t="s">
        <v>134</v>
      </c>
      <c r="F630" t="s">
        <v>134</v>
      </c>
      <c r="G630" t="s">
        <v>134</v>
      </c>
      <c r="H630" t="s">
        <v>73</v>
      </c>
      <c r="I630">
        <v>10</v>
      </c>
      <c r="J630">
        <v>1</v>
      </c>
      <c r="K630">
        <v>10.973885648639108</v>
      </c>
      <c r="L630">
        <v>46234</v>
      </c>
      <c r="M630" t="s">
        <v>216</v>
      </c>
      <c r="N630">
        <v>1.9</v>
      </c>
      <c r="O630">
        <v>1.9</v>
      </c>
      <c r="P630">
        <v>11.808823529411764</v>
      </c>
      <c r="Q630">
        <v>0.1731383086022609</v>
      </c>
      <c r="R630">
        <v>0.1731383086022609</v>
      </c>
      <c r="S630">
        <v>1.0760840697183862</v>
      </c>
      <c r="T630">
        <v>7.6084069718386216E-2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0.82686169139773913</v>
      </c>
      <c r="AD630">
        <v>0</v>
      </c>
      <c r="AE630">
        <v>0</v>
      </c>
      <c r="AF630">
        <v>0</v>
      </c>
      <c r="AG630">
        <v>0</v>
      </c>
      <c r="AH630">
        <v>0.1731383086022609</v>
      </c>
      <c r="AI630">
        <v>0</v>
      </c>
      <c r="AJ630">
        <v>0</v>
      </c>
      <c r="AK630">
        <v>0</v>
      </c>
      <c r="AL630">
        <v>0</v>
      </c>
      <c r="AM630">
        <v>0</v>
      </c>
      <c r="AN630">
        <v>5.7757292887574252</v>
      </c>
      <c r="AO630">
        <v>5.7757292887574252</v>
      </c>
      <c r="AP630">
        <v>6.2151702786377712</v>
      </c>
      <c r="BG630">
        <v>0</v>
      </c>
      <c r="BH630">
        <v>0</v>
      </c>
      <c r="BI630">
        <v>0</v>
      </c>
      <c r="BK630">
        <v>0.16089663760896636</v>
      </c>
      <c r="BL630">
        <v>0.16089663760896636</v>
      </c>
      <c r="BM630">
        <v>0.92929542230069662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0</v>
      </c>
      <c r="BU630">
        <v>0</v>
      </c>
      <c r="BV630">
        <v>0</v>
      </c>
      <c r="BW630">
        <v>0</v>
      </c>
      <c r="BX630">
        <v>7.0704577699303384E-2</v>
      </c>
      <c r="BY630">
        <v>0</v>
      </c>
      <c r="BZ630">
        <v>0</v>
      </c>
      <c r="CA630">
        <v>0</v>
      </c>
      <c r="CB630">
        <v>0.16089663760896636</v>
      </c>
      <c r="CC630">
        <v>0</v>
      </c>
      <c r="CD630">
        <v>0</v>
      </c>
      <c r="CE630">
        <v>0</v>
      </c>
      <c r="CF630">
        <v>0</v>
      </c>
      <c r="CG630">
        <v>0</v>
      </c>
    </row>
    <row r="631" spans="1:85" x14ac:dyDescent="0.25">
      <c r="A631" t="s">
        <v>128</v>
      </c>
      <c r="B631" t="s">
        <v>146</v>
      </c>
      <c r="C631" t="s">
        <v>72</v>
      </c>
      <c r="D631" s="12">
        <v>46233</v>
      </c>
      <c r="E631" t="s">
        <v>134</v>
      </c>
      <c r="F631" t="s">
        <v>134</v>
      </c>
      <c r="G631" t="s">
        <v>134</v>
      </c>
      <c r="H631" t="s">
        <v>75</v>
      </c>
      <c r="I631">
        <v>10</v>
      </c>
      <c r="J631">
        <v>1</v>
      </c>
      <c r="K631">
        <v>10.973885648639106</v>
      </c>
      <c r="L631">
        <v>46233</v>
      </c>
      <c r="M631" t="s">
        <v>236</v>
      </c>
      <c r="N631">
        <v>5.6999999999999993</v>
      </c>
      <c r="O631">
        <v>5.6999999999999993</v>
      </c>
      <c r="P631">
        <v>11.25</v>
      </c>
      <c r="Q631">
        <v>0.51941492580678272</v>
      </c>
      <c r="R631">
        <v>0.51941492580678272</v>
      </c>
      <c r="S631">
        <v>1.025161037776545</v>
      </c>
      <c r="T631">
        <v>2.5161037776544992E-2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0.48058507419321728</v>
      </c>
      <c r="AD631">
        <v>0</v>
      </c>
      <c r="AE631">
        <v>0</v>
      </c>
      <c r="AF631">
        <v>0</v>
      </c>
      <c r="AG631">
        <v>0</v>
      </c>
      <c r="AH631">
        <v>0.51941492580678272</v>
      </c>
      <c r="AI631">
        <v>0</v>
      </c>
      <c r="AJ631">
        <v>0</v>
      </c>
      <c r="AK631">
        <v>0</v>
      </c>
      <c r="AL631">
        <v>0</v>
      </c>
      <c r="AM631">
        <v>0</v>
      </c>
      <c r="AN631">
        <v>1.9252430962524749</v>
      </c>
      <c r="AO631">
        <v>1.9252430962524749</v>
      </c>
      <c r="AP631">
        <v>1.9736842105263159</v>
      </c>
      <c r="BG631">
        <v>0</v>
      </c>
      <c r="BH631">
        <v>0</v>
      </c>
      <c r="BI631">
        <v>0</v>
      </c>
      <c r="BK631">
        <v>0.5066666666666666</v>
      </c>
      <c r="BL631">
        <v>0.5066666666666666</v>
      </c>
      <c r="BM631">
        <v>0.9754565021012539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2.4543497898746103E-2</v>
      </c>
      <c r="BY631">
        <v>0</v>
      </c>
      <c r="BZ631">
        <v>0</v>
      </c>
      <c r="CA631">
        <v>0</v>
      </c>
      <c r="CB631">
        <v>0.5066666666666666</v>
      </c>
      <c r="CC631">
        <v>0</v>
      </c>
      <c r="CD631">
        <v>0</v>
      </c>
      <c r="CE631">
        <v>0</v>
      </c>
      <c r="CF631">
        <v>0</v>
      </c>
      <c r="CG631">
        <v>0</v>
      </c>
    </row>
    <row r="632" spans="1:85" x14ac:dyDescent="0.25">
      <c r="A632" t="s">
        <v>128</v>
      </c>
      <c r="B632" t="s">
        <v>146</v>
      </c>
      <c r="C632" t="s">
        <v>72</v>
      </c>
      <c r="D632" s="12">
        <v>46238</v>
      </c>
      <c r="E632" t="s">
        <v>134</v>
      </c>
      <c r="F632" t="s">
        <v>134</v>
      </c>
      <c r="G632" t="s">
        <v>134</v>
      </c>
      <c r="H632" t="s">
        <v>73</v>
      </c>
      <c r="I632">
        <v>10</v>
      </c>
      <c r="J632">
        <v>1</v>
      </c>
      <c r="K632">
        <v>13.005109674949706</v>
      </c>
      <c r="L632">
        <v>46238</v>
      </c>
      <c r="M632" t="s">
        <v>183</v>
      </c>
      <c r="N632">
        <v>2.8499999999999996</v>
      </c>
      <c r="O632">
        <v>2.8499999999999996</v>
      </c>
      <c r="P632">
        <v>13.6171875</v>
      </c>
      <c r="Q632">
        <v>0.21914463401178672</v>
      </c>
      <c r="R632">
        <v>0.21914463401178672</v>
      </c>
      <c r="S632">
        <v>1.0470644108622376</v>
      </c>
      <c r="T632">
        <v>4.706441086223756E-2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0.78085536598821326</v>
      </c>
      <c r="AD632">
        <v>0</v>
      </c>
      <c r="AE632">
        <v>0</v>
      </c>
      <c r="AF632">
        <v>0</v>
      </c>
      <c r="AG632">
        <v>0</v>
      </c>
      <c r="AH632">
        <v>0.21914463401178672</v>
      </c>
      <c r="AI632">
        <v>0</v>
      </c>
      <c r="AJ632">
        <v>0</v>
      </c>
      <c r="AK632">
        <v>0</v>
      </c>
      <c r="AL632">
        <v>0</v>
      </c>
      <c r="AM632">
        <v>0</v>
      </c>
      <c r="AN632">
        <v>4.5631963771753359</v>
      </c>
      <c r="AO632">
        <v>4.5631963771753359</v>
      </c>
      <c r="AP632">
        <v>4.7779605263157903</v>
      </c>
      <c r="BG632">
        <v>0</v>
      </c>
      <c r="BH632">
        <v>0</v>
      </c>
      <c r="BI632">
        <v>0</v>
      </c>
      <c r="BK632">
        <v>0.20929432013769361</v>
      </c>
      <c r="BL632">
        <v>0.20929432013769361</v>
      </c>
      <c r="BM632">
        <v>0.95505108341569844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4.4948916584301557E-2</v>
      </c>
      <c r="BY632">
        <v>0</v>
      </c>
      <c r="BZ632">
        <v>0</v>
      </c>
      <c r="CA632">
        <v>0</v>
      </c>
      <c r="CB632">
        <v>0.20929432013769361</v>
      </c>
      <c r="CC632">
        <v>0</v>
      </c>
      <c r="CD632">
        <v>0</v>
      </c>
      <c r="CE632">
        <v>0</v>
      </c>
      <c r="CF632">
        <v>0</v>
      </c>
      <c r="CG632">
        <v>0</v>
      </c>
    </row>
    <row r="633" spans="1:85" x14ac:dyDescent="0.25">
      <c r="A633" t="s">
        <v>128</v>
      </c>
      <c r="B633" t="s">
        <v>146</v>
      </c>
      <c r="C633" t="s">
        <v>109</v>
      </c>
      <c r="D633" s="12">
        <v>46223</v>
      </c>
      <c r="E633" t="s">
        <v>134</v>
      </c>
      <c r="F633" t="s">
        <v>134</v>
      </c>
      <c r="G633" t="s">
        <v>134</v>
      </c>
      <c r="K633">
        <v>27.065400662268566</v>
      </c>
      <c r="N633">
        <v>4.75</v>
      </c>
      <c r="O633">
        <v>4.75</v>
      </c>
      <c r="P633">
        <v>25.369791666666664</v>
      </c>
      <c r="T633">
        <v>1.7246179221508555E-2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0.58865899919514642</v>
      </c>
      <c r="AD633">
        <v>7.9894762065719716E-2</v>
      </c>
      <c r="AE633">
        <v>0</v>
      </c>
      <c r="AF633">
        <v>0</v>
      </c>
      <c r="AG633">
        <v>0</v>
      </c>
      <c r="AH633">
        <v>0.17550081963582004</v>
      </c>
      <c r="AI633">
        <v>0</v>
      </c>
      <c r="AJ633">
        <v>0</v>
      </c>
      <c r="AK633">
        <v>0</v>
      </c>
      <c r="AL633">
        <v>0.15594541910331386</v>
      </c>
      <c r="AM633">
        <v>0</v>
      </c>
    </row>
    <row r="634" spans="1:85" x14ac:dyDescent="0.25">
      <c r="A634" t="s">
        <v>128</v>
      </c>
      <c r="B634" t="s">
        <v>146</v>
      </c>
      <c r="C634" t="s">
        <v>72</v>
      </c>
      <c r="D634" s="12">
        <v>46236</v>
      </c>
      <c r="E634" t="s">
        <v>136</v>
      </c>
      <c r="F634" t="s">
        <v>136</v>
      </c>
      <c r="G634" t="s">
        <v>136</v>
      </c>
      <c r="H634" t="s">
        <v>74</v>
      </c>
      <c r="I634">
        <v>10</v>
      </c>
      <c r="J634">
        <v>1</v>
      </c>
      <c r="K634">
        <v>0</v>
      </c>
      <c r="L634">
        <v>46236</v>
      </c>
      <c r="M634" t="s">
        <v>187</v>
      </c>
      <c r="N634">
        <v>0</v>
      </c>
      <c r="O634">
        <v>0</v>
      </c>
      <c r="P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1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  <c r="AM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1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G634">
        <v>0</v>
      </c>
    </row>
    <row r="635" spans="1:85" x14ac:dyDescent="0.25">
      <c r="A635" t="s">
        <v>128</v>
      </c>
      <c r="B635" t="s">
        <v>146</v>
      </c>
      <c r="C635" t="s">
        <v>72</v>
      </c>
      <c r="D635" s="12">
        <v>46237</v>
      </c>
      <c r="E635" t="s">
        <v>136</v>
      </c>
      <c r="F635" t="s">
        <v>136</v>
      </c>
      <c r="G635" t="s">
        <v>136</v>
      </c>
      <c r="H635" t="s">
        <v>73</v>
      </c>
      <c r="I635">
        <v>10</v>
      </c>
      <c r="J635">
        <v>1</v>
      </c>
      <c r="K635">
        <v>3.5876164620550925</v>
      </c>
      <c r="L635">
        <v>46237</v>
      </c>
      <c r="M635" t="s">
        <v>235</v>
      </c>
      <c r="N635">
        <v>3.8</v>
      </c>
      <c r="O635">
        <v>3.8</v>
      </c>
      <c r="P635">
        <v>4.7058823529411757</v>
      </c>
      <c r="Q635">
        <v>1.0591990643903022</v>
      </c>
      <c r="R635">
        <v>1.0591990643903022</v>
      </c>
      <c r="S635">
        <v>1.3117016277279281</v>
      </c>
      <c r="T635">
        <v>0.25250256333762588</v>
      </c>
      <c r="U635">
        <v>0</v>
      </c>
      <c r="V635">
        <v>0</v>
      </c>
      <c r="W635">
        <v>0</v>
      </c>
      <c r="X635">
        <v>0</v>
      </c>
      <c r="Y635">
        <v>0.1908009356096978</v>
      </c>
      <c r="Z635">
        <v>5.9199064390302203E-2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1</v>
      </c>
      <c r="AN635">
        <v>0.94410959527765603</v>
      </c>
      <c r="AO635">
        <v>0.94410959527765603</v>
      </c>
      <c r="AP635">
        <v>1.2383900928792568</v>
      </c>
      <c r="AQ635">
        <v>0.23839009287925683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0.94410959527765603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0.80750000000000011</v>
      </c>
      <c r="BL635">
        <v>0.80750000000000011</v>
      </c>
      <c r="BM635">
        <v>0.76236849818670727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0.19249999999999989</v>
      </c>
      <c r="BY635">
        <v>0</v>
      </c>
      <c r="BZ635">
        <v>4.513150181329284E-2</v>
      </c>
      <c r="CA635">
        <v>0</v>
      </c>
      <c r="CB635">
        <v>0.76236849818670727</v>
      </c>
      <c r="CC635">
        <v>0</v>
      </c>
      <c r="CD635">
        <v>0</v>
      </c>
      <c r="CE635">
        <v>0</v>
      </c>
      <c r="CF635">
        <v>0</v>
      </c>
      <c r="CG635">
        <v>0</v>
      </c>
    </row>
    <row r="636" spans="1:85" x14ac:dyDescent="0.25">
      <c r="A636" t="s">
        <v>128</v>
      </c>
      <c r="B636" t="s">
        <v>146</v>
      </c>
      <c r="C636" t="s">
        <v>72</v>
      </c>
      <c r="D636" s="12">
        <v>46239</v>
      </c>
      <c r="E636" t="s">
        <v>135</v>
      </c>
      <c r="F636" t="s">
        <v>135</v>
      </c>
      <c r="G636" t="s">
        <v>135</v>
      </c>
      <c r="H636" t="s">
        <v>75</v>
      </c>
      <c r="I636">
        <v>10</v>
      </c>
      <c r="J636">
        <v>1</v>
      </c>
      <c r="K636">
        <v>3.902039321560157</v>
      </c>
      <c r="L636">
        <v>46239</v>
      </c>
      <c r="M636" t="s">
        <v>178</v>
      </c>
      <c r="N636">
        <v>0</v>
      </c>
      <c r="O636">
        <v>0</v>
      </c>
      <c r="P636">
        <v>3.8460207612456743</v>
      </c>
      <c r="Q636">
        <v>0</v>
      </c>
      <c r="R636">
        <v>0</v>
      </c>
      <c r="S636">
        <v>0.98564377349942112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0.98564377349942112</v>
      </c>
      <c r="AD636">
        <v>1.4356226500578884E-2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0</v>
      </c>
      <c r="BG636">
        <v>0</v>
      </c>
      <c r="BH636">
        <v>0</v>
      </c>
      <c r="BI636">
        <v>1</v>
      </c>
      <c r="BK636">
        <v>0</v>
      </c>
      <c r="BL636">
        <v>0</v>
      </c>
      <c r="BM636">
        <v>1.0145653296724115</v>
      </c>
      <c r="BN636">
        <v>1.4565329672411531E-2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0</v>
      </c>
      <c r="CF636">
        <v>1</v>
      </c>
      <c r="CG636">
        <v>1</v>
      </c>
    </row>
    <row r="637" spans="1:85" x14ac:dyDescent="0.25">
      <c r="A637" t="s">
        <v>128</v>
      </c>
      <c r="B637" t="s">
        <v>146</v>
      </c>
      <c r="C637" t="s">
        <v>72</v>
      </c>
      <c r="D637" s="12">
        <v>46239</v>
      </c>
      <c r="E637" t="s">
        <v>135</v>
      </c>
      <c r="F637" t="s">
        <v>135</v>
      </c>
      <c r="G637" t="s">
        <v>135</v>
      </c>
      <c r="H637" t="s">
        <v>74</v>
      </c>
      <c r="I637">
        <v>10</v>
      </c>
      <c r="J637">
        <v>1</v>
      </c>
      <c r="K637">
        <v>1.2742252699784016</v>
      </c>
      <c r="L637">
        <v>46239</v>
      </c>
      <c r="M637" t="s">
        <v>179</v>
      </c>
      <c r="N637">
        <v>0</v>
      </c>
      <c r="O637">
        <v>0</v>
      </c>
      <c r="P637">
        <v>0.94117647058823517</v>
      </c>
      <c r="Q637">
        <v>0</v>
      </c>
      <c r="R637">
        <v>0</v>
      </c>
      <c r="S637">
        <v>0.73862643659875649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0.73862643659875649</v>
      </c>
      <c r="AD637">
        <v>0.26137356340124351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K637">
        <v>0</v>
      </c>
      <c r="BL637">
        <v>0</v>
      </c>
      <c r="BM637">
        <v>1.3538643493520519</v>
      </c>
      <c r="BN637">
        <v>0.35386434935205191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0</v>
      </c>
      <c r="BV637">
        <v>0</v>
      </c>
      <c r="BW637">
        <v>0</v>
      </c>
      <c r="BX637">
        <v>0</v>
      </c>
      <c r="BY637">
        <v>0</v>
      </c>
      <c r="BZ637">
        <v>0</v>
      </c>
      <c r="CA637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</row>
    <row r="638" spans="1:85" x14ac:dyDescent="0.25">
      <c r="A638" t="s">
        <v>128</v>
      </c>
      <c r="B638" t="s">
        <v>146</v>
      </c>
      <c r="C638" t="s">
        <v>72</v>
      </c>
      <c r="D638" s="12">
        <v>46239</v>
      </c>
      <c r="E638" t="s">
        <v>135</v>
      </c>
      <c r="F638" t="s">
        <v>135</v>
      </c>
      <c r="G638" t="s">
        <v>135</v>
      </c>
      <c r="H638" t="s">
        <v>73</v>
      </c>
      <c r="I638">
        <v>10</v>
      </c>
      <c r="J638">
        <v>1</v>
      </c>
      <c r="K638">
        <v>4.6378052105831538</v>
      </c>
      <c r="L638">
        <v>46239</v>
      </c>
      <c r="M638" t="s">
        <v>180</v>
      </c>
      <c r="N638">
        <v>0</v>
      </c>
      <c r="O638">
        <v>0</v>
      </c>
      <c r="P638">
        <v>2.40625</v>
      </c>
      <c r="Q638">
        <v>0</v>
      </c>
      <c r="R638">
        <v>0</v>
      </c>
      <c r="S638">
        <v>0.51883377820808485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0.51883377820808485</v>
      </c>
      <c r="AD638">
        <v>0.48116622179191515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1</v>
      </c>
      <c r="BK638">
        <v>0</v>
      </c>
      <c r="BL638">
        <v>0</v>
      </c>
      <c r="BM638">
        <v>1.9273995680345575</v>
      </c>
      <c r="BN638">
        <v>0.92739956803455748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1</v>
      </c>
      <c r="CG638">
        <v>1</v>
      </c>
    </row>
    <row r="639" spans="1:85" x14ac:dyDescent="0.25">
      <c r="A639" t="s">
        <v>128</v>
      </c>
      <c r="B639" t="s">
        <v>146</v>
      </c>
      <c r="C639" t="s">
        <v>72</v>
      </c>
      <c r="D639" s="12">
        <v>46238</v>
      </c>
      <c r="E639" t="s">
        <v>135</v>
      </c>
      <c r="F639" t="s">
        <v>135</v>
      </c>
      <c r="G639" t="s">
        <v>135</v>
      </c>
      <c r="H639" t="s">
        <v>75</v>
      </c>
      <c r="I639">
        <v>10</v>
      </c>
      <c r="J639">
        <v>1</v>
      </c>
      <c r="K639">
        <v>3.3729492440604751</v>
      </c>
      <c r="L639">
        <v>46238</v>
      </c>
      <c r="M639" t="s">
        <v>181</v>
      </c>
      <c r="N639">
        <v>0</v>
      </c>
      <c r="O639">
        <v>0</v>
      </c>
      <c r="P639">
        <v>3.4861591695501724</v>
      </c>
      <c r="Q639">
        <v>0</v>
      </c>
      <c r="R639">
        <v>0</v>
      </c>
      <c r="S639">
        <v>1.0335640762128431</v>
      </c>
      <c r="T639">
        <v>3.3564076212843075E-2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1</v>
      </c>
      <c r="AM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1</v>
      </c>
      <c r="BJ639">
        <v>1</v>
      </c>
      <c r="BK639">
        <v>0</v>
      </c>
      <c r="BL639">
        <v>0</v>
      </c>
      <c r="BM639">
        <v>0.96752588737814149</v>
      </c>
      <c r="BN639">
        <v>0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3.2474112621858509E-2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0.96752588737814149</v>
      </c>
      <c r="CG639">
        <v>0</v>
      </c>
    </row>
    <row r="640" spans="1:85" x14ac:dyDescent="0.25">
      <c r="A640" t="s">
        <v>128</v>
      </c>
      <c r="B640" t="s">
        <v>146</v>
      </c>
      <c r="C640" t="s">
        <v>72</v>
      </c>
      <c r="D640" s="12">
        <v>46238</v>
      </c>
      <c r="E640" t="s">
        <v>135</v>
      </c>
      <c r="F640" t="s">
        <v>135</v>
      </c>
      <c r="G640" t="s">
        <v>135</v>
      </c>
      <c r="H640" t="s">
        <v>74</v>
      </c>
      <c r="I640">
        <v>10</v>
      </c>
      <c r="J640">
        <v>1</v>
      </c>
      <c r="K640">
        <v>1.2742252699784016</v>
      </c>
      <c r="L640">
        <v>46238</v>
      </c>
      <c r="M640" t="s">
        <v>182</v>
      </c>
      <c r="N640">
        <v>0</v>
      </c>
      <c r="O640">
        <v>0</v>
      </c>
      <c r="P640">
        <v>0.94117647058823517</v>
      </c>
      <c r="Q640">
        <v>0</v>
      </c>
      <c r="R640">
        <v>0</v>
      </c>
      <c r="S640">
        <v>0.73862643659875649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0.73862643659875649</v>
      </c>
      <c r="AD640">
        <v>0.26137356340124351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  <c r="AL640">
        <v>0</v>
      </c>
      <c r="AM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K640">
        <v>0</v>
      </c>
      <c r="BL640">
        <v>0</v>
      </c>
      <c r="BM640">
        <v>1.3538643493520519</v>
      </c>
      <c r="BN640">
        <v>0.35386434935205191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</row>
    <row r="641" spans="1:85" x14ac:dyDescent="0.25">
      <c r="A641" t="s">
        <v>128</v>
      </c>
      <c r="B641" t="s">
        <v>146</v>
      </c>
      <c r="C641" t="s">
        <v>72</v>
      </c>
      <c r="D641" s="12">
        <v>46238</v>
      </c>
      <c r="E641" t="s">
        <v>135</v>
      </c>
      <c r="F641" t="s">
        <v>135</v>
      </c>
      <c r="G641" t="s">
        <v>135</v>
      </c>
      <c r="H641" t="s">
        <v>73</v>
      </c>
      <c r="I641">
        <v>10</v>
      </c>
      <c r="J641">
        <v>1</v>
      </c>
      <c r="K641">
        <v>5.8323914011879046</v>
      </c>
      <c r="L641">
        <v>46238</v>
      </c>
      <c r="M641" t="s">
        <v>183</v>
      </c>
      <c r="N641">
        <v>0</v>
      </c>
      <c r="O641">
        <v>0</v>
      </c>
      <c r="P641">
        <v>4.2886029411764701</v>
      </c>
      <c r="Q641">
        <v>0</v>
      </c>
      <c r="R641">
        <v>0</v>
      </c>
      <c r="S641">
        <v>0.73530780878371682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0.73530780878371682</v>
      </c>
      <c r="AD641">
        <v>0.26469219121628318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1</v>
      </c>
      <c r="BK641">
        <v>0</v>
      </c>
      <c r="BL641">
        <v>0</v>
      </c>
      <c r="BM641">
        <v>1.3599746773451438</v>
      </c>
      <c r="BN641">
        <v>0.35997467734514377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0</v>
      </c>
      <c r="BV641">
        <v>0</v>
      </c>
      <c r="BW641">
        <v>0</v>
      </c>
      <c r="BX641">
        <v>0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0</v>
      </c>
      <c r="CF641">
        <v>1</v>
      </c>
      <c r="CG641">
        <v>1</v>
      </c>
    </row>
    <row r="642" spans="1:85" x14ac:dyDescent="0.25">
      <c r="A642" t="s">
        <v>128</v>
      </c>
      <c r="B642" t="s">
        <v>146</v>
      </c>
      <c r="C642" t="s">
        <v>72</v>
      </c>
      <c r="D642" s="12">
        <v>46237</v>
      </c>
      <c r="E642" t="s">
        <v>135</v>
      </c>
      <c r="F642" t="s">
        <v>135</v>
      </c>
      <c r="G642" t="s">
        <v>135</v>
      </c>
      <c r="H642" t="s">
        <v>75</v>
      </c>
      <c r="I642">
        <v>10</v>
      </c>
      <c r="J642">
        <v>1</v>
      </c>
      <c r="K642">
        <v>3.3729492440604751</v>
      </c>
      <c r="L642">
        <v>46237</v>
      </c>
      <c r="M642" t="s">
        <v>184</v>
      </c>
      <c r="N642">
        <v>0</v>
      </c>
      <c r="O642">
        <v>0</v>
      </c>
      <c r="P642">
        <v>3.4861591695501724</v>
      </c>
      <c r="Q642">
        <v>0</v>
      </c>
      <c r="R642">
        <v>0</v>
      </c>
      <c r="S642">
        <v>1.0335640762128431</v>
      </c>
      <c r="T642">
        <v>3.3564076212843075E-2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1</v>
      </c>
      <c r="AM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1</v>
      </c>
      <c r="BJ642">
        <v>1</v>
      </c>
      <c r="BK642">
        <v>0</v>
      </c>
      <c r="BL642">
        <v>0</v>
      </c>
      <c r="BM642">
        <v>0.96752588737814149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0</v>
      </c>
      <c r="BV642">
        <v>0</v>
      </c>
      <c r="BW642">
        <v>0</v>
      </c>
      <c r="BX642">
        <v>3.2474112621858509E-2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0</v>
      </c>
      <c r="CF642">
        <v>0.96752588737814149</v>
      </c>
      <c r="CG642">
        <v>0</v>
      </c>
    </row>
    <row r="643" spans="1:85" x14ac:dyDescent="0.25">
      <c r="A643" t="s">
        <v>128</v>
      </c>
      <c r="B643" t="s">
        <v>146</v>
      </c>
      <c r="C643" t="s">
        <v>72</v>
      </c>
      <c r="D643" s="12">
        <v>46237</v>
      </c>
      <c r="E643" t="s">
        <v>135</v>
      </c>
      <c r="F643" t="s">
        <v>135</v>
      </c>
      <c r="G643" t="s">
        <v>135</v>
      </c>
      <c r="H643" t="s">
        <v>74</v>
      </c>
      <c r="I643">
        <v>10</v>
      </c>
      <c r="J643">
        <v>1</v>
      </c>
      <c r="K643">
        <v>1.2742252699784016</v>
      </c>
      <c r="L643">
        <v>46237</v>
      </c>
      <c r="M643" t="s">
        <v>185</v>
      </c>
      <c r="N643">
        <v>0</v>
      </c>
      <c r="O643">
        <v>0</v>
      </c>
      <c r="P643">
        <v>0.94117647058823517</v>
      </c>
      <c r="Q643">
        <v>0</v>
      </c>
      <c r="R643">
        <v>0</v>
      </c>
      <c r="S643">
        <v>0.73862643659875649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0.73862643659875649</v>
      </c>
      <c r="AD643">
        <v>0.26137356340124351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K643">
        <v>0</v>
      </c>
      <c r="BL643">
        <v>0</v>
      </c>
      <c r="BM643">
        <v>1.3538643493520519</v>
      </c>
      <c r="BN643">
        <v>0.35386434935205191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0</v>
      </c>
      <c r="BU643">
        <v>0</v>
      </c>
      <c r="BV643">
        <v>0</v>
      </c>
      <c r="BW643">
        <v>0</v>
      </c>
      <c r="BX643">
        <v>0</v>
      </c>
      <c r="BY643">
        <v>0</v>
      </c>
      <c r="BZ643">
        <v>0</v>
      </c>
      <c r="CA643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</row>
    <row r="644" spans="1:85" x14ac:dyDescent="0.25">
      <c r="A644" t="s">
        <v>128</v>
      </c>
      <c r="B644" t="s">
        <v>146</v>
      </c>
      <c r="C644" t="s">
        <v>72</v>
      </c>
      <c r="D644" s="12">
        <v>46237</v>
      </c>
      <c r="E644" t="s">
        <v>135</v>
      </c>
      <c r="F644" t="s">
        <v>135</v>
      </c>
      <c r="G644" t="s">
        <v>135</v>
      </c>
      <c r="H644" t="s">
        <v>73</v>
      </c>
      <c r="I644">
        <v>10</v>
      </c>
      <c r="J644">
        <v>1</v>
      </c>
      <c r="K644">
        <v>5.8323914011879037</v>
      </c>
      <c r="L644">
        <v>46237</v>
      </c>
      <c r="M644" t="s">
        <v>235</v>
      </c>
      <c r="N644">
        <v>0</v>
      </c>
      <c r="O644">
        <v>0</v>
      </c>
      <c r="P644">
        <v>4.2886029411764701</v>
      </c>
      <c r="Q644">
        <v>0</v>
      </c>
      <c r="R644">
        <v>0</v>
      </c>
      <c r="S644">
        <v>0.73530780878371693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0.73530780878371693</v>
      </c>
      <c r="AD644">
        <v>0.26469219121628307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1</v>
      </c>
      <c r="BK644">
        <v>0</v>
      </c>
      <c r="BL644">
        <v>0</v>
      </c>
      <c r="BM644">
        <v>1.3599746773451435</v>
      </c>
      <c r="BN644">
        <v>0.35997467734514355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0</v>
      </c>
      <c r="CF644">
        <v>1</v>
      </c>
      <c r="CG644">
        <v>1</v>
      </c>
    </row>
    <row r="645" spans="1:85" x14ac:dyDescent="0.25">
      <c r="A645" t="s">
        <v>128</v>
      </c>
      <c r="B645" t="s">
        <v>146</v>
      </c>
      <c r="C645" t="s">
        <v>72</v>
      </c>
      <c r="D645" s="12">
        <v>46236</v>
      </c>
      <c r="E645" t="s">
        <v>135</v>
      </c>
      <c r="F645" t="s">
        <v>135</v>
      </c>
      <c r="G645" t="s">
        <v>135</v>
      </c>
      <c r="H645" t="s">
        <v>75</v>
      </c>
      <c r="I645">
        <v>10</v>
      </c>
      <c r="J645">
        <v>1</v>
      </c>
      <c r="K645">
        <v>2.2486328293736499</v>
      </c>
      <c r="L645">
        <v>46236</v>
      </c>
      <c r="M645" t="s">
        <v>186</v>
      </c>
      <c r="N645">
        <v>0.95</v>
      </c>
      <c r="O645">
        <v>0.95</v>
      </c>
      <c r="P645">
        <v>2.0484429065743952</v>
      </c>
      <c r="Q645">
        <v>0.42247893368372624</v>
      </c>
      <c r="R645">
        <v>0.42247893368372624</v>
      </c>
      <c r="S645">
        <v>0.91097260513846667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0.48849367145474043</v>
      </c>
      <c r="AD645">
        <v>8.9027394861533327E-2</v>
      </c>
      <c r="AE645">
        <v>0</v>
      </c>
      <c r="AF645">
        <v>0</v>
      </c>
      <c r="AG645">
        <v>0</v>
      </c>
      <c r="AH645">
        <v>0.42247893368372624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2.3669819256564737</v>
      </c>
      <c r="AO645">
        <v>2.3669819256564737</v>
      </c>
      <c r="AP645">
        <v>2.1562556911309425</v>
      </c>
      <c r="BG645">
        <v>0</v>
      </c>
      <c r="BH645">
        <v>0</v>
      </c>
      <c r="BI645">
        <v>0</v>
      </c>
      <c r="BK645">
        <v>0.46376689189189169</v>
      </c>
      <c r="BL645">
        <v>0.46376689189189169</v>
      </c>
      <c r="BM645">
        <v>1.0977278508259876</v>
      </c>
      <c r="BN645">
        <v>9.7727850825987561E-2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0</v>
      </c>
      <c r="BV645">
        <v>0</v>
      </c>
      <c r="BW645">
        <v>0.57752106631627376</v>
      </c>
      <c r="BX645">
        <v>0</v>
      </c>
      <c r="BY645">
        <v>0</v>
      </c>
      <c r="BZ645">
        <v>0</v>
      </c>
      <c r="CA645">
        <v>0</v>
      </c>
      <c r="CB645">
        <v>0.46376689189189169</v>
      </c>
      <c r="CC645">
        <v>0</v>
      </c>
      <c r="CD645">
        <v>0</v>
      </c>
      <c r="CE645">
        <v>0</v>
      </c>
      <c r="CF645">
        <v>0</v>
      </c>
      <c r="CG645">
        <v>0</v>
      </c>
    </row>
    <row r="646" spans="1:85" x14ac:dyDescent="0.25">
      <c r="A646" t="s">
        <v>128</v>
      </c>
      <c r="B646" t="s">
        <v>146</v>
      </c>
      <c r="C646" t="s">
        <v>72</v>
      </c>
      <c r="D646" s="12">
        <v>46236</v>
      </c>
      <c r="E646" t="s">
        <v>135</v>
      </c>
      <c r="F646" t="s">
        <v>135</v>
      </c>
      <c r="G646" t="s">
        <v>135</v>
      </c>
      <c r="H646" t="s">
        <v>74</v>
      </c>
      <c r="I646">
        <v>10</v>
      </c>
      <c r="J646">
        <v>1</v>
      </c>
      <c r="K646">
        <v>1.2742252699784016</v>
      </c>
      <c r="L646">
        <v>46236</v>
      </c>
      <c r="M646" t="s">
        <v>187</v>
      </c>
      <c r="N646">
        <v>0</v>
      </c>
      <c r="O646">
        <v>0</v>
      </c>
      <c r="P646">
        <v>0.94117647058823517</v>
      </c>
      <c r="Q646">
        <v>0</v>
      </c>
      <c r="R646">
        <v>0</v>
      </c>
      <c r="S646">
        <v>0.73862643659875649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0.73862643659875649</v>
      </c>
      <c r="AD646">
        <v>0.26137356340124351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K646">
        <v>0</v>
      </c>
      <c r="BL646">
        <v>0</v>
      </c>
      <c r="BM646">
        <v>1.3538643493520519</v>
      </c>
      <c r="BN646">
        <v>0.35386434935205191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</row>
    <row r="647" spans="1:85" x14ac:dyDescent="0.25">
      <c r="A647" t="s">
        <v>128</v>
      </c>
      <c r="B647" t="s">
        <v>146</v>
      </c>
      <c r="C647" t="s">
        <v>72</v>
      </c>
      <c r="D647" s="12">
        <v>46236</v>
      </c>
      <c r="E647" t="s">
        <v>135</v>
      </c>
      <c r="F647" t="s">
        <v>135</v>
      </c>
      <c r="G647" t="s">
        <v>135</v>
      </c>
      <c r="H647" t="s">
        <v>73</v>
      </c>
      <c r="I647">
        <v>10</v>
      </c>
      <c r="J647">
        <v>1</v>
      </c>
      <c r="K647">
        <v>3.5134887958963272</v>
      </c>
      <c r="L647">
        <v>46236</v>
      </c>
      <c r="M647" t="s">
        <v>188</v>
      </c>
      <c r="N647">
        <v>4.75</v>
      </c>
      <c r="O647">
        <v>4.75</v>
      </c>
      <c r="P647">
        <v>2.9411764705882346</v>
      </c>
      <c r="Q647">
        <v>1.3519325877879242</v>
      </c>
      <c r="R647">
        <v>1.3519325877879242</v>
      </c>
      <c r="S647">
        <v>0.83710996147859074</v>
      </c>
      <c r="T647">
        <v>0</v>
      </c>
      <c r="U647">
        <v>0</v>
      </c>
      <c r="V647">
        <v>0.10193258778792424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0.25</v>
      </c>
      <c r="AC647">
        <v>0</v>
      </c>
      <c r="AD647">
        <v>0</v>
      </c>
      <c r="AE647">
        <v>0</v>
      </c>
      <c r="AF647">
        <v>0.16289003852140926</v>
      </c>
      <c r="AG647">
        <v>0</v>
      </c>
      <c r="AH647">
        <v>0.83710996147859074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0.73968185176764789</v>
      </c>
      <c r="AO647">
        <v>0.73968185176764789</v>
      </c>
      <c r="AP647">
        <v>0.6191950464396283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0.26031814823235211</v>
      </c>
      <c r="BB647">
        <v>0</v>
      </c>
      <c r="BC647">
        <v>0.12048680532801959</v>
      </c>
      <c r="BD647">
        <v>0</v>
      </c>
      <c r="BE647">
        <v>0.6191950464396283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1.6150000000000004</v>
      </c>
      <c r="BL647">
        <v>1.6150000000000004</v>
      </c>
      <c r="BM647">
        <v>1.1945861906047515</v>
      </c>
      <c r="CD647">
        <v>0</v>
      </c>
      <c r="CE647">
        <v>0</v>
      </c>
      <c r="CF647">
        <v>0</v>
      </c>
    </row>
    <row r="648" spans="1:85" x14ac:dyDescent="0.25">
      <c r="A648" t="s">
        <v>128</v>
      </c>
      <c r="B648" t="s">
        <v>146</v>
      </c>
      <c r="C648" t="s">
        <v>72</v>
      </c>
      <c r="D648" s="12">
        <v>46235</v>
      </c>
      <c r="E648" t="s">
        <v>135</v>
      </c>
      <c r="F648" t="s">
        <v>135</v>
      </c>
      <c r="G648" t="s">
        <v>135</v>
      </c>
      <c r="H648" t="s">
        <v>75</v>
      </c>
      <c r="I648">
        <v>10</v>
      </c>
      <c r="J648">
        <v>1</v>
      </c>
      <c r="K648">
        <v>2.2486328293736499</v>
      </c>
      <c r="L648">
        <v>46235</v>
      </c>
      <c r="M648" t="s">
        <v>189</v>
      </c>
      <c r="N648">
        <v>0.95</v>
      </c>
      <c r="O648">
        <v>0.95</v>
      </c>
      <c r="P648">
        <v>2.1591695501730106</v>
      </c>
      <c r="Q648">
        <v>0.42247893368372624</v>
      </c>
      <c r="R648">
        <v>0.42247893368372624</v>
      </c>
      <c r="S648">
        <v>0.96021436757838363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0.53773543389465739</v>
      </c>
      <c r="AD648">
        <v>3.9785632421616368E-2</v>
      </c>
      <c r="AE648">
        <v>0</v>
      </c>
      <c r="AF648">
        <v>0</v>
      </c>
      <c r="AG648">
        <v>0</v>
      </c>
      <c r="AH648">
        <v>0.42247893368372624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2.3669819256564737</v>
      </c>
      <c r="AO648">
        <v>2.3669819256564737</v>
      </c>
      <c r="AP648">
        <v>2.2728100528136954</v>
      </c>
      <c r="BG648">
        <v>0</v>
      </c>
      <c r="BH648">
        <v>0</v>
      </c>
      <c r="BI648">
        <v>0</v>
      </c>
      <c r="BK648">
        <v>0.43998397435897429</v>
      </c>
      <c r="BL648">
        <v>0.43998397435897429</v>
      </c>
      <c r="BM648">
        <v>1.0414341148861936</v>
      </c>
      <c r="BN648">
        <v>4.143411488619364E-2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0.57752106631627376</v>
      </c>
      <c r="BX648">
        <v>0</v>
      </c>
      <c r="BY648">
        <v>0</v>
      </c>
      <c r="BZ648">
        <v>0</v>
      </c>
      <c r="CA648">
        <v>0</v>
      </c>
      <c r="CB648">
        <v>0.43998397435897429</v>
      </c>
      <c r="CC648">
        <v>0</v>
      </c>
      <c r="CD648">
        <v>0</v>
      </c>
      <c r="CE648">
        <v>0</v>
      </c>
      <c r="CF648">
        <v>0</v>
      </c>
      <c r="CG648">
        <v>0</v>
      </c>
    </row>
    <row r="649" spans="1:85" x14ac:dyDescent="0.25">
      <c r="A649" t="s">
        <v>128</v>
      </c>
      <c r="B649" t="s">
        <v>146</v>
      </c>
      <c r="C649" t="s">
        <v>72</v>
      </c>
      <c r="D649" s="12">
        <v>46235</v>
      </c>
      <c r="E649" t="s">
        <v>135</v>
      </c>
      <c r="F649" t="s">
        <v>135</v>
      </c>
      <c r="G649" t="s">
        <v>135</v>
      </c>
      <c r="H649" t="s">
        <v>74</v>
      </c>
      <c r="I649">
        <v>10</v>
      </c>
      <c r="J649">
        <v>1</v>
      </c>
      <c r="K649">
        <v>1.2742252699784016</v>
      </c>
      <c r="L649">
        <v>46235</v>
      </c>
      <c r="M649" t="s">
        <v>190</v>
      </c>
      <c r="N649">
        <v>0</v>
      </c>
      <c r="O649">
        <v>0</v>
      </c>
      <c r="P649">
        <v>0.94117647058823517</v>
      </c>
      <c r="Q649">
        <v>0</v>
      </c>
      <c r="R649">
        <v>0</v>
      </c>
      <c r="S649">
        <v>0.73862643659875649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0.73862643659875649</v>
      </c>
      <c r="AD649">
        <v>0.26137356340124351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K649">
        <v>0</v>
      </c>
      <c r="BL649">
        <v>0</v>
      </c>
      <c r="BM649">
        <v>1.3538643493520519</v>
      </c>
      <c r="BN649">
        <v>0.35386434935205191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0</v>
      </c>
      <c r="BU649">
        <v>0</v>
      </c>
      <c r="BV649">
        <v>0</v>
      </c>
      <c r="BW649">
        <v>0</v>
      </c>
      <c r="BX649">
        <v>0</v>
      </c>
      <c r="BY649">
        <v>0</v>
      </c>
      <c r="BZ649">
        <v>0</v>
      </c>
      <c r="CA649">
        <v>0</v>
      </c>
      <c r="CB649">
        <v>0</v>
      </c>
      <c r="CC649">
        <v>0</v>
      </c>
      <c r="CD649">
        <v>0</v>
      </c>
      <c r="CE649">
        <v>0</v>
      </c>
      <c r="CF649">
        <v>0</v>
      </c>
      <c r="CG649">
        <v>0</v>
      </c>
    </row>
    <row r="650" spans="1:85" x14ac:dyDescent="0.25">
      <c r="A650" t="s">
        <v>128</v>
      </c>
      <c r="B650" t="s">
        <v>146</v>
      </c>
      <c r="C650" t="s">
        <v>72</v>
      </c>
      <c r="D650" s="12">
        <v>46235</v>
      </c>
      <c r="E650" t="s">
        <v>135</v>
      </c>
      <c r="F650" t="s">
        <v>135</v>
      </c>
      <c r="G650" t="s">
        <v>135</v>
      </c>
      <c r="H650" t="s">
        <v>73</v>
      </c>
      <c r="I650">
        <v>10</v>
      </c>
      <c r="J650">
        <v>1</v>
      </c>
      <c r="K650">
        <v>5.3405029697624178</v>
      </c>
      <c r="L650">
        <v>46235</v>
      </c>
      <c r="M650" t="s">
        <v>191</v>
      </c>
      <c r="N650">
        <v>4.75</v>
      </c>
      <c r="O650">
        <v>4.75</v>
      </c>
      <c r="P650">
        <v>4.3235294117647047</v>
      </c>
      <c r="Q650">
        <v>0.88942933407100278</v>
      </c>
      <c r="R650">
        <v>0.88942933407100278</v>
      </c>
      <c r="S650">
        <v>0.80957344958784749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0.11057066592899722</v>
      </c>
      <c r="AE650">
        <v>0</v>
      </c>
      <c r="AF650">
        <v>7.9855884483155282E-2</v>
      </c>
      <c r="AG650">
        <v>0</v>
      </c>
      <c r="AH650">
        <v>0.80957344958784749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1.1243164146868247</v>
      </c>
      <c r="AO650">
        <v>1.1243164146868247</v>
      </c>
      <c r="AP650">
        <v>0.91021671826625361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0.12431641468682475</v>
      </c>
      <c r="AZ650">
        <v>0</v>
      </c>
      <c r="BA650">
        <v>0</v>
      </c>
      <c r="BB650">
        <v>0</v>
      </c>
      <c r="BC650">
        <v>8.978328173374639E-2</v>
      </c>
      <c r="BD650">
        <v>0</v>
      </c>
      <c r="BE650">
        <v>0.91021671826625361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1.0986394557823131</v>
      </c>
      <c r="BL650">
        <v>1.0986394557823131</v>
      </c>
      <c r="BM650">
        <v>1.2352183739586549</v>
      </c>
      <c r="BN650">
        <v>0.13657891817634171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9.8639455782313146E-2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1</v>
      </c>
      <c r="CC650">
        <v>0</v>
      </c>
      <c r="CD650">
        <v>0</v>
      </c>
      <c r="CE650">
        <v>0</v>
      </c>
      <c r="CF650">
        <v>0</v>
      </c>
      <c r="CG650">
        <v>0</v>
      </c>
    </row>
    <row r="651" spans="1:85" x14ac:dyDescent="0.25">
      <c r="A651" t="s">
        <v>128</v>
      </c>
      <c r="B651" t="s">
        <v>146</v>
      </c>
      <c r="C651" t="s">
        <v>72</v>
      </c>
      <c r="D651" s="12">
        <v>46234</v>
      </c>
      <c r="E651" t="s">
        <v>135</v>
      </c>
      <c r="F651" t="s">
        <v>135</v>
      </c>
      <c r="G651" t="s">
        <v>135</v>
      </c>
      <c r="H651" t="s">
        <v>75</v>
      </c>
      <c r="I651">
        <v>10</v>
      </c>
      <c r="J651">
        <v>1</v>
      </c>
      <c r="K651">
        <v>2.2486328293736499</v>
      </c>
      <c r="L651">
        <v>46234</v>
      </c>
      <c r="M651" t="s">
        <v>192</v>
      </c>
      <c r="N651">
        <v>2.8499999999999996</v>
      </c>
      <c r="O651">
        <v>2.8499999999999996</v>
      </c>
      <c r="P651">
        <v>2.6538062283737021</v>
      </c>
      <c r="Q651">
        <v>1.2674368010511787</v>
      </c>
      <c r="R651">
        <v>1.2674368010511787</v>
      </c>
      <c r="S651">
        <v>1.1801865532279505</v>
      </c>
      <c r="T651">
        <v>0</v>
      </c>
      <c r="U651">
        <v>0</v>
      </c>
      <c r="V651">
        <v>1.743680105117873E-2</v>
      </c>
      <c r="W651">
        <v>0</v>
      </c>
      <c r="X651">
        <v>0</v>
      </c>
      <c r="Y651">
        <v>0</v>
      </c>
      <c r="Z651">
        <v>0.18018655322795052</v>
      </c>
      <c r="AA651">
        <v>0</v>
      </c>
      <c r="AB651">
        <v>6.9813446772049481E-2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1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0.78899397521882464</v>
      </c>
      <c r="AO651">
        <v>0.78899397521882464</v>
      </c>
      <c r="AP651">
        <v>0.93116008013112361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6.8839919868876387E-2</v>
      </c>
      <c r="BB651">
        <v>0</v>
      </c>
      <c r="BC651">
        <v>0</v>
      </c>
      <c r="BD651">
        <v>0</v>
      </c>
      <c r="BE651">
        <v>0.78899397521882464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1.0739292000782319</v>
      </c>
      <c r="BL651">
        <v>1.0739292000782319</v>
      </c>
      <c r="BM651">
        <v>0.84732366867329667</v>
      </c>
      <c r="BN651">
        <v>0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0</v>
      </c>
      <c r="BV651">
        <v>7.3929200078231894E-2</v>
      </c>
      <c r="BW651">
        <v>0</v>
      </c>
      <c r="BX651">
        <v>0</v>
      </c>
      <c r="BY651">
        <v>0</v>
      </c>
      <c r="BZ651">
        <v>0.15267633132670333</v>
      </c>
      <c r="CA651">
        <v>0</v>
      </c>
      <c r="CB651">
        <v>0.84732366867329667</v>
      </c>
      <c r="CC651">
        <v>0</v>
      </c>
      <c r="CD651">
        <v>0</v>
      </c>
      <c r="CE651">
        <v>0</v>
      </c>
      <c r="CF651">
        <v>0</v>
      </c>
      <c r="CG651">
        <v>0</v>
      </c>
    </row>
    <row r="652" spans="1:85" x14ac:dyDescent="0.25">
      <c r="A652" t="s">
        <v>128</v>
      </c>
      <c r="B652" t="s">
        <v>146</v>
      </c>
      <c r="C652" t="s">
        <v>72</v>
      </c>
      <c r="D652" s="12">
        <v>46234</v>
      </c>
      <c r="E652" t="s">
        <v>135</v>
      </c>
      <c r="F652" t="s">
        <v>135</v>
      </c>
      <c r="G652" t="s">
        <v>135</v>
      </c>
      <c r="H652" t="s">
        <v>74</v>
      </c>
      <c r="I652">
        <v>10</v>
      </c>
      <c r="J652">
        <v>1</v>
      </c>
      <c r="K652">
        <v>1.2742252699784016</v>
      </c>
      <c r="L652">
        <v>46234</v>
      </c>
      <c r="M652" t="s">
        <v>193</v>
      </c>
      <c r="N652">
        <v>0</v>
      </c>
      <c r="O652">
        <v>0</v>
      </c>
      <c r="P652">
        <v>0.94117647058823517</v>
      </c>
      <c r="Q652">
        <v>0</v>
      </c>
      <c r="R652">
        <v>0</v>
      </c>
      <c r="S652">
        <v>0.73862643659875649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0.73862643659875649</v>
      </c>
      <c r="AD652">
        <v>0.26137356340124351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K652">
        <v>0</v>
      </c>
      <c r="BL652">
        <v>0</v>
      </c>
      <c r="BM652">
        <v>1.3538643493520519</v>
      </c>
      <c r="BN652">
        <v>0.35386434935205191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0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</row>
    <row r="653" spans="1:85" x14ac:dyDescent="0.25">
      <c r="A653" t="s">
        <v>128</v>
      </c>
      <c r="B653" t="s">
        <v>146</v>
      </c>
      <c r="C653" t="s">
        <v>72</v>
      </c>
      <c r="D653" s="12">
        <v>46234</v>
      </c>
      <c r="E653" t="s">
        <v>135</v>
      </c>
      <c r="F653" t="s">
        <v>135</v>
      </c>
      <c r="G653" t="s">
        <v>135</v>
      </c>
      <c r="H653" t="s">
        <v>73</v>
      </c>
      <c r="I653">
        <v>10</v>
      </c>
      <c r="J653">
        <v>1</v>
      </c>
      <c r="K653">
        <v>4.5675354346652268</v>
      </c>
      <c r="L653">
        <v>46234</v>
      </c>
      <c r="M653" t="s">
        <v>216</v>
      </c>
      <c r="N653">
        <v>3.8</v>
      </c>
      <c r="O653">
        <v>3.8</v>
      </c>
      <c r="P653">
        <v>3.1104779411764705</v>
      </c>
      <c r="Q653">
        <v>0.83195851556179934</v>
      </c>
      <c r="R653">
        <v>0.83195851556179934</v>
      </c>
      <c r="S653">
        <v>0.68099700279707842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0.16804148443820066</v>
      </c>
      <c r="AE653">
        <v>0</v>
      </c>
      <c r="AF653">
        <v>0.15096151276472092</v>
      </c>
      <c r="AG653">
        <v>0</v>
      </c>
      <c r="AH653">
        <v>0.68099700279707842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1.2019830091224282</v>
      </c>
      <c r="AO653">
        <v>1.2019830091224282</v>
      </c>
      <c r="AP653">
        <v>0.81854682662538703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0.20198300912242817</v>
      </c>
      <c r="AZ653">
        <v>0</v>
      </c>
      <c r="BA653">
        <v>0</v>
      </c>
      <c r="BB653">
        <v>0</v>
      </c>
      <c r="BC653">
        <v>0.18145317337461297</v>
      </c>
      <c r="BD653">
        <v>0</v>
      </c>
      <c r="BE653">
        <v>0.81854682662538703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1.2216772058388985</v>
      </c>
      <c r="BL653">
        <v>1.2216772058388985</v>
      </c>
      <c r="BM653">
        <v>1.4684352440505191</v>
      </c>
      <c r="BN653">
        <v>0.24675803821162057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0.22167720583889849</v>
      </c>
      <c r="BU653">
        <v>0</v>
      </c>
      <c r="BV653">
        <v>0</v>
      </c>
      <c r="BW653">
        <v>0</v>
      </c>
      <c r="BX653">
        <v>0</v>
      </c>
      <c r="BY653">
        <v>0</v>
      </c>
      <c r="BZ653">
        <v>0</v>
      </c>
      <c r="CA653">
        <v>0</v>
      </c>
      <c r="CB653">
        <v>1</v>
      </c>
      <c r="CC653">
        <v>0</v>
      </c>
      <c r="CD653">
        <v>0</v>
      </c>
      <c r="CE653">
        <v>0</v>
      </c>
      <c r="CF653">
        <v>0</v>
      </c>
      <c r="CG653">
        <v>0</v>
      </c>
    </row>
    <row r="654" spans="1:85" x14ac:dyDescent="0.25">
      <c r="A654" t="s">
        <v>128</v>
      </c>
      <c r="B654" t="s">
        <v>146</v>
      </c>
      <c r="C654" t="s">
        <v>72</v>
      </c>
      <c r="D654" s="12">
        <v>46233</v>
      </c>
      <c r="E654" t="s">
        <v>135</v>
      </c>
      <c r="F654" t="s">
        <v>135</v>
      </c>
      <c r="G654" t="s">
        <v>135</v>
      </c>
      <c r="H654" t="s">
        <v>75</v>
      </c>
      <c r="I654">
        <v>10</v>
      </c>
      <c r="J654">
        <v>1</v>
      </c>
      <c r="K654">
        <v>3.3729492440604751</v>
      </c>
      <c r="L654">
        <v>46233</v>
      </c>
      <c r="M654" t="s">
        <v>236</v>
      </c>
      <c r="N654">
        <v>3.8</v>
      </c>
      <c r="O654">
        <v>3.8</v>
      </c>
      <c r="P654">
        <v>3.5949826989619371</v>
      </c>
      <c r="Q654">
        <v>1.1266104898232698</v>
      </c>
      <c r="R654">
        <v>1.1266104898232698</v>
      </c>
      <c r="S654">
        <v>1.0658276893114971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6.5827689311497073E-2</v>
      </c>
      <c r="AA654">
        <v>0</v>
      </c>
      <c r="AB654">
        <v>6.0782800511772761E-2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1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0.88761822212117769</v>
      </c>
      <c r="AO654">
        <v>0.88761822212117769</v>
      </c>
      <c r="AP654">
        <v>0.94604807867419405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5.3951921325805952E-2</v>
      </c>
      <c r="BB654">
        <v>0</v>
      </c>
      <c r="BC654">
        <v>0</v>
      </c>
      <c r="BD654">
        <v>0</v>
      </c>
      <c r="BE654">
        <v>0.88761822212117769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1.0570287309302662</v>
      </c>
      <c r="BL654">
        <v>1.0570287309302662</v>
      </c>
      <c r="BM654">
        <v>0.9382379628793277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0</v>
      </c>
      <c r="BU654">
        <v>0</v>
      </c>
      <c r="BV654">
        <v>5.7028730930266169E-2</v>
      </c>
      <c r="BW654">
        <v>0</v>
      </c>
      <c r="BX654">
        <v>0</v>
      </c>
      <c r="BY654">
        <v>0</v>
      </c>
      <c r="BZ654">
        <v>6.1762037120672297E-2</v>
      </c>
      <c r="CA654">
        <v>0</v>
      </c>
      <c r="CB654">
        <v>0.9382379628793277</v>
      </c>
      <c r="CC654">
        <v>0</v>
      </c>
      <c r="CD654">
        <v>0</v>
      </c>
      <c r="CE654">
        <v>0</v>
      </c>
      <c r="CF654">
        <v>0</v>
      </c>
      <c r="CG654">
        <v>0</v>
      </c>
    </row>
    <row r="655" spans="1:85" x14ac:dyDescent="0.25">
      <c r="A655" t="s">
        <v>128</v>
      </c>
      <c r="B655" t="s">
        <v>146</v>
      </c>
      <c r="C655" t="s">
        <v>72</v>
      </c>
      <c r="D655" s="12">
        <v>46233</v>
      </c>
      <c r="E655" t="s">
        <v>135</v>
      </c>
      <c r="F655" t="s">
        <v>135</v>
      </c>
      <c r="G655" t="s">
        <v>135</v>
      </c>
      <c r="H655" t="s">
        <v>74</v>
      </c>
      <c r="I655">
        <v>10</v>
      </c>
      <c r="J655">
        <v>1</v>
      </c>
      <c r="K655">
        <v>1.2742252699784016</v>
      </c>
      <c r="L655">
        <v>46233</v>
      </c>
      <c r="M655" t="s">
        <v>237</v>
      </c>
      <c r="N655">
        <v>0</v>
      </c>
      <c r="O655">
        <v>0</v>
      </c>
      <c r="P655">
        <v>0.94117647058823517</v>
      </c>
      <c r="Q655">
        <v>0</v>
      </c>
      <c r="R655">
        <v>0</v>
      </c>
      <c r="S655">
        <v>0.73862643659875649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0.73862643659875649</v>
      </c>
      <c r="AD655">
        <v>0.26137356340124351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K655">
        <v>0</v>
      </c>
      <c r="BL655">
        <v>0</v>
      </c>
      <c r="BM655">
        <v>1.3538643493520519</v>
      </c>
      <c r="BN655">
        <v>0.35386434935205191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0</v>
      </c>
      <c r="BV655">
        <v>0</v>
      </c>
      <c r="BW655">
        <v>0</v>
      </c>
      <c r="BX655">
        <v>0</v>
      </c>
      <c r="BY655">
        <v>0</v>
      </c>
      <c r="BZ655">
        <v>0</v>
      </c>
      <c r="CA655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</row>
    <row r="656" spans="1:85" x14ac:dyDescent="0.25">
      <c r="A656" t="s">
        <v>128</v>
      </c>
      <c r="B656" t="s">
        <v>146</v>
      </c>
      <c r="C656" t="s">
        <v>72</v>
      </c>
      <c r="D656" s="12">
        <v>46233</v>
      </c>
      <c r="E656" t="s">
        <v>135</v>
      </c>
      <c r="F656" t="s">
        <v>135</v>
      </c>
      <c r="G656" t="s">
        <v>135</v>
      </c>
      <c r="H656" t="s">
        <v>73</v>
      </c>
      <c r="I656">
        <v>10</v>
      </c>
      <c r="J656">
        <v>1</v>
      </c>
      <c r="K656">
        <v>5.7621216252699776</v>
      </c>
      <c r="L656">
        <v>46233</v>
      </c>
      <c r="M656" t="s">
        <v>238</v>
      </c>
      <c r="N656">
        <v>2.8499999999999996</v>
      </c>
      <c r="O656">
        <v>2.8499999999999996</v>
      </c>
      <c r="P656">
        <v>4.1104779411764714</v>
      </c>
      <c r="Q656">
        <v>0.49460948333704535</v>
      </c>
      <c r="R656">
        <v>0.49460948333704535</v>
      </c>
      <c r="S656">
        <v>0.71336188447495319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0.21875240113790784</v>
      </c>
      <c r="AD656">
        <v>0.28663811552504681</v>
      </c>
      <c r="AE656">
        <v>0</v>
      </c>
      <c r="AF656">
        <v>0</v>
      </c>
      <c r="AG656">
        <v>0</v>
      </c>
      <c r="AH656">
        <v>0.49460948333704535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2.0217970614982379</v>
      </c>
      <c r="AO656">
        <v>2.0217970614982379</v>
      </c>
      <c r="AP656">
        <v>1.4422729618163059</v>
      </c>
      <c r="BG656">
        <v>0</v>
      </c>
      <c r="BH656">
        <v>0</v>
      </c>
      <c r="BI656">
        <v>0</v>
      </c>
      <c r="BK656">
        <v>0.69335002906846721</v>
      </c>
      <c r="BL656">
        <v>0.69335002906846721</v>
      </c>
      <c r="BM656">
        <v>1.4018130513603448</v>
      </c>
      <c r="BN656">
        <v>0.40181305136034484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0</v>
      </c>
      <c r="BU656">
        <v>0</v>
      </c>
      <c r="BV656">
        <v>0</v>
      </c>
      <c r="BW656">
        <v>0.50539051666295465</v>
      </c>
      <c r="BX656">
        <v>0</v>
      </c>
      <c r="BY656">
        <v>0</v>
      </c>
      <c r="BZ656">
        <v>0</v>
      </c>
      <c r="CA656">
        <v>0</v>
      </c>
      <c r="CB656">
        <v>0.69335002906846721</v>
      </c>
      <c r="CC656">
        <v>0</v>
      </c>
      <c r="CD656">
        <v>0</v>
      </c>
      <c r="CE656">
        <v>0</v>
      </c>
      <c r="CF656">
        <v>0</v>
      </c>
      <c r="CG656">
        <v>0</v>
      </c>
    </row>
    <row r="657" spans="1:85" x14ac:dyDescent="0.25">
      <c r="A657" t="s">
        <v>128</v>
      </c>
      <c r="B657" t="s">
        <v>146</v>
      </c>
      <c r="C657" t="s">
        <v>72</v>
      </c>
      <c r="D657" s="12">
        <v>46232</v>
      </c>
      <c r="E657" t="s">
        <v>135</v>
      </c>
      <c r="F657" t="s">
        <v>135</v>
      </c>
      <c r="G657" t="s">
        <v>135</v>
      </c>
      <c r="H657" t="s">
        <v>75</v>
      </c>
      <c r="I657">
        <v>10</v>
      </c>
      <c r="J657">
        <v>1</v>
      </c>
      <c r="K657">
        <v>2.2486328293736499</v>
      </c>
      <c r="L657">
        <v>46232</v>
      </c>
      <c r="M657" t="s">
        <v>239</v>
      </c>
      <c r="N657">
        <v>4.75</v>
      </c>
      <c r="O657">
        <v>4.75</v>
      </c>
      <c r="P657">
        <v>2.5449826989619382</v>
      </c>
      <c r="Q657">
        <v>2.1123946684186312</v>
      </c>
      <c r="R657">
        <v>2.1123946684186312</v>
      </c>
      <c r="S657">
        <v>1.1317911335799697</v>
      </c>
      <c r="T657">
        <v>0</v>
      </c>
      <c r="U657">
        <v>0</v>
      </c>
      <c r="V657">
        <v>0.86239466841863122</v>
      </c>
      <c r="W657">
        <v>0</v>
      </c>
      <c r="X657">
        <v>0</v>
      </c>
      <c r="Y657">
        <v>0</v>
      </c>
      <c r="Z657">
        <v>0.13179113357996974</v>
      </c>
      <c r="AA657">
        <v>0</v>
      </c>
      <c r="AB657">
        <v>0.11820886642003026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1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0.47339638513129473</v>
      </c>
      <c r="AO657">
        <v>0.47339638513129473</v>
      </c>
      <c r="AP657">
        <v>0.53578583136040803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0.46421416863959197</v>
      </c>
      <c r="BB657">
        <v>0</v>
      </c>
      <c r="BC657">
        <v>0</v>
      </c>
      <c r="BD657">
        <v>0</v>
      </c>
      <c r="BE657">
        <v>0.47339638513129473</v>
      </c>
      <c r="BF657">
        <v>0</v>
      </c>
      <c r="BG657">
        <v>0</v>
      </c>
      <c r="BH657">
        <v>0</v>
      </c>
      <c r="BI657">
        <v>0</v>
      </c>
      <c r="BJ657">
        <v>0</v>
      </c>
      <c r="BK657">
        <v>1.8664174031271241</v>
      </c>
      <c r="BL657">
        <v>1.8664174031271241</v>
      </c>
      <c r="BM657">
        <v>0.88355525178651895</v>
      </c>
      <c r="CD657">
        <v>0</v>
      </c>
      <c r="CE657">
        <v>0</v>
      </c>
      <c r="CF657">
        <v>0</v>
      </c>
    </row>
    <row r="658" spans="1:85" x14ac:dyDescent="0.25">
      <c r="A658" t="s">
        <v>128</v>
      </c>
      <c r="B658" t="s">
        <v>146</v>
      </c>
      <c r="C658" t="s">
        <v>72</v>
      </c>
      <c r="D658" s="12">
        <v>46232</v>
      </c>
      <c r="E658" t="s">
        <v>135</v>
      </c>
      <c r="F658" t="s">
        <v>135</v>
      </c>
      <c r="G658" t="s">
        <v>135</v>
      </c>
      <c r="H658" t="s">
        <v>74</v>
      </c>
      <c r="I658">
        <v>10</v>
      </c>
      <c r="J658">
        <v>1</v>
      </c>
      <c r="K658">
        <v>1.2742252699784016</v>
      </c>
      <c r="L658">
        <v>46232</v>
      </c>
      <c r="M658" t="s">
        <v>240</v>
      </c>
      <c r="N658">
        <v>0</v>
      </c>
      <c r="O658">
        <v>0</v>
      </c>
      <c r="P658">
        <v>0.94117647058823517</v>
      </c>
      <c r="Q658">
        <v>0</v>
      </c>
      <c r="R658">
        <v>0</v>
      </c>
      <c r="S658">
        <v>0.73862643659875649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0.73862643659875649</v>
      </c>
      <c r="AD658">
        <v>0.26137356340124351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>
        <v>0</v>
      </c>
      <c r="BK658">
        <v>0</v>
      </c>
      <c r="BL658">
        <v>0</v>
      </c>
      <c r="BM658">
        <v>1.3538643493520519</v>
      </c>
      <c r="BN658">
        <v>0.35386434935205191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0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</row>
    <row r="659" spans="1:85" x14ac:dyDescent="0.25">
      <c r="A659" t="s">
        <v>128</v>
      </c>
      <c r="B659" t="s">
        <v>146</v>
      </c>
      <c r="C659" t="s">
        <v>72</v>
      </c>
      <c r="D659" s="12">
        <v>46232</v>
      </c>
      <c r="E659" t="s">
        <v>135</v>
      </c>
      <c r="F659" t="s">
        <v>135</v>
      </c>
      <c r="G659" t="s">
        <v>135</v>
      </c>
      <c r="H659" t="s">
        <v>73</v>
      </c>
      <c r="I659">
        <v>10</v>
      </c>
      <c r="J659">
        <v>1</v>
      </c>
      <c r="K659">
        <v>5.8323914011879054</v>
      </c>
      <c r="L659">
        <v>46232</v>
      </c>
      <c r="M659" t="s">
        <v>241</v>
      </c>
      <c r="N659">
        <v>3.8</v>
      </c>
      <c r="O659">
        <v>3.8</v>
      </c>
      <c r="P659">
        <v>4.2886029411764683</v>
      </c>
      <c r="Q659">
        <v>0.65153377724719219</v>
      </c>
      <c r="R659">
        <v>0.65153377724719219</v>
      </c>
      <c r="S659">
        <v>0.73530780878371649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8.3774031536524296E-2</v>
      </c>
      <c r="AD659">
        <v>0.26469219121628351</v>
      </c>
      <c r="AE659">
        <v>0</v>
      </c>
      <c r="AF659">
        <v>0</v>
      </c>
      <c r="AG659">
        <v>0</v>
      </c>
      <c r="AH659">
        <v>0.65153377724719219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1.53483984241787</v>
      </c>
      <c r="AO659">
        <v>1.53483984241787</v>
      </c>
      <c r="AP659">
        <v>1.1285797213622286</v>
      </c>
      <c r="BG659">
        <v>0</v>
      </c>
      <c r="BH659">
        <v>0</v>
      </c>
      <c r="BI659">
        <v>0</v>
      </c>
      <c r="BK659">
        <v>0.88606943849121345</v>
      </c>
      <c r="BL659">
        <v>0.88606943849121345</v>
      </c>
      <c r="BM659">
        <v>1.3599746773451447</v>
      </c>
      <c r="BN659">
        <v>0.35997467734514466</v>
      </c>
      <c r="BO659">
        <v>0</v>
      </c>
      <c r="BP659">
        <v>0</v>
      </c>
      <c r="BQ659">
        <v>0</v>
      </c>
      <c r="BR659">
        <v>0</v>
      </c>
      <c r="BS659">
        <v>0</v>
      </c>
      <c r="BT659">
        <v>0</v>
      </c>
      <c r="BU659">
        <v>0</v>
      </c>
      <c r="BV659">
        <v>0</v>
      </c>
      <c r="BW659">
        <v>0.34846622275280781</v>
      </c>
      <c r="BX659">
        <v>0</v>
      </c>
      <c r="BY659">
        <v>0</v>
      </c>
      <c r="BZ659">
        <v>0</v>
      </c>
      <c r="CA659">
        <v>0</v>
      </c>
      <c r="CB659">
        <v>0.88606943849121345</v>
      </c>
      <c r="CC659">
        <v>0</v>
      </c>
      <c r="CD659">
        <v>0</v>
      </c>
      <c r="CE659">
        <v>0</v>
      </c>
      <c r="CF659">
        <v>0</v>
      </c>
      <c r="CG659">
        <v>0</v>
      </c>
    </row>
    <row r="660" spans="1:85" x14ac:dyDescent="0.25">
      <c r="A660" t="s">
        <v>128</v>
      </c>
      <c r="B660" t="s">
        <v>146</v>
      </c>
      <c r="C660" t="s">
        <v>72</v>
      </c>
      <c r="D660" s="12">
        <v>46231</v>
      </c>
      <c r="E660" t="s">
        <v>135</v>
      </c>
      <c r="F660" t="s">
        <v>135</v>
      </c>
      <c r="G660" t="s">
        <v>135</v>
      </c>
      <c r="H660" t="s">
        <v>75</v>
      </c>
      <c r="I660">
        <v>10</v>
      </c>
      <c r="J660">
        <v>1</v>
      </c>
      <c r="K660">
        <v>3.3729492440604751</v>
      </c>
      <c r="L660">
        <v>46231</v>
      </c>
      <c r="M660" t="s">
        <v>234</v>
      </c>
      <c r="N660">
        <v>1.9</v>
      </c>
      <c r="O660">
        <v>1.9</v>
      </c>
      <c r="P660">
        <v>3.5415224913494807</v>
      </c>
      <c r="Q660">
        <v>0.56330524491163492</v>
      </c>
      <c r="R660">
        <v>0.56330524491163492</v>
      </c>
      <c r="S660">
        <v>1.0499779970261489</v>
      </c>
      <c r="T660">
        <v>4.9977997026148913E-2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0.43669475508836508</v>
      </c>
      <c r="AD660">
        <v>0</v>
      </c>
      <c r="AE660">
        <v>0</v>
      </c>
      <c r="AF660">
        <v>0</v>
      </c>
      <c r="AG660">
        <v>0</v>
      </c>
      <c r="AH660">
        <v>0.56330524491163492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1.7752364442423554</v>
      </c>
      <c r="AO660">
        <v>1.7752364442423554</v>
      </c>
      <c r="AP660">
        <v>1.8639592059734109</v>
      </c>
      <c r="BG660">
        <v>0</v>
      </c>
      <c r="BH660">
        <v>0</v>
      </c>
      <c r="BI660">
        <v>0</v>
      </c>
      <c r="BK660">
        <v>0.53649242794333174</v>
      </c>
      <c r="BL660">
        <v>0.53649242794333174</v>
      </c>
      <c r="BM660">
        <v>0.95240091014506822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0</v>
      </c>
      <c r="BV660">
        <v>0</v>
      </c>
      <c r="BW660">
        <v>0</v>
      </c>
      <c r="BX660">
        <v>4.7599089854931775E-2</v>
      </c>
      <c r="BY660">
        <v>0</v>
      </c>
      <c r="BZ660">
        <v>0</v>
      </c>
      <c r="CA660">
        <v>0</v>
      </c>
      <c r="CB660">
        <v>0.53649242794333174</v>
      </c>
      <c r="CC660">
        <v>0</v>
      </c>
      <c r="CD660">
        <v>0</v>
      </c>
      <c r="CE660">
        <v>0</v>
      </c>
      <c r="CF660">
        <v>0</v>
      </c>
      <c r="CG660">
        <v>0</v>
      </c>
    </row>
    <row r="661" spans="1:85" x14ac:dyDescent="0.25">
      <c r="A661" t="s">
        <v>128</v>
      </c>
      <c r="B661" t="s">
        <v>146</v>
      </c>
      <c r="C661" t="s">
        <v>72</v>
      </c>
      <c r="D661" s="12">
        <v>46231</v>
      </c>
      <c r="E661" t="s">
        <v>135</v>
      </c>
      <c r="F661" t="s">
        <v>135</v>
      </c>
      <c r="G661" t="s">
        <v>135</v>
      </c>
      <c r="H661" t="s">
        <v>74</v>
      </c>
      <c r="I661">
        <v>10</v>
      </c>
      <c r="J661">
        <v>1</v>
      </c>
      <c r="K661">
        <v>1.2742252699784016</v>
      </c>
      <c r="L661">
        <v>46231</v>
      </c>
      <c r="M661" t="s">
        <v>233</v>
      </c>
      <c r="N661">
        <v>0</v>
      </c>
      <c r="O661">
        <v>0</v>
      </c>
      <c r="P661">
        <v>0.94117647058823517</v>
      </c>
      <c r="Q661">
        <v>0</v>
      </c>
      <c r="R661">
        <v>0</v>
      </c>
      <c r="S661">
        <v>0.73862643659875649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0.73862643659875649</v>
      </c>
      <c r="AD661">
        <v>0.26137356340124351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F661">
        <v>0</v>
      </c>
      <c r="BG661">
        <v>0</v>
      </c>
      <c r="BH661">
        <v>0</v>
      </c>
      <c r="BI661">
        <v>0</v>
      </c>
      <c r="BK661">
        <v>0</v>
      </c>
      <c r="BL661">
        <v>0</v>
      </c>
      <c r="BM661">
        <v>1.3538643493520519</v>
      </c>
      <c r="BN661">
        <v>0.35386434935205191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0</v>
      </c>
      <c r="BV661">
        <v>0</v>
      </c>
      <c r="BW661">
        <v>0</v>
      </c>
      <c r="BX661">
        <v>0</v>
      </c>
      <c r="BY661">
        <v>0</v>
      </c>
      <c r="BZ661">
        <v>0</v>
      </c>
      <c r="CA661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</row>
    <row r="662" spans="1:85" x14ac:dyDescent="0.25">
      <c r="A662" t="s">
        <v>128</v>
      </c>
      <c r="B662" t="s">
        <v>146</v>
      </c>
      <c r="C662" t="s">
        <v>72</v>
      </c>
      <c r="D662" s="12">
        <v>46231</v>
      </c>
      <c r="E662" t="s">
        <v>135</v>
      </c>
      <c r="F662" t="s">
        <v>135</v>
      </c>
      <c r="G662" t="s">
        <v>135</v>
      </c>
      <c r="H662" t="s">
        <v>73</v>
      </c>
      <c r="I662">
        <v>10</v>
      </c>
      <c r="J662">
        <v>1</v>
      </c>
      <c r="K662">
        <v>7.0269775917926545</v>
      </c>
      <c r="L662">
        <v>46231</v>
      </c>
      <c r="M662" t="s">
        <v>217</v>
      </c>
      <c r="N662">
        <v>4.75</v>
      </c>
      <c r="O662">
        <v>4.75</v>
      </c>
      <c r="P662">
        <v>5.2297794117647047</v>
      </c>
      <c r="Q662">
        <v>0.67596629389396212</v>
      </c>
      <c r="R662">
        <v>0.67596629389396212</v>
      </c>
      <c r="S662">
        <v>0.74424307512705956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6.8276781233097439E-2</v>
      </c>
      <c r="AD662">
        <v>0.25575692487294044</v>
      </c>
      <c r="AE662">
        <v>0</v>
      </c>
      <c r="AF662">
        <v>0</v>
      </c>
      <c r="AG662">
        <v>0</v>
      </c>
      <c r="AH662">
        <v>0.67596629389396212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1.4793637035352958</v>
      </c>
      <c r="AO662">
        <v>1.4793637035352958</v>
      </c>
      <c r="AP662">
        <v>1.1010061919504641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0.10100619195046412</v>
      </c>
      <c r="AX662">
        <v>0</v>
      </c>
      <c r="AY662">
        <v>0.37835751158483166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1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0.90826010544815483</v>
      </c>
      <c r="BL662">
        <v>0.90826010544815483</v>
      </c>
      <c r="BM662">
        <v>1.3436470333691406</v>
      </c>
      <c r="BN662">
        <v>0.3436470333691406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0.32403370610603788</v>
      </c>
      <c r="BX662">
        <v>0</v>
      </c>
      <c r="BY662">
        <v>0</v>
      </c>
      <c r="BZ662">
        <v>0</v>
      </c>
      <c r="CA662">
        <v>0</v>
      </c>
      <c r="CB662">
        <v>0.90826010544815483</v>
      </c>
      <c r="CC662">
        <v>0</v>
      </c>
      <c r="CD662">
        <v>0</v>
      </c>
      <c r="CE662">
        <v>0</v>
      </c>
      <c r="CF662">
        <v>0</v>
      </c>
      <c r="CG662">
        <v>0</v>
      </c>
    </row>
    <row r="663" spans="1:85" x14ac:dyDescent="0.25">
      <c r="A663" t="s">
        <v>128</v>
      </c>
      <c r="B663" t="s">
        <v>146</v>
      </c>
      <c r="C663" t="s">
        <v>72</v>
      </c>
      <c r="D663" s="12">
        <v>46240</v>
      </c>
      <c r="E663" t="s">
        <v>135</v>
      </c>
      <c r="F663" t="s">
        <v>135</v>
      </c>
      <c r="G663" t="s">
        <v>135</v>
      </c>
      <c r="H663" t="s">
        <v>73</v>
      </c>
      <c r="I663">
        <v>10</v>
      </c>
      <c r="J663">
        <v>1</v>
      </c>
      <c r="K663">
        <v>5.9729309530237575</v>
      </c>
      <c r="L663">
        <v>46240</v>
      </c>
      <c r="M663" t="s">
        <v>194</v>
      </c>
      <c r="N663">
        <v>0</v>
      </c>
      <c r="O663">
        <v>0</v>
      </c>
      <c r="P663">
        <v>3.9419504643962866</v>
      </c>
      <c r="Q663">
        <v>0</v>
      </c>
      <c r="R663">
        <v>0</v>
      </c>
      <c r="S663">
        <v>0.65996920028025763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0.65996920028025763</v>
      </c>
      <c r="AD663">
        <v>0.34003079971974237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1</v>
      </c>
      <c r="BK663">
        <v>0</v>
      </c>
      <c r="BL663">
        <v>0</v>
      </c>
      <c r="BM663">
        <v>1.5152222248785963</v>
      </c>
      <c r="BN663">
        <v>0.51522222487859626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0</v>
      </c>
      <c r="BV663">
        <v>0</v>
      </c>
      <c r="BW663">
        <v>0</v>
      </c>
      <c r="BX663">
        <v>0</v>
      </c>
      <c r="BY663">
        <v>0</v>
      </c>
      <c r="BZ663">
        <v>0</v>
      </c>
      <c r="CA663">
        <v>0</v>
      </c>
      <c r="CB663">
        <v>0</v>
      </c>
      <c r="CC663">
        <v>0</v>
      </c>
      <c r="CD663">
        <v>0</v>
      </c>
      <c r="CE663">
        <v>0</v>
      </c>
      <c r="CF663">
        <v>1</v>
      </c>
      <c r="CG663">
        <v>1</v>
      </c>
    </row>
    <row r="664" spans="1:85" x14ac:dyDescent="0.25">
      <c r="A664" t="s">
        <v>128</v>
      </c>
      <c r="B664" t="s">
        <v>146</v>
      </c>
      <c r="C664" t="s">
        <v>72</v>
      </c>
      <c r="D664" s="12">
        <v>46240</v>
      </c>
      <c r="E664" t="s">
        <v>135</v>
      </c>
      <c r="F664" t="s">
        <v>135</v>
      </c>
      <c r="G664" t="s">
        <v>135</v>
      </c>
      <c r="H664" t="s">
        <v>74</v>
      </c>
      <c r="I664">
        <v>10</v>
      </c>
      <c r="J664">
        <v>1</v>
      </c>
      <c r="K664">
        <v>1.2742252699784016</v>
      </c>
      <c r="L664">
        <v>46240</v>
      </c>
      <c r="M664" t="s">
        <v>195</v>
      </c>
      <c r="N664">
        <v>0</v>
      </c>
      <c r="O664">
        <v>0</v>
      </c>
      <c r="P664">
        <v>0.94117647058823517</v>
      </c>
      <c r="Q664">
        <v>0</v>
      </c>
      <c r="R664">
        <v>0</v>
      </c>
      <c r="S664">
        <v>0.73862643659875649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0.73862643659875649</v>
      </c>
      <c r="AD664">
        <v>0.26137356340124351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F664">
        <v>0</v>
      </c>
      <c r="BG664">
        <v>0</v>
      </c>
      <c r="BH664">
        <v>0</v>
      </c>
      <c r="BI664">
        <v>0</v>
      </c>
      <c r="BK664">
        <v>0</v>
      </c>
      <c r="BL664">
        <v>0</v>
      </c>
      <c r="BM664">
        <v>1.3538643493520519</v>
      </c>
      <c r="BN664">
        <v>0.35386434935205191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</row>
    <row r="665" spans="1:85" x14ac:dyDescent="0.25">
      <c r="A665" t="s">
        <v>128</v>
      </c>
      <c r="B665" t="s">
        <v>146</v>
      </c>
      <c r="C665" t="s">
        <v>72</v>
      </c>
      <c r="D665" s="12">
        <v>46240</v>
      </c>
      <c r="E665" t="s">
        <v>135</v>
      </c>
      <c r="F665" t="s">
        <v>135</v>
      </c>
      <c r="G665" t="s">
        <v>135</v>
      </c>
      <c r="H665" t="s">
        <v>75</v>
      </c>
      <c r="I665">
        <v>10</v>
      </c>
      <c r="J665">
        <v>1</v>
      </c>
      <c r="K665">
        <v>3.505221763435395</v>
      </c>
      <c r="L665">
        <v>46240</v>
      </c>
      <c r="M665" t="s">
        <v>213</v>
      </c>
      <c r="N665">
        <v>0</v>
      </c>
      <c r="O665">
        <v>0</v>
      </c>
      <c r="P665">
        <v>3.1065379712256411</v>
      </c>
      <c r="Q665">
        <v>0</v>
      </c>
      <c r="R665">
        <v>0</v>
      </c>
      <c r="S665">
        <v>0.88626003741942638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0.88626003741942638</v>
      </c>
      <c r="AD665">
        <v>0.11373996258057362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>
        <v>0</v>
      </c>
      <c r="AM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F665">
        <v>0</v>
      </c>
      <c r="BG665">
        <v>0</v>
      </c>
      <c r="BH665">
        <v>0</v>
      </c>
      <c r="BI665">
        <v>1</v>
      </c>
      <c r="BK665">
        <v>0</v>
      </c>
      <c r="BL665">
        <v>0</v>
      </c>
      <c r="BM665">
        <v>1.1283370092052856</v>
      </c>
      <c r="BN665">
        <v>0.12833700920528557</v>
      </c>
      <c r="BO665">
        <v>0</v>
      </c>
      <c r="BP665">
        <v>0</v>
      </c>
      <c r="BQ665">
        <v>0</v>
      </c>
      <c r="BR665">
        <v>0</v>
      </c>
      <c r="BS665">
        <v>0</v>
      </c>
      <c r="BT665">
        <v>0</v>
      </c>
      <c r="BU665">
        <v>0</v>
      </c>
      <c r="BV665">
        <v>0</v>
      </c>
      <c r="BW665">
        <v>0</v>
      </c>
      <c r="BX665">
        <v>0</v>
      </c>
      <c r="BY665">
        <v>0</v>
      </c>
      <c r="BZ665">
        <v>0</v>
      </c>
      <c r="CA665">
        <v>0</v>
      </c>
      <c r="CB665">
        <v>0</v>
      </c>
      <c r="CC665">
        <v>0</v>
      </c>
      <c r="CD665">
        <v>0</v>
      </c>
      <c r="CE665">
        <v>0</v>
      </c>
      <c r="CF665">
        <v>1</v>
      </c>
      <c r="CG665">
        <v>1</v>
      </c>
    </row>
    <row r="666" spans="1:85" x14ac:dyDescent="0.25">
      <c r="A666" t="s">
        <v>128</v>
      </c>
      <c r="B666" t="s">
        <v>146</v>
      </c>
      <c r="C666" t="s">
        <v>72</v>
      </c>
      <c r="D666" s="12">
        <v>46241</v>
      </c>
      <c r="E666" t="s">
        <v>135</v>
      </c>
      <c r="F666" t="s">
        <v>135</v>
      </c>
      <c r="G666" t="s">
        <v>135</v>
      </c>
      <c r="H666" t="s">
        <v>73</v>
      </c>
      <c r="I666">
        <v>10</v>
      </c>
      <c r="J666">
        <v>1</v>
      </c>
      <c r="K666">
        <v>4.7783447624190067</v>
      </c>
      <c r="L666">
        <v>46241</v>
      </c>
      <c r="M666" t="s">
        <v>212</v>
      </c>
      <c r="N666">
        <v>0</v>
      </c>
      <c r="O666">
        <v>0</v>
      </c>
      <c r="P666">
        <v>2.8823529411764706</v>
      </c>
      <c r="Q666">
        <v>0</v>
      </c>
      <c r="R666">
        <v>0</v>
      </c>
      <c r="S666">
        <v>0.60321158988898438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0.60321158988898438</v>
      </c>
      <c r="AD666">
        <v>0.39678841011101562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F666">
        <v>0</v>
      </c>
      <c r="BG666">
        <v>0</v>
      </c>
      <c r="BH666">
        <v>0</v>
      </c>
      <c r="BI666">
        <v>1</v>
      </c>
      <c r="BK666">
        <v>0</v>
      </c>
      <c r="BL666">
        <v>0</v>
      </c>
      <c r="BM666">
        <v>1.6577930808392471</v>
      </c>
      <c r="BN666">
        <v>0.65779308083924715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0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0</v>
      </c>
      <c r="CF666">
        <v>1</v>
      </c>
      <c r="CG666">
        <v>1</v>
      </c>
    </row>
    <row r="667" spans="1:85" x14ac:dyDescent="0.25">
      <c r="A667" t="s">
        <v>128</v>
      </c>
      <c r="B667" t="s">
        <v>146</v>
      </c>
      <c r="C667" t="s">
        <v>72</v>
      </c>
      <c r="D667" s="12">
        <v>46250</v>
      </c>
      <c r="E667" t="s">
        <v>135</v>
      </c>
      <c r="F667" t="s">
        <v>135</v>
      </c>
      <c r="G667" t="s">
        <v>135</v>
      </c>
      <c r="H667" t="s">
        <v>74</v>
      </c>
      <c r="I667">
        <v>10</v>
      </c>
      <c r="J667">
        <v>1</v>
      </c>
      <c r="K667">
        <v>1.2742252699784016</v>
      </c>
      <c r="L667">
        <v>46250</v>
      </c>
      <c r="M667" t="s">
        <v>173</v>
      </c>
      <c r="N667">
        <v>0</v>
      </c>
      <c r="O667">
        <v>0</v>
      </c>
      <c r="P667">
        <v>0.94117647058823517</v>
      </c>
      <c r="Q667">
        <v>0</v>
      </c>
      <c r="R667">
        <v>0</v>
      </c>
      <c r="S667">
        <v>0.73862643659875649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0.73862643659875649</v>
      </c>
      <c r="AD667">
        <v>0.26137356340124351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>
        <v>0</v>
      </c>
      <c r="AM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K667">
        <v>0</v>
      </c>
      <c r="BL667">
        <v>0</v>
      </c>
      <c r="BM667">
        <v>1.3538643493520519</v>
      </c>
      <c r="BN667">
        <v>0.35386434935205191</v>
      </c>
      <c r="BO667">
        <v>0</v>
      </c>
      <c r="BP667">
        <v>0</v>
      </c>
      <c r="BQ667">
        <v>0</v>
      </c>
      <c r="BR667">
        <v>0</v>
      </c>
      <c r="BS667">
        <v>0</v>
      </c>
      <c r="BT667">
        <v>0</v>
      </c>
      <c r="BU667">
        <v>0</v>
      </c>
      <c r="BV667">
        <v>0</v>
      </c>
      <c r="BW667">
        <v>0</v>
      </c>
      <c r="BX667">
        <v>0</v>
      </c>
      <c r="BY667">
        <v>0</v>
      </c>
      <c r="BZ667">
        <v>0</v>
      </c>
      <c r="CA667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</row>
    <row r="668" spans="1:85" x14ac:dyDescent="0.25">
      <c r="A668" t="s">
        <v>128</v>
      </c>
      <c r="B668" t="s">
        <v>146</v>
      </c>
      <c r="C668" t="s">
        <v>72</v>
      </c>
      <c r="D668" s="12">
        <v>46250</v>
      </c>
      <c r="E668" t="s">
        <v>135</v>
      </c>
      <c r="F668" t="s">
        <v>135</v>
      </c>
      <c r="G668" t="s">
        <v>135</v>
      </c>
      <c r="H668" t="s">
        <v>73</v>
      </c>
      <c r="I668">
        <v>10</v>
      </c>
      <c r="J668">
        <v>1</v>
      </c>
      <c r="K668">
        <v>3.5134887958963272</v>
      </c>
      <c r="L668">
        <v>46250</v>
      </c>
      <c r="M668" t="s">
        <v>171</v>
      </c>
      <c r="N668">
        <v>0</v>
      </c>
      <c r="O668">
        <v>0</v>
      </c>
      <c r="P668">
        <v>2.9411764705882346</v>
      </c>
      <c r="Q668">
        <v>0</v>
      </c>
      <c r="R668">
        <v>0</v>
      </c>
      <c r="S668">
        <v>0.83710996147859074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0.83710996147859074</v>
      </c>
      <c r="AD668">
        <v>0.16289003852140926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>
        <v>0</v>
      </c>
      <c r="AM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1</v>
      </c>
      <c r="BK668">
        <v>0</v>
      </c>
      <c r="BL668">
        <v>0</v>
      </c>
      <c r="BM668">
        <v>1.1945861906047515</v>
      </c>
      <c r="BN668">
        <v>0.19458619060475146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1</v>
      </c>
      <c r="CG668">
        <v>1</v>
      </c>
    </row>
    <row r="669" spans="1:85" x14ac:dyDescent="0.25">
      <c r="A669" t="s">
        <v>128</v>
      </c>
      <c r="B669" t="s">
        <v>146</v>
      </c>
      <c r="C669" t="s">
        <v>72</v>
      </c>
      <c r="D669" s="12">
        <v>46249</v>
      </c>
      <c r="E669" t="s">
        <v>135</v>
      </c>
      <c r="F669" t="s">
        <v>135</v>
      </c>
      <c r="G669" t="s">
        <v>135</v>
      </c>
      <c r="H669" t="s">
        <v>75</v>
      </c>
      <c r="I669">
        <v>10</v>
      </c>
      <c r="J669">
        <v>1</v>
      </c>
      <c r="K669">
        <v>2.2486328293736499</v>
      </c>
      <c r="L669">
        <v>46249</v>
      </c>
      <c r="M669" t="s">
        <v>170</v>
      </c>
      <c r="N669">
        <v>0</v>
      </c>
      <c r="O669">
        <v>0</v>
      </c>
      <c r="P669">
        <v>2.1591695501730106</v>
      </c>
      <c r="Q669">
        <v>0</v>
      </c>
      <c r="R669">
        <v>0</v>
      </c>
      <c r="S669">
        <v>0.96021436757838363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0.96021436757838363</v>
      </c>
      <c r="AD669">
        <v>3.9785632421616368E-2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0</v>
      </c>
      <c r="AL669">
        <v>0</v>
      </c>
      <c r="AM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1</v>
      </c>
      <c r="BK669">
        <v>0</v>
      </c>
      <c r="BL669">
        <v>0</v>
      </c>
      <c r="BM669">
        <v>1.0414341148861936</v>
      </c>
      <c r="BN669">
        <v>4.143411488619364E-2</v>
      </c>
      <c r="BO669">
        <v>0</v>
      </c>
      <c r="BP669">
        <v>0</v>
      </c>
      <c r="BQ669">
        <v>0</v>
      </c>
      <c r="BR669">
        <v>0</v>
      </c>
      <c r="BS669">
        <v>0</v>
      </c>
      <c r="BT669">
        <v>0</v>
      </c>
      <c r="BU669">
        <v>0</v>
      </c>
      <c r="BV669">
        <v>0</v>
      </c>
      <c r="BW669">
        <v>0</v>
      </c>
      <c r="BX669">
        <v>0</v>
      </c>
      <c r="BY669">
        <v>0</v>
      </c>
      <c r="BZ669">
        <v>0</v>
      </c>
      <c r="CA669">
        <v>0</v>
      </c>
      <c r="CB669">
        <v>0</v>
      </c>
      <c r="CC669">
        <v>0</v>
      </c>
      <c r="CD669">
        <v>0</v>
      </c>
      <c r="CE669">
        <v>0</v>
      </c>
      <c r="CF669">
        <v>1</v>
      </c>
      <c r="CG669">
        <v>1</v>
      </c>
    </row>
    <row r="670" spans="1:85" x14ac:dyDescent="0.25">
      <c r="A670" t="s">
        <v>128</v>
      </c>
      <c r="B670" t="s">
        <v>146</v>
      </c>
      <c r="C670" t="s">
        <v>72</v>
      </c>
      <c r="D670" s="12">
        <v>46249</v>
      </c>
      <c r="E670" t="s">
        <v>135</v>
      </c>
      <c r="F670" t="s">
        <v>135</v>
      </c>
      <c r="G670" t="s">
        <v>135</v>
      </c>
      <c r="H670" t="s">
        <v>74</v>
      </c>
      <c r="I670">
        <v>10</v>
      </c>
      <c r="J670">
        <v>1</v>
      </c>
      <c r="K670">
        <v>1.2742252699784016</v>
      </c>
      <c r="L670">
        <v>46249</v>
      </c>
      <c r="M670" t="s">
        <v>167</v>
      </c>
      <c r="N670">
        <v>0</v>
      </c>
      <c r="O670">
        <v>0</v>
      </c>
      <c r="P670">
        <v>0.94117647058823517</v>
      </c>
      <c r="Q670">
        <v>0</v>
      </c>
      <c r="R670">
        <v>0</v>
      </c>
      <c r="S670">
        <v>0.73862643659875649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0.73862643659875649</v>
      </c>
      <c r="AD670">
        <v>0.26137356340124351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K670">
        <v>0</v>
      </c>
      <c r="BL670">
        <v>0</v>
      </c>
      <c r="BM670">
        <v>1.3538643493520519</v>
      </c>
      <c r="BN670">
        <v>0.35386434935205191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</row>
    <row r="671" spans="1:85" x14ac:dyDescent="0.25">
      <c r="A671" t="s">
        <v>128</v>
      </c>
      <c r="B671" t="s">
        <v>146</v>
      </c>
      <c r="C671" t="s">
        <v>72</v>
      </c>
      <c r="D671" s="12">
        <v>46249</v>
      </c>
      <c r="E671" t="s">
        <v>135</v>
      </c>
      <c r="F671" t="s">
        <v>135</v>
      </c>
      <c r="G671" t="s">
        <v>135</v>
      </c>
      <c r="H671" t="s">
        <v>73</v>
      </c>
      <c r="I671">
        <v>10</v>
      </c>
      <c r="J671">
        <v>1</v>
      </c>
      <c r="K671">
        <v>5.3405029697624178</v>
      </c>
      <c r="L671">
        <v>46249</v>
      </c>
      <c r="M671" t="s">
        <v>158</v>
      </c>
      <c r="N671">
        <v>0</v>
      </c>
      <c r="O671">
        <v>0</v>
      </c>
      <c r="P671">
        <v>4.3235294117647038</v>
      </c>
      <c r="Q671">
        <v>0</v>
      </c>
      <c r="R671">
        <v>0</v>
      </c>
      <c r="S671">
        <v>0.80957344958784738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0.80957344958784738</v>
      </c>
      <c r="AD671">
        <v>0.19042655041215262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1</v>
      </c>
      <c r="BK671">
        <v>0</v>
      </c>
      <c r="BL671">
        <v>0</v>
      </c>
      <c r="BM671">
        <v>1.2352183739586551</v>
      </c>
      <c r="BN671">
        <v>0.23521837395865508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1</v>
      </c>
      <c r="CG671">
        <v>1</v>
      </c>
    </row>
    <row r="672" spans="1:85" x14ac:dyDescent="0.25">
      <c r="A672" t="s">
        <v>128</v>
      </c>
      <c r="B672" t="s">
        <v>146</v>
      </c>
      <c r="C672" t="s">
        <v>72</v>
      </c>
      <c r="D672" s="12">
        <v>46248</v>
      </c>
      <c r="E672" t="s">
        <v>135</v>
      </c>
      <c r="F672" t="s">
        <v>135</v>
      </c>
      <c r="G672" t="s">
        <v>135</v>
      </c>
      <c r="H672" t="s">
        <v>75</v>
      </c>
      <c r="I672">
        <v>10</v>
      </c>
      <c r="J672">
        <v>1</v>
      </c>
      <c r="K672">
        <v>2.2486328293736499</v>
      </c>
      <c r="L672">
        <v>46248</v>
      </c>
      <c r="M672" t="s">
        <v>159</v>
      </c>
      <c r="N672">
        <v>0</v>
      </c>
      <c r="O672">
        <v>0</v>
      </c>
      <c r="P672">
        <v>2.6538062283737021</v>
      </c>
      <c r="Q672">
        <v>0</v>
      </c>
      <c r="R672">
        <v>0</v>
      </c>
      <c r="S672">
        <v>1.1801865532279505</v>
      </c>
      <c r="T672">
        <v>0.18018655322795052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1</v>
      </c>
      <c r="AM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1</v>
      </c>
      <c r="BJ672">
        <v>1</v>
      </c>
      <c r="BK672">
        <v>0</v>
      </c>
      <c r="BL672">
        <v>0</v>
      </c>
      <c r="BM672">
        <v>0.84732366867329667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0</v>
      </c>
      <c r="BV672">
        <v>0</v>
      </c>
      <c r="BW672">
        <v>0</v>
      </c>
      <c r="BX672">
        <v>0.15267633132670333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0</v>
      </c>
      <c r="CF672">
        <v>0.84732366867329667</v>
      </c>
      <c r="CG672">
        <v>0</v>
      </c>
    </row>
    <row r="673" spans="1:85" x14ac:dyDescent="0.25">
      <c r="A673" t="s">
        <v>128</v>
      </c>
      <c r="B673" t="s">
        <v>146</v>
      </c>
      <c r="C673" t="s">
        <v>72</v>
      </c>
      <c r="D673" s="12">
        <v>46248</v>
      </c>
      <c r="E673" t="s">
        <v>135</v>
      </c>
      <c r="F673" t="s">
        <v>135</v>
      </c>
      <c r="G673" t="s">
        <v>135</v>
      </c>
      <c r="H673" t="s">
        <v>74</v>
      </c>
      <c r="I673">
        <v>10</v>
      </c>
      <c r="J673">
        <v>1</v>
      </c>
      <c r="K673">
        <v>1.2742252699784016</v>
      </c>
      <c r="L673">
        <v>46248</v>
      </c>
      <c r="M673" t="s">
        <v>161</v>
      </c>
      <c r="N673">
        <v>0</v>
      </c>
      <c r="O673">
        <v>0</v>
      </c>
      <c r="P673">
        <v>0.94117647058823517</v>
      </c>
      <c r="Q673">
        <v>0</v>
      </c>
      <c r="R673">
        <v>0</v>
      </c>
      <c r="S673">
        <v>0.73862643659875649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0.73862643659875649</v>
      </c>
      <c r="AD673">
        <v>0.26137356340124351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  <c r="AL673">
        <v>0</v>
      </c>
      <c r="AM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K673">
        <v>0</v>
      </c>
      <c r="BL673">
        <v>0</v>
      </c>
      <c r="BM673">
        <v>1.3538643493520519</v>
      </c>
      <c r="BN673">
        <v>0.35386434935205191</v>
      </c>
      <c r="BO673">
        <v>0</v>
      </c>
      <c r="BP673">
        <v>0</v>
      </c>
      <c r="BQ673">
        <v>0</v>
      </c>
      <c r="BR673">
        <v>0</v>
      </c>
      <c r="BS673">
        <v>0</v>
      </c>
      <c r="BT673">
        <v>0</v>
      </c>
      <c r="BU673">
        <v>0</v>
      </c>
      <c r="BV673">
        <v>0</v>
      </c>
      <c r="BW673">
        <v>0</v>
      </c>
      <c r="BX673">
        <v>0</v>
      </c>
      <c r="BY673">
        <v>0</v>
      </c>
      <c r="BZ673">
        <v>0</v>
      </c>
      <c r="CA673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</row>
    <row r="674" spans="1:85" x14ac:dyDescent="0.25">
      <c r="A674" t="s">
        <v>128</v>
      </c>
      <c r="B674" t="s">
        <v>146</v>
      </c>
      <c r="C674" t="s">
        <v>72</v>
      </c>
      <c r="D674" s="12">
        <v>46248</v>
      </c>
      <c r="E674" t="s">
        <v>135</v>
      </c>
      <c r="F674" t="s">
        <v>135</v>
      </c>
      <c r="G674" t="s">
        <v>135</v>
      </c>
      <c r="H674" t="s">
        <v>73</v>
      </c>
      <c r="I674">
        <v>10</v>
      </c>
      <c r="J674">
        <v>1</v>
      </c>
      <c r="K674">
        <v>4.5675354346652259</v>
      </c>
      <c r="L674">
        <v>46248</v>
      </c>
      <c r="M674" t="s">
        <v>162</v>
      </c>
      <c r="N674">
        <v>0</v>
      </c>
      <c r="O674">
        <v>0</v>
      </c>
      <c r="P674">
        <v>3.1104779411764705</v>
      </c>
      <c r="Q674">
        <v>0</v>
      </c>
      <c r="R674">
        <v>0</v>
      </c>
      <c r="S674">
        <v>0.68099700279707864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0.68099700279707864</v>
      </c>
      <c r="AD674">
        <v>0.31900299720292136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  <c r="AL674">
        <v>0</v>
      </c>
      <c r="AM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1</v>
      </c>
      <c r="BK674">
        <v>0</v>
      </c>
      <c r="BL674">
        <v>0</v>
      </c>
      <c r="BM674">
        <v>1.4684352440505188</v>
      </c>
      <c r="BN674">
        <v>0.46843524405051884</v>
      </c>
      <c r="BO674">
        <v>0</v>
      </c>
      <c r="BP674">
        <v>0</v>
      </c>
      <c r="BQ674">
        <v>0</v>
      </c>
      <c r="BR674">
        <v>0</v>
      </c>
      <c r="BS674">
        <v>0</v>
      </c>
      <c r="BT674">
        <v>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0</v>
      </c>
      <c r="CF674">
        <v>1</v>
      </c>
      <c r="CG674">
        <v>1</v>
      </c>
    </row>
    <row r="675" spans="1:85" x14ac:dyDescent="0.25">
      <c r="A675" t="s">
        <v>128</v>
      </c>
      <c r="B675" t="s">
        <v>146</v>
      </c>
      <c r="C675" t="s">
        <v>72</v>
      </c>
      <c r="D675" s="12">
        <v>46247</v>
      </c>
      <c r="E675" t="s">
        <v>135</v>
      </c>
      <c r="F675" t="s">
        <v>135</v>
      </c>
      <c r="G675" t="s">
        <v>135</v>
      </c>
      <c r="H675" t="s">
        <v>75</v>
      </c>
      <c r="I675">
        <v>10</v>
      </c>
      <c r="J675">
        <v>1</v>
      </c>
      <c r="K675">
        <v>3.3729492440604751</v>
      </c>
      <c r="L675">
        <v>46247</v>
      </c>
      <c r="M675" t="s">
        <v>164</v>
      </c>
      <c r="N675">
        <v>0</v>
      </c>
      <c r="O675">
        <v>0</v>
      </c>
      <c r="P675">
        <v>3.5949826989619371</v>
      </c>
      <c r="Q675">
        <v>0</v>
      </c>
      <c r="R675">
        <v>0</v>
      </c>
      <c r="S675">
        <v>1.0658276893114971</v>
      </c>
      <c r="T675">
        <v>6.5827689311497073E-2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0</v>
      </c>
      <c r="AL675">
        <v>1</v>
      </c>
      <c r="AM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0</v>
      </c>
      <c r="BH675">
        <v>0</v>
      </c>
      <c r="BI675">
        <v>1</v>
      </c>
      <c r="BJ675">
        <v>1</v>
      </c>
      <c r="BK675">
        <v>0</v>
      </c>
      <c r="BL675">
        <v>0</v>
      </c>
      <c r="BM675">
        <v>0.9382379628793277</v>
      </c>
      <c r="BN675">
        <v>0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0</v>
      </c>
      <c r="BV675">
        <v>0</v>
      </c>
      <c r="BW675">
        <v>0</v>
      </c>
      <c r="BX675">
        <v>6.1762037120672297E-2</v>
      </c>
      <c r="BY675">
        <v>0</v>
      </c>
      <c r="BZ675">
        <v>0</v>
      </c>
      <c r="CA675">
        <v>0</v>
      </c>
      <c r="CB675">
        <v>0</v>
      </c>
      <c r="CC675">
        <v>0</v>
      </c>
      <c r="CD675">
        <v>0</v>
      </c>
      <c r="CE675">
        <v>0</v>
      </c>
      <c r="CF675">
        <v>0.9382379628793277</v>
      </c>
      <c r="CG675">
        <v>0</v>
      </c>
    </row>
    <row r="676" spans="1:85" x14ac:dyDescent="0.25">
      <c r="A676" t="s">
        <v>128</v>
      </c>
      <c r="B676" t="s">
        <v>146</v>
      </c>
      <c r="C676" t="s">
        <v>72</v>
      </c>
      <c r="D676" s="12">
        <v>46247</v>
      </c>
      <c r="E676" t="s">
        <v>135</v>
      </c>
      <c r="F676" t="s">
        <v>135</v>
      </c>
      <c r="G676" t="s">
        <v>135</v>
      </c>
      <c r="H676" t="s">
        <v>74</v>
      </c>
      <c r="I676">
        <v>10</v>
      </c>
      <c r="J676">
        <v>1</v>
      </c>
      <c r="K676">
        <v>1.2742252699784016</v>
      </c>
      <c r="L676">
        <v>46247</v>
      </c>
      <c r="M676" t="s">
        <v>165</v>
      </c>
      <c r="N676">
        <v>0</v>
      </c>
      <c r="O676">
        <v>0</v>
      </c>
      <c r="P676">
        <v>0.94117647058823517</v>
      </c>
      <c r="Q676">
        <v>0</v>
      </c>
      <c r="R676">
        <v>0</v>
      </c>
      <c r="S676">
        <v>0.73862643659875649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0.73862643659875649</v>
      </c>
      <c r="AD676">
        <v>0.26137356340124351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  <c r="AL676">
        <v>0</v>
      </c>
      <c r="AM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K676">
        <v>0</v>
      </c>
      <c r="BL676">
        <v>0</v>
      </c>
      <c r="BM676">
        <v>1.3538643493520519</v>
      </c>
      <c r="BN676">
        <v>0.35386434935205191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</row>
    <row r="677" spans="1:85" x14ac:dyDescent="0.25">
      <c r="A677" t="s">
        <v>128</v>
      </c>
      <c r="B677" t="s">
        <v>146</v>
      </c>
      <c r="C677" t="s">
        <v>72</v>
      </c>
      <c r="D677" s="12">
        <v>46247</v>
      </c>
      <c r="E677" t="s">
        <v>135</v>
      </c>
      <c r="F677" t="s">
        <v>135</v>
      </c>
      <c r="G677" t="s">
        <v>135</v>
      </c>
      <c r="H677" t="s">
        <v>73</v>
      </c>
      <c r="I677">
        <v>10</v>
      </c>
      <c r="J677">
        <v>1</v>
      </c>
      <c r="K677">
        <v>5.7621216252699776</v>
      </c>
      <c r="L677">
        <v>46247</v>
      </c>
      <c r="M677" t="s">
        <v>177</v>
      </c>
      <c r="N677">
        <v>0</v>
      </c>
      <c r="O677">
        <v>0</v>
      </c>
      <c r="P677">
        <v>4.1104779411764714</v>
      </c>
      <c r="Q677">
        <v>0</v>
      </c>
      <c r="R677">
        <v>0</v>
      </c>
      <c r="S677">
        <v>0.71336188447495319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0.71336188447495319</v>
      </c>
      <c r="AD677">
        <v>0.28663811552504681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  <c r="AL677">
        <v>0</v>
      </c>
      <c r="AM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1</v>
      </c>
      <c r="BK677">
        <v>0</v>
      </c>
      <c r="BL677">
        <v>0</v>
      </c>
      <c r="BM677">
        <v>1.4018130513603448</v>
      </c>
      <c r="BN677">
        <v>0.40181305136034484</v>
      </c>
      <c r="BO677">
        <v>0</v>
      </c>
      <c r="BP677">
        <v>0</v>
      </c>
      <c r="BQ677">
        <v>0</v>
      </c>
      <c r="BR677">
        <v>0</v>
      </c>
      <c r="BS677">
        <v>0</v>
      </c>
      <c r="BT677">
        <v>0</v>
      </c>
      <c r="BU677">
        <v>0</v>
      </c>
      <c r="BV677">
        <v>0</v>
      </c>
      <c r="BW677">
        <v>0</v>
      </c>
      <c r="BX677">
        <v>0</v>
      </c>
      <c r="BY677">
        <v>0</v>
      </c>
      <c r="BZ677">
        <v>0</v>
      </c>
      <c r="CA677">
        <v>0</v>
      </c>
      <c r="CB677">
        <v>0</v>
      </c>
      <c r="CC677">
        <v>0</v>
      </c>
      <c r="CD677">
        <v>0</v>
      </c>
      <c r="CE677">
        <v>0</v>
      </c>
      <c r="CF677">
        <v>1</v>
      </c>
      <c r="CG677">
        <v>1</v>
      </c>
    </row>
    <row r="678" spans="1:85" x14ac:dyDescent="0.25">
      <c r="A678" t="s">
        <v>128</v>
      </c>
      <c r="B678" t="s">
        <v>146</v>
      </c>
      <c r="C678" t="s">
        <v>72</v>
      </c>
      <c r="D678" s="12">
        <v>46246</v>
      </c>
      <c r="E678" t="s">
        <v>135</v>
      </c>
      <c r="F678" t="s">
        <v>135</v>
      </c>
      <c r="G678" t="s">
        <v>135</v>
      </c>
      <c r="H678" t="s">
        <v>75</v>
      </c>
      <c r="I678">
        <v>10</v>
      </c>
      <c r="J678">
        <v>1</v>
      </c>
      <c r="K678">
        <v>2.2486328293736499</v>
      </c>
      <c r="L678">
        <v>46246</v>
      </c>
      <c r="M678" t="s">
        <v>204</v>
      </c>
      <c r="N678">
        <v>0</v>
      </c>
      <c r="O678">
        <v>0</v>
      </c>
      <c r="P678">
        <v>2.5449826989619373</v>
      </c>
      <c r="Q678">
        <v>0</v>
      </c>
      <c r="R678">
        <v>0</v>
      </c>
      <c r="S678">
        <v>1.1317911335799695</v>
      </c>
      <c r="T678">
        <v>0.13179113357996952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>
        <v>1</v>
      </c>
      <c r="AM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1</v>
      </c>
      <c r="BJ678">
        <v>1</v>
      </c>
      <c r="BK678">
        <v>0</v>
      </c>
      <c r="BL678">
        <v>0</v>
      </c>
      <c r="BM678">
        <v>0.88355525178651928</v>
      </c>
      <c r="BN678">
        <v>0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0</v>
      </c>
      <c r="BV678">
        <v>0</v>
      </c>
      <c r="BW678">
        <v>0</v>
      </c>
      <c r="BX678">
        <v>0.11644474821348072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0</v>
      </c>
      <c r="CF678">
        <v>0.88355525178651928</v>
      </c>
      <c r="CG678">
        <v>0</v>
      </c>
    </row>
    <row r="679" spans="1:85" x14ac:dyDescent="0.25">
      <c r="A679" t="s">
        <v>128</v>
      </c>
      <c r="B679" t="s">
        <v>146</v>
      </c>
      <c r="C679" t="s">
        <v>72</v>
      </c>
      <c r="D679" s="12">
        <v>46246</v>
      </c>
      <c r="E679" t="s">
        <v>135</v>
      </c>
      <c r="F679" t="s">
        <v>135</v>
      </c>
      <c r="G679" t="s">
        <v>135</v>
      </c>
      <c r="H679" t="s">
        <v>74</v>
      </c>
      <c r="I679">
        <v>10</v>
      </c>
      <c r="J679">
        <v>1</v>
      </c>
      <c r="K679">
        <v>1.2742252699784016</v>
      </c>
      <c r="L679">
        <v>46246</v>
      </c>
      <c r="M679" t="s">
        <v>196</v>
      </c>
      <c r="N679">
        <v>0</v>
      </c>
      <c r="O679">
        <v>0</v>
      </c>
      <c r="P679">
        <v>0.94117647058823517</v>
      </c>
      <c r="Q679">
        <v>0</v>
      </c>
      <c r="R679">
        <v>0</v>
      </c>
      <c r="S679">
        <v>0.73862643659875649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0.73862643659875649</v>
      </c>
      <c r="AD679">
        <v>0.26137356340124351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>
        <v>0</v>
      </c>
      <c r="AM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K679">
        <v>0</v>
      </c>
      <c r="BL679">
        <v>0</v>
      </c>
      <c r="BM679">
        <v>1.3538643493520519</v>
      </c>
      <c r="BN679">
        <v>0.35386434935205191</v>
      </c>
      <c r="BO679">
        <v>0</v>
      </c>
      <c r="BP679">
        <v>0</v>
      </c>
      <c r="BQ679">
        <v>0</v>
      </c>
      <c r="BR679">
        <v>0</v>
      </c>
      <c r="BS679">
        <v>0</v>
      </c>
      <c r="BT679">
        <v>0</v>
      </c>
      <c r="BU679">
        <v>0</v>
      </c>
      <c r="BV679">
        <v>0</v>
      </c>
      <c r="BW679">
        <v>0</v>
      </c>
      <c r="BX679">
        <v>0</v>
      </c>
      <c r="BY679">
        <v>0</v>
      </c>
      <c r="BZ679">
        <v>0</v>
      </c>
      <c r="CA679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</row>
    <row r="680" spans="1:85" x14ac:dyDescent="0.25">
      <c r="A680" t="s">
        <v>128</v>
      </c>
      <c r="B680" t="s">
        <v>146</v>
      </c>
      <c r="C680" t="s">
        <v>72</v>
      </c>
      <c r="D680" s="12">
        <v>46230</v>
      </c>
      <c r="E680" t="s">
        <v>135</v>
      </c>
      <c r="F680" t="s">
        <v>135</v>
      </c>
      <c r="G680" t="s">
        <v>135</v>
      </c>
      <c r="H680" t="s">
        <v>75</v>
      </c>
      <c r="I680">
        <v>10</v>
      </c>
      <c r="J680">
        <v>1</v>
      </c>
      <c r="K680">
        <v>3.3729492440604751</v>
      </c>
      <c r="L680">
        <v>46230</v>
      </c>
      <c r="M680" t="s">
        <v>218</v>
      </c>
      <c r="N680">
        <v>3.8</v>
      </c>
      <c r="O680">
        <v>3.8</v>
      </c>
      <c r="P680">
        <v>3.1548442906574392</v>
      </c>
      <c r="Q680">
        <v>1.1266104898232698</v>
      </c>
      <c r="R680">
        <v>1.1266104898232698</v>
      </c>
      <c r="S680">
        <v>0.93533701884571685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0.12661048982326983</v>
      </c>
      <c r="AC680">
        <v>0</v>
      </c>
      <c r="AD680">
        <v>0</v>
      </c>
      <c r="AE680">
        <v>0</v>
      </c>
      <c r="AF680">
        <v>6.466298115428315E-2</v>
      </c>
      <c r="AG680">
        <v>0</v>
      </c>
      <c r="AH680">
        <v>0.93533701884571685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0.88761822212117769</v>
      </c>
      <c r="AO680">
        <v>0.88761822212117769</v>
      </c>
      <c r="AP680">
        <v>0.83022218175195772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0.11238177787882231</v>
      </c>
      <c r="BB680">
        <v>0</v>
      </c>
      <c r="BC680">
        <v>5.7396040369219969E-2</v>
      </c>
      <c r="BD680">
        <v>0</v>
      </c>
      <c r="BE680">
        <v>0.83022218175195772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1.2044968467233343</v>
      </c>
      <c r="BL680">
        <v>1.2044968467233343</v>
      </c>
      <c r="BM680">
        <v>1.0691333496391306</v>
      </c>
      <c r="BN680">
        <v>0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6.9133349639130648E-2</v>
      </c>
      <c r="BU680">
        <v>0</v>
      </c>
      <c r="BV680">
        <v>0.1353634970842037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1</v>
      </c>
      <c r="CC680">
        <v>0</v>
      </c>
      <c r="CD680">
        <v>0</v>
      </c>
      <c r="CE680">
        <v>0</v>
      </c>
      <c r="CF680">
        <v>0</v>
      </c>
      <c r="CG680">
        <v>0</v>
      </c>
    </row>
    <row r="681" spans="1:85" x14ac:dyDescent="0.25">
      <c r="A681" t="s">
        <v>128</v>
      </c>
      <c r="B681" t="s">
        <v>146</v>
      </c>
      <c r="C681" t="s">
        <v>72</v>
      </c>
      <c r="D681" s="12">
        <v>46246</v>
      </c>
      <c r="E681" t="s">
        <v>135</v>
      </c>
      <c r="F681" t="s">
        <v>135</v>
      </c>
      <c r="G681" t="s">
        <v>135</v>
      </c>
      <c r="H681" t="s">
        <v>73</v>
      </c>
      <c r="I681">
        <v>10</v>
      </c>
      <c r="J681">
        <v>1</v>
      </c>
      <c r="K681">
        <v>5.8323914011879037</v>
      </c>
      <c r="L681">
        <v>46246</v>
      </c>
      <c r="M681" t="s">
        <v>197</v>
      </c>
      <c r="N681">
        <v>0</v>
      </c>
      <c r="O681">
        <v>0</v>
      </c>
      <c r="P681">
        <v>4.2886029411764692</v>
      </c>
      <c r="Q681">
        <v>0</v>
      </c>
      <c r="R681">
        <v>0</v>
      </c>
      <c r="S681">
        <v>0.73530780878371682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0.73530780878371682</v>
      </c>
      <c r="AD681">
        <v>0.26469219121628318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1</v>
      </c>
      <c r="BK681">
        <v>0</v>
      </c>
      <c r="BL681">
        <v>0</v>
      </c>
      <c r="BM681">
        <v>1.3599746773451438</v>
      </c>
      <c r="BN681">
        <v>0.35997467734514377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0</v>
      </c>
      <c r="CB681">
        <v>0</v>
      </c>
      <c r="CC681">
        <v>0</v>
      </c>
      <c r="CD681">
        <v>0</v>
      </c>
      <c r="CE681">
        <v>0</v>
      </c>
      <c r="CF681">
        <v>1</v>
      </c>
      <c r="CG681">
        <v>1</v>
      </c>
    </row>
    <row r="682" spans="1:85" x14ac:dyDescent="0.25">
      <c r="A682" t="s">
        <v>128</v>
      </c>
      <c r="B682" t="s">
        <v>146</v>
      </c>
      <c r="C682" t="s">
        <v>72</v>
      </c>
      <c r="D682" s="12">
        <v>46245</v>
      </c>
      <c r="E682" t="s">
        <v>135</v>
      </c>
      <c r="F682" t="s">
        <v>135</v>
      </c>
      <c r="G682" t="s">
        <v>135</v>
      </c>
      <c r="H682" t="s">
        <v>74</v>
      </c>
      <c r="I682">
        <v>10</v>
      </c>
      <c r="J682">
        <v>1</v>
      </c>
      <c r="K682">
        <v>1.2742252699784016</v>
      </c>
      <c r="L682">
        <v>46245</v>
      </c>
      <c r="M682" t="s">
        <v>199</v>
      </c>
      <c r="N682">
        <v>0</v>
      </c>
      <c r="O682">
        <v>0</v>
      </c>
      <c r="P682">
        <v>0.94117647058823517</v>
      </c>
      <c r="Q682">
        <v>0</v>
      </c>
      <c r="R682">
        <v>0</v>
      </c>
      <c r="S682">
        <v>0.73862643659875649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0.73862643659875649</v>
      </c>
      <c r="AD682">
        <v>0.26137356340124351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K682">
        <v>0</v>
      </c>
      <c r="BL682">
        <v>0</v>
      </c>
      <c r="BM682">
        <v>1.3538643493520519</v>
      </c>
      <c r="BN682">
        <v>0.35386434935205191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</row>
    <row r="683" spans="1:85" x14ac:dyDescent="0.25">
      <c r="A683" t="s">
        <v>128</v>
      </c>
      <c r="B683" t="s">
        <v>146</v>
      </c>
      <c r="C683" t="s">
        <v>72</v>
      </c>
      <c r="D683" s="12">
        <v>46245</v>
      </c>
      <c r="E683" t="s">
        <v>135</v>
      </c>
      <c r="F683" t="s">
        <v>135</v>
      </c>
      <c r="G683" t="s">
        <v>135</v>
      </c>
      <c r="H683" t="s">
        <v>73</v>
      </c>
      <c r="I683">
        <v>10</v>
      </c>
      <c r="J683">
        <v>1</v>
      </c>
      <c r="K683">
        <v>7.0269775917926545</v>
      </c>
      <c r="L683">
        <v>46245</v>
      </c>
      <c r="M683" t="s">
        <v>200</v>
      </c>
      <c r="N683">
        <v>0</v>
      </c>
      <c r="O683">
        <v>0</v>
      </c>
      <c r="P683">
        <v>5.2297794117647056</v>
      </c>
      <c r="Q683">
        <v>0</v>
      </c>
      <c r="R683">
        <v>0</v>
      </c>
      <c r="S683">
        <v>0.74424307512705967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0.74424307512705967</v>
      </c>
      <c r="AD683">
        <v>0.25575692487294033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>
        <v>0</v>
      </c>
      <c r="AM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1</v>
      </c>
      <c r="BK683">
        <v>0</v>
      </c>
      <c r="BL683">
        <v>0</v>
      </c>
      <c r="BM683">
        <v>1.3436470333691404</v>
      </c>
      <c r="BN683">
        <v>0.34364703336914038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1</v>
      </c>
      <c r="CG683">
        <v>1</v>
      </c>
    </row>
    <row r="684" spans="1:85" x14ac:dyDescent="0.25">
      <c r="A684" t="s">
        <v>128</v>
      </c>
      <c r="B684" t="s">
        <v>146</v>
      </c>
      <c r="C684" t="s">
        <v>72</v>
      </c>
      <c r="D684" s="12">
        <v>46244</v>
      </c>
      <c r="E684" t="s">
        <v>135</v>
      </c>
      <c r="F684" t="s">
        <v>135</v>
      </c>
      <c r="G684" t="s">
        <v>135</v>
      </c>
      <c r="H684" t="s">
        <v>75</v>
      </c>
      <c r="I684">
        <v>10</v>
      </c>
      <c r="J684">
        <v>1</v>
      </c>
      <c r="K684">
        <v>3.3729492440604751</v>
      </c>
      <c r="L684">
        <v>46244</v>
      </c>
      <c r="M684" t="s">
        <v>201</v>
      </c>
      <c r="N684">
        <v>0</v>
      </c>
      <c r="O684">
        <v>0</v>
      </c>
      <c r="P684">
        <v>3.2102076124567458</v>
      </c>
      <c r="Q684">
        <v>0</v>
      </c>
      <c r="R684">
        <v>0</v>
      </c>
      <c r="S684">
        <v>0.95175093965902224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0.95175093965902224</v>
      </c>
      <c r="AD684">
        <v>4.8249060340977756E-2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>
        <v>0</v>
      </c>
      <c r="AM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1</v>
      </c>
      <c r="BK684">
        <v>0</v>
      </c>
      <c r="BL684">
        <v>0</v>
      </c>
      <c r="BM684">
        <v>1.0506950488100004</v>
      </c>
      <c r="BN684">
        <v>5.069504881000042E-2</v>
      </c>
      <c r="BO684">
        <v>0</v>
      </c>
      <c r="BP684">
        <v>0</v>
      </c>
      <c r="BQ684">
        <v>0</v>
      </c>
      <c r="BR684">
        <v>0</v>
      </c>
      <c r="BS684">
        <v>0</v>
      </c>
      <c r="BT684">
        <v>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0</v>
      </c>
      <c r="CF684">
        <v>1</v>
      </c>
      <c r="CG684">
        <v>1</v>
      </c>
    </row>
    <row r="685" spans="1:85" x14ac:dyDescent="0.25">
      <c r="A685" t="s">
        <v>128</v>
      </c>
      <c r="B685" t="s">
        <v>146</v>
      </c>
      <c r="C685" t="s">
        <v>72</v>
      </c>
      <c r="D685" s="12">
        <v>46244</v>
      </c>
      <c r="E685" t="s">
        <v>135</v>
      </c>
      <c r="F685" t="s">
        <v>135</v>
      </c>
      <c r="G685" t="s">
        <v>135</v>
      </c>
      <c r="H685" t="s">
        <v>74</v>
      </c>
      <c r="I685">
        <v>10</v>
      </c>
      <c r="J685">
        <v>1</v>
      </c>
      <c r="K685">
        <v>1.2742252699784016</v>
      </c>
      <c r="L685">
        <v>46244</v>
      </c>
      <c r="M685" t="s">
        <v>202</v>
      </c>
      <c r="N685">
        <v>0</v>
      </c>
      <c r="O685">
        <v>0</v>
      </c>
      <c r="P685">
        <v>0.94117647058823517</v>
      </c>
      <c r="Q685">
        <v>0</v>
      </c>
      <c r="R685">
        <v>0</v>
      </c>
      <c r="S685">
        <v>0.73862643659875649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0.73862643659875649</v>
      </c>
      <c r="AD685">
        <v>0.26137356340124351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>
        <v>0</v>
      </c>
      <c r="AM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K685">
        <v>0</v>
      </c>
      <c r="BL685">
        <v>0</v>
      </c>
      <c r="BM685">
        <v>1.3538643493520519</v>
      </c>
      <c r="BN685">
        <v>0.35386434935205191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0</v>
      </c>
      <c r="BV685">
        <v>0</v>
      </c>
      <c r="BW685">
        <v>0</v>
      </c>
      <c r="BX685">
        <v>0</v>
      </c>
      <c r="BY685">
        <v>0</v>
      </c>
      <c r="BZ685">
        <v>0</v>
      </c>
      <c r="CA685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</row>
    <row r="686" spans="1:85" x14ac:dyDescent="0.25">
      <c r="A686" t="s">
        <v>128</v>
      </c>
      <c r="B686" t="s">
        <v>146</v>
      </c>
      <c r="C686" t="s">
        <v>72</v>
      </c>
      <c r="D686" s="12">
        <v>46244</v>
      </c>
      <c r="E686" t="s">
        <v>135</v>
      </c>
      <c r="F686" t="s">
        <v>135</v>
      </c>
      <c r="G686" t="s">
        <v>135</v>
      </c>
      <c r="H686" t="s">
        <v>73</v>
      </c>
      <c r="I686">
        <v>10</v>
      </c>
      <c r="J686">
        <v>1</v>
      </c>
      <c r="K686">
        <v>3.5134887958963272</v>
      </c>
      <c r="L686">
        <v>46244</v>
      </c>
      <c r="M686" t="s">
        <v>203</v>
      </c>
      <c r="N686">
        <v>0</v>
      </c>
      <c r="O686">
        <v>0</v>
      </c>
      <c r="P686">
        <v>2.6443014705882351</v>
      </c>
      <c r="Q686">
        <v>0</v>
      </c>
      <c r="R686">
        <v>0</v>
      </c>
      <c r="S686">
        <v>0.75261417474184555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0.75261417474184555</v>
      </c>
      <c r="AD686">
        <v>0.24738582525815445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>
        <v>0</v>
      </c>
      <c r="AM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1</v>
      </c>
      <c r="BK686">
        <v>0</v>
      </c>
      <c r="BL686">
        <v>0</v>
      </c>
      <c r="BM686">
        <v>1.3287020542006271</v>
      </c>
      <c r="BN686">
        <v>0.32870205420062715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0</v>
      </c>
      <c r="CF686">
        <v>1</v>
      </c>
      <c r="CG686">
        <v>1</v>
      </c>
    </row>
    <row r="687" spans="1:85" x14ac:dyDescent="0.25">
      <c r="A687" t="s">
        <v>128</v>
      </c>
      <c r="B687" t="s">
        <v>146</v>
      </c>
      <c r="C687" t="s">
        <v>72</v>
      </c>
      <c r="D687" s="12">
        <v>46243</v>
      </c>
      <c r="E687" t="s">
        <v>135</v>
      </c>
      <c r="F687" t="s">
        <v>135</v>
      </c>
      <c r="G687" t="s">
        <v>135</v>
      </c>
      <c r="H687" t="s">
        <v>75</v>
      </c>
      <c r="I687">
        <v>10</v>
      </c>
      <c r="J687">
        <v>1</v>
      </c>
      <c r="K687">
        <v>3.3729492440604751</v>
      </c>
      <c r="L687">
        <v>46243</v>
      </c>
      <c r="M687" t="s">
        <v>205</v>
      </c>
      <c r="N687">
        <v>0</v>
      </c>
      <c r="O687">
        <v>0</v>
      </c>
      <c r="P687">
        <v>3.0449826989619369</v>
      </c>
      <c r="Q687">
        <v>0</v>
      </c>
      <c r="R687">
        <v>0</v>
      </c>
      <c r="S687">
        <v>0.9027656447318132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0.9027656447318132</v>
      </c>
      <c r="AD687">
        <v>9.7234355268186801E-2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>
        <v>0</v>
      </c>
      <c r="AM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1</v>
      </c>
      <c r="BK687">
        <v>0</v>
      </c>
      <c r="BL687">
        <v>0</v>
      </c>
      <c r="BM687">
        <v>1.1077071949244064</v>
      </c>
      <c r="BN687">
        <v>0.10770719492440639</v>
      </c>
      <c r="BO687">
        <v>0</v>
      </c>
      <c r="BP687">
        <v>0</v>
      </c>
      <c r="BQ687">
        <v>0</v>
      </c>
      <c r="BR687">
        <v>0</v>
      </c>
      <c r="BS687">
        <v>0</v>
      </c>
      <c r="BT687">
        <v>0</v>
      </c>
      <c r="BU687">
        <v>0</v>
      </c>
      <c r="BV687">
        <v>0</v>
      </c>
      <c r="BW687">
        <v>0</v>
      </c>
      <c r="BX687">
        <v>0</v>
      </c>
      <c r="BY687">
        <v>0</v>
      </c>
      <c r="BZ687">
        <v>0</v>
      </c>
      <c r="CA687">
        <v>0</v>
      </c>
      <c r="CB687">
        <v>0</v>
      </c>
      <c r="CC687">
        <v>0</v>
      </c>
      <c r="CD687">
        <v>0</v>
      </c>
      <c r="CE687">
        <v>0</v>
      </c>
      <c r="CF687">
        <v>1</v>
      </c>
      <c r="CG687">
        <v>1</v>
      </c>
    </row>
    <row r="688" spans="1:85" x14ac:dyDescent="0.25">
      <c r="A688" t="s">
        <v>128</v>
      </c>
      <c r="B688" t="s">
        <v>146</v>
      </c>
      <c r="C688" t="s">
        <v>72</v>
      </c>
      <c r="D688" s="12">
        <v>46243</v>
      </c>
      <c r="E688" t="s">
        <v>135</v>
      </c>
      <c r="F688" t="s">
        <v>135</v>
      </c>
      <c r="G688" t="s">
        <v>135</v>
      </c>
      <c r="H688" t="s">
        <v>74</v>
      </c>
      <c r="I688">
        <v>10</v>
      </c>
      <c r="J688">
        <v>1</v>
      </c>
      <c r="K688">
        <v>1.2742252699784016</v>
      </c>
      <c r="L688">
        <v>46243</v>
      </c>
      <c r="M688" t="s">
        <v>214</v>
      </c>
      <c r="N688">
        <v>0</v>
      </c>
      <c r="O688">
        <v>0</v>
      </c>
      <c r="P688">
        <v>0.94117647058823517</v>
      </c>
      <c r="Q688">
        <v>0</v>
      </c>
      <c r="R688">
        <v>0</v>
      </c>
      <c r="S688">
        <v>0.73862643659875649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0.73862643659875649</v>
      </c>
      <c r="AD688">
        <v>0.26137356340124351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>
        <v>0</v>
      </c>
      <c r="AM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0</v>
      </c>
      <c r="BK688">
        <v>0</v>
      </c>
      <c r="BL688">
        <v>0</v>
      </c>
      <c r="BM688">
        <v>1.3538643493520519</v>
      </c>
      <c r="BN688">
        <v>0.35386434935205191</v>
      </c>
      <c r="BO688">
        <v>0</v>
      </c>
      <c r="BP688">
        <v>0</v>
      </c>
      <c r="BQ688">
        <v>0</v>
      </c>
      <c r="BR688">
        <v>0</v>
      </c>
      <c r="BS688">
        <v>0</v>
      </c>
      <c r="BT688">
        <v>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0</v>
      </c>
      <c r="CF688">
        <v>0</v>
      </c>
      <c r="CG688">
        <v>0</v>
      </c>
    </row>
    <row r="689" spans="1:85" x14ac:dyDescent="0.25">
      <c r="A689" t="s">
        <v>128</v>
      </c>
      <c r="B689" t="s">
        <v>146</v>
      </c>
      <c r="C689" t="s">
        <v>72</v>
      </c>
      <c r="D689" s="12">
        <v>46243</v>
      </c>
      <c r="E689" t="s">
        <v>135</v>
      </c>
      <c r="F689" t="s">
        <v>135</v>
      </c>
      <c r="G689" t="s">
        <v>135</v>
      </c>
      <c r="H689" t="s">
        <v>73</v>
      </c>
      <c r="I689">
        <v>10</v>
      </c>
      <c r="J689">
        <v>1</v>
      </c>
      <c r="K689">
        <v>3.5134887958963272</v>
      </c>
      <c r="L689">
        <v>46243</v>
      </c>
      <c r="M689" t="s">
        <v>206</v>
      </c>
      <c r="N689">
        <v>0</v>
      </c>
      <c r="O689">
        <v>0</v>
      </c>
      <c r="P689">
        <v>2.882352941176471</v>
      </c>
      <c r="Q689">
        <v>0</v>
      </c>
      <c r="R689">
        <v>0</v>
      </c>
      <c r="S689">
        <v>0.82036776224901919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0.82036776224901919</v>
      </c>
      <c r="AD689">
        <v>0.17963223775098081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>
        <v>0</v>
      </c>
      <c r="AM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1</v>
      </c>
      <c r="BK689">
        <v>0</v>
      </c>
      <c r="BL689">
        <v>0</v>
      </c>
      <c r="BM689">
        <v>1.218965500617093</v>
      </c>
      <c r="BN689">
        <v>0.21896550061709297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1</v>
      </c>
      <c r="CG689">
        <v>1</v>
      </c>
    </row>
    <row r="690" spans="1:85" x14ac:dyDescent="0.25">
      <c r="A690" t="s">
        <v>128</v>
      </c>
      <c r="B690" t="s">
        <v>146</v>
      </c>
      <c r="C690" t="s">
        <v>72</v>
      </c>
      <c r="D690" s="12">
        <v>46242</v>
      </c>
      <c r="E690" t="s">
        <v>135</v>
      </c>
      <c r="F690" t="s">
        <v>135</v>
      </c>
      <c r="G690" t="s">
        <v>135</v>
      </c>
      <c r="H690" t="s">
        <v>75</v>
      </c>
      <c r="I690">
        <v>10</v>
      </c>
      <c r="J690">
        <v>1</v>
      </c>
      <c r="K690">
        <v>3.3729492440604751</v>
      </c>
      <c r="L690">
        <v>46242</v>
      </c>
      <c r="M690" t="s">
        <v>207</v>
      </c>
      <c r="N690">
        <v>0</v>
      </c>
      <c r="O690">
        <v>0</v>
      </c>
      <c r="P690">
        <v>3.0449826989619369</v>
      </c>
      <c r="Q690">
        <v>0</v>
      </c>
      <c r="R690">
        <v>0</v>
      </c>
      <c r="S690">
        <v>0.9027656447318132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0.9027656447318132</v>
      </c>
      <c r="AD690">
        <v>9.7234355268186801E-2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>
        <v>0</v>
      </c>
      <c r="AM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0</v>
      </c>
      <c r="BG690">
        <v>0</v>
      </c>
      <c r="BH690">
        <v>0</v>
      </c>
      <c r="BI690">
        <v>1</v>
      </c>
      <c r="BK690">
        <v>0</v>
      </c>
      <c r="BL690">
        <v>0</v>
      </c>
      <c r="BM690">
        <v>1.1077071949244064</v>
      </c>
      <c r="BN690">
        <v>0.10770719492440639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0</v>
      </c>
      <c r="CF690">
        <v>1</v>
      </c>
      <c r="CG690">
        <v>1</v>
      </c>
    </row>
    <row r="691" spans="1:85" x14ac:dyDescent="0.25">
      <c r="A691" t="s">
        <v>128</v>
      </c>
      <c r="B691" t="s">
        <v>146</v>
      </c>
      <c r="C691" t="s">
        <v>72</v>
      </c>
      <c r="D691" s="12">
        <v>46242</v>
      </c>
      <c r="E691" t="s">
        <v>135</v>
      </c>
      <c r="F691" t="s">
        <v>135</v>
      </c>
      <c r="G691" t="s">
        <v>135</v>
      </c>
      <c r="H691" t="s">
        <v>74</v>
      </c>
      <c r="I691">
        <v>10</v>
      </c>
      <c r="J691">
        <v>1</v>
      </c>
      <c r="K691">
        <v>1.2742252699784016</v>
      </c>
      <c r="L691">
        <v>46242</v>
      </c>
      <c r="M691" t="s">
        <v>208</v>
      </c>
      <c r="N691">
        <v>0</v>
      </c>
      <c r="O691">
        <v>0</v>
      </c>
      <c r="P691">
        <v>0.94117647058823517</v>
      </c>
      <c r="Q691">
        <v>0</v>
      </c>
      <c r="R691">
        <v>0</v>
      </c>
      <c r="S691">
        <v>0.73862643659875649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0.73862643659875649</v>
      </c>
      <c r="AD691">
        <v>0.26137356340124351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>
        <v>0</v>
      </c>
      <c r="AM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0</v>
      </c>
      <c r="BK691">
        <v>0</v>
      </c>
      <c r="BL691">
        <v>0</v>
      </c>
      <c r="BM691">
        <v>1.3538643493520519</v>
      </c>
      <c r="BN691">
        <v>0.35386434935205191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0</v>
      </c>
      <c r="BV691">
        <v>0</v>
      </c>
      <c r="BW691">
        <v>0</v>
      </c>
      <c r="BX691">
        <v>0</v>
      </c>
      <c r="BY691">
        <v>0</v>
      </c>
      <c r="BZ691">
        <v>0</v>
      </c>
      <c r="CA691">
        <v>0</v>
      </c>
      <c r="CB691">
        <v>0</v>
      </c>
      <c r="CC691">
        <v>0</v>
      </c>
      <c r="CD691">
        <v>0</v>
      </c>
      <c r="CE691">
        <v>0</v>
      </c>
      <c r="CF691">
        <v>0</v>
      </c>
      <c r="CG691">
        <v>0</v>
      </c>
    </row>
    <row r="692" spans="1:85" x14ac:dyDescent="0.25">
      <c r="A692" t="s">
        <v>128</v>
      </c>
      <c r="B692" t="s">
        <v>146</v>
      </c>
      <c r="C692" t="s">
        <v>72</v>
      </c>
      <c r="D692" s="12">
        <v>46242</v>
      </c>
      <c r="E692" t="s">
        <v>135</v>
      </c>
      <c r="F692" t="s">
        <v>135</v>
      </c>
      <c r="G692" t="s">
        <v>135</v>
      </c>
      <c r="H692" t="s">
        <v>73</v>
      </c>
      <c r="I692">
        <v>10</v>
      </c>
      <c r="J692">
        <v>1</v>
      </c>
      <c r="K692">
        <v>2.3891723812095034</v>
      </c>
      <c r="L692">
        <v>46242</v>
      </c>
      <c r="M692" t="s">
        <v>209</v>
      </c>
      <c r="N692">
        <v>0</v>
      </c>
      <c r="O692">
        <v>0</v>
      </c>
      <c r="P692">
        <v>2.882352941176471</v>
      </c>
      <c r="Q692">
        <v>0</v>
      </c>
      <c r="R692">
        <v>0</v>
      </c>
      <c r="S692">
        <v>1.206423179777969</v>
      </c>
      <c r="T692">
        <v>0.20642317977796898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>
        <v>1</v>
      </c>
      <c r="AM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1</v>
      </c>
      <c r="BJ692">
        <v>1</v>
      </c>
      <c r="BK692">
        <v>0</v>
      </c>
      <c r="BL692">
        <v>0</v>
      </c>
      <c r="BM692">
        <v>0.82889654041962346</v>
      </c>
      <c r="BN692">
        <v>0</v>
      </c>
      <c r="BO692">
        <v>0</v>
      </c>
      <c r="BP692">
        <v>0</v>
      </c>
      <c r="BQ692">
        <v>0</v>
      </c>
      <c r="BR692">
        <v>0</v>
      </c>
      <c r="BS692">
        <v>0</v>
      </c>
      <c r="BT692">
        <v>0</v>
      </c>
      <c r="BU692">
        <v>0</v>
      </c>
      <c r="BV692">
        <v>0</v>
      </c>
      <c r="BW692">
        <v>0</v>
      </c>
      <c r="BX692">
        <v>0.17110345958037654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0</v>
      </c>
      <c r="CF692">
        <v>0.82889654041962346</v>
      </c>
      <c r="CG692">
        <v>0</v>
      </c>
    </row>
    <row r="693" spans="1:85" x14ac:dyDescent="0.25">
      <c r="A693" t="s">
        <v>128</v>
      </c>
      <c r="B693" t="s">
        <v>146</v>
      </c>
      <c r="C693" t="s">
        <v>72</v>
      </c>
      <c r="D693" s="12">
        <v>46241</v>
      </c>
      <c r="E693" t="s">
        <v>135</v>
      </c>
      <c r="F693" t="s">
        <v>135</v>
      </c>
      <c r="G693" t="s">
        <v>135</v>
      </c>
      <c r="H693" t="s">
        <v>75</v>
      </c>
      <c r="I693">
        <v>10</v>
      </c>
      <c r="J693">
        <v>1</v>
      </c>
      <c r="K693">
        <v>2.2486328293736499</v>
      </c>
      <c r="L693">
        <v>46241</v>
      </c>
      <c r="M693" t="s">
        <v>210</v>
      </c>
      <c r="N693">
        <v>0</v>
      </c>
      <c r="O693">
        <v>0</v>
      </c>
      <c r="P693">
        <v>2.1038062283737027</v>
      </c>
      <c r="Q693">
        <v>0</v>
      </c>
      <c r="R693">
        <v>0</v>
      </c>
      <c r="S693">
        <v>0.9355934863584251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0.9355934863584251</v>
      </c>
      <c r="AD693">
        <v>6.4406513641574903E-2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>
        <v>0</v>
      </c>
      <c r="AM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0</v>
      </c>
      <c r="BG693">
        <v>0</v>
      </c>
      <c r="BH693">
        <v>0</v>
      </c>
      <c r="BI693">
        <v>1</v>
      </c>
      <c r="BK693">
        <v>0</v>
      </c>
      <c r="BL693">
        <v>0</v>
      </c>
      <c r="BM693">
        <v>1.0688402758042512</v>
      </c>
      <c r="BN693">
        <v>6.8840275804251227E-2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0</v>
      </c>
      <c r="BV693">
        <v>0</v>
      </c>
      <c r="BW693">
        <v>0</v>
      </c>
      <c r="BX693">
        <v>0</v>
      </c>
      <c r="BY693">
        <v>0</v>
      </c>
      <c r="BZ693">
        <v>0</v>
      </c>
      <c r="CA693">
        <v>0</v>
      </c>
      <c r="CB693">
        <v>0</v>
      </c>
      <c r="CC693">
        <v>0</v>
      </c>
      <c r="CD693">
        <v>0</v>
      </c>
      <c r="CE693">
        <v>0</v>
      </c>
      <c r="CF693">
        <v>1</v>
      </c>
      <c r="CG693">
        <v>1</v>
      </c>
    </row>
    <row r="694" spans="1:85" x14ac:dyDescent="0.25">
      <c r="A694" t="s">
        <v>128</v>
      </c>
      <c r="B694" t="s">
        <v>146</v>
      </c>
      <c r="C694" t="s">
        <v>72</v>
      </c>
      <c r="D694" s="12">
        <v>46241</v>
      </c>
      <c r="E694" t="s">
        <v>135</v>
      </c>
      <c r="F694" t="s">
        <v>135</v>
      </c>
      <c r="G694" t="s">
        <v>135</v>
      </c>
      <c r="H694" t="s">
        <v>74</v>
      </c>
      <c r="I694">
        <v>10</v>
      </c>
      <c r="J694">
        <v>1</v>
      </c>
      <c r="K694">
        <v>1.2742252699784016</v>
      </c>
      <c r="L694">
        <v>46241</v>
      </c>
      <c r="M694" t="s">
        <v>211</v>
      </c>
      <c r="N694">
        <v>0</v>
      </c>
      <c r="O694">
        <v>0</v>
      </c>
      <c r="P694">
        <v>0.94117647058823517</v>
      </c>
      <c r="Q694">
        <v>0</v>
      </c>
      <c r="R694">
        <v>0</v>
      </c>
      <c r="S694">
        <v>0.73862643659875649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0.73862643659875649</v>
      </c>
      <c r="AD694">
        <v>0.26137356340124351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>
        <v>0</v>
      </c>
      <c r="AM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K694">
        <v>0</v>
      </c>
      <c r="BL694">
        <v>0</v>
      </c>
      <c r="BM694">
        <v>1.3538643493520519</v>
      </c>
      <c r="BN694">
        <v>0.35386434935205191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</row>
    <row r="695" spans="1:85" x14ac:dyDescent="0.25">
      <c r="A695" t="s">
        <v>128</v>
      </c>
      <c r="B695" t="s">
        <v>146</v>
      </c>
      <c r="C695" t="s">
        <v>72</v>
      </c>
      <c r="D695" s="12">
        <v>46245</v>
      </c>
      <c r="E695" t="s">
        <v>135</v>
      </c>
      <c r="F695" t="s">
        <v>135</v>
      </c>
      <c r="G695" t="s">
        <v>135</v>
      </c>
      <c r="H695" t="s">
        <v>75</v>
      </c>
      <c r="I695">
        <v>10</v>
      </c>
      <c r="J695">
        <v>1</v>
      </c>
      <c r="K695">
        <v>3.3729492440604751</v>
      </c>
      <c r="L695">
        <v>46245</v>
      </c>
      <c r="M695" t="s">
        <v>198</v>
      </c>
      <c r="N695">
        <v>0</v>
      </c>
      <c r="O695">
        <v>0</v>
      </c>
      <c r="P695">
        <v>3.5415224913494798</v>
      </c>
      <c r="Q695">
        <v>0</v>
      </c>
      <c r="R695">
        <v>0</v>
      </c>
      <c r="S695">
        <v>1.0499779970261487</v>
      </c>
      <c r="T695">
        <v>4.9977997026148691E-2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>
        <v>1</v>
      </c>
      <c r="AM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1</v>
      </c>
      <c r="BJ695">
        <v>1</v>
      </c>
      <c r="BK695">
        <v>0</v>
      </c>
      <c r="BL695">
        <v>0</v>
      </c>
      <c r="BM695">
        <v>0.95240091014506856</v>
      </c>
      <c r="BN695">
        <v>0</v>
      </c>
      <c r="BO695">
        <v>0</v>
      </c>
      <c r="BP695">
        <v>0</v>
      </c>
      <c r="BQ695">
        <v>0</v>
      </c>
      <c r="BR695">
        <v>0</v>
      </c>
      <c r="BS695">
        <v>0</v>
      </c>
      <c r="BT695">
        <v>0</v>
      </c>
      <c r="BU695">
        <v>0</v>
      </c>
      <c r="BV695">
        <v>0</v>
      </c>
      <c r="BW695">
        <v>0</v>
      </c>
      <c r="BX695">
        <v>4.7599089854931442E-2</v>
      </c>
      <c r="BY695">
        <v>0</v>
      </c>
      <c r="BZ695">
        <v>0</v>
      </c>
      <c r="CA695">
        <v>0</v>
      </c>
      <c r="CB695">
        <v>0</v>
      </c>
      <c r="CC695">
        <v>0</v>
      </c>
      <c r="CD695">
        <v>0</v>
      </c>
      <c r="CE695">
        <v>0</v>
      </c>
      <c r="CF695">
        <v>0.95240091014506856</v>
      </c>
      <c r="CG695">
        <v>0</v>
      </c>
    </row>
    <row r="696" spans="1:85" x14ac:dyDescent="0.25">
      <c r="A696" t="s">
        <v>128</v>
      </c>
      <c r="B696" t="s">
        <v>146</v>
      </c>
      <c r="C696" t="s">
        <v>72</v>
      </c>
      <c r="D696" s="12">
        <v>46230</v>
      </c>
      <c r="E696" t="s">
        <v>135</v>
      </c>
      <c r="F696" t="s">
        <v>135</v>
      </c>
      <c r="G696" t="s">
        <v>135</v>
      </c>
      <c r="H696" t="s">
        <v>74</v>
      </c>
      <c r="I696">
        <v>10</v>
      </c>
      <c r="J696">
        <v>1</v>
      </c>
      <c r="K696">
        <v>1.2742252699784016</v>
      </c>
      <c r="L696">
        <v>46230</v>
      </c>
      <c r="M696" t="s">
        <v>219</v>
      </c>
      <c r="N696">
        <v>0</v>
      </c>
      <c r="O696">
        <v>0</v>
      </c>
      <c r="P696">
        <v>0.94117647058823517</v>
      </c>
      <c r="Q696">
        <v>0</v>
      </c>
      <c r="R696">
        <v>0</v>
      </c>
      <c r="S696">
        <v>0.73862643659875649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0.73862643659875649</v>
      </c>
      <c r="AD696">
        <v>0.26137356340124351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>
        <v>0</v>
      </c>
      <c r="AM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0</v>
      </c>
      <c r="BG696">
        <v>0</v>
      </c>
      <c r="BH696">
        <v>0</v>
      </c>
      <c r="BI696">
        <v>0</v>
      </c>
      <c r="BK696">
        <v>0</v>
      </c>
      <c r="BL696">
        <v>0</v>
      </c>
      <c r="BM696">
        <v>1.3538643493520519</v>
      </c>
      <c r="BN696">
        <v>0.35386434935205191</v>
      </c>
      <c r="BO696">
        <v>0</v>
      </c>
      <c r="BP696">
        <v>0</v>
      </c>
      <c r="BQ696">
        <v>0</v>
      </c>
      <c r="BR696">
        <v>0</v>
      </c>
      <c r="BS696">
        <v>0</v>
      </c>
      <c r="BT696">
        <v>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0</v>
      </c>
      <c r="CF696">
        <v>0</v>
      </c>
      <c r="CG696">
        <v>0</v>
      </c>
    </row>
    <row r="697" spans="1:85" x14ac:dyDescent="0.25">
      <c r="A697" t="s">
        <v>128</v>
      </c>
      <c r="B697" t="s">
        <v>146</v>
      </c>
      <c r="C697" t="s">
        <v>72</v>
      </c>
      <c r="D697" s="12">
        <v>46229</v>
      </c>
      <c r="E697" t="s">
        <v>135</v>
      </c>
      <c r="F697" t="s">
        <v>135</v>
      </c>
      <c r="G697" t="s">
        <v>135</v>
      </c>
      <c r="H697" t="s">
        <v>75</v>
      </c>
      <c r="I697">
        <v>10</v>
      </c>
      <c r="J697">
        <v>1</v>
      </c>
      <c r="K697">
        <v>3.3729492440604751</v>
      </c>
      <c r="L697">
        <v>46229</v>
      </c>
      <c r="M697" t="s">
        <v>221</v>
      </c>
      <c r="N697">
        <v>1.9</v>
      </c>
      <c r="O697">
        <v>1.9</v>
      </c>
      <c r="P697">
        <v>3.2655709342560537</v>
      </c>
      <c r="Q697">
        <v>0.56330524491163492</v>
      </c>
      <c r="R697">
        <v>0.56330524491163492</v>
      </c>
      <c r="S697">
        <v>0.96816486047232786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0.40485961556069294</v>
      </c>
      <c r="AD697">
        <v>3.1835139527672141E-2</v>
      </c>
      <c r="AE697">
        <v>0</v>
      </c>
      <c r="AF697">
        <v>0</v>
      </c>
      <c r="AG697">
        <v>0</v>
      </c>
      <c r="AH697">
        <v>0.56330524491163492</v>
      </c>
      <c r="AI697">
        <v>0</v>
      </c>
      <c r="AJ697">
        <v>0</v>
      </c>
      <c r="AK697">
        <v>0</v>
      </c>
      <c r="AL697">
        <v>0</v>
      </c>
      <c r="AM697">
        <v>0</v>
      </c>
      <c r="AN697">
        <v>1.7752364442423554</v>
      </c>
      <c r="AO697">
        <v>1.7752364442423554</v>
      </c>
      <c r="AP697">
        <v>1.7187215443452915</v>
      </c>
      <c r="BG697">
        <v>0</v>
      </c>
      <c r="BH697">
        <v>0</v>
      </c>
      <c r="BI697">
        <v>0</v>
      </c>
      <c r="BK697">
        <v>0.58182781456953669</v>
      </c>
      <c r="BL697">
        <v>0.58182781456953669</v>
      </c>
      <c r="BM697">
        <v>1.0328819406977248</v>
      </c>
      <c r="BN697">
        <v>3.2881940697724765E-2</v>
      </c>
      <c r="BO697">
        <v>0</v>
      </c>
      <c r="BP697">
        <v>0</v>
      </c>
      <c r="BQ697">
        <v>0</v>
      </c>
      <c r="BR697">
        <v>0</v>
      </c>
      <c r="BS697">
        <v>0</v>
      </c>
      <c r="BT697">
        <v>0</v>
      </c>
      <c r="BU697">
        <v>0</v>
      </c>
      <c r="BV697">
        <v>0</v>
      </c>
      <c r="BW697">
        <v>0.43669475508836508</v>
      </c>
      <c r="BX697">
        <v>0</v>
      </c>
      <c r="BY697">
        <v>0</v>
      </c>
      <c r="BZ697">
        <v>0</v>
      </c>
      <c r="CA697">
        <v>0</v>
      </c>
      <c r="CB697">
        <v>0.58182781456953669</v>
      </c>
      <c r="CC697">
        <v>0</v>
      </c>
      <c r="CD697">
        <v>0</v>
      </c>
      <c r="CE697">
        <v>0</v>
      </c>
      <c r="CF697">
        <v>0</v>
      </c>
      <c r="CG697">
        <v>0</v>
      </c>
    </row>
    <row r="698" spans="1:85" x14ac:dyDescent="0.25">
      <c r="A698" t="s">
        <v>128</v>
      </c>
      <c r="B698" t="s">
        <v>146</v>
      </c>
      <c r="C698" t="s">
        <v>72</v>
      </c>
      <c r="D698" s="12">
        <v>46229</v>
      </c>
      <c r="E698" t="s">
        <v>135</v>
      </c>
      <c r="F698" t="s">
        <v>135</v>
      </c>
      <c r="G698" t="s">
        <v>135</v>
      </c>
      <c r="H698" t="s">
        <v>74</v>
      </c>
      <c r="I698">
        <v>10</v>
      </c>
      <c r="J698">
        <v>1</v>
      </c>
      <c r="K698">
        <v>1.2742252699784016</v>
      </c>
      <c r="L698">
        <v>46229</v>
      </c>
      <c r="M698" t="s">
        <v>222</v>
      </c>
      <c r="N698">
        <v>0</v>
      </c>
      <c r="O698">
        <v>0</v>
      </c>
      <c r="P698">
        <v>0.94117647058823517</v>
      </c>
      <c r="Q698">
        <v>0</v>
      </c>
      <c r="R698">
        <v>0</v>
      </c>
      <c r="S698">
        <v>0.73862643659875649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0.73862643659875649</v>
      </c>
      <c r="AD698">
        <v>0.26137356340124351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K698">
        <v>0</v>
      </c>
      <c r="BL698">
        <v>0</v>
      </c>
      <c r="BM698">
        <v>1.3538643493520519</v>
      </c>
      <c r="BN698">
        <v>0.35386434935205191</v>
      </c>
      <c r="BO698">
        <v>0</v>
      </c>
      <c r="BP698">
        <v>0</v>
      </c>
      <c r="BQ698">
        <v>0</v>
      </c>
      <c r="BR698">
        <v>0</v>
      </c>
      <c r="BS698">
        <v>0</v>
      </c>
      <c r="BT698">
        <v>0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0</v>
      </c>
      <c r="CF698">
        <v>0</v>
      </c>
      <c r="CG698">
        <v>0</v>
      </c>
    </row>
    <row r="699" spans="1:85" x14ac:dyDescent="0.25">
      <c r="A699" t="s">
        <v>128</v>
      </c>
      <c r="B699" t="s">
        <v>146</v>
      </c>
      <c r="C699" t="s">
        <v>72</v>
      </c>
      <c r="D699" s="12">
        <v>46246</v>
      </c>
      <c r="E699" t="s">
        <v>136</v>
      </c>
      <c r="F699" t="s">
        <v>136</v>
      </c>
      <c r="G699" t="s">
        <v>136</v>
      </c>
      <c r="H699" t="s">
        <v>74</v>
      </c>
      <c r="I699">
        <v>10</v>
      </c>
      <c r="J699">
        <v>1</v>
      </c>
      <c r="K699">
        <v>0</v>
      </c>
      <c r="L699">
        <v>46246</v>
      </c>
      <c r="M699" t="s">
        <v>196</v>
      </c>
      <c r="N699">
        <v>0</v>
      </c>
      <c r="O699">
        <v>0</v>
      </c>
      <c r="P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1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M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N699">
        <v>0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0</v>
      </c>
      <c r="BV699">
        <v>0</v>
      </c>
      <c r="BW699">
        <v>0</v>
      </c>
      <c r="BX699">
        <v>1</v>
      </c>
      <c r="BY699">
        <v>0</v>
      </c>
      <c r="BZ699">
        <v>0</v>
      </c>
      <c r="CA699">
        <v>0</v>
      </c>
      <c r="CB699">
        <v>0</v>
      </c>
      <c r="CC699">
        <v>0</v>
      </c>
      <c r="CD699">
        <v>0</v>
      </c>
      <c r="CE699">
        <v>0</v>
      </c>
      <c r="CG699">
        <v>0</v>
      </c>
    </row>
    <row r="700" spans="1:85" x14ac:dyDescent="0.25">
      <c r="A700" t="s">
        <v>128</v>
      </c>
      <c r="B700" t="s">
        <v>146</v>
      </c>
      <c r="C700" t="s">
        <v>72</v>
      </c>
      <c r="D700" s="12">
        <v>46246</v>
      </c>
      <c r="E700" t="s">
        <v>136</v>
      </c>
      <c r="F700" t="s">
        <v>136</v>
      </c>
      <c r="G700" t="s">
        <v>136</v>
      </c>
      <c r="H700" t="s">
        <v>73</v>
      </c>
      <c r="I700">
        <v>10</v>
      </c>
      <c r="J700">
        <v>1</v>
      </c>
      <c r="K700">
        <v>3.5876164620550925</v>
      </c>
      <c r="L700">
        <v>46246</v>
      </c>
      <c r="M700" t="s">
        <v>197</v>
      </c>
      <c r="N700">
        <v>3.8</v>
      </c>
      <c r="O700">
        <v>3.8</v>
      </c>
      <c r="P700">
        <v>4.7022058823529402</v>
      </c>
      <c r="Q700">
        <v>1.0591990643903022</v>
      </c>
      <c r="R700">
        <v>1.0591990643903022</v>
      </c>
      <c r="S700">
        <v>1.3106768608312656</v>
      </c>
      <c r="T700">
        <v>0.25147779644096335</v>
      </c>
      <c r="U700">
        <v>0</v>
      </c>
      <c r="V700">
        <v>0</v>
      </c>
      <c r="W700">
        <v>0</v>
      </c>
      <c r="X700">
        <v>0</v>
      </c>
      <c r="Y700">
        <v>0.1908009356096978</v>
      </c>
      <c r="Z700">
        <v>5.9199064390302203E-2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1</v>
      </c>
      <c r="AN700">
        <v>0.94410959527765603</v>
      </c>
      <c r="AO700">
        <v>0.94410959527765603</v>
      </c>
      <c r="AP700">
        <v>1.2374226006191948</v>
      </c>
      <c r="AQ700">
        <v>0.23742260061919485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0.94410959527765603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0.80813135261923386</v>
      </c>
      <c r="BL700">
        <v>0.80813135261923386</v>
      </c>
      <c r="BM700">
        <v>0.76296456425252956</v>
      </c>
      <c r="BN700">
        <v>0</v>
      </c>
      <c r="BO700">
        <v>0</v>
      </c>
      <c r="BP700">
        <v>0</v>
      </c>
      <c r="BQ700">
        <v>0</v>
      </c>
      <c r="BR700">
        <v>0</v>
      </c>
      <c r="BS700">
        <v>0</v>
      </c>
      <c r="BT700">
        <v>0</v>
      </c>
      <c r="BU700">
        <v>0</v>
      </c>
      <c r="BV700">
        <v>0</v>
      </c>
      <c r="BW700">
        <v>0</v>
      </c>
      <c r="BX700">
        <v>0.19186864738076614</v>
      </c>
      <c r="BY700">
        <v>0</v>
      </c>
      <c r="BZ700">
        <v>4.5166788366704291E-2</v>
      </c>
      <c r="CA700">
        <v>0</v>
      </c>
      <c r="CB700">
        <v>0.76296456425252956</v>
      </c>
      <c r="CC700">
        <v>0</v>
      </c>
      <c r="CD700">
        <v>0</v>
      </c>
      <c r="CE700">
        <v>0</v>
      </c>
      <c r="CF700">
        <v>0</v>
      </c>
      <c r="CG700">
        <v>0</v>
      </c>
    </row>
    <row r="701" spans="1:85" x14ac:dyDescent="0.25">
      <c r="A701" t="s">
        <v>128</v>
      </c>
      <c r="B701" t="s">
        <v>146</v>
      </c>
      <c r="C701" t="s">
        <v>72</v>
      </c>
      <c r="D701" s="12">
        <v>46245</v>
      </c>
      <c r="E701" t="s">
        <v>136</v>
      </c>
      <c r="F701" t="s">
        <v>136</v>
      </c>
      <c r="G701" t="s">
        <v>136</v>
      </c>
      <c r="H701" t="s">
        <v>75</v>
      </c>
      <c r="I701">
        <v>10</v>
      </c>
      <c r="J701">
        <v>1</v>
      </c>
      <c r="K701">
        <v>3.1779578349000128</v>
      </c>
      <c r="L701">
        <v>46245</v>
      </c>
      <c r="M701" t="s">
        <v>198</v>
      </c>
      <c r="N701">
        <v>2.8499999999999996</v>
      </c>
      <c r="O701">
        <v>2.8499999999999996</v>
      </c>
      <c r="P701">
        <v>4.6332179930795849</v>
      </c>
      <c r="Q701">
        <v>0.89680233283827326</v>
      </c>
      <c r="R701">
        <v>0.89680233283827326</v>
      </c>
      <c r="S701">
        <v>1.4579230542954509</v>
      </c>
      <c r="T701">
        <v>0.45792305429545088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0.10319766716172674</v>
      </c>
      <c r="AD701">
        <v>0</v>
      </c>
      <c r="AE701">
        <v>0</v>
      </c>
      <c r="AF701">
        <v>0</v>
      </c>
      <c r="AG701">
        <v>0</v>
      </c>
      <c r="AH701">
        <v>0.89680233283827326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1.1150729245263205</v>
      </c>
      <c r="AO701">
        <v>1.1150729245263205</v>
      </c>
      <c r="AP701">
        <v>1.6256905238875738</v>
      </c>
      <c r="AQ701">
        <v>0.51061759936125339</v>
      </c>
      <c r="AR701">
        <v>0</v>
      </c>
      <c r="AS701">
        <v>0</v>
      </c>
      <c r="AT701">
        <v>0</v>
      </c>
      <c r="AU701">
        <v>0</v>
      </c>
      <c r="AV701">
        <v>0.38492707547367955</v>
      </c>
      <c r="AW701">
        <v>0.11507292452632045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0.61512322628827476</v>
      </c>
      <c r="BL701">
        <v>0.61512322628827476</v>
      </c>
      <c r="BM701">
        <v>0.68590725488133208</v>
      </c>
      <c r="BN701">
        <v>0</v>
      </c>
      <c r="BO701">
        <v>0</v>
      </c>
      <c r="BP701">
        <v>0</v>
      </c>
      <c r="BQ701">
        <v>0</v>
      </c>
      <c r="BR701">
        <v>0</v>
      </c>
      <c r="BS701">
        <v>0</v>
      </c>
      <c r="BT701">
        <v>0</v>
      </c>
      <c r="BU701">
        <v>0</v>
      </c>
      <c r="BV701">
        <v>0</v>
      </c>
      <c r="BW701">
        <v>0</v>
      </c>
      <c r="BX701">
        <v>0.31409274511866792</v>
      </c>
      <c r="BY701">
        <v>0</v>
      </c>
      <c r="BZ701">
        <v>0</v>
      </c>
      <c r="CA701">
        <v>0</v>
      </c>
      <c r="CB701">
        <v>0.61512322628827476</v>
      </c>
      <c r="CC701">
        <v>0</v>
      </c>
      <c r="CD701">
        <v>0</v>
      </c>
      <c r="CE701">
        <v>0</v>
      </c>
      <c r="CF701">
        <v>0</v>
      </c>
      <c r="CG701">
        <v>0</v>
      </c>
    </row>
    <row r="702" spans="1:85" x14ac:dyDescent="0.25">
      <c r="A702" t="s">
        <v>128</v>
      </c>
      <c r="B702" t="s">
        <v>146</v>
      </c>
      <c r="C702" t="s">
        <v>72</v>
      </c>
      <c r="D702" s="12">
        <v>46245</v>
      </c>
      <c r="E702" t="s">
        <v>136</v>
      </c>
      <c r="F702" t="s">
        <v>136</v>
      </c>
      <c r="G702" t="s">
        <v>136</v>
      </c>
      <c r="H702" t="s">
        <v>74</v>
      </c>
      <c r="I702">
        <v>10</v>
      </c>
      <c r="J702">
        <v>1</v>
      </c>
      <c r="K702">
        <v>0</v>
      </c>
      <c r="L702">
        <v>46245</v>
      </c>
      <c r="M702" t="s">
        <v>199</v>
      </c>
      <c r="N702">
        <v>0.95</v>
      </c>
      <c r="O702">
        <v>0.95</v>
      </c>
      <c r="P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1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1</v>
      </c>
      <c r="AK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0</v>
      </c>
      <c r="BH702">
        <v>0</v>
      </c>
      <c r="BN702">
        <v>0</v>
      </c>
      <c r="BO702">
        <v>0</v>
      </c>
      <c r="BP702">
        <v>0</v>
      </c>
      <c r="BQ702">
        <v>0</v>
      </c>
      <c r="BR702">
        <v>0</v>
      </c>
      <c r="BS702">
        <v>0</v>
      </c>
      <c r="BT702">
        <v>0</v>
      </c>
      <c r="BU702">
        <v>0</v>
      </c>
      <c r="BV702">
        <v>0</v>
      </c>
      <c r="BW702">
        <v>0</v>
      </c>
      <c r="BX702">
        <v>1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1</v>
      </c>
      <c r="CE702">
        <v>0</v>
      </c>
      <c r="CG702">
        <v>0</v>
      </c>
    </row>
    <row r="703" spans="1:85" x14ac:dyDescent="0.25">
      <c r="A703" t="s">
        <v>128</v>
      </c>
      <c r="B703" t="s">
        <v>146</v>
      </c>
      <c r="C703" t="s">
        <v>72</v>
      </c>
      <c r="D703" s="12">
        <v>46245</v>
      </c>
      <c r="E703" t="s">
        <v>136</v>
      </c>
      <c r="F703" t="s">
        <v>136</v>
      </c>
      <c r="G703" t="s">
        <v>136</v>
      </c>
      <c r="H703" t="s">
        <v>73</v>
      </c>
      <c r="I703">
        <v>10</v>
      </c>
      <c r="J703">
        <v>1</v>
      </c>
      <c r="K703">
        <v>3.5876164620550925</v>
      </c>
      <c r="L703">
        <v>46245</v>
      </c>
      <c r="M703" t="s">
        <v>200</v>
      </c>
      <c r="N703">
        <v>5.6999999999999993</v>
      </c>
      <c r="O703">
        <v>5.6999999999999993</v>
      </c>
      <c r="P703">
        <v>4.7022058823529402</v>
      </c>
      <c r="Q703">
        <v>1.588798596585453</v>
      </c>
      <c r="R703">
        <v>1.588798596585453</v>
      </c>
      <c r="S703">
        <v>1.3106768608312656</v>
      </c>
      <c r="T703">
        <v>0</v>
      </c>
      <c r="U703">
        <v>0</v>
      </c>
      <c r="V703">
        <v>0.27812173575418742</v>
      </c>
      <c r="W703">
        <v>0</v>
      </c>
      <c r="X703">
        <v>6.0676860831265556E-2</v>
      </c>
      <c r="Y703">
        <v>0</v>
      </c>
      <c r="Z703">
        <v>0.25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1</v>
      </c>
      <c r="AI703">
        <v>0</v>
      </c>
      <c r="AJ703">
        <v>0</v>
      </c>
      <c r="AK703">
        <v>0</v>
      </c>
      <c r="AL703">
        <v>0</v>
      </c>
      <c r="AM703">
        <v>0</v>
      </c>
      <c r="AN703">
        <v>0.62940639685177069</v>
      </c>
      <c r="AO703">
        <v>0.62940639685177069</v>
      </c>
      <c r="AP703">
        <v>0.8249484004127966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0.1750515995872034</v>
      </c>
      <c r="BB703">
        <v>0</v>
      </c>
      <c r="BC703">
        <v>0</v>
      </c>
      <c r="BD703">
        <v>0</v>
      </c>
      <c r="BE703">
        <v>0.62940639685177069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1.2121970289288508</v>
      </c>
      <c r="BL703">
        <v>1.2121970289288508</v>
      </c>
      <c r="BM703">
        <v>0.76296456425252956</v>
      </c>
      <c r="BN703">
        <v>0</v>
      </c>
      <c r="BO703">
        <v>0</v>
      </c>
      <c r="BP703">
        <v>0</v>
      </c>
      <c r="BQ703">
        <v>0</v>
      </c>
      <c r="BR703">
        <v>0</v>
      </c>
      <c r="BS703">
        <v>0</v>
      </c>
      <c r="BT703">
        <v>0</v>
      </c>
      <c r="BU703">
        <v>0</v>
      </c>
      <c r="BV703">
        <v>0.21219702892885084</v>
      </c>
      <c r="BW703">
        <v>0</v>
      </c>
      <c r="BX703">
        <v>0</v>
      </c>
      <c r="BY703">
        <v>0</v>
      </c>
      <c r="BZ703">
        <v>0.23703543574747044</v>
      </c>
      <c r="CA703">
        <v>0</v>
      </c>
      <c r="CB703">
        <v>0.76296456425252956</v>
      </c>
      <c r="CC703">
        <v>0</v>
      </c>
      <c r="CD703">
        <v>0</v>
      </c>
      <c r="CE703">
        <v>0</v>
      </c>
      <c r="CF703">
        <v>0</v>
      </c>
      <c r="CG703">
        <v>0</v>
      </c>
    </row>
    <row r="704" spans="1:85" x14ac:dyDescent="0.25">
      <c r="A704" t="s">
        <v>128</v>
      </c>
      <c r="B704" t="s">
        <v>146</v>
      </c>
      <c r="C704" t="s">
        <v>72</v>
      </c>
      <c r="D704" s="12">
        <v>46244</v>
      </c>
      <c r="E704" t="s">
        <v>136</v>
      </c>
      <c r="F704" t="s">
        <v>136</v>
      </c>
      <c r="G704" t="s">
        <v>136</v>
      </c>
      <c r="H704" t="s">
        <v>75</v>
      </c>
      <c r="I704">
        <v>10</v>
      </c>
      <c r="J704">
        <v>1</v>
      </c>
      <c r="K704">
        <v>3.1779578349000128</v>
      </c>
      <c r="L704">
        <v>46244</v>
      </c>
      <c r="M704" t="s">
        <v>201</v>
      </c>
      <c r="N704">
        <v>2.8499999999999996</v>
      </c>
      <c r="O704">
        <v>2.8499999999999996</v>
      </c>
      <c r="P704">
        <v>4.6332179930795849</v>
      </c>
      <c r="Q704">
        <v>0.89680233283827326</v>
      </c>
      <c r="R704">
        <v>0.89680233283827326</v>
      </c>
      <c r="S704">
        <v>1.4579230542954509</v>
      </c>
      <c r="T704">
        <v>0.45792305429545088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0.10319766716172674</v>
      </c>
      <c r="AD704">
        <v>0</v>
      </c>
      <c r="AE704">
        <v>0</v>
      </c>
      <c r="AF704">
        <v>0</v>
      </c>
      <c r="AG704">
        <v>0</v>
      </c>
      <c r="AH704">
        <v>0.89680233283827326</v>
      </c>
      <c r="AI704">
        <v>0</v>
      </c>
      <c r="AJ704">
        <v>0</v>
      </c>
      <c r="AK704">
        <v>0</v>
      </c>
      <c r="AL704">
        <v>0</v>
      </c>
      <c r="AM704">
        <v>0</v>
      </c>
      <c r="AN704">
        <v>1.1150729245263205</v>
      </c>
      <c r="AO704">
        <v>1.1150729245263205</v>
      </c>
      <c r="AP704">
        <v>1.6256905238875738</v>
      </c>
      <c r="AQ704">
        <v>0.51061759936125339</v>
      </c>
      <c r="AR704">
        <v>0</v>
      </c>
      <c r="AS704">
        <v>0</v>
      </c>
      <c r="AT704">
        <v>0</v>
      </c>
      <c r="AU704">
        <v>0</v>
      </c>
      <c r="AV704">
        <v>0.38492707547367955</v>
      </c>
      <c r="AW704">
        <v>0.11507292452632045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0.61512322628827476</v>
      </c>
      <c r="BL704">
        <v>0.61512322628827476</v>
      </c>
      <c r="BM704">
        <v>0.68590725488133208</v>
      </c>
      <c r="BN704">
        <v>0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0</v>
      </c>
      <c r="BV704">
        <v>0</v>
      </c>
      <c r="BW704">
        <v>0</v>
      </c>
      <c r="BX704">
        <v>0.31409274511866792</v>
      </c>
      <c r="BY704">
        <v>0</v>
      </c>
      <c r="BZ704">
        <v>0</v>
      </c>
      <c r="CA704">
        <v>0</v>
      </c>
      <c r="CB704">
        <v>0.61512322628827476</v>
      </c>
      <c r="CC704">
        <v>0</v>
      </c>
      <c r="CD704">
        <v>0</v>
      </c>
      <c r="CE704">
        <v>0</v>
      </c>
      <c r="CF704">
        <v>0</v>
      </c>
      <c r="CG704">
        <v>0</v>
      </c>
    </row>
    <row r="705" spans="1:85" x14ac:dyDescent="0.25">
      <c r="A705" t="s">
        <v>128</v>
      </c>
      <c r="B705" t="s">
        <v>146</v>
      </c>
      <c r="C705" t="s">
        <v>72</v>
      </c>
      <c r="D705" s="12">
        <v>46244</v>
      </c>
      <c r="E705" t="s">
        <v>136</v>
      </c>
      <c r="F705" t="s">
        <v>136</v>
      </c>
      <c r="G705" t="s">
        <v>136</v>
      </c>
      <c r="H705" t="s">
        <v>74</v>
      </c>
      <c r="I705">
        <v>10</v>
      </c>
      <c r="J705">
        <v>1</v>
      </c>
      <c r="K705">
        <v>0</v>
      </c>
      <c r="L705">
        <v>46244</v>
      </c>
      <c r="M705" t="s">
        <v>202</v>
      </c>
      <c r="N705">
        <v>0</v>
      </c>
      <c r="O705">
        <v>0</v>
      </c>
      <c r="P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  <c r="AK705">
        <v>0</v>
      </c>
      <c r="AM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1</v>
      </c>
      <c r="BY705">
        <v>0</v>
      </c>
      <c r="BZ705">
        <v>0</v>
      </c>
      <c r="CA705">
        <v>0</v>
      </c>
      <c r="CB705">
        <v>0</v>
      </c>
      <c r="CC705">
        <v>0</v>
      </c>
      <c r="CD705">
        <v>0</v>
      </c>
      <c r="CE705">
        <v>0</v>
      </c>
      <c r="CG705">
        <v>0</v>
      </c>
    </row>
    <row r="706" spans="1:85" x14ac:dyDescent="0.25">
      <c r="A706" t="s">
        <v>128</v>
      </c>
      <c r="B706" t="s">
        <v>146</v>
      </c>
      <c r="C706" t="s">
        <v>72</v>
      </c>
      <c r="D706" s="12">
        <v>46244</v>
      </c>
      <c r="E706" t="s">
        <v>136</v>
      </c>
      <c r="F706" t="s">
        <v>136</v>
      </c>
      <c r="G706" t="s">
        <v>136</v>
      </c>
      <c r="H706" t="s">
        <v>73</v>
      </c>
      <c r="I706">
        <v>10</v>
      </c>
      <c r="J706">
        <v>1</v>
      </c>
      <c r="K706">
        <v>3.5876164620550925</v>
      </c>
      <c r="L706">
        <v>46244</v>
      </c>
      <c r="M706" t="s">
        <v>203</v>
      </c>
      <c r="N706">
        <v>3.8</v>
      </c>
      <c r="O706">
        <v>3.8</v>
      </c>
      <c r="P706">
        <v>4.7022058823529411</v>
      </c>
      <c r="Q706">
        <v>1.0591990643903022</v>
      </c>
      <c r="R706">
        <v>1.0591990643903022</v>
      </c>
      <c r="S706">
        <v>1.310676860831266</v>
      </c>
      <c r="T706">
        <v>0.2514777964409638</v>
      </c>
      <c r="U706">
        <v>0</v>
      </c>
      <c r="V706">
        <v>0</v>
      </c>
      <c r="W706">
        <v>0</v>
      </c>
      <c r="X706">
        <v>0</v>
      </c>
      <c r="Y706">
        <v>0.1908009356096978</v>
      </c>
      <c r="Z706">
        <v>5.9199064390302203E-2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>
        <v>0</v>
      </c>
      <c r="AM706">
        <v>1</v>
      </c>
      <c r="AN706">
        <v>0.94410959527765603</v>
      </c>
      <c r="AO706">
        <v>0.94410959527765603</v>
      </c>
      <c r="AP706">
        <v>1.2374226006191951</v>
      </c>
      <c r="AQ706">
        <v>0.23742260061919507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0.94410959527765603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0.80813135261923374</v>
      </c>
      <c r="BL706">
        <v>0.80813135261923374</v>
      </c>
      <c r="BM706">
        <v>0.76296456425252945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0.19186864738076626</v>
      </c>
      <c r="BY706">
        <v>0</v>
      </c>
      <c r="BZ706">
        <v>4.5166788366704291E-2</v>
      </c>
      <c r="CA706">
        <v>0</v>
      </c>
      <c r="CB706">
        <v>0.76296456425252945</v>
      </c>
      <c r="CC706">
        <v>0</v>
      </c>
      <c r="CD706">
        <v>0</v>
      </c>
      <c r="CE706">
        <v>0</v>
      </c>
      <c r="CF706">
        <v>0</v>
      </c>
      <c r="CG706">
        <v>0</v>
      </c>
    </row>
    <row r="707" spans="1:85" x14ac:dyDescent="0.25">
      <c r="A707" t="s">
        <v>128</v>
      </c>
      <c r="B707" t="s">
        <v>146</v>
      </c>
      <c r="C707" t="s">
        <v>72</v>
      </c>
      <c r="D707" s="12">
        <v>46243</v>
      </c>
      <c r="E707" t="s">
        <v>136</v>
      </c>
      <c r="F707" t="s">
        <v>136</v>
      </c>
      <c r="G707" t="s">
        <v>136</v>
      </c>
      <c r="H707" t="s">
        <v>75</v>
      </c>
      <c r="I707">
        <v>10</v>
      </c>
      <c r="J707">
        <v>1</v>
      </c>
      <c r="K707">
        <v>3.1779578349000133</v>
      </c>
      <c r="L707">
        <v>46243</v>
      </c>
      <c r="M707" t="s">
        <v>205</v>
      </c>
      <c r="N707">
        <v>2.8499999999999996</v>
      </c>
      <c r="O707">
        <v>2.8499999999999996</v>
      </c>
      <c r="P707">
        <v>4.6332179930795849</v>
      </c>
      <c r="Q707">
        <v>0.89680233283827315</v>
      </c>
      <c r="R707">
        <v>0.89680233283827315</v>
      </c>
      <c r="S707">
        <v>1.4579230542954507</v>
      </c>
      <c r="T707">
        <v>0.45792305429545066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0.10319766716172685</v>
      </c>
      <c r="AD707">
        <v>0</v>
      </c>
      <c r="AE707">
        <v>0</v>
      </c>
      <c r="AF707">
        <v>0</v>
      </c>
      <c r="AG707">
        <v>0</v>
      </c>
      <c r="AH707">
        <v>0.89680233283827315</v>
      </c>
      <c r="AI707">
        <v>0</v>
      </c>
      <c r="AJ707">
        <v>0</v>
      </c>
      <c r="AK707">
        <v>0</v>
      </c>
      <c r="AL707">
        <v>0</v>
      </c>
      <c r="AM707">
        <v>0</v>
      </c>
      <c r="AN707">
        <v>1.1150729245263207</v>
      </c>
      <c r="AO707">
        <v>1.1150729245263207</v>
      </c>
      <c r="AP707">
        <v>1.6256905238875738</v>
      </c>
      <c r="AQ707">
        <v>0.51061759936125317</v>
      </c>
      <c r="AR707">
        <v>0</v>
      </c>
      <c r="AS707">
        <v>0</v>
      </c>
      <c r="AT707">
        <v>0</v>
      </c>
      <c r="AU707">
        <v>0</v>
      </c>
      <c r="AV707">
        <v>0.38492707547367933</v>
      </c>
      <c r="AW707">
        <v>0.11507292452632067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0.61512322628827476</v>
      </c>
      <c r="BL707">
        <v>0.61512322628827476</v>
      </c>
      <c r="BM707">
        <v>0.6859072548813322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0.3140927451186678</v>
      </c>
      <c r="BY707">
        <v>0</v>
      </c>
      <c r="BZ707">
        <v>0</v>
      </c>
      <c r="CA707">
        <v>0</v>
      </c>
      <c r="CB707">
        <v>0.61512322628827476</v>
      </c>
      <c r="CC707">
        <v>0</v>
      </c>
      <c r="CD707">
        <v>0</v>
      </c>
      <c r="CE707">
        <v>0</v>
      </c>
      <c r="CF707">
        <v>0</v>
      </c>
      <c r="CG707">
        <v>0</v>
      </c>
    </row>
    <row r="708" spans="1:85" x14ac:dyDescent="0.25">
      <c r="A708" t="s">
        <v>128</v>
      </c>
      <c r="B708" t="s">
        <v>146</v>
      </c>
      <c r="C708" t="s">
        <v>72</v>
      </c>
      <c r="D708" s="12">
        <v>46243</v>
      </c>
      <c r="E708" t="s">
        <v>136</v>
      </c>
      <c r="F708" t="s">
        <v>136</v>
      </c>
      <c r="G708" t="s">
        <v>136</v>
      </c>
      <c r="H708" t="s">
        <v>74</v>
      </c>
      <c r="I708">
        <v>10</v>
      </c>
      <c r="J708">
        <v>1</v>
      </c>
      <c r="K708">
        <v>0</v>
      </c>
      <c r="L708">
        <v>46243</v>
      </c>
      <c r="M708" t="s">
        <v>214</v>
      </c>
      <c r="N708">
        <v>0.95</v>
      </c>
      <c r="O708">
        <v>0.95</v>
      </c>
      <c r="P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1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1</v>
      </c>
      <c r="AK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N708">
        <v>0</v>
      </c>
      <c r="BO708">
        <v>0</v>
      </c>
      <c r="BP708">
        <v>0</v>
      </c>
      <c r="BQ708">
        <v>0</v>
      </c>
      <c r="BR708">
        <v>0</v>
      </c>
      <c r="BS708">
        <v>0</v>
      </c>
      <c r="BT708">
        <v>0</v>
      </c>
      <c r="BU708">
        <v>0</v>
      </c>
      <c r="BV708">
        <v>0</v>
      </c>
      <c r="BW708">
        <v>0</v>
      </c>
      <c r="BX708">
        <v>1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1</v>
      </c>
      <c r="CE708">
        <v>0</v>
      </c>
      <c r="CG708">
        <v>0</v>
      </c>
    </row>
    <row r="709" spans="1:85" x14ac:dyDescent="0.25">
      <c r="A709" t="s">
        <v>128</v>
      </c>
      <c r="B709" t="s">
        <v>146</v>
      </c>
      <c r="C709" t="s">
        <v>72</v>
      </c>
      <c r="D709" s="12">
        <v>46243</v>
      </c>
      <c r="E709" t="s">
        <v>136</v>
      </c>
      <c r="F709" t="s">
        <v>136</v>
      </c>
      <c r="G709" t="s">
        <v>136</v>
      </c>
      <c r="H709" t="s">
        <v>73</v>
      </c>
      <c r="I709">
        <v>10</v>
      </c>
      <c r="J709">
        <v>1</v>
      </c>
      <c r="K709">
        <v>3.5876164620550925</v>
      </c>
      <c r="L709">
        <v>46243</v>
      </c>
      <c r="M709" t="s">
        <v>206</v>
      </c>
      <c r="N709">
        <v>3.8</v>
      </c>
      <c r="O709">
        <v>3.8</v>
      </c>
      <c r="P709">
        <v>4.702205882352942</v>
      </c>
      <c r="Q709">
        <v>1.0591990643903022</v>
      </c>
      <c r="R709">
        <v>1.0591990643903022</v>
      </c>
      <c r="S709">
        <v>1.3106768608312662</v>
      </c>
      <c r="T709">
        <v>0.25147779644096402</v>
      </c>
      <c r="U709">
        <v>0</v>
      </c>
      <c r="V709">
        <v>0</v>
      </c>
      <c r="W709">
        <v>0</v>
      </c>
      <c r="X709">
        <v>0</v>
      </c>
      <c r="Y709">
        <v>0.1908009356096978</v>
      </c>
      <c r="Z709">
        <v>5.9199064390302203E-2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>
        <v>0</v>
      </c>
      <c r="AM709">
        <v>1</v>
      </c>
      <c r="AN709">
        <v>0.94410959527765603</v>
      </c>
      <c r="AO709">
        <v>0.94410959527765603</v>
      </c>
      <c r="AP709">
        <v>1.2374226006191953</v>
      </c>
      <c r="AQ709">
        <v>0.23742260061919529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0.94410959527765603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0.80813135261923363</v>
      </c>
      <c r="BL709">
        <v>0.80813135261923363</v>
      </c>
      <c r="BM709">
        <v>0.76296456425252934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0.19186864738076637</v>
      </c>
      <c r="BY709">
        <v>0</v>
      </c>
      <c r="BZ709">
        <v>4.5166788366704291E-2</v>
      </c>
      <c r="CA709">
        <v>0</v>
      </c>
      <c r="CB709">
        <v>0.76296456425252934</v>
      </c>
      <c r="CC709">
        <v>0</v>
      </c>
      <c r="CD709">
        <v>0</v>
      </c>
      <c r="CE709">
        <v>0</v>
      </c>
      <c r="CF709">
        <v>0</v>
      </c>
      <c r="CG709">
        <v>0</v>
      </c>
    </row>
    <row r="710" spans="1:85" x14ac:dyDescent="0.25">
      <c r="A710" t="s">
        <v>128</v>
      </c>
      <c r="B710" t="s">
        <v>146</v>
      </c>
      <c r="C710" t="s">
        <v>72</v>
      </c>
      <c r="D710" s="12">
        <v>46242</v>
      </c>
      <c r="E710" t="s">
        <v>136</v>
      </c>
      <c r="F710" t="s">
        <v>136</v>
      </c>
      <c r="G710" t="s">
        <v>136</v>
      </c>
      <c r="H710" t="s">
        <v>75</v>
      </c>
      <c r="I710">
        <v>10</v>
      </c>
      <c r="J710">
        <v>1</v>
      </c>
      <c r="K710">
        <v>3.1779578349000133</v>
      </c>
      <c r="L710">
        <v>46242</v>
      </c>
      <c r="M710" t="s">
        <v>207</v>
      </c>
      <c r="N710">
        <v>2.8499999999999996</v>
      </c>
      <c r="O710">
        <v>2.8499999999999996</v>
      </c>
      <c r="P710">
        <v>4.6332179930795849</v>
      </c>
      <c r="Q710">
        <v>0.89680233283827315</v>
      </c>
      <c r="R710">
        <v>0.89680233283827315</v>
      </c>
      <c r="S710">
        <v>1.4579230542954507</v>
      </c>
      <c r="T710">
        <v>0.45792305429545066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0.10319766716172685</v>
      </c>
      <c r="AD710">
        <v>0</v>
      </c>
      <c r="AE710">
        <v>0</v>
      </c>
      <c r="AF710">
        <v>0</v>
      </c>
      <c r="AG710">
        <v>0</v>
      </c>
      <c r="AH710">
        <v>0.89680233283827315</v>
      </c>
      <c r="AI710">
        <v>0</v>
      </c>
      <c r="AJ710">
        <v>0</v>
      </c>
      <c r="AK710">
        <v>0</v>
      </c>
      <c r="AL710">
        <v>0</v>
      </c>
      <c r="AM710">
        <v>0</v>
      </c>
      <c r="AN710">
        <v>1.1150729245263207</v>
      </c>
      <c r="AO710">
        <v>1.1150729245263207</v>
      </c>
      <c r="AP710">
        <v>1.6256905238875738</v>
      </c>
      <c r="AQ710">
        <v>0.51061759936125317</v>
      </c>
      <c r="AR710">
        <v>0</v>
      </c>
      <c r="AS710">
        <v>0</v>
      </c>
      <c r="AT710">
        <v>0</v>
      </c>
      <c r="AU710">
        <v>0</v>
      </c>
      <c r="AV710">
        <v>0.38492707547367933</v>
      </c>
      <c r="AW710">
        <v>0.11507292452632067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0.61512322628827476</v>
      </c>
      <c r="BL710">
        <v>0.61512322628827476</v>
      </c>
      <c r="BM710">
        <v>0.6859072548813322</v>
      </c>
      <c r="BN710">
        <v>0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0</v>
      </c>
      <c r="BV710">
        <v>0</v>
      </c>
      <c r="BW710">
        <v>0</v>
      </c>
      <c r="BX710">
        <v>0.3140927451186678</v>
      </c>
      <c r="BY710">
        <v>0</v>
      </c>
      <c r="BZ710">
        <v>0</v>
      </c>
      <c r="CA710">
        <v>0</v>
      </c>
      <c r="CB710">
        <v>0.61512322628827476</v>
      </c>
      <c r="CC710">
        <v>0</v>
      </c>
      <c r="CD710">
        <v>0</v>
      </c>
      <c r="CE710">
        <v>0</v>
      </c>
      <c r="CF710">
        <v>0</v>
      </c>
      <c r="CG710">
        <v>0</v>
      </c>
    </row>
    <row r="711" spans="1:85" x14ac:dyDescent="0.25">
      <c r="A711" t="s">
        <v>128</v>
      </c>
      <c r="B711" t="s">
        <v>146</v>
      </c>
      <c r="C711" t="s">
        <v>72</v>
      </c>
      <c r="D711" s="12">
        <v>46242</v>
      </c>
      <c r="E711" t="s">
        <v>136</v>
      </c>
      <c r="F711" t="s">
        <v>136</v>
      </c>
      <c r="G711" t="s">
        <v>136</v>
      </c>
      <c r="H711" t="s">
        <v>74</v>
      </c>
      <c r="I711">
        <v>10</v>
      </c>
      <c r="J711">
        <v>1</v>
      </c>
      <c r="K711">
        <v>0</v>
      </c>
      <c r="L711">
        <v>46242</v>
      </c>
      <c r="M711" t="s">
        <v>208</v>
      </c>
      <c r="N711">
        <v>0.95</v>
      </c>
      <c r="O711">
        <v>0.95</v>
      </c>
      <c r="P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1</v>
      </c>
      <c r="AK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1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1</v>
      </c>
      <c r="CE711">
        <v>0</v>
      </c>
      <c r="CG711">
        <v>0</v>
      </c>
    </row>
    <row r="712" spans="1:85" x14ac:dyDescent="0.25">
      <c r="A712" t="s">
        <v>128</v>
      </c>
      <c r="B712" t="s">
        <v>146</v>
      </c>
      <c r="C712" t="s">
        <v>72</v>
      </c>
      <c r="D712" s="12">
        <v>46246</v>
      </c>
      <c r="E712" t="s">
        <v>136</v>
      </c>
      <c r="F712" t="s">
        <v>136</v>
      </c>
      <c r="G712" t="s">
        <v>136</v>
      </c>
      <c r="H712" t="s">
        <v>75</v>
      </c>
      <c r="I712">
        <v>10</v>
      </c>
      <c r="J712">
        <v>1</v>
      </c>
      <c r="K712">
        <v>3.1779578349000128</v>
      </c>
      <c r="L712">
        <v>46246</v>
      </c>
      <c r="M712" t="s">
        <v>204</v>
      </c>
      <c r="N712">
        <v>2.8499999999999996</v>
      </c>
      <c r="O712">
        <v>2.8499999999999996</v>
      </c>
      <c r="P712">
        <v>4.6332179930795849</v>
      </c>
      <c r="Q712">
        <v>0.89680233283827326</v>
      </c>
      <c r="R712">
        <v>0.89680233283827326</v>
      </c>
      <c r="S712">
        <v>1.4579230542954509</v>
      </c>
      <c r="T712">
        <v>0.45792305429545088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0.10319766716172674</v>
      </c>
      <c r="AD712">
        <v>0</v>
      </c>
      <c r="AE712">
        <v>0</v>
      </c>
      <c r="AF712">
        <v>0</v>
      </c>
      <c r="AG712">
        <v>0</v>
      </c>
      <c r="AH712">
        <v>0.89680233283827326</v>
      </c>
      <c r="AI712">
        <v>0</v>
      </c>
      <c r="AJ712">
        <v>0</v>
      </c>
      <c r="AK712">
        <v>0</v>
      </c>
      <c r="AL712">
        <v>0</v>
      </c>
      <c r="AM712">
        <v>0</v>
      </c>
      <c r="AN712">
        <v>1.1150729245263205</v>
      </c>
      <c r="AO712">
        <v>1.1150729245263205</v>
      </c>
      <c r="AP712">
        <v>1.6256905238875738</v>
      </c>
      <c r="AQ712">
        <v>0.51061759936125339</v>
      </c>
      <c r="AR712">
        <v>0</v>
      </c>
      <c r="AS712">
        <v>0</v>
      </c>
      <c r="AT712">
        <v>0</v>
      </c>
      <c r="AU712">
        <v>0</v>
      </c>
      <c r="AV712">
        <v>0.38492707547367955</v>
      </c>
      <c r="AW712">
        <v>0.11507292452632045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0.61512322628827476</v>
      </c>
      <c r="BL712">
        <v>0.61512322628827476</v>
      </c>
      <c r="BM712">
        <v>0.68590725488133208</v>
      </c>
      <c r="BN712">
        <v>0</v>
      </c>
      <c r="BO712">
        <v>0</v>
      </c>
      <c r="BP712">
        <v>0</v>
      </c>
      <c r="BQ712">
        <v>0</v>
      </c>
      <c r="BR712">
        <v>0</v>
      </c>
      <c r="BS712">
        <v>0</v>
      </c>
      <c r="BT712">
        <v>0</v>
      </c>
      <c r="BU712">
        <v>0</v>
      </c>
      <c r="BV712">
        <v>0</v>
      </c>
      <c r="BW712">
        <v>0</v>
      </c>
      <c r="BX712">
        <v>0.31409274511866792</v>
      </c>
      <c r="BY712">
        <v>0</v>
      </c>
      <c r="BZ712">
        <v>0</v>
      </c>
      <c r="CA712">
        <v>0</v>
      </c>
      <c r="CB712">
        <v>0.61512322628827476</v>
      </c>
      <c r="CC712">
        <v>0</v>
      </c>
      <c r="CD712">
        <v>0</v>
      </c>
      <c r="CE712">
        <v>0</v>
      </c>
      <c r="CF712">
        <v>0</v>
      </c>
      <c r="CG712">
        <v>0</v>
      </c>
    </row>
    <row r="713" spans="1:85" x14ac:dyDescent="0.25">
      <c r="A713" t="s">
        <v>128</v>
      </c>
      <c r="B713" t="s">
        <v>146</v>
      </c>
      <c r="C713" t="s">
        <v>72</v>
      </c>
      <c r="D713" s="12">
        <v>46242</v>
      </c>
      <c r="E713" t="s">
        <v>136</v>
      </c>
      <c r="F713" t="s">
        <v>136</v>
      </c>
      <c r="G713" t="s">
        <v>136</v>
      </c>
      <c r="H713" t="s">
        <v>73</v>
      </c>
      <c r="I713">
        <v>10</v>
      </c>
      <c r="J713">
        <v>1</v>
      </c>
      <c r="K713">
        <v>3.5876164620550925</v>
      </c>
      <c r="L713">
        <v>46242</v>
      </c>
      <c r="M713" t="s">
        <v>209</v>
      </c>
      <c r="N713">
        <v>3.8</v>
      </c>
      <c r="O713">
        <v>3.8</v>
      </c>
      <c r="P713">
        <v>4.702205882352942</v>
      </c>
      <c r="Q713">
        <v>1.0591990643903022</v>
      </c>
      <c r="R713">
        <v>1.0591990643903022</v>
      </c>
      <c r="S713">
        <v>1.3106768608312662</v>
      </c>
      <c r="T713">
        <v>0.25147779644096402</v>
      </c>
      <c r="U713">
        <v>0</v>
      </c>
      <c r="V713">
        <v>0</v>
      </c>
      <c r="W713">
        <v>0</v>
      </c>
      <c r="X713">
        <v>0</v>
      </c>
      <c r="Y713">
        <v>0.1908009356096978</v>
      </c>
      <c r="Z713">
        <v>5.9199064390302203E-2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1</v>
      </c>
      <c r="AN713">
        <v>0.94410959527765603</v>
      </c>
      <c r="AO713">
        <v>0.94410959527765603</v>
      </c>
      <c r="AP713">
        <v>1.2374226006191953</v>
      </c>
      <c r="AQ713">
        <v>0.23742260061919529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0.94410959527765603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0.80813135261923363</v>
      </c>
      <c r="BL713">
        <v>0.80813135261923363</v>
      </c>
      <c r="BM713">
        <v>0.76296456425252934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0.19186864738076637</v>
      </c>
      <c r="BY713">
        <v>0</v>
      </c>
      <c r="BZ713">
        <v>4.5166788366704291E-2</v>
      </c>
      <c r="CA713">
        <v>0</v>
      </c>
      <c r="CB713">
        <v>0.76296456425252934</v>
      </c>
      <c r="CC713">
        <v>0</v>
      </c>
      <c r="CD713">
        <v>0</v>
      </c>
      <c r="CE713">
        <v>0</v>
      </c>
      <c r="CF713">
        <v>0</v>
      </c>
      <c r="CG713">
        <v>0</v>
      </c>
    </row>
    <row r="714" spans="1:85" x14ac:dyDescent="0.25">
      <c r="A714" t="s">
        <v>128</v>
      </c>
      <c r="B714" t="s">
        <v>146</v>
      </c>
      <c r="C714" t="s">
        <v>72</v>
      </c>
      <c r="D714" s="12">
        <v>46241</v>
      </c>
      <c r="E714" t="s">
        <v>136</v>
      </c>
      <c r="F714" t="s">
        <v>136</v>
      </c>
      <c r="G714" t="s">
        <v>136</v>
      </c>
      <c r="H714" t="s">
        <v>74</v>
      </c>
      <c r="I714">
        <v>10</v>
      </c>
      <c r="J714">
        <v>1</v>
      </c>
      <c r="K714">
        <v>0</v>
      </c>
      <c r="L714">
        <v>46241</v>
      </c>
      <c r="M714" t="s">
        <v>211</v>
      </c>
      <c r="N714">
        <v>0</v>
      </c>
      <c r="O714">
        <v>0</v>
      </c>
      <c r="P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M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1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G714">
        <v>0</v>
      </c>
    </row>
    <row r="715" spans="1:85" x14ac:dyDescent="0.25">
      <c r="A715" t="s">
        <v>128</v>
      </c>
      <c r="B715" t="s">
        <v>146</v>
      </c>
      <c r="C715" t="s">
        <v>72</v>
      </c>
      <c r="D715" s="12">
        <v>46241</v>
      </c>
      <c r="E715" t="s">
        <v>136</v>
      </c>
      <c r="F715" t="s">
        <v>136</v>
      </c>
      <c r="G715" t="s">
        <v>136</v>
      </c>
      <c r="H715" t="s">
        <v>73</v>
      </c>
      <c r="I715">
        <v>10</v>
      </c>
      <c r="J715">
        <v>1</v>
      </c>
      <c r="K715">
        <v>3.587616462055093</v>
      </c>
      <c r="L715">
        <v>46241</v>
      </c>
      <c r="M715" t="s">
        <v>212</v>
      </c>
      <c r="N715">
        <v>3.8</v>
      </c>
      <c r="O715">
        <v>3.8</v>
      </c>
      <c r="P715">
        <v>4.7022058823529393</v>
      </c>
      <c r="Q715">
        <v>1.059199064390302</v>
      </c>
      <c r="R715">
        <v>1.059199064390302</v>
      </c>
      <c r="S715">
        <v>1.3106768608312653</v>
      </c>
      <c r="T715">
        <v>0.25147779644096335</v>
      </c>
      <c r="U715">
        <v>0</v>
      </c>
      <c r="V715">
        <v>0</v>
      </c>
      <c r="W715">
        <v>0</v>
      </c>
      <c r="X715">
        <v>0</v>
      </c>
      <c r="Y715">
        <v>0.19080093560969802</v>
      </c>
      <c r="Z715">
        <v>5.9199064390301981E-2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1</v>
      </c>
      <c r="AN715">
        <v>0.94410959527765614</v>
      </c>
      <c r="AO715">
        <v>0.94410959527765614</v>
      </c>
      <c r="AP715">
        <v>1.2374226006191946</v>
      </c>
      <c r="AQ715">
        <v>0.23742260061919462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0.94410959527765614</v>
      </c>
      <c r="BF715">
        <v>0</v>
      </c>
      <c r="BG715">
        <v>0</v>
      </c>
      <c r="BH715">
        <v>0</v>
      </c>
      <c r="BI715">
        <v>0</v>
      </c>
      <c r="BJ715">
        <v>0</v>
      </c>
      <c r="BK715">
        <v>0.80813135261923408</v>
      </c>
      <c r="BL715">
        <v>0.80813135261923408</v>
      </c>
      <c r="BM715">
        <v>0.7629645642525299</v>
      </c>
      <c r="BN715">
        <v>0</v>
      </c>
      <c r="BO715">
        <v>0</v>
      </c>
      <c r="BP715">
        <v>0</v>
      </c>
      <c r="BQ715">
        <v>0</v>
      </c>
      <c r="BR715">
        <v>0</v>
      </c>
      <c r="BS715">
        <v>0</v>
      </c>
      <c r="BT715">
        <v>0</v>
      </c>
      <c r="BU715">
        <v>0</v>
      </c>
      <c r="BV715">
        <v>0</v>
      </c>
      <c r="BW715">
        <v>0</v>
      </c>
      <c r="BX715">
        <v>0.19186864738076592</v>
      </c>
      <c r="BY715">
        <v>0</v>
      </c>
      <c r="BZ715">
        <v>4.516678836670418E-2</v>
      </c>
      <c r="CA715">
        <v>0</v>
      </c>
      <c r="CB715">
        <v>0.7629645642525299</v>
      </c>
      <c r="CC715">
        <v>0</v>
      </c>
      <c r="CD715">
        <v>0</v>
      </c>
      <c r="CE715">
        <v>0</v>
      </c>
      <c r="CF715">
        <v>0</v>
      </c>
      <c r="CG715">
        <v>0</v>
      </c>
    </row>
    <row r="716" spans="1:85" x14ac:dyDescent="0.25">
      <c r="A716" t="s">
        <v>128</v>
      </c>
      <c r="B716" t="s">
        <v>146</v>
      </c>
      <c r="C716" t="s">
        <v>72</v>
      </c>
      <c r="D716" s="12">
        <v>46240</v>
      </c>
      <c r="E716" t="s">
        <v>136</v>
      </c>
      <c r="F716" t="s">
        <v>136</v>
      </c>
      <c r="G716" t="s">
        <v>136</v>
      </c>
      <c r="H716" t="s">
        <v>75</v>
      </c>
      <c r="I716">
        <v>10</v>
      </c>
      <c r="J716">
        <v>1</v>
      </c>
      <c r="K716">
        <v>3.1779578349000128</v>
      </c>
      <c r="L716">
        <v>46240</v>
      </c>
      <c r="M716" t="s">
        <v>213</v>
      </c>
      <c r="N716">
        <v>2.8499999999999996</v>
      </c>
      <c r="O716">
        <v>2.8499999999999996</v>
      </c>
      <c r="P716">
        <v>4.6332179930795849</v>
      </c>
      <c r="Q716">
        <v>0.89680233283827326</v>
      </c>
      <c r="R716">
        <v>0.89680233283827326</v>
      </c>
      <c r="S716">
        <v>1.4579230542954509</v>
      </c>
      <c r="T716">
        <v>0.45792305429545088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0.10319766716172674</v>
      </c>
      <c r="AD716">
        <v>0</v>
      </c>
      <c r="AE716">
        <v>0</v>
      </c>
      <c r="AF716">
        <v>0</v>
      </c>
      <c r="AG716">
        <v>0</v>
      </c>
      <c r="AH716">
        <v>0.89680233283827326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1.1150729245263205</v>
      </c>
      <c r="AO716">
        <v>1.1150729245263205</v>
      </c>
      <c r="AP716">
        <v>1.6256905238875738</v>
      </c>
      <c r="AQ716">
        <v>0.51061759936125339</v>
      </c>
      <c r="AR716">
        <v>0</v>
      </c>
      <c r="AS716">
        <v>0</v>
      </c>
      <c r="AT716">
        <v>0</v>
      </c>
      <c r="AU716">
        <v>0</v>
      </c>
      <c r="AV716">
        <v>0.38492707547367955</v>
      </c>
      <c r="AW716">
        <v>0.11507292452632045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0</v>
      </c>
      <c r="BH716">
        <v>0</v>
      </c>
      <c r="BI716">
        <v>0</v>
      </c>
      <c r="BJ716">
        <v>0</v>
      </c>
      <c r="BK716">
        <v>0.61512322628827476</v>
      </c>
      <c r="BL716">
        <v>0.61512322628827476</v>
      </c>
      <c r="BM716">
        <v>0.68590725488133208</v>
      </c>
      <c r="BN716">
        <v>0</v>
      </c>
      <c r="BO716">
        <v>0</v>
      </c>
      <c r="BP716">
        <v>0</v>
      </c>
      <c r="BQ716">
        <v>0</v>
      </c>
      <c r="BR716">
        <v>0</v>
      </c>
      <c r="BS716">
        <v>0</v>
      </c>
      <c r="BT716">
        <v>0</v>
      </c>
      <c r="BU716">
        <v>0</v>
      </c>
      <c r="BV716">
        <v>0</v>
      </c>
      <c r="BW716">
        <v>0</v>
      </c>
      <c r="BX716">
        <v>0.31409274511866792</v>
      </c>
      <c r="BY716">
        <v>0</v>
      </c>
      <c r="BZ716">
        <v>0</v>
      </c>
      <c r="CA716">
        <v>0</v>
      </c>
      <c r="CB716">
        <v>0.61512322628827476</v>
      </c>
      <c r="CC716">
        <v>0</v>
      </c>
      <c r="CD716">
        <v>0</v>
      </c>
      <c r="CE716">
        <v>0</v>
      </c>
      <c r="CF716">
        <v>0</v>
      </c>
      <c r="CG716">
        <v>0</v>
      </c>
    </row>
    <row r="717" spans="1:85" x14ac:dyDescent="0.25">
      <c r="A717" t="s">
        <v>128</v>
      </c>
      <c r="B717" t="s">
        <v>146</v>
      </c>
      <c r="C717" t="s">
        <v>72</v>
      </c>
      <c r="D717" s="12">
        <v>46240</v>
      </c>
      <c r="E717" t="s">
        <v>136</v>
      </c>
      <c r="F717" t="s">
        <v>136</v>
      </c>
      <c r="G717" t="s">
        <v>136</v>
      </c>
      <c r="H717" t="s">
        <v>74</v>
      </c>
      <c r="I717">
        <v>10</v>
      </c>
      <c r="J717">
        <v>1</v>
      </c>
      <c r="K717">
        <v>0</v>
      </c>
      <c r="L717">
        <v>46240</v>
      </c>
      <c r="M717" t="s">
        <v>195</v>
      </c>
      <c r="N717">
        <v>0</v>
      </c>
      <c r="O717">
        <v>0</v>
      </c>
      <c r="P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1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M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F717">
        <v>0</v>
      </c>
      <c r="BG717">
        <v>0</v>
      </c>
      <c r="BH717">
        <v>0</v>
      </c>
      <c r="BN717">
        <v>0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0</v>
      </c>
      <c r="BV717">
        <v>0</v>
      </c>
      <c r="BW717">
        <v>0</v>
      </c>
      <c r="BX717">
        <v>1</v>
      </c>
      <c r="BY717">
        <v>0</v>
      </c>
      <c r="BZ717">
        <v>0</v>
      </c>
      <c r="CA717">
        <v>0</v>
      </c>
      <c r="CB717">
        <v>0</v>
      </c>
      <c r="CC717">
        <v>0</v>
      </c>
      <c r="CD717">
        <v>0</v>
      </c>
      <c r="CE717">
        <v>0</v>
      </c>
      <c r="CG717">
        <v>0</v>
      </c>
    </row>
    <row r="718" spans="1:85" x14ac:dyDescent="0.25">
      <c r="A718" t="s">
        <v>128</v>
      </c>
      <c r="B718" t="s">
        <v>146</v>
      </c>
      <c r="C718" t="s">
        <v>72</v>
      </c>
      <c r="D718" s="12">
        <v>46240</v>
      </c>
      <c r="E718" t="s">
        <v>136</v>
      </c>
      <c r="F718" t="s">
        <v>136</v>
      </c>
      <c r="G718" t="s">
        <v>136</v>
      </c>
      <c r="H718" t="s">
        <v>73</v>
      </c>
      <c r="I718">
        <v>10</v>
      </c>
      <c r="J718">
        <v>1</v>
      </c>
      <c r="K718">
        <v>3.5876164620550925</v>
      </c>
      <c r="L718">
        <v>46240</v>
      </c>
      <c r="M718" t="s">
        <v>194</v>
      </c>
      <c r="N718">
        <v>3.8</v>
      </c>
      <c r="O718">
        <v>3.8</v>
      </c>
      <c r="P718">
        <v>4.7022058823529411</v>
      </c>
      <c r="Q718">
        <v>1.0591990643903022</v>
      </c>
      <c r="R718">
        <v>1.0591990643903022</v>
      </c>
      <c r="S718">
        <v>1.310676860831266</v>
      </c>
      <c r="T718">
        <v>0.2514777964409638</v>
      </c>
      <c r="U718">
        <v>0</v>
      </c>
      <c r="V718">
        <v>0</v>
      </c>
      <c r="W718">
        <v>0</v>
      </c>
      <c r="X718">
        <v>0</v>
      </c>
      <c r="Y718">
        <v>0.1908009356096978</v>
      </c>
      <c r="Z718">
        <v>5.9199064390302203E-2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1</v>
      </c>
      <c r="AN718">
        <v>0.94410959527765603</v>
      </c>
      <c r="AO718">
        <v>0.94410959527765603</v>
      </c>
      <c r="AP718">
        <v>1.2374226006191951</v>
      </c>
      <c r="AQ718">
        <v>0.23742260061919507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0.94410959527765603</v>
      </c>
      <c r="BF718">
        <v>0</v>
      </c>
      <c r="BG718">
        <v>0</v>
      </c>
      <c r="BH718">
        <v>0</v>
      </c>
      <c r="BI718">
        <v>0</v>
      </c>
      <c r="BJ718">
        <v>0</v>
      </c>
      <c r="BK718">
        <v>0.80813135261923374</v>
      </c>
      <c r="BL718">
        <v>0.80813135261923374</v>
      </c>
      <c r="BM718">
        <v>0.76296456425252945</v>
      </c>
      <c r="BN718">
        <v>0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0</v>
      </c>
      <c r="BV718">
        <v>0</v>
      </c>
      <c r="BW718">
        <v>0</v>
      </c>
      <c r="BX718">
        <v>0.19186864738076626</v>
      </c>
      <c r="BY718">
        <v>0</v>
      </c>
      <c r="BZ718">
        <v>4.5166788366704291E-2</v>
      </c>
      <c r="CA718">
        <v>0</v>
      </c>
      <c r="CB718">
        <v>0.76296456425252945</v>
      </c>
      <c r="CC718">
        <v>0</v>
      </c>
      <c r="CD718">
        <v>0</v>
      </c>
      <c r="CE718">
        <v>0</v>
      </c>
      <c r="CF718">
        <v>0</v>
      </c>
      <c r="CG718">
        <v>0</v>
      </c>
    </row>
    <row r="719" spans="1:85" x14ac:dyDescent="0.25">
      <c r="A719" t="s">
        <v>128</v>
      </c>
      <c r="B719" t="s">
        <v>146</v>
      </c>
      <c r="C719" t="s">
        <v>72</v>
      </c>
      <c r="D719" s="12">
        <v>46239</v>
      </c>
      <c r="E719" t="s">
        <v>136</v>
      </c>
      <c r="F719" t="s">
        <v>136</v>
      </c>
      <c r="G719" t="s">
        <v>136</v>
      </c>
      <c r="H719" t="s">
        <v>75</v>
      </c>
      <c r="I719">
        <v>10</v>
      </c>
      <c r="J719">
        <v>1</v>
      </c>
      <c r="K719">
        <v>3.1779578349000128</v>
      </c>
      <c r="L719">
        <v>46239</v>
      </c>
      <c r="M719" t="s">
        <v>178</v>
      </c>
      <c r="N719">
        <v>2.8499999999999996</v>
      </c>
      <c r="O719">
        <v>2.8499999999999996</v>
      </c>
      <c r="P719">
        <v>4.6332179930795849</v>
      </c>
      <c r="Q719">
        <v>0.89680233283827326</v>
      </c>
      <c r="R719">
        <v>0.89680233283827326</v>
      </c>
      <c r="S719">
        <v>1.4579230542954509</v>
      </c>
      <c r="T719">
        <v>0.45792305429545088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0.10319766716172674</v>
      </c>
      <c r="AD719">
        <v>0</v>
      </c>
      <c r="AE719">
        <v>0</v>
      </c>
      <c r="AF719">
        <v>0</v>
      </c>
      <c r="AG719">
        <v>0</v>
      </c>
      <c r="AH719">
        <v>0.89680233283827326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1.1150729245263205</v>
      </c>
      <c r="AO719">
        <v>1.1150729245263205</v>
      </c>
      <c r="AP719">
        <v>1.6256905238875738</v>
      </c>
      <c r="AQ719">
        <v>0.51061759936125339</v>
      </c>
      <c r="AR719">
        <v>0</v>
      </c>
      <c r="AS719">
        <v>0</v>
      </c>
      <c r="AT719">
        <v>0</v>
      </c>
      <c r="AU719">
        <v>0</v>
      </c>
      <c r="AV719">
        <v>0.38492707547367955</v>
      </c>
      <c r="AW719">
        <v>0.11507292452632045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0</v>
      </c>
      <c r="BK719">
        <v>0.61512322628827476</v>
      </c>
      <c r="BL719">
        <v>0.61512322628827476</v>
      </c>
      <c r="BM719">
        <v>0.68590725488133208</v>
      </c>
      <c r="BN719">
        <v>0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0</v>
      </c>
      <c r="BV719">
        <v>0</v>
      </c>
      <c r="BW719">
        <v>0</v>
      </c>
      <c r="BX719">
        <v>0.31409274511866792</v>
      </c>
      <c r="BY719">
        <v>0</v>
      </c>
      <c r="BZ719">
        <v>0</v>
      </c>
      <c r="CA719">
        <v>0</v>
      </c>
      <c r="CB719">
        <v>0.61512322628827476</v>
      </c>
      <c r="CC719">
        <v>0</v>
      </c>
      <c r="CD719">
        <v>0</v>
      </c>
      <c r="CE719">
        <v>0</v>
      </c>
      <c r="CF719">
        <v>0</v>
      </c>
      <c r="CG719">
        <v>0</v>
      </c>
    </row>
    <row r="720" spans="1:85" x14ac:dyDescent="0.25">
      <c r="A720" t="s">
        <v>128</v>
      </c>
      <c r="B720" t="s">
        <v>146</v>
      </c>
      <c r="C720" t="s">
        <v>72</v>
      </c>
      <c r="D720" s="12">
        <v>46239</v>
      </c>
      <c r="E720" t="s">
        <v>136</v>
      </c>
      <c r="F720" t="s">
        <v>136</v>
      </c>
      <c r="G720" t="s">
        <v>136</v>
      </c>
      <c r="H720" t="s">
        <v>74</v>
      </c>
      <c r="I720">
        <v>10</v>
      </c>
      <c r="J720">
        <v>1</v>
      </c>
      <c r="K720">
        <v>0</v>
      </c>
      <c r="L720">
        <v>46239</v>
      </c>
      <c r="M720" t="s">
        <v>179</v>
      </c>
      <c r="N720">
        <v>0.95</v>
      </c>
      <c r="O720">
        <v>0.95</v>
      </c>
      <c r="P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1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1</v>
      </c>
      <c r="AK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F720">
        <v>0</v>
      </c>
      <c r="BG720">
        <v>0</v>
      </c>
      <c r="BH720">
        <v>0</v>
      </c>
      <c r="BN720">
        <v>0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0</v>
      </c>
      <c r="BV720">
        <v>0</v>
      </c>
      <c r="BW720">
        <v>0</v>
      </c>
      <c r="BX720">
        <v>1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1</v>
      </c>
      <c r="CE720">
        <v>0</v>
      </c>
      <c r="CG720">
        <v>0</v>
      </c>
    </row>
    <row r="721" spans="1:85" x14ac:dyDescent="0.25">
      <c r="A721" t="s">
        <v>128</v>
      </c>
      <c r="B721" t="s">
        <v>146</v>
      </c>
      <c r="C721" t="s">
        <v>72</v>
      </c>
      <c r="D721" s="12">
        <v>46239</v>
      </c>
      <c r="E721" t="s">
        <v>136</v>
      </c>
      <c r="F721" t="s">
        <v>136</v>
      </c>
      <c r="G721" t="s">
        <v>136</v>
      </c>
      <c r="H721" t="s">
        <v>73</v>
      </c>
      <c r="I721">
        <v>10</v>
      </c>
      <c r="J721">
        <v>1</v>
      </c>
      <c r="K721">
        <v>3.5876164620550925</v>
      </c>
      <c r="L721">
        <v>46239</v>
      </c>
      <c r="M721" t="s">
        <v>180</v>
      </c>
      <c r="N721">
        <v>3.8</v>
      </c>
      <c r="O721">
        <v>3.8</v>
      </c>
      <c r="P721">
        <v>4.7022058823529402</v>
      </c>
      <c r="Q721">
        <v>1.0591990643903022</v>
      </c>
      <c r="R721">
        <v>1.0591990643903022</v>
      </c>
      <c r="S721">
        <v>1.3106768608312656</v>
      </c>
      <c r="T721">
        <v>0.25147779644096335</v>
      </c>
      <c r="U721">
        <v>0</v>
      </c>
      <c r="V721">
        <v>0</v>
      </c>
      <c r="W721">
        <v>0</v>
      </c>
      <c r="X721">
        <v>0</v>
      </c>
      <c r="Y721">
        <v>0.1908009356096978</v>
      </c>
      <c r="Z721">
        <v>5.9199064390302203E-2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1</v>
      </c>
      <c r="AN721">
        <v>0.94410959527765603</v>
      </c>
      <c r="AO721">
        <v>0.94410959527765603</v>
      </c>
      <c r="AP721">
        <v>1.2374226006191948</v>
      </c>
      <c r="AQ721">
        <v>0.23742260061919485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0.94410959527765603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0.80813135261923386</v>
      </c>
      <c r="BL721">
        <v>0.80813135261923386</v>
      </c>
      <c r="BM721">
        <v>0.76296456425252956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0.19186864738076614</v>
      </c>
      <c r="BY721">
        <v>0</v>
      </c>
      <c r="BZ721">
        <v>4.5166788366704291E-2</v>
      </c>
      <c r="CA721">
        <v>0</v>
      </c>
      <c r="CB721">
        <v>0.76296456425252956</v>
      </c>
      <c r="CC721">
        <v>0</v>
      </c>
      <c r="CD721">
        <v>0</v>
      </c>
      <c r="CE721">
        <v>0</v>
      </c>
      <c r="CF721">
        <v>0</v>
      </c>
      <c r="CG721">
        <v>0</v>
      </c>
    </row>
    <row r="722" spans="1:85" x14ac:dyDescent="0.25">
      <c r="A722" t="s">
        <v>128</v>
      </c>
      <c r="B722" t="s">
        <v>146</v>
      </c>
      <c r="C722" t="s">
        <v>72</v>
      </c>
      <c r="D722" s="12">
        <v>46238</v>
      </c>
      <c r="E722" t="s">
        <v>136</v>
      </c>
      <c r="F722" t="s">
        <v>136</v>
      </c>
      <c r="G722" t="s">
        <v>136</v>
      </c>
      <c r="H722" t="s">
        <v>75</v>
      </c>
      <c r="I722">
        <v>10</v>
      </c>
      <c r="J722">
        <v>1</v>
      </c>
      <c r="K722">
        <v>3.2276134260703255</v>
      </c>
      <c r="L722">
        <v>46238</v>
      </c>
      <c r="M722" t="s">
        <v>181</v>
      </c>
      <c r="N722">
        <v>2.8499999999999996</v>
      </c>
      <c r="O722">
        <v>2.8499999999999996</v>
      </c>
      <c r="P722">
        <v>4.6397539407920032</v>
      </c>
      <c r="Q722">
        <v>0.88300537387153066</v>
      </c>
      <c r="R722">
        <v>0.88300537387153066</v>
      </c>
      <c r="S722">
        <v>1.437518478302088</v>
      </c>
      <c r="T722">
        <v>0.43751847830208801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0.11699462612846934</v>
      </c>
      <c r="AD722">
        <v>0</v>
      </c>
      <c r="AE722">
        <v>0</v>
      </c>
      <c r="AF722">
        <v>0</v>
      </c>
      <c r="AG722">
        <v>0</v>
      </c>
      <c r="AH722">
        <v>0.88300537387153066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1.1324959389720441</v>
      </c>
      <c r="AO722">
        <v>1.1324959389720441</v>
      </c>
      <c r="AP722">
        <v>1.6279838388743872</v>
      </c>
      <c r="AQ722">
        <v>0.4954878999023431</v>
      </c>
      <c r="AR722">
        <v>0</v>
      </c>
      <c r="AS722">
        <v>0</v>
      </c>
      <c r="AT722">
        <v>0</v>
      </c>
      <c r="AU722">
        <v>0</v>
      </c>
      <c r="AV722">
        <v>0.36750406102795585</v>
      </c>
      <c r="AW722">
        <v>0.13249593897204415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F722">
        <v>0</v>
      </c>
      <c r="BG722">
        <v>0</v>
      </c>
      <c r="BH722">
        <v>0</v>
      </c>
      <c r="BI722">
        <v>0</v>
      </c>
      <c r="BJ722">
        <v>0</v>
      </c>
      <c r="BK722">
        <v>0.61425671196552856</v>
      </c>
      <c r="BL722">
        <v>0.61425671196552856</v>
      </c>
      <c r="BM722">
        <v>0.69564323178728182</v>
      </c>
      <c r="BN722">
        <v>0</v>
      </c>
      <c r="BO722">
        <v>0</v>
      </c>
      <c r="BP722">
        <v>0</v>
      </c>
      <c r="BQ722">
        <v>0</v>
      </c>
      <c r="BR722">
        <v>0</v>
      </c>
      <c r="BS722">
        <v>0</v>
      </c>
      <c r="BT722">
        <v>0</v>
      </c>
      <c r="BU722">
        <v>0</v>
      </c>
      <c r="BV722">
        <v>0</v>
      </c>
      <c r="BW722">
        <v>0</v>
      </c>
      <c r="BX722">
        <v>0.30435676821271818</v>
      </c>
      <c r="BY722">
        <v>0</v>
      </c>
      <c r="BZ722">
        <v>0</v>
      </c>
      <c r="CA722">
        <v>0</v>
      </c>
      <c r="CB722">
        <v>0.61425671196552856</v>
      </c>
      <c r="CC722">
        <v>0</v>
      </c>
      <c r="CD722">
        <v>0</v>
      </c>
      <c r="CE722">
        <v>0</v>
      </c>
      <c r="CF722">
        <v>0</v>
      </c>
      <c r="CG722">
        <v>0</v>
      </c>
    </row>
    <row r="723" spans="1:85" x14ac:dyDescent="0.25">
      <c r="A723" t="s">
        <v>128</v>
      </c>
      <c r="B723" t="s">
        <v>146</v>
      </c>
      <c r="C723" t="s">
        <v>72</v>
      </c>
      <c r="D723" s="12">
        <v>46238</v>
      </c>
      <c r="E723" t="s">
        <v>136</v>
      </c>
      <c r="F723" t="s">
        <v>136</v>
      </c>
      <c r="G723" t="s">
        <v>136</v>
      </c>
      <c r="H723" t="s">
        <v>74</v>
      </c>
      <c r="I723">
        <v>10</v>
      </c>
      <c r="J723">
        <v>1</v>
      </c>
      <c r="K723">
        <v>0</v>
      </c>
      <c r="L723">
        <v>46238</v>
      </c>
      <c r="M723" t="s">
        <v>182</v>
      </c>
      <c r="N723">
        <v>0.95</v>
      </c>
      <c r="O723">
        <v>0.95</v>
      </c>
      <c r="P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1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1</v>
      </c>
      <c r="AK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0</v>
      </c>
      <c r="BN723">
        <v>0</v>
      </c>
      <c r="BO723">
        <v>0</v>
      </c>
      <c r="BP723">
        <v>0</v>
      </c>
      <c r="BQ723">
        <v>0</v>
      </c>
      <c r="BR723">
        <v>0</v>
      </c>
      <c r="BS723">
        <v>0</v>
      </c>
      <c r="BT723">
        <v>0</v>
      </c>
      <c r="BU723">
        <v>0</v>
      </c>
      <c r="BV723">
        <v>0</v>
      </c>
      <c r="BW723">
        <v>0</v>
      </c>
      <c r="BX723">
        <v>1</v>
      </c>
      <c r="BY723">
        <v>0</v>
      </c>
      <c r="BZ723">
        <v>0</v>
      </c>
      <c r="CA723">
        <v>0</v>
      </c>
      <c r="CB723">
        <v>0</v>
      </c>
      <c r="CC723">
        <v>0</v>
      </c>
      <c r="CD723">
        <v>1</v>
      </c>
      <c r="CE723">
        <v>0</v>
      </c>
      <c r="CG723">
        <v>0</v>
      </c>
    </row>
    <row r="724" spans="1:85" x14ac:dyDescent="0.25">
      <c r="A724" t="s">
        <v>128</v>
      </c>
      <c r="B724" t="s">
        <v>146</v>
      </c>
      <c r="C724" t="s">
        <v>72</v>
      </c>
      <c r="D724" s="12">
        <v>46238</v>
      </c>
      <c r="E724" t="s">
        <v>136</v>
      </c>
      <c r="F724" t="s">
        <v>136</v>
      </c>
      <c r="G724" t="s">
        <v>136</v>
      </c>
      <c r="H724" t="s">
        <v>73</v>
      </c>
      <c r="I724">
        <v>10</v>
      </c>
      <c r="J724">
        <v>1</v>
      </c>
      <c r="K724">
        <v>3.5876164620550925</v>
      </c>
      <c r="L724">
        <v>46238</v>
      </c>
      <c r="M724" t="s">
        <v>183</v>
      </c>
      <c r="N724">
        <v>3.8</v>
      </c>
      <c r="O724">
        <v>3.8</v>
      </c>
      <c r="P724">
        <v>4.8202614379084965</v>
      </c>
      <c r="Q724">
        <v>1.0591990643903022</v>
      </c>
      <c r="R724">
        <v>1.0591990643903022</v>
      </c>
      <c r="S724">
        <v>1.3435832645129822</v>
      </c>
      <c r="T724">
        <v>0.28438420012267995</v>
      </c>
      <c r="U724">
        <v>0</v>
      </c>
      <c r="V724">
        <v>0</v>
      </c>
      <c r="W724">
        <v>0</v>
      </c>
      <c r="X724">
        <v>0</v>
      </c>
      <c r="Y724">
        <v>0.1908009356096978</v>
      </c>
      <c r="Z724">
        <v>5.9199064390302203E-2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1</v>
      </c>
      <c r="AN724">
        <v>0.94410959527765603</v>
      </c>
      <c r="AO724">
        <v>0.94410959527765603</v>
      </c>
      <c r="AP724">
        <v>1.2684898520811834</v>
      </c>
      <c r="AQ724">
        <v>0.26848985208118337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0.94410959527765603</v>
      </c>
      <c r="BF724">
        <v>0</v>
      </c>
      <c r="BG724">
        <v>0</v>
      </c>
      <c r="BH724">
        <v>0</v>
      </c>
      <c r="BI724">
        <v>0</v>
      </c>
      <c r="BJ724">
        <v>0</v>
      </c>
      <c r="BK724">
        <v>0.78833898305084749</v>
      </c>
      <c r="BL724">
        <v>0.78833898305084749</v>
      </c>
      <c r="BM724">
        <v>0.74427839822973452</v>
      </c>
      <c r="BN724">
        <v>0</v>
      </c>
      <c r="BO724">
        <v>0</v>
      </c>
      <c r="BP724">
        <v>0</v>
      </c>
      <c r="BQ724">
        <v>0</v>
      </c>
      <c r="BR724">
        <v>0</v>
      </c>
      <c r="BS724">
        <v>0</v>
      </c>
      <c r="BT724">
        <v>0</v>
      </c>
      <c r="BU724">
        <v>0</v>
      </c>
      <c r="BV724">
        <v>0</v>
      </c>
      <c r="BW724">
        <v>0</v>
      </c>
      <c r="BX724">
        <v>0.21166101694915251</v>
      </c>
      <c r="BY724">
        <v>0</v>
      </c>
      <c r="BZ724">
        <v>4.4060584821112969E-2</v>
      </c>
      <c r="CA724">
        <v>0</v>
      </c>
      <c r="CB724">
        <v>0.74427839822973452</v>
      </c>
      <c r="CC724">
        <v>0</v>
      </c>
      <c r="CD724">
        <v>0</v>
      </c>
      <c r="CE724">
        <v>0</v>
      </c>
      <c r="CF724">
        <v>0</v>
      </c>
      <c r="CG724">
        <v>0</v>
      </c>
    </row>
    <row r="725" spans="1:85" x14ac:dyDescent="0.25">
      <c r="A725" t="s">
        <v>128</v>
      </c>
      <c r="B725" t="s">
        <v>146</v>
      </c>
      <c r="C725" t="s">
        <v>72</v>
      </c>
      <c r="D725" s="12">
        <v>46237</v>
      </c>
      <c r="E725" t="s">
        <v>136</v>
      </c>
      <c r="F725" t="s">
        <v>136</v>
      </c>
      <c r="G725" t="s">
        <v>136</v>
      </c>
      <c r="H725" t="s">
        <v>75</v>
      </c>
      <c r="I725">
        <v>10</v>
      </c>
      <c r="J725">
        <v>1</v>
      </c>
      <c r="K725">
        <v>3.1779578349000128</v>
      </c>
      <c r="L725">
        <v>46237</v>
      </c>
      <c r="M725" t="s">
        <v>184</v>
      </c>
      <c r="N725">
        <v>2.8499999999999996</v>
      </c>
      <c r="O725">
        <v>2.8499999999999996</v>
      </c>
      <c r="P725">
        <v>4.6885813148788937</v>
      </c>
      <c r="Q725">
        <v>0.89680233283827326</v>
      </c>
      <c r="R725">
        <v>0.89680233283827326</v>
      </c>
      <c r="S725">
        <v>1.4753440915387126</v>
      </c>
      <c r="T725">
        <v>0.4753440915387126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0.10319766716172674</v>
      </c>
      <c r="AD725">
        <v>0</v>
      </c>
      <c r="AE725">
        <v>0</v>
      </c>
      <c r="AF725">
        <v>0</v>
      </c>
      <c r="AG725">
        <v>0</v>
      </c>
      <c r="AH725">
        <v>0.89680233283827326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1.1150729245263205</v>
      </c>
      <c r="AO725">
        <v>1.1150729245263205</v>
      </c>
      <c r="AP725">
        <v>1.6451162508346997</v>
      </c>
      <c r="AQ725">
        <v>0.53004332630837925</v>
      </c>
      <c r="AR725">
        <v>0</v>
      </c>
      <c r="AS725">
        <v>0</v>
      </c>
      <c r="AT725">
        <v>0</v>
      </c>
      <c r="AU725">
        <v>0</v>
      </c>
      <c r="AV725">
        <v>0.38492707547367955</v>
      </c>
      <c r="AW725">
        <v>0.11507292452632045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0.60785977859778573</v>
      </c>
      <c r="BL725">
        <v>0.60785977859778573</v>
      </c>
      <c r="BM725">
        <v>0.67780798102295459</v>
      </c>
      <c r="BN725">
        <v>0</v>
      </c>
      <c r="BO725">
        <v>0</v>
      </c>
      <c r="BP725">
        <v>0</v>
      </c>
      <c r="BQ725">
        <v>0</v>
      </c>
      <c r="BR725">
        <v>0</v>
      </c>
      <c r="BS725">
        <v>0</v>
      </c>
      <c r="BT725">
        <v>0</v>
      </c>
      <c r="BU725">
        <v>0</v>
      </c>
      <c r="BV725">
        <v>0</v>
      </c>
      <c r="BW725">
        <v>0</v>
      </c>
      <c r="BX725">
        <v>0.32219201897704541</v>
      </c>
      <c r="BY725">
        <v>0</v>
      </c>
      <c r="BZ725">
        <v>0</v>
      </c>
      <c r="CA725">
        <v>0</v>
      </c>
      <c r="CB725">
        <v>0.60785977859778573</v>
      </c>
      <c r="CC725">
        <v>0</v>
      </c>
      <c r="CD725">
        <v>0</v>
      </c>
      <c r="CE725">
        <v>0</v>
      </c>
      <c r="CF725">
        <v>0</v>
      </c>
      <c r="CG725">
        <v>0</v>
      </c>
    </row>
    <row r="726" spans="1:85" x14ac:dyDescent="0.25">
      <c r="A726" t="s">
        <v>128</v>
      </c>
      <c r="B726" t="s">
        <v>146</v>
      </c>
      <c r="C726" t="s">
        <v>72</v>
      </c>
      <c r="D726" s="12">
        <v>46237</v>
      </c>
      <c r="E726" t="s">
        <v>136</v>
      </c>
      <c r="F726" t="s">
        <v>136</v>
      </c>
      <c r="G726" t="s">
        <v>136</v>
      </c>
      <c r="H726" t="s">
        <v>74</v>
      </c>
      <c r="I726">
        <v>10</v>
      </c>
      <c r="J726">
        <v>1</v>
      </c>
      <c r="K726">
        <v>0</v>
      </c>
      <c r="L726">
        <v>46237</v>
      </c>
      <c r="M726" t="s">
        <v>185</v>
      </c>
      <c r="N726">
        <v>0</v>
      </c>
      <c r="O726">
        <v>0</v>
      </c>
      <c r="P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1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M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F726">
        <v>0</v>
      </c>
      <c r="BG726">
        <v>0</v>
      </c>
      <c r="BH726">
        <v>0</v>
      </c>
      <c r="BN726">
        <v>0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0</v>
      </c>
      <c r="BV726">
        <v>0</v>
      </c>
      <c r="BW726">
        <v>0</v>
      </c>
      <c r="BX726">
        <v>1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0</v>
      </c>
      <c r="CG726">
        <v>0</v>
      </c>
    </row>
    <row r="727" spans="1:85" x14ac:dyDescent="0.25">
      <c r="A727" t="s">
        <v>128</v>
      </c>
      <c r="B727" t="s">
        <v>146</v>
      </c>
      <c r="C727" t="s">
        <v>72</v>
      </c>
      <c r="D727" s="12">
        <v>46241</v>
      </c>
      <c r="E727" t="s">
        <v>136</v>
      </c>
      <c r="F727" t="s">
        <v>136</v>
      </c>
      <c r="G727" t="s">
        <v>136</v>
      </c>
      <c r="H727" t="s">
        <v>75</v>
      </c>
      <c r="I727">
        <v>10</v>
      </c>
      <c r="J727">
        <v>1</v>
      </c>
      <c r="K727">
        <v>3.1779578349000133</v>
      </c>
      <c r="L727">
        <v>46241</v>
      </c>
      <c r="M727" t="s">
        <v>210</v>
      </c>
      <c r="N727">
        <v>3.8</v>
      </c>
      <c r="O727">
        <v>3.8</v>
      </c>
      <c r="P727">
        <v>4.6332179930795849</v>
      </c>
      <c r="Q727">
        <v>1.1957364437843643</v>
      </c>
      <c r="R727">
        <v>1.1957364437843643</v>
      </c>
      <c r="S727">
        <v>1.4579230542954507</v>
      </c>
      <c r="T727">
        <v>0.26218661051108638</v>
      </c>
      <c r="U727">
        <v>0</v>
      </c>
      <c r="V727">
        <v>0</v>
      </c>
      <c r="W727">
        <v>0</v>
      </c>
      <c r="X727">
        <v>0</v>
      </c>
      <c r="Y727">
        <v>5.4263556215635722E-2</v>
      </c>
      <c r="Z727">
        <v>0.19573644378436428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1</v>
      </c>
      <c r="AN727">
        <v>0.83630469339474034</v>
      </c>
      <c r="AO727">
        <v>0.83630469339474034</v>
      </c>
      <c r="AP727">
        <v>1.2192678929156804</v>
      </c>
      <c r="AQ727">
        <v>0.21926789291568038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0.83630469339474034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0.82016430171769972</v>
      </c>
      <c r="BL727">
        <v>0.82016430171769972</v>
      </c>
      <c r="BM727">
        <v>0.6859072548813322</v>
      </c>
      <c r="BN727">
        <v>0</v>
      </c>
      <c r="BO727">
        <v>0</v>
      </c>
      <c r="BP727">
        <v>0</v>
      </c>
      <c r="BQ727">
        <v>0</v>
      </c>
      <c r="BR727">
        <v>0</v>
      </c>
      <c r="BS727">
        <v>0</v>
      </c>
      <c r="BT727">
        <v>0</v>
      </c>
      <c r="BU727">
        <v>0</v>
      </c>
      <c r="BV727">
        <v>0</v>
      </c>
      <c r="BW727">
        <v>0</v>
      </c>
      <c r="BX727">
        <v>0.17983569828230028</v>
      </c>
      <c r="BY727">
        <v>0</v>
      </c>
      <c r="BZ727">
        <v>0.13425704683636752</v>
      </c>
      <c r="CA727">
        <v>0</v>
      </c>
      <c r="CB727">
        <v>0.6859072548813322</v>
      </c>
      <c r="CC727">
        <v>0</v>
      </c>
      <c r="CD727">
        <v>0</v>
      </c>
      <c r="CE727">
        <v>0</v>
      </c>
      <c r="CF727">
        <v>0</v>
      </c>
      <c r="CG727">
        <v>0</v>
      </c>
    </row>
    <row r="728" spans="1:85" x14ac:dyDescent="0.25">
      <c r="A728" t="s">
        <v>128</v>
      </c>
      <c r="B728" t="s">
        <v>146</v>
      </c>
      <c r="C728" t="s">
        <v>72</v>
      </c>
      <c r="D728" s="12">
        <v>46236</v>
      </c>
      <c r="E728" t="s">
        <v>136</v>
      </c>
      <c r="F728" t="s">
        <v>136</v>
      </c>
      <c r="G728" t="s">
        <v>136</v>
      </c>
      <c r="H728" t="s">
        <v>75</v>
      </c>
      <c r="I728">
        <v>10</v>
      </c>
      <c r="J728">
        <v>1</v>
      </c>
      <c r="K728">
        <v>3.1779578349000133</v>
      </c>
      <c r="L728">
        <v>46236</v>
      </c>
      <c r="M728" t="s">
        <v>186</v>
      </c>
      <c r="N728">
        <v>2.8499999999999996</v>
      </c>
      <c r="O728">
        <v>2.8499999999999996</v>
      </c>
      <c r="P728">
        <v>3.7543252595155714</v>
      </c>
      <c r="Q728">
        <v>0.89680233283827315</v>
      </c>
      <c r="R728">
        <v>0.89680233283827315</v>
      </c>
      <c r="S728">
        <v>1.1813640880586738</v>
      </c>
      <c r="T728">
        <v>0.18136408805867377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0.10319766716172685</v>
      </c>
      <c r="AD728">
        <v>0</v>
      </c>
      <c r="AE728">
        <v>0</v>
      </c>
      <c r="AF728">
        <v>0</v>
      </c>
      <c r="AG728">
        <v>0</v>
      </c>
      <c r="AH728">
        <v>0.89680233283827315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1.1150729245263207</v>
      </c>
      <c r="AO728">
        <v>1.1150729245263207</v>
      </c>
      <c r="AP728">
        <v>1.317307108601955</v>
      </c>
      <c r="AQ728">
        <v>0.20223418407563432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0.11507292452632067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1</v>
      </c>
      <c r="BF728">
        <v>0</v>
      </c>
      <c r="BG728">
        <v>0</v>
      </c>
      <c r="BH728">
        <v>0</v>
      </c>
      <c r="BI728">
        <v>0</v>
      </c>
      <c r="BJ728">
        <v>0</v>
      </c>
      <c r="BK728">
        <v>0.7591244239631334</v>
      </c>
      <c r="BL728">
        <v>0.7591244239631334</v>
      </c>
      <c r="BM728">
        <v>0.84647909150792966</v>
      </c>
      <c r="BN728">
        <v>0</v>
      </c>
      <c r="BO728">
        <v>0</v>
      </c>
      <c r="BP728">
        <v>0</v>
      </c>
      <c r="BQ728">
        <v>0</v>
      </c>
      <c r="BR728">
        <v>0</v>
      </c>
      <c r="BS728">
        <v>0</v>
      </c>
      <c r="BT728">
        <v>0</v>
      </c>
      <c r="BU728">
        <v>0</v>
      </c>
      <c r="BV728">
        <v>0</v>
      </c>
      <c r="BW728">
        <v>0</v>
      </c>
      <c r="BX728">
        <v>0.15352090849207034</v>
      </c>
      <c r="BY728">
        <v>0</v>
      </c>
      <c r="BZ728">
        <v>0</v>
      </c>
      <c r="CA728">
        <v>0</v>
      </c>
      <c r="CB728">
        <v>0.7591244239631334</v>
      </c>
      <c r="CC728">
        <v>0</v>
      </c>
      <c r="CD728">
        <v>0</v>
      </c>
      <c r="CE728">
        <v>0</v>
      </c>
      <c r="CF728">
        <v>0</v>
      </c>
      <c r="CG728">
        <v>0</v>
      </c>
    </row>
    <row r="729" spans="1:85" x14ac:dyDescent="0.25">
      <c r="A729" t="s">
        <v>128</v>
      </c>
      <c r="B729" t="s">
        <v>146</v>
      </c>
      <c r="C729" t="s">
        <v>72</v>
      </c>
      <c r="D729" s="12">
        <v>46247</v>
      </c>
      <c r="E729" t="s">
        <v>136</v>
      </c>
      <c r="F729" t="s">
        <v>136</v>
      </c>
      <c r="G729" t="s">
        <v>136</v>
      </c>
      <c r="H729" t="s">
        <v>73</v>
      </c>
      <c r="I729">
        <v>10</v>
      </c>
      <c r="J729">
        <v>1</v>
      </c>
      <c r="K729">
        <v>3.587616462055093</v>
      </c>
      <c r="L729">
        <v>46247</v>
      </c>
      <c r="M729" t="s">
        <v>177</v>
      </c>
      <c r="N729">
        <v>3.8</v>
      </c>
      <c r="O729">
        <v>3.8</v>
      </c>
      <c r="P729">
        <v>4.7022058823529411</v>
      </c>
      <c r="Q729">
        <v>1.059199064390302</v>
      </c>
      <c r="R729">
        <v>1.059199064390302</v>
      </c>
      <c r="S729">
        <v>1.3106768608312658</v>
      </c>
      <c r="T729">
        <v>0.2514777964409638</v>
      </c>
      <c r="U729">
        <v>0</v>
      </c>
      <c r="V729">
        <v>0</v>
      </c>
      <c r="W729">
        <v>0</v>
      </c>
      <c r="X729">
        <v>0</v>
      </c>
      <c r="Y729">
        <v>0.19080093560969802</v>
      </c>
      <c r="Z729">
        <v>5.9199064390301981E-2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0</v>
      </c>
      <c r="AJ729">
        <v>0</v>
      </c>
      <c r="AK729">
        <v>0</v>
      </c>
      <c r="AL729">
        <v>0</v>
      </c>
      <c r="AM729">
        <v>1</v>
      </c>
      <c r="AN729">
        <v>0.94410959527765614</v>
      </c>
      <c r="AO729">
        <v>0.94410959527765614</v>
      </c>
      <c r="AP729">
        <v>1.2374226006191951</v>
      </c>
      <c r="AQ729">
        <v>0.23742260061919507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0.94410959527765614</v>
      </c>
      <c r="BF729">
        <v>0</v>
      </c>
      <c r="BG729">
        <v>0</v>
      </c>
      <c r="BH729">
        <v>0</v>
      </c>
      <c r="BI729">
        <v>0</v>
      </c>
      <c r="BJ729">
        <v>0</v>
      </c>
      <c r="BK729">
        <v>0.80813135261923374</v>
      </c>
      <c r="BL729">
        <v>0.80813135261923374</v>
      </c>
      <c r="BM729">
        <v>0.76296456425252956</v>
      </c>
      <c r="BN729">
        <v>0</v>
      </c>
      <c r="BO729">
        <v>0</v>
      </c>
      <c r="BP729">
        <v>0</v>
      </c>
      <c r="BQ729">
        <v>0</v>
      </c>
      <c r="BR729">
        <v>0</v>
      </c>
      <c r="BS729">
        <v>0</v>
      </c>
      <c r="BT729">
        <v>0</v>
      </c>
      <c r="BU729">
        <v>0</v>
      </c>
      <c r="BV729">
        <v>0</v>
      </c>
      <c r="BW729">
        <v>0</v>
      </c>
      <c r="BX729">
        <v>0.19186864738076626</v>
      </c>
      <c r="BY729">
        <v>0</v>
      </c>
      <c r="BZ729">
        <v>4.516678836670418E-2</v>
      </c>
      <c r="CA729">
        <v>0</v>
      </c>
      <c r="CB729">
        <v>0.76296456425252956</v>
      </c>
      <c r="CC729">
        <v>0</v>
      </c>
      <c r="CD729">
        <v>0</v>
      </c>
      <c r="CE729">
        <v>0</v>
      </c>
      <c r="CF729">
        <v>0</v>
      </c>
      <c r="CG729">
        <v>0</v>
      </c>
    </row>
    <row r="730" spans="1:85" x14ac:dyDescent="0.25">
      <c r="A730" t="s">
        <v>128</v>
      </c>
      <c r="B730" t="s">
        <v>146</v>
      </c>
      <c r="C730" t="s">
        <v>72</v>
      </c>
      <c r="D730" s="12">
        <v>46247</v>
      </c>
      <c r="E730" t="s">
        <v>136</v>
      </c>
      <c r="F730" t="s">
        <v>136</v>
      </c>
      <c r="G730" t="s">
        <v>136</v>
      </c>
      <c r="H730" t="s">
        <v>75</v>
      </c>
      <c r="I730">
        <v>10</v>
      </c>
      <c r="J730">
        <v>1</v>
      </c>
      <c r="K730">
        <v>3.1779578349000128</v>
      </c>
      <c r="L730">
        <v>46247</v>
      </c>
      <c r="M730" t="s">
        <v>164</v>
      </c>
      <c r="N730">
        <v>2.8499999999999996</v>
      </c>
      <c r="O730">
        <v>2.8499999999999996</v>
      </c>
      <c r="P730">
        <v>4.6332179930795849</v>
      </c>
      <c r="Q730">
        <v>0.89680233283827326</v>
      </c>
      <c r="R730">
        <v>0.89680233283827326</v>
      </c>
      <c r="S730">
        <v>1.4579230542954509</v>
      </c>
      <c r="T730">
        <v>0.45792305429545088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0.10319766716172674</v>
      </c>
      <c r="AD730">
        <v>0</v>
      </c>
      <c r="AE730">
        <v>0</v>
      </c>
      <c r="AF730">
        <v>0</v>
      </c>
      <c r="AG730">
        <v>0</v>
      </c>
      <c r="AH730">
        <v>0.89680233283827326</v>
      </c>
      <c r="AI730">
        <v>0</v>
      </c>
      <c r="AJ730">
        <v>0</v>
      </c>
      <c r="AK730">
        <v>0</v>
      </c>
      <c r="AL730">
        <v>0</v>
      </c>
      <c r="AM730">
        <v>0</v>
      </c>
      <c r="AN730">
        <v>1.1150729245263205</v>
      </c>
      <c r="AO730">
        <v>1.1150729245263205</v>
      </c>
      <c r="AP730">
        <v>1.6256905238875738</v>
      </c>
      <c r="AQ730">
        <v>0.51061759936125339</v>
      </c>
      <c r="AR730">
        <v>0</v>
      </c>
      <c r="AS730">
        <v>0</v>
      </c>
      <c r="AT730">
        <v>0</v>
      </c>
      <c r="AU730">
        <v>0</v>
      </c>
      <c r="AV730">
        <v>0.38492707547367955</v>
      </c>
      <c r="AW730">
        <v>0.11507292452632045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F730">
        <v>0</v>
      </c>
      <c r="BG730">
        <v>0</v>
      </c>
      <c r="BH730">
        <v>0</v>
      </c>
      <c r="BI730">
        <v>0</v>
      </c>
      <c r="BJ730">
        <v>0</v>
      </c>
      <c r="BK730">
        <v>0.61512322628827476</v>
      </c>
      <c r="BL730">
        <v>0.61512322628827476</v>
      </c>
      <c r="BM730">
        <v>0.68590725488133208</v>
      </c>
      <c r="BN730">
        <v>0</v>
      </c>
      <c r="BO730">
        <v>0</v>
      </c>
      <c r="BP730">
        <v>0</v>
      </c>
      <c r="BQ730">
        <v>0</v>
      </c>
      <c r="BR730">
        <v>0</v>
      </c>
      <c r="BS730">
        <v>0</v>
      </c>
      <c r="BT730">
        <v>0</v>
      </c>
      <c r="BU730">
        <v>0</v>
      </c>
      <c r="BV730">
        <v>0</v>
      </c>
      <c r="BW730">
        <v>0</v>
      </c>
      <c r="BX730">
        <v>0.31409274511866792</v>
      </c>
      <c r="BY730">
        <v>0</v>
      </c>
      <c r="BZ730">
        <v>0</v>
      </c>
      <c r="CA730">
        <v>0</v>
      </c>
      <c r="CB730">
        <v>0.61512322628827476</v>
      </c>
      <c r="CC730">
        <v>0</v>
      </c>
      <c r="CD730">
        <v>0</v>
      </c>
      <c r="CE730">
        <v>0</v>
      </c>
      <c r="CF730">
        <v>0</v>
      </c>
      <c r="CG730">
        <v>0</v>
      </c>
    </row>
    <row r="731" spans="1:85" x14ac:dyDescent="0.25">
      <c r="A731" t="s">
        <v>128</v>
      </c>
      <c r="B731" t="s">
        <v>146</v>
      </c>
      <c r="C731" t="s">
        <v>72</v>
      </c>
      <c r="D731" s="12">
        <v>46229</v>
      </c>
      <c r="E731" t="s">
        <v>135</v>
      </c>
      <c r="F731" t="s">
        <v>135</v>
      </c>
      <c r="G731" t="s">
        <v>135</v>
      </c>
      <c r="H731" t="s">
        <v>73</v>
      </c>
      <c r="I731">
        <v>10</v>
      </c>
      <c r="J731">
        <v>1</v>
      </c>
      <c r="K731">
        <v>3.5134887958963281</v>
      </c>
      <c r="L731">
        <v>46229</v>
      </c>
      <c r="M731" t="s">
        <v>223</v>
      </c>
      <c r="N731">
        <v>4.75</v>
      </c>
      <c r="O731">
        <v>4.75</v>
      </c>
      <c r="P731">
        <v>3.5854779411764701</v>
      </c>
      <c r="Q731">
        <v>1.351932587787924</v>
      </c>
      <c r="R731">
        <v>1.351932587787924</v>
      </c>
      <c r="S731">
        <v>1.0204893624149944</v>
      </c>
      <c r="T731">
        <v>0</v>
      </c>
      <c r="U731">
        <v>0</v>
      </c>
      <c r="V731">
        <v>0.10193258778792402</v>
      </c>
      <c r="W731">
        <v>0</v>
      </c>
      <c r="X731">
        <v>0</v>
      </c>
      <c r="Y731">
        <v>0</v>
      </c>
      <c r="Z731">
        <v>2.0489362414994439E-2</v>
      </c>
      <c r="AA731">
        <v>0</v>
      </c>
      <c r="AB731">
        <v>0.22951063758500556</v>
      </c>
      <c r="AC731">
        <v>0</v>
      </c>
      <c r="AD731">
        <v>0</v>
      </c>
      <c r="AE731">
        <v>0</v>
      </c>
      <c r="AF731">
        <v>0</v>
      </c>
      <c r="AG731">
        <v>0</v>
      </c>
      <c r="AH731">
        <v>1</v>
      </c>
      <c r="AI731">
        <v>0</v>
      </c>
      <c r="AJ731">
        <v>0</v>
      </c>
      <c r="AK731">
        <v>0</v>
      </c>
      <c r="AL731">
        <v>0</v>
      </c>
      <c r="AM731">
        <v>0</v>
      </c>
      <c r="AN731">
        <v>0.739681851767648</v>
      </c>
      <c r="AO731">
        <v>0.739681851767648</v>
      </c>
      <c r="AP731">
        <v>0.75483746130030949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0.24516253869969051</v>
      </c>
      <c r="BB731">
        <v>0</v>
      </c>
      <c r="BC731">
        <v>0</v>
      </c>
      <c r="BD731">
        <v>0</v>
      </c>
      <c r="BE731">
        <v>0.739681851767648</v>
      </c>
      <c r="BF731">
        <v>0</v>
      </c>
      <c r="BG731">
        <v>0</v>
      </c>
      <c r="BH731">
        <v>0</v>
      </c>
      <c r="BI731">
        <v>0</v>
      </c>
      <c r="BJ731">
        <v>0</v>
      </c>
      <c r="BK731">
        <v>1.3247885157651886</v>
      </c>
      <c r="BL731">
        <v>1.3247885157651886</v>
      </c>
      <c r="BM731">
        <v>0.97992202254170868</v>
      </c>
      <c r="BN731">
        <v>0</v>
      </c>
      <c r="BO731">
        <v>0</v>
      </c>
      <c r="BP731">
        <v>0</v>
      </c>
      <c r="BQ731">
        <v>0</v>
      </c>
      <c r="BR731">
        <v>0</v>
      </c>
      <c r="BS731">
        <v>0</v>
      </c>
      <c r="BT731">
        <v>0</v>
      </c>
      <c r="BU731">
        <v>0</v>
      </c>
      <c r="BV731">
        <v>0.32478851576518863</v>
      </c>
      <c r="BW731">
        <v>0</v>
      </c>
      <c r="BX731">
        <v>0</v>
      </c>
      <c r="BY731">
        <v>0</v>
      </c>
      <c r="BZ731">
        <v>2.0077977458291318E-2</v>
      </c>
      <c r="CA731">
        <v>0</v>
      </c>
      <c r="CB731">
        <v>0.97992202254170868</v>
      </c>
      <c r="CC731">
        <v>0</v>
      </c>
      <c r="CD731">
        <v>0</v>
      </c>
      <c r="CE731">
        <v>0</v>
      </c>
      <c r="CF731">
        <v>0</v>
      </c>
      <c r="CG731">
        <v>0</v>
      </c>
    </row>
    <row r="732" spans="1:85" x14ac:dyDescent="0.25">
      <c r="A732" t="s">
        <v>128</v>
      </c>
      <c r="B732" t="s">
        <v>146</v>
      </c>
      <c r="C732" t="s">
        <v>72</v>
      </c>
      <c r="D732" s="12">
        <v>46228</v>
      </c>
      <c r="E732" t="s">
        <v>135</v>
      </c>
      <c r="F732" t="s">
        <v>135</v>
      </c>
      <c r="G732" t="s">
        <v>135</v>
      </c>
      <c r="H732" t="s">
        <v>75</v>
      </c>
      <c r="I732">
        <v>10</v>
      </c>
      <c r="J732">
        <v>1</v>
      </c>
      <c r="K732">
        <v>3.3729492440604751</v>
      </c>
      <c r="L732">
        <v>46228</v>
      </c>
      <c r="M732" t="s">
        <v>224</v>
      </c>
      <c r="N732">
        <v>2.8499999999999996</v>
      </c>
      <c r="O732">
        <v>2.8499999999999996</v>
      </c>
      <c r="P732">
        <v>3.1003460207612457</v>
      </c>
      <c r="Q732">
        <v>0.84495786736745238</v>
      </c>
      <c r="R732">
        <v>0.84495786736745238</v>
      </c>
      <c r="S732">
        <v>0.91917956554511915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7.4221698177666773E-2</v>
      </c>
      <c r="AD732">
        <v>8.0820434454880852E-2</v>
      </c>
      <c r="AE732">
        <v>0</v>
      </c>
      <c r="AF732">
        <v>0</v>
      </c>
      <c r="AG732">
        <v>0</v>
      </c>
      <c r="AH732">
        <v>0.84495786736745238</v>
      </c>
      <c r="AI732">
        <v>0</v>
      </c>
      <c r="AJ732">
        <v>0</v>
      </c>
      <c r="AK732">
        <v>0</v>
      </c>
      <c r="AL732">
        <v>0</v>
      </c>
      <c r="AM732">
        <v>0</v>
      </c>
      <c r="AN732">
        <v>1.1834909628282371</v>
      </c>
      <c r="AO732">
        <v>1.1834909628282371</v>
      </c>
      <c r="AP732">
        <v>1.0878407090390336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8.7840709039033626E-2</v>
      </c>
      <c r="AX732">
        <v>0</v>
      </c>
      <c r="AY732">
        <v>9.5650253789203443E-2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1</v>
      </c>
      <c r="BF732">
        <v>0</v>
      </c>
      <c r="BG732">
        <v>0</v>
      </c>
      <c r="BH732">
        <v>0</v>
      </c>
      <c r="BI732">
        <v>0</v>
      </c>
      <c r="BJ732">
        <v>0</v>
      </c>
      <c r="BK732">
        <v>0.91925223214285701</v>
      </c>
      <c r="BL732">
        <v>0.91925223214285701</v>
      </c>
      <c r="BM732">
        <v>1.0879267093007559</v>
      </c>
      <c r="BN732">
        <v>8.7926709300755856E-2</v>
      </c>
      <c r="BO732">
        <v>0</v>
      </c>
      <c r="BP732">
        <v>0</v>
      </c>
      <c r="BQ732">
        <v>0</v>
      </c>
      <c r="BR732">
        <v>0</v>
      </c>
      <c r="BS732">
        <v>0</v>
      </c>
      <c r="BT732">
        <v>0</v>
      </c>
      <c r="BU732">
        <v>0</v>
      </c>
      <c r="BV732">
        <v>0</v>
      </c>
      <c r="BW732">
        <v>0.15504213263254762</v>
      </c>
      <c r="BX732">
        <v>0</v>
      </c>
      <c r="BY732">
        <v>0</v>
      </c>
      <c r="BZ732">
        <v>0</v>
      </c>
      <c r="CA732">
        <v>0</v>
      </c>
      <c r="CB732">
        <v>0.91925223214285701</v>
      </c>
      <c r="CC732">
        <v>0</v>
      </c>
      <c r="CD732">
        <v>0</v>
      </c>
      <c r="CE732">
        <v>0</v>
      </c>
      <c r="CF732">
        <v>0</v>
      </c>
      <c r="CG732">
        <v>0</v>
      </c>
    </row>
    <row r="733" spans="1:85" x14ac:dyDescent="0.25">
      <c r="A733" t="s">
        <v>128</v>
      </c>
      <c r="B733" t="s">
        <v>146</v>
      </c>
      <c r="C733" t="s">
        <v>72</v>
      </c>
      <c r="D733" s="12">
        <v>46228</v>
      </c>
      <c r="E733" t="s">
        <v>135</v>
      </c>
      <c r="F733" t="s">
        <v>135</v>
      </c>
      <c r="G733" t="s">
        <v>135</v>
      </c>
      <c r="H733" t="s">
        <v>74</v>
      </c>
      <c r="I733">
        <v>10</v>
      </c>
      <c r="J733">
        <v>1</v>
      </c>
      <c r="K733">
        <v>1.2742252699784016</v>
      </c>
      <c r="L733">
        <v>46228</v>
      </c>
      <c r="M733" t="s">
        <v>225</v>
      </c>
      <c r="N733">
        <v>0</v>
      </c>
      <c r="O733">
        <v>0</v>
      </c>
      <c r="P733">
        <v>0.94117647058823517</v>
      </c>
      <c r="Q733">
        <v>0</v>
      </c>
      <c r="R733">
        <v>0</v>
      </c>
      <c r="S733">
        <v>0.73862643659875649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0.73862643659875649</v>
      </c>
      <c r="AD733">
        <v>0.26137356340124351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>
        <v>0</v>
      </c>
      <c r="AM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F733">
        <v>0</v>
      </c>
      <c r="BG733">
        <v>0</v>
      </c>
      <c r="BH733">
        <v>0</v>
      </c>
      <c r="BI733">
        <v>0</v>
      </c>
      <c r="BK733">
        <v>0</v>
      </c>
      <c r="BL733">
        <v>0</v>
      </c>
      <c r="BM733">
        <v>1.3538643493520519</v>
      </c>
      <c r="BN733">
        <v>0.35386434935205191</v>
      </c>
      <c r="BO733">
        <v>0</v>
      </c>
      <c r="BP733">
        <v>0</v>
      </c>
      <c r="BQ733">
        <v>0</v>
      </c>
      <c r="BR733">
        <v>0</v>
      </c>
      <c r="BS733">
        <v>0</v>
      </c>
      <c r="BT733">
        <v>0</v>
      </c>
      <c r="BU733">
        <v>0</v>
      </c>
      <c r="BV733">
        <v>0</v>
      </c>
      <c r="BW733">
        <v>0</v>
      </c>
      <c r="BX733">
        <v>0</v>
      </c>
      <c r="BY733">
        <v>0</v>
      </c>
      <c r="BZ733">
        <v>0</v>
      </c>
      <c r="CA733">
        <v>0</v>
      </c>
      <c r="CB733">
        <v>0</v>
      </c>
      <c r="CC733">
        <v>0</v>
      </c>
      <c r="CD733">
        <v>0</v>
      </c>
      <c r="CE733">
        <v>0</v>
      </c>
      <c r="CF733">
        <v>0</v>
      </c>
      <c r="CG733">
        <v>0</v>
      </c>
    </row>
    <row r="734" spans="1:85" x14ac:dyDescent="0.25">
      <c r="A734" t="s">
        <v>128</v>
      </c>
      <c r="B734" t="s">
        <v>146</v>
      </c>
      <c r="C734" t="s">
        <v>72</v>
      </c>
      <c r="D734" s="12">
        <v>46228</v>
      </c>
      <c r="E734" t="s">
        <v>135</v>
      </c>
      <c r="F734" t="s">
        <v>135</v>
      </c>
      <c r="G734" t="s">
        <v>135</v>
      </c>
      <c r="H734" t="s">
        <v>73</v>
      </c>
      <c r="I734">
        <v>10</v>
      </c>
      <c r="J734">
        <v>1</v>
      </c>
      <c r="K734">
        <v>2.3891723812095034</v>
      </c>
      <c r="L734">
        <v>46228</v>
      </c>
      <c r="M734" t="s">
        <v>226</v>
      </c>
      <c r="N734">
        <v>2.8499999999999996</v>
      </c>
      <c r="O734">
        <v>2.8499999999999996</v>
      </c>
      <c r="P734">
        <v>3.8235294117647038</v>
      </c>
      <c r="Q734">
        <v>1.1928816951069914</v>
      </c>
      <c r="R734">
        <v>1.1928816951069914</v>
      </c>
      <c r="S734">
        <v>1.6003572792973046</v>
      </c>
      <c r="T734">
        <v>0.40747558419031327</v>
      </c>
      <c r="U734">
        <v>0</v>
      </c>
      <c r="V734">
        <v>0</v>
      </c>
      <c r="W734">
        <v>0</v>
      </c>
      <c r="X734">
        <v>0</v>
      </c>
      <c r="Y734">
        <v>5.711830489300862E-2</v>
      </c>
      <c r="Z734">
        <v>0.19288169510699138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>
        <v>0</v>
      </c>
      <c r="AM734">
        <v>1</v>
      </c>
      <c r="AN734">
        <v>0.83830609867000128</v>
      </c>
      <c r="AO734">
        <v>0.83830609867000128</v>
      </c>
      <c r="AP734">
        <v>1.3415892672858611</v>
      </c>
      <c r="AQ734">
        <v>0.34158926728586114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0.83830609867000128</v>
      </c>
      <c r="BF734">
        <v>0</v>
      </c>
      <c r="BG734">
        <v>0</v>
      </c>
      <c r="BH734">
        <v>0</v>
      </c>
      <c r="BI734">
        <v>0</v>
      </c>
      <c r="BJ734">
        <v>0</v>
      </c>
      <c r="BK734">
        <v>0.74538461538461565</v>
      </c>
      <c r="BL734">
        <v>0.74538461538461565</v>
      </c>
      <c r="BM734">
        <v>0.62486046893171665</v>
      </c>
      <c r="BN734">
        <v>0</v>
      </c>
      <c r="BO734">
        <v>0</v>
      </c>
      <c r="BP734">
        <v>0</v>
      </c>
      <c r="BQ734">
        <v>0</v>
      </c>
      <c r="BR734">
        <v>0</v>
      </c>
      <c r="BS734">
        <v>0</v>
      </c>
      <c r="BT734">
        <v>0</v>
      </c>
      <c r="BU734">
        <v>0</v>
      </c>
      <c r="BV734">
        <v>0</v>
      </c>
      <c r="BW734">
        <v>0</v>
      </c>
      <c r="BX734">
        <v>0.25461538461538435</v>
      </c>
      <c r="BY734">
        <v>0</v>
      </c>
      <c r="BZ734">
        <v>0.12052414645289899</v>
      </c>
      <c r="CA734">
        <v>0</v>
      </c>
      <c r="CB734">
        <v>0.62486046893171665</v>
      </c>
      <c r="CC734">
        <v>0</v>
      </c>
      <c r="CD734">
        <v>0</v>
      </c>
      <c r="CE734">
        <v>0</v>
      </c>
      <c r="CF734">
        <v>0</v>
      </c>
      <c r="CG734">
        <v>0</v>
      </c>
    </row>
    <row r="735" spans="1:85" x14ac:dyDescent="0.25">
      <c r="A735" t="s">
        <v>128</v>
      </c>
      <c r="B735" t="s">
        <v>146</v>
      </c>
      <c r="C735" t="s">
        <v>72</v>
      </c>
      <c r="D735" s="12">
        <v>46227</v>
      </c>
      <c r="E735" t="s">
        <v>135</v>
      </c>
      <c r="F735" t="s">
        <v>135</v>
      </c>
      <c r="G735" t="s">
        <v>135</v>
      </c>
      <c r="H735" t="s">
        <v>75</v>
      </c>
      <c r="I735">
        <v>10</v>
      </c>
      <c r="J735">
        <v>1</v>
      </c>
      <c r="K735">
        <v>2.2486328293736499</v>
      </c>
      <c r="L735">
        <v>46227</v>
      </c>
      <c r="M735" t="s">
        <v>227</v>
      </c>
      <c r="N735">
        <v>3.8</v>
      </c>
      <c r="O735">
        <v>3.8</v>
      </c>
      <c r="P735">
        <v>2.9307958477508644</v>
      </c>
      <c r="Q735">
        <v>1.689915734734905</v>
      </c>
      <c r="R735">
        <v>1.689915734734905</v>
      </c>
      <c r="S735">
        <v>1.3033678995815554</v>
      </c>
      <c r="T735">
        <v>0</v>
      </c>
      <c r="U735">
        <v>0</v>
      </c>
      <c r="V735">
        <v>0.38654783515334956</v>
      </c>
      <c r="W735">
        <v>0</v>
      </c>
      <c r="X735">
        <v>5.3367899581555411E-2</v>
      </c>
      <c r="Y735">
        <v>0</v>
      </c>
      <c r="Z735">
        <v>0.25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1</v>
      </c>
      <c r="AI735">
        <v>0</v>
      </c>
      <c r="AJ735">
        <v>0</v>
      </c>
      <c r="AK735">
        <v>0</v>
      </c>
      <c r="AL735">
        <v>0</v>
      </c>
      <c r="AM735">
        <v>0</v>
      </c>
      <c r="AN735">
        <v>0.59174548141411842</v>
      </c>
      <c r="AO735">
        <v>0.59174548141411842</v>
      </c>
      <c r="AP735">
        <v>0.77126206519759599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0.22873793480240401</v>
      </c>
      <c r="BB735">
        <v>0</v>
      </c>
      <c r="BC735">
        <v>0</v>
      </c>
      <c r="BD735">
        <v>0</v>
      </c>
      <c r="BE735">
        <v>0.59174548141411842</v>
      </c>
      <c r="BF735">
        <v>0</v>
      </c>
      <c r="BG735">
        <v>0</v>
      </c>
      <c r="BH735">
        <v>0</v>
      </c>
      <c r="BI735">
        <v>0</v>
      </c>
      <c r="BJ735">
        <v>0</v>
      </c>
      <c r="BK735">
        <v>1.2965761511216058</v>
      </c>
      <c r="BL735">
        <v>1.2965761511216058</v>
      </c>
      <c r="BM735">
        <v>0.76724307873551945</v>
      </c>
      <c r="BN735">
        <v>0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0</v>
      </c>
      <c r="BV735">
        <v>0.29657615112160585</v>
      </c>
      <c r="BW735">
        <v>0</v>
      </c>
      <c r="BX735">
        <v>0</v>
      </c>
      <c r="BY735">
        <v>0</v>
      </c>
      <c r="BZ735">
        <v>0.23275692126448055</v>
      </c>
      <c r="CA735">
        <v>0</v>
      </c>
      <c r="CB735">
        <v>0.76724307873551945</v>
      </c>
      <c r="CC735">
        <v>0</v>
      </c>
      <c r="CD735">
        <v>0</v>
      </c>
      <c r="CE735">
        <v>0</v>
      </c>
      <c r="CF735">
        <v>0</v>
      </c>
      <c r="CG735">
        <v>0</v>
      </c>
    </row>
    <row r="736" spans="1:85" x14ac:dyDescent="0.25">
      <c r="A736" t="s">
        <v>128</v>
      </c>
      <c r="B736" t="s">
        <v>146</v>
      </c>
      <c r="C736" t="s">
        <v>72</v>
      </c>
      <c r="D736" s="12">
        <v>46227</v>
      </c>
      <c r="E736" t="s">
        <v>135</v>
      </c>
      <c r="F736" t="s">
        <v>135</v>
      </c>
      <c r="G736" t="s">
        <v>135</v>
      </c>
      <c r="H736" t="s">
        <v>74</v>
      </c>
      <c r="I736">
        <v>10</v>
      </c>
      <c r="J736">
        <v>1</v>
      </c>
      <c r="K736">
        <v>1.2742252699784016</v>
      </c>
      <c r="L736">
        <v>46227</v>
      </c>
      <c r="M736" t="s">
        <v>228</v>
      </c>
      <c r="N736">
        <v>0</v>
      </c>
      <c r="O736">
        <v>0</v>
      </c>
      <c r="P736">
        <v>0.94117647058823517</v>
      </c>
      <c r="Q736">
        <v>0</v>
      </c>
      <c r="R736">
        <v>0</v>
      </c>
      <c r="S736">
        <v>0.73862643659875649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0.73862643659875649</v>
      </c>
      <c r="AD736">
        <v>0.26137356340124351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>
        <v>0</v>
      </c>
      <c r="AM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K736">
        <v>0</v>
      </c>
      <c r="BL736">
        <v>0</v>
      </c>
      <c r="BM736">
        <v>1.3538643493520519</v>
      </c>
      <c r="BN736">
        <v>0.35386434935205191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</row>
    <row r="737" spans="1:85" x14ac:dyDescent="0.25">
      <c r="A737" t="s">
        <v>128</v>
      </c>
      <c r="B737" t="s">
        <v>146</v>
      </c>
      <c r="C737" t="s">
        <v>72</v>
      </c>
      <c r="D737" s="12">
        <v>46227</v>
      </c>
      <c r="E737" t="s">
        <v>135</v>
      </c>
      <c r="F737" t="s">
        <v>135</v>
      </c>
      <c r="G737" t="s">
        <v>135</v>
      </c>
      <c r="H737" t="s">
        <v>73</v>
      </c>
      <c r="I737">
        <v>10</v>
      </c>
      <c r="J737">
        <v>1</v>
      </c>
      <c r="K737">
        <v>4.7783447624190059</v>
      </c>
      <c r="L737">
        <v>46227</v>
      </c>
      <c r="M737" t="s">
        <v>229</v>
      </c>
      <c r="N737">
        <v>2.8499999999999996</v>
      </c>
      <c r="O737">
        <v>2.8499999999999996</v>
      </c>
      <c r="P737">
        <v>1.9411764705882353</v>
      </c>
      <c r="Q737">
        <v>0.5964408475534958</v>
      </c>
      <c r="R737">
        <v>0.5964408475534958</v>
      </c>
      <c r="S737">
        <v>0.4062445401293161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0.4035591524465042</v>
      </c>
      <c r="AE737">
        <v>0</v>
      </c>
      <c r="AF737">
        <v>0.1901963074241797</v>
      </c>
      <c r="AG737">
        <v>0</v>
      </c>
      <c r="AH737">
        <v>0.4062445401293161</v>
      </c>
      <c r="AI737">
        <v>0</v>
      </c>
      <c r="AJ737">
        <v>0</v>
      </c>
      <c r="AK737">
        <v>0</v>
      </c>
      <c r="AL737">
        <v>0</v>
      </c>
      <c r="AM737">
        <v>0</v>
      </c>
      <c r="AN737">
        <v>1.6766121973400023</v>
      </c>
      <c r="AO737">
        <v>1.6766121973400023</v>
      </c>
      <c r="AP737">
        <v>0.68111455108359142</v>
      </c>
      <c r="BG737">
        <v>0</v>
      </c>
      <c r="BH737">
        <v>0</v>
      </c>
      <c r="BI737">
        <v>0</v>
      </c>
      <c r="BK737">
        <v>1.468181818181818</v>
      </c>
      <c r="BL737">
        <v>1.468181818181818</v>
      </c>
      <c r="BM737">
        <v>2.4615715442764574</v>
      </c>
      <c r="BN737">
        <v>0.99338972609463938</v>
      </c>
      <c r="BO737">
        <v>0</v>
      </c>
      <c r="BP737">
        <v>0</v>
      </c>
      <c r="BQ737">
        <v>0</v>
      </c>
      <c r="BR737">
        <v>0</v>
      </c>
      <c r="BS737">
        <v>3.1818181818181968E-2</v>
      </c>
      <c r="BT737">
        <v>0.46818181818181803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</row>
    <row r="738" spans="1:85" x14ac:dyDescent="0.25">
      <c r="A738" t="s">
        <v>128</v>
      </c>
      <c r="B738" t="s">
        <v>146</v>
      </c>
      <c r="C738" t="s">
        <v>72</v>
      </c>
      <c r="D738" s="12">
        <v>46226</v>
      </c>
      <c r="E738" t="s">
        <v>135</v>
      </c>
      <c r="F738" t="s">
        <v>135</v>
      </c>
      <c r="G738" t="s">
        <v>135</v>
      </c>
      <c r="H738" t="s">
        <v>75</v>
      </c>
      <c r="I738">
        <v>10</v>
      </c>
      <c r="J738">
        <v>1</v>
      </c>
      <c r="K738">
        <v>3.505221763435395</v>
      </c>
      <c r="L738">
        <v>46226</v>
      </c>
      <c r="M738" t="s">
        <v>230</v>
      </c>
      <c r="N738">
        <v>3.8</v>
      </c>
      <c r="O738">
        <v>3.8</v>
      </c>
      <c r="P738">
        <v>3.1619012930249499</v>
      </c>
      <c r="Q738">
        <v>1.0840968864337128</v>
      </c>
      <c r="R738">
        <v>1.0840968864337128</v>
      </c>
      <c r="S738">
        <v>0.90205456499449443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8.4096886433712825E-2</v>
      </c>
      <c r="AC738">
        <v>0</v>
      </c>
      <c r="AD738">
        <v>0</v>
      </c>
      <c r="AE738">
        <v>0</v>
      </c>
      <c r="AF738">
        <v>9.7945435005505566E-2</v>
      </c>
      <c r="AG738">
        <v>0</v>
      </c>
      <c r="AH738">
        <v>0.90205456499449443</v>
      </c>
      <c r="AI738">
        <v>0</v>
      </c>
      <c r="AJ738">
        <v>0</v>
      </c>
      <c r="AK738">
        <v>0</v>
      </c>
      <c r="AL738">
        <v>0</v>
      </c>
      <c r="AM738">
        <v>0</v>
      </c>
      <c r="AN738">
        <v>0.92242677985141974</v>
      </c>
      <c r="AO738">
        <v>0.92242677985141974</v>
      </c>
      <c r="AP738">
        <v>0.83207928763814476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7.7573220148580257E-2</v>
      </c>
      <c r="BB738">
        <v>0</v>
      </c>
      <c r="BC738">
        <v>9.0347492213274982E-2</v>
      </c>
      <c r="BD738">
        <v>0</v>
      </c>
      <c r="BE738">
        <v>0.83207928763814476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1.201808547402373</v>
      </c>
      <c r="BL738">
        <v>1.201808547402373</v>
      </c>
      <c r="BM738">
        <v>1.1085803883782832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0.10858038837828321</v>
      </c>
      <c r="BU738">
        <v>0</v>
      </c>
      <c r="BV738">
        <v>9.3228159024089763E-2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1</v>
      </c>
      <c r="CC738">
        <v>0</v>
      </c>
      <c r="CD738">
        <v>0</v>
      </c>
      <c r="CE738">
        <v>0</v>
      </c>
      <c r="CF738">
        <v>0</v>
      </c>
      <c r="CG738">
        <v>0</v>
      </c>
    </row>
    <row r="739" spans="1:85" x14ac:dyDescent="0.25">
      <c r="A739" t="s">
        <v>128</v>
      </c>
      <c r="B739" t="s">
        <v>146</v>
      </c>
      <c r="C739" t="s">
        <v>72</v>
      </c>
      <c r="D739" s="12">
        <v>46226</v>
      </c>
      <c r="E739" t="s">
        <v>135</v>
      </c>
      <c r="F739" t="s">
        <v>135</v>
      </c>
      <c r="G739" t="s">
        <v>135</v>
      </c>
      <c r="H739" t="s">
        <v>74</v>
      </c>
      <c r="I739">
        <v>10</v>
      </c>
      <c r="J739">
        <v>1</v>
      </c>
      <c r="K739">
        <v>1.2742252699784016</v>
      </c>
      <c r="L739">
        <v>46226</v>
      </c>
      <c r="M739" t="s">
        <v>231</v>
      </c>
      <c r="N739">
        <v>0</v>
      </c>
      <c r="O739">
        <v>0</v>
      </c>
      <c r="P739">
        <v>0.94117647058823517</v>
      </c>
      <c r="Q739">
        <v>0</v>
      </c>
      <c r="R739">
        <v>0</v>
      </c>
      <c r="S739">
        <v>0.73862643659875649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0.73862643659875649</v>
      </c>
      <c r="AD739">
        <v>0.26137356340124351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K739">
        <v>0</v>
      </c>
      <c r="BL739">
        <v>0</v>
      </c>
      <c r="BM739">
        <v>1.3538643493520519</v>
      </c>
      <c r="BN739">
        <v>0.35386434935205191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</row>
    <row r="740" spans="1:85" x14ac:dyDescent="0.25">
      <c r="A740" t="s">
        <v>128</v>
      </c>
      <c r="B740" t="s">
        <v>146</v>
      </c>
      <c r="C740" t="s">
        <v>72</v>
      </c>
      <c r="D740" s="12">
        <v>46226</v>
      </c>
      <c r="E740" t="s">
        <v>135</v>
      </c>
      <c r="F740" t="s">
        <v>135</v>
      </c>
      <c r="G740" t="s">
        <v>135</v>
      </c>
      <c r="H740" t="s">
        <v>73</v>
      </c>
      <c r="I740">
        <v>10</v>
      </c>
      <c r="J740">
        <v>1</v>
      </c>
      <c r="K740">
        <v>5.9729309530237575</v>
      </c>
      <c r="L740">
        <v>46226</v>
      </c>
      <c r="M740" t="s">
        <v>232</v>
      </c>
      <c r="N740">
        <v>2.8499999999999996</v>
      </c>
      <c r="O740">
        <v>2.8499999999999996</v>
      </c>
      <c r="P740">
        <v>4.8831269349845199</v>
      </c>
      <c r="Q740">
        <v>0.47715267804279665</v>
      </c>
      <c r="R740">
        <v>0.47715267804279665</v>
      </c>
      <c r="S740">
        <v>0.81754284008799205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0.3403901620451954</v>
      </c>
      <c r="AD740">
        <v>0.18245715991200795</v>
      </c>
      <c r="AE740">
        <v>0</v>
      </c>
      <c r="AF740">
        <v>0</v>
      </c>
      <c r="AG740">
        <v>0</v>
      </c>
      <c r="AH740">
        <v>0.47715267804279665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2.0957652466750027</v>
      </c>
      <c r="AO740">
        <v>2.0957652466750027</v>
      </c>
      <c r="AP740">
        <v>1.7133778719243931</v>
      </c>
      <c r="BG740">
        <v>0</v>
      </c>
      <c r="BH740">
        <v>0</v>
      </c>
      <c r="BI740">
        <v>0</v>
      </c>
      <c r="BK740">
        <v>0.58364241559676644</v>
      </c>
      <c r="BL740">
        <v>0.58364241559676644</v>
      </c>
      <c r="BM740">
        <v>1.2231774910931519</v>
      </c>
      <c r="BN740">
        <v>0.22317749109315188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0</v>
      </c>
      <c r="BV740">
        <v>0</v>
      </c>
      <c r="BW740">
        <v>0.5228473219572034</v>
      </c>
      <c r="BX740">
        <v>0</v>
      </c>
      <c r="BY740">
        <v>0</v>
      </c>
      <c r="BZ740">
        <v>0</v>
      </c>
      <c r="CA740">
        <v>0</v>
      </c>
      <c r="CB740">
        <v>0.58364241559676644</v>
      </c>
      <c r="CC740">
        <v>0</v>
      </c>
      <c r="CD740">
        <v>0</v>
      </c>
      <c r="CE740">
        <v>0</v>
      </c>
      <c r="CF740">
        <v>0</v>
      </c>
      <c r="CG740">
        <v>0</v>
      </c>
    </row>
    <row r="741" spans="1:85" x14ac:dyDescent="0.25">
      <c r="A741" t="s">
        <v>128</v>
      </c>
      <c r="B741" t="s">
        <v>146</v>
      </c>
      <c r="C741" t="s">
        <v>72</v>
      </c>
      <c r="D741" s="12">
        <v>46225</v>
      </c>
      <c r="E741" t="s">
        <v>135</v>
      </c>
      <c r="F741" t="s">
        <v>135</v>
      </c>
      <c r="G741" t="s">
        <v>135</v>
      </c>
      <c r="H741" t="s">
        <v>75</v>
      </c>
      <c r="I741">
        <v>10</v>
      </c>
      <c r="J741">
        <v>1</v>
      </c>
      <c r="K741">
        <v>3.902039321560157</v>
      </c>
      <c r="L741">
        <v>46225</v>
      </c>
      <c r="M741" t="s">
        <v>215</v>
      </c>
      <c r="N741">
        <v>4.75</v>
      </c>
      <c r="O741">
        <v>4.75</v>
      </c>
      <c r="P741">
        <v>3.8019031141868487</v>
      </c>
      <c r="Q741">
        <v>1.2173121818005672</v>
      </c>
      <c r="R741">
        <v>1.2173121818005672</v>
      </c>
      <c r="S741">
        <v>0.97433746840529767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0.21731218180056722</v>
      </c>
      <c r="AC741">
        <v>0</v>
      </c>
      <c r="AD741">
        <v>0</v>
      </c>
      <c r="AE741">
        <v>0</v>
      </c>
      <c r="AF741">
        <v>2.5662531594702331E-2</v>
      </c>
      <c r="AG741">
        <v>0</v>
      </c>
      <c r="AH741">
        <v>0.97433746840529767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0.82148196243371729</v>
      </c>
      <c r="AO741">
        <v>0.82148196243371729</v>
      </c>
      <c r="AP741">
        <v>0.80040065561828388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0.17851803756628271</v>
      </c>
      <c r="BB741">
        <v>0</v>
      </c>
      <c r="BC741">
        <v>2.1081306815433409E-2</v>
      </c>
      <c r="BD741">
        <v>0</v>
      </c>
      <c r="BE741">
        <v>0.80040065561828388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1.2493742889647335</v>
      </c>
      <c r="BL741">
        <v>1.2493742889647335</v>
      </c>
      <c r="BM741">
        <v>1.0263384427129794</v>
      </c>
      <c r="BN741">
        <v>0</v>
      </c>
      <c r="BO741">
        <v>0</v>
      </c>
      <c r="BP741">
        <v>0</v>
      </c>
      <c r="BQ741">
        <v>0</v>
      </c>
      <c r="BR741">
        <v>0</v>
      </c>
      <c r="BS741">
        <v>0</v>
      </c>
      <c r="BT741">
        <v>2.633844271297936E-2</v>
      </c>
      <c r="BU741">
        <v>0</v>
      </c>
      <c r="BV741">
        <v>0.2230358462517541</v>
      </c>
      <c r="BW741">
        <v>0</v>
      </c>
      <c r="BX741">
        <v>0</v>
      </c>
      <c r="BY741">
        <v>0</v>
      </c>
      <c r="BZ741">
        <v>0</v>
      </c>
      <c r="CA741">
        <v>0</v>
      </c>
      <c r="CB741">
        <v>1</v>
      </c>
      <c r="CC741">
        <v>0</v>
      </c>
      <c r="CD741">
        <v>0</v>
      </c>
      <c r="CE741">
        <v>0</v>
      </c>
      <c r="CF741">
        <v>0</v>
      </c>
      <c r="CG741">
        <v>0</v>
      </c>
    </row>
    <row r="742" spans="1:85" x14ac:dyDescent="0.25">
      <c r="A742" t="s">
        <v>128</v>
      </c>
      <c r="B742" t="s">
        <v>146</v>
      </c>
      <c r="C742" t="s">
        <v>72</v>
      </c>
      <c r="D742" s="12">
        <v>46225</v>
      </c>
      <c r="E742" t="s">
        <v>135</v>
      </c>
      <c r="F742" t="s">
        <v>135</v>
      </c>
      <c r="G742" t="s">
        <v>135</v>
      </c>
      <c r="H742" t="s">
        <v>74</v>
      </c>
      <c r="I742">
        <v>10</v>
      </c>
      <c r="J742">
        <v>1</v>
      </c>
      <c r="K742">
        <v>1.2742252699784016</v>
      </c>
      <c r="L742">
        <v>46225</v>
      </c>
      <c r="M742" t="s">
        <v>163</v>
      </c>
      <c r="N742">
        <v>0</v>
      </c>
      <c r="O742">
        <v>0</v>
      </c>
      <c r="P742">
        <v>0.94117647058823517</v>
      </c>
      <c r="Q742">
        <v>0</v>
      </c>
      <c r="R742">
        <v>0</v>
      </c>
      <c r="S742">
        <v>0.73862643659875649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0.73862643659875649</v>
      </c>
      <c r="AD742">
        <v>0.26137356340124351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K742">
        <v>0</v>
      </c>
      <c r="BL742">
        <v>0</v>
      </c>
      <c r="BM742">
        <v>1.3538643493520519</v>
      </c>
      <c r="BN742">
        <v>0.35386434935205191</v>
      </c>
      <c r="BO742">
        <v>0</v>
      </c>
      <c r="BP742">
        <v>0</v>
      </c>
      <c r="BQ742">
        <v>0</v>
      </c>
      <c r="BR742">
        <v>0</v>
      </c>
      <c r="BS742">
        <v>0</v>
      </c>
      <c r="BT742">
        <v>0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0</v>
      </c>
      <c r="CF742">
        <v>0</v>
      </c>
      <c r="CG742">
        <v>0</v>
      </c>
    </row>
    <row r="743" spans="1:85" x14ac:dyDescent="0.25">
      <c r="A743" t="s">
        <v>128</v>
      </c>
      <c r="B743" t="s">
        <v>146</v>
      </c>
      <c r="C743" t="s">
        <v>72</v>
      </c>
      <c r="D743" s="12">
        <v>46225</v>
      </c>
      <c r="E743" t="s">
        <v>135</v>
      </c>
      <c r="F743" t="s">
        <v>135</v>
      </c>
      <c r="G743" t="s">
        <v>135</v>
      </c>
      <c r="H743" t="s">
        <v>73</v>
      </c>
      <c r="I743">
        <v>10</v>
      </c>
      <c r="J743">
        <v>1</v>
      </c>
      <c r="K743">
        <v>4.6378052105831538</v>
      </c>
      <c r="L743">
        <v>46225</v>
      </c>
      <c r="M743" t="s">
        <v>166</v>
      </c>
      <c r="N743">
        <v>3.8</v>
      </c>
      <c r="O743">
        <v>3.8</v>
      </c>
      <c r="P743">
        <v>2.7656250000000009</v>
      </c>
      <c r="Q743">
        <v>0.81935308350783254</v>
      </c>
      <c r="R743">
        <v>0.81935308350783254</v>
      </c>
      <c r="S743">
        <v>0.59632193988851323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0.18064691649216746</v>
      </c>
      <c r="AE743">
        <v>0</v>
      </c>
      <c r="AF743">
        <v>0.22303114361931931</v>
      </c>
      <c r="AG743">
        <v>0</v>
      </c>
      <c r="AH743">
        <v>0.59632193988851323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1.2204750554166195</v>
      </c>
      <c r="AO743">
        <v>1.2204750554166195</v>
      </c>
      <c r="AP743">
        <v>0.7277960526315792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0.22047505541661949</v>
      </c>
      <c r="AZ743">
        <v>0</v>
      </c>
      <c r="BA743">
        <v>0</v>
      </c>
      <c r="BB743">
        <v>0</v>
      </c>
      <c r="BC743">
        <v>0.2722039473684208</v>
      </c>
      <c r="BD743">
        <v>0</v>
      </c>
      <c r="BE743">
        <v>0.7277960526315792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1.3740112994350278</v>
      </c>
      <c r="BL743">
        <v>1.3740112994350278</v>
      </c>
      <c r="BM743">
        <v>1.6769465168210269</v>
      </c>
      <c r="BN743">
        <v>0.30293521738599916</v>
      </c>
      <c r="BO743">
        <v>0</v>
      </c>
      <c r="BP743">
        <v>0</v>
      </c>
      <c r="BQ743">
        <v>0</v>
      </c>
      <c r="BR743">
        <v>0</v>
      </c>
      <c r="BS743">
        <v>0.12598870056497224</v>
      </c>
      <c r="BT743">
        <v>0.37401129943502776</v>
      </c>
      <c r="BU743">
        <v>0</v>
      </c>
      <c r="BV743">
        <v>0</v>
      </c>
      <c r="BW743">
        <v>0</v>
      </c>
      <c r="BX743">
        <v>0</v>
      </c>
      <c r="BY743">
        <v>0</v>
      </c>
      <c r="BZ743">
        <v>0</v>
      </c>
      <c r="CA743">
        <v>0</v>
      </c>
      <c r="CB743">
        <v>0</v>
      </c>
      <c r="CC743">
        <v>0</v>
      </c>
      <c r="CD743">
        <v>0</v>
      </c>
      <c r="CE743">
        <v>0</v>
      </c>
      <c r="CF743">
        <v>0</v>
      </c>
      <c r="CG743">
        <v>0</v>
      </c>
    </row>
    <row r="744" spans="1:85" x14ac:dyDescent="0.25">
      <c r="A744" t="s">
        <v>128</v>
      </c>
      <c r="B744" t="s">
        <v>146</v>
      </c>
      <c r="C744" t="s">
        <v>72</v>
      </c>
      <c r="D744" s="12">
        <v>46247</v>
      </c>
      <c r="E744" t="s">
        <v>136</v>
      </c>
      <c r="F744" t="s">
        <v>136</v>
      </c>
      <c r="G744" t="s">
        <v>136</v>
      </c>
      <c r="H744" t="s">
        <v>74</v>
      </c>
      <c r="I744">
        <v>10</v>
      </c>
      <c r="J744">
        <v>1</v>
      </c>
      <c r="K744">
        <v>0</v>
      </c>
      <c r="L744">
        <v>46247</v>
      </c>
      <c r="M744" t="s">
        <v>165</v>
      </c>
      <c r="N744">
        <v>0</v>
      </c>
      <c r="O744">
        <v>0</v>
      </c>
      <c r="P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M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F744">
        <v>0</v>
      </c>
      <c r="BG744">
        <v>0</v>
      </c>
      <c r="BH744">
        <v>0</v>
      </c>
      <c r="BN744">
        <v>0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0</v>
      </c>
      <c r="BU744">
        <v>0</v>
      </c>
      <c r="BV744">
        <v>0</v>
      </c>
      <c r="BW744">
        <v>0</v>
      </c>
      <c r="BX744">
        <v>1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0</v>
      </c>
      <c r="CG744">
        <v>0</v>
      </c>
    </row>
    <row r="745" spans="1:85" x14ac:dyDescent="0.25">
      <c r="A745" t="s">
        <v>128</v>
      </c>
      <c r="B745" t="s">
        <v>146</v>
      </c>
      <c r="C745" t="s">
        <v>72</v>
      </c>
      <c r="D745" s="12">
        <v>46224</v>
      </c>
      <c r="E745" t="s">
        <v>135</v>
      </c>
      <c r="F745" t="s">
        <v>135</v>
      </c>
      <c r="G745" t="s">
        <v>135</v>
      </c>
      <c r="H745" t="s">
        <v>75</v>
      </c>
      <c r="I745">
        <v>10</v>
      </c>
      <c r="J745">
        <v>1</v>
      </c>
      <c r="K745">
        <v>3.3729492440604751</v>
      </c>
      <c r="L745">
        <v>46224</v>
      </c>
      <c r="M745" t="s">
        <v>169</v>
      </c>
      <c r="N745">
        <v>0.95</v>
      </c>
      <c r="O745">
        <v>0.95</v>
      </c>
      <c r="P745">
        <v>3.4861591695501715</v>
      </c>
      <c r="Q745">
        <v>0.28165262245581746</v>
      </c>
      <c r="R745">
        <v>0.28165262245581746</v>
      </c>
      <c r="S745">
        <v>1.0335640762128429</v>
      </c>
      <c r="T745">
        <v>3.3564076212842853E-2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0.71834737754418254</v>
      </c>
      <c r="AD745">
        <v>0</v>
      </c>
      <c r="AE745">
        <v>0</v>
      </c>
      <c r="AF745">
        <v>0</v>
      </c>
      <c r="AG745">
        <v>0</v>
      </c>
      <c r="AH745">
        <v>0.28165262245581746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3.5504728884847108</v>
      </c>
      <c r="AO745">
        <v>3.5504728884847108</v>
      </c>
      <c r="AP745">
        <v>3.6696412311054436</v>
      </c>
      <c r="BG745">
        <v>0</v>
      </c>
      <c r="BH745">
        <v>0</v>
      </c>
      <c r="BI745">
        <v>0</v>
      </c>
      <c r="BK745">
        <v>0.2725062034739455</v>
      </c>
      <c r="BL745">
        <v>0.2725062034739455</v>
      </c>
      <c r="BM745">
        <v>0.96752588737814171</v>
      </c>
      <c r="BN745">
        <v>0</v>
      </c>
      <c r="BO745">
        <v>0</v>
      </c>
      <c r="BP745">
        <v>0</v>
      </c>
      <c r="BQ745">
        <v>0</v>
      </c>
      <c r="BR745">
        <v>0</v>
      </c>
      <c r="BS745">
        <v>0</v>
      </c>
      <c r="BT745">
        <v>0</v>
      </c>
      <c r="BU745">
        <v>0</v>
      </c>
      <c r="BV745">
        <v>0</v>
      </c>
      <c r="BW745">
        <v>0</v>
      </c>
      <c r="BX745">
        <v>3.2474112621858287E-2</v>
      </c>
      <c r="BY745">
        <v>0</v>
      </c>
      <c r="BZ745">
        <v>0</v>
      </c>
      <c r="CA745">
        <v>0</v>
      </c>
      <c r="CB745">
        <v>0.2725062034739455</v>
      </c>
      <c r="CC745">
        <v>0</v>
      </c>
      <c r="CD745">
        <v>0</v>
      </c>
      <c r="CE745">
        <v>0</v>
      </c>
      <c r="CF745">
        <v>0</v>
      </c>
      <c r="CG745">
        <v>0</v>
      </c>
    </row>
    <row r="746" spans="1:85" x14ac:dyDescent="0.25">
      <c r="A746" t="s">
        <v>128</v>
      </c>
      <c r="B746" t="s">
        <v>146</v>
      </c>
      <c r="C746" t="s">
        <v>72</v>
      </c>
      <c r="D746" s="12">
        <v>46224</v>
      </c>
      <c r="E746" t="s">
        <v>135</v>
      </c>
      <c r="F746" t="s">
        <v>135</v>
      </c>
      <c r="G746" t="s">
        <v>135</v>
      </c>
      <c r="H746" t="s">
        <v>73</v>
      </c>
      <c r="I746">
        <v>10</v>
      </c>
      <c r="J746">
        <v>1</v>
      </c>
      <c r="K746">
        <v>5.8323914011879054</v>
      </c>
      <c r="L746">
        <v>46224</v>
      </c>
      <c r="M746" t="s">
        <v>175</v>
      </c>
      <c r="N746">
        <v>5.6999999999999993</v>
      </c>
      <c r="O746">
        <v>5.6999999999999993</v>
      </c>
      <c r="P746">
        <v>4.2886029411764692</v>
      </c>
      <c r="Q746">
        <v>0.97730066587078823</v>
      </c>
      <c r="R746">
        <v>0.97730066587078823</v>
      </c>
      <c r="S746">
        <v>0.7353078087837166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2.2699334129211768E-2</v>
      </c>
      <c r="AE746">
        <v>0</v>
      </c>
      <c r="AF746">
        <v>0.24199285708707163</v>
      </c>
      <c r="AG746">
        <v>0</v>
      </c>
      <c r="AH746">
        <v>0.7353078087837166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1.0232265616119134</v>
      </c>
      <c r="AO746">
        <v>1.0232265616119134</v>
      </c>
      <c r="AP746">
        <v>0.75238648090815263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2.3226561611913388E-2</v>
      </c>
      <c r="AZ746">
        <v>0</v>
      </c>
      <c r="BA746">
        <v>0</v>
      </c>
      <c r="BB746">
        <v>0</v>
      </c>
      <c r="BC746">
        <v>0.24761351909184737</v>
      </c>
      <c r="BD746">
        <v>0</v>
      </c>
      <c r="BE746">
        <v>0.75238648090815263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1.3291041577368199</v>
      </c>
      <c r="BL746">
        <v>1.3291041577368199</v>
      </c>
      <c r="BM746">
        <v>1.3599746773451442</v>
      </c>
      <c r="BN746">
        <v>3.0870519608324321E-2</v>
      </c>
      <c r="BO746">
        <v>0</v>
      </c>
      <c r="BP746">
        <v>0</v>
      </c>
      <c r="BQ746">
        <v>0</v>
      </c>
      <c r="BR746">
        <v>0</v>
      </c>
      <c r="BS746">
        <v>0</v>
      </c>
      <c r="BT746">
        <v>0.32910415773681989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1</v>
      </c>
      <c r="CC746">
        <v>0</v>
      </c>
      <c r="CD746">
        <v>0</v>
      </c>
      <c r="CE746">
        <v>0</v>
      </c>
      <c r="CF746">
        <v>0</v>
      </c>
      <c r="CG746">
        <v>0</v>
      </c>
    </row>
    <row r="747" spans="1:85" x14ac:dyDescent="0.25">
      <c r="A747" t="s">
        <v>128</v>
      </c>
      <c r="B747" t="s">
        <v>146</v>
      </c>
      <c r="C747" t="s">
        <v>72</v>
      </c>
      <c r="D747" s="12">
        <v>46223</v>
      </c>
      <c r="E747" t="s">
        <v>135</v>
      </c>
      <c r="F747" t="s">
        <v>135</v>
      </c>
      <c r="G747" t="s">
        <v>135</v>
      </c>
      <c r="H747" t="s">
        <v>75</v>
      </c>
      <c r="I747">
        <v>10</v>
      </c>
      <c r="J747">
        <v>1</v>
      </c>
      <c r="K747">
        <v>3.3729492440604751</v>
      </c>
      <c r="L747">
        <v>46223</v>
      </c>
      <c r="M747" t="s">
        <v>168</v>
      </c>
      <c r="N747">
        <v>2.8499999999999996</v>
      </c>
      <c r="O747">
        <v>2.8499999999999996</v>
      </c>
      <c r="P747">
        <v>4.4273356401384074</v>
      </c>
      <c r="Q747">
        <v>0.84495786736745238</v>
      </c>
      <c r="R747">
        <v>0.84495786736745238</v>
      </c>
      <c r="S747">
        <v>1.3126007300390399</v>
      </c>
      <c r="T747">
        <v>0.31260073003903988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0.15504213263254762</v>
      </c>
      <c r="AD747">
        <v>0</v>
      </c>
      <c r="AE747">
        <v>0</v>
      </c>
      <c r="AF747">
        <v>0</v>
      </c>
      <c r="AG747">
        <v>0</v>
      </c>
      <c r="AH747">
        <v>0.84495786736745238</v>
      </c>
      <c r="AI747">
        <v>0</v>
      </c>
      <c r="AJ747">
        <v>0</v>
      </c>
      <c r="AK747">
        <v>0</v>
      </c>
      <c r="AL747">
        <v>0</v>
      </c>
      <c r="AM747">
        <v>0</v>
      </c>
      <c r="AN747">
        <v>1.1834909628282371</v>
      </c>
      <c r="AO747">
        <v>1.1834909628282371</v>
      </c>
      <c r="AP747">
        <v>1.5534511018029502</v>
      </c>
      <c r="AQ747">
        <v>0.36996013897471314</v>
      </c>
      <c r="AR747">
        <v>0</v>
      </c>
      <c r="AS747">
        <v>0</v>
      </c>
      <c r="AT747">
        <v>0</v>
      </c>
      <c r="AU747">
        <v>0</v>
      </c>
      <c r="AV747">
        <v>0.31650903717176293</v>
      </c>
      <c r="AW747">
        <v>0.18349096282823707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0.6437280187573271</v>
      </c>
      <c r="BL747">
        <v>0.6437280187573271</v>
      </c>
      <c r="BM747">
        <v>0.76184629271862248</v>
      </c>
      <c r="BN747">
        <v>0</v>
      </c>
      <c r="BO747">
        <v>0</v>
      </c>
      <c r="BP747">
        <v>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0.23815370728137752</v>
      </c>
      <c r="BY747">
        <v>0</v>
      </c>
      <c r="BZ747">
        <v>0</v>
      </c>
      <c r="CA747">
        <v>0</v>
      </c>
      <c r="CB747">
        <v>0.6437280187573271</v>
      </c>
      <c r="CC747">
        <v>0</v>
      </c>
      <c r="CD747">
        <v>0</v>
      </c>
      <c r="CE747">
        <v>0</v>
      </c>
      <c r="CF747">
        <v>0</v>
      </c>
      <c r="CG747">
        <v>0</v>
      </c>
    </row>
    <row r="748" spans="1:85" x14ac:dyDescent="0.25">
      <c r="A748" t="s">
        <v>128</v>
      </c>
      <c r="B748" t="s">
        <v>146</v>
      </c>
      <c r="C748" t="s">
        <v>72</v>
      </c>
      <c r="D748" s="12">
        <v>46223</v>
      </c>
      <c r="E748" t="s">
        <v>135</v>
      </c>
      <c r="F748" t="s">
        <v>135</v>
      </c>
      <c r="G748" t="s">
        <v>135</v>
      </c>
      <c r="H748" t="s">
        <v>74</v>
      </c>
      <c r="I748">
        <v>10</v>
      </c>
      <c r="J748">
        <v>1</v>
      </c>
      <c r="K748">
        <v>1.2742252699784016</v>
      </c>
      <c r="L748">
        <v>46223</v>
      </c>
      <c r="M748" t="s">
        <v>160</v>
      </c>
      <c r="N748">
        <v>0</v>
      </c>
      <c r="O748">
        <v>0</v>
      </c>
      <c r="P748">
        <v>0.94117647058823517</v>
      </c>
      <c r="Q748">
        <v>0</v>
      </c>
      <c r="R748">
        <v>0</v>
      </c>
      <c r="S748">
        <v>0.73862643659875649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0.73862643659875649</v>
      </c>
      <c r="AD748">
        <v>0.26137356340124351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>
        <v>0</v>
      </c>
      <c r="AM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F748">
        <v>0</v>
      </c>
      <c r="BG748">
        <v>0</v>
      </c>
      <c r="BH748">
        <v>0</v>
      </c>
      <c r="BI748">
        <v>0</v>
      </c>
      <c r="BK748">
        <v>0</v>
      </c>
      <c r="BL748">
        <v>0</v>
      </c>
      <c r="BM748">
        <v>1.3538643493520519</v>
      </c>
      <c r="BN748">
        <v>0.35386434935205191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0</v>
      </c>
      <c r="CF748">
        <v>0</v>
      </c>
      <c r="CG748">
        <v>0</v>
      </c>
    </row>
    <row r="749" spans="1:85" x14ac:dyDescent="0.25">
      <c r="A749" t="s">
        <v>128</v>
      </c>
      <c r="B749" t="s">
        <v>146</v>
      </c>
      <c r="C749" t="s">
        <v>72</v>
      </c>
      <c r="D749" s="12">
        <v>46223</v>
      </c>
      <c r="E749" t="s">
        <v>135</v>
      </c>
      <c r="F749" t="s">
        <v>135</v>
      </c>
      <c r="G749" t="s">
        <v>135</v>
      </c>
      <c r="H749" t="s">
        <v>73</v>
      </c>
      <c r="I749">
        <v>10</v>
      </c>
      <c r="J749">
        <v>1</v>
      </c>
      <c r="K749">
        <v>5.8323914011879046</v>
      </c>
      <c r="L749">
        <v>46223</v>
      </c>
      <c r="M749" t="s">
        <v>176</v>
      </c>
      <c r="N749">
        <v>5.6999999999999993</v>
      </c>
      <c r="O749">
        <v>5.6999999999999993</v>
      </c>
      <c r="P749">
        <v>4.2297794117647056</v>
      </c>
      <c r="Q749">
        <v>0.97730066587078834</v>
      </c>
      <c r="R749">
        <v>0.97730066587078834</v>
      </c>
      <c r="S749">
        <v>0.72522214659722783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2.2699334129211657E-2</v>
      </c>
      <c r="AE749">
        <v>0</v>
      </c>
      <c r="AF749">
        <v>0.25207851927356051</v>
      </c>
      <c r="AG749">
        <v>0</v>
      </c>
      <c r="AH749">
        <v>0.72522214659722783</v>
      </c>
      <c r="AI749">
        <v>0</v>
      </c>
      <c r="AJ749">
        <v>0</v>
      </c>
      <c r="AK749">
        <v>0</v>
      </c>
      <c r="AL749">
        <v>0</v>
      </c>
      <c r="AM749">
        <v>0</v>
      </c>
      <c r="AN749">
        <v>1.0232265616119132</v>
      </c>
      <c r="AO749">
        <v>1.0232265616119132</v>
      </c>
      <c r="AP749">
        <v>0.74206656346749233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2.3226561611913166E-2</v>
      </c>
      <c r="AZ749">
        <v>0</v>
      </c>
      <c r="BA749">
        <v>0</v>
      </c>
      <c r="BB749">
        <v>0</v>
      </c>
      <c r="BC749">
        <v>0.25793343653250767</v>
      </c>
      <c r="BD749">
        <v>0</v>
      </c>
      <c r="BE749">
        <v>0.74206656346749233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1.3475880052151237</v>
      </c>
      <c r="BL749">
        <v>1.3475880052151237</v>
      </c>
      <c r="BM749">
        <v>1.3788878410457281</v>
      </c>
      <c r="BN749">
        <v>3.1299835830604472E-2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0.34758800521512367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1</v>
      </c>
      <c r="CC749">
        <v>0</v>
      </c>
      <c r="CD749">
        <v>0</v>
      </c>
      <c r="CE749">
        <v>0</v>
      </c>
      <c r="CF749">
        <v>0</v>
      </c>
      <c r="CG749">
        <v>0</v>
      </c>
    </row>
    <row r="750" spans="1:85" x14ac:dyDescent="0.25">
      <c r="A750" t="s">
        <v>128</v>
      </c>
      <c r="B750" t="s">
        <v>146</v>
      </c>
      <c r="C750" t="s">
        <v>72</v>
      </c>
      <c r="D750" s="12">
        <v>46250</v>
      </c>
      <c r="E750" t="s">
        <v>136</v>
      </c>
      <c r="F750" t="s">
        <v>136</v>
      </c>
      <c r="G750" t="s">
        <v>136</v>
      </c>
      <c r="H750" t="s">
        <v>75</v>
      </c>
      <c r="I750">
        <v>10</v>
      </c>
      <c r="J750">
        <v>1</v>
      </c>
      <c r="K750">
        <v>3.1779578349000133</v>
      </c>
      <c r="L750">
        <v>46250</v>
      </c>
      <c r="M750" t="s">
        <v>174</v>
      </c>
      <c r="N750">
        <v>2.8499999999999996</v>
      </c>
      <c r="O750">
        <v>2.8499999999999996</v>
      </c>
      <c r="P750">
        <v>4.6332179930795849</v>
      </c>
      <c r="Q750">
        <v>0.89680233283827315</v>
      </c>
      <c r="R750">
        <v>0.89680233283827315</v>
      </c>
      <c r="S750">
        <v>1.4579230542954507</v>
      </c>
      <c r="T750">
        <v>0.45792305429545066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0.10319766716172685</v>
      </c>
      <c r="AD750">
        <v>0</v>
      </c>
      <c r="AE750">
        <v>0</v>
      </c>
      <c r="AF750">
        <v>0</v>
      </c>
      <c r="AG750">
        <v>0</v>
      </c>
      <c r="AH750">
        <v>0.89680233283827315</v>
      </c>
      <c r="AI750">
        <v>0</v>
      </c>
      <c r="AJ750">
        <v>0</v>
      </c>
      <c r="AK750">
        <v>0</v>
      </c>
      <c r="AL750">
        <v>0</v>
      </c>
      <c r="AM750">
        <v>0</v>
      </c>
      <c r="AN750">
        <v>1.1150729245263207</v>
      </c>
      <c r="AO750">
        <v>1.1150729245263207</v>
      </c>
      <c r="AP750">
        <v>1.6256905238875738</v>
      </c>
      <c r="AQ750">
        <v>0.51061759936125317</v>
      </c>
      <c r="AR750">
        <v>0</v>
      </c>
      <c r="AS750">
        <v>0</v>
      </c>
      <c r="AT750">
        <v>0</v>
      </c>
      <c r="AU750">
        <v>0</v>
      </c>
      <c r="AV750">
        <v>0.38492707547367933</v>
      </c>
      <c r="AW750">
        <v>0.11507292452632067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0.61512322628827476</v>
      </c>
      <c r="BL750">
        <v>0.61512322628827476</v>
      </c>
      <c r="BM750">
        <v>0.6859072548813322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0.3140927451186678</v>
      </c>
      <c r="BY750">
        <v>0</v>
      </c>
      <c r="BZ750">
        <v>0</v>
      </c>
      <c r="CA750">
        <v>0</v>
      </c>
      <c r="CB750">
        <v>0.61512322628827476</v>
      </c>
      <c r="CC750">
        <v>0</v>
      </c>
      <c r="CD750">
        <v>0</v>
      </c>
      <c r="CE750">
        <v>0</v>
      </c>
      <c r="CF750">
        <v>0</v>
      </c>
      <c r="CG750">
        <v>0</v>
      </c>
    </row>
    <row r="751" spans="1:85" x14ac:dyDescent="0.25">
      <c r="A751" t="s">
        <v>128</v>
      </c>
      <c r="B751" t="s">
        <v>146</v>
      </c>
      <c r="C751" t="s">
        <v>72</v>
      </c>
      <c r="D751" s="12">
        <v>46250</v>
      </c>
      <c r="E751" t="s">
        <v>136</v>
      </c>
      <c r="F751" t="s">
        <v>136</v>
      </c>
      <c r="G751" t="s">
        <v>136</v>
      </c>
      <c r="H751" t="s">
        <v>74</v>
      </c>
      <c r="I751">
        <v>10</v>
      </c>
      <c r="J751">
        <v>1</v>
      </c>
      <c r="K751">
        <v>0</v>
      </c>
      <c r="L751">
        <v>46250</v>
      </c>
      <c r="M751" t="s">
        <v>173</v>
      </c>
      <c r="N751">
        <v>0.95</v>
      </c>
      <c r="O751">
        <v>0.95</v>
      </c>
      <c r="P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1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1</v>
      </c>
      <c r="AK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1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1</v>
      </c>
      <c r="CE751">
        <v>0</v>
      </c>
      <c r="CG751">
        <v>0</v>
      </c>
    </row>
    <row r="752" spans="1:85" x14ac:dyDescent="0.25">
      <c r="A752" t="s">
        <v>128</v>
      </c>
      <c r="B752" t="s">
        <v>146</v>
      </c>
      <c r="C752" t="s">
        <v>72</v>
      </c>
      <c r="D752" s="12">
        <v>46250</v>
      </c>
      <c r="E752" t="s">
        <v>136</v>
      </c>
      <c r="F752" t="s">
        <v>136</v>
      </c>
      <c r="G752" t="s">
        <v>136</v>
      </c>
      <c r="H752" t="s">
        <v>73</v>
      </c>
      <c r="I752">
        <v>10</v>
      </c>
      <c r="J752">
        <v>1</v>
      </c>
      <c r="K752">
        <v>3.5876164620550925</v>
      </c>
      <c r="L752">
        <v>46250</v>
      </c>
      <c r="M752" t="s">
        <v>171</v>
      </c>
      <c r="N752">
        <v>3.8</v>
      </c>
      <c r="O752">
        <v>3.8</v>
      </c>
      <c r="P752">
        <v>4.7022058823529402</v>
      </c>
      <c r="Q752">
        <v>1.0591990643903022</v>
      </c>
      <c r="R752">
        <v>1.0591990643903022</v>
      </c>
      <c r="S752">
        <v>1.3106768608312656</v>
      </c>
      <c r="T752">
        <v>0.25147779644096335</v>
      </c>
      <c r="U752">
        <v>0</v>
      </c>
      <c r="V752">
        <v>0</v>
      </c>
      <c r="W752">
        <v>0</v>
      </c>
      <c r="X752">
        <v>0</v>
      </c>
      <c r="Y752">
        <v>0.1908009356096978</v>
      </c>
      <c r="Z752">
        <v>5.9199064390302203E-2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>
        <v>0</v>
      </c>
      <c r="AM752">
        <v>1</v>
      </c>
      <c r="AN752">
        <v>0.94410959527765603</v>
      </c>
      <c r="AO752">
        <v>0.94410959527765603</v>
      </c>
      <c r="AP752">
        <v>1.2374226006191948</v>
      </c>
      <c r="AQ752">
        <v>0.23742260061919485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0.94410959527765603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0.80813135261923386</v>
      </c>
      <c r="BL752">
        <v>0.80813135261923386</v>
      </c>
      <c r="BM752">
        <v>0.76296456425252956</v>
      </c>
      <c r="BN752">
        <v>0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0</v>
      </c>
      <c r="BV752">
        <v>0</v>
      </c>
      <c r="BW752">
        <v>0</v>
      </c>
      <c r="BX752">
        <v>0.19186864738076614</v>
      </c>
      <c r="BY752">
        <v>0</v>
      </c>
      <c r="BZ752">
        <v>4.5166788366704291E-2</v>
      </c>
      <c r="CA752">
        <v>0</v>
      </c>
      <c r="CB752">
        <v>0.76296456425252956</v>
      </c>
      <c r="CC752">
        <v>0</v>
      </c>
      <c r="CD752">
        <v>0</v>
      </c>
      <c r="CE752">
        <v>0</v>
      </c>
      <c r="CF752">
        <v>0</v>
      </c>
      <c r="CG752">
        <v>0</v>
      </c>
    </row>
    <row r="753" spans="1:85" x14ac:dyDescent="0.25">
      <c r="A753" t="s">
        <v>128</v>
      </c>
      <c r="B753" t="s">
        <v>146</v>
      </c>
      <c r="C753" t="s">
        <v>72</v>
      </c>
      <c r="D753" s="12">
        <v>46249</v>
      </c>
      <c r="E753" t="s">
        <v>136</v>
      </c>
      <c r="F753" t="s">
        <v>136</v>
      </c>
      <c r="G753" t="s">
        <v>136</v>
      </c>
      <c r="H753" t="s">
        <v>75</v>
      </c>
      <c r="I753">
        <v>10</v>
      </c>
      <c r="J753">
        <v>1</v>
      </c>
      <c r="K753">
        <v>3.2276134260703255</v>
      </c>
      <c r="L753">
        <v>46249</v>
      </c>
      <c r="M753" t="s">
        <v>170</v>
      </c>
      <c r="N753">
        <v>2.8499999999999996</v>
      </c>
      <c r="O753">
        <v>2.8499999999999996</v>
      </c>
      <c r="P753">
        <v>4.6920415224913494</v>
      </c>
      <c r="Q753">
        <v>0.88300537387153066</v>
      </c>
      <c r="R753">
        <v>0.88300537387153066</v>
      </c>
      <c r="S753">
        <v>1.4537185539607791</v>
      </c>
      <c r="T753">
        <v>0.45371855396077909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0.11699462612846934</v>
      </c>
      <c r="AD753">
        <v>0</v>
      </c>
      <c r="AE753">
        <v>0</v>
      </c>
      <c r="AF753">
        <v>0</v>
      </c>
      <c r="AG753">
        <v>0</v>
      </c>
      <c r="AH753">
        <v>0.88300537387153066</v>
      </c>
      <c r="AI753">
        <v>0</v>
      </c>
      <c r="AJ753">
        <v>0</v>
      </c>
      <c r="AK753">
        <v>0</v>
      </c>
      <c r="AL753">
        <v>0</v>
      </c>
      <c r="AM753">
        <v>0</v>
      </c>
      <c r="AN753">
        <v>1.1324959389720441</v>
      </c>
      <c r="AO753">
        <v>1.1324959389720441</v>
      </c>
      <c r="AP753">
        <v>1.6463303587688947</v>
      </c>
      <c r="AQ753">
        <v>0.51383441979685052</v>
      </c>
      <c r="AR753">
        <v>0</v>
      </c>
      <c r="AS753">
        <v>0</v>
      </c>
      <c r="AT753">
        <v>0</v>
      </c>
      <c r="AU753">
        <v>0</v>
      </c>
      <c r="AV753">
        <v>0.36750406102795585</v>
      </c>
      <c r="AW753">
        <v>0.13249593897204415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0.60741150442477865</v>
      </c>
      <c r="BL753">
        <v>0.60741150442477865</v>
      </c>
      <c r="BM753">
        <v>0.68789106204596173</v>
      </c>
      <c r="BN753">
        <v>0</v>
      </c>
      <c r="BO753">
        <v>0</v>
      </c>
      <c r="BP753">
        <v>0</v>
      </c>
      <c r="BQ753">
        <v>0</v>
      </c>
      <c r="BR753">
        <v>0</v>
      </c>
      <c r="BS753">
        <v>0</v>
      </c>
      <c r="BT753">
        <v>0</v>
      </c>
      <c r="BU753">
        <v>0</v>
      </c>
      <c r="BV753">
        <v>0</v>
      </c>
      <c r="BW753">
        <v>0</v>
      </c>
      <c r="BX753">
        <v>0.31210893795403827</v>
      </c>
      <c r="BY753">
        <v>0</v>
      </c>
      <c r="BZ753">
        <v>0</v>
      </c>
      <c r="CA753">
        <v>0</v>
      </c>
      <c r="CB753">
        <v>0.60741150442477865</v>
      </c>
      <c r="CC753">
        <v>0</v>
      </c>
      <c r="CD753">
        <v>0</v>
      </c>
      <c r="CE753">
        <v>0</v>
      </c>
      <c r="CF753">
        <v>0</v>
      </c>
      <c r="CG753">
        <v>0</v>
      </c>
    </row>
    <row r="754" spans="1:85" x14ac:dyDescent="0.25">
      <c r="A754" t="s">
        <v>128</v>
      </c>
      <c r="B754" t="s">
        <v>146</v>
      </c>
      <c r="C754" t="s">
        <v>72</v>
      </c>
      <c r="D754" s="12">
        <v>46249</v>
      </c>
      <c r="E754" t="s">
        <v>136</v>
      </c>
      <c r="F754" t="s">
        <v>136</v>
      </c>
      <c r="G754" t="s">
        <v>136</v>
      </c>
      <c r="H754" t="s">
        <v>74</v>
      </c>
      <c r="I754">
        <v>10</v>
      </c>
      <c r="J754">
        <v>1</v>
      </c>
      <c r="K754">
        <v>0</v>
      </c>
      <c r="L754">
        <v>46249</v>
      </c>
      <c r="M754" t="s">
        <v>167</v>
      </c>
      <c r="N754">
        <v>0.95</v>
      </c>
      <c r="O754">
        <v>0.95</v>
      </c>
      <c r="P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1</v>
      </c>
      <c r="AK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F754">
        <v>0</v>
      </c>
      <c r="BG754">
        <v>0</v>
      </c>
      <c r="BH754">
        <v>0</v>
      </c>
      <c r="BN754">
        <v>0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0</v>
      </c>
      <c r="BV754">
        <v>0</v>
      </c>
      <c r="BW754">
        <v>0</v>
      </c>
      <c r="BX754">
        <v>1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1</v>
      </c>
      <c r="CE754">
        <v>0</v>
      </c>
      <c r="CG754">
        <v>0</v>
      </c>
    </row>
    <row r="755" spans="1:85" x14ac:dyDescent="0.25">
      <c r="A755" t="s">
        <v>128</v>
      </c>
      <c r="B755" t="s">
        <v>146</v>
      </c>
      <c r="C755" t="s">
        <v>72</v>
      </c>
      <c r="D755" s="12">
        <v>46249</v>
      </c>
      <c r="E755" t="s">
        <v>136</v>
      </c>
      <c r="F755" t="s">
        <v>136</v>
      </c>
      <c r="G755" t="s">
        <v>136</v>
      </c>
      <c r="H755" t="s">
        <v>73</v>
      </c>
      <c r="I755">
        <v>10</v>
      </c>
      <c r="J755">
        <v>1</v>
      </c>
      <c r="K755">
        <v>3.5876164620550925</v>
      </c>
      <c r="L755">
        <v>46249</v>
      </c>
      <c r="M755" t="s">
        <v>158</v>
      </c>
      <c r="N755">
        <v>3.8</v>
      </c>
      <c r="O755">
        <v>3.8</v>
      </c>
      <c r="P755">
        <v>4.7647058823529385</v>
      </c>
      <c r="Q755">
        <v>1.0591990643903022</v>
      </c>
      <c r="R755">
        <v>1.0591990643903022</v>
      </c>
      <c r="S755">
        <v>1.3280978980745268</v>
      </c>
      <c r="T755">
        <v>0.26889883368422463</v>
      </c>
      <c r="U755">
        <v>0</v>
      </c>
      <c r="V755">
        <v>0</v>
      </c>
      <c r="W755">
        <v>0</v>
      </c>
      <c r="X755">
        <v>0</v>
      </c>
      <c r="Y755">
        <v>0.1908009356096978</v>
      </c>
      <c r="Z755">
        <v>5.9199064390302203E-2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>
        <v>0.94410959527765603</v>
      </c>
      <c r="AO755">
        <v>0.94410959527765603</v>
      </c>
      <c r="AP755">
        <v>1.2538699690402471</v>
      </c>
      <c r="AQ755">
        <v>0.25386996904024706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0.94410959527765603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0.79753086419753128</v>
      </c>
      <c r="BL755">
        <v>0.79753086419753128</v>
      </c>
      <c r="BM755">
        <v>0.7529565414189705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0.20246913580246872</v>
      </c>
      <c r="BY755">
        <v>0</v>
      </c>
      <c r="BZ755">
        <v>4.4574322778560771E-2</v>
      </c>
      <c r="CA755">
        <v>0</v>
      </c>
      <c r="CB755">
        <v>0.7529565414189705</v>
      </c>
      <c r="CC755">
        <v>0</v>
      </c>
      <c r="CD755">
        <v>0</v>
      </c>
      <c r="CE755">
        <v>0</v>
      </c>
      <c r="CF755">
        <v>0</v>
      </c>
      <c r="CG755">
        <v>0</v>
      </c>
    </row>
    <row r="756" spans="1:85" x14ac:dyDescent="0.25">
      <c r="A756" t="s">
        <v>128</v>
      </c>
      <c r="B756" t="s">
        <v>146</v>
      </c>
      <c r="C756" t="s">
        <v>72</v>
      </c>
      <c r="D756" s="12">
        <v>46248</v>
      </c>
      <c r="E756" t="s">
        <v>136</v>
      </c>
      <c r="F756" t="s">
        <v>136</v>
      </c>
      <c r="G756" t="s">
        <v>136</v>
      </c>
      <c r="H756" t="s">
        <v>75</v>
      </c>
      <c r="I756">
        <v>10</v>
      </c>
      <c r="J756">
        <v>1</v>
      </c>
      <c r="K756">
        <v>3.1779578349000128</v>
      </c>
      <c r="L756">
        <v>46248</v>
      </c>
      <c r="M756" t="s">
        <v>159</v>
      </c>
      <c r="N756">
        <v>3.8</v>
      </c>
      <c r="O756">
        <v>3.8</v>
      </c>
      <c r="P756">
        <v>4.6332179930795849</v>
      </c>
      <c r="Q756">
        <v>1.1957364437843645</v>
      </c>
      <c r="R756">
        <v>1.1957364437843645</v>
      </c>
      <c r="S756">
        <v>1.4579230542954509</v>
      </c>
      <c r="T756">
        <v>0.26218661051108638</v>
      </c>
      <c r="U756">
        <v>0</v>
      </c>
      <c r="V756">
        <v>0</v>
      </c>
      <c r="W756">
        <v>0</v>
      </c>
      <c r="X756">
        <v>0</v>
      </c>
      <c r="Y756">
        <v>5.42635562156355E-2</v>
      </c>
      <c r="Z756">
        <v>0.1957364437843645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1</v>
      </c>
      <c r="AN756">
        <v>0.83630469339474023</v>
      </c>
      <c r="AO756">
        <v>0.83630469339474023</v>
      </c>
      <c r="AP756">
        <v>1.2192678929156804</v>
      </c>
      <c r="AQ756">
        <v>0.21926789291568038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0.83630469339474023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0.82016430171769972</v>
      </c>
      <c r="BL756">
        <v>0.82016430171769972</v>
      </c>
      <c r="BM756">
        <v>0.68590725488133208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0.17983569828230028</v>
      </c>
      <c r="BY756">
        <v>0</v>
      </c>
      <c r="BZ756">
        <v>0.13425704683636763</v>
      </c>
      <c r="CA756">
        <v>0</v>
      </c>
      <c r="CB756">
        <v>0.68590725488133208</v>
      </c>
      <c r="CC756">
        <v>0</v>
      </c>
      <c r="CD756">
        <v>0</v>
      </c>
      <c r="CE756">
        <v>0</v>
      </c>
      <c r="CF756">
        <v>0</v>
      </c>
      <c r="CG756">
        <v>0</v>
      </c>
    </row>
    <row r="757" spans="1:85" x14ac:dyDescent="0.25">
      <c r="A757" t="s">
        <v>128</v>
      </c>
      <c r="B757" t="s">
        <v>146</v>
      </c>
      <c r="C757" t="s">
        <v>72</v>
      </c>
      <c r="D757" s="12">
        <v>46248</v>
      </c>
      <c r="E757" t="s">
        <v>136</v>
      </c>
      <c r="F757" t="s">
        <v>136</v>
      </c>
      <c r="G757" t="s">
        <v>136</v>
      </c>
      <c r="H757" t="s">
        <v>74</v>
      </c>
      <c r="I757">
        <v>10</v>
      </c>
      <c r="J757">
        <v>1</v>
      </c>
      <c r="K757">
        <v>0</v>
      </c>
      <c r="L757">
        <v>46248</v>
      </c>
      <c r="M757" t="s">
        <v>161</v>
      </c>
      <c r="N757">
        <v>0</v>
      </c>
      <c r="O757">
        <v>0</v>
      </c>
      <c r="P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1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M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F757">
        <v>0</v>
      </c>
      <c r="BG757">
        <v>0</v>
      </c>
      <c r="BH757">
        <v>0</v>
      </c>
      <c r="BN757">
        <v>0</v>
      </c>
      <c r="BO757">
        <v>0</v>
      </c>
      <c r="BP757">
        <v>0</v>
      </c>
      <c r="BQ757">
        <v>0</v>
      </c>
      <c r="BR757">
        <v>0</v>
      </c>
      <c r="BS757">
        <v>0</v>
      </c>
      <c r="BT757">
        <v>0</v>
      </c>
      <c r="BU757">
        <v>0</v>
      </c>
      <c r="BV757">
        <v>0</v>
      </c>
      <c r="BW757">
        <v>0</v>
      </c>
      <c r="BX757">
        <v>1</v>
      </c>
      <c r="BY757">
        <v>0</v>
      </c>
      <c r="BZ757">
        <v>0</v>
      </c>
      <c r="CA757">
        <v>0</v>
      </c>
      <c r="CB757">
        <v>0</v>
      </c>
      <c r="CC757">
        <v>0</v>
      </c>
      <c r="CD757">
        <v>0</v>
      </c>
      <c r="CE757">
        <v>0</v>
      </c>
      <c r="CG757">
        <v>0</v>
      </c>
    </row>
    <row r="758" spans="1:85" x14ac:dyDescent="0.25">
      <c r="A758" t="s">
        <v>128</v>
      </c>
      <c r="B758" t="s">
        <v>146</v>
      </c>
      <c r="C758" t="s">
        <v>72</v>
      </c>
      <c r="D758" s="12">
        <v>46248</v>
      </c>
      <c r="E758" t="s">
        <v>136</v>
      </c>
      <c r="F758" t="s">
        <v>136</v>
      </c>
      <c r="G758" t="s">
        <v>136</v>
      </c>
      <c r="H758" t="s">
        <v>73</v>
      </c>
      <c r="I758">
        <v>10</v>
      </c>
      <c r="J758">
        <v>1</v>
      </c>
      <c r="K758">
        <v>3.5876164620550925</v>
      </c>
      <c r="L758">
        <v>46248</v>
      </c>
      <c r="M758" t="s">
        <v>162</v>
      </c>
      <c r="N758">
        <v>3.8</v>
      </c>
      <c r="O758">
        <v>3.8</v>
      </c>
      <c r="P758">
        <v>4.7022058823529402</v>
      </c>
      <c r="Q758">
        <v>1.0591990643903022</v>
      </c>
      <c r="R758">
        <v>1.0591990643903022</v>
      </c>
      <c r="S758">
        <v>1.3106768608312656</v>
      </c>
      <c r="T758">
        <v>0.25147779644096335</v>
      </c>
      <c r="U758">
        <v>0</v>
      </c>
      <c r="V758">
        <v>0</v>
      </c>
      <c r="W758">
        <v>0</v>
      </c>
      <c r="X758">
        <v>0</v>
      </c>
      <c r="Y758">
        <v>0.1908009356096978</v>
      </c>
      <c r="Z758">
        <v>5.9199064390302203E-2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1</v>
      </c>
      <c r="AN758">
        <v>0.94410959527765603</v>
      </c>
      <c r="AO758">
        <v>0.94410959527765603</v>
      </c>
      <c r="AP758">
        <v>1.2374226006191948</v>
      </c>
      <c r="AQ758">
        <v>0.23742260061919485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0.94410959527765603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0.80813135261923386</v>
      </c>
      <c r="BL758">
        <v>0.80813135261923386</v>
      </c>
      <c r="BM758">
        <v>0.76296456425252956</v>
      </c>
      <c r="BN758">
        <v>0</v>
      </c>
      <c r="BO758">
        <v>0</v>
      </c>
      <c r="BP758">
        <v>0</v>
      </c>
      <c r="BQ758">
        <v>0</v>
      </c>
      <c r="BR758">
        <v>0</v>
      </c>
      <c r="BS758">
        <v>0</v>
      </c>
      <c r="BT758">
        <v>0</v>
      </c>
      <c r="BU758">
        <v>0</v>
      </c>
      <c r="BV758">
        <v>0</v>
      </c>
      <c r="BW758">
        <v>0</v>
      </c>
      <c r="BX758">
        <v>0.19186864738076614</v>
      </c>
      <c r="BY758">
        <v>0</v>
      </c>
      <c r="BZ758">
        <v>4.5166788366704291E-2</v>
      </c>
      <c r="CA758">
        <v>0</v>
      </c>
      <c r="CB758">
        <v>0.76296456425252956</v>
      </c>
      <c r="CC758">
        <v>0</v>
      </c>
      <c r="CD758">
        <v>0</v>
      </c>
      <c r="CE758">
        <v>0</v>
      </c>
      <c r="CF758">
        <v>0</v>
      </c>
      <c r="CG758">
        <v>0</v>
      </c>
    </row>
    <row r="759" spans="1:85" x14ac:dyDescent="0.25">
      <c r="A759" t="s">
        <v>128</v>
      </c>
      <c r="B759" t="s">
        <v>146</v>
      </c>
      <c r="C759" t="s">
        <v>72</v>
      </c>
      <c r="D759" s="12">
        <v>46224</v>
      </c>
      <c r="E759" t="s">
        <v>135</v>
      </c>
      <c r="F759" t="s">
        <v>135</v>
      </c>
      <c r="G759" t="s">
        <v>135</v>
      </c>
      <c r="H759" t="s">
        <v>74</v>
      </c>
      <c r="I759">
        <v>10</v>
      </c>
      <c r="J759">
        <v>1</v>
      </c>
      <c r="K759">
        <v>1.2742252699784016</v>
      </c>
      <c r="L759">
        <v>46224</v>
      </c>
      <c r="M759" t="s">
        <v>172</v>
      </c>
      <c r="N759">
        <v>0</v>
      </c>
      <c r="O759">
        <v>0</v>
      </c>
      <c r="P759">
        <v>0.94117647058823517</v>
      </c>
      <c r="Q759">
        <v>0</v>
      </c>
      <c r="R759">
        <v>0</v>
      </c>
      <c r="S759">
        <v>0.73862643659875649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0.73862643659875649</v>
      </c>
      <c r="AD759">
        <v>0.26137356340124351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K759">
        <v>0</v>
      </c>
      <c r="BL759">
        <v>0</v>
      </c>
      <c r="BM759">
        <v>1.3538643493520519</v>
      </c>
      <c r="BN759">
        <v>0.35386434935205191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</row>
    <row r="760" spans="1:85" x14ac:dyDescent="0.25">
      <c r="A760" t="s">
        <v>128</v>
      </c>
      <c r="B760" t="s">
        <v>146</v>
      </c>
      <c r="C760" t="s">
        <v>117</v>
      </c>
      <c r="D760" s="12">
        <v>46250</v>
      </c>
      <c r="K760">
        <v>39.970417738958275</v>
      </c>
      <c r="N760">
        <v>14.249999999999998</v>
      </c>
      <c r="O760">
        <v>14.249999999999998</v>
      </c>
      <c r="P760">
        <v>42.453719723183383</v>
      </c>
      <c r="T760">
        <v>8.4474210798321195E-2</v>
      </c>
      <c r="U760">
        <v>0</v>
      </c>
      <c r="V760">
        <v>0</v>
      </c>
      <c r="W760">
        <v>0</v>
      </c>
      <c r="X760">
        <v>0</v>
      </c>
      <c r="Y760">
        <v>1.7125679847515795E-2</v>
      </c>
      <c r="Z760">
        <v>5.3135180956065441E-3</v>
      </c>
      <c r="AA760">
        <v>0</v>
      </c>
      <c r="AB760">
        <v>0</v>
      </c>
      <c r="AC760">
        <v>0.53931197618979165</v>
      </c>
      <c r="AD760">
        <v>2.7659231752785955E-2</v>
      </c>
      <c r="AE760">
        <v>0</v>
      </c>
      <c r="AF760">
        <v>0</v>
      </c>
      <c r="AG760">
        <v>0</v>
      </c>
      <c r="AH760">
        <v>0.23767577467023973</v>
      </c>
      <c r="AI760">
        <v>0</v>
      </c>
      <c r="AJ760">
        <v>0</v>
      </c>
      <c r="AK760">
        <v>0</v>
      </c>
      <c r="AM760">
        <v>8.9756791772489353E-2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4AB9E-7BB2-4FBF-A9F1-4832F9811283}">
  <dimension ref="A1:CE760"/>
  <sheetViews>
    <sheetView workbookViewId="0">
      <selection sqref="A1:CE382"/>
    </sheetView>
  </sheetViews>
  <sheetFormatPr defaultRowHeight="15" x14ac:dyDescent="0.25"/>
  <cols>
    <col min="1" max="1" width="10.140625" bestFit="1" customWidth="1"/>
    <col min="2" max="2" width="9.5703125" bestFit="1" customWidth="1"/>
    <col min="3" max="3" width="19.140625" bestFit="1" customWidth="1"/>
    <col min="4" max="4" width="9.7109375" bestFit="1" customWidth="1"/>
    <col min="5" max="5" width="7.28515625" bestFit="1" customWidth="1"/>
    <col min="6" max="6" width="7.42578125" bestFit="1" customWidth="1"/>
    <col min="7" max="7" width="12" bestFit="1" customWidth="1"/>
    <col min="8" max="8" width="7" bestFit="1" customWidth="1"/>
    <col min="9" max="9" width="17.140625" bestFit="1" customWidth="1"/>
    <col min="10" max="10" width="29" bestFit="1" customWidth="1"/>
    <col min="11" max="11" width="7" bestFit="1" customWidth="1"/>
    <col min="12" max="12" width="8.5703125" bestFit="1" customWidth="1"/>
    <col min="13" max="13" width="16.42578125" bestFit="1" customWidth="1"/>
    <col min="14" max="17" width="12" bestFit="1" customWidth="1"/>
    <col min="18" max="18" width="30.28515625" bestFit="1" customWidth="1"/>
    <col min="19" max="19" width="20" bestFit="1" customWidth="1"/>
    <col min="20" max="20" width="17.7109375" bestFit="1" customWidth="1"/>
    <col min="21" max="21" width="30.85546875" bestFit="1" customWidth="1"/>
    <col min="22" max="22" width="28.7109375" bestFit="1" customWidth="1"/>
    <col min="23" max="23" width="33.140625" bestFit="1" customWidth="1"/>
    <col min="24" max="24" width="29.42578125" bestFit="1" customWidth="1"/>
    <col min="25" max="25" width="20.7109375" bestFit="1" customWidth="1"/>
    <col min="26" max="26" width="18.42578125" bestFit="1" customWidth="1"/>
    <col min="27" max="27" width="44.85546875" bestFit="1" customWidth="1"/>
    <col min="28" max="28" width="26.5703125" bestFit="1" customWidth="1"/>
    <col min="29" max="29" width="22" bestFit="1" customWidth="1"/>
    <col min="30" max="30" width="19.85546875" bestFit="1" customWidth="1"/>
    <col min="31" max="31" width="24.7109375" bestFit="1" customWidth="1"/>
    <col min="32" max="32" width="22.42578125" bestFit="1" customWidth="1"/>
    <col min="33" max="33" width="25.42578125" bestFit="1" customWidth="1"/>
    <col min="34" max="34" width="12.7109375" bestFit="1" customWidth="1"/>
    <col min="35" max="35" width="23.85546875" bestFit="1" customWidth="1"/>
    <col min="36" max="36" width="29.28515625" bestFit="1" customWidth="1"/>
    <col min="37" max="37" width="14.28515625" bestFit="1" customWidth="1"/>
    <col min="38" max="40" width="12" bestFit="1" customWidth="1"/>
    <col min="41" max="41" width="29.85546875" bestFit="1" customWidth="1"/>
    <col min="42" max="42" width="19.5703125" bestFit="1" customWidth="1"/>
    <col min="43" max="43" width="17.28515625" bestFit="1" customWidth="1"/>
    <col min="44" max="44" width="30.42578125" bestFit="1" customWidth="1"/>
    <col min="45" max="45" width="28.28515625" bestFit="1" customWidth="1"/>
    <col min="46" max="46" width="32.7109375" bestFit="1" customWidth="1"/>
    <col min="47" max="47" width="29" bestFit="1" customWidth="1"/>
    <col min="48" max="48" width="20.28515625" bestFit="1" customWidth="1"/>
    <col min="49" max="49" width="18" bestFit="1" customWidth="1"/>
    <col min="50" max="50" width="44.42578125" bestFit="1" customWidth="1"/>
    <col min="51" max="51" width="26.140625" bestFit="1" customWidth="1"/>
    <col min="52" max="52" width="21.5703125" bestFit="1" customWidth="1"/>
    <col min="53" max="53" width="19.28515625" bestFit="1" customWidth="1"/>
    <col min="54" max="54" width="24.28515625" bestFit="1" customWidth="1"/>
    <col min="55" max="55" width="22" bestFit="1" customWidth="1"/>
    <col min="56" max="56" width="25" bestFit="1" customWidth="1"/>
    <col min="57" max="57" width="12.28515625" bestFit="1" customWidth="1"/>
    <col min="58" max="58" width="23.28515625" bestFit="1" customWidth="1"/>
    <col min="59" max="59" width="28.42578125" bestFit="1" customWidth="1"/>
    <col min="60" max="60" width="13.85546875" bestFit="1" customWidth="1"/>
    <col min="61" max="63" width="12" bestFit="1" customWidth="1"/>
    <col min="64" max="64" width="29.85546875" bestFit="1" customWidth="1"/>
    <col min="65" max="65" width="19.5703125" bestFit="1" customWidth="1"/>
    <col min="66" max="66" width="17.28515625" bestFit="1" customWidth="1"/>
    <col min="67" max="67" width="30.42578125" bestFit="1" customWidth="1"/>
    <col min="68" max="68" width="28.28515625" bestFit="1" customWidth="1"/>
    <col min="69" max="69" width="32.7109375" bestFit="1" customWidth="1"/>
    <col min="70" max="70" width="29" bestFit="1" customWidth="1"/>
    <col min="71" max="71" width="20.28515625" bestFit="1" customWidth="1"/>
    <col min="72" max="72" width="18" bestFit="1" customWidth="1"/>
    <col min="73" max="73" width="44.42578125" bestFit="1" customWidth="1"/>
    <col min="74" max="74" width="26.140625" bestFit="1" customWidth="1"/>
    <col min="75" max="75" width="21.5703125" bestFit="1" customWidth="1"/>
    <col min="76" max="76" width="19.28515625" bestFit="1" customWidth="1"/>
    <col min="77" max="77" width="24.28515625" bestFit="1" customWidth="1"/>
    <col min="78" max="78" width="22" bestFit="1" customWidth="1"/>
    <col min="79" max="79" width="25" bestFit="1" customWidth="1"/>
    <col min="80" max="80" width="12.28515625" bestFit="1" customWidth="1"/>
    <col min="81" max="81" width="23.28515625" bestFit="1" customWidth="1"/>
    <col min="82" max="82" width="28.42578125" bestFit="1" customWidth="1"/>
    <col min="83" max="84" width="13.85546875" customWidth="1"/>
    <col min="85" max="85" width="17" bestFit="1" customWidth="1"/>
  </cols>
  <sheetData>
    <row r="1" spans="1:83" x14ac:dyDescent="0.25">
      <c r="A1" t="s">
        <v>127</v>
      </c>
      <c r="B1" t="s">
        <v>114</v>
      </c>
      <c r="C1" t="s">
        <v>0</v>
      </c>
      <c r="D1" t="s">
        <v>1</v>
      </c>
      <c r="E1" t="s">
        <v>79</v>
      </c>
      <c r="F1" t="s">
        <v>101</v>
      </c>
      <c r="G1" t="s">
        <v>2</v>
      </c>
      <c r="H1" t="s">
        <v>3</v>
      </c>
      <c r="I1" t="s">
        <v>112</v>
      </c>
      <c r="J1" t="s">
        <v>129</v>
      </c>
      <c r="K1" t="s">
        <v>4</v>
      </c>
      <c r="L1" t="s">
        <v>137</v>
      </c>
      <c r="M1" t="s">
        <v>113</v>
      </c>
      <c r="N1" t="s">
        <v>5</v>
      </c>
      <c r="O1" t="s">
        <v>131</v>
      </c>
      <c r="P1" t="s">
        <v>132</v>
      </c>
      <c r="Q1" t="s">
        <v>133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48</v>
      </c>
      <c r="BI1" t="s">
        <v>49</v>
      </c>
      <c r="BJ1" t="s">
        <v>50</v>
      </c>
      <c r="BK1" t="s">
        <v>51</v>
      </c>
      <c r="BL1" t="s">
        <v>52</v>
      </c>
      <c r="BM1" t="s">
        <v>53</v>
      </c>
      <c r="BN1" t="s">
        <v>54</v>
      </c>
      <c r="BO1" t="s">
        <v>55</v>
      </c>
      <c r="BP1" t="s">
        <v>56</v>
      </c>
      <c r="BQ1" t="s">
        <v>57</v>
      </c>
      <c r="BR1" t="s">
        <v>58</v>
      </c>
      <c r="BS1" t="s">
        <v>59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69</v>
      </c>
      <c r="CD1" t="s">
        <v>70</v>
      </c>
      <c r="CE1" t="s">
        <v>71</v>
      </c>
    </row>
    <row r="2" spans="1:83" x14ac:dyDescent="0.25">
      <c r="A2" t="s">
        <v>128</v>
      </c>
      <c r="B2" t="s">
        <v>145</v>
      </c>
      <c r="C2" t="s">
        <v>72</v>
      </c>
      <c r="D2" s="12">
        <v>46223</v>
      </c>
      <c r="E2" t="s">
        <v>134</v>
      </c>
      <c r="F2" t="s">
        <v>73</v>
      </c>
      <c r="G2">
        <v>11.872563775972576</v>
      </c>
      <c r="H2">
        <v>18.05</v>
      </c>
      <c r="I2">
        <v>20</v>
      </c>
      <c r="K2">
        <v>18.05</v>
      </c>
      <c r="L2">
        <v>46223</v>
      </c>
      <c r="M2" t="s">
        <v>176</v>
      </c>
      <c r="N2">
        <v>10.447916666666666</v>
      </c>
      <c r="O2">
        <v>1.5203119006637116</v>
      </c>
      <c r="P2">
        <v>1.5203119006637116</v>
      </c>
      <c r="Q2">
        <v>0.88000509947235839</v>
      </c>
      <c r="R2">
        <v>0</v>
      </c>
      <c r="S2">
        <v>0</v>
      </c>
      <c r="T2">
        <v>0.27031190066371158</v>
      </c>
      <c r="U2">
        <v>0</v>
      </c>
      <c r="V2">
        <v>0</v>
      </c>
      <c r="W2">
        <v>0</v>
      </c>
      <c r="X2">
        <v>0</v>
      </c>
      <c r="Y2">
        <v>0</v>
      </c>
      <c r="Z2">
        <v>0.25</v>
      </c>
      <c r="AA2">
        <v>0</v>
      </c>
      <c r="AB2">
        <v>0</v>
      </c>
      <c r="AC2">
        <v>0</v>
      </c>
      <c r="AD2">
        <v>0.11999490052764161</v>
      </c>
      <c r="AE2">
        <v>0</v>
      </c>
      <c r="AF2">
        <v>0.88000509947235839</v>
      </c>
      <c r="AG2">
        <v>0</v>
      </c>
      <c r="AH2">
        <v>0</v>
      </c>
      <c r="AI2">
        <v>0</v>
      </c>
      <c r="AJ2">
        <v>0</v>
      </c>
      <c r="AK2">
        <v>0</v>
      </c>
      <c r="AL2">
        <v>0.65775976598186014</v>
      </c>
      <c r="AM2">
        <v>0.65775976598186014</v>
      </c>
      <c r="AN2">
        <v>0.57883194829178208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0.34224023401813986</v>
      </c>
      <c r="AZ2">
        <v>0</v>
      </c>
      <c r="BA2">
        <v>7.8927817690078061E-2</v>
      </c>
      <c r="BB2">
        <v>0</v>
      </c>
      <c r="BC2">
        <v>0.57883194829178208</v>
      </c>
      <c r="BD2">
        <v>0</v>
      </c>
      <c r="BE2">
        <v>0</v>
      </c>
      <c r="BF2">
        <v>0</v>
      </c>
      <c r="BG2">
        <v>0</v>
      </c>
      <c r="BH2">
        <v>0</v>
      </c>
      <c r="BI2">
        <v>1.7276171485543372</v>
      </c>
      <c r="BJ2">
        <v>1.7276171485543372</v>
      </c>
      <c r="BK2">
        <v>1.1363570513393493</v>
      </c>
      <c r="CB2">
        <v>0</v>
      </c>
      <c r="CC2">
        <v>0</v>
      </c>
      <c r="CD2">
        <v>0</v>
      </c>
    </row>
    <row r="3" spans="1:83" x14ac:dyDescent="0.25">
      <c r="A3" t="s">
        <v>128</v>
      </c>
      <c r="B3" t="s">
        <v>146</v>
      </c>
      <c r="C3" t="s">
        <v>72</v>
      </c>
      <c r="D3" s="12">
        <v>46223</v>
      </c>
      <c r="E3" t="s">
        <v>134</v>
      </c>
      <c r="F3" t="s">
        <v>73</v>
      </c>
      <c r="G3">
        <v>11.87078976415288</v>
      </c>
      <c r="H3">
        <v>3.8</v>
      </c>
      <c r="I3">
        <v>10</v>
      </c>
      <c r="J3">
        <v>1</v>
      </c>
      <c r="K3">
        <v>3.8</v>
      </c>
      <c r="L3">
        <v>46223</v>
      </c>
      <c r="M3" t="s">
        <v>176</v>
      </c>
      <c r="N3">
        <v>10.447916666666666</v>
      </c>
      <c r="O3">
        <v>0.32011349501573577</v>
      </c>
      <c r="P3">
        <v>0.32011349501573577</v>
      </c>
      <c r="Q3">
        <v>0.88013661047363745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0.56002311545790162</v>
      </c>
      <c r="AB3">
        <v>0.11986338952636255</v>
      </c>
      <c r="AC3">
        <v>0</v>
      </c>
      <c r="AD3">
        <v>0</v>
      </c>
      <c r="AE3">
        <v>0</v>
      </c>
      <c r="AF3">
        <v>0.32011349501573577</v>
      </c>
      <c r="AG3">
        <v>0</v>
      </c>
      <c r="AH3">
        <v>0</v>
      </c>
      <c r="AI3">
        <v>0</v>
      </c>
      <c r="AJ3">
        <v>0</v>
      </c>
      <c r="AK3">
        <v>0</v>
      </c>
      <c r="AL3">
        <v>3.1238920431981265</v>
      </c>
      <c r="AM3">
        <v>3.1238920431981265</v>
      </c>
      <c r="AN3">
        <v>2.7494517543859649</v>
      </c>
      <c r="BE3">
        <v>0</v>
      </c>
      <c r="BF3">
        <v>0</v>
      </c>
      <c r="BG3">
        <v>0</v>
      </c>
      <c r="BI3">
        <v>0.36370887337986041</v>
      </c>
      <c r="BJ3">
        <v>0.36370887337986041</v>
      </c>
      <c r="BK3">
        <v>1.1361872555919008</v>
      </c>
      <c r="BL3">
        <v>0.13618725559190081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0.67988650498426417</v>
      </c>
      <c r="BV3">
        <v>0</v>
      </c>
      <c r="BW3">
        <v>0</v>
      </c>
      <c r="BX3">
        <v>0</v>
      </c>
      <c r="BY3">
        <v>0</v>
      </c>
      <c r="BZ3">
        <v>0.36370887337986041</v>
      </c>
      <c r="CA3">
        <v>0</v>
      </c>
      <c r="CB3">
        <v>0</v>
      </c>
      <c r="CC3">
        <v>0</v>
      </c>
      <c r="CD3">
        <v>0</v>
      </c>
      <c r="CE3">
        <v>0</v>
      </c>
    </row>
    <row r="4" spans="1:83" x14ac:dyDescent="0.25">
      <c r="A4" t="s">
        <v>128</v>
      </c>
      <c r="B4" t="s">
        <v>145</v>
      </c>
      <c r="C4" t="s">
        <v>72</v>
      </c>
      <c r="D4" s="12">
        <v>46223</v>
      </c>
      <c r="E4" t="s">
        <v>134</v>
      </c>
      <c r="F4" t="s">
        <v>74</v>
      </c>
      <c r="G4">
        <v>4.220105607573192</v>
      </c>
      <c r="H4">
        <v>4.75</v>
      </c>
      <c r="I4">
        <v>20</v>
      </c>
      <c r="K4">
        <v>4.75</v>
      </c>
      <c r="L4">
        <v>46223</v>
      </c>
      <c r="M4" t="s">
        <v>160</v>
      </c>
      <c r="N4">
        <v>4.6875</v>
      </c>
      <c r="O4">
        <v>1.1255642492633089</v>
      </c>
      <c r="P4">
        <v>1.1255642492633089</v>
      </c>
      <c r="Q4">
        <v>1.1107541933519496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0.11075419335194958</v>
      </c>
      <c r="Y4">
        <v>0</v>
      </c>
      <c r="Z4">
        <v>1.481005591135931E-2</v>
      </c>
      <c r="AA4">
        <v>0</v>
      </c>
      <c r="AB4">
        <v>0</v>
      </c>
      <c r="AC4">
        <v>0</v>
      </c>
      <c r="AD4">
        <v>0</v>
      </c>
      <c r="AE4">
        <v>0</v>
      </c>
      <c r="AF4">
        <v>1</v>
      </c>
      <c r="AG4">
        <v>0</v>
      </c>
      <c r="AH4">
        <v>0</v>
      </c>
      <c r="AI4">
        <v>0</v>
      </c>
      <c r="AJ4">
        <v>0</v>
      </c>
      <c r="AK4">
        <v>0</v>
      </c>
      <c r="AL4">
        <v>0.88844328580488252</v>
      </c>
      <c r="AM4">
        <v>0.88844328580488252</v>
      </c>
      <c r="AN4">
        <v>0.98684210526315785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1.3157894736842146E-2</v>
      </c>
      <c r="AZ4">
        <v>0</v>
      </c>
      <c r="BA4">
        <v>0</v>
      </c>
      <c r="BB4">
        <v>0</v>
      </c>
      <c r="BC4">
        <v>0.88844328580488252</v>
      </c>
      <c r="BD4">
        <v>0</v>
      </c>
      <c r="BE4">
        <v>0</v>
      </c>
      <c r="BF4">
        <v>0</v>
      </c>
      <c r="BG4">
        <v>0</v>
      </c>
      <c r="BH4">
        <v>0</v>
      </c>
      <c r="BI4">
        <v>1.0133333333333334</v>
      </c>
      <c r="BJ4">
        <v>1.0133333333333334</v>
      </c>
      <c r="BK4">
        <v>0.90028919628228099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1.3333333333333419E-2</v>
      </c>
      <c r="BU4">
        <v>0</v>
      </c>
      <c r="BV4">
        <v>0</v>
      </c>
      <c r="BW4">
        <v>0</v>
      </c>
      <c r="BX4">
        <v>9.971080371771901E-2</v>
      </c>
      <c r="BY4">
        <v>0</v>
      </c>
      <c r="BZ4">
        <v>0.90028919628228099</v>
      </c>
      <c r="CA4">
        <v>0</v>
      </c>
      <c r="CB4">
        <v>0</v>
      </c>
      <c r="CC4">
        <v>0</v>
      </c>
      <c r="CD4">
        <v>0</v>
      </c>
      <c r="CE4">
        <v>0</v>
      </c>
    </row>
    <row r="5" spans="1:83" x14ac:dyDescent="0.25">
      <c r="A5" t="s">
        <v>128</v>
      </c>
      <c r="B5" t="s">
        <v>146</v>
      </c>
      <c r="C5" t="s">
        <v>72</v>
      </c>
      <c r="D5" s="12">
        <v>46223</v>
      </c>
      <c r="E5" t="s">
        <v>134</v>
      </c>
      <c r="F5" t="s">
        <v>74</v>
      </c>
      <c r="G5">
        <v>4.2207252494765797</v>
      </c>
      <c r="H5">
        <v>0</v>
      </c>
      <c r="I5">
        <v>10</v>
      </c>
      <c r="J5">
        <v>1</v>
      </c>
      <c r="K5">
        <v>0</v>
      </c>
      <c r="L5">
        <v>46223</v>
      </c>
      <c r="M5" t="s">
        <v>160</v>
      </c>
      <c r="N5">
        <v>4.6875</v>
      </c>
      <c r="O5">
        <v>0</v>
      </c>
      <c r="P5">
        <v>0</v>
      </c>
      <c r="Q5">
        <v>1.1105911242579236</v>
      </c>
      <c r="R5">
        <v>0.11059112425792361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1</v>
      </c>
      <c r="AK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1</v>
      </c>
      <c r="BH5">
        <v>1</v>
      </c>
      <c r="BI5">
        <v>0</v>
      </c>
      <c r="BJ5">
        <v>0</v>
      </c>
      <c r="BK5">
        <v>0.9004213865550037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9.95786134449963E-2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0.9004213865550037</v>
      </c>
      <c r="CE5">
        <v>0</v>
      </c>
    </row>
    <row r="6" spans="1:83" x14ac:dyDescent="0.25">
      <c r="A6" t="s">
        <v>128</v>
      </c>
      <c r="B6" t="s">
        <v>145</v>
      </c>
      <c r="C6" t="s">
        <v>72</v>
      </c>
      <c r="D6" s="12">
        <v>46223</v>
      </c>
      <c r="E6" t="s">
        <v>134</v>
      </c>
      <c r="F6" t="s">
        <v>75</v>
      </c>
      <c r="G6">
        <v>10.972274579690296</v>
      </c>
      <c r="H6">
        <v>13.3</v>
      </c>
      <c r="I6">
        <v>20</v>
      </c>
      <c r="K6">
        <v>13.3</v>
      </c>
      <c r="L6">
        <v>46223</v>
      </c>
      <c r="M6" t="s">
        <v>168</v>
      </c>
      <c r="N6">
        <v>10.234375</v>
      </c>
      <c r="O6">
        <v>1.212146114591256</v>
      </c>
      <c r="P6">
        <v>1.212146114591256</v>
      </c>
      <c r="Q6">
        <v>0.93274871364811174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0.21214611459125599</v>
      </c>
      <c r="AA6">
        <v>0</v>
      </c>
      <c r="AB6">
        <v>0</v>
      </c>
      <c r="AC6">
        <v>0</v>
      </c>
      <c r="AD6">
        <v>6.7251286351888262E-2</v>
      </c>
      <c r="AE6">
        <v>0</v>
      </c>
      <c r="AF6">
        <v>0.93274871364811174</v>
      </c>
      <c r="AG6">
        <v>0</v>
      </c>
      <c r="AH6">
        <v>0</v>
      </c>
      <c r="AI6">
        <v>0</v>
      </c>
      <c r="AJ6">
        <v>0</v>
      </c>
      <c r="AK6">
        <v>0</v>
      </c>
      <c r="AL6">
        <v>0.82498305110453363</v>
      </c>
      <c r="AM6">
        <v>0.82498305110453363</v>
      </c>
      <c r="AN6">
        <v>0.76950187969924821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0.17501694889546637</v>
      </c>
      <c r="AZ6">
        <v>0</v>
      </c>
      <c r="BA6">
        <v>5.5481171405285412E-2</v>
      </c>
      <c r="BB6">
        <v>0</v>
      </c>
      <c r="BC6">
        <v>0.76950187969924821</v>
      </c>
      <c r="BD6">
        <v>0</v>
      </c>
      <c r="BE6">
        <v>0</v>
      </c>
      <c r="BF6">
        <v>0</v>
      </c>
      <c r="BG6">
        <v>0</v>
      </c>
      <c r="BH6">
        <v>0</v>
      </c>
      <c r="BI6">
        <v>1.2995419847328242</v>
      </c>
      <c r="BJ6">
        <v>1.2995419847328242</v>
      </c>
      <c r="BK6">
        <v>1.0721001116033266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7.2100111603326633E-2</v>
      </c>
      <c r="BS6">
        <v>0</v>
      </c>
      <c r="BT6">
        <v>0.2274418731294976</v>
      </c>
      <c r="BU6">
        <v>0</v>
      </c>
      <c r="BV6">
        <v>0</v>
      </c>
      <c r="BW6">
        <v>0</v>
      </c>
      <c r="BX6">
        <v>0</v>
      </c>
      <c r="BY6">
        <v>0</v>
      </c>
      <c r="BZ6">
        <v>1</v>
      </c>
      <c r="CA6">
        <v>0</v>
      </c>
      <c r="CB6">
        <v>0</v>
      </c>
      <c r="CC6">
        <v>0</v>
      </c>
      <c r="CD6">
        <v>0</v>
      </c>
      <c r="CE6">
        <v>0</v>
      </c>
    </row>
    <row r="7" spans="1:83" x14ac:dyDescent="0.25">
      <c r="A7" t="s">
        <v>128</v>
      </c>
      <c r="B7" t="s">
        <v>146</v>
      </c>
      <c r="C7" t="s">
        <v>72</v>
      </c>
      <c r="D7" s="12">
        <v>46223</v>
      </c>
      <c r="E7" t="s">
        <v>134</v>
      </c>
      <c r="F7" t="s">
        <v>75</v>
      </c>
      <c r="G7">
        <v>10.973885648639106</v>
      </c>
      <c r="H7">
        <v>0.95</v>
      </c>
      <c r="I7">
        <v>10</v>
      </c>
      <c r="J7">
        <v>1</v>
      </c>
      <c r="K7">
        <v>0.95</v>
      </c>
      <c r="L7">
        <v>46223</v>
      </c>
      <c r="M7" t="s">
        <v>168</v>
      </c>
      <c r="N7">
        <v>10.234375</v>
      </c>
      <c r="O7">
        <v>8.6569154301130463E-2</v>
      </c>
      <c r="P7">
        <v>8.6569154301130463E-2</v>
      </c>
      <c r="Q7">
        <v>0.93261177742171808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0.84604262312058764</v>
      </c>
      <c r="AB7">
        <v>6.738822257828192E-2</v>
      </c>
      <c r="AC7">
        <v>0</v>
      </c>
      <c r="AD7">
        <v>0</v>
      </c>
      <c r="AE7">
        <v>0</v>
      </c>
      <c r="AF7">
        <v>8.6569154301130463E-2</v>
      </c>
      <c r="AG7">
        <v>0</v>
      </c>
      <c r="AH7">
        <v>0</v>
      </c>
      <c r="AI7">
        <v>0</v>
      </c>
      <c r="AJ7">
        <v>0</v>
      </c>
      <c r="AK7">
        <v>0</v>
      </c>
      <c r="AL7">
        <v>11.551458577514849</v>
      </c>
      <c r="AM7">
        <v>11.551458577514849</v>
      </c>
      <c r="AN7">
        <v>10.773026315789474</v>
      </c>
      <c r="BE7">
        <v>0</v>
      </c>
      <c r="BF7">
        <v>0</v>
      </c>
      <c r="BG7">
        <v>0</v>
      </c>
      <c r="BI7">
        <v>9.282442748091603E-2</v>
      </c>
      <c r="BJ7">
        <v>9.282442748091603E-2</v>
      </c>
      <c r="BK7">
        <v>1.0722575290273324</v>
      </c>
      <c r="BL7">
        <v>7.2257529027332401E-2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0.91343084569886956</v>
      </c>
      <c r="BV7">
        <v>0</v>
      </c>
      <c r="BW7">
        <v>0</v>
      </c>
      <c r="BX7">
        <v>0</v>
      </c>
      <c r="BY7">
        <v>0</v>
      </c>
      <c r="BZ7">
        <v>9.282442748091603E-2</v>
      </c>
      <c r="CA7">
        <v>0</v>
      </c>
      <c r="CB7">
        <v>0</v>
      </c>
      <c r="CC7">
        <v>0</v>
      </c>
      <c r="CD7">
        <v>0</v>
      </c>
      <c r="CE7">
        <v>0</v>
      </c>
    </row>
    <row r="8" spans="1:83" x14ac:dyDescent="0.25">
      <c r="A8" t="s">
        <v>128</v>
      </c>
      <c r="B8" t="s">
        <v>145</v>
      </c>
      <c r="C8" t="s">
        <v>72</v>
      </c>
      <c r="D8" s="12">
        <v>46224</v>
      </c>
      <c r="E8" t="s">
        <v>134</v>
      </c>
      <c r="F8" t="s">
        <v>73</v>
      </c>
      <c r="G8">
        <v>13.026059308709252</v>
      </c>
      <c r="H8">
        <v>17.099999999999998</v>
      </c>
      <c r="I8">
        <v>20</v>
      </c>
      <c r="K8">
        <v>17.099999999999998</v>
      </c>
      <c r="L8">
        <v>46224</v>
      </c>
      <c r="M8" t="s">
        <v>175</v>
      </c>
      <c r="N8">
        <v>11.6875</v>
      </c>
      <c r="O8">
        <v>1.3127531200911162</v>
      </c>
      <c r="P8">
        <v>1.3127531200911162</v>
      </c>
      <c r="Q8">
        <v>0.8972398883663697</v>
      </c>
      <c r="R8">
        <v>0</v>
      </c>
      <c r="S8">
        <v>0</v>
      </c>
      <c r="T8">
        <v>6.2753120091116221E-2</v>
      </c>
      <c r="U8">
        <v>0</v>
      </c>
      <c r="V8">
        <v>0</v>
      </c>
      <c r="W8">
        <v>0</v>
      </c>
      <c r="X8">
        <v>0</v>
      </c>
      <c r="Y8">
        <v>0</v>
      </c>
      <c r="Z8">
        <v>0.25</v>
      </c>
      <c r="AA8">
        <v>0</v>
      </c>
      <c r="AB8">
        <v>0</v>
      </c>
      <c r="AC8">
        <v>0</v>
      </c>
      <c r="AD8">
        <v>0.1027601116336303</v>
      </c>
      <c r="AE8">
        <v>0</v>
      </c>
      <c r="AF8">
        <v>0.8972398883663697</v>
      </c>
      <c r="AG8">
        <v>0</v>
      </c>
      <c r="AH8">
        <v>0</v>
      </c>
      <c r="AI8">
        <v>0</v>
      </c>
      <c r="AJ8">
        <v>0</v>
      </c>
      <c r="AK8">
        <v>0</v>
      </c>
      <c r="AL8">
        <v>0.76175785431048271</v>
      </c>
      <c r="AM8">
        <v>0.76175785431048271</v>
      </c>
      <c r="AN8">
        <v>0.6834795321637428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0.23824214568951729</v>
      </c>
      <c r="AZ8">
        <v>0</v>
      </c>
      <c r="BA8">
        <v>7.8278322146739909E-2</v>
      </c>
      <c r="BB8">
        <v>0</v>
      </c>
      <c r="BC8">
        <v>0.6834795321637428</v>
      </c>
      <c r="BD8">
        <v>0</v>
      </c>
      <c r="BE8">
        <v>0</v>
      </c>
      <c r="BF8">
        <v>0</v>
      </c>
      <c r="BG8">
        <v>0</v>
      </c>
      <c r="BH8">
        <v>0</v>
      </c>
      <c r="BI8">
        <v>1.4631016042780747</v>
      </c>
      <c r="BJ8">
        <v>1.4631016042780747</v>
      </c>
      <c r="BK8">
        <v>1.1145291387130911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0.11452913871309112</v>
      </c>
      <c r="BS8">
        <v>0</v>
      </c>
      <c r="BT8">
        <v>0.34857246556498356</v>
      </c>
      <c r="BU8">
        <v>0</v>
      </c>
      <c r="BV8">
        <v>0</v>
      </c>
      <c r="BW8">
        <v>0</v>
      </c>
      <c r="BX8">
        <v>0</v>
      </c>
      <c r="BY8">
        <v>0</v>
      </c>
      <c r="BZ8">
        <v>1</v>
      </c>
      <c r="CA8">
        <v>0</v>
      </c>
      <c r="CB8">
        <v>0</v>
      </c>
      <c r="CC8">
        <v>0</v>
      </c>
      <c r="CD8">
        <v>0</v>
      </c>
      <c r="CE8">
        <v>0</v>
      </c>
    </row>
    <row r="9" spans="1:83" x14ac:dyDescent="0.25">
      <c r="A9" t="s">
        <v>128</v>
      </c>
      <c r="B9" t="s">
        <v>146</v>
      </c>
      <c r="C9" t="s">
        <v>72</v>
      </c>
      <c r="D9" s="12">
        <v>46224</v>
      </c>
      <c r="E9" t="s">
        <v>134</v>
      </c>
      <c r="F9" t="s">
        <v>73</v>
      </c>
      <c r="G9">
        <v>13.005109674949711</v>
      </c>
      <c r="H9">
        <v>1.9</v>
      </c>
      <c r="I9">
        <v>10</v>
      </c>
      <c r="J9">
        <v>1</v>
      </c>
      <c r="K9">
        <v>1.9</v>
      </c>
      <c r="L9">
        <v>46224</v>
      </c>
      <c r="M9" t="s">
        <v>175</v>
      </c>
      <c r="N9">
        <v>11.6875</v>
      </c>
      <c r="O9">
        <v>0.14609642267452441</v>
      </c>
      <c r="P9">
        <v>0.14609642267452441</v>
      </c>
      <c r="Q9">
        <v>0.89868523158342328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0.7525888089088989</v>
      </c>
      <c r="AB9">
        <v>0.10131476841657672</v>
      </c>
      <c r="AC9">
        <v>0</v>
      </c>
      <c r="AD9">
        <v>0</v>
      </c>
      <c r="AE9">
        <v>0</v>
      </c>
      <c r="AF9">
        <v>0.14609642267452441</v>
      </c>
      <c r="AG9">
        <v>0</v>
      </c>
      <c r="AH9">
        <v>0</v>
      </c>
      <c r="AI9">
        <v>0</v>
      </c>
      <c r="AJ9">
        <v>0</v>
      </c>
      <c r="AK9">
        <v>0</v>
      </c>
      <c r="AL9">
        <v>6.8447945657630065</v>
      </c>
      <c r="AM9">
        <v>6.8447945657630065</v>
      </c>
      <c r="AN9">
        <v>6.1513157894736841</v>
      </c>
      <c r="BE9">
        <v>0</v>
      </c>
      <c r="BF9">
        <v>0</v>
      </c>
      <c r="BG9">
        <v>0</v>
      </c>
      <c r="BI9">
        <v>0.1625668449197861</v>
      </c>
      <c r="BJ9">
        <v>0.1625668449197861</v>
      </c>
      <c r="BK9">
        <v>1.1127366566801893</v>
      </c>
      <c r="BL9">
        <v>0.11273665668018928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0.85390357732547562</v>
      </c>
      <c r="BV9">
        <v>0</v>
      </c>
      <c r="BW9">
        <v>0</v>
      </c>
      <c r="BX9">
        <v>0</v>
      </c>
      <c r="BY9">
        <v>0</v>
      </c>
      <c r="BZ9">
        <v>0.1625668449197861</v>
      </c>
      <c r="CA9">
        <v>0</v>
      </c>
      <c r="CB9">
        <v>0</v>
      </c>
      <c r="CC9">
        <v>0</v>
      </c>
      <c r="CD9">
        <v>0</v>
      </c>
      <c r="CE9">
        <v>0</v>
      </c>
    </row>
    <row r="10" spans="1:83" x14ac:dyDescent="0.25">
      <c r="A10" t="s">
        <v>128</v>
      </c>
      <c r="B10" t="s">
        <v>145</v>
      </c>
      <c r="C10" t="s">
        <v>72</v>
      </c>
      <c r="D10" s="12">
        <v>46224</v>
      </c>
      <c r="E10" t="s">
        <v>134</v>
      </c>
      <c r="F10" t="s">
        <v>74</v>
      </c>
      <c r="G10">
        <v>4.220105607573192</v>
      </c>
      <c r="H10">
        <v>4.75</v>
      </c>
      <c r="I10">
        <v>20</v>
      </c>
      <c r="K10">
        <v>4.75</v>
      </c>
      <c r="L10">
        <v>46224</v>
      </c>
      <c r="M10" t="s">
        <v>172</v>
      </c>
      <c r="N10">
        <v>4.6875</v>
      </c>
      <c r="O10">
        <v>1.1255642492633089</v>
      </c>
      <c r="P10">
        <v>1.1255642492633089</v>
      </c>
      <c r="Q10">
        <v>1.1107541933519496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0.11075419335194958</v>
      </c>
      <c r="Y10">
        <v>0</v>
      </c>
      <c r="Z10">
        <v>1.481005591135931E-2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1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0.88844328580488252</v>
      </c>
      <c r="AM10">
        <v>0.88844328580488252</v>
      </c>
      <c r="AN10">
        <v>0.98684210526315785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1.3157894736842146E-2</v>
      </c>
      <c r="AZ10">
        <v>0</v>
      </c>
      <c r="BA10">
        <v>0</v>
      </c>
      <c r="BB10">
        <v>0</v>
      </c>
      <c r="BC10">
        <v>0.88844328580488252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1.0133333333333334</v>
      </c>
      <c r="BJ10">
        <v>1.0133333333333334</v>
      </c>
      <c r="BK10">
        <v>0.90028919628228099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1.3333333333333419E-2</v>
      </c>
      <c r="BU10">
        <v>0</v>
      </c>
      <c r="BV10">
        <v>0</v>
      </c>
      <c r="BW10">
        <v>0</v>
      </c>
      <c r="BX10">
        <v>9.971080371771901E-2</v>
      </c>
      <c r="BY10">
        <v>0</v>
      </c>
      <c r="BZ10">
        <v>0.90028919628228099</v>
      </c>
      <c r="CA10">
        <v>0</v>
      </c>
      <c r="CB10">
        <v>0</v>
      </c>
      <c r="CC10">
        <v>0</v>
      </c>
      <c r="CD10">
        <v>0</v>
      </c>
      <c r="CE10">
        <v>0</v>
      </c>
    </row>
    <row r="11" spans="1:83" x14ac:dyDescent="0.25">
      <c r="A11" t="s">
        <v>128</v>
      </c>
      <c r="B11" t="s">
        <v>146</v>
      </c>
      <c r="C11" t="s">
        <v>72</v>
      </c>
      <c r="D11" s="12">
        <v>46224</v>
      </c>
      <c r="E11" t="s">
        <v>134</v>
      </c>
      <c r="F11" t="s">
        <v>74</v>
      </c>
      <c r="G11">
        <v>4.2207252494765797</v>
      </c>
      <c r="H11">
        <v>0</v>
      </c>
      <c r="I11">
        <v>10</v>
      </c>
      <c r="J11">
        <v>1</v>
      </c>
      <c r="K11">
        <v>0</v>
      </c>
      <c r="L11">
        <v>46224</v>
      </c>
      <c r="M11" t="s">
        <v>172</v>
      </c>
      <c r="N11">
        <v>4.6875</v>
      </c>
      <c r="O11">
        <v>0</v>
      </c>
      <c r="P11">
        <v>0</v>
      </c>
      <c r="Q11">
        <v>1.1105911242579236</v>
      </c>
      <c r="R11">
        <v>0.11059112425792361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1</v>
      </c>
      <c r="AK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1</v>
      </c>
      <c r="BH11">
        <v>1</v>
      </c>
      <c r="BI11">
        <v>0</v>
      </c>
      <c r="BJ11">
        <v>0</v>
      </c>
      <c r="BK11">
        <v>0.9004213865550037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9.95786134449963E-2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0.9004213865550037</v>
      </c>
      <c r="CE11">
        <v>0</v>
      </c>
    </row>
    <row r="12" spans="1:83" x14ac:dyDescent="0.25">
      <c r="A12" t="s">
        <v>128</v>
      </c>
      <c r="B12" t="s">
        <v>145</v>
      </c>
      <c r="C12" t="s">
        <v>72</v>
      </c>
      <c r="D12" s="12">
        <v>46224</v>
      </c>
      <c r="E12" t="s">
        <v>134</v>
      </c>
      <c r="F12" t="s">
        <v>75</v>
      </c>
      <c r="G12">
        <v>10.972274579690296</v>
      </c>
      <c r="H12">
        <v>15.2</v>
      </c>
      <c r="I12">
        <v>20</v>
      </c>
      <c r="K12">
        <v>15.2</v>
      </c>
      <c r="L12">
        <v>46224</v>
      </c>
      <c r="M12" t="s">
        <v>169</v>
      </c>
      <c r="N12">
        <v>11.25</v>
      </c>
      <c r="O12">
        <v>1.3853098452471497</v>
      </c>
      <c r="P12">
        <v>1.3853098452471497</v>
      </c>
      <c r="Q12">
        <v>1.0253115630941076</v>
      </c>
      <c r="R12">
        <v>0</v>
      </c>
      <c r="S12">
        <v>0</v>
      </c>
      <c r="T12">
        <v>0.13530984524714973</v>
      </c>
      <c r="U12">
        <v>0</v>
      </c>
      <c r="V12">
        <v>0</v>
      </c>
      <c r="W12">
        <v>0</v>
      </c>
      <c r="X12">
        <v>2.5311563094107647E-2</v>
      </c>
      <c r="Y12">
        <v>0</v>
      </c>
      <c r="Z12">
        <v>0.22468843690589235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0.72186016971646694</v>
      </c>
      <c r="AM12">
        <v>0.72186016971646694</v>
      </c>
      <c r="AN12">
        <v>0.74013157894736847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0.25986842105263153</v>
      </c>
      <c r="AZ12">
        <v>0</v>
      </c>
      <c r="BA12">
        <v>0</v>
      </c>
      <c r="BB12">
        <v>0</v>
      </c>
      <c r="BC12">
        <v>0.72186016971646694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1.3511111111111112</v>
      </c>
      <c r="BJ12">
        <v>1.3511111111111112</v>
      </c>
      <c r="BK12">
        <v>0.97531329597247074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0.35111111111111115</v>
      </c>
      <c r="BU12">
        <v>0</v>
      </c>
      <c r="BV12">
        <v>0</v>
      </c>
      <c r="BW12">
        <v>0</v>
      </c>
      <c r="BX12">
        <v>2.468670402752926E-2</v>
      </c>
      <c r="BY12">
        <v>0</v>
      </c>
      <c r="BZ12">
        <v>0.97531329597247074</v>
      </c>
      <c r="CA12">
        <v>0</v>
      </c>
      <c r="CB12">
        <v>0</v>
      </c>
      <c r="CC12">
        <v>0</v>
      </c>
      <c r="CD12">
        <v>0</v>
      </c>
      <c r="CE12">
        <v>0</v>
      </c>
    </row>
    <row r="13" spans="1:83" x14ac:dyDescent="0.25">
      <c r="A13" t="s">
        <v>128</v>
      </c>
      <c r="B13" t="s">
        <v>146</v>
      </c>
      <c r="C13" t="s">
        <v>72</v>
      </c>
      <c r="D13" s="12">
        <v>46224</v>
      </c>
      <c r="E13" t="s">
        <v>134</v>
      </c>
      <c r="F13" t="s">
        <v>75</v>
      </c>
      <c r="G13">
        <v>10.973885648639106</v>
      </c>
      <c r="H13">
        <v>2.8499999999999996</v>
      </c>
      <c r="I13">
        <v>10</v>
      </c>
      <c r="J13">
        <v>1</v>
      </c>
      <c r="K13">
        <v>2.8499999999999996</v>
      </c>
      <c r="L13">
        <v>46224</v>
      </c>
      <c r="M13" t="s">
        <v>169</v>
      </c>
      <c r="N13">
        <v>11.25</v>
      </c>
      <c r="O13">
        <v>0.25970746290339136</v>
      </c>
      <c r="P13">
        <v>0.25970746290339136</v>
      </c>
      <c r="Q13">
        <v>1.025161037776545</v>
      </c>
      <c r="R13">
        <v>2.5161037776544992E-2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0.74029253709660869</v>
      </c>
      <c r="AB13">
        <v>0</v>
      </c>
      <c r="AC13">
        <v>0</v>
      </c>
      <c r="AD13">
        <v>0</v>
      </c>
      <c r="AE13">
        <v>0</v>
      </c>
      <c r="AF13">
        <v>0.25970746290339136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3.8504861925049498</v>
      </c>
      <c r="AM13">
        <v>3.8504861925049498</v>
      </c>
      <c r="AN13">
        <v>3.9473684210526319</v>
      </c>
      <c r="BE13">
        <v>0</v>
      </c>
      <c r="BF13">
        <v>0</v>
      </c>
      <c r="BG13">
        <v>0</v>
      </c>
      <c r="BI13">
        <v>0.2533333333333333</v>
      </c>
      <c r="BJ13">
        <v>0.2533333333333333</v>
      </c>
      <c r="BK13">
        <v>0.9754565021012539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2.4543497898746103E-2</v>
      </c>
      <c r="BW13">
        <v>0</v>
      </c>
      <c r="BX13">
        <v>0</v>
      </c>
      <c r="BY13">
        <v>0</v>
      </c>
      <c r="BZ13">
        <v>0.2533333333333333</v>
      </c>
      <c r="CA13">
        <v>0</v>
      </c>
      <c r="CB13">
        <v>0</v>
      </c>
      <c r="CC13">
        <v>0</v>
      </c>
      <c r="CD13">
        <v>0</v>
      </c>
      <c r="CE13">
        <v>0</v>
      </c>
    </row>
    <row r="14" spans="1:83" x14ac:dyDescent="0.25">
      <c r="A14" t="s">
        <v>128</v>
      </c>
      <c r="B14" t="s">
        <v>146</v>
      </c>
      <c r="C14" t="s">
        <v>72</v>
      </c>
      <c r="D14" s="12">
        <v>46225</v>
      </c>
      <c r="E14" t="s">
        <v>134</v>
      </c>
      <c r="F14" t="s">
        <v>73</v>
      </c>
      <c r="G14">
        <v>12.583037150002054</v>
      </c>
      <c r="H14">
        <v>2.8499999999999996</v>
      </c>
      <c r="I14">
        <v>10</v>
      </c>
      <c r="J14">
        <v>1</v>
      </c>
      <c r="K14">
        <v>2.8499999999999996</v>
      </c>
      <c r="L14">
        <v>46225</v>
      </c>
      <c r="M14" t="s">
        <v>166</v>
      </c>
      <c r="N14">
        <v>11.496323529411764</v>
      </c>
      <c r="O14">
        <v>0.22649539741679411</v>
      </c>
      <c r="P14">
        <v>0.22649539741679411</v>
      </c>
      <c r="Q14">
        <v>0.91363661986882772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0.68714122245203357</v>
      </c>
      <c r="AB14">
        <v>8.6363380131172285E-2</v>
      </c>
      <c r="AC14">
        <v>0</v>
      </c>
      <c r="AD14">
        <v>0</v>
      </c>
      <c r="AE14">
        <v>0</v>
      </c>
      <c r="AF14">
        <v>0.22649539741679411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4.4151007543866863</v>
      </c>
      <c r="AM14">
        <v>4.4151007543866863</v>
      </c>
      <c r="AN14">
        <v>4.0337977296181631</v>
      </c>
      <c r="BE14">
        <v>0</v>
      </c>
      <c r="BF14">
        <v>0</v>
      </c>
      <c r="BG14">
        <v>0</v>
      </c>
      <c r="BI14">
        <v>0.24790534058202748</v>
      </c>
      <c r="BJ14">
        <v>0.24790534058202748</v>
      </c>
      <c r="BK14">
        <v>1.0945270562201979</v>
      </c>
      <c r="BL14">
        <v>9.4527056220197858E-2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0.77350460258320586</v>
      </c>
      <c r="BV14">
        <v>0</v>
      </c>
      <c r="BW14">
        <v>0</v>
      </c>
      <c r="BX14">
        <v>0</v>
      </c>
      <c r="BY14">
        <v>0</v>
      </c>
      <c r="BZ14">
        <v>0.24790534058202748</v>
      </c>
      <c r="CA14">
        <v>0</v>
      </c>
      <c r="CB14">
        <v>0</v>
      </c>
      <c r="CC14">
        <v>0</v>
      </c>
      <c r="CD14">
        <v>0</v>
      </c>
      <c r="CE14">
        <v>0</v>
      </c>
    </row>
    <row r="15" spans="1:83" x14ac:dyDescent="0.25">
      <c r="A15" t="s">
        <v>128</v>
      </c>
      <c r="B15" t="s">
        <v>145</v>
      </c>
      <c r="C15" t="s">
        <v>72</v>
      </c>
      <c r="D15" s="12">
        <v>46225</v>
      </c>
      <c r="E15" t="s">
        <v>134</v>
      </c>
      <c r="F15" t="s">
        <v>73</v>
      </c>
      <c r="G15">
        <v>12.57591471056811</v>
      </c>
      <c r="H15">
        <v>16.149999999999999</v>
      </c>
      <c r="I15">
        <v>20</v>
      </c>
      <c r="K15">
        <v>16.149999999999999</v>
      </c>
      <c r="L15">
        <v>46225</v>
      </c>
      <c r="M15" t="s">
        <v>166</v>
      </c>
      <c r="N15">
        <v>11.496323529411764</v>
      </c>
      <c r="O15">
        <v>1.284200821307131</v>
      </c>
      <c r="P15">
        <v>1.284200821307131</v>
      </c>
      <c r="Q15">
        <v>0.91415406306396807</v>
      </c>
      <c r="R15">
        <v>0</v>
      </c>
      <c r="S15">
        <v>0</v>
      </c>
      <c r="T15">
        <v>3.420082130713098E-2</v>
      </c>
      <c r="U15">
        <v>0</v>
      </c>
      <c r="V15">
        <v>0</v>
      </c>
      <c r="W15">
        <v>0</v>
      </c>
      <c r="X15">
        <v>0</v>
      </c>
      <c r="Y15">
        <v>0</v>
      </c>
      <c r="Z15">
        <v>0.25</v>
      </c>
      <c r="AA15">
        <v>0</v>
      </c>
      <c r="AB15">
        <v>0</v>
      </c>
      <c r="AC15">
        <v>0</v>
      </c>
      <c r="AD15">
        <v>8.584593693603193E-2</v>
      </c>
      <c r="AE15">
        <v>0</v>
      </c>
      <c r="AF15">
        <v>0.91415406306396807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0.77869440932310285</v>
      </c>
      <c r="AM15">
        <v>0.77869440932310285</v>
      </c>
      <c r="AN15">
        <v>0.71184665816791115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0.22130559067689715</v>
      </c>
      <c r="AZ15">
        <v>0</v>
      </c>
      <c r="BA15">
        <v>6.6847751155191704E-2</v>
      </c>
      <c r="BB15">
        <v>0</v>
      </c>
      <c r="BC15">
        <v>0.71184665816791115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1.4047969299648224</v>
      </c>
      <c r="BJ15">
        <v>1.4047969299648224</v>
      </c>
      <c r="BK15">
        <v>1.0939075155978657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9.3907515597865698E-2</v>
      </c>
      <c r="BS15">
        <v>0</v>
      </c>
      <c r="BT15">
        <v>0.31088941436695672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1</v>
      </c>
      <c r="CA15">
        <v>0</v>
      </c>
      <c r="CB15">
        <v>0</v>
      </c>
      <c r="CC15">
        <v>0</v>
      </c>
      <c r="CD15">
        <v>0</v>
      </c>
      <c r="CE15">
        <v>0</v>
      </c>
    </row>
    <row r="16" spans="1:83" x14ac:dyDescent="0.25">
      <c r="A16" t="s">
        <v>128</v>
      </c>
      <c r="B16" t="s">
        <v>145</v>
      </c>
      <c r="C16" t="s">
        <v>72</v>
      </c>
      <c r="D16" s="12">
        <v>46225</v>
      </c>
      <c r="E16" t="s">
        <v>134</v>
      </c>
      <c r="F16" t="s">
        <v>74</v>
      </c>
      <c r="G16">
        <v>4.2201056075731911</v>
      </c>
      <c r="H16">
        <v>3.8</v>
      </c>
      <c r="I16">
        <v>20</v>
      </c>
      <c r="K16">
        <v>3.8</v>
      </c>
      <c r="L16">
        <v>46225</v>
      </c>
      <c r="M16" t="s">
        <v>163</v>
      </c>
      <c r="N16">
        <v>4.5044642857142865</v>
      </c>
      <c r="O16">
        <v>0.90045139941064734</v>
      </c>
      <c r="P16">
        <v>0.90045139941064734</v>
      </c>
      <c r="Q16">
        <v>1.0673818867543976</v>
      </c>
      <c r="R16">
        <v>6.7381886754397602E-2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9.9548600589352665E-2</v>
      </c>
      <c r="AB16">
        <v>0</v>
      </c>
      <c r="AC16">
        <v>0</v>
      </c>
      <c r="AD16">
        <v>0</v>
      </c>
      <c r="AE16">
        <v>0</v>
      </c>
      <c r="AF16">
        <v>0.90045139941064734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1.1105541072561029</v>
      </c>
      <c r="AM16">
        <v>1.1105541072561029</v>
      </c>
      <c r="AN16">
        <v>1.185385338345865</v>
      </c>
      <c r="AO16">
        <v>7.4831231089762085E-2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0.11055410725610293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1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0.84360753221010887</v>
      </c>
      <c r="BJ16">
        <v>0.84360753221010887</v>
      </c>
      <c r="BK16">
        <v>0.93687180980812157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6.3128190191878431E-2</v>
      </c>
      <c r="BW16">
        <v>0</v>
      </c>
      <c r="BX16">
        <v>0</v>
      </c>
      <c r="BY16">
        <v>0</v>
      </c>
      <c r="BZ16">
        <v>0.84360753221010887</v>
      </c>
      <c r="CA16">
        <v>0</v>
      </c>
      <c r="CB16">
        <v>0</v>
      </c>
      <c r="CC16">
        <v>0</v>
      </c>
      <c r="CD16">
        <v>0</v>
      </c>
      <c r="CE16">
        <v>0</v>
      </c>
    </row>
    <row r="17" spans="1:83" x14ac:dyDescent="0.25">
      <c r="A17" t="s">
        <v>128</v>
      </c>
      <c r="B17" t="s">
        <v>146</v>
      </c>
      <c r="C17" t="s">
        <v>72</v>
      </c>
      <c r="D17" s="12">
        <v>46225</v>
      </c>
      <c r="E17" t="s">
        <v>134</v>
      </c>
      <c r="F17" t="s">
        <v>74</v>
      </c>
      <c r="G17">
        <v>4.2207252494765788</v>
      </c>
      <c r="H17">
        <v>2.8499999999999996</v>
      </c>
      <c r="I17">
        <v>10</v>
      </c>
      <c r="J17">
        <v>1</v>
      </c>
      <c r="K17">
        <v>2.8499999999999996</v>
      </c>
      <c r="L17">
        <v>46225</v>
      </c>
      <c r="M17" t="s">
        <v>163</v>
      </c>
      <c r="N17">
        <v>4.5044642857142865</v>
      </c>
      <c r="O17">
        <v>0.67523940354881762</v>
      </c>
      <c r="P17">
        <v>0.67523940354881762</v>
      </c>
      <c r="Q17">
        <v>1.0672251851202337</v>
      </c>
      <c r="R17">
        <v>6.7225185120233677E-2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0.32476059645118238</v>
      </c>
      <c r="AB17">
        <v>0</v>
      </c>
      <c r="AC17">
        <v>0</v>
      </c>
      <c r="AD17">
        <v>0</v>
      </c>
      <c r="AE17">
        <v>0</v>
      </c>
      <c r="AF17">
        <v>0.67523940354881762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1.4809562278865191</v>
      </c>
      <c r="AM17">
        <v>1.4809562278865191</v>
      </c>
      <c r="AN17">
        <v>1.5805137844611534</v>
      </c>
      <c r="AO17">
        <v>9.9557556574634276E-2</v>
      </c>
      <c r="AP17">
        <v>0</v>
      </c>
      <c r="AQ17">
        <v>0</v>
      </c>
      <c r="AR17">
        <v>0</v>
      </c>
      <c r="AS17">
        <v>0</v>
      </c>
      <c r="AT17">
        <v>1.904377211348085E-2</v>
      </c>
      <c r="AU17">
        <v>0.48095622788651915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0.63270564915758154</v>
      </c>
      <c r="BJ17">
        <v>0.63270564915758154</v>
      </c>
      <c r="BK17">
        <v>0.9370093715389034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6.2990628461096598E-2</v>
      </c>
      <c r="BW17">
        <v>0</v>
      </c>
      <c r="BX17">
        <v>0</v>
      </c>
      <c r="BY17">
        <v>0</v>
      </c>
      <c r="BZ17">
        <v>0.63270564915758154</v>
      </c>
      <c r="CA17">
        <v>0</v>
      </c>
      <c r="CB17">
        <v>0</v>
      </c>
      <c r="CC17">
        <v>0</v>
      </c>
      <c r="CD17">
        <v>0</v>
      </c>
      <c r="CE17">
        <v>0</v>
      </c>
    </row>
    <row r="18" spans="1:83" x14ac:dyDescent="0.25">
      <c r="A18" t="s">
        <v>128</v>
      </c>
      <c r="B18" t="s">
        <v>145</v>
      </c>
      <c r="C18" t="s">
        <v>72</v>
      </c>
      <c r="D18" s="12">
        <v>46225</v>
      </c>
      <c r="E18" t="s">
        <v>134</v>
      </c>
      <c r="F18" t="s">
        <v>75</v>
      </c>
      <c r="G18">
        <v>10.80347035538737</v>
      </c>
      <c r="H18">
        <v>11.4</v>
      </c>
      <c r="I18">
        <v>20</v>
      </c>
      <c r="K18">
        <v>11.4</v>
      </c>
      <c r="L18">
        <v>46225</v>
      </c>
      <c r="M18" t="s">
        <v>215</v>
      </c>
      <c r="N18">
        <v>11.244747899159664</v>
      </c>
      <c r="O18">
        <v>1.0552164836843521</v>
      </c>
      <c r="P18">
        <v>1.0552164836843521</v>
      </c>
      <c r="Q18">
        <v>1.0408459068480937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4.0845906848093749E-2</v>
      </c>
      <c r="Y18">
        <v>0</v>
      </c>
      <c r="Z18">
        <v>1.4370576836258309E-2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0.94767283819187464</v>
      </c>
      <c r="AM18">
        <v>0.94767283819187464</v>
      </c>
      <c r="AN18">
        <v>0.98638139466312857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1.3618605336871425E-2</v>
      </c>
      <c r="AZ18">
        <v>0</v>
      </c>
      <c r="BA18">
        <v>0</v>
      </c>
      <c r="BB18">
        <v>0</v>
      </c>
      <c r="BC18">
        <v>0.94767283819187464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1.0138066324147592</v>
      </c>
      <c r="BJ18">
        <v>1.0138066324147592</v>
      </c>
      <c r="BK18">
        <v>0.96075700871824155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1.3806632414759212E-2</v>
      </c>
      <c r="BU18">
        <v>0</v>
      </c>
      <c r="BV18">
        <v>0</v>
      </c>
      <c r="BW18">
        <v>0</v>
      </c>
      <c r="BX18">
        <v>3.9242991281758455E-2</v>
      </c>
      <c r="BY18">
        <v>0</v>
      </c>
      <c r="BZ18">
        <v>0.96075700871824155</v>
      </c>
      <c r="CA18">
        <v>0</v>
      </c>
      <c r="CB18">
        <v>0</v>
      </c>
      <c r="CC18">
        <v>0</v>
      </c>
      <c r="CD18">
        <v>0</v>
      </c>
      <c r="CE18">
        <v>0</v>
      </c>
    </row>
    <row r="19" spans="1:83" x14ac:dyDescent="0.25">
      <c r="A19" t="s">
        <v>128</v>
      </c>
      <c r="B19" t="s">
        <v>146</v>
      </c>
      <c r="C19" t="s">
        <v>72</v>
      </c>
      <c r="D19" s="12">
        <v>46225</v>
      </c>
      <c r="E19" t="s">
        <v>134</v>
      </c>
      <c r="F19" t="s">
        <v>75</v>
      </c>
      <c r="G19">
        <v>10.815608451783737</v>
      </c>
      <c r="H19">
        <v>0.95</v>
      </c>
      <c r="I19">
        <v>10</v>
      </c>
      <c r="J19">
        <v>1</v>
      </c>
      <c r="K19">
        <v>0.95</v>
      </c>
      <c r="L19">
        <v>46225</v>
      </c>
      <c r="M19" t="s">
        <v>215</v>
      </c>
      <c r="N19">
        <v>11.244747899159664</v>
      </c>
      <c r="O19">
        <v>8.7836019973829921E-2</v>
      </c>
      <c r="P19">
        <v>8.7836019973829921E-2</v>
      </c>
      <c r="Q19">
        <v>1.0396777906013372</v>
      </c>
      <c r="R19">
        <v>3.9677790601337248E-2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0.91216398002617005</v>
      </c>
      <c r="AB19">
        <v>0</v>
      </c>
      <c r="AC19">
        <v>0</v>
      </c>
      <c r="AD19">
        <v>0</v>
      </c>
      <c r="AE19">
        <v>0</v>
      </c>
      <c r="AF19">
        <v>8.7836019973829921E-2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11.384851001877617</v>
      </c>
      <c r="AM19">
        <v>11.384851001877617</v>
      </c>
      <c r="AN19">
        <v>11.836576735957541</v>
      </c>
      <c r="BE19">
        <v>0</v>
      </c>
      <c r="BF19">
        <v>0</v>
      </c>
      <c r="BG19">
        <v>0</v>
      </c>
      <c r="BI19">
        <v>8.4483886034563277E-2</v>
      </c>
      <c r="BJ19">
        <v>8.4483886034563277E-2</v>
      </c>
      <c r="BK19">
        <v>0.96183645456311229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3.8163545436887714E-2</v>
      </c>
      <c r="BW19">
        <v>0</v>
      </c>
      <c r="BX19">
        <v>0</v>
      </c>
      <c r="BY19">
        <v>0</v>
      </c>
      <c r="BZ19">
        <v>8.4483886034563277E-2</v>
      </c>
      <c r="CA19">
        <v>0</v>
      </c>
      <c r="CB19">
        <v>0</v>
      </c>
      <c r="CC19">
        <v>0</v>
      </c>
      <c r="CD19">
        <v>0</v>
      </c>
      <c r="CE19">
        <v>0</v>
      </c>
    </row>
    <row r="20" spans="1:83" x14ac:dyDescent="0.25">
      <c r="A20" t="s">
        <v>128</v>
      </c>
      <c r="B20" t="s">
        <v>146</v>
      </c>
      <c r="C20" t="s">
        <v>72</v>
      </c>
      <c r="D20" s="12">
        <v>46226</v>
      </c>
      <c r="E20" t="s">
        <v>134</v>
      </c>
      <c r="F20" t="s">
        <v>73</v>
      </c>
      <c r="G20">
        <v>11.738892100106735</v>
      </c>
      <c r="H20">
        <v>5.6999999999999993</v>
      </c>
      <c r="I20">
        <v>10</v>
      </c>
      <c r="J20">
        <v>1</v>
      </c>
      <c r="K20">
        <v>5.6999999999999993</v>
      </c>
      <c r="L20">
        <v>46226</v>
      </c>
      <c r="M20" t="s">
        <v>232</v>
      </c>
      <c r="N20">
        <v>10.59375</v>
      </c>
      <c r="O20">
        <v>0.48556541378791379</v>
      </c>
      <c r="P20">
        <v>0.48556541378791379</v>
      </c>
      <c r="Q20">
        <v>0.90244887759924775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0.41688346381133395</v>
      </c>
      <c r="AB20">
        <v>9.7551122400752255E-2</v>
      </c>
      <c r="AC20">
        <v>0</v>
      </c>
      <c r="AD20">
        <v>0</v>
      </c>
      <c r="AE20">
        <v>0</v>
      </c>
      <c r="AF20">
        <v>0.48556541378791379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2.0594547544046908</v>
      </c>
      <c r="AM20">
        <v>2.0594547544046908</v>
      </c>
      <c r="AN20">
        <v>1.8585526315789476</v>
      </c>
      <c r="BE20">
        <v>0</v>
      </c>
      <c r="BF20">
        <v>0</v>
      </c>
      <c r="BG20">
        <v>0</v>
      </c>
      <c r="BI20">
        <v>0.53805309734513262</v>
      </c>
      <c r="BJ20">
        <v>0.53805309734513262</v>
      </c>
      <c r="BK20">
        <v>1.1080960094496033</v>
      </c>
      <c r="BL20">
        <v>0.10809600944960329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0.51443458621208626</v>
      </c>
      <c r="BV20">
        <v>0</v>
      </c>
      <c r="BW20">
        <v>0</v>
      </c>
      <c r="BX20">
        <v>0</v>
      </c>
      <c r="BY20">
        <v>0</v>
      </c>
      <c r="BZ20">
        <v>0.53805309734513262</v>
      </c>
      <c r="CA20">
        <v>0</v>
      </c>
      <c r="CB20">
        <v>0</v>
      </c>
      <c r="CC20">
        <v>0</v>
      </c>
      <c r="CD20">
        <v>0</v>
      </c>
      <c r="CE20">
        <v>0</v>
      </c>
    </row>
    <row r="21" spans="1:83" x14ac:dyDescent="0.25">
      <c r="A21" t="s">
        <v>128</v>
      </c>
      <c r="B21" t="s">
        <v>145</v>
      </c>
      <c r="C21" t="s">
        <v>72</v>
      </c>
      <c r="D21" s="12">
        <v>46226</v>
      </c>
      <c r="E21" t="s">
        <v>134</v>
      </c>
      <c r="F21" t="s">
        <v>73</v>
      </c>
      <c r="G21">
        <v>11.73189358905347</v>
      </c>
      <c r="H21">
        <v>20.9</v>
      </c>
      <c r="I21">
        <v>20</v>
      </c>
      <c r="K21">
        <v>20.9</v>
      </c>
      <c r="L21">
        <v>46226</v>
      </c>
      <c r="M21" t="s">
        <v>232</v>
      </c>
      <c r="N21">
        <v>10.59375</v>
      </c>
      <c r="O21">
        <v>1.7814685959563166</v>
      </c>
      <c r="P21">
        <v>1.7814685959563166</v>
      </c>
      <c r="Q21">
        <v>0.90298722193359959</v>
      </c>
      <c r="R21">
        <v>0</v>
      </c>
      <c r="S21">
        <v>0</v>
      </c>
      <c r="T21">
        <v>0.53146859595631657</v>
      </c>
      <c r="U21">
        <v>0</v>
      </c>
      <c r="V21">
        <v>0</v>
      </c>
      <c r="W21">
        <v>0</v>
      </c>
      <c r="X21">
        <v>0</v>
      </c>
      <c r="Y21">
        <v>0</v>
      </c>
      <c r="Z21">
        <v>0.25</v>
      </c>
      <c r="AA21">
        <v>0</v>
      </c>
      <c r="AB21">
        <v>0</v>
      </c>
      <c r="AC21">
        <v>0</v>
      </c>
      <c r="AD21">
        <v>9.7012778066400407E-2</v>
      </c>
      <c r="AE21">
        <v>0</v>
      </c>
      <c r="AF21">
        <v>0.90298722193359959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0.56133462148581204</v>
      </c>
      <c r="AM21">
        <v>0.56133462148581204</v>
      </c>
      <c r="AN21">
        <v>0.50687799043062209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0.43866537851418796</v>
      </c>
      <c r="AZ21">
        <v>0</v>
      </c>
      <c r="BA21">
        <v>5.4456631055189941E-2</v>
      </c>
      <c r="BB21">
        <v>0</v>
      </c>
      <c r="BC21">
        <v>0.50687799043062209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1.9728613569321534</v>
      </c>
      <c r="BJ21">
        <v>1.9728613569321534</v>
      </c>
      <c r="BK21">
        <v>1.1074353830374957</v>
      </c>
      <c r="CB21">
        <v>0</v>
      </c>
      <c r="CC21">
        <v>0</v>
      </c>
      <c r="CD21">
        <v>0</v>
      </c>
    </row>
    <row r="22" spans="1:83" x14ac:dyDescent="0.25">
      <c r="A22" t="s">
        <v>128</v>
      </c>
      <c r="B22" t="s">
        <v>146</v>
      </c>
      <c r="C22" t="s">
        <v>72</v>
      </c>
      <c r="D22" s="12">
        <v>46226</v>
      </c>
      <c r="E22" t="s">
        <v>134</v>
      </c>
      <c r="F22" t="s">
        <v>74</v>
      </c>
      <c r="G22">
        <v>4.2207252494765797</v>
      </c>
      <c r="H22">
        <v>0.95</v>
      </c>
      <c r="I22">
        <v>10</v>
      </c>
      <c r="J22">
        <v>1</v>
      </c>
      <c r="K22">
        <v>0.95</v>
      </c>
      <c r="L22">
        <v>46226</v>
      </c>
      <c r="M22" t="s">
        <v>231</v>
      </c>
      <c r="N22">
        <v>2.8125</v>
      </c>
      <c r="O22">
        <v>0.22507980118293919</v>
      </c>
      <c r="P22">
        <v>0.22507980118293919</v>
      </c>
      <c r="Q22">
        <v>0.66635467455475417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0.44127487337181498</v>
      </c>
      <c r="AB22">
        <v>0.33364532544524583</v>
      </c>
      <c r="AC22">
        <v>0</v>
      </c>
      <c r="AD22">
        <v>0</v>
      </c>
      <c r="AE22">
        <v>0</v>
      </c>
      <c r="AF22">
        <v>0.22507980118293919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4.4428686836595581</v>
      </c>
      <c r="AM22">
        <v>4.4428686836595581</v>
      </c>
      <c r="AN22">
        <v>2.9605263157894739</v>
      </c>
      <c r="BE22">
        <v>0</v>
      </c>
      <c r="BF22">
        <v>0</v>
      </c>
      <c r="BG22">
        <v>0</v>
      </c>
      <c r="BI22">
        <v>0.33777777777777779</v>
      </c>
      <c r="BJ22">
        <v>0.33777777777777779</v>
      </c>
      <c r="BK22">
        <v>1.5007023109250062</v>
      </c>
      <c r="BL22">
        <v>0.50070231092500617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0.77492019881706087</v>
      </c>
      <c r="BV22">
        <v>0</v>
      </c>
      <c r="BW22">
        <v>0</v>
      </c>
      <c r="BX22">
        <v>0</v>
      </c>
      <c r="BY22">
        <v>0</v>
      </c>
      <c r="BZ22">
        <v>0.33777777777777779</v>
      </c>
      <c r="CA22">
        <v>0</v>
      </c>
      <c r="CB22">
        <v>0</v>
      </c>
      <c r="CC22">
        <v>0</v>
      </c>
      <c r="CD22">
        <v>0</v>
      </c>
      <c r="CE22">
        <v>0</v>
      </c>
    </row>
    <row r="23" spans="1:83" x14ac:dyDescent="0.25">
      <c r="A23" t="s">
        <v>128</v>
      </c>
      <c r="B23" t="s">
        <v>145</v>
      </c>
      <c r="C23" t="s">
        <v>72</v>
      </c>
      <c r="D23" s="12">
        <v>46226</v>
      </c>
      <c r="E23" t="s">
        <v>134</v>
      </c>
      <c r="F23" t="s">
        <v>74</v>
      </c>
      <c r="G23">
        <v>4.220105607573192</v>
      </c>
      <c r="H23">
        <v>3.8</v>
      </c>
      <c r="I23">
        <v>20</v>
      </c>
      <c r="K23">
        <v>3.8</v>
      </c>
      <c r="L23">
        <v>46226</v>
      </c>
      <c r="M23" t="s">
        <v>231</v>
      </c>
      <c r="N23">
        <v>2.8125</v>
      </c>
      <c r="O23">
        <v>0.90045139941064711</v>
      </c>
      <c r="P23">
        <v>0.90045139941064711</v>
      </c>
      <c r="Q23">
        <v>0.66645251601116973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9.9548600589352887E-2</v>
      </c>
      <c r="AC23">
        <v>0</v>
      </c>
      <c r="AD23">
        <v>0.23399888339947739</v>
      </c>
      <c r="AE23">
        <v>0</v>
      </c>
      <c r="AF23">
        <v>0.66645251601116973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1.1105541072561032</v>
      </c>
      <c r="AM23">
        <v>1.1105541072561032</v>
      </c>
      <c r="AN23">
        <v>0.74013157894736847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0.11055410725610315</v>
      </c>
      <c r="AX23">
        <v>0</v>
      </c>
      <c r="AY23">
        <v>0</v>
      </c>
      <c r="AZ23">
        <v>0</v>
      </c>
      <c r="BA23">
        <v>0.25986842105263153</v>
      </c>
      <c r="BB23">
        <v>0</v>
      </c>
      <c r="BC23">
        <v>0.74013157894736847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1.3511111111111112</v>
      </c>
      <c r="BJ23">
        <v>1.3511111111111112</v>
      </c>
      <c r="BK23">
        <v>1.5004819938038017</v>
      </c>
      <c r="BL23">
        <v>0.1493708826926905</v>
      </c>
      <c r="BM23">
        <v>0</v>
      </c>
      <c r="BN23">
        <v>0</v>
      </c>
      <c r="BO23">
        <v>0</v>
      </c>
      <c r="BP23">
        <v>0</v>
      </c>
      <c r="BQ23">
        <v>0.14888888888888885</v>
      </c>
      <c r="BR23">
        <v>0.35111111111111115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</row>
    <row r="24" spans="1:83" x14ac:dyDescent="0.25">
      <c r="A24" t="s">
        <v>128</v>
      </c>
      <c r="B24" t="s">
        <v>146</v>
      </c>
      <c r="C24" t="s">
        <v>72</v>
      </c>
      <c r="D24" s="12">
        <v>46226</v>
      </c>
      <c r="E24" t="s">
        <v>134</v>
      </c>
      <c r="F24" t="s">
        <v>75</v>
      </c>
      <c r="G24">
        <v>10.973885648639106</v>
      </c>
      <c r="H24">
        <v>0</v>
      </c>
      <c r="I24">
        <v>10</v>
      </c>
      <c r="J24">
        <v>1</v>
      </c>
      <c r="K24">
        <v>0</v>
      </c>
      <c r="L24">
        <v>46226</v>
      </c>
      <c r="M24" t="s">
        <v>230</v>
      </c>
      <c r="N24">
        <v>10.3125</v>
      </c>
      <c r="O24">
        <v>0</v>
      </c>
      <c r="P24">
        <v>0</v>
      </c>
      <c r="Q24">
        <v>0.93973095129516626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0.93973095129516626</v>
      </c>
      <c r="AB24">
        <v>6.0269048704833739E-2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1</v>
      </c>
      <c r="BI24">
        <v>0</v>
      </c>
      <c r="BJ24">
        <v>0</v>
      </c>
      <c r="BK24">
        <v>1.0641343659286406</v>
      </c>
      <c r="BL24">
        <v>6.4134365928640635E-2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1</v>
      </c>
      <c r="CE24">
        <v>1</v>
      </c>
    </row>
    <row r="25" spans="1:83" x14ac:dyDescent="0.25">
      <c r="A25" t="s">
        <v>128</v>
      </c>
      <c r="B25" t="s">
        <v>145</v>
      </c>
      <c r="C25" t="s">
        <v>72</v>
      </c>
      <c r="D25" s="12">
        <v>46226</v>
      </c>
      <c r="E25" t="s">
        <v>134</v>
      </c>
      <c r="F25" t="s">
        <v>75</v>
      </c>
      <c r="G25">
        <v>10.972274579690296</v>
      </c>
      <c r="H25">
        <v>13.3</v>
      </c>
      <c r="I25">
        <v>20</v>
      </c>
      <c r="K25">
        <v>13.3</v>
      </c>
      <c r="L25">
        <v>46226</v>
      </c>
      <c r="M25" t="s">
        <v>230</v>
      </c>
      <c r="N25">
        <v>10.3125</v>
      </c>
      <c r="O25">
        <v>1.212146114591256</v>
      </c>
      <c r="P25">
        <v>1.212146114591256</v>
      </c>
      <c r="Q25">
        <v>0.93986893283626527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0.21214611459125599</v>
      </c>
      <c r="AA25">
        <v>0</v>
      </c>
      <c r="AB25">
        <v>0</v>
      </c>
      <c r="AC25">
        <v>0</v>
      </c>
      <c r="AD25">
        <v>6.013106716373473E-2</v>
      </c>
      <c r="AE25">
        <v>0</v>
      </c>
      <c r="AF25">
        <v>0.93986893283626527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0.82498305110453363</v>
      </c>
      <c r="AM25">
        <v>0.82498305110453363</v>
      </c>
      <c r="AN25">
        <v>0.77537593984962416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0.17501694889546637</v>
      </c>
      <c r="AZ25">
        <v>0</v>
      </c>
      <c r="BA25">
        <v>4.9607111254909464E-2</v>
      </c>
      <c r="BB25">
        <v>0</v>
      </c>
      <c r="BC25">
        <v>0.77537593984962416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1.2896969696969696</v>
      </c>
      <c r="BJ25">
        <v>1.2896969696969696</v>
      </c>
      <c r="BK25">
        <v>1.0639781410608773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6.3978141060877292E-2</v>
      </c>
      <c r="BS25">
        <v>0</v>
      </c>
      <c r="BT25">
        <v>0.22571882863609227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</v>
      </c>
      <c r="CA25">
        <v>0</v>
      </c>
      <c r="CB25">
        <v>0</v>
      </c>
      <c r="CC25">
        <v>0</v>
      </c>
      <c r="CD25">
        <v>0</v>
      </c>
      <c r="CE25">
        <v>0</v>
      </c>
    </row>
    <row r="26" spans="1:83" x14ac:dyDescent="0.25">
      <c r="A26" t="s">
        <v>128</v>
      </c>
      <c r="B26" t="s">
        <v>145</v>
      </c>
      <c r="C26" t="s">
        <v>72</v>
      </c>
      <c r="D26" s="12">
        <v>46227</v>
      </c>
      <c r="E26" t="s">
        <v>134</v>
      </c>
      <c r="F26" t="s">
        <v>73</v>
      </c>
      <c r="G26">
        <v>10.972274579690296</v>
      </c>
      <c r="H26">
        <v>18.05</v>
      </c>
      <c r="I26">
        <v>20</v>
      </c>
      <c r="K26">
        <v>18.05</v>
      </c>
      <c r="L26">
        <v>46227</v>
      </c>
      <c r="M26" t="s">
        <v>229</v>
      </c>
      <c r="N26">
        <v>10.505208333333336</v>
      </c>
      <c r="O26">
        <v>1.6450554412309903</v>
      </c>
      <c r="P26">
        <v>1.6450554412309903</v>
      </c>
      <c r="Q26">
        <v>0.95743214016704414</v>
      </c>
      <c r="R26">
        <v>0</v>
      </c>
      <c r="S26">
        <v>0</v>
      </c>
      <c r="T26">
        <v>0.39505544123099035</v>
      </c>
      <c r="U26">
        <v>0</v>
      </c>
      <c r="V26">
        <v>0</v>
      </c>
      <c r="W26">
        <v>0</v>
      </c>
      <c r="X26">
        <v>0</v>
      </c>
      <c r="Y26">
        <v>0</v>
      </c>
      <c r="Z26">
        <v>0.25</v>
      </c>
      <c r="AA26">
        <v>0</v>
      </c>
      <c r="AB26">
        <v>0</v>
      </c>
      <c r="AC26">
        <v>0</v>
      </c>
      <c r="AD26">
        <v>4.2567859832955857E-2</v>
      </c>
      <c r="AE26">
        <v>0</v>
      </c>
      <c r="AF26">
        <v>0.95743214016704414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0.60788224818228787</v>
      </c>
      <c r="AM26">
        <v>0.60788224818228787</v>
      </c>
      <c r="AN26">
        <v>0.58200600184672213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0.39211775181771213</v>
      </c>
      <c r="AZ26">
        <v>0</v>
      </c>
      <c r="BA26">
        <v>2.5876246335565734E-2</v>
      </c>
      <c r="BB26">
        <v>0</v>
      </c>
      <c r="BC26">
        <v>0.58200600184672213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1.7181953396132867</v>
      </c>
      <c r="BJ26">
        <v>1.7181953396132867</v>
      </c>
      <c r="BK26">
        <v>1.0444604458604543</v>
      </c>
      <c r="CB26">
        <v>0</v>
      </c>
      <c r="CC26">
        <v>0</v>
      </c>
      <c r="CD26">
        <v>0</v>
      </c>
    </row>
    <row r="27" spans="1:83" x14ac:dyDescent="0.25">
      <c r="A27" t="s">
        <v>128</v>
      </c>
      <c r="B27" t="s">
        <v>146</v>
      </c>
      <c r="C27" t="s">
        <v>72</v>
      </c>
      <c r="D27" s="12">
        <v>46227</v>
      </c>
      <c r="E27" t="s">
        <v>134</v>
      </c>
      <c r="F27" t="s">
        <v>73</v>
      </c>
      <c r="G27">
        <v>10.973885648639106</v>
      </c>
      <c r="H27">
        <v>1.9</v>
      </c>
      <c r="I27">
        <v>10</v>
      </c>
      <c r="J27">
        <v>1</v>
      </c>
      <c r="K27">
        <v>1.9</v>
      </c>
      <c r="L27">
        <v>46227</v>
      </c>
      <c r="M27" t="s">
        <v>229</v>
      </c>
      <c r="N27">
        <v>10.505208333333336</v>
      </c>
      <c r="O27">
        <v>0.17313830860226093</v>
      </c>
      <c r="P27">
        <v>0.17313830860226093</v>
      </c>
      <c r="Q27">
        <v>0.95729158018300542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0.78415327158074444</v>
      </c>
      <c r="AB27">
        <v>4.2708419816994581E-2</v>
      </c>
      <c r="AC27">
        <v>0</v>
      </c>
      <c r="AD27">
        <v>0</v>
      </c>
      <c r="AE27">
        <v>0</v>
      </c>
      <c r="AF27">
        <v>0.17313830860226093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5.7757292887574243</v>
      </c>
      <c r="AM27">
        <v>5.7757292887574243</v>
      </c>
      <c r="AN27">
        <v>5.5290570175438614</v>
      </c>
      <c r="BE27">
        <v>0</v>
      </c>
      <c r="BF27">
        <v>0</v>
      </c>
      <c r="BG27">
        <v>0</v>
      </c>
      <c r="BI27">
        <v>0.18086266732771439</v>
      </c>
      <c r="BJ27">
        <v>0.18086266732771439</v>
      </c>
      <c r="BK27">
        <v>1.0446138049274705</v>
      </c>
      <c r="BL27">
        <v>4.4613804927470468E-2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0.82686169139773913</v>
      </c>
      <c r="BV27">
        <v>0</v>
      </c>
      <c r="BW27">
        <v>0</v>
      </c>
      <c r="BX27">
        <v>0</v>
      </c>
      <c r="BY27">
        <v>0</v>
      </c>
      <c r="BZ27">
        <v>0.18086266732771439</v>
      </c>
      <c r="CA27">
        <v>0</v>
      </c>
      <c r="CB27">
        <v>0</v>
      </c>
      <c r="CC27">
        <v>0</v>
      </c>
      <c r="CD27">
        <v>0</v>
      </c>
      <c r="CE27">
        <v>0</v>
      </c>
    </row>
    <row r="28" spans="1:83" x14ac:dyDescent="0.25">
      <c r="A28" t="s">
        <v>128</v>
      </c>
      <c r="B28" t="s">
        <v>145</v>
      </c>
      <c r="C28" t="s">
        <v>72</v>
      </c>
      <c r="D28" s="12">
        <v>46227</v>
      </c>
      <c r="E28" t="s">
        <v>134</v>
      </c>
      <c r="F28" t="s">
        <v>74</v>
      </c>
      <c r="G28">
        <v>4.220105607573192</v>
      </c>
      <c r="H28">
        <v>3.8</v>
      </c>
      <c r="I28">
        <v>20</v>
      </c>
      <c r="K28">
        <v>3.8</v>
      </c>
      <c r="L28">
        <v>46227</v>
      </c>
      <c r="M28" t="s">
        <v>228</v>
      </c>
      <c r="N28">
        <v>4.6875</v>
      </c>
      <c r="O28">
        <v>0.90045139941064711</v>
      </c>
      <c r="P28">
        <v>0.90045139941064711</v>
      </c>
      <c r="Q28">
        <v>1.1107541933519496</v>
      </c>
      <c r="R28">
        <v>0.11075419335194958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9.9548600589352887E-2</v>
      </c>
      <c r="AB28">
        <v>0</v>
      </c>
      <c r="AC28">
        <v>0</v>
      </c>
      <c r="AD28">
        <v>0</v>
      </c>
      <c r="AE28">
        <v>0</v>
      </c>
      <c r="AF28">
        <v>0.90045139941064711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1.1105541072561032</v>
      </c>
      <c r="AM28">
        <v>1.1105541072561032</v>
      </c>
      <c r="AN28">
        <v>1.2335526315789473</v>
      </c>
      <c r="AO28">
        <v>0.12299852432284419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0.11055410725610315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1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0.81066666666666665</v>
      </c>
      <c r="BJ28">
        <v>0.81066666666666665</v>
      </c>
      <c r="BK28">
        <v>0.90028919628228099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9.971080371771901E-2</v>
      </c>
      <c r="BW28">
        <v>0</v>
      </c>
      <c r="BX28">
        <v>0</v>
      </c>
      <c r="BY28">
        <v>0</v>
      </c>
      <c r="BZ28">
        <v>0.81066666666666665</v>
      </c>
      <c r="CA28">
        <v>0</v>
      </c>
      <c r="CB28">
        <v>0</v>
      </c>
      <c r="CC28">
        <v>0</v>
      </c>
      <c r="CD28">
        <v>0</v>
      </c>
      <c r="CE28">
        <v>0</v>
      </c>
    </row>
    <row r="29" spans="1:83" x14ac:dyDescent="0.25">
      <c r="A29" t="s">
        <v>128</v>
      </c>
      <c r="B29" t="s">
        <v>146</v>
      </c>
      <c r="C29" t="s">
        <v>72</v>
      </c>
      <c r="D29" s="12">
        <v>46227</v>
      </c>
      <c r="E29" t="s">
        <v>134</v>
      </c>
      <c r="F29" t="s">
        <v>74</v>
      </c>
      <c r="G29">
        <v>4.2207252494765797</v>
      </c>
      <c r="H29">
        <v>1.9</v>
      </c>
      <c r="I29">
        <v>10</v>
      </c>
      <c r="J29">
        <v>1</v>
      </c>
      <c r="K29">
        <v>1.9</v>
      </c>
      <c r="L29">
        <v>46227</v>
      </c>
      <c r="M29" t="s">
        <v>228</v>
      </c>
      <c r="N29">
        <v>4.6875</v>
      </c>
      <c r="O29">
        <v>0.45015960236587838</v>
      </c>
      <c r="P29">
        <v>0.45015960236587838</v>
      </c>
      <c r="Q29">
        <v>1.1105911242579236</v>
      </c>
      <c r="R29">
        <v>0.11059112425792361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0.54984039763412162</v>
      </c>
      <c r="AB29">
        <v>0</v>
      </c>
      <c r="AC29">
        <v>0</v>
      </c>
      <c r="AD29">
        <v>0</v>
      </c>
      <c r="AE29">
        <v>0</v>
      </c>
      <c r="AF29">
        <v>0.45015960236587838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2.2214343418297791</v>
      </c>
      <c r="AM29">
        <v>2.2214343418297791</v>
      </c>
      <c r="AN29">
        <v>2.4671052631578947</v>
      </c>
      <c r="BE29">
        <v>0</v>
      </c>
      <c r="BF29">
        <v>0</v>
      </c>
      <c r="BG29">
        <v>0</v>
      </c>
      <c r="BI29">
        <v>0.40533333333333332</v>
      </c>
      <c r="BJ29">
        <v>0.40533333333333332</v>
      </c>
      <c r="BK29">
        <v>0.9004213865550037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9.95786134449963E-2</v>
      </c>
      <c r="BW29">
        <v>0</v>
      </c>
      <c r="BX29">
        <v>0</v>
      </c>
      <c r="BY29">
        <v>0</v>
      </c>
      <c r="BZ29">
        <v>0.40533333333333332</v>
      </c>
      <c r="CA29">
        <v>0</v>
      </c>
      <c r="CB29">
        <v>0</v>
      </c>
      <c r="CC29">
        <v>0</v>
      </c>
      <c r="CD29">
        <v>0</v>
      </c>
      <c r="CE29">
        <v>0</v>
      </c>
    </row>
    <row r="30" spans="1:83" x14ac:dyDescent="0.25">
      <c r="A30" t="s">
        <v>128</v>
      </c>
      <c r="B30" t="s">
        <v>146</v>
      </c>
      <c r="C30" t="s">
        <v>72</v>
      </c>
      <c r="D30" s="12">
        <v>46227</v>
      </c>
      <c r="E30" t="s">
        <v>134</v>
      </c>
      <c r="F30" t="s">
        <v>75</v>
      </c>
      <c r="G30">
        <v>11.026644714257564</v>
      </c>
      <c r="H30">
        <v>1.9</v>
      </c>
      <c r="I30">
        <v>10</v>
      </c>
      <c r="J30">
        <v>1</v>
      </c>
      <c r="K30">
        <v>1.9</v>
      </c>
      <c r="L30">
        <v>46227</v>
      </c>
      <c r="M30" t="s">
        <v>227</v>
      </c>
      <c r="N30">
        <v>11.182291666666668</v>
      </c>
      <c r="O30">
        <v>0.17230989564244148</v>
      </c>
      <c r="P30">
        <v>0.17230989564244148</v>
      </c>
      <c r="Q30">
        <v>1.0141155316456194</v>
      </c>
      <c r="R30">
        <v>1.4115531645619406E-2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0.82769010435755852</v>
      </c>
      <c r="AB30">
        <v>0</v>
      </c>
      <c r="AC30">
        <v>0</v>
      </c>
      <c r="AD30">
        <v>0</v>
      </c>
      <c r="AE30">
        <v>0</v>
      </c>
      <c r="AF30">
        <v>0.17230989564244148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5.8034972180302971</v>
      </c>
      <c r="AM30">
        <v>5.8034972180302971</v>
      </c>
      <c r="AN30">
        <v>5.8854166666666679</v>
      </c>
      <c r="BE30">
        <v>0</v>
      </c>
      <c r="BF30">
        <v>0</v>
      </c>
      <c r="BG30">
        <v>0</v>
      </c>
      <c r="BI30">
        <v>0.16991150442477873</v>
      </c>
      <c r="BJ30">
        <v>0.16991150442477873</v>
      </c>
      <c r="BK30">
        <v>0.98608094324054596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1.391905675945404E-2</v>
      </c>
      <c r="BW30">
        <v>0</v>
      </c>
      <c r="BX30">
        <v>0</v>
      </c>
      <c r="BY30">
        <v>0</v>
      </c>
      <c r="BZ30">
        <v>0.16991150442477873</v>
      </c>
      <c r="CA30">
        <v>0</v>
      </c>
      <c r="CB30">
        <v>0</v>
      </c>
      <c r="CC30">
        <v>0</v>
      </c>
      <c r="CD30">
        <v>0</v>
      </c>
      <c r="CE30">
        <v>0</v>
      </c>
    </row>
    <row r="31" spans="1:83" x14ac:dyDescent="0.25">
      <c r="A31" t="s">
        <v>128</v>
      </c>
      <c r="B31" t="s">
        <v>145</v>
      </c>
      <c r="C31" t="s">
        <v>72</v>
      </c>
      <c r="D31" s="12">
        <v>46227</v>
      </c>
      <c r="E31" t="s">
        <v>134</v>
      </c>
      <c r="F31" t="s">
        <v>75</v>
      </c>
      <c r="G31">
        <v>11.028542654457938</v>
      </c>
      <c r="H31">
        <v>12.35</v>
      </c>
      <c r="I31">
        <v>20</v>
      </c>
      <c r="K31">
        <v>12.35</v>
      </c>
      <c r="L31">
        <v>46227</v>
      </c>
      <c r="M31" t="s">
        <v>227</v>
      </c>
      <c r="N31">
        <v>11.182291666666668</v>
      </c>
      <c r="O31">
        <v>1.1198215745221698</v>
      </c>
      <c r="P31">
        <v>1.1198215745221698</v>
      </c>
      <c r="Q31">
        <v>1.0139410089824137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1.3941008982413683E-2</v>
      </c>
      <c r="Y31">
        <v>0</v>
      </c>
      <c r="Z31">
        <v>0.10588056553975611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0.89299940521926624</v>
      </c>
      <c r="AM31">
        <v>0.89299940521926624</v>
      </c>
      <c r="AN31">
        <v>0.90544871794871806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9.4551282051281937E-2</v>
      </c>
      <c r="AZ31">
        <v>0</v>
      </c>
      <c r="BA31">
        <v>0</v>
      </c>
      <c r="BB31">
        <v>0</v>
      </c>
      <c r="BC31">
        <v>0.89299940521926624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1.1044247787610617</v>
      </c>
      <c r="BJ31">
        <v>1.1044247787610617</v>
      </c>
      <c r="BK31">
        <v>0.98625067054304794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0.10442477876106171</v>
      </c>
      <c r="BU31">
        <v>0</v>
      </c>
      <c r="BV31">
        <v>0</v>
      </c>
      <c r="BW31">
        <v>0</v>
      </c>
      <c r="BX31">
        <v>1.3749329456952064E-2</v>
      </c>
      <c r="BY31">
        <v>0</v>
      </c>
      <c r="BZ31">
        <v>0.98625067054304794</v>
      </c>
      <c r="CA31">
        <v>0</v>
      </c>
      <c r="CB31">
        <v>0</v>
      </c>
      <c r="CC31">
        <v>0</v>
      </c>
      <c r="CD31">
        <v>0</v>
      </c>
      <c r="CE31">
        <v>0</v>
      </c>
    </row>
    <row r="32" spans="1:83" x14ac:dyDescent="0.25">
      <c r="A32" t="s">
        <v>128</v>
      </c>
      <c r="B32" t="s">
        <v>146</v>
      </c>
      <c r="C32" t="s">
        <v>72</v>
      </c>
      <c r="D32" s="12">
        <v>46228</v>
      </c>
      <c r="E32" t="s">
        <v>134</v>
      </c>
      <c r="F32" t="s">
        <v>73</v>
      </c>
      <c r="G32">
        <v>11.026644714257564</v>
      </c>
      <c r="H32">
        <v>5.6999999999999993</v>
      </c>
      <c r="I32">
        <v>10</v>
      </c>
      <c r="J32">
        <v>1</v>
      </c>
      <c r="K32">
        <v>5.6999999999999993</v>
      </c>
      <c r="L32">
        <v>46228</v>
      </c>
      <c r="M32" t="s">
        <v>226</v>
      </c>
      <c r="N32">
        <v>11.253676470588236</v>
      </c>
      <c r="O32">
        <v>0.51692968692732444</v>
      </c>
      <c r="P32">
        <v>0.51692968692732444</v>
      </c>
      <c r="Q32">
        <v>1.0205893780215043</v>
      </c>
      <c r="R32">
        <v>2.058937802150429E-2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0.48307031307267556</v>
      </c>
      <c r="AB32">
        <v>0</v>
      </c>
      <c r="AC32">
        <v>0</v>
      </c>
      <c r="AD32">
        <v>0</v>
      </c>
      <c r="AE32">
        <v>0</v>
      </c>
      <c r="AF32">
        <v>0.51692968692732444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1.9344990726767659</v>
      </c>
      <c r="AM32">
        <v>1.9344990726767659</v>
      </c>
      <c r="AN32">
        <v>1.9743292053663573</v>
      </c>
      <c r="BE32">
        <v>0</v>
      </c>
      <c r="BF32">
        <v>0</v>
      </c>
      <c r="BG32">
        <v>0</v>
      </c>
      <c r="BI32">
        <v>0.50650114341718389</v>
      </c>
      <c r="BJ32">
        <v>0.50650114341718389</v>
      </c>
      <c r="BK32">
        <v>0.97982599225026379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2.0174007749736211E-2</v>
      </c>
      <c r="BW32">
        <v>0</v>
      </c>
      <c r="BX32">
        <v>0</v>
      </c>
      <c r="BY32">
        <v>0</v>
      </c>
      <c r="BZ32">
        <v>0.50650114341718389</v>
      </c>
      <c r="CA32">
        <v>0</v>
      </c>
      <c r="CB32">
        <v>0</v>
      </c>
      <c r="CC32">
        <v>0</v>
      </c>
      <c r="CD32">
        <v>0</v>
      </c>
      <c r="CE32">
        <v>0</v>
      </c>
    </row>
    <row r="33" spans="1:83" x14ac:dyDescent="0.25">
      <c r="A33" t="s">
        <v>128</v>
      </c>
      <c r="B33" t="s">
        <v>145</v>
      </c>
      <c r="C33" t="s">
        <v>72</v>
      </c>
      <c r="D33" s="12">
        <v>46228</v>
      </c>
      <c r="E33" t="s">
        <v>134</v>
      </c>
      <c r="F33" t="s">
        <v>73</v>
      </c>
      <c r="G33">
        <v>11.028542654457938</v>
      </c>
      <c r="H33">
        <v>15.2</v>
      </c>
      <c r="I33">
        <v>20</v>
      </c>
      <c r="K33">
        <v>15.2</v>
      </c>
      <c r="L33">
        <v>46228</v>
      </c>
      <c r="M33" t="s">
        <v>226</v>
      </c>
      <c r="N33">
        <v>11.253676470588236</v>
      </c>
      <c r="O33">
        <v>1.3782419378734398</v>
      </c>
      <c r="P33">
        <v>1.3782419378734398</v>
      </c>
      <c r="Q33">
        <v>1.0204137412515963</v>
      </c>
      <c r="R33">
        <v>0</v>
      </c>
      <c r="S33">
        <v>0</v>
      </c>
      <c r="T33">
        <v>0.12824193787343985</v>
      </c>
      <c r="U33">
        <v>0</v>
      </c>
      <c r="V33">
        <v>0</v>
      </c>
      <c r="W33">
        <v>0</v>
      </c>
      <c r="X33">
        <v>2.041374125159634E-2</v>
      </c>
      <c r="Y33">
        <v>0</v>
      </c>
      <c r="Z33">
        <v>0.22958625874840366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0.7255620167406539</v>
      </c>
      <c r="AM33">
        <v>0.7255620167406539</v>
      </c>
      <c r="AN33">
        <v>0.74037345201238391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0.25962654798761609</v>
      </c>
      <c r="AZ33">
        <v>0</v>
      </c>
      <c r="BA33">
        <v>0</v>
      </c>
      <c r="BB33">
        <v>0</v>
      </c>
      <c r="BC33">
        <v>0.7255620167406539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1.350669715779157</v>
      </c>
      <c r="BJ33">
        <v>1.350669715779157</v>
      </c>
      <c r="BK33">
        <v>0.97999464293125094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0.35066971577915695</v>
      </c>
      <c r="BU33">
        <v>0</v>
      </c>
      <c r="BV33">
        <v>0</v>
      </c>
      <c r="BW33">
        <v>0</v>
      </c>
      <c r="BX33">
        <v>2.0005357068749063E-2</v>
      </c>
      <c r="BY33">
        <v>0</v>
      </c>
      <c r="BZ33">
        <v>0.97999464293125094</v>
      </c>
      <c r="CA33">
        <v>0</v>
      </c>
      <c r="CB33">
        <v>0</v>
      </c>
      <c r="CC33">
        <v>0</v>
      </c>
      <c r="CD33">
        <v>0</v>
      </c>
      <c r="CE33">
        <v>0</v>
      </c>
    </row>
    <row r="34" spans="1:83" x14ac:dyDescent="0.25">
      <c r="A34" t="s">
        <v>128</v>
      </c>
      <c r="B34" t="s">
        <v>145</v>
      </c>
      <c r="C34" t="s">
        <v>72</v>
      </c>
      <c r="D34" s="12">
        <v>46228</v>
      </c>
      <c r="E34" t="s">
        <v>134</v>
      </c>
      <c r="F34" t="s">
        <v>74</v>
      </c>
      <c r="G34">
        <v>4.220105607573192</v>
      </c>
      <c r="H34">
        <v>4.75</v>
      </c>
      <c r="I34">
        <v>20</v>
      </c>
      <c r="K34">
        <v>4.75</v>
      </c>
      <c r="L34">
        <v>46228</v>
      </c>
      <c r="M34" t="s">
        <v>225</v>
      </c>
      <c r="N34">
        <v>4.6875</v>
      </c>
      <c r="O34">
        <v>1.1255642492633089</v>
      </c>
      <c r="P34">
        <v>1.1255642492633089</v>
      </c>
      <c r="Q34">
        <v>1.1107541933519496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0.11075419335194958</v>
      </c>
      <c r="Y34">
        <v>0</v>
      </c>
      <c r="Z34">
        <v>1.481005591135931E-2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0.88844328580488252</v>
      </c>
      <c r="AM34">
        <v>0.88844328580488252</v>
      </c>
      <c r="AN34">
        <v>0.98684210526315785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1.3157894736842146E-2</v>
      </c>
      <c r="AZ34">
        <v>0</v>
      </c>
      <c r="BA34">
        <v>0</v>
      </c>
      <c r="BB34">
        <v>0</v>
      </c>
      <c r="BC34">
        <v>0.88844328580488252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1.0133333333333334</v>
      </c>
      <c r="BJ34">
        <v>1.0133333333333334</v>
      </c>
      <c r="BK34">
        <v>0.90028919628228099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1.3333333333333419E-2</v>
      </c>
      <c r="BU34">
        <v>0</v>
      </c>
      <c r="BV34">
        <v>0</v>
      </c>
      <c r="BW34">
        <v>0</v>
      </c>
      <c r="BX34">
        <v>9.971080371771901E-2</v>
      </c>
      <c r="BY34">
        <v>0</v>
      </c>
      <c r="BZ34">
        <v>0.90028919628228099</v>
      </c>
      <c r="CA34">
        <v>0</v>
      </c>
      <c r="CB34">
        <v>0</v>
      </c>
      <c r="CC34">
        <v>0</v>
      </c>
      <c r="CD34">
        <v>0</v>
      </c>
      <c r="CE34">
        <v>0</v>
      </c>
    </row>
    <row r="35" spans="1:83" x14ac:dyDescent="0.25">
      <c r="A35" t="s">
        <v>128</v>
      </c>
      <c r="B35" t="s">
        <v>146</v>
      </c>
      <c r="C35" t="s">
        <v>72</v>
      </c>
      <c r="D35" s="12">
        <v>46228</v>
      </c>
      <c r="E35" t="s">
        <v>134</v>
      </c>
      <c r="F35" t="s">
        <v>74</v>
      </c>
      <c r="G35">
        <v>4.2207252494765797</v>
      </c>
      <c r="H35">
        <v>0</v>
      </c>
      <c r="I35">
        <v>10</v>
      </c>
      <c r="J35">
        <v>1</v>
      </c>
      <c r="K35">
        <v>0</v>
      </c>
      <c r="L35">
        <v>46228</v>
      </c>
      <c r="M35" t="s">
        <v>225</v>
      </c>
      <c r="N35">
        <v>4.6875</v>
      </c>
      <c r="O35">
        <v>0</v>
      </c>
      <c r="P35">
        <v>0</v>
      </c>
      <c r="Q35">
        <v>1.1105911242579236</v>
      </c>
      <c r="R35">
        <v>0.11059112425792361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1</v>
      </c>
      <c r="BH35">
        <v>1</v>
      </c>
      <c r="BI35">
        <v>0</v>
      </c>
      <c r="BJ35">
        <v>0</v>
      </c>
      <c r="BK35">
        <v>0.9004213865550037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9.95786134449963E-2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0.9004213865550037</v>
      </c>
      <c r="CE35">
        <v>0</v>
      </c>
    </row>
    <row r="36" spans="1:83" x14ac:dyDescent="0.25">
      <c r="A36" t="s">
        <v>128</v>
      </c>
      <c r="B36" t="s">
        <v>145</v>
      </c>
      <c r="C36" t="s">
        <v>72</v>
      </c>
      <c r="D36" s="12">
        <v>46228</v>
      </c>
      <c r="E36" t="s">
        <v>134</v>
      </c>
      <c r="F36" t="s">
        <v>75</v>
      </c>
      <c r="G36">
        <v>10.972274579690296</v>
      </c>
      <c r="H36">
        <v>10.45</v>
      </c>
      <c r="I36">
        <v>20</v>
      </c>
      <c r="K36">
        <v>10.45</v>
      </c>
      <c r="L36">
        <v>46228</v>
      </c>
      <c r="M36" t="s">
        <v>224</v>
      </c>
      <c r="N36">
        <v>11.308823529411764</v>
      </c>
      <c r="O36">
        <v>0.95240051860741537</v>
      </c>
      <c r="P36">
        <v>0.95240051860741537</v>
      </c>
      <c r="Q36">
        <v>1.0306726693063644</v>
      </c>
      <c r="R36">
        <v>3.0672669306364364E-2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4.7599481392584631E-2</v>
      </c>
      <c r="AB36">
        <v>0</v>
      </c>
      <c r="AC36">
        <v>0</v>
      </c>
      <c r="AD36">
        <v>0</v>
      </c>
      <c r="AE36">
        <v>0</v>
      </c>
      <c r="AF36">
        <v>0.95240051860741537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1.0499784286784972</v>
      </c>
      <c r="AM36">
        <v>1.0499784286784972</v>
      </c>
      <c r="AN36">
        <v>1.082184069800169</v>
      </c>
      <c r="AO36">
        <v>3.2205641121671791E-2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4.9978428678497222E-2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1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0.92405721716514955</v>
      </c>
      <c r="BJ36">
        <v>0.92405721716514955</v>
      </c>
      <c r="BK36">
        <v>0.97024014488808863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2.9759855111911371E-2</v>
      </c>
      <c r="BW36">
        <v>0</v>
      </c>
      <c r="BX36">
        <v>0</v>
      </c>
      <c r="BY36">
        <v>0</v>
      </c>
      <c r="BZ36">
        <v>0.92405721716514955</v>
      </c>
      <c r="CA36">
        <v>0</v>
      </c>
      <c r="CB36">
        <v>0</v>
      </c>
      <c r="CC36">
        <v>0</v>
      </c>
      <c r="CD36">
        <v>0</v>
      </c>
      <c r="CE36">
        <v>0</v>
      </c>
    </row>
    <row r="37" spans="1:83" x14ac:dyDescent="0.25">
      <c r="A37" t="s">
        <v>128</v>
      </c>
      <c r="B37" t="s">
        <v>146</v>
      </c>
      <c r="C37" t="s">
        <v>72</v>
      </c>
      <c r="D37" s="12">
        <v>46228</v>
      </c>
      <c r="E37" t="s">
        <v>134</v>
      </c>
      <c r="F37" t="s">
        <v>75</v>
      </c>
      <c r="G37">
        <v>10.973885648639106</v>
      </c>
      <c r="H37">
        <v>1.9</v>
      </c>
      <c r="I37">
        <v>10</v>
      </c>
      <c r="J37">
        <v>1</v>
      </c>
      <c r="K37">
        <v>1.9</v>
      </c>
      <c r="L37">
        <v>46228</v>
      </c>
      <c r="M37" t="s">
        <v>224</v>
      </c>
      <c r="N37">
        <v>11.308823529411764</v>
      </c>
      <c r="O37">
        <v>0.17313830860226093</v>
      </c>
      <c r="P37">
        <v>0.17313830860226093</v>
      </c>
      <c r="Q37">
        <v>1.0305213569283178</v>
      </c>
      <c r="R37">
        <v>3.0521356928317811E-2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0.82686169139773913</v>
      </c>
      <c r="AB37">
        <v>0</v>
      </c>
      <c r="AC37">
        <v>0</v>
      </c>
      <c r="AD37">
        <v>0</v>
      </c>
      <c r="AE37">
        <v>0</v>
      </c>
      <c r="AF37">
        <v>0.17313830860226093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5.7757292887574243</v>
      </c>
      <c r="AM37">
        <v>5.7757292887574243</v>
      </c>
      <c r="AN37">
        <v>5.9520123839009287</v>
      </c>
      <c r="BE37">
        <v>0</v>
      </c>
      <c r="BF37">
        <v>0</v>
      </c>
      <c r="BG37">
        <v>0</v>
      </c>
      <c r="BI37">
        <v>0.16801040312093626</v>
      </c>
      <c r="BJ37">
        <v>0.16801040312093626</v>
      </c>
      <c r="BK37">
        <v>0.97038260612153349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2.9617393878466514E-2</v>
      </c>
      <c r="BW37">
        <v>0</v>
      </c>
      <c r="BX37">
        <v>0</v>
      </c>
      <c r="BY37">
        <v>0</v>
      </c>
      <c r="BZ37">
        <v>0.16801040312093626</v>
      </c>
      <c r="CA37">
        <v>0</v>
      </c>
      <c r="CB37">
        <v>0</v>
      </c>
      <c r="CC37">
        <v>0</v>
      </c>
      <c r="CD37">
        <v>0</v>
      </c>
      <c r="CE37">
        <v>0</v>
      </c>
    </row>
    <row r="38" spans="1:83" x14ac:dyDescent="0.25">
      <c r="A38" t="s">
        <v>128</v>
      </c>
      <c r="B38" t="s">
        <v>145</v>
      </c>
      <c r="C38" t="s">
        <v>72</v>
      </c>
      <c r="D38" s="12">
        <v>46229</v>
      </c>
      <c r="E38" t="s">
        <v>134</v>
      </c>
      <c r="F38" t="s">
        <v>73</v>
      </c>
      <c r="G38">
        <v>10.972274579690298</v>
      </c>
      <c r="H38">
        <v>10.45</v>
      </c>
      <c r="I38">
        <v>20</v>
      </c>
      <c r="K38">
        <v>10.45</v>
      </c>
      <c r="L38">
        <v>46229</v>
      </c>
      <c r="M38" t="s">
        <v>223</v>
      </c>
      <c r="N38">
        <v>11</v>
      </c>
      <c r="O38">
        <v>0.95240051860741526</v>
      </c>
      <c r="P38">
        <v>0.95240051860741526</v>
      </c>
      <c r="Q38">
        <v>1.0025268616920162</v>
      </c>
      <c r="R38">
        <v>2.5268616920162135E-3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4.7599481392584742E-2</v>
      </c>
      <c r="AB38">
        <v>0</v>
      </c>
      <c r="AC38">
        <v>0</v>
      </c>
      <c r="AD38">
        <v>0</v>
      </c>
      <c r="AE38">
        <v>0</v>
      </c>
      <c r="AF38">
        <v>0.95240051860741526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1.0499784286784974</v>
      </c>
      <c r="AM38">
        <v>1.0499784286784974</v>
      </c>
      <c r="AN38">
        <v>1.0526315789473686</v>
      </c>
      <c r="AO38">
        <v>2.6531502688711406E-3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4.9978428678497444E-2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1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0.95</v>
      </c>
      <c r="BJ38">
        <v>0.95</v>
      </c>
      <c r="BK38">
        <v>0.99747950724457257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2.5204927554274281E-3</v>
      </c>
      <c r="BW38">
        <v>0</v>
      </c>
      <c r="BX38">
        <v>0</v>
      </c>
      <c r="BY38">
        <v>0</v>
      </c>
      <c r="BZ38">
        <v>0.95</v>
      </c>
      <c r="CA38">
        <v>0</v>
      </c>
      <c r="CB38">
        <v>0</v>
      </c>
      <c r="CC38">
        <v>0</v>
      </c>
      <c r="CD38">
        <v>0</v>
      </c>
      <c r="CE38">
        <v>0</v>
      </c>
    </row>
    <row r="39" spans="1:83" x14ac:dyDescent="0.25">
      <c r="A39" t="s">
        <v>128</v>
      </c>
      <c r="B39" t="s">
        <v>146</v>
      </c>
      <c r="C39" t="s">
        <v>72</v>
      </c>
      <c r="D39" s="12">
        <v>46229</v>
      </c>
      <c r="E39" t="s">
        <v>134</v>
      </c>
      <c r="F39" t="s">
        <v>73</v>
      </c>
      <c r="G39">
        <v>10.973885648639108</v>
      </c>
      <c r="H39">
        <v>1.9</v>
      </c>
      <c r="I39">
        <v>10</v>
      </c>
      <c r="J39">
        <v>1</v>
      </c>
      <c r="K39">
        <v>1.9</v>
      </c>
      <c r="L39">
        <v>46229</v>
      </c>
      <c r="M39" t="s">
        <v>223</v>
      </c>
      <c r="N39">
        <v>11</v>
      </c>
      <c r="O39">
        <v>0.1731383086022609</v>
      </c>
      <c r="P39">
        <v>0.1731383086022609</v>
      </c>
      <c r="Q39">
        <v>1.0023796813815105</v>
      </c>
      <c r="R39">
        <v>2.3796813815104567E-3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0.82686169139773913</v>
      </c>
      <c r="AB39">
        <v>0</v>
      </c>
      <c r="AC39">
        <v>0</v>
      </c>
      <c r="AD39">
        <v>0</v>
      </c>
      <c r="AE39">
        <v>0</v>
      </c>
      <c r="AF39">
        <v>0.1731383086022609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5.7757292887574252</v>
      </c>
      <c r="AM39">
        <v>5.7757292887574252</v>
      </c>
      <c r="AN39">
        <v>5.7894736842105265</v>
      </c>
      <c r="BE39">
        <v>0</v>
      </c>
      <c r="BF39">
        <v>0</v>
      </c>
      <c r="BG39">
        <v>0</v>
      </c>
      <c r="BI39">
        <v>0.17272727272727273</v>
      </c>
      <c r="BJ39">
        <v>0.17272727272727273</v>
      </c>
      <c r="BK39">
        <v>0.99762596805810067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2.374031941899335E-3</v>
      </c>
      <c r="BW39">
        <v>0</v>
      </c>
      <c r="BX39">
        <v>0</v>
      </c>
      <c r="BY39">
        <v>0</v>
      </c>
      <c r="BZ39">
        <v>0.17272727272727273</v>
      </c>
      <c r="CA39">
        <v>0</v>
      </c>
      <c r="CB39">
        <v>0</v>
      </c>
      <c r="CC39">
        <v>0</v>
      </c>
      <c r="CD39">
        <v>0</v>
      </c>
      <c r="CE39">
        <v>0</v>
      </c>
    </row>
    <row r="40" spans="1:83" x14ac:dyDescent="0.25">
      <c r="A40" t="s">
        <v>128</v>
      </c>
      <c r="B40" t="s">
        <v>145</v>
      </c>
      <c r="C40" t="s">
        <v>72</v>
      </c>
      <c r="D40" s="12">
        <v>46229</v>
      </c>
      <c r="E40" t="s">
        <v>134</v>
      </c>
      <c r="F40" t="s">
        <v>74</v>
      </c>
      <c r="G40">
        <v>4.220105607573192</v>
      </c>
      <c r="H40">
        <v>4.75</v>
      </c>
      <c r="I40">
        <v>20</v>
      </c>
      <c r="K40">
        <v>4.75</v>
      </c>
      <c r="L40">
        <v>46229</v>
      </c>
      <c r="M40" t="s">
        <v>222</v>
      </c>
      <c r="N40">
        <v>4.6875</v>
      </c>
      <c r="O40">
        <v>1.1255642492633089</v>
      </c>
      <c r="P40">
        <v>1.1255642492633089</v>
      </c>
      <c r="Q40">
        <v>1.1107541933519496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0.11075419335194958</v>
      </c>
      <c r="Y40">
        <v>0</v>
      </c>
      <c r="Z40">
        <v>1.481005591135931E-2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1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0.88844328580488252</v>
      </c>
      <c r="AM40">
        <v>0.88844328580488252</v>
      </c>
      <c r="AN40">
        <v>0.98684210526315785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1.3157894736842146E-2</v>
      </c>
      <c r="AZ40">
        <v>0</v>
      </c>
      <c r="BA40">
        <v>0</v>
      </c>
      <c r="BB40">
        <v>0</v>
      </c>
      <c r="BC40">
        <v>0.88844328580488252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1.0133333333333334</v>
      </c>
      <c r="BJ40">
        <v>1.0133333333333334</v>
      </c>
      <c r="BK40">
        <v>0.90028919628228099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1.3333333333333419E-2</v>
      </c>
      <c r="BU40">
        <v>0</v>
      </c>
      <c r="BV40">
        <v>0</v>
      </c>
      <c r="BW40">
        <v>0</v>
      </c>
      <c r="BX40">
        <v>9.971080371771901E-2</v>
      </c>
      <c r="BY40">
        <v>0</v>
      </c>
      <c r="BZ40">
        <v>0.90028919628228099</v>
      </c>
      <c r="CA40">
        <v>0</v>
      </c>
      <c r="CB40">
        <v>0</v>
      </c>
      <c r="CC40">
        <v>0</v>
      </c>
      <c r="CD40">
        <v>0</v>
      </c>
      <c r="CE40">
        <v>0</v>
      </c>
    </row>
    <row r="41" spans="1:83" x14ac:dyDescent="0.25">
      <c r="A41" t="s">
        <v>128</v>
      </c>
      <c r="B41" t="s">
        <v>146</v>
      </c>
      <c r="C41" t="s">
        <v>72</v>
      </c>
      <c r="D41" s="12">
        <v>46229</v>
      </c>
      <c r="E41" t="s">
        <v>134</v>
      </c>
      <c r="F41" t="s">
        <v>74</v>
      </c>
      <c r="G41">
        <v>4.2207252494765797</v>
      </c>
      <c r="H41">
        <v>0.95</v>
      </c>
      <c r="I41">
        <v>10</v>
      </c>
      <c r="J41">
        <v>1</v>
      </c>
      <c r="K41">
        <v>0.95</v>
      </c>
      <c r="L41">
        <v>46229</v>
      </c>
      <c r="M41" t="s">
        <v>222</v>
      </c>
      <c r="N41">
        <v>4.6875</v>
      </c>
      <c r="O41">
        <v>0.22507980118293919</v>
      </c>
      <c r="P41">
        <v>0.22507980118293919</v>
      </c>
      <c r="Q41">
        <v>1.1105911242579236</v>
      </c>
      <c r="R41">
        <v>0.11059112425792361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0.77492019881706087</v>
      </c>
      <c r="AB41">
        <v>0</v>
      </c>
      <c r="AC41">
        <v>0</v>
      </c>
      <c r="AD41">
        <v>0</v>
      </c>
      <c r="AE41">
        <v>0</v>
      </c>
      <c r="AF41">
        <v>0.22507980118293919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4.4428686836595581</v>
      </c>
      <c r="AM41">
        <v>4.4428686836595581</v>
      </c>
      <c r="AN41">
        <v>4.9342105263157894</v>
      </c>
      <c r="BE41">
        <v>0</v>
      </c>
      <c r="BF41">
        <v>0</v>
      </c>
      <c r="BG41">
        <v>0</v>
      </c>
      <c r="BI41">
        <v>0.20266666666666666</v>
      </c>
      <c r="BJ41">
        <v>0.20266666666666666</v>
      </c>
      <c r="BK41">
        <v>0.9004213865550037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9.95786134449963E-2</v>
      </c>
      <c r="BW41">
        <v>0</v>
      </c>
      <c r="BX41">
        <v>0</v>
      </c>
      <c r="BY41">
        <v>0</v>
      </c>
      <c r="BZ41">
        <v>0.20266666666666666</v>
      </c>
      <c r="CA41">
        <v>0</v>
      </c>
      <c r="CB41">
        <v>0</v>
      </c>
      <c r="CC41">
        <v>0</v>
      </c>
      <c r="CD41">
        <v>0</v>
      </c>
      <c r="CE41">
        <v>0</v>
      </c>
    </row>
    <row r="42" spans="1:83" x14ac:dyDescent="0.25">
      <c r="A42" t="s">
        <v>128</v>
      </c>
      <c r="B42" t="s">
        <v>145</v>
      </c>
      <c r="C42" t="s">
        <v>72</v>
      </c>
      <c r="D42" s="12">
        <v>46229</v>
      </c>
      <c r="E42" t="s">
        <v>134</v>
      </c>
      <c r="F42" t="s">
        <v>75</v>
      </c>
      <c r="G42">
        <v>11.816295701204934</v>
      </c>
      <c r="H42">
        <v>11.4</v>
      </c>
      <c r="I42">
        <v>20</v>
      </c>
      <c r="K42">
        <v>11.4</v>
      </c>
      <c r="L42">
        <v>46229</v>
      </c>
      <c r="M42" t="s">
        <v>221</v>
      </c>
      <c r="N42">
        <v>11.994791666666666</v>
      </c>
      <c r="O42">
        <v>0.96476935651140783</v>
      </c>
      <c r="P42">
        <v>0.96476935651140783</v>
      </c>
      <c r="Q42">
        <v>1.0151059155910875</v>
      </c>
      <c r="R42">
        <v>1.5105915591087538E-2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3.5230643488592173E-2</v>
      </c>
      <c r="AB42">
        <v>0</v>
      </c>
      <c r="AC42">
        <v>0</v>
      </c>
      <c r="AD42">
        <v>0</v>
      </c>
      <c r="AE42">
        <v>0</v>
      </c>
      <c r="AF42">
        <v>0.96476935651140783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1.0365171667723627</v>
      </c>
      <c r="AM42">
        <v>1.0365171667723627</v>
      </c>
      <c r="AN42">
        <v>1.0521747076023393</v>
      </c>
      <c r="AO42">
        <v>1.5657540829976613E-2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3.6517166772362719E-2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0.95041250542770295</v>
      </c>
      <c r="BJ42">
        <v>0.95041250542770295</v>
      </c>
      <c r="BK42">
        <v>0.9851188773909455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1.4881122609054498E-2</v>
      </c>
      <c r="BW42">
        <v>0</v>
      </c>
      <c r="BX42">
        <v>0</v>
      </c>
      <c r="BY42">
        <v>0</v>
      </c>
      <c r="BZ42">
        <v>0.95041250542770295</v>
      </c>
      <c r="CA42">
        <v>0</v>
      </c>
      <c r="CB42">
        <v>0</v>
      </c>
      <c r="CC42">
        <v>0</v>
      </c>
      <c r="CD42">
        <v>0</v>
      </c>
      <c r="CE42">
        <v>0</v>
      </c>
    </row>
    <row r="43" spans="1:83" x14ac:dyDescent="0.25">
      <c r="A43" t="s">
        <v>128</v>
      </c>
      <c r="B43" t="s">
        <v>146</v>
      </c>
      <c r="C43" t="s">
        <v>72</v>
      </c>
      <c r="D43" s="12">
        <v>46229</v>
      </c>
      <c r="E43" t="s">
        <v>134</v>
      </c>
      <c r="F43" t="s">
        <v>75</v>
      </c>
      <c r="G43">
        <v>11.818030698534422</v>
      </c>
      <c r="H43">
        <v>5.6999999999999993</v>
      </c>
      <c r="I43">
        <v>10</v>
      </c>
      <c r="J43">
        <v>1</v>
      </c>
      <c r="K43">
        <v>5.6999999999999993</v>
      </c>
      <c r="L43">
        <v>46229</v>
      </c>
      <c r="M43" t="s">
        <v>221</v>
      </c>
      <c r="N43">
        <v>11.994791666666666</v>
      </c>
      <c r="O43">
        <v>0.48231385967772683</v>
      </c>
      <c r="P43">
        <v>0.48231385967772683</v>
      </c>
      <c r="Q43">
        <v>1.0149568885579359</v>
      </c>
      <c r="R43">
        <v>1.4956888557935866E-2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0.51768614032227322</v>
      </c>
      <c r="AB43">
        <v>0</v>
      </c>
      <c r="AC43">
        <v>0</v>
      </c>
      <c r="AD43">
        <v>0</v>
      </c>
      <c r="AE43">
        <v>0</v>
      </c>
      <c r="AF43">
        <v>0.48231385967772683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2.0733387190411268</v>
      </c>
      <c r="AM43">
        <v>2.0733387190411268</v>
      </c>
      <c r="AN43">
        <v>2.1043494152046787</v>
      </c>
      <c r="BE43">
        <v>0</v>
      </c>
      <c r="BF43">
        <v>0</v>
      </c>
      <c r="BG43">
        <v>0</v>
      </c>
      <c r="BI43">
        <v>0.47520625271385147</v>
      </c>
      <c r="BJ43">
        <v>0.47520625271385147</v>
      </c>
      <c r="BK43">
        <v>0.98526352328207079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1.4736476717929214E-2</v>
      </c>
      <c r="BW43">
        <v>0</v>
      </c>
      <c r="BX43">
        <v>0</v>
      </c>
      <c r="BY43">
        <v>0</v>
      </c>
      <c r="BZ43">
        <v>0.47520625271385147</v>
      </c>
      <c r="CA43">
        <v>0</v>
      </c>
      <c r="CB43">
        <v>0</v>
      </c>
      <c r="CC43">
        <v>0</v>
      </c>
      <c r="CD43">
        <v>0</v>
      </c>
      <c r="CE43">
        <v>0</v>
      </c>
    </row>
    <row r="44" spans="1:83" x14ac:dyDescent="0.25">
      <c r="A44" t="s">
        <v>128</v>
      </c>
      <c r="B44" t="s">
        <v>145</v>
      </c>
      <c r="C44" t="s">
        <v>72</v>
      </c>
      <c r="D44" s="12">
        <v>46230</v>
      </c>
      <c r="E44" t="s">
        <v>134</v>
      </c>
      <c r="F44" t="s">
        <v>73</v>
      </c>
      <c r="G44">
        <v>11.872563775972576</v>
      </c>
      <c r="H44">
        <v>18.05</v>
      </c>
      <c r="I44">
        <v>20</v>
      </c>
      <c r="K44">
        <v>18.05</v>
      </c>
      <c r="L44">
        <v>46230</v>
      </c>
      <c r="M44" t="s">
        <v>220</v>
      </c>
      <c r="N44">
        <v>11.966666666666669</v>
      </c>
      <c r="O44">
        <v>1.5203119006637116</v>
      </c>
      <c r="P44">
        <v>1.5203119006637116</v>
      </c>
      <c r="Q44">
        <v>1.0079260800337444</v>
      </c>
      <c r="R44">
        <v>0</v>
      </c>
      <c r="S44">
        <v>0</v>
      </c>
      <c r="T44">
        <v>0.27031190066371158</v>
      </c>
      <c r="U44">
        <v>0</v>
      </c>
      <c r="V44">
        <v>0</v>
      </c>
      <c r="W44">
        <v>0</v>
      </c>
      <c r="X44">
        <v>7.9260800337443982E-3</v>
      </c>
      <c r="Y44">
        <v>0</v>
      </c>
      <c r="Z44">
        <v>0.2420739199662556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0.65775976598186014</v>
      </c>
      <c r="AM44">
        <v>0.65775976598186014</v>
      </c>
      <c r="AN44">
        <v>0.66297322253000934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0.33702677746999066</v>
      </c>
      <c r="AZ44">
        <v>0</v>
      </c>
      <c r="BA44">
        <v>0</v>
      </c>
      <c r="BB44">
        <v>0</v>
      </c>
      <c r="BC44">
        <v>0.65775976598186014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1.5083565459610027</v>
      </c>
      <c r="BJ44">
        <v>1.5083565459610027</v>
      </c>
      <c r="BK44">
        <v>0.99213624868851602</v>
      </c>
      <c r="CB44">
        <v>0</v>
      </c>
      <c r="CC44">
        <v>0</v>
      </c>
      <c r="CD44">
        <v>0</v>
      </c>
    </row>
    <row r="45" spans="1:83" x14ac:dyDescent="0.25">
      <c r="A45" t="s">
        <v>128</v>
      </c>
      <c r="B45" t="s">
        <v>146</v>
      </c>
      <c r="C45" t="s">
        <v>72</v>
      </c>
      <c r="D45" s="12">
        <v>46230</v>
      </c>
      <c r="E45" t="s">
        <v>134</v>
      </c>
      <c r="F45" t="s">
        <v>73</v>
      </c>
      <c r="G45">
        <v>11.870789764152878</v>
      </c>
      <c r="H45">
        <v>4.75</v>
      </c>
      <c r="I45">
        <v>10</v>
      </c>
      <c r="J45">
        <v>1</v>
      </c>
      <c r="K45">
        <v>4.75</v>
      </c>
      <c r="L45">
        <v>46230</v>
      </c>
      <c r="M45" t="s">
        <v>220</v>
      </c>
      <c r="N45">
        <v>11.966666666666669</v>
      </c>
      <c r="O45">
        <v>0.40014186876966978</v>
      </c>
      <c r="P45">
        <v>0.40014186876966978</v>
      </c>
      <c r="Q45">
        <v>1.0080767079881507</v>
      </c>
      <c r="R45">
        <v>8.0767079881507442E-3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0.59985813123033016</v>
      </c>
      <c r="AB45">
        <v>0</v>
      </c>
      <c r="AC45">
        <v>0</v>
      </c>
      <c r="AD45">
        <v>0</v>
      </c>
      <c r="AE45">
        <v>0</v>
      </c>
      <c r="AF45">
        <v>0.40014186876966978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2.4991136345585008</v>
      </c>
      <c r="AM45">
        <v>2.4991136345585008</v>
      </c>
      <c r="AN45">
        <v>2.5192982456140354</v>
      </c>
      <c r="BE45">
        <v>0</v>
      </c>
      <c r="BF45">
        <v>0</v>
      </c>
      <c r="BG45">
        <v>0</v>
      </c>
      <c r="BI45">
        <v>0.39693593314763226</v>
      </c>
      <c r="BJ45">
        <v>0.39693593314763226</v>
      </c>
      <c r="BK45">
        <v>0.99198800257544928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8.0119974245507208E-3</v>
      </c>
      <c r="BW45">
        <v>0</v>
      </c>
      <c r="BX45">
        <v>0</v>
      </c>
      <c r="BY45">
        <v>0</v>
      </c>
      <c r="BZ45">
        <v>0.39693593314763226</v>
      </c>
      <c r="CA45">
        <v>0</v>
      </c>
      <c r="CB45">
        <v>0</v>
      </c>
      <c r="CC45">
        <v>0</v>
      </c>
      <c r="CD45">
        <v>0</v>
      </c>
      <c r="CE45">
        <v>0</v>
      </c>
    </row>
    <row r="46" spans="1:83" x14ac:dyDescent="0.25">
      <c r="A46" t="s">
        <v>128</v>
      </c>
      <c r="B46" t="s">
        <v>146</v>
      </c>
      <c r="C46" t="s">
        <v>72</v>
      </c>
      <c r="D46" s="12">
        <v>46230</v>
      </c>
      <c r="E46" t="s">
        <v>134</v>
      </c>
      <c r="F46" t="s">
        <v>74</v>
      </c>
      <c r="G46">
        <v>4.2207252494765797</v>
      </c>
      <c r="H46">
        <v>0</v>
      </c>
      <c r="I46">
        <v>10</v>
      </c>
      <c r="J46">
        <v>1</v>
      </c>
      <c r="K46">
        <v>0</v>
      </c>
      <c r="L46">
        <v>46230</v>
      </c>
      <c r="M46" t="s">
        <v>219</v>
      </c>
      <c r="N46">
        <v>4.6875</v>
      </c>
      <c r="O46">
        <v>0</v>
      </c>
      <c r="P46">
        <v>0</v>
      </c>
      <c r="Q46">
        <v>1.1105911242579236</v>
      </c>
      <c r="R46">
        <v>0.11059112425792361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1</v>
      </c>
      <c r="AK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1</v>
      </c>
      <c r="BH46">
        <v>1</v>
      </c>
      <c r="BI46">
        <v>0</v>
      </c>
      <c r="BJ46">
        <v>0</v>
      </c>
      <c r="BK46">
        <v>0.9004213865550037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9.95786134449963E-2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0.9004213865550037</v>
      </c>
      <c r="CE46">
        <v>0</v>
      </c>
    </row>
    <row r="47" spans="1:83" x14ac:dyDescent="0.25">
      <c r="A47" t="s">
        <v>128</v>
      </c>
      <c r="B47" t="s">
        <v>145</v>
      </c>
      <c r="C47" t="s">
        <v>72</v>
      </c>
      <c r="D47" s="12">
        <v>46230</v>
      </c>
      <c r="E47" t="s">
        <v>134</v>
      </c>
      <c r="F47" t="s">
        <v>74</v>
      </c>
      <c r="G47">
        <v>4.220105607573192</v>
      </c>
      <c r="H47">
        <v>4.75</v>
      </c>
      <c r="I47">
        <v>20</v>
      </c>
      <c r="K47">
        <v>4.75</v>
      </c>
      <c r="L47">
        <v>46230</v>
      </c>
      <c r="M47" t="s">
        <v>219</v>
      </c>
      <c r="N47">
        <v>4.6875</v>
      </c>
      <c r="O47">
        <v>1.1255642492633089</v>
      </c>
      <c r="P47">
        <v>1.1255642492633089</v>
      </c>
      <c r="Q47">
        <v>1.1107541933519496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0.11075419335194958</v>
      </c>
      <c r="Y47">
        <v>0</v>
      </c>
      <c r="Z47">
        <v>1.481005591135931E-2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0.88844328580488252</v>
      </c>
      <c r="AM47">
        <v>0.88844328580488252</v>
      </c>
      <c r="AN47">
        <v>0.98684210526315785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1.3157894736842146E-2</v>
      </c>
      <c r="AZ47">
        <v>0</v>
      </c>
      <c r="BA47">
        <v>0</v>
      </c>
      <c r="BB47">
        <v>0</v>
      </c>
      <c r="BC47">
        <v>0.88844328580488252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1.0133333333333334</v>
      </c>
      <c r="BJ47">
        <v>1.0133333333333334</v>
      </c>
      <c r="BK47">
        <v>0.90028919628228099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1.3333333333333419E-2</v>
      </c>
      <c r="BU47">
        <v>0</v>
      </c>
      <c r="BV47">
        <v>0</v>
      </c>
      <c r="BW47">
        <v>0</v>
      </c>
      <c r="BX47">
        <v>9.971080371771901E-2</v>
      </c>
      <c r="BY47">
        <v>0</v>
      </c>
      <c r="BZ47">
        <v>0.90028919628228099</v>
      </c>
      <c r="CA47">
        <v>0</v>
      </c>
      <c r="CB47">
        <v>0</v>
      </c>
      <c r="CC47">
        <v>0</v>
      </c>
      <c r="CD47">
        <v>0</v>
      </c>
      <c r="CE47">
        <v>0</v>
      </c>
    </row>
    <row r="48" spans="1:83" x14ac:dyDescent="0.25">
      <c r="A48" t="s">
        <v>128</v>
      </c>
      <c r="B48" t="s">
        <v>145</v>
      </c>
      <c r="C48" t="s">
        <v>72</v>
      </c>
      <c r="D48" s="12">
        <v>46230</v>
      </c>
      <c r="E48" t="s">
        <v>134</v>
      </c>
      <c r="F48" t="s">
        <v>75</v>
      </c>
      <c r="G48">
        <v>10.972274579690296</v>
      </c>
      <c r="H48">
        <v>10.45</v>
      </c>
      <c r="I48">
        <v>20</v>
      </c>
      <c r="K48">
        <v>10.45</v>
      </c>
      <c r="L48">
        <v>46230</v>
      </c>
      <c r="M48" t="s">
        <v>218</v>
      </c>
      <c r="N48">
        <v>10.955208333333331</v>
      </c>
      <c r="O48">
        <v>0.95240051860741537</v>
      </c>
      <c r="P48">
        <v>0.95240051860741537</v>
      </c>
      <c r="Q48">
        <v>0.99844460269080815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4.6044084083392778E-2</v>
      </c>
      <c r="AB48">
        <v>1.5553973091918527E-3</v>
      </c>
      <c r="AC48">
        <v>0</v>
      </c>
      <c r="AD48">
        <v>0</v>
      </c>
      <c r="AE48">
        <v>0</v>
      </c>
      <c r="AF48">
        <v>0.95240051860741537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1.0499784286784972</v>
      </c>
      <c r="AM48">
        <v>1.0499784286784972</v>
      </c>
      <c r="AN48">
        <v>1.0483452950558212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4.8345295055821191E-2</v>
      </c>
      <c r="AV48">
        <v>0</v>
      </c>
      <c r="AW48">
        <v>1.6331336226760307E-3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0.95388418750594284</v>
      </c>
      <c r="BJ48">
        <v>0.95388418750594284</v>
      </c>
      <c r="BK48">
        <v>1.001557820338755</v>
      </c>
      <c r="BL48">
        <v>1.5578203387549561E-3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4.7599481392584631E-2</v>
      </c>
      <c r="BV48">
        <v>0</v>
      </c>
      <c r="BW48">
        <v>0</v>
      </c>
      <c r="BX48">
        <v>0</v>
      </c>
      <c r="BY48">
        <v>0</v>
      </c>
      <c r="BZ48">
        <v>0.95388418750594284</v>
      </c>
      <c r="CA48">
        <v>0</v>
      </c>
      <c r="CB48">
        <v>0</v>
      </c>
      <c r="CC48">
        <v>0</v>
      </c>
      <c r="CD48">
        <v>0</v>
      </c>
      <c r="CE48">
        <v>0</v>
      </c>
    </row>
    <row r="49" spans="1:83" x14ac:dyDescent="0.25">
      <c r="A49" t="s">
        <v>128</v>
      </c>
      <c r="B49" t="s">
        <v>146</v>
      </c>
      <c r="C49" t="s">
        <v>72</v>
      </c>
      <c r="D49" s="12">
        <v>46230</v>
      </c>
      <c r="E49" t="s">
        <v>134</v>
      </c>
      <c r="F49" t="s">
        <v>75</v>
      </c>
      <c r="G49">
        <v>10.973885648639106</v>
      </c>
      <c r="H49">
        <v>0.95</v>
      </c>
      <c r="I49">
        <v>10</v>
      </c>
      <c r="J49">
        <v>1</v>
      </c>
      <c r="K49">
        <v>0.95</v>
      </c>
      <c r="L49">
        <v>46230</v>
      </c>
      <c r="M49" t="s">
        <v>218</v>
      </c>
      <c r="N49">
        <v>10.955208333333331</v>
      </c>
      <c r="O49">
        <v>8.6569154301130463E-2</v>
      </c>
      <c r="P49">
        <v>8.6569154301130463E-2</v>
      </c>
      <c r="Q49">
        <v>0.99829802169406689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0.91172886739293646</v>
      </c>
      <c r="AB49">
        <v>1.7019783059331051E-3</v>
      </c>
      <c r="AC49">
        <v>0</v>
      </c>
      <c r="AD49">
        <v>0</v>
      </c>
      <c r="AE49">
        <v>0</v>
      </c>
      <c r="AF49">
        <v>8.6569154301130463E-2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11.551458577514849</v>
      </c>
      <c r="AM49">
        <v>11.551458577514849</v>
      </c>
      <c r="AN49">
        <v>11.531798245614034</v>
      </c>
      <c r="BE49">
        <v>0</v>
      </c>
      <c r="BF49">
        <v>0</v>
      </c>
      <c r="BG49">
        <v>0</v>
      </c>
      <c r="BI49">
        <v>8.6716744318722075E-2</v>
      </c>
      <c r="BJ49">
        <v>8.6716744318722075E-2</v>
      </c>
      <c r="BK49">
        <v>1.0017048799746642</v>
      </c>
      <c r="BL49">
        <v>1.7048799746641752E-3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0.91343084569886956</v>
      </c>
      <c r="BV49">
        <v>0</v>
      </c>
      <c r="BW49">
        <v>0</v>
      </c>
      <c r="BX49">
        <v>0</v>
      </c>
      <c r="BY49">
        <v>0</v>
      </c>
      <c r="BZ49">
        <v>8.6716744318722075E-2</v>
      </c>
      <c r="CA49">
        <v>0</v>
      </c>
      <c r="CB49">
        <v>0</v>
      </c>
      <c r="CC49">
        <v>0</v>
      </c>
      <c r="CD49">
        <v>0</v>
      </c>
      <c r="CE49">
        <v>0</v>
      </c>
    </row>
    <row r="50" spans="1:83" x14ac:dyDescent="0.25">
      <c r="A50" t="s">
        <v>128</v>
      </c>
      <c r="B50" t="s">
        <v>146</v>
      </c>
      <c r="C50" t="s">
        <v>72</v>
      </c>
      <c r="D50" s="12">
        <v>46231</v>
      </c>
      <c r="E50" t="s">
        <v>134</v>
      </c>
      <c r="F50" t="s">
        <v>73</v>
      </c>
      <c r="G50">
        <v>11.738892100106735</v>
      </c>
      <c r="H50">
        <v>3.8</v>
      </c>
      <c r="I50">
        <v>10</v>
      </c>
      <c r="J50">
        <v>1</v>
      </c>
      <c r="K50">
        <v>3.8</v>
      </c>
      <c r="L50">
        <v>46231</v>
      </c>
      <c r="M50" t="s">
        <v>217</v>
      </c>
      <c r="N50">
        <v>9.5187500000000007</v>
      </c>
      <c r="O50">
        <v>0.32371027585860923</v>
      </c>
      <c r="P50">
        <v>0.32371027585860923</v>
      </c>
      <c r="Q50">
        <v>0.8108729442971413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0.48716266843853206</v>
      </c>
      <c r="AB50">
        <v>0.1891270557028587</v>
      </c>
      <c r="AC50">
        <v>0</v>
      </c>
      <c r="AD50">
        <v>0</v>
      </c>
      <c r="AE50">
        <v>0</v>
      </c>
      <c r="AF50">
        <v>0.32371027585860923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3.0891821316070356</v>
      </c>
      <c r="AM50">
        <v>3.0891821316070356</v>
      </c>
      <c r="AN50">
        <v>2.5049342105263159</v>
      </c>
      <c r="BE50">
        <v>0</v>
      </c>
      <c r="BF50">
        <v>0</v>
      </c>
      <c r="BG50">
        <v>0</v>
      </c>
      <c r="BI50">
        <v>0.39921208141825337</v>
      </c>
      <c r="BJ50">
        <v>0.39921208141825337</v>
      </c>
      <c r="BK50">
        <v>1.2332388286389215</v>
      </c>
      <c r="BL50">
        <v>0.23323882863892154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0.67628972414139077</v>
      </c>
      <c r="BV50">
        <v>0</v>
      </c>
      <c r="BW50">
        <v>0</v>
      </c>
      <c r="BX50">
        <v>0</v>
      </c>
      <c r="BY50">
        <v>0</v>
      </c>
      <c r="BZ50">
        <v>0.39921208141825337</v>
      </c>
      <c r="CA50">
        <v>0</v>
      </c>
      <c r="CB50">
        <v>0</v>
      </c>
      <c r="CC50">
        <v>0</v>
      </c>
      <c r="CD50">
        <v>0</v>
      </c>
      <c r="CE50">
        <v>0</v>
      </c>
    </row>
    <row r="51" spans="1:83" x14ac:dyDescent="0.25">
      <c r="A51" t="s">
        <v>128</v>
      </c>
      <c r="B51" t="s">
        <v>145</v>
      </c>
      <c r="C51" t="s">
        <v>72</v>
      </c>
      <c r="D51" s="12">
        <v>46231</v>
      </c>
      <c r="E51" t="s">
        <v>134</v>
      </c>
      <c r="F51" t="s">
        <v>73</v>
      </c>
      <c r="G51">
        <v>11.73189358905347</v>
      </c>
      <c r="H51">
        <v>17.099999999999998</v>
      </c>
      <c r="I51">
        <v>20</v>
      </c>
      <c r="K51">
        <v>17.099999999999998</v>
      </c>
      <c r="L51">
        <v>46231</v>
      </c>
      <c r="M51" t="s">
        <v>217</v>
      </c>
      <c r="N51">
        <v>9.5187500000000007</v>
      </c>
      <c r="O51">
        <v>1.45756521487335</v>
      </c>
      <c r="P51">
        <v>1.45756521487335</v>
      </c>
      <c r="Q51">
        <v>0.81135666017986563</v>
      </c>
      <c r="R51">
        <v>0</v>
      </c>
      <c r="S51">
        <v>0</v>
      </c>
      <c r="T51">
        <v>0.20756521487335</v>
      </c>
      <c r="U51">
        <v>0</v>
      </c>
      <c r="V51">
        <v>0</v>
      </c>
      <c r="W51">
        <v>0</v>
      </c>
      <c r="X51">
        <v>0</v>
      </c>
      <c r="Y51">
        <v>0</v>
      </c>
      <c r="Z51">
        <v>0.25</v>
      </c>
      <c r="AA51">
        <v>0</v>
      </c>
      <c r="AB51">
        <v>0</v>
      </c>
      <c r="AC51">
        <v>0</v>
      </c>
      <c r="AD51">
        <v>0.18864333982013437</v>
      </c>
      <c r="AE51">
        <v>0</v>
      </c>
      <c r="AF51">
        <v>0.81135666017986563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0.68607564848265912</v>
      </c>
      <c r="AM51">
        <v>0.68607564848265912</v>
      </c>
      <c r="AN51">
        <v>0.55665204678362579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0.31392435151734088</v>
      </c>
      <c r="AZ51">
        <v>0</v>
      </c>
      <c r="BA51">
        <v>0.12942360169903333</v>
      </c>
      <c r="BB51">
        <v>0</v>
      </c>
      <c r="BC51">
        <v>0.55665204678362579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1.7964543663821402</v>
      </c>
      <c r="BJ51">
        <v>1.7964543663821402</v>
      </c>
      <c r="BK51">
        <v>1.2325035943851315</v>
      </c>
      <c r="CB51">
        <v>0</v>
      </c>
      <c r="CC51">
        <v>0</v>
      </c>
      <c r="CD51">
        <v>0</v>
      </c>
    </row>
    <row r="52" spans="1:83" x14ac:dyDescent="0.25">
      <c r="A52" t="s">
        <v>128</v>
      </c>
      <c r="B52" t="s">
        <v>146</v>
      </c>
      <c r="C52" t="s">
        <v>72</v>
      </c>
      <c r="D52" s="12">
        <v>46231</v>
      </c>
      <c r="E52" t="s">
        <v>134</v>
      </c>
      <c r="F52" t="s">
        <v>74</v>
      </c>
      <c r="G52">
        <v>4.2207252494765797</v>
      </c>
      <c r="H52">
        <v>0</v>
      </c>
      <c r="I52">
        <v>10</v>
      </c>
      <c r="J52">
        <v>1</v>
      </c>
      <c r="K52">
        <v>0</v>
      </c>
      <c r="L52">
        <v>46231</v>
      </c>
      <c r="M52" t="s">
        <v>233</v>
      </c>
      <c r="N52">
        <v>4.6875</v>
      </c>
      <c r="O52">
        <v>0</v>
      </c>
      <c r="P52">
        <v>0</v>
      </c>
      <c r="Q52">
        <v>1.1105911242579236</v>
      </c>
      <c r="R52">
        <v>0.11059112425792361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1</v>
      </c>
      <c r="AK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1</v>
      </c>
      <c r="BH52">
        <v>1</v>
      </c>
      <c r="BI52">
        <v>0</v>
      </c>
      <c r="BJ52">
        <v>0</v>
      </c>
      <c r="BK52">
        <v>0.9004213865550037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9.95786134449963E-2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0.9004213865550037</v>
      </c>
      <c r="CE52">
        <v>0</v>
      </c>
    </row>
    <row r="53" spans="1:83" x14ac:dyDescent="0.25">
      <c r="A53" t="s">
        <v>128</v>
      </c>
      <c r="B53" t="s">
        <v>145</v>
      </c>
      <c r="C53" t="s">
        <v>72</v>
      </c>
      <c r="D53" s="12">
        <v>46231</v>
      </c>
      <c r="E53" t="s">
        <v>134</v>
      </c>
      <c r="F53" t="s">
        <v>74</v>
      </c>
      <c r="G53">
        <v>4.220105607573192</v>
      </c>
      <c r="H53">
        <v>3.8</v>
      </c>
      <c r="I53">
        <v>20</v>
      </c>
      <c r="K53">
        <v>3.8</v>
      </c>
      <c r="L53">
        <v>46231</v>
      </c>
      <c r="M53" t="s">
        <v>233</v>
      </c>
      <c r="N53">
        <v>4.6875</v>
      </c>
      <c r="O53">
        <v>0.90045139941064711</v>
      </c>
      <c r="P53">
        <v>0.90045139941064711</v>
      </c>
      <c r="Q53">
        <v>1.1107541933519496</v>
      </c>
      <c r="R53">
        <v>0.11075419335194958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9.9548600589352887E-2</v>
      </c>
      <c r="AB53">
        <v>0</v>
      </c>
      <c r="AC53">
        <v>0</v>
      </c>
      <c r="AD53">
        <v>0</v>
      </c>
      <c r="AE53">
        <v>0</v>
      </c>
      <c r="AF53">
        <v>0.90045139941064711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1.1105541072561032</v>
      </c>
      <c r="AM53">
        <v>1.1105541072561032</v>
      </c>
      <c r="AN53">
        <v>1.2335526315789473</v>
      </c>
      <c r="AO53">
        <v>0.12299852432284419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0.11055410725610315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1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0.81066666666666665</v>
      </c>
      <c r="BJ53">
        <v>0.81066666666666665</v>
      </c>
      <c r="BK53">
        <v>0.90028919628228099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9.971080371771901E-2</v>
      </c>
      <c r="BW53">
        <v>0</v>
      </c>
      <c r="BX53">
        <v>0</v>
      </c>
      <c r="BY53">
        <v>0</v>
      </c>
      <c r="BZ53">
        <v>0.81066666666666665</v>
      </c>
      <c r="CA53">
        <v>0</v>
      </c>
      <c r="CB53">
        <v>0</v>
      </c>
      <c r="CC53">
        <v>0</v>
      </c>
      <c r="CD53">
        <v>0</v>
      </c>
      <c r="CE53">
        <v>0</v>
      </c>
    </row>
    <row r="54" spans="1:83" x14ac:dyDescent="0.25">
      <c r="A54" t="s">
        <v>128</v>
      </c>
      <c r="B54" t="s">
        <v>146</v>
      </c>
      <c r="C54" t="s">
        <v>72</v>
      </c>
      <c r="D54" s="12">
        <v>46231</v>
      </c>
      <c r="E54" t="s">
        <v>134</v>
      </c>
      <c r="F54" t="s">
        <v>75</v>
      </c>
      <c r="G54">
        <v>10.973885648639106</v>
      </c>
      <c r="H54">
        <v>0.95</v>
      </c>
      <c r="I54">
        <v>10</v>
      </c>
      <c r="J54">
        <v>1</v>
      </c>
      <c r="K54">
        <v>0.95</v>
      </c>
      <c r="L54">
        <v>46231</v>
      </c>
      <c r="M54" t="s">
        <v>234</v>
      </c>
      <c r="N54">
        <v>11.262499999999999</v>
      </c>
      <c r="O54">
        <v>8.6569154301130463E-2</v>
      </c>
      <c r="P54">
        <v>8.6569154301130463E-2</v>
      </c>
      <c r="Q54">
        <v>1.0263001055962966</v>
      </c>
      <c r="R54">
        <v>2.6300105596296586E-2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0.91343084569886956</v>
      </c>
      <c r="AB54">
        <v>0</v>
      </c>
      <c r="AC54">
        <v>0</v>
      </c>
      <c r="AD54">
        <v>0</v>
      </c>
      <c r="AE54">
        <v>0</v>
      </c>
      <c r="AF54">
        <v>8.6569154301130463E-2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11.551458577514849</v>
      </c>
      <c r="AM54">
        <v>11.551458577514849</v>
      </c>
      <c r="AN54">
        <v>11.855263157894736</v>
      </c>
      <c r="BE54">
        <v>0</v>
      </c>
      <c r="BF54">
        <v>0</v>
      </c>
      <c r="BG54">
        <v>0</v>
      </c>
      <c r="BI54">
        <v>8.4350721420643732E-2</v>
      </c>
      <c r="BJ54">
        <v>8.4350721420643732E-2</v>
      </c>
      <c r="BK54">
        <v>0.97437386447406049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2.5626135525939508E-2</v>
      </c>
      <c r="BW54">
        <v>0</v>
      </c>
      <c r="BX54">
        <v>0</v>
      </c>
      <c r="BY54">
        <v>0</v>
      </c>
      <c r="BZ54">
        <v>8.4350721420643732E-2</v>
      </c>
      <c r="CA54">
        <v>0</v>
      </c>
      <c r="CB54">
        <v>0</v>
      </c>
      <c r="CC54">
        <v>0</v>
      </c>
      <c r="CD54">
        <v>0</v>
      </c>
      <c r="CE54">
        <v>0</v>
      </c>
    </row>
    <row r="55" spans="1:83" x14ac:dyDescent="0.25">
      <c r="A55" t="s">
        <v>128</v>
      </c>
      <c r="B55" t="s">
        <v>145</v>
      </c>
      <c r="C55" t="s">
        <v>72</v>
      </c>
      <c r="D55" s="12">
        <v>46231</v>
      </c>
      <c r="E55" t="s">
        <v>134</v>
      </c>
      <c r="F55" t="s">
        <v>75</v>
      </c>
      <c r="G55">
        <v>10.972274579690296</v>
      </c>
      <c r="H55">
        <v>10.45</v>
      </c>
      <c r="I55">
        <v>20</v>
      </c>
      <c r="K55">
        <v>10.45</v>
      </c>
      <c r="L55">
        <v>46231</v>
      </c>
      <c r="M55" t="s">
        <v>234</v>
      </c>
      <c r="N55">
        <v>11.262499999999999</v>
      </c>
      <c r="O55">
        <v>0.95240051860741537</v>
      </c>
      <c r="P55">
        <v>0.95240051860741537</v>
      </c>
      <c r="Q55">
        <v>1.0264507981642121</v>
      </c>
      <c r="R55">
        <v>2.6450798164212141E-2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4.7599481392584631E-2</v>
      </c>
      <c r="AB55">
        <v>0</v>
      </c>
      <c r="AC55">
        <v>0</v>
      </c>
      <c r="AD55">
        <v>0</v>
      </c>
      <c r="AE55">
        <v>0</v>
      </c>
      <c r="AF55">
        <v>0.95240051860741537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1.0499784286784972</v>
      </c>
      <c r="AM55">
        <v>1.0499784286784972</v>
      </c>
      <c r="AN55">
        <v>1.0777511961722488</v>
      </c>
      <c r="AO55">
        <v>2.7772767493751571E-2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4.9978428678497222E-2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1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0.92785793562708097</v>
      </c>
      <c r="BJ55">
        <v>0.92785793562708097</v>
      </c>
      <c r="BK55">
        <v>0.97423081728659688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2.5769182713403116E-2</v>
      </c>
      <c r="BW55">
        <v>0</v>
      </c>
      <c r="BX55">
        <v>0</v>
      </c>
      <c r="BY55">
        <v>0</v>
      </c>
      <c r="BZ55">
        <v>0.92785793562708097</v>
      </c>
      <c r="CA55">
        <v>0</v>
      </c>
      <c r="CB55">
        <v>0</v>
      </c>
      <c r="CC55">
        <v>0</v>
      </c>
      <c r="CD55">
        <v>0</v>
      </c>
      <c r="CE55">
        <v>0</v>
      </c>
    </row>
    <row r="56" spans="1:83" x14ac:dyDescent="0.25">
      <c r="A56" t="s">
        <v>128</v>
      </c>
      <c r="B56" t="s">
        <v>146</v>
      </c>
      <c r="C56" t="s">
        <v>72</v>
      </c>
      <c r="D56" s="12">
        <v>46232</v>
      </c>
      <c r="E56" t="s">
        <v>134</v>
      </c>
      <c r="F56" t="s">
        <v>73</v>
      </c>
      <c r="G56">
        <v>12.583037150002054</v>
      </c>
      <c r="H56">
        <v>2.8499999999999996</v>
      </c>
      <c r="I56">
        <v>10</v>
      </c>
      <c r="J56">
        <v>1</v>
      </c>
      <c r="K56">
        <v>2.8499999999999996</v>
      </c>
      <c r="L56">
        <v>46232</v>
      </c>
      <c r="M56" t="s">
        <v>241</v>
      </c>
      <c r="N56">
        <v>12.652573529411764</v>
      </c>
      <c r="O56">
        <v>0.22649539741679411</v>
      </c>
      <c r="P56">
        <v>0.22649539741679411</v>
      </c>
      <c r="Q56">
        <v>1.0055261999611675</v>
      </c>
      <c r="R56">
        <v>5.5261999611675439E-3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0.77350460258320586</v>
      </c>
      <c r="AB56">
        <v>0</v>
      </c>
      <c r="AC56">
        <v>0</v>
      </c>
      <c r="AD56">
        <v>0</v>
      </c>
      <c r="AE56">
        <v>0</v>
      </c>
      <c r="AF56">
        <v>0.22649539741679411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4.4151007543866863</v>
      </c>
      <c r="AM56">
        <v>4.4151007543866863</v>
      </c>
      <c r="AN56">
        <v>4.4394994840041289</v>
      </c>
      <c r="BE56">
        <v>0</v>
      </c>
      <c r="BF56">
        <v>0</v>
      </c>
      <c r="BG56">
        <v>0</v>
      </c>
      <c r="BI56">
        <v>0.2252506174633154</v>
      </c>
      <c r="BJ56">
        <v>0.2252506174633154</v>
      </c>
      <c r="BK56">
        <v>0.99450417108835065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5.4958289116493475E-3</v>
      </c>
      <c r="BW56">
        <v>0</v>
      </c>
      <c r="BX56">
        <v>0</v>
      </c>
      <c r="BY56">
        <v>0</v>
      </c>
      <c r="BZ56">
        <v>0.2252506174633154</v>
      </c>
      <c r="CA56">
        <v>0</v>
      </c>
      <c r="CB56">
        <v>0</v>
      </c>
      <c r="CC56">
        <v>0</v>
      </c>
      <c r="CD56">
        <v>0</v>
      </c>
      <c r="CE56">
        <v>0</v>
      </c>
    </row>
    <row r="57" spans="1:83" x14ac:dyDescent="0.25">
      <c r="A57" t="s">
        <v>128</v>
      </c>
      <c r="B57" t="s">
        <v>145</v>
      </c>
      <c r="C57" t="s">
        <v>72</v>
      </c>
      <c r="D57" s="12">
        <v>46232</v>
      </c>
      <c r="E57" t="s">
        <v>134</v>
      </c>
      <c r="F57" t="s">
        <v>73</v>
      </c>
      <c r="G57">
        <v>12.57591471056811</v>
      </c>
      <c r="H57">
        <v>18.05</v>
      </c>
      <c r="I57">
        <v>20</v>
      </c>
      <c r="K57">
        <v>18.05</v>
      </c>
      <c r="L57">
        <v>46232</v>
      </c>
      <c r="M57" t="s">
        <v>241</v>
      </c>
      <c r="N57">
        <v>12.652573529411764</v>
      </c>
      <c r="O57">
        <v>1.4352832708726762</v>
      </c>
      <c r="P57">
        <v>1.4352832708726762</v>
      </c>
      <c r="Q57">
        <v>1.0060956853324741</v>
      </c>
      <c r="R57">
        <v>0</v>
      </c>
      <c r="S57">
        <v>0</v>
      </c>
      <c r="T57">
        <v>0.18528327087267615</v>
      </c>
      <c r="U57">
        <v>0</v>
      </c>
      <c r="V57">
        <v>0</v>
      </c>
      <c r="W57">
        <v>0</v>
      </c>
      <c r="X57">
        <v>6.0956853324740656E-3</v>
      </c>
      <c r="Y57">
        <v>0</v>
      </c>
      <c r="Z57">
        <v>0.24390431466752593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0.69672657676277616</v>
      </c>
      <c r="AM57">
        <v>0.69672657676277616</v>
      </c>
      <c r="AN57">
        <v>0.70097360273749387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0.29902639726250613</v>
      </c>
      <c r="AZ57">
        <v>0</v>
      </c>
      <c r="BA57">
        <v>0</v>
      </c>
      <c r="BB57">
        <v>0</v>
      </c>
      <c r="BC57">
        <v>0.69672657676277616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1.426587243934331</v>
      </c>
      <c r="BJ57">
        <v>1.426587243934331</v>
      </c>
      <c r="BK57">
        <v>0.99394124691981001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0.42658724393433101</v>
      </c>
      <c r="BU57">
        <v>0</v>
      </c>
      <c r="BV57">
        <v>0</v>
      </c>
      <c r="BW57">
        <v>0</v>
      </c>
      <c r="BX57">
        <v>6.0587530801899936E-3</v>
      </c>
      <c r="BY57">
        <v>0</v>
      </c>
      <c r="BZ57">
        <v>0.99394124691981001</v>
      </c>
      <c r="CA57">
        <v>0</v>
      </c>
      <c r="CB57">
        <v>0</v>
      </c>
      <c r="CC57">
        <v>0</v>
      </c>
      <c r="CD57">
        <v>0</v>
      </c>
      <c r="CE57">
        <v>0</v>
      </c>
    </row>
    <row r="58" spans="1:83" x14ac:dyDescent="0.25">
      <c r="A58" t="s">
        <v>128</v>
      </c>
      <c r="B58" t="s">
        <v>145</v>
      </c>
      <c r="C58" t="s">
        <v>72</v>
      </c>
      <c r="D58" s="12">
        <v>46232</v>
      </c>
      <c r="E58" t="s">
        <v>134</v>
      </c>
      <c r="F58" t="s">
        <v>74</v>
      </c>
      <c r="G58">
        <v>4.220105607573192</v>
      </c>
      <c r="H58">
        <v>3.8</v>
      </c>
      <c r="I58">
        <v>20</v>
      </c>
      <c r="K58">
        <v>3.8</v>
      </c>
      <c r="L58">
        <v>46232</v>
      </c>
      <c r="M58" t="s">
        <v>240</v>
      </c>
      <c r="N58">
        <v>4.6875</v>
      </c>
      <c r="O58">
        <v>0.90045139941064711</v>
      </c>
      <c r="P58">
        <v>0.90045139941064711</v>
      </c>
      <c r="Q58">
        <v>1.1107541933519496</v>
      </c>
      <c r="R58">
        <v>0.11075419335194958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9.9548600589352887E-2</v>
      </c>
      <c r="AB58">
        <v>0</v>
      </c>
      <c r="AC58">
        <v>0</v>
      </c>
      <c r="AD58">
        <v>0</v>
      </c>
      <c r="AE58">
        <v>0</v>
      </c>
      <c r="AF58">
        <v>0.90045139941064711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1.1105541072561032</v>
      </c>
      <c r="AM58">
        <v>1.1105541072561032</v>
      </c>
      <c r="AN58">
        <v>1.2335526315789473</v>
      </c>
      <c r="AO58">
        <v>0.12299852432284419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0.11055410725610315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1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0.81066666666666665</v>
      </c>
      <c r="BJ58">
        <v>0.81066666666666665</v>
      </c>
      <c r="BK58">
        <v>0.90028919628228099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9.971080371771901E-2</v>
      </c>
      <c r="BW58">
        <v>0</v>
      </c>
      <c r="BX58">
        <v>0</v>
      </c>
      <c r="BY58">
        <v>0</v>
      </c>
      <c r="BZ58">
        <v>0.81066666666666665</v>
      </c>
      <c r="CA58">
        <v>0</v>
      </c>
      <c r="CB58">
        <v>0</v>
      </c>
      <c r="CC58">
        <v>0</v>
      </c>
      <c r="CD58">
        <v>0</v>
      </c>
      <c r="CE58">
        <v>0</v>
      </c>
    </row>
    <row r="59" spans="1:83" x14ac:dyDescent="0.25">
      <c r="A59" t="s">
        <v>128</v>
      </c>
      <c r="B59" t="s">
        <v>146</v>
      </c>
      <c r="C59" t="s">
        <v>72</v>
      </c>
      <c r="D59" s="12">
        <v>46232</v>
      </c>
      <c r="E59" t="s">
        <v>134</v>
      </c>
      <c r="F59" t="s">
        <v>74</v>
      </c>
      <c r="G59">
        <v>4.2207252494765797</v>
      </c>
      <c r="H59">
        <v>2.8499999999999996</v>
      </c>
      <c r="I59">
        <v>10</v>
      </c>
      <c r="J59">
        <v>1</v>
      </c>
      <c r="K59">
        <v>2.8499999999999996</v>
      </c>
      <c r="L59">
        <v>46232</v>
      </c>
      <c r="M59" t="s">
        <v>240</v>
      </c>
      <c r="N59">
        <v>4.6875</v>
      </c>
      <c r="O59">
        <v>0.67523940354881751</v>
      </c>
      <c r="P59">
        <v>0.67523940354881751</v>
      </c>
      <c r="Q59">
        <v>1.1105911242579236</v>
      </c>
      <c r="R59">
        <v>0.11059112425792361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0.32476059645118249</v>
      </c>
      <c r="AB59">
        <v>0</v>
      </c>
      <c r="AC59">
        <v>0</v>
      </c>
      <c r="AD59">
        <v>0</v>
      </c>
      <c r="AE59">
        <v>0</v>
      </c>
      <c r="AF59">
        <v>0.67523940354881751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1.4809562278865194</v>
      </c>
      <c r="AM59">
        <v>1.4809562278865194</v>
      </c>
      <c r="AN59">
        <v>1.6447368421052633</v>
      </c>
      <c r="AO59">
        <v>0.1637806142187439</v>
      </c>
      <c r="AP59">
        <v>0</v>
      </c>
      <c r="AQ59">
        <v>0</v>
      </c>
      <c r="AR59">
        <v>0</v>
      </c>
      <c r="AS59">
        <v>0</v>
      </c>
      <c r="AT59">
        <v>1.9043772113480628E-2</v>
      </c>
      <c r="AU59">
        <v>0.48095622788651937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0.60799999999999987</v>
      </c>
      <c r="BJ59">
        <v>0.60799999999999987</v>
      </c>
      <c r="BK59">
        <v>0.9004213865550037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9.95786134449963E-2</v>
      </c>
      <c r="BW59">
        <v>0</v>
      </c>
      <c r="BX59">
        <v>0</v>
      </c>
      <c r="BY59">
        <v>0</v>
      </c>
      <c r="BZ59">
        <v>0.60799999999999987</v>
      </c>
      <c r="CA59">
        <v>0</v>
      </c>
      <c r="CB59">
        <v>0</v>
      </c>
      <c r="CC59">
        <v>0</v>
      </c>
      <c r="CD59">
        <v>0</v>
      </c>
      <c r="CE59">
        <v>0</v>
      </c>
    </row>
    <row r="60" spans="1:83" x14ac:dyDescent="0.25">
      <c r="A60" t="s">
        <v>128</v>
      </c>
      <c r="B60" t="s">
        <v>145</v>
      </c>
      <c r="C60" t="s">
        <v>72</v>
      </c>
      <c r="D60" s="12">
        <v>46232</v>
      </c>
      <c r="E60" t="s">
        <v>134</v>
      </c>
      <c r="F60" t="s">
        <v>75</v>
      </c>
      <c r="G60">
        <v>10.80347035538737</v>
      </c>
      <c r="H60">
        <v>10.45</v>
      </c>
      <c r="I60">
        <v>20</v>
      </c>
      <c r="K60">
        <v>10.45</v>
      </c>
      <c r="L60">
        <v>46232</v>
      </c>
      <c r="M60" t="s">
        <v>239</v>
      </c>
      <c r="N60">
        <v>11.253676470588236</v>
      </c>
      <c r="O60">
        <v>0.96728177671065618</v>
      </c>
      <c r="P60">
        <v>0.96728177671065618</v>
      </c>
      <c r="Q60">
        <v>1.0416723608610043</v>
      </c>
      <c r="R60">
        <v>4.1672360861004343E-2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3.2718223289343817E-2</v>
      </c>
      <c r="AB60">
        <v>0</v>
      </c>
      <c r="AC60">
        <v>0</v>
      </c>
      <c r="AD60">
        <v>0</v>
      </c>
      <c r="AE60">
        <v>0</v>
      </c>
      <c r="AF60">
        <v>0.96728177671065618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1.033824914391136</v>
      </c>
      <c r="AM60">
        <v>1.033824914391136</v>
      </c>
      <c r="AN60">
        <v>1.0769068392907404</v>
      </c>
      <c r="AO60">
        <v>4.3081924899604385E-2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3.3824914391135996E-2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0.92858542959817048</v>
      </c>
      <c r="BJ60">
        <v>0.92858542959817048</v>
      </c>
      <c r="BK60">
        <v>0.95999475225918474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4.0005247740815264E-2</v>
      </c>
      <c r="BW60">
        <v>0</v>
      </c>
      <c r="BX60">
        <v>0</v>
      </c>
      <c r="BY60">
        <v>0</v>
      </c>
      <c r="BZ60">
        <v>0.92858542959817048</v>
      </c>
      <c r="CA60">
        <v>0</v>
      </c>
      <c r="CB60">
        <v>0</v>
      </c>
      <c r="CC60">
        <v>0</v>
      </c>
      <c r="CD60">
        <v>0</v>
      </c>
      <c r="CE60">
        <v>0</v>
      </c>
    </row>
    <row r="61" spans="1:83" x14ac:dyDescent="0.25">
      <c r="A61" t="s">
        <v>128</v>
      </c>
      <c r="B61" t="s">
        <v>146</v>
      </c>
      <c r="C61" t="s">
        <v>72</v>
      </c>
      <c r="D61" s="12">
        <v>46232</v>
      </c>
      <c r="E61" t="s">
        <v>134</v>
      </c>
      <c r="F61" t="s">
        <v>75</v>
      </c>
      <c r="G61">
        <v>10.815608451783737</v>
      </c>
      <c r="H61">
        <v>0.95</v>
      </c>
      <c r="I61">
        <v>10</v>
      </c>
      <c r="J61">
        <v>1</v>
      </c>
      <c r="K61">
        <v>0.95</v>
      </c>
      <c r="L61">
        <v>46232</v>
      </c>
      <c r="M61" t="s">
        <v>239</v>
      </c>
      <c r="N61">
        <v>11.253676470588236</v>
      </c>
      <c r="O61">
        <v>8.7836019973829921E-2</v>
      </c>
      <c r="P61">
        <v>8.7836019973829921E-2</v>
      </c>
      <c r="Q61">
        <v>1.0405033171048506</v>
      </c>
      <c r="R61">
        <v>4.0503317104850556E-2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0.91216398002617005</v>
      </c>
      <c r="AB61">
        <v>0</v>
      </c>
      <c r="AC61">
        <v>0</v>
      </c>
      <c r="AD61">
        <v>0</v>
      </c>
      <c r="AE61">
        <v>0</v>
      </c>
      <c r="AF61">
        <v>8.7836019973829921E-2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11.384851001877617</v>
      </c>
      <c r="AM61">
        <v>11.384851001877617</v>
      </c>
      <c r="AN61">
        <v>11.845975232198143</v>
      </c>
      <c r="BE61">
        <v>0</v>
      </c>
      <c r="BF61">
        <v>0</v>
      </c>
      <c r="BG61">
        <v>0</v>
      </c>
      <c r="BI61">
        <v>8.441685723619731E-2</v>
      </c>
      <c r="BJ61">
        <v>8.441685723619731E-2</v>
      </c>
      <c r="BK61">
        <v>0.96107334168088088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3.8926658319119123E-2</v>
      </c>
      <c r="BW61">
        <v>0</v>
      </c>
      <c r="BX61">
        <v>0</v>
      </c>
      <c r="BY61">
        <v>0</v>
      </c>
      <c r="BZ61">
        <v>8.441685723619731E-2</v>
      </c>
      <c r="CA61">
        <v>0</v>
      </c>
      <c r="CB61">
        <v>0</v>
      </c>
      <c r="CC61">
        <v>0</v>
      </c>
      <c r="CD61">
        <v>0</v>
      </c>
      <c r="CE61">
        <v>0</v>
      </c>
    </row>
    <row r="62" spans="1:83" x14ac:dyDescent="0.25">
      <c r="A62" t="s">
        <v>128</v>
      </c>
      <c r="B62" t="s">
        <v>146</v>
      </c>
      <c r="C62" t="s">
        <v>72</v>
      </c>
      <c r="D62" s="12">
        <v>46233</v>
      </c>
      <c r="E62" t="s">
        <v>134</v>
      </c>
      <c r="F62" t="s">
        <v>73</v>
      </c>
      <c r="G62">
        <v>10.89474705021142</v>
      </c>
      <c r="H62">
        <v>0</v>
      </c>
      <c r="I62">
        <v>10</v>
      </c>
      <c r="J62">
        <v>1</v>
      </c>
      <c r="K62">
        <v>0</v>
      </c>
      <c r="L62">
        <v>46233</v>
      </c>
      <c r="M62" t="s">
        <v>238</v>
      </c>
      <c r="N62">
        <v>11.15625</v>
      </c>
      <c r="O62">
        <v>0</v>
      </c>
      <c r="P62">
        <v>0</v>
      </c>
      <c r="Q62">
        <v>1.0240026637225603</v>
      </c>
      <c r="R62">
        <v>2.4002663722560325E-2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1</v>
      </c>
      <c r="AK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1</v>
      </c>
      <c r="BH62">
        <v>1</v>
      </c>
      <c r="BI62">
        <v>0</v>
      </c>
      <c r="BJ62">
        <v>0</v>
      </c>
      <c r="BK62">
        <v>0.97655995968281628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2.3440040317183719E-2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0.97655995968281628</v>
      </c>
      <c r="CE62">
        <v>0</v>
      </c>
    </row>
    <row r="63" spans="1:83" x14ac:dyDescent="0.25">
      <c r="A63" t="s">
        <v>128</v>
      </c>
      <c r="B63" t="s">
        <v>145</v>
      </c>
      <c r="C63" t="s">
        <v>72</v>
      </c>
      <c r="D63" s="12">
        <v>46233</v>
      </c>
      <c r="E63" t="s">
        <v>134</v>
      </c>
      <c r="F63" t="s">
        <v>73</v>
      </c>
      <c r="G63">
        <v>10.887872467538834</v>
      </c>
      <c r="H63">
        <v>18.05</v>
      </c>
      <c r="I63">
        <v>20</v>
      </c>
      <c r="K63">
        <v>18.05</v>
      </c>
      <c r="L63">
        <v>46233</v>
      </c>
      <c r="M63" t="s">
        <v>238</v>
      </c>
      <c r="N63">
        <v>11.15625</v>
      </c>
      <c r="O63">
        <v>1.6578078089924708</v>
      </c>
      <c r="P63">
        <v>1.6578078089924708</v>
      </c>
      <c r="Q63">
        <v>1.0246492171231163</v>
      </c>
      <c r="R63">
        <v>0</v>
      </c>
      <c r="S63">
        <v>0</v>
      </c>
      <c r="T63">
        <v>0.40780780899247082</v>
      </c>
      <c r="U63">
        <v>0</v>
      </c>
      <c r="V63">
        <v>0</v>
      </c>
      <c r="W63">
        <v>0</v>
      </c>
      <c r="X63">
        <v>2.4649217123116296E-2</v>
      </c>
      <c r="Y63">
        <v>0</v>
      </c>
      <c r="Z63">
        <v>0.2253507828768837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1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0.60320623088857805</v>
      </c>
      <c r="AM63">
        <v>0.60320623088857805</v>
      </c>
      <c r="AN63">
        <v>0.61807479224376727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0.38192520775623273</v>
      </c>
      <c r="AZ63">
        <v>0</v>
      </c>
      <c r="BA63">
        <v>0</v>
      </c>
      <c r="BB63">
        <v>0</v>
      </c>
      <c r="BC63">
        <v>0.60320623088857805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1.6179271708683474</v>
      </c>
      <c r="BJ63">
        <v>1.6179271708683474</v>
      </c>
      <c r="BK63">
        <v>0.97594375059171623</v>
      </c>
      <c r="CB63">
        <v>0</v>
      </c>
      <c r="CC63">
        <v>0</v>
      </c>
      <c r="CD63">
        <v>0</v>
      </c>
    </row>
    <row r="64" spans="1:83" x14ac:dyDescent="0.25">
      <c r="A64" t="s">
        <v>128</v>
      </c>
      <c r="B64" t="s">
        <v>145</v>
      </c>
      <c r="C64" t="s">
        <v>72</v>
      </c>
      <c r="D64" s="12">
        <v>46233</v>
      </c>
      <c r="E64" t="s">
        <v>134</v>
      </c>
      <c r="F64" t="s">
        <v>74</v>
      </c>
      <c r="G64">
        <v>4.220105607573192</v>
      </c>
      <c r="H64">
        <v>4.75</v>
      </c>
      <c r="I64">
        <v>20</v>
      </c>
      <c r="K64">
        <v>4.75</v>
      </c>
      <c r="L64">
        <v>46233</v>
      </c>
      <c r="M64" t="s">
        <v>237</v>
      </c>
      <c r="N64">
        <v>4.6875</v>
      </c>
      <c r="O64">
        <v>1.1255642492633089</v>
      </c>
      <c r="P64">
        <v>1.1255642492633089</v>
      </c>
      <c r="Q64">
        <v>1.1107541933519496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0.11075419335194958</v>
      </c>
      <c r="Y64">
        <v>0</v>
      </c>
      <c r="Z64">
        <v>1.481005591135931E-2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1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0.88844328580488252</v>
      </c>
      <c r="AM64">
        <v>0.88844328580488252</v>
      </c>
      <c r="AN64">
        <v>0.98684210526315785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1.3157894736842146E-2</v>
      </c>
      <c r="AZ64">
        <v>0</v>
      </c>
      <c r="BA64">
        <v>0</v>
      </c>
      <c r="BB64">
        <v>0</v>
      </c>
      <c r="BC64">
        <v>0.88844328580488252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1.0133333333333334</v>
      </c>
      <c r="BJ64">
        <v>1.0133333333333334</v>
      </c>
      <c r="BK64">
        <v>0.90028919628228099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1.3333333333333419E-2</v>
      </c>
      <c r="BU64">
        <v>0</v>
      </c>
      <c r="BV64">
        <v>0</v>
      </c>
      <c r="BW64">
        <v>0</v>
      </c>
      <c r="BX64">
        <v>9.971080371771901E-2</v>
      </c>
      <c r="BY64">
        <v>0</v>
      </c>
      <c r="BZ64">
        <v>0.90028919628228099</v>
      </c>
      <c r="CA64">
        <v>0</v>
      </c>
      <c r="CB64">
        <v>0</v>
      </c>
      <c r="CC64">
        <v>0</v>
      </c>
      <c r="CD64">
        <v>0</v>
      </c>
      <c r="CE64">
        <v>0</v>
      </c>
    </row>
    <row r="65" spans="1:83" x14ac:dyDescent="0.25">
      <c r="A65" t="s">
        <v>128</v>
      </c>
      <c r="B65" t="s">
        <v>146</v>
      </c>
      <c r="C65" t="s">
        <v>72</v>
      </c>
      <c r="D65" s="12">
        <v>46233</v>
      </c>
      <c r="E65" t="s">
        <v>134</v>
      </c>
      <c r="F65" t="s">
        <v>74</v>
      </c>
      <c r="G65">
        <v>4.2207252494765797</v>
      </c>
      <c r="H65">
        <v>0</v>
      </c>
      <c r="I65">
        <v>10</v>
      </c>
      <c r="J65">
        <v>1</v>
      </c>
      <c r="K65">
        <v>0</v>
      </c>
      <c r="L65">
        <v>46233</v>
      </c>
      <c r="M65" t="s">
        <v>237</v>
      </c>
      <c r="N65">
        <v>4.6875</v>
      </c>
      <c r="O65">
        <v>0</v>
      </c>
      <c r="P65">
        <v>0</v>
      </c>
      <c r="Q65">
        <v>1.1105911242579236</v>
      </c>
      <c r="R65">
        <v>0.11059112425792361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1</v>
      </c>
      <c r="AK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</v>
      </c>
      <c r="BH65">
        <v>1</v>
      </c>
      <c r="BI65">
        <v>0</v>
      </c>
      <c r="BJ65">
        <v>0</v>
      </c>
      <c r="BK65">
        <v>0.9004213865550037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9.95786134449963E-2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0.9004213865550037</v>
      </c>
      <c r="CE65">
        <v>0</v>
      </c>
    </row>
    <row r="66" spans="1:83" x14ac:dyDescent="0.25">
      <c r="A66" t="s">
        <v>128</v>
      </c>
      <c r="B66" t="s">
        <v>146</v>
      </c>
      <c r="C66" t="s">
        <v>72</v>
      </c>
      <c r="D66" s="12">
        <v>46233</v>
      </c>
      <c r="E66" t="s">
        <v>134</v>
      </c>
      <c r="F66" t="s">
        <v>75</v>
      </c>
      <c r="G66">
        <v>10.973885648639106</v>
      </c>
      <c r="H66">
        <v>5.6999999999999993</v>
      </c>
      <c r="I66">
        <v>10</v>
      </c>
      <c r="J66">
        <v>1</v>
      </c>
      <c r="K66">
        <v>5.6999999999999993</v>
      </c>
      <c r="L66">
        <v>46233</v>
      </c>
      <c r="M66" t="s">
        <v>236</v>
      </c>
      <c r="N66">
        <v>11.25</v>
      </c>
      <c r="O66">
        <v>0.51941492580678272</v>
      </c>
      <c r="P66">
        <v>0.51941492580678272</v>
      </c>
      <c r="Q66">
        <v>1.025161037776545</v>
      </c>
      <c r="R66">
        <v>2.5161037776544992E-2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0.48058507419321728</v>
      </c>
      <c r="AB66">
        <v>0</v>
      </c>
      <c r="AC66">
        <v>0</v>
      </c>
      <c r="AD66">
        <v>0</v>
      </c>
      <c r="AE66">
        <v>0</v>
      </c>
      <c r="AF66">
        <v>0.51941492580678272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1.9252430962524749</v>
      </c>
      <c r="AM66">
        <v>1.9252430962524749</v>
      </c>
      <c r="AN66">
        <v>1.9736842105263159</v>
      </c>
      <c r="BE66">
        <v>0</v>
      </c>
      <c r="BF66">
        <v>0</v>
      </c>
      <c r="BG66">
        <v>0</v>
      </c>
      <c r="BI66">
        <v>0.5066666666666666</v>
      </c>
      <c r="BJ66">
        <v>0.5066666666666666</v>
      </c>
      <c r="BK66">
        <v>0.9754565021012539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2.4543497898746103E-2</v>
      </c>
      <c r="BW66">
        <v>0</v>
      </c>
      <c r="BX66">
        <v>0</v>
      </c>
      <c r="BY66">
        <v>0</v>
      </c>
      <c r="BZ66">
        <v>0.5066666666666666</v>
      </c>
      <c r="CA66">
        <v>0</v>
      </c>
      <c r="CB66">
        <v>0</v>
      </c>
      <c r="CC66">
        <v>0</v>
      </c>
      <c r="CD66">
        <v>0</v>
      </c>
      <c r="CE66">
        <v>0</v>
      </c>
    </row>
    <row r="67" spans="1:83" x14ac:dyDescent="0.25">
      <c r="A67" t="s">
        <v>128</v>
      </c>
      <c r="B67" t="s">
        <v>145</v>
      </c>
      <c r="C67" t="s">
        <v>72</v>
      </c>
      <c r="D67" s="12">
        <v>46233</v>
      </c>
      <c r="E67" t="s">
        <v>134</v>
      </c>
      <c r="F67" t="s">
        <v>75</v>
      </c>
      <c r="G67">
        <v>10.972274579690296</v>
      </c>
      <c r="H67">
        <v>11.4</v>
      </c>
      <c r="I67">
        <v>20</v>
      </c>
      <c r="K67">
        <v>11.4</v>
      </c>
      <c r="L67">
        <v>46233</v>
      </c>
      <c r="M67" t="s">
        <v>236</v>
      </c>
      <c r="N67">
        <v>11.25</v>
      </c>
      <c r="O67">
        <v>1.0389823839353622</v>
      </c>
      <c r="P67">
        <v>1.0389823839353622</v>
      </c>
      <c r="Q67">
        <v>1.0253115630941076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2.5311563094107647E-2</v>
      </c>
      <c r="Y67">
        <v>0</v>
      </c>
      <c r="Z67">
        <v>1.3670820841254594E-2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0.96248022628862262</v>
      </c>
      <c r="AM67">
        <v>0.96248022628862262</v>
      </c>
      <c r="AN67">
        <v>0.98684210526315796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1.3157894736842035E-2</v>
      </c>
      <c r="AZ67">
        <v>0</v>
      </c>
      <c r="BA67">
        <v>0</v>
      </c>
      <c r="BB67">
        <v>0</v>
      </c>
      <c r="BC67">
        <v>0.96248022628862262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1.0133333333333332</v>
      </c>
      <c r="BJ67">
        <v>1.0133333333333332</v>
      </c>
      <c r="BK67">
        <v>0.97531329597247074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1.3333333333333197E-2</v>
      </c>
      <c r="BU67">
        <v>0</v>
      </c>
      <c r="BV67">
        <v>0</v>
      </c>
      <c r="BW67">
        <v>0</v>
      </c>
      <c r="BX67">
        <v>2.468670402752926E-2</v>
      </c>
      <c r="BY67">
        <v>0</v>
      </c>
      <c r="BZ67">
        <v>0.97531329597247074</v>
      </c>
      <c r="CA67">
        <v>0</v>
      </c>
      <c r="CB67">
        <v>0</v>
      </c>
      <c r="CC67">
        <v>0</v>
      </c>
      <c r="CD67">
        <v>0</v>
      </c>
      <c r="CE67">
        <v>0</v>
      </c>
    </row>
    <row r="68" spans="1:83" x14ac:dyDescent="0.25">
      <c r="A68" t="s">
        <v>128</v>
      </c>
      <c r="B68" t="s">
        <v>145</v>
      </c>
      <c r="C68" t="s">
        <v>72</v>
      </c>
      <c r="D68" s="12">
        <v>46234</v>
      </c>
      <c r="E68" t="s">
        <v>134</v>
      </c>
      <c r="F68" t="s">
        <v>73</v>
      </c>
      <c r="G68">
        <v>10.972274579690298</v>
      </c>
      <c r="H68">
        <v>19</v>
      </c>
      <c r="I68">
        <v>20</v>
      </c>
      <c r="K68">
        <v>19</v>
      </c>
      <c r="L68">
        <v>46234</v>
      </c>
      <c r="M68" t="s">
        <v>216</v>
      </c>
      <c r="N68">
        <v>11.808823529411764</v>
      </c>
      <c r="O68">
        <v>1.731637306558937</v>
      </c>
      <c r="P68">
        <v>1.731637306558937</v>
      </c>
      <c r="Q68">
        <v>1.0762420721105468</v>
      </c>
      <c r="R68">
        <v>0</v>
      </c>
      <c r="S68">
        <v>0</v>
      </c>
      <c r="T68">
        <v>0.481637306558937</v>
      </c>
      <c r="U68">
        <v>0</v>
      </c>
      <c r="V68">
        <v>0</v>
      </c>
      <c r="W68">
        <v>0</v>
      </c>
      <c r="X68">
        <v>7.6242072110546788E-2</v>
      </c>
      <c r="Y68">
        <v>0</v>
      </c>
      <c r="Z68">
        <v>0.17375792788945321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0.57748813577317359</v>
      </c>
      <c r="AM68">
        <v>0.57748813577317359</v>
      </c>
      <c r="AN68">
        <v>0.62151702786377705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0.37848297213622295</v>
      </c>
      <c r="AZ68">
        <v>0</v>
      </c>
      <c r="BA68">
        <v>0</v>
      </c>
      <c r="BB68">
        <v>0</v>
      </c>
      <c r="BC68">
        <v>0.57748813577317359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1.6089663760896638</v>
      </c>
      <c r="BJ68">
        <v>1.6089663760896638</v>
      </c>
      <c r="BK68">
        <v>0.92915899304973881</v>
      </c>
      <c r="CB68">
        <v>0</v>
      </c>
      <c r="CC68">
        <v>0</v>
      </c>
      <c r="CD68">
        <v>0</v>
      </c>
    </row>
    <row r="69" spans="1:83" x14ac:dyDescent="0.25">
      <c r="A69" t="s">
        <v>128</v>
      </c>
      <c r="B69" t="s">
        <v>146</v>
      </c>
      <c r="C69" t="s">
        <v>72</v>
      </c>
      <c r="D69" s="12">
        <v>46234</v>
      </c>
      <c r="E69" t="s">
        <v>134</v>
      </c>
      <c r="F69" t="s">
        <v>73</v>
      </c>
      <c r="G69">
        <v>10.973885648639108</v>
      </c>
      <c r="H69">
        <v>1.9</v>
      </c>
      <c r="I69">
        <v>10</v>
      </c>
      <c r="J69">
        <v>1</v>
      </c>
      <c r="K69">
        <v>1.9</v>
      </c>
      <c r="L69">
        <v>46234</v>
      </c>
      <c r="M69" t="s">
        <v>216</v>
      </c>
      <c r="N69">
        <v>11.808823529411764</v>
      </c>
      <c r="O69">
        <v>0.1731383086022609</v>
      </c>
      <c r="P69">
        <v>0.1731383086022609</v>
      </c>
      <c r="Q69">
        <v>1.0760840697183862</v>
      </c>
      <c r="R69">
        <v>7.6084069718386216E-2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0.82686169139773913</v>
      </c>
      <c r="AB69">
        <v>0</v>
      </c>
      <c r="AC69">
        <v>0</v>
      </c>
      <c r="AD69">
        <v>0</v>
      </c>
      <c r="AE69">
        <v>0</v>
      </c>
      <c r="AF69">
        <v>0.1731383086022609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5.7757292887574252</v>
      </c>
      <c r="AM69">
        <v>5.7757292887574252</v>
      </c>
      <c r="AN69">
        <v>6.2151702786377712</v>
      </c>
      <c r="BE69">
        <v>0</v>
      </c>
      <c r="BF69">
        <v>0</v>
      </c>
      <c r="BG69">
        <v>0</v>
      </c>
      <c r="BI69">
        <v>0.16089663760896636</v>
      </c>
      <c r="BJ69">
        <v>0.16089663760896636</v>
      </c>
      <c r="BK69">
        <v>0.92929542230069662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7.0704577699303384E-2</v>
      </c>
      <c r="BW69">
        <v>0</v>
      </c>
      <c r="BX69">
        <v>0</v>
      </c>
      <c r="BY69">
        <v>0</v>
      </c>
      <c r="BZ69">
        <v>0.16089663760896636</v>
      </c>
      <c r="CA69">
        <v>0</v>
      </c>
      <c r="CB69">
        <v>0</v>
      </c>
      <c r="CC69">
        <v>0</v>
      </c>
      <c r="CD69">
        <v>0</v>
      </c>
      <c r="CE69">
        <v>0</v>
      </c>
    </row>
    <row r="70" spans="1:83" x14ac:dyDescent="0.25">
      <c r="A70" t="s">
        <v>128</v>
      </c>
      <c r="B70" t="s">
        <v>145</v>
      </c>
      <c r="C70" t="s">
        <v>72</v>
      </c>
      <c r="D70" s="12">
        <v>46234</v>
      </c>
      <c r="E70" t="s">
        <v>134</v>
      </c>
      <c r="F70" t="s">
        <v>74</v>
      </c>
      <c r="G70">
        <v>4.220105607573192</v>
      </c>
      <c r="H70">
        <v>3.8</v>
      </c>
      <c r="I70">
        <v>20</v>
      </c>
      <c r="K70">
        <v>3.8</v>
      </c>
      <c r="L70">
        <v>46234</v>
      </c>
      <c r="M70" t="s">
        <v>193</v>
      </c>
      <c r="N70">
        <v>4.6875</v>
      </c>
      <c r="O70">
        <v>0.90045139941064711</v>
      </c>
      <c r="P70">
        <v>0.90045139941064711</v>
      </c>
      <c r="Q70">
        <v>1.1107541933519496</v>
      </c>
      <c r="R70">
        <v>0.11075419335194958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9.9548600589352887E-2</v>
      </c>
      <c r="AB70">
        <v>0</v>
      </c>
      <c r="AC70">
        <v>0</v>
      </c>
      <c r="AD70">
        <v>0</v>
      </c>
      <c r="AE70">
        <v>0</v>
      </c>
      <c r="AF70">
        <v>0.90045139941064711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1.1105541072561032</v>
      </c>
      <c r="AM70">
        <v>1.1105541072561032</v>
      </c>
      <c r="AN70">
        <v>1.2335526315789473</v>
      </c>
      <c r="AO70">
        <v>0.12299852432284419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0.11055410725610315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0.81066666666666665</v>
      </c>
      <c r="BJ70">
        <v>0.81066666666666665</v>
      </c>
      <c r="BK70">
        <v>0.90028919628228099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9.971080371771901E-2</v>
      </c>
      <c r="BW70">
        <v>0</v>
      </c>
      <c r="BX70">
        <v>0</v>
      </c>
      <c r="BY70">
        <v>0</v>
      </c>
      <c r="BZ70">
        <v>0.81066666666666665</v>
      </c>
      <c r="CA70">
        <v>0</v>
      </c>
      <c r="CB70">
        <v>0</v>
      </c>
      <c r="CC70">
        <v>0</v>
      </c>
      <c r="CD70">
        <v>0</v>
      </c>
      <c r="CE70">
        <v>0</v>
      </c>
    </row>
    <row r="71" spans="1:83" x14ac:dyDescent="0.25">
      <c r="A71" t="s">
        <v>128</v>
      </c>
      <c r="B71" t="s">
        <v>146</v>
      </c>
      <c r="C71" t="s">
        <v>72</v>
      </c>
      <c r="D71" s="12">
        <v>46234</v>
      </c>
      <c r="E71" t="s">
        <v>134</v>
      </c>
      <c r="F71" t="s">
        <v>74</v>
      </c>
      <c r="G71">
        <v>4.2207252494765797</v>
      </c>
      <c r="H71">
        <v>1.9</v>
      </c>
      <c r="I71">
        <v>10</v>
      </c>
      <c r="J71">
        <v>1</v>
      </c>
      <c r="K71">
        <v>1.9</v>
      </c>
      <c r="L71">
        <v>46234</v>
      </c>
      <c r="M71" t="s">
        <v>193</v>
      </c>
      <c r="N71">
        <v>4.6875</v>
      </c>
      <c r="O71">
        <v>0.45015960236587838</v>
      </c>
      <c r="P71">
        <v>0.45015960236587838</v>
      </c>
      <c r="Q71">
        <v>1.1105911242579236</v>
      </c>
      <c r="R71">
        <v>0.11059112425792361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0.54984039763412162</v>
      </c>
      <c r="AB71">
        <v>0</v>
      </c>
      <c r="AC71">
        <v>0</v>
      </c>
      <c r="AD71">
        <v>0</v>
      </c>
      <c r="AE71">
        <v>0</v>
      </c>
      <c r="AF71">
        <v>0.45015960236587838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2.2214343418297791</v>
      </c>
      <c r="AM71">
        <v>2.2214343418297791</v>
      </c>
      <c r="AN71">
        <v>2.4671052631578947</v>
      </c>
      <c r="BE71">
        <v>0</v>
      </c>
      <c r="BF71">
        <v>0</v>
      </c>
      <c r="BG71">
        <v>0</v>
      </c>
      <c r="BI71">
        <v>0.40533333333333332</v>
      </c>
      <c r="BJ71">
        <v>0.40533333333333332</v>
      </c>
      <c r="BK71">
        <v>0.9004213865550037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9.95786134449963E-2</v>
      </c>
      <c r="BW71">
        <v>0</v>
      </c>
      <c r="BX71">
        <v>0</v>
      </c>
      <c r="BY71">
        <v>0</v>
      </c>
      <c r="BZ71">
        <v>0.40533333333333332</v>
      </c>
      <c r="CA71">
        <v>0</v>
      </c>
      <c r="CB71">
        <v>0</v>
      </c>
      <c r="CC71">
        <v>0</v>
      </c>
      <c r="CD71">
        <v>0</v>
      </c>
      <c r="CE71">
        <v>0</v>
      </c>
    </row>
    <row r="72" spans="1:83" x14ac:dyDescent="0.25">
      <c r="A72" t="s">
        <v>128</v>
      </c>
      <c r="B72" t="s">
        <v>145</v>
      </c>
      <c r="C72" t="s">
        <v>72</v>
      </c>
      <c r="D72" s="12">
        <v>46234</v>
      </c>
      <c r="E72" t="s">
        <v>134</v>
      </c>
      <c r="F72" t="s">
        <v>75</v>
      </c>
      <c r="G72">
        <v>11.028542654457938</v>
      </c>
      <c r="H72">
        <v>11.4</v>
      </c>
      <c r="I72">
        <v>20</v>
      </c>
      <c r="K72">
        <v>11.4</v>
      </c>
      <c r="L72">
        <v>46234</v>
      </c>
      <c r="M72" t="s">
        <v>192</v>
      </c>
      <c r="N72">
        <v>11.128676470588234</v>
      </c>
      <c r="O72">
        <v>1.0336814534050798</v>
      </c>
      <c r="P72">
        <v>1.0336814534050798</v>
      </c>
      <c r="Q72">
        <v>1.0090795147888212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9.0795147888211858E-3</v>
      </c>
      <c r="Y72">
        <v>0</v>
      </c>
      <c r="Z72">
        <v>2.460193861625859E-2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0.96741602232087187</v>
      </c>
      <c r="AM72">
        <v>0.96741602232087187</v>
      </c>
      <c r="AN72">
        <v>0.97619969040247678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2.3800309597523217E-2</v>
      </c>
      <c r="AZ72">
        <v>0</v>
      </c>
      <c r="BA72">
        <v>0</v>
      </c>
      <c r="BB72">
        <v>0</v>
      </c>
      <c r="BC72">
        <v>0.96741602232087187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1.0243805748265609</v>
      </c>
      <c r="BJ72">
        <v>1.0243805748265609</v>
      </c>
      <c r="BK72">
        <v>0.99100218104147986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2.4380574826560863E-2</v>
      </c>
      <c r="BU72">
        <v>0</v>
      </c>
      <c r="BV72">
        <v>0</v>
      </c>
      <c r="BW72">
        <v>0</v>
      </c>
      <c r="BX72">
        <v>8.9978189585201429E-3</v>
      </c>
      <c r="BY72">
        <v>0</v>
      </c>
      <c r="BZ72">
        <v>0.99100218104147986</v>
      </c>
      <c r="CA72">
        <v>0</v>
      </c>
      <c r="CB72">
        <v>0</v>
      </c>
      <c r="CC72">
        <v>0</v>
      </c>
      <c r="CD72">
        <v>0</v>
      </c>
      <c r="CE72">
        <v>0</v>
      </c>
    </row>
    <row r="73" spans="1:83" x14ac:dyDescent="0.25">
      <c r="A73" t="s">
        <v>128</v>
      </c>
      <c r="B73" t="s">
        <v>146</v>
      </c>
      <c r="C73" t="s">
        <v>72</v>
      </c>
      <c r="D73" s="12">
        <v>46234</v>
      </c>
      <c r="E73" t="s">
        <v>134</v>
      </c>
      <c r="F73" t="s">
        <v>75</v>
      </c>
      <c r="G73">
        <v>11.026644714257564</v>
      </c>
      <c r="H73">
        <v>2.8499999999999996</v>
      </c>
      <c r="I73">
        <v>10</v>
      </c>
      <c r="J73">
        <v>1</v>
      </c>
      <c r="K73">
        <v>2.8499999999999996</v>
      </c>
      <c r="L73">
        <v>46234</v>
      </c>
      <c r="M73" t="s">
        <v>192</v>
      </c>
      <c r="N73">
        <v>11.128676470588234</v>
      </c>
      <c r="O73">
        <v>0.25846484346366222</v>
      </c>
      <c r="P73">
        <v>0.25846484346366222</v>
      </c>
      <c r="Q73">
        <v>1.0092532006766066</v>
      </c>
      <c r="R73">
        <v>9.253200676606621E-3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0.74153515653633773</v>
      </c>
      <c r="AB73">
        <v>0</v>
      </c>
      <c r="AC73">
        <v>0</v>
      </c>
      <c r="AD73">
        <v>0</v>
      </c>
      <c r="AE73">
        <v>0</v>
      </c>
      <c r="AF73">
        <v>0.25846484346366222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3.8689981453535318</v>
      </c>
      <c r="AM73">
        <v>3.8689981453535318</v>
      </c>
      <c r="AN73">
        <v>3.9047987616099071</v>
      </c>
      <c r="BE73">
        <v>0</v>
      </c>
      <c r="BF73">
        <v>0</v>
      </c>
      <c r="BG73">
        <v>0</v>
      </c>
      <c r="BI73">
        <v>0.25609514370664022</v>
      </c>
      <c r="BJ73">
        <v>0.25609514370664022</v>
      </c>
      <c r="BK73">
        <v>0.99083163603503732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9.168363964962678E-3</v>
      </c>
      <c r="BW73">
        <v>0</v>
      </c>
      <c r="BX73">
        <v>0</v>
      </c>
      <c r="BY73">
        <v>0</v>
      </c>
      <c r="BZ73">
        <v>0.25609514370664022</v>
      </c>
      <c r="CA73">
        <v>0</v>
      </c>
      <c r="CB73">
        <v>0</v>
      </c>
      <c r="CC73">
        <v>0</v>
      </c>
      <c r="CD73">
        <v>0</v>
      </c>
      <c r="CE73">
        <v>0</v>
      </c>
    </row>
    <row r="74" spans="1:83" x14ac:dyDescent="0.25">
      <c r="A74" t="s">
        <v>128</v>
      </c>
      <c r="B74" t="s">
        <v>145</v>
      </c>
      <c r="C74" t="s">
        <v>72</v>
      </c>
      <c r="D74" s="12">
        <v>46235</v>
      </c>
      <c r="E74" t="s">
        <v>134</v>
      </c>
      <c r="F74" t="s">
        <v>73</v>
      </c>
      <c r="G74">
        <v>11.028542654457938</v>
      </c>
      <c r="H74">
        <v>16.149999999999999</v>
      </c>
      <c r="I74">
        <v>20</v>
      </c>
      <c r="K74">
        <v>16.149999999999999</v>
      </c>
      <c r="L74">
        <v>46235</v>
      </c>
      <c r="M74" t="s">
        <v>191</v>
      </c>
      <c r="N74">
        <v>11.125</v>
      </c>
      <c r="O74">
        <v>1.4643820589905299</v>
      </c>
      <c r="P74">
        <v>1.4643820589905299</v>
      </c>
      <c r="Q74">
        <v>1.008746155186975</v>
      </c>
      <c r="R74">
        <v>0</v>
      </c>
      <c r="S74">
        <v>0</v>
      </c>
      <c r="T74">
        <v>0.21438205899052987</v>
      </c>
      <c r="U74">
        <v>0</v>
      </c>
      <c r="V74">
        <v>0</v>
      </c>
      <c r="W74">
        <v>0</v>
      </c>
      <c r="X74">
        <v>8.7461551869749687E-3</v>
      </c>
      <c r="Y74">
        <v>0</v>
      </c>
      <c r="Z74">
        <v>0.24125384481302503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0.68288189810885069</v>
      </c>
      <c r="AM74">
        <v>0.68288189810885069</v>
      </c>
      <c r="AN74">
        <v>0.68885448916408676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0.31114551083591324</v>
      </c>
      <c r="AZ74">
        <v>0</v>
      </c>
      <c r="BA74">
        <v>0</v>
      </c>
      <c r="BB74">
        <v>0</v>
      </c>
      <c r="BC74">
        <v>0.68288189810885069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1.4516853932584268</v>
      </c>
      <c r="BJ74">
        <v>1.4516853932584268</v>
      </c>
      <c r="BK74">
        <v>0.99132967680520789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0.45168539325842683</v>
      </c>
      <c r="BU74">
        <v>0</v>
      </c>
      <c r="BV74">
        <v>0</v>
      </c>
      <c r="BW74">
        <v>0</v>
      </c>
      <c r="BX74">
        <v>8.6703231947921067E-3</v>
      </c>
      <c r="BY74">
        <v>0</v>
      </c>
      <c r="BZ74">
        <v>0.99132967680520789</v>
      </c>
      <c r="CA74">
        <v>0</v>
      </c>
      <c r="CB74">
        <v>0</v>
      </c>
      <c r="CC74">
        <v>0</v>
      </c>
      <c r="CD74">
        <v>0</v>
      </c>
      <c r="CE74">
        <v>0</v>
      </c>
    </row>
    <row r="75" spans="1:83" x14ac:dyDescent="0.25">
      <c r="A75" t="s">
        <v>128</v>
      </c>
      <c r="B75" t="s">
        <v>146</v>
      </c>
      <c r="C75" t="s">
        <v>72</v>
      </c>
      <c r="D75" s="12">
        <v>46235</v>
      </c>
      <c r="E75" t="s">
        <v>134</v>
      </c>
      <c r="F75" t="s">
        <v>73</v>
      </c>
      <c r="G75">
        <v>11.026644714257564</v>
      </c>
      <c r="H75">
        <v>5.6999999999999993</v>
      </c>
      <c r="I75">
        <v>10</v>
      </c>
      <c r="J75">
        <v>1</v>
      </c>
      <c r="K75">
        <v>5.6999999999999993</v>
      </c>
      <c r="L75">
        <v>46235</v>
      </c>
      <c r="M75" t="s">
        <v>191</v>
      </c>
      <c r="N75">
        <v>11.125</v>
      </c>
      <c r="O75">
        <v>0.51692968692732444</v>
      </c>
      <c r="P75">
        <v>0.51692968692732444</v>
      </c>
      <c r="Q75">
        <v>1.0089197836958745</v>
      </c>
      <c r="R75">
        <v>8.9197836958745391E-3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0.48307031307267556</v>
      </c>
      <c r="AB75">
        <v>0</v>
      </c>
      <c r="AC75">
        <v>0</v>
      </c>
      <c r="AD75">
        <v>0</v>
      </c>
      <c r="AE75">
        <v>0</v>
      </c>
      <c r="AF75">
        <v>0.51692968692732444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1.9344990726767659</v>
      </c>
      <c r="AM75">
        <v>1.9344990726767659</v>
      </c>
      <c r="AN75">
        <v>1.9517543859649125</v>
      </c>
      <c r="BE75">
        <v>0</v>
      </c>
      <c r="BF75">
        <v>0</v>
      </c>
      <c r="BG75">
        <v>0</v>
      </c>
      <c r="BI75">
        <v>0.51235955056179772</v>
      </c>
      <c r="BJ75">
        <v>0.51235955056179772</v>
      </c>
      <c r="BK75">
        <v>0.99115907543888215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8.8409245611178466E-3</v>
      </c>
      <c r="BW75">
        <v>0</v>
      </c>
      <c r="BX75">
        <v>0</v>
      </c>
      <c r="BY75">
        <v>0</v>
      </c>
      <c r="BZ75">
        <v>0.51235955056179772</v>
      </c>
      <c r="CA75">
        <v>0</v>
      </c>
      <c r="CB75">
        <v>0</v>
      </c>
      <c r="CC75">
        <v>0</v>
      </c>
      <c r="CD75">
        <v>0</v>
      </c>
      <c r="CE75">
        <v>0</v>
      </c>
    </row>
    <row r="76" spans="1:83" x14ac:dyDescent="0.25">
      <c r="A76" t="s">
        <v>128</v>
      </c>
      <c r="B76" t="s">
        <v>146</v>
      </c>
      <c r="C76" t="s">
        <v>72</v>
      </c>
      <c r="D76" s="12">
        <v>46235</v>
      </c>
      <c r="E76" t="s">
        <v>134</v>
      </c>
      <c r="F76" t="s">
        <v>74</v>
      </c>
      <c r="G76">
        <v>4.2207252494765797</v>
      </c>
      <c r="H76">
        <v>0</v>
      </c>
      <c r="I76">
        <v>10</v>
      </c>
      <c r="J76">
        <v>1</v>
      </c>
      <c r="K76">
        <v>0</v>
      </c>
      <c r="L76">
        <v>46235</v>
      </c>
      <c r="M76" t="s">
        <v>190</v>
      </c>
      <c r="N76">
        <v>4.6875</v>
      </c>
      <c r="O76">
        <v>0</v>
      </c>
      <c r="P76">
        <v>0</v>
      </c>
      <c r="Q76">
        <v>1.1105911242579236</v>
      </c>
      <c r="R76">
        <v>0.11059112425792361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</v>
      </c>
      <c r="AK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1</v>
      </c>
      <c r="BH76">
        <v>1</v>
      </c>
      <c r="BI76">
        <v>0</v>
      </c>
      <c r="BJ76">
        <v>0</v>
      </c>
      <c r="BK76">
        <v>0.9004213865550037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9.95786134449963E-2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0.9004213865550037</v>
      </c>
      <c r="CE76">
        <v>0</v>
      </c>
    </row>
    <row r="77" spans="1:83" x14ac:dyDescent="0.25">
      <c r="A77" t="s">
        <v>128</v>
      </c>
      <c r="B77" t="s">
        <v>145</v>
      </c>
      <c r="C77" t="s">
        <v>72</v>
      </c>
      <c r="D77" s="12">
        <v>46235</v>
      </c>
      <c r="E77" t="s">
        <v>134</v>
      </c>
      <c r="F77" t="s">
        <v>74</v>
      </c>
      <c r="G77">
        <v>4.220105607573192</v>
      </c>
      <c r="H77">
        <v>4.75</v>
      </c>
      <c r="I77">
        <v>20</v>
      </c>
      <c r="K77">
        <v>4.75</v>
      </c>
      <c r="L77">
        <v>46235</v>
      </c>
      <c r="M77" t="s">
        <v>190</v>
      </c>
      <c r="N77">
        <v>4.6875</v>
      </c>
      <c r="O77">
        <v>1.1255642492633089</v>
      </c>
      <c r="P77">
        <v>1.1255642492633089</v>
      </c>
      <c r="Q77">
        <v>1.1107541933519496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0.11075419335194958</v>
      </c>
      <c r="Y77">
        <v>0</v>
      </c>
      <c r="Z77">
        <v>1.481005591135931E-2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1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0.88844328580488252</v>
      </c>
      <c r="AM77">
        <v>0.88844328580488252</v>
      </c>
      <c r="AN77">
        <v>0.98684210526315785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1.3157894736842146E-2</v>
      </c>
      <c r="AZ77">
        <v>0</v>
      </c>
      <c r="BA77">
        <v>0</v>
      </c>
      <c r="BB77">
        <v>0</v>
      </c>
      <c r="BC77">
        <v>0.88844328580488252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1.0133333333333334</v>
      </c>
      <c r="BJ77">
        <v>1.0133333333333334</v>
      </c>
      <c r="BK77">
        <v>0.90028919628228099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1.3333333333333419E-2</v>
      </c>
      <c r="BU77">
        <v>0</v>
      </c>
      <c r="BV77">
        <v>0</v>
      </c>
      <c r="BW77">
        <v>0</v>
      </c>
      <c r="BX77">
        <v>9.971080371771901E-2</v>
      </c>
      <c r="BY77">
        <v>0</v>
      </c>
      <c r="BZ77">
        <v>0.90028919628228099</v>
      </c>
      <c r="CA77">
        <v>0</v>
      </c>
      <c r="CB77">
        <v>0</v>
      </c>
      <c r="CC77">
        <v>0</v>
      </c>
      <c r="CD77">
        <v>0</v>
      </c>
      <c r="CE77">
        <v>0</v>
      </c>
    </row>
    <row r="78" spans="1:83" x14ac:dyDescent="0.25">
      <c r="A78" t="s">
        <v>128</v>
      </c>
      <c r="B78" t="s">
        <v>146</v>
      </c>
      <c r="C78" t="s">
        <v>72</v>
      </c>
      <c r="D78" s="12">
        <v>46235</v>
      </c>
      <c r="E78" t="s">
        <v>134</v>
      </c>
      <c r="F78" t="s">
        <v>75</v>
      </c>
      <c r="G78">
        <v>10.973885648639106</v>
      </c>
      <c r="H78">
        <v>1.9</v>
      </c>
      <c r="I78">
        <v>10</v>
      </c>
      <c r="J78">
        <v>1</v>
      </c>
      <c r="K78">
        <v>1.9</v>
      </c>
      <c r="L78">
        <v>46235</v>
      </c>
      <c r="M78" t="s">
        <v>189</v>
      </c>
      <c r="N78">
        <v>11.25</v>
      </c>
      <c r="O78">
        <v>0.17313830860226093</v>
      </c>
      <c r="P78">
        <v>0.17313830860226093</v>
      </c>
      <c r="Q78">
        <v>1.025161037776545</v>
      </c>
      <c r="R78">
        <v>2.5161037776544992E-2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0.82686169139773913</v>
      </c>
      <c r="AB78">
        <v>0</v>
      </c>
      <c r="AC78">
        <v>0</v>
      </c>
      <c r="AD78">
        <v>0</v>
      </c>
      <c r="AE78">
        <v>0</v>
      </c>
      <c r="AF78">
        <v>0.17313830860226093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5.7757292887574243</v>
      </c>
      <c r="AM78">
        <v>5.7757292887574243</v>
      </c>
      <c r="AN78">
        <v>5.9210526315789478</v>
      </c>
      <c r="BE78">
        <v>0</v>
      </c>
      <c r="BF78">
        <v>0</v>
      </c>
      <c r="BG78">
        <v>0</v>
      </c>
      <c r="BI78">
        <v>0.16888888888888889</v>
      </c>
      <c r="BJ78">
        <v>0.16888888888888889</v>
      </c>
      <c r="BK78">
        <v>0.9754565021012539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2.4543497898746103E-2</v>
      </c>
      <c r="BW78">
        <v>0</v>
      </c>
      <c r="BX78">
        <v>0</v>
      </c>
      <c r="BY78">
        <v>0</v>
      </c>
      <c r="BZ78">
        <v>0.16888888888888889</v>
      </c>
      <c r="CA78">
        <v>0</v>
      </c>
      <c r="CB78">
        <v>0</v>
      </c>
      <c r="CC78">
        <v>0</v>
      </c>
      <c r="CD78">
        <v>0</v>
      </c>
      <c r="CE78">
        <v>0</v>
      </c>
    </row>
    <row r="79" spans="1:83" x14ac:dyDescent="0.25">
      <c r="A79" t="s">
        <v>128</v>
      </c>
      <c r="B79" t="s">
        <v>145</v>
      </c>
      <c r="C79" t="s">
        <v>72</v>
      </c>
      <c r="D79" s="12">
        <v>46235</v>
      </c>
      <c r="E79" t="s">
        <v>134</v>
      </c>
      <c r="F79" t="s">
        <v>75</v>
      </c>
      <c r="G79">
        <v>10.972274579690296</v>
      </c>
      <c r="H79">
        <v>8.5499999999999989</v>
      </c>
      <c r="I79">
        <v>20</v>
      </c>
      <c r="K79">
        <v>8.5499999999999989</v>
      </c>
      <c r="L79">
        <v>46235</v>
      </c>
      <c r="M79" t="s">
        <v>189</v>
      </c>
      <c r="N79">
        <v>11.25</v>
      </c>
      <c r="O79">
        <v>0.77923678795152163</v>
      </c>
      <c r="P79">
        <v>0.77923678795152163</v>
      </c>
      <c r="Q79">
        <v>1.0253115630941076</v>
      </c>
      <c r="R79">
        <v>2.5311563094107647E-2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0.22076321204847837</v>
      </c>
      <c r="AB79">
        <v>0</v>
      </c>
      <c r="AC79">
        <v>0</v>
      </c>
      <c r="AD79">
        <v>0</v>
      </c>
      <c r="AE79">
        <v>0</v>
      </c>
      <c r="AF79">
        <v>0.77923678795152163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1.2833069683848302</v>
      </c>
      <c r="AM79">
        <v>1.2833069683848302</v>
      </c>
      <c r="AN79">
        <v>1.3157894736842106</v>
      </c>
      <c r="AO79">
        <v>3.248250529938046E-2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0.28330696838483016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0.7599999999999999</v>
      </c>
      <c r="BJ79">
        <v>0.7599999999999999</v>
      </c>
      <c r="BK79">
        <v>0.97531329597247074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2.468670402752926E-2</v>
      </c>
      <c r="BW79">
        <v>0</v>
      </c>
      <c r="BX79">
        <v>0</v>
      </c>
      <c r="BY79">
        <v>0</v>
      </c>
      <c r="BZ79">
        <v>0.7599999999999999</v>
      </c>
      <c r="CA79">
        <v>0</v>
      </c>
      <c r="CB79">
        <v>0</v>
      </c>
      <c r="CC79">
        <v>0</v>
      </c>
      <c r="CD79">
        <v>0</v>
      </c>
      <c r="CE79">
        <v>0</v>
      </c>
    </row>
    <row r="80" spans="1:83" x14ac:dyDescent="0.25">
      <c r="A80" t="s">
        <v>128</v>
      </c>
      <c r="B80" t="s">
        <v>145</v>
      </c>
      <c r="C80" t="s">
        <v>72</v>
      </c>
      <c r="D80" s="12">
        <v>46236</v>
      </c>
      <c r="E80" t="s">
        <v>134</v>
      </c>
      <c r="F80" t="s">
        <v>73</v>
      </c>
      <c r="G80">
        <v>10.972274579690296</v>
      </c>
      <c r="H80">
        <v>19</v>
      </c>
      <c r="I80">
        <v>20</v>
      </c>
      <c r="K80">
        <v>19</v>
      </c>
      <c r="L80">
        <v>46236</v>
      </c>
      <c r="M80" t="s">
        <v>188</v>
      </c>
      <c r="N80">
        <v>11.25</v>
      </c>
      <c r="O80">
        <v>1.7316373065589372</v>
      </c>
      <c r="P80">
        <v>1.7316373065589372</v>
      </c>
      <c r="Q80">
        <v>1.0253115630941076</v>
      </c>
      <c r="R80">
        <v>0</v>
      </c>
      <c r="S80">
        <v>0</v>
      </c>
      <c r="T80">
        <v>0.48163730655893722</v>
      </c>
      <c r="U80">
        <v>0</v>
      </c>
      <c r="V80">
        <v>0</v>
      </c>
      <c r="W80">
        <v>0</v>
      </c>
      <c r="X80">
        <v>2.5311563094107647E-2</v>
      </c>
      <c r="Y80">
        <v>0</v>
      </c>
      <c r="Z80">
        <v>0.22468843690589235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1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0.57748813577317348</v>
      </c>
      <c r="AM80">
        <v>0.57748813577317348</v>
      </c>
      <c r="AN80">
        <v>0.59210526315789469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0.40789473684210531</v>
      </c>
      <c r="AZ80">
        <v>0</v>
      </c>
      <c r="BA80">
        <v>0</v>
      </c>
      <c r="BB80">
        <v>0</v>
      </c>
      <c r="BC80">
        <v>0.57748813577317348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1.6888888888888889</v>
      </c>
      <c r="BJ80">
        <v>1.6888888888888889</v>
      </c>
      <c r="BK80">
        <v>0.97531329597247074</v>
      </c>
      <c r="CB80">
        <v>0</v>
      </c>
      <c r="CC80">
        <v>0</v>
      </c>
      <c r="CD80">
        <v>0</v>
      </c>
    </row>
    <row r="81" spans="1:83" x14ac:dyDescent="0.25">
      <c r="A81" t="s">
        <v>128</v>
      </c>
      <c r="B81" t="s">
        <v>146</v>
      </c>
      <c r="C81" t="s">
        <v>72</v>
      </c>
      <c r="D81" s="12">
        <v>46236</v>
      </c>
      <c r="E81" t="s">
        <v>134</v>
      </c>
      <c r="F81" t="s">
        <v>73</v>
      </c>
      <c r="G81">
        <v>10.973885648639106</v>
      </c>
      <c r="H81">
        <v>3.8</v>
      </c>
      <c r="I81">
        <v>10</v>
      </c>
      <c r="J81">
        <v>1</v>
      </c>
      <c r="K81">
        <v>3.8</v>
      </c>
      <c r="L81">
        <v>46236</v>
      </c>
      <c r="M81" t="s">
        <v>188</v>
      </c>
      <c r="N81">
        <v>11.25</v>
      </c>
      <c r="O81">
        <v>0.34627661720452185</v>
      </c>
      <c r="P81">
        <v>0.34627661720452185</v>
      </c>
      <c r="Q81">
        <v>1.025161037776545</v>
      </c>
      <c r="R81">
        <v>2.5161037776544992E-2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0.65372338279547815</v>
      </c>
      <c r="AB81">
        <v>0</v>
      </c>
      <c r="AC81">
        <v>0</v>
      </c>
      <c r="AD81">
        <v>0</v>
      </c>
      <c r="AE81">
        <v>0</v>
      </c>
      <c r="AF81">
        <v>0.34627661720452185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2.8878646443787122</v>
      </c>
      <c r="AM81">
        <v>2.8878646443787122</v>
      </c>
      <c r="AN81">
        <v>2.9605263157894739</v>
      </c>
      <c r="BE81">
        <v>0</v>
      </c>
      <c r="BF81">
        <v>0</v>
      </c>
      <c r="BG81">
        <v>0</v>
      </c>
      <c r="BI81">
        <v>0.33777777777777779</v>
      </c>
      <c r="BJ81">
        <v>0.33777777777777779</v>
      </c>
      <c r="BK81">
        <v>0.9754565021012539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2.4543497898746103E-2</v>
      </c>
      <c r="BW81">
        <v>0</v>
      </c>
      <c r="BX81">
        <v>0</v>
      </c>
      <c r="BY81">
        <v>0</v>
      </c>
      <c r="BZ81">
        <v>0.33777777777777779</v>
      </c>
      <c r="CA81">
        <v>0</v>
      </c>
      <c r="CB81">
        <v>0</v>
      </c>
      <c r="CC81">
        <v>0</v>
      </c>
      <c r="CD81">
        <v>0</v>
      </c>
      <c r="CE81">
        <v>0</v>
      </c>
    </row>
    <row r="82" spans="1:83" x14ac:dyDescent="0.25">
      <c r="A82" t="s">
        <v>128</v>
      </c>
      <c r="B82" t="s">
        <v>145</v>
      </c>
      <c r="C82" t="s">
        <v>72</v>
      </c>
      <c r="D82" s="12">
        <v>46236</v>
      </c>
      <c r="E82" t="s">
        <v>134</v>
      </c>
      <c r="F82" t="s">
        <v>74</v>
      </c>
      <c r="G82">
        <v>4.220105607573192</v>
      </c>
      <c r="H82">
        <v>5.6999999999999993</v>
      </c>
      <c r="I82">
        <v>20</v>
      </c>
      <c r="K82">
        <v>5.6999999999999993</v>
      </c>
      <c r="L82">
        <v>46236</v>
      </c>
      <c r="M82" t="s">
        <v>187</v>
      </c>
      <c r="N82">
        <v>4.6875</v>
      </c>
      <c r="O82">
        <v>1.3506770991159704</v>
      </c>
      <c r="P82">
        <v>1.3506770991159704</v>
      </c>
      <c r="Q82">
        <v>1.1107541933519496</v>
      </c>
      <c r="R82">
        <v>0</v>
      </c>
      <c r="S82">
        <v>0</v>
      </c>
      <c r="T82">
        <v>0.10067709911597045</v>
      </c>
      <c r="U82">
        <v>0</v>
      </c>
      <c r="V82">
        <v>0</v>
      </c>
      <c r="W82">
        <v>0</v>
      </c>
      <c r="X82">
        <v>0.11075419335194958</v>
      </c>
      <c r="Y82">
        <v>0</v>
      </c>
      <c r="Z82">
        <v>0.13924580664805042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1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0.74036940483740221</v>
      </c>
      <c r="AM82">
        <v>0.74036940483740221</v>
      </c>
      <c r="AN82">
        <v>0.82236842105263164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0.17763157894736836</v>
      </c>
      <c r="AZ82">
        <v>0</v>
      </c>
      <c r="BA82">
        <v>0</v>
      </c>
      <c r="BB82">
        <v>0</v>
      </c>
      <c r="BC82">
        <v>0.74036940483740221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1.2159999999999997</v>
      </c>
      <c r="BJ82">
        <v>1.2159999999999997</v>
      </c>
      <c r="BK82">
        <v>0.90028919628228099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0.21599999999999975</v>
      </c>
      <c r="BU82">
        <v>0</v>
      </c>
      <c r="BV82">
        <v>0</v>
      </c>
      <c r="BW82">
        <v>0</v>
      </c>
      <c r="BX82">
        <v>9.971080371771901E-2</v>
      </c>
      <c r="BY82">
        <v>0</v>
      </c>
      <c r="BZ82">
        <v>0.90028919628228099</v>
      </c>
      <c r="CA82">
        <v>0</v>
      </c>
      <c r="CB82">
        <v>0</v>
      </c>
      <c r="CC82">
        <v>0</v>
      </c>
      <c r="CD82">
        <v>0</v>
      </c>
      <c r="CE82">
        <v>0</v>
      </c>
    </row>
    <row r="83" spans="1:83" x14ac:dyDescent="0.25">
      <c r="A83" t="s">
        <v>128</v>
      </c>
      <c r="B83" t="s">
        <v>146</v>
      </c>
      <c r="C83" t="s">
        <v>72</v>
      </c>
      <c r="D83" s="12">
        <v>46236</v>
      </c>
      <c r="E83" t="s">
        <v>134</v>
      </c>
      <c r="F83" t="s">
        <v>74</v>
      </c>
      <c r="G83">
        <v>4.2207252494765797</v>
      </c>
      <c r="H83">
        <v>0</v>
      </c>
      <c r="I83">
        <v>10</v>
      </c>
      <c r="J83">
        <v>1</v>
      </c>
      <c r="K83">
        <v>0</v>
      </c>
      <c r="L83">
        <v>46236</v>
      </c>
      <c r="M83" t="s">
        <v>187</v>
      </c>
      <c r="N83">
        <v>4.6875</v>
      </c>
      <c r="O83">
        <v>0</v>
      </c>
      <c r="P83">
        <v>0</v>
      </c>
      <c r="Q83">
        <v>1.1105911242579236</v>
      </c>
      <c r="R83">
        <v>0.11059112425792361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1</v>
      </c>
      <c r="BH83">
        <v>1</v>
      </c>
      <c r="BI83">
        <v>0</v>
      </c>
      <c r="BJ83">
        <v>0</v>
      </c>
      <c r="BK83">
        <v>0.9004213865550037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9.95786134449963E-2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0.9004213865550037</v>
      </c>
      <c r="CE83">
        <v>0</v>
      </c>
    </row>
    <row r="84" spans="1:83" x14ac:dyDescent="0.25">
      <c r="A84" t="s">
        <v>128</v>
      </c>
      <c r="B84" t="s">
        <v>145</v>
      </c>
      <c r="C84" t="s">
        <v>72</v>
      </c>
      <c r="D84" s="12">
        <v>46236</v>
      </c>
      <c r="E84" t="s">
        <v>134</v>
      </c>
      <c r="F84" t="s">
        <v>75</v>
      </c>
      <c r="G84">
        <v>10.972274579690296</v>
      </c>
      <c r="H84">
        <v>10.45</v>
      </c>
      <c r="I84">
        <v>20</v>
      </c>
      <c r="K84">
        <v>10.45</v>
      </c>
      <c r="L84">
        <v>46236</v>
      </c>
      <c r="M84" t="s">
        <v>186</v>
      </c>
      <c r="N84">
        <v>11.25</v>
      </c>
      <c r="O84">
        <v>0.95240051860741537</v>
      </c>
      <c r="P84">
        <v>0.95240051860741537</v>
      </c>
      <c r="Q84">
        <v>1.0253115630941076</v>
      </c>
      <c r="R84">
        <v>2.5311563094107647E-2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4.7599481392584631E-2</v>
      </c>
      <c r="AB84">
        <v>0</v>
      </c>
      <c r="AC84">
        <v>0</v>
      </c>
      <c r="AD84">
        <v>0</v>
      </c>
      <c r="AE84">
        <v>0</v>
      </c>
      <c r="AF84">
        <v>0.95240051860741537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1.0499784286784972</v>
      </c>
      <c r="AM84">
        <v>1.0499784286784972</v>
      </c>
      <c r="AN84">
        <v>1.0765550239234452</v>
      </c>
      <c r="AO84">
        <v>2.6576595244947931E-2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4.9978428678497222E-2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0.92888888888888888</v>
      </c>
      <c r="BJ84">
        <v>0.92888888888888888</v>
      </c>
      <c r="BK84">
        <v>0.97531329597247074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2.468670402752926E-2</v>
      </c>
      <c r="BW84">
        <v>0</v>
      </c>
      <c r="BX84">
        <v>0</v>
      </c>
      <c r="BY84">
        <v>0</v>
      </c>
      <c r="BZ84">
        <v>0.92888888888888888</v>
      </c>
      <c r="CA84">
        <v>0</v>
      </c>
      <c r="CB84">
        <v>0</v>
      </c>
      <c r="CC84">
        <v>0</v>
      </c>
      <c r="CD84">
        <v>0</v>
      </c>
      <c r="CE84">
        <v>0</v>
      </c>
    </row>
    <row r="85" spans="1:83" x14ac:dyDescent="0.25">
      <c r="A85" t="s">
        <v>128</v>
      </c>
      <c r="B85" t="s">
        <v>146</v>
      </c>
      <c r="C85" t="s">
        <v>72</v>
      </c>
      <c r="D85" s="12">
        <v>46236</v>
      </c>
      <c r="E85" t="s">
        <v>134</v>
      </c>
      <c r="F85" t="s">
        <v>75</v>
      </c>
      <c r="G85">
        <v>10.973885648639106</v>
      </c>
      <c r="H85">
        <v>1.9</v>
      </c>
      <c r="I85">
        <v>10</v>
      </c>
      <c r="J85">
        <v>1</v>
      </c>
      <c r="K85">
        <v>1.9</v>
      </c>
      <c r="L85">
        <v>46236</v>
      </c>
      <c r="M85" t="s">
        <v>186</v>
      </c>
      <c r="N85">
        <v>11.25</v>
      </c>
      <c r="O85">
        <v>0.17313830860226093</v>
      </c>
      <c r="P85">
        <v>0.17313830860226093</v>
      </c>
      <c r="Q85">
        <v>1.025161037776545</v>
      </c>
      <c r="R85">
        <v>2.5161037776544992E-2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0.82686169139773913</v>
      </c>
      <c r="AB85">
        <v>0</v>
      </c>
      <c r="AC85">
        <v>0</v>
      </c>
      <c r="AD85">
        <v>0</v>
      </c>
      <c r="AE85">
        <v>0</v>
      </c>
      <c r="AF85">
        <v>0.17313830860226093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5.7757292887574243</v>
      </c>
      <c r="AM85">
        <v>5.7757292887574243</v>
      </c>
      <c r="AN85">
        <v>5.9210526315789478</v>
      </c>
      <c r="BE85">
        <v>0</v>
      </c>
      <c r="BF85">
        <v>0</v>
      </c>
      <c r="BG85">
        <v>0</v>
      </c>
      <c r="BI85">
        <v>0.16888888888888889</v>
      </c>
      <c r="BJ85">
        <v>0.16888888888888889</v>
      </c>
      <c r="BK85">
        <v>0.9754565021012539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2.4543497898746103E-2</v>
      </c>
      <c r="BW85">
        <v>0</v>
      </c>
      <c r="BX85">
        <v>0</v>
      </c>
      <c r="BY85">
        <v>0</v>
      </c>
      <c r="BZ85">
        <v>0.16888888888888889</v>
      </c>
      <c r="CA85">
        <v>0</v>
      </c>
      <c r="CB85">
        <v>0</v>
      </c>
      <c r="CC85">
        <v>0</v>
      </c>
      <c r="CD85">
        <v>0</v>
      </c>
      <c r="CE85">
        <v>0</v>
      </c>
    </row>
    <row r="86" spans="1:83" x14ac:dyDescent="0.25">
      <c r="A86" t="s">
        <v>128</v>
      </c>
      <c r="B86" t="s">
        <v>145</v>
      </c>
      <c r="C86" t="s">
        <v>72</v>
      </c>
      <c r="D86" s="12">
        <v>46237</v>
      </c>
      <c r="E86" t="s">
        <v>134</v>
      </c>
      <c r="F86" t="s">
        <v>73</v>
      </c>
      <c r="G86">
        <v>11.872563775972576</v>
      </c>
      <c r="H86">
        <v>11.4</v>
      </c>
      <c r="I86">
        <v>20</v>
      </c>
      <c r="K86">
        <v>11.4</v>
      </c>
      <c r="L86">
        <v>46237</v>
      </c>
      <c r="M86" t="s">
        <v>235</v>
      </c>
      <c r="N86">
        <v>12.0703125</v>
      </c>
      <c r="O86">
        <v>0.96019698989287039</v>
      </c>
      <c r="P86">
        <v>0.96019698989287039</v>
      </c>
      <c r="Q86">
        <v>1.0166559411900253</v>
      </c>
      <c r="R86">
        <v>1.6655941190025336E-2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3.9803010107129611E-2</v>
      </c>
      <c r="AB86">
        <v>0</v>
      </c>
      <c r="AC86">
        <v>0</v>
      </c>
      <c r="AD86">
        <v>0</v>
      </c>
      <c r="AE86">
        <v>0</v>
      </c>
      <c r="AF86">
        <v>0.96019698989287039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1.0414529628046121</v>
      </c>
      <c r="AM86">
        <v>1.0414529628046121</v>
      </c>
      <c r="AN86">
        <v>1.0587993421052633</v>
      </c>
      <c r="AO86">
        <v>1.7346379300651193E-2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4.1452962804612081E-2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1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0.94446601941747566</v>
      </c>
      <c r="BJ86">
        <v>0.94446601941747566</v>
      </c>
      <c r="BK86">
        <v>0.98361693419060825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1.638306580939175E-2</v>
      </c>
      <c r="BW86">
        <v>0</v>
      </c>
      <c r="BX86">
        <v>0</v>
      </c>
      <c r="BY86">
        <v>0</v>
      </c>
      <c r="BZ86">
        <v>0.94446601941747566</v>
      </c>
      <c r="CA86">
        <v>0</v>
      </c>
      <c r="CB86">
        <v>0</v>
      </c>
      <c r="CC86">
        <v>0</v>
      </c>
      <c r="CD86">
        <v>0</v>
      </c>
      <c r="CE86">
        <v>0</v>
      </c>
    </row>
    <row r="87" spans="1:83" x14ac:dyDescent="0.25">
      <c r="A87" t="s">
        <v>128</v>
      </c>
      <c r="B87" t="s">
        <v>146</v>
      </c>
      <c r="C87" t="s">
        <v>72</v>
      </c>
      <c r="D87" s="12">
        <v>46237</v>
      </c>
      <c r="E87" t="s">
        <v>134</v>
      </c>
      <c r="F87" t="s">
        <v>73</v>
      </c>
      <c r="G87">
        <v>11.870789764152878</v>
      </c>
      <c r="H87">
        <v>4.75</v>
      </c>
      <c r="I87">
        <v>10</v>
      </c>
      <c r="J87">
        <v>1</v>
      </c>
      <c r="K87">
        <v>4.75</v>
      </c>
      <c r="L87">
        <v>46237</v>
      </c>
      <c r="M87" t="s">
        <v>235</v>
      </c>
      <c r="N87">
        <v>12.0703125</v>
      </c>
      <c r="O87">
        <v>0.40014186876966978</v>
      </c>
      <c r="P87">
        <v>0.40014186876966978</v>
      </c>
      <c r="Q87">
        <v>1.0168078737650326</v>
      </c>
      <c r="R87">
        <v>1.6807873765032566E-2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0.59985813123033016</v>
      </c>
      <c r="AB87">
        <v>0</v>
      </c>
      <c r="AC87">
        <v>0</v>
      </c>
      <c r="AD87">
        <v>0</v>
      </c>
      <c r="AE87">
        <v>0</v>
      </c>
      <c r="AF87">
        <v>0.40014186876966978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2.4991136345585008</v>
      </c>
      <c r="AM87">
        <v>2.4991136345585008</v>
      </c>
      <c r="AN87">
        <v>2.5411184210526314</v>
      </c>
      <c r="BE87">
        <v>0</v>
      </c>
      <c r="BF87">
        <v>0</v>
      </c>
      <c r="BG87">
        <v>0</v>
      </c>
      <c r="BI87">
        <v>0.39352750809061487</v>
      </c>
      <c r="BJ87">
        <v>0.39352750809061487</v>
      </c>
      <c r="BK87">
        <v>0.98346996104308637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1.6530038956913629E-2</v>
      </c>
      <c r="BW87">
        <v>0</v>
      </c>
      <c r="BX87">
        <v>0</v>
      </c>
      <c r="BY87">
        <v>0</v>
      </c>
      <c r="BZ87">
        <v>0.39352750809061487</v>
      </c>
      <c r="CA87">
        <v>0</v>
      </c>
      <c r="CB87">
        <v>0</v>
      </c>
      <c r="CC87">
        <v>0</v>
      </c>
      <c r="CD87">
        <v>0</v>
      </c>
      <c r="CE87">
        <v>0</v>
      </c>
    </row>
    <row r="88" spans="1:83" x14ac:dyDescent="0.25">
      <c r="A88" t="s">
        <v>128</v>
      </c>
      <c r="B88" t="s">
        <v>145</v>
      </c>
      <c r="C88" t="s">
        <v>72</v>
      </c>
      <c r="D88" s="12">
        <v>46237</v>
      </c>
      <c r="E88" t="s">
        <v>134</v>
      </c>
      <c r="F88" t="s">
        <v>74</v>
      </c>
      <c r="G88">
        <v>4.220105607573192</v>
      </c>
      <c r="H88">
        <v>3.8</v>
      </c>
      <c r="I88">
        <v>20</v>
      </c>
      <c r="K88">
        <v>3.8</v>
      </c>
      <c r="L88">
        <v>46237</v>
      </c>
      <c r="M88" t="s">
        <v>185</v>
      </c>
      <c r="N88">
        <v>4.6875</v>
      </c>
      <c r="O88">
        <v>0.90045139941064711</v>
      </c>
      <c r="P88">
        <v>0.90045139941064711</v>
      </c>
      <c r="Q88">
        <v>1.1107541933519496</v>
      </c>
      <c r="R88">
        <v>0.11075419335194958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9.9548600589352887E-2</v>
      </c>
      <c r="AB88">
        <v>0</v>
      </c>
      <c r="AC88">
        <v>0</v>
      </c>
      <c r="AD88">
        <v>0</v>
      </c>
      <c r="AE88">
        <v>0</v>
      </c>
      <c r="AF88">
        <v>0.90045139941064711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1.1105541072561032</v>
      </c>
      <c r="AM88">
        <v>1.1105541072561032</v>
      </c>
      <c r="AN88">
        <v>1.2335526315789473</v>
      </c>
      <c r="AO88">
        <v>0.12299852432284419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0.11055410725610315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1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0.81066666666666665</v>
      </c>
      <c r="BJ88">
        <v>0.81066666666666665</v>
      </c>
      <c r="BK88">
        <v>0.90028919628228099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9.971080371771901E-2</v>
      </c>
      <c r="BW88">
        <v>0</v>
      </c>
      <c r="BX88">
        <v>0</v>
      </c>
      <c r="BY88">
        <v>0</v>
      </c>
      <c r="BZ88">
        <v>0.81066666666666665</v>
      </c>
      <c r="CA88">
        <v>0</v>
      </c>
      <c r="CB88">
        <v>0</v>
      </c>
      <c r="CC88">
        <v>0</v>
      </c>
      <c r="CD88">
        <v>0</v>
      </c>
      <c r="CE88">
        <v>0</v>
      </c>
    </row>
    <row r="89" spans="1:83" x14ac:dyDescent="0.25">
      <c r="A89" t="s">
        <v>128</v>
      </c>
      <c r="B89" t="s">
        <v>146</v>
      </c>
      <c r="C89" t="s">
        <v>72</v>
      </c>
      <c r="D89" s="12">
        <v>46237</v>
      </c>
      <c r="E89" t="s">
        <v>134</v>
      </c>
      <c r="F89" t="s">
        <v>74</v>
      </c>
      <c r="G89">
        <v>4.2207252494765797</v>
      </c>
      <c r="H89">
        <v>0</v>
      </c>
      <c r="I89">
        <v>10</v>
      </c>
      <c r="J89">
        <v>1</v>
      </c>
      <c r="K89">
        <v>0</v>
      </c>
      <c r="L89">
        <v>46237</v>
      </c>
      <c r="M89" t="s">
        <v>185</v>
      </c>
      <c r="N89">
        <v>4.6875</v>
      </c>
      <c r="O89">
        <v>0</v>
      </c>
      <c r="P89">
        <v>0</v>
      </c>
      <c r="Q89">
        <v>1.1105911242579236</v>
      </c>
      <c r="R89">
        <v>0.11059112425792361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</v>
      </c>
      <c r="AK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1</v>
      </c>
      <c r="BH89">
        <v>1</v>
      </c>
      <c r="BI89">
        <v>0</v>
      </c>
      <c r="BJ89">
        <v>0</v>
      </c>
      <c r="BK89">
        <v>0.9004213865550037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9.95786134449963E-2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0.9004213865550037</v>
      </c>
      <c r="CE89">
        <v>0</v>
      </c>
    </row>
    <row r="90" spans="1:83" x14ac:dyDescent="0.25">
      <c r="A90" t="s">
        <v>128</v>
      </c>
      <c r="B90" t="s">
        <v>145</v>
      </c>
      <c r="C90" t="s">
        <v>72</v>
      </c>
      <c r="D90" s="12">
        <v>46237</v>
      </c>
      <c r="E90" t="s">
        <v>134</v>
      </c>
      <c r="F90" t="s">
        <v>75</v>
      </c>
      <c r="G90">
        <v>10.972274579690296</v>
      </c>
      <c r="H90">
        <v>10.45</v>
      </c>
      <c r="I90">
        <v>20</v>
      </c>
      <c r="K90">
        <v>10.45</v>
      </c>
      <c r="L90">
        <v>46237</v>
      </c>
      <c r="M90" t="s">
        <v>184</v>
      </c>
      <c r="N90">
        <v>11.3671875</v>
      </c>
      <c r="O90">
        <v>0.95240051860741537</v>
      </c>
      <c r="P90">
        <v>0.95240051860741537</v>
      </c>
      <c r="Q90">
        <v>1.0359918918763378</v>
      </c>
      <c r="R90">
        <v>3.5991891876337778E-2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4.7599481392584631E-2</v>
      </c>
      <c r="AB90">
        <v>0</v>
      </c>
      <c r="AC90">
        <v>0</v>
      </c>
      <c r="AD90">
        <v>0</v>
      </c>
      <c r="AE90">
        <v>0</v>
      </c>
      <c r="AF90">
        <v>0.95240051860741537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1.0499784286784972</v>
      </c>
      <c r="AM90">
        <v>1.0499784286784972</v>
      </c>
      <c r="AN90">
        <v>1.0877691387559809</v>
      </c>
      <c r="AO90">
        <v>3.7790710077483691E-2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4.9978428678497222E-2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0.91931271477663223</v>
      </c>
      <c r="BJ90">
        <v>0.91931271477663223</v>
      </c>
      <c r="BK90">
        <v>0.96525851972533194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3.4741480274668057E-2</v>
      </c>
      <c r="BW90">
        <v>0</v>
      </c>
      <c r="BX90">
        <v>0</v>
      </c>
      <c r="BY90">
        <v>0</v>
      </c>
      <c r="BZ90">
        <v>0.91931271477663223</v>
      </c>
      <c r="CA90">
        <v>0</v>
      </c>
      <c r="CB90">
        <v>0</v>
      </c>
      <c r="CC90">
        <v>0</v>
      </c>
      <c r="CD90">
        <v>0</v>
      </c>
      <c r="CE90">
        <v>0</v>
      </c>
    </row>
    <row r="91" spans="1:83" x14ac:dyDescent="0.25">
      <c r="A91" t="s">
        <v>128</v>
      </c>
      <c r="B91" t="s">
        <v>146</v>
      </c>
      <c r="C91" t="s">
        <v>72</v>
      </c>
      <c r="D91" s="12">
        <v>46237</v>
      </c>
      <c r="E91" t="s">
        <v>134</v>
      </c>
      <c r="F91" t="s">
        <v>75</v>
      </c>
      <c r="G91">
        <v>10.973885648639106</v>
      </c>
      <c r="H91">
        <v>0</v>
      </c>
      <c r="I91">
        <v>10</v>
      </c>
      <c r="J91">
        <v>1</v>
      </c>
      <c r="K91">
        <v>0</v>
      </c>
      <c r="L91">
        <v>46237</v>
      </c>
      <c r="M91" t="s">
        <v>184</v>
      </c>
      <c r="N91">
        <v>11.3671875</v>
      </c>
      <c r="O91">
        <v>0</v>
      </c>
      <c r="P91">
        <v>0</v>
      </c>
      <c r="Q91">
        <v>1.0358397985867174</v>
      </c>
      <c r="R91">
        <v>3.5839798586717375E-2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1</v>
      </c>
      <c r="AK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1</v>
      </c>
      <c r="BH91">
        <v>1</v>
      </c>
      <c r="BI91">
        <v>0</v>
      </c>
      <c r="BJ91">
        <v>0</v>
      </c>
      <c r="BK91">
        <v>0.96540024950227188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3.4599750497728121E-2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0.96540024950227188</v>
      </c>
      <c r="CE91">
        <v>0</v>
      </c>
    </row>
    <row r="92" spans="1:83" x14ac:dyDescent="0.25">
      <c r="A92" t="s">
        <v>128</v>
      </c>
      <c r="B92" t="s">
        <v>146</v>
      </c>
      <c r="C92" t="s">
        <v>72</v>
      </c>
      <c r="D92" s="12">
        <v>46238</v>
      </c>
      <c r="E92" t="s">
        <v>134</v>
      </c>
      <c r="F92" t="s">
        <v>73</v>
      </c>
      <c r="G92">
        <v>13.005109674949706</v>
      </c>
      <c r="H92">
        <v>2.8499999999999996</v>
      </c>
      <c r="I92">
        <v>10</v>
      </c>
      <c r="J92">
        <v>1</v>
      </c>
      <c r="K92">
        <v>2.8499999999999996</v>
      </c>
      <c r="L92">
        <v>46238</v>
      </c>
      <c r="M92" t="s">
        <v>183</v>
      </c>
      <c r="N92">
        <v>13.6171875</v>
      </c>
      <c r="O92">
        <v>0.21914463401178672</v>
      </c>
      <c r="P92">
        <v>0.21914463401178672</v>
      </c>
      <c r="Q92">
        <v>1.0470644108622376</v>
      </c>
      <c r="R92">
        <v>4.706441086223756E-2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0.78085536598821326</v>
      </c>
      <c r="AB92">
        <v>0</v>
      </c>
      <c r="AC92">
        <v>0</v>
      </c>
      <c r="AD92">
        <v>0</v>
      </c>
      <c r="AE92">
        <v>0</v>
      </c>
      <c r="AF92">
        <v>0.21914463401178672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4.5631963771753359</v>
      </c>
      <c r="AM92">
        <v>4.5631963771753359</v>
      </c>
      <c r="AN92">
        <v>4.7779605263157903</v>
      </c>
      <c r="BE92">
        <v>0</v>
      </c>
      <c r="BF92">
        <v>0</v>
      </c>
      <c r="BG92">
        <v>0</v>
      </c>
      <c r="BI92">
        <v>0.20929432013769361</v>
      </c>
      <c r="BJ92">
        <v>0.20929432013769361</v>
      </c>
      <c r="BK92">
        <v>0.95505108341569844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4.4948916584301557E-2</v>
      </c>
      <c r="BW92">
        <v>0</v>
      </c>
      <c r="BX92">
        <v>0</v>
      </c>
      <c r="BY92">
        <v>0</v>
      </c>
      <c r="BZ92">
        <v>0.20929432013769361</v>
      </c>
      <c r="CA92">
        <v>0</v>
      </c>
      <c r="CB92">
        <v>0</v>
      </c>
      <c r="CC92">
        <v>0</v>
      </c>
      <c r="CD92">
        <v>0</v>
      </c>
      <c r="CE92">
        <v>0</v>
      </c>
    </row>
    <row r="93" spans="1:83" x14ac:dyDescent="0.25">
      <c r="A93" t="s">
        <v>128</v>
      </c>
      <c r="B93" t="s">
        <v>145</v>
      </c>
      <c r="C93" t="s">
        <v>72</v>
      </c>
      <c r="D93" s="12">
        <v>46238</v>
      </c>
      <c r="E93" t="s">
        <v>134</v>
      </c>
      <c r="F93" t="s">
        <v>73</v>
      </c>
      <c r="G93">
        <v>13.02605930870925</v>
      </c>
      <c r="H93">
        <v>20.9</v>
      </c>
      <c r="I93">
        <v>20</v>
      </c>
      <c r="K93">
        <v>20.9</v>
      </c>
      <c r="L93">
        <v>46238</v>
      </c>
      <c r="M93" t="s">
        <v>183</v>
      </c>
      <c r="N93">
        <v>13.6171875</v>
      </c>
      <c r="O93">
        <v>1.6044760356669201</v>
      </c>
      <c r="P93">
        <v>1.6044760356669201</v>
      </c>
      <c r="Q93">
        <v>1.0453804314322077</v>
      </c>
      <c r="R93">
        <v>0</v>
      </c>
      <c r="S93">
        <v>0</v>
      </c>
      <c r="T93">
        <v>0.3544760356669201</v>
      </c>
      <c r="U93">
        <v>0</v>
      </c>
      <c r="V93">
        <v>0</v>
      </c>
      <c r="W93">
        <v>0</v>
      </c>
      <c r="X93">
        <v>4.5380431432207713E-2</v>
      </c>
      <c r="Y93">
        <v>0</v>
      </c>
      <c r="Z93">
        <v>0.20461956856779229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0.6232564262540311</v>
      </c>
      <c r="AM93">
        <v>0.6232564262540311</v>
      </c>
      <c r="AN93">
        <v>0.65154007177033502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0.34845992822966498</v>
      </c>
      <c r="AZ93">
        <v>0</v>
      </c>
      <c r="BA93">
        <v>0</v>
      </c>
      <c r="BB93">
        <v>0</v>
      </c>
      <c r="BC93">
        <v>0.6232564262540311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1.5348250143430866</v>
      </c>
      <c r="BJ93">
        <v>1.5348250143430866</v>
      </c>
      <c r="BK93">
        <v>0.95658955336476426</v>
      </c>
      <c r="CB93">
        <v>0</v>
      </c>
      <c r="CC93">
        <v>0</v>
      </c>
      <c r="CD93">
        <v>0</v>
      </c>
    </row>
    <row r="94" spans="1:83" x14ac:dyDescent="0.25">
      <c r="A94" t="s">
        <v>128</v>
      </c>
      <c r="B94" t="s">
        <v>146</v>
      </c>
      <c r="C94" t="s">
        <v>72</v>
      </c>
      <c r="D94" s="12">
        <v>46238</v>
      </c>
      <c r="E94" t="s">
        <v>134</v>
      </c>
      <c r="F94" t="s">
        <v>74</v>
      </c>
      <c r="G94">
        <v>4.2207252494765797</v>
      </c>
      <c r="H94">
        <v>0</v>
      </c>
      <c r="I94">
        <v>10</v>
      </c>
      <c r="J94">
        <v>1</v>
      </c>
      <c r="K94">
        <v>0</v>
      </c>
      <c r="L94">
        <v>46238</v>
      </c>
      <c r="M94" t="s">
        <v>182</v>
      </c>
      <c r="N94">
        <v>4.6875</v>
      </c>
      <c r="O94">
        <v>0</v>
      </c>
      <c r="P94">
        <v>0</v>
      </c>
      <c r="Q94">
        <v>1.1105911242579236</v>
      </c>
      <c r="R94">
        <v>0.11059112425792361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1</v>
      </c>
      <c r="AK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1</v>
      </c>
      <c r="BH94">
        <v>1</v>
      </c>
      <c r="BI94">
        <v>0</v>
      </c>
      <c r="BJ94">
        <v>0</v>
      </c>
      <c r="BK94">
        <v>0.9004213865550037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9.95786134449963E-2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0.9004213865550037</v>
      </c>
      <c r="CE94">
        <v>0</v>
      </c>
    </row>
    <row r="95" spans="1:83" x14ac:dyDescent="0.25">
      <c r="A95" t="s">
        <v>128</v>
      </c>
      <c r="B95" t="s">
        <v>145</v>
      </c>
      <c r="C95" t="s">
        <v>72</v>
      </c>
      <c r="D95" s="12">
        <v>46238</v>
      </c>
      <c r="E95" t="s">
        <v>134</v>
      </c>
      <c r="F95" t="s">
        <v>74</v>
      </c>
      <c r="G95">
        <v>4.220105607573192</v>
      </c>
      <c r="H95">
        <v>4.75</v>
      </c>
      <c r="I95">
        <v>20</v>
      </c>
      <c r="K95">
        <v>4.75</v>
      </c>
      <c r="L95">
        <v>46238</v>
      </c>
      <c r="M95" t="s">
        <v>182</v>
      </c>
      <c r="N95">
        <v>4.6875</v>
      </c>
      <c r="O95">
        <v>1.1255642492633089</v>
      </c>
      <c r="P95">
        <v>1.1255642492633089</v>
      </c>
      <c r="Q95">
        <v>1.1107541933519496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0.11075419335194958</v>
      </c>
      <c r="Y95">
        <v>0</v>
      </c>
      <c r="Z95">
        <v>1.481005591135931E-2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0.88844328580488252</v>
      </c>
      <c r="AM95">
        <v>0.88844328580488252</v>
      </c>
      <c r="AN95">
        <v>0.98684210526315785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1.3157894736842146E-2</v>
      </c>
      <c r="AZ95">
        <v>0</v>
      </c>
      <c r="BA95">
        <v>0</v>
      </c>
      <c r="BB95">
        <v>0</v>
      </c>
      <c r="BC95">
        <v>0.88844328580488252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1.0133333333333334</v>
      </c>
      <c r="BJ95">
        <v>1.0133333333333334</v>
      </c>
      <c r="BK95">
        <v>0.90028919628228099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1.3333333333333419E-2</v>
      </c>
      <c r="BU95">
        <v>0</v>
      </c>
      <c r="BV95">
        <v>0</v>
      </c>
      <c r="BW95">
        <v>0</v>
      </c>
      <c r="BX95">
        <v>9.971080371771901E-2</v>
      </c>
      <c r="BY95">
        <v>0</v>
      </c>
      <c r="BZ95">
        <v>0.90028919628228099</v>
      </c>
      <c r="CA95">
        <v>0</v>
      </c>
      <c r="CB95">
        <v>0</v>
      </c>
      <c r="CC95">
        <v>0</v>
      </c>
      <c r="CD95">
        <v>0</v>
      </c>
      <c r="CE95">
        <v>0</v>
      </c>
    </row>
    <row r="96" spans="1:83" x14ac:dyDescent="0.25">
      <c r="A96" t="s">
        <v>128</v>
      </c>
      <c r="B96" t="s">
        <v>146</v>
      </c>
      <c r="C96" t="s">
        <v>72</v>
      </c>
      <c r="D96" s="12">
        <v>46238</v>
      </c>
      <c r="E96" t="s">
        <v>134</v>
      </c>
      <c r="F96" t="s">
        <v>75</v>
      </c>
      <c r="G96">
        <v>10.973885648639106</v>
      </c>
      <c r="H96">
        <v>1.9</v>
      </c>
      <c r="I96">
        <v>10</v>
      </c>
      <c r="J96">
        <v>1</v>
      </c>
      <c r="K96">
        <v>1.9</v>
      </c>
      <c r="L96">
        <v>46238</v>
      </c>
      <c r="M96" t="s">
        <v>181</v>
      </c>
      <c r="N96">
        <v>11.6015625</v>
      </c>
      <c r="O96">
        <v>0.17313830860226093</v>
      </c>
      <c r="P96">
        <v>0.17313830860226093</v>
      </c>
      <c r="Q96">
        <v>1.0571973202070621</v>
      </c>
      <c r="R96">
        <v>5.7197320207062141E-2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0.82686169139773913</v>
      </c>
      <c r="AB96">
        <v>0</v>
      </c>
      <c r="AC96">
        <v>0</v>
      </c>
      <c r="AD96">
        <v>0</v>
      </c>
      <c r="AE96">
        <v>0</v>
      </c>
      <c r="AF96">
        <v>0.17313830860226093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5.7757292887574243</v>
      </c>
      <c r="AM96">
        <v>5.7757292887574243</v>
      </c>
      <c r="AN96">
        <v>6.1060855263157894</v>
      </c>
      <c r="BE96">
        <v>0</v>
      </c>
      <c r="BF96">
        <v>0</v>
      </c>
      <c r="BG96">
        <v>0</v>
      </c>
      <c r="BI96">
        <v>0.16377104377104376</v>
      </c>
      <c r="BJ96">
        <v>0.16377104377104376</v>
      </c>
      <c r="BK96">
        <v>0.94589721415879169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5.4102785841208312E-2</v>
      </c>
      <c r="BW96">
        <v>0</v>
      </c>
      <c r="BX96">
        <v>0</v>
      </c>
      <c r="BY96">
        <v>0</v>
      </c>
      <c r="BZ96">
        <v>0.16377104377104376</v>
      </c>
      <c r="CA96">
        <v>0</v>
      </c>
      <c r="CB96">
        <v>0</v>
      </c>
      <c r="CC96">
        <v>0</v>
      </c>
      <c r="CD96">
        <v>0</v>
      </c>
      <c r="CE96">
        <v>0</v>
      </c>
    </row>
    <row r="97" spans="1:83" x14ac:dyDescent="0.25">
      <c r="A97" t="s">
        <v>128</v>
      </c>
      <c r="B97" t="s">
        <v>145</v>
      </c>
      <c r="C97" t="s">
        <v>72</v>
      </c>
      <c r="D97" s="12">
        <v>46238</v>
      </c>
      <c r="E97" t="s">
        <v>134</v>
      </c>
      <c r="F97" t="s">
        <v>75</v>
      </c>
      <c r="G97">
        <v>10.972274579690296</v>
      </c>
      <c r="H97">
        <v>11.4</v>
      </c>
      <c r="I97">
        <v>20</v>
      </c>
      <c r="K97">
        <v>11.4</v>
      </c>
      <c r="L97">
        <v>46238</v>
      </c>
      <c r="M97" t="s">
        <v>181</v>
      </c>
      <c r="N97">
        <v>11.6015625</v>
      </c>
      <c r="O97">
        <v>1.0389823839353622</v>
      </c>
      <c r="P97">
        <v>1.0389823839353622</v>
      </c>
      <c r="Q97">
        <v>1.0573525494407985</v>
      </c>
      <c r="R97">
        <v>1.8370165505436242E-2</v>
      </c>
      <c r="S97">
        <v>0</v>
      </c>
      <c r="T97">
        <v>0</v>
      </c>
      <c r="U97">
        <v>0</v>
      </c>
      <c r="V97">
        <v>0</v>
      </c>
      <c r="W97">
        <v>0</v>
      </c>
      <c r="X97">
        <v>3.8982383935362241E-2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0.96248022628862262</v>
      </c>
      <c r="AM97">
        <v>0.96248022628862262</v>
      </c>
      <c r="AN97">
        <v>1.0176809210526316</v>
      </c>
      <c r="AO97">
        <v>1.7680921052631637E-2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0.96248022628862262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0.98262626262626251</v>
      </c>
      <c r="BJ97">
        <v>0.98262626262626251</v>
      </c>
      <c r="BK97">
        <v>0.94575834760966859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1.7373737373737486E-2</v>
      </c>
      <c r="BW97">
        <v>0</v>
      </c>
      <c r="BX97">
        <v>3.6867915016593922E-2</v>
      </c>
      <c r="BY97">
        <v>0</v>
      </c>
      <c r="BZ97">
        <v>0.94575834760966859</v>
      </c>
      <c r="CA97">
        <v>0</v>
      </c>
      <c r="CB97">
        <v>0</v>
      </c>
      <c r="CC97">
        <v>0</v>
      </c>
      <c r="CD97">
        <v>0</v>
      </c>
      <c r="CE97">
        <v>0</v>
      </c>
    </row>
    <row r="98" spans="1:83" x14ac:dyDescent="0.25">
      <c r="A98" t="s">
        <v>128</v>
      </c>
      <c r="B98" t="s">
        <v>145</v>
      </c>
      <c r="C98" t="s">
        <v>72</v>
      </c>
      <c r="D98" s="12">
        <v>46239</v>
      </c>
      <c r="E98" t="s">
        <v>134</v>
      </c>
      <c r="F98" t="s">
        <v>73</v>
      </c>
      <c r="G98">
        <v>12.575914710568108</v>
      </c>
      <c r="H98">
        <v>18.05</v>
      </c>
      <c r="I98">
        <v>20</v>
      </c>
      <c r="K98">
        <v>18.05</v>
      </c>
      <c r="L98">
        <v>46239</v>
      </c>
      <c r="M98" t="s">
        <v>180</v>
      </c>
      <c r="N98">
        <v>12.738511029411764</v>
      </c>
      <c r="O98">
        <v>1.4352832708726764</v>
      </c>
      <c r="P98">
        <v>1.4352832708726764</v>
      </c>
      <c r="Q98">
        <v>1.0129291842848631</v>
      </c>
      <c r="R98">
        <v>0</v>
      </c>
      <c r="S98">
        <v>0</v>
      </c>
      <c r="T98">
        <v>0.18528327087267638</v>
      </c>
      <c r="U98">
        <v>0</v>
      </c>
      <c r="V98">
        <v>0</v>
      </c>
      <c r="W98">
        <v>0</v>
      </c>
      <c r="X98">
        <v>1.2929184284863116E-2</v>
      </c>
      <c r="Y98">
        <v>0</v>
      </c>
      <c r="Z98">
        <v>0.23707081571513688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0.69672657676277605</v>
      </c>
      <c r="AM98">
        <v>0.69672657676277605</v>
      </c>
      <c r="AN98">
        <v>0.70573468306990383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0.29426531693009617</v>
      </c>
      <c r="AZ98">
        <v>0</v>
      </c>
      <c r="BA98">
        <v>0</v>
      </c>
      <c r="BB98">
        <v>0</v>
      </c>
      <c r="BC98">
        <v>0.69672657676277605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1.4169630939067066</v>
      </c>
      <c r="BJ98">
        <v>1.4169630939067066</v>
      </c>
      <c r="BK98">
        <v>0.98723584581681167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0.41696309390670661</v>
      </c>
      <c r="BU98">
        <v>0</v>
      </c>
      <c r="BV98">
        <v>0</v>
      </c>
      <c r="BW98">
        <v>0</v>
      </c>
      <c r="BX98">
        <v>1.2764154183188325E-2</v>
      </c>
      <c r="BY98">
        <v>0</v>
      </c>
      <c r="BZ98">
        <v>0.98723584581681167</v>
      </c>
      <c r="CA98">
        <v>0</v>
      </c>
      <c r="CB98">
        <v>0</v>
      </c>
      <c r="CC98">
        <v>0</v>
      </c>
      <c r="CD98">
        <v>0</v>
      </c>
      <c r="CE98">
        <v>0</v>
      </c>
    </row>
    <row r="99" spans="1:83" x14ac:dyDescent="0.25">
      <c r="A99" t="s">
        <v>128</v>
      </c>
      <c r="B99" t="s">
        <v>146</v>
      </c>
      <c r="C99" t="s">
        <v>72</v>
      </c>
      <c r="D99" s="12">
        <v>46239</v>
      </c>
      <c r="E99" t="s">
        <v>134</v>
      </c>
      <c r="F99" t="s">
        <v>73</v>
      </c>
      <c r="G99">
        <v>12.583037150002053</v>
      </c>
      <c r="H99">
        <v>2.8499999999999996</v>
      </c>
      <c r="I99">
        <v>10</v>
      </c>
      <c r="J99">
        <v>1</v>
      </c>
      <c r="K99">
        <v>2.8499999999999996</v>
      </c>
      <c r="L99">
        <v>46239</v>
      </c>
      <c r="M99" t="s">
        <v>180</v>
      </c>
      <c r="N99">
        <v>12.738511029411764</v>
      </c>
      <c r="O99">
        <v>0.22649539741679414</v>
      </c>
      <c r="P99">
        <v>0.22649539741679414</v>
      </c>
      <c r="Q99">
        <v>1.0123558309139766</v>
      </c>
      <c r="R99">
        <v>1.2355830913976629E-2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0.77350460258320586</v>
      </c>
      <c r="AB99">
        <v>0</v>
      </c>
      <c r="AC99">
        <v>0</v>
      </c>
      <c r="AD99">
        <v>0</v>
      </c>
      <c r="AE99">
        <v>0</v>
      </c>
      <c r="AF99">
        <v>0.22649539741679414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4.4151007543866854</v>
      </c>
      <c r="AM99">
        <v>4.4151007543866854</v>
      </c>
      <c r="AN99">
        <v>4.4696529927760587</v>
      </c>
      <c r="BE99">
        <v>0</v>
      </c>
      <c r="BF99">
        <v>0</v>
      </c>
      <c r="BG99">
        <v>0</v>
      </c>
      <c r="BI99">
        <v>0.2237310148273747</v>
      </c>
      <c r="BJ99">
        <v>0.2237310148273747</v>
      </c>
      <c r="BK99">
        <v>0.98779497234404079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1.2205027655959211E-2</v>
      </c>
      <c r="BW99">
        <v>0</v>
      </c>
      <c r="BX99">
        <v>0</v>
      </c>
      <c r="BY99">
        <v>0</v>
      </c>
      <c r="BZ99">
        <v>0.2237310148273747</v>
      </c>
      <c r="CA99">
        <v>0</v>
      </c>
      <c r="CB99">
        <v>0</v>
      </c>
      <c r="CC99">
        <v>0</v>
      </c>
      <c r="CD99">
        <v>0</v>
      </c>
      <c r="CE99">
        <v>0</v>
      </c>
    </row>
    <row r="100" spans="1:83" x14ac:dyDescent="0.25">
      <c r="A100" t="s">
        <v>128</v>
      </c>
      <c r="B100" t="s">
        <v>145</v>
      </c>
      <c r="C100" t="s">
        <v>72</v>
      </c>
      <c r="D100" s="12">
        <v>46239</v>
      </c>
      <c r="E100" t="s">
        <v>134</v>
      </c>
      <c r="F100" t="s">
        <v>74</v>
      </c>
      <c r="G100">
        <v>4.220105607573192</v>
      </c>
      <c r="H100">
        <v>3.8</v>
      </c>
      <c r="I100">
        <v>20</v>
      </c>
      <c r="K100">
        <v>3.8</v>
      </c>
      <c r="L100">
        <v>46239</v>
      </c>
      <c r="M100" t="s">
        <v>179</v>
      </c>
      <c r="N100">
        <v>4.6875</v>
      </c>
      <c r="O100">
        <v>0.90045139941064711</v>
      </c>
      <c r="P100">
        <v>0.90045139941064711</v>
      </c>
      <c r="Q100">
        <v>1.1107541933519496</v>
      </c>
      <c r="R100">
        <v>0.11075419335194958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9.9548600589352887E-2</v>
      </c>
      <c r="AB100">
        <v>0</v>
      </c>
      <c r="AC100">
        <v>0</v>
      </c>
      <c r="AD100">
        <v>0</v>
      </c>
      <c r="AE100">
        <v>0</v>
      </c>
      <c r="AF100">
        <v>0.90045139941064711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1.1105541072561032</v>
      </c>
      <c r="AM100">
        <v>1.1105541072561032</v>
      </c>
      <c r="AN100">
        <v>1.2335526315789473</v>
      </c>
      <c r="AO100">
        <v>0.12299852432284419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0.11055410725610315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1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0.81066666666666665</v>
      </c>
      <c r="BJ100">
        <v>0.81066666666666665</v>
      </c>
      <c r="BK100">
        <v>0.90028919628228099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9.971080371771901E-2</v>
      </c>
      <c r="BW100">
        <v>0</v>
      </c>
      <c r="BX100">
        <v>0</v>
      </c>
      <c r="BY100">
        <v>0</v>
      </c>
      <c r="BZ100">
        <v>0.81066666666666665</v>
      </c>
      <c r="CA100">
        <v>0</v>
      </c>
      <c r="CB100">
        <v>0</v>
      </c>
      <c r="CC100">
        <v>0</v>
      </c>
      <c r="CD100">
        <v>0</v>
      </c>
      <c r="CE100">
        <v>0</v>
      </c>
    </row>
    <row r="101" spans="1:83" x14ac:dyDescent="0.25">
      <c r="A101" t="s">
        <v>128</v>
      </c>
      <c r="B101" t="s">
        <v>146</v>
      </c>
      <c r="C101" t="s">
        <v>72</v>
      </c>
      <c r="D101" s="12">
        <v>46239</v>
      </c>
      <c r="E101" t="s">
        <v>134</v>
      </c>
      <c r="F101" t="s">
        <v>74</v>
      </c>
      <c r="G101">
        <v>4.2207252494765797</v>
      </c>
      <c r="H101">
        <v>1.9</v>
      </c>
      <c r="I101">
        <v>10</v>
      </c>
      <c r="J101">
        <v>1</v>
      </c>
      <c r="K101">
        <v>1.9</v>
      </c>
      <c r="L101">
        <v>46239</v>
      </c>
      <c r="M101" t="s">
        <v>179</v>
      </c>
      <c r="N101">
        <v>4.6875</v>
      </c>
      <c r="O101">
        <v>0.45015960236587838</v>
      </c>
      <c r="P101">
        <v>0.45015960236587838</v>
      </c>
      <c r="Q101">
        <v>1.1105911242579236</v>
      </c>
      <c r="R101">
        <v>0.11059112425792361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0.54984039763412162</v>
      </c>
      <c r="AB101">
        <v>0</v>
      </c>
      <c r="AC101">
        <v>0</v>
      </c>
      <c r="AD101">
        <v>0</v>
      </c>
      <c r="AE101">
        <v>0</v>
      </c>
      <c r="AF101">
        <v>0.45015960236587838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2.2214343418297791</v>
      </c>
      <c r="AM101">
        <v>2.2214343418297791</v>
      </c>
      <c r="AN101">
        <v>2.4671052631578947</v>
      </c>
      <c r="BE101">
        <v>0</v>
      </c>
      <c r="BF101">
        <v>0</v>
      </c>
      <c r="BG101">
        <v>0</v>
      </c>
      <c r="BI101">
        <v>0.40533333333333332</v>
      </c>
      <c r="BJ101">
        <v>0.40533333333333332</v>
      </c>
      <c r="BK101">
        <v>0.9004213865550037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9.95786134449963E-2</v>
      </c>
      <c r="BW101">
        <v>0</v>
      </c>
      <c r="BX101">
        <v>0</v>
      </c>
      <c r="BY101">
        <v>0</v>
      </c>
      <c r="BZ101">
        <v>0.40533333333333332</v>
      </c>
      <c r="CA101">
        <v>0</v>
      </c>
      <c r="CB101">
        <v>0</v>
      </c>
      <c r="CC101">
        <v>0</v>
      </c>
      <c r="CD101">
        <v>0</v>
      </c>
      <c r="CE101">
        <v>0</v>
      </c>
    </row>
    <row r="102" spans="1:83" x14ac:dyDescent="0.25">
      <c r="A102" t="s">
        <v>128</v>
      </c>
      <c r="B102" t="s">
        <v>145</v>
      </c>
      <c r="C102" t="s">
        <v>72</v>
      </c>
      <c r="D102" s="12">
        <v>46239</v>
      </c>
      <c r="E102" t="s">
        <v>134</v>
      </c>
      <c r="F102" t="s">
        <v>75</v>
      </c>
      <c r="G102">
        <v>10.803470355387372</v>
      </c>
      <c r="H102">
        <v>8.5499999999999989</v>
      </c>
      <c r="I102">
        <v>20</v>
      </c>
      <c r="K102">
        <v>8.5499999999999989</v>
      </c>
      <c r="L102">
        <v>46239</v>
      </c>
      <c r="M102" t="s">
        <v>178</v>
      </c>
      <c r="N102">
        <v>11.355238970588236</v>
      </c>
      <c r="O102">
        <v>0.79141236276326399</v>
      </c>
      <c r="P102">
        <v>0.79141236276326399</v>
      </c>
      <c r="Q102">
        <v>1.0510732752578631</v>
      </c>
      <c r="R102">
        <v>5.1073275257863093E-2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0.20858763723673601</v>
      </c>
      <c r="AB102">
        <v>0</v>
      </c>
      <c r="AC102">
        <v>0</v>
      </c>
      <c r="AD102">
        <v>0</v>
      </c>
      <c r="AE102">
        <v>0</v>
      </c>
      <c r="AF102">
        <v>0.79141236276326399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1.2635637842558332</v>
      </c>
      <c r="AM102">
        <v>1.2635637842558332</v>
      </c>
      <c r="AN102">
        <v>1.3280981252149984</v>
      </c>
      <c r="AO102">
        <v>6.4534340959165215E-2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0.26356378425583316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1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0.75295641264316637</v>
      </c>
      <c r="BJ102">
        <v>0.75295641264316637</v>
      </c>
      <c r="BK102">
        <v>0.95140845413909592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4.8591545860904084E-2</v>
      </c>
      <c r="BW102">
        <v>0</v>
      </c>
      <c r="BX102">
        <v>0</v>
      </c>
      <c r="BY102">
        <v>0</v>
      </c>
      <c r="BZ102">
        <v>0.75295641264316637</v>
      </c>
      <c r="CA102">
        <v>0</v>
      </c>
      <c r="CB102">
        <v>0</v>
      </c>
      <c r="CC102">
        <v>0</v>
      </c>
      <c r="CD102">
        <v>0</v>
      </c>
      <c r="CE102">
        <v>0</v>
      </c>
    </row>
    <row r="103" spans="1:83" x14ac:dyDescent="0.25">
      <c r="A103" t="s">
        <v>128</v>
      </c>
      <c r="B103" t="s">
        <v>146</v>
      </c>
      <c r="C103" t="s">
        <v>72</v>
      </c>
      <c r="D103" s="12">
        <v>46239</v>
      </c>
      <c r="E103" t="s">
        <v>134</v>
      </c>
      <c r="F103" t="s">
        <v>75</v>
      </c>
      <c r="G103">
        <v>10.815608451783737</v>
      </c>
      <c r="H103">
        <v>1.9</v>
      </c>
      <c r="I103">
        <v>10</v>
      </c>
      <c r="J103">
        <v>1</v>
      </c>
      <c r="K103">
        <v>1.9</v>
      </c>
      <c r="L103">
        <v>46239</v>
      </c>
      <c r="M103" t="s">
        <v>178</v>
      </c>
      <c r="N103">
        <v>11.355238970588236</v>
      </c>
      <c r="O103">
        <v>0.17567203994765984</v>
      </c>
      <c r="P103">
        <v>0.17567203994765984</v>
      </c>
      <c r="Q103">
        <v>1.0498936810823158</v>
      </c>
      <c r="R103">
        <v>4.9893681082315844E-2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0.8243279600523401</v>
      </c>
      <c r="AB103">
        <v>0</v>
      </c>
      <c r="AC103">
        <v>0</v>
      </c>
      <c r="AD103">
        <v>0</v>
      </c>
      <c r="AE103">
        <v>0</v>
      </c>
      <c r="AF103">
        <v>0.17567203994765984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5.6924255009388087</v>
      </c>
      <c r="AM103">
        <v>5.6924255009388087</v>
      </c>
      <c r="AN103">
        <v>5.9764415634674926</v>
      </c>
      <c r="BE103">
        <v>0</v>
      </c>
      <c r="BF103">
        <v>0</v>
      </c>
      <c r="BG103">
        <v>0</v>
      </c>
      <c r="BI103">
        <v>0.16732364725403698</v>
      </c>
      <c r="BJ103">
        <v>0.16732364725403698</v>
      </c>
      <c r="BK103">
        <v>0.95247739653897001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4.7522603461029989E-2</v>
      </c>
      <c r="BW103">
        <v>0</v>
      </c>
      <c r="BX103">
        <v>0</v>
      </c>
      <c r="BY103">
        <v>0</v>
      </c>
      <c r="BZ103">
        <v>0.16732364725403698</v>
      </c>
      <c r="CA103">
        <v>0</v>
      </c>
      <c r="CB103">
        <v>0</v>
      </c>
      <c r="CC103">
        <v>0</v>
      </c>
      <c r="CD103">
        <v>0</v>
      </c>
      <c r="CE103">
        <v>0</v>
      </c>
    </row>
    <row r="104" spans="1:83" x14ac:dyDescent="0.25">
      <c r="A104" t="s">
        <v>128</v>
      </c>
      <c r="B104" t="s">
        <v>145</v>
      </c>
      <c r="C104" t="s">
        <v>72</v>
      </c>
      <c r="D104" s="12">
        <v>46240</v>
      </c>
      <c r="E104" t="s">
        <v>134</v>
      </c>
      <c r="F104" t="s">
        <v>73</v>
      </c>
      <c r="G104">
        <v>11.73189358905347</v>
      </c>
      <c r="H104">
        <v>19.95</v>
      </c>
      <c r="I104">
        <v>20</v>
      </c>
      <c r="K104">
        <v>19.95</v>
      </c>
      <c r="L104">
        <v>46240</v>
      </c>
      <c r="M104" t="s">
        <v>194</v>
      </c>
      <c r="N104">
        <v>11.742187500000002</v>
      </c>
      <c r="O104">
        <v>1.7004927506855751</v>
      </c>
      <c r="P104">
        <v>1.7004927506855751</v>
      </c>
      <c r="Q104">
        <v>1.0008774296210916</v>
      </c>
      <c r="R104">
        <v>0</v>
      </c>
      <c r="S104">
        <v>0</v>
      </c>
      <c r="T104">
        <v>0.45049275068557515</v>
      </c>
      <c r="U104">
        <v>0</v>
      </c>
      <c r="V104">
        <v>0</v>
      </c>
      <c r="W104">
        <v>0</v>
      </c>
      <c r="X104">
        <v>8.7742962109160771E-4</v>
      </c>
      <c r="Y104">
        <v>0</v>
      </c>
      <c r="Z104">
        <v>0.24912257037890839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1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0.58806484155656491</v>
      </c>
      <c r="AM104">
        <v>0.58806484155656491</v>
      </c>
      <c r="AN104">
        <v>0.58858082706766923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0.41141917293233077</v>
      </c>
      <c r="AZ104">
        <v>0</v>
      </c>
      <c r="BA104">
        <v>0</v>
      </c>
      <c r="BB104">
        <v>0</v>
      </c>
      <c r="BC104">
        <v>0.58806484155656491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1.6990019960079836</v>
      </c>
      <c r="BJ104">
        <v>1.6990019960079836</v>
      </c>
      <c r="BK104">
        <v>0.9991233395867225</v>
      </c>
      <c r="CB104">
        <v>0</v>
      </c>
      <c r="CC104">
        <v>0</v>
      </c>
      <c r="CD104">
        <v>0</v>
      </c>
    </row>
    <row r="105" spans="1:83" x14ac:dyDescent="0.25">
      <c r="A105" t="s">
        <v>128</v>
      </c>
      <c r="B105" t="s">
        <v>146</v>
      </c>
      <c r="C105" t="s">
        <v>72</v>
      </c>
      <c r="D105" s="12">
        <v>46240</v>
      </c>
      <c r="E105" t="s">
        <v>134</v>
      </c>
      <c r="F105" t="s">
        <v>73</v>
      </c>
      <c r="G105">
        <v>11.738892100106735</v>
      </c>
      <c r="H105">
        <v>4.75</v>
      </c>
      <c r="I105">
        <v>10</v>
      </c>
      <c r="J105">
        <v>1</v>
      </c>
      <c r="K105">
        <v>4.75</v>
      </c>
      <c r="L105">
        <v>46240</v>
      </c>
      <c r="M105" t="s">
        <v>194</v>
      </c>
      <c r="N105">
        <v>11.742187500000002</v>
      </c>
      <c r="O105">
        <v>0.40463784482326154</v>
      </c>
      <c r="P105">
        <v>0.40463784482326154</v>
      </c>
      <c r="Q105">
        <v>1.0002807249496088</v>
      </c>
      <c r="R105">
        <v>2.8072494960884598E-4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0.59536215517673852</v>
      </c>
      <c r="AB105">
        <v>0</v>
      </c>
      <c r="AC105">
        <v>0</v>
      </c>
      <c r="AD105">
        <v>0</v>
      </c>
      <c r="AE105">
        <v>0</v>
      </c>
      <c r="AF105">
        <v>0.40463784482326154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2.4713457052856285</v>
      </c>
      <c r="AM105">
        <v>2.4713457052856285</v>
      </c>
      <c r="AN105">
        <v>2.4720394736842111</v>
      </c>
      <c r="BE105">
        <v>0</v>
      </c>
      <c r="BF105">
        <v>0</v>
      </c>
      <c r="BG105">
        <v>0</v>
      </c>
      <c r="BI105">
        <v>0.40452428476380564</v>
      </c>
      <c r="BJ105">
        <v>0.40452428476380564</v>
      </c>
      <c r="BK105">
        <v>0.99971935383477173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2.8064616522827102E-4</v>
      </c>
      <c r="BW105">
        <v>0</v>
      </c>
      <c r="BX105">
        <v>0</v>
      </c>
      <c r="BY105">
        <v>0</v>
      </c>
      <c r="BZ105">
        <v>0.40452428476380564</v>
      </c>
      <c r="CA105">
        <v>0</v>
      </c>
      <c r="CB105">
        <v>0</v>
      </c>
      <c r="CC105">
        <v>0</v>
      </c>
      <c r="CD105">
        <v>0</v>
      </c>
      <c r="CE105">
        <v>0</v>
      </c>
    </row>
    <row r="106" spans="1:83" x14ac:dyDescent="0.25">
      <c r="A106" t="s">
        <v>128</v>
      </c>
      <c r="B106" t="s">
        <v>146</v>
      </c>
      <c r="C106" t="s">
        <v>72</v>
      </c>
      <c r="D106" s="12">
        <v>46240</v>
      </c>
      <c r="E106" t="s">
        <v>134</v>
      </c>
      <c r="F106" t="s">
        <v>74</v>
      </c>
      <c r="G106">
        <v>4.2207252494765797</v>
      </c>
      <c r="H106">
        <v>0.95</v>
      </c>
      <c r="I106">
        <v>10</v>
      </c>
      <c r="J106">
        <v>1</v>
      </c>
      <c r="K106">
        <v>0.95</v>
      </c>
      <c r="L106">
        <v>46240</v>
      </c>
      <c r="M106" t="s">
        <v>195</v>
      </c>
      <c r="N106">
        <v>4.6875</v>
      </c>
      <c r="O106">
        <v>0.22507980118293919</v>
      </c>
      <c r="P106">
        <v>0.22507980118293919</v>
      </c>
      <c r="Q106">
        <v>1.1105911242579236</v>
      </c>
      <c r="R106">
        <v>0.11059112425792361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0.77492019881706087</v>
      </c>
      <c r="AB106">
        <v>0</v>
      </c>
      <c r="AC106">
        <v>0</v>
      </c>
      <c r="AD106">
        <v>0</v>
      </c>
      <c r="AE106">
        <v>0</v>
      </c>
      <c r="AF106">
        <v>0.22507980118293919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4.4428686836595581</v>
      </c>
      <c r="AM106">
        <v>4.4428686836595581</v>
      </c>
      <c r="AN106">
        <v>4.9342105263157894</v>
      </c>
      <c r="BE106">
        <v>0</v>
      </c>
      <c r="BF106">
        <v>0</v>
      </c>
      <c r="BG106">
        <v>0</v>
      </c>
      <c r="BI106">
        <v>0.20266666666666666</v>
      </c>
      <c r="BJ106">
        <v>0.20266666666666666</v>
      </c>
      <c r="BK106">
        <v>0.9004213865550037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9.95786134449963E-2</v>
      </c>
      <c r="BW106">
        <v>0</v>
      </c>
      <c r="BX106">
        <v>0</v>
      </c>
      <c r="BY106">
        <v>0</v>
      </c>
      <c r="BZ106">
        <v>0.20266666666666666</v>
      </c>
      <c r="CA106">
        <v>0</v>
      </c>
      <c r="CB106">
        <v>0</v>
      </c>
      <c r="CC106">
        <v>0</v>
      </c>
      <c r="CD106">
        <v>0</v>
      </c>
      <c r="CE106">
        <v>0</v>
      </c>
    </row>
    <row r="107" spans="1:83" x14ac:dyDescent="0.25">
      <c r="A107" t="s">
        <v>128</v>
      </c>
      <c r="B107" t="s">
        <v>145</v>
      </c>
      <c r="C107" t="s">
        <v>72</v>
      </c>
      <c r="D107" s="12">
        <v>46240</v>
      </c>
      <c r="E107" t="s">
        <v>134</v>
      </c>
      <c r="F107" t="s">
        <v>74</v>
      </c>
      <c r="G107">
        <v>4.220105607573192</v>
      </c>
      <c r="H107">
        <v>3.8</v>
      </c>
      <c r="I107">
        <v>20</v>
      </c>
      <c r="K107">
        <v>3.8</v>
      </c>
      <c r="L107">
        <v>46240</v>
      </c>
      <c r="M107" t="s">
        <v>195</v>
      </c>
      <c r="N107">
        <v>4.6875</v>
      </c>
      <c r="O107">
        <v>0.90045139941064711</v>
      </c>
      <c r="P107">
        <v>0.90045139941064711</v>
      </c>
      <c r="Q107">
        <v>1.1107541933519496</v>
      </c>
      <c r="R107">
        <v>0.11075419335194958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9.9548600589352887E-2</v>
      </c>
      <c r="AB107">
        <v>0</v>
      </c>
      <c r="AC107">
        <v>0</v>
      </c>
      <c r="AD107">
        <v>0</v>
      </c>
      <c r="AE107">
        <v>0</v>
      </c>
      <c r="AF107">
        <v>0.90045139941064711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1.1105541072561032</v>
      </c>
      <c r="AM107">
        <v>1.1105541072561032</v>
      </c>
      <c r="AN107">
        <v>1.2335526315789473</v>
      </c>
      <c r="AO107">
        <v>0.12299852432284419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0.11055410725610315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1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0.81066666666666665</v>
      </c>
      <c r="BJ107">
        <v>0.81066666666666665</v>
      </c>
      <c r="BK107">
        <v>0.90028919628228099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9.971080371771901E-2</v>
      </c>
      <c r="BW107">
        <v>0</v>
      </c>
      <c r="BX107">
        <v>0</v>
      </c>
      <c r="BY107">
        <v>0</v>
      </c>
      <c r="BZ107">
        <v>0.81066666666666665</v>
      </c>
      <c r="CA107">
        <v>0</v>
      </c>
      <c r="CB107">
        <v>0</v>
      </c>
      <c r="CC107">
        <v>0</v>
      </c>
      <c r="CD107">
        <v>0</v>
      </c>
      <c r="CE107">
        <v>0</v>
      </c>
    </row>
    <row r="108" spans="1:83" x14ac:dyDescent="0.25">
      <c r="A108" t="s">
        <v>128</v>
      </c>
      <c r="B108" t="s">
        <v>146</v>
      </c>
      <c r="C108" t="s">
        <v>72</v>
      </c>
      <c r="D108" s="12">
        <v>46240</v>
      </c>
      <c r="E108" t="s">
        <v>134</v>
      </c>
      <c r="F108" t="s">
        <v>75</v>
      </c>
      <c r="G108">
        <v>10.973885648639106</v>
      </c>
      <c r="H108">
        <v>0.95</v>
      </c>
      <c r="I108">
        <v>10</v>
      </c>
      <c r="J108">
        <v>1</v>
      </c>
      <c r="K108">
        <v>0.95</v>
      </c>
      <c r="L108">
        <v>46240</v>
      </c>
      <c r="M108" t="s">
        <v>213</v>
      </c>
      <c r="N108">
        <v>11.6015625</v>
      </c>
      <c r="O108">
        <v>8.6569154301130463E-2</v>
      </c>
      <c r="P108">
        <v>8.6569154301130463E-2</v>
      </c>
      <c r="Q108">
        <v>1.0571973202070621</v>
      </c>
      <c r="R108">
        <v>5.7197320207062141E-2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0.91343084569886956</v>
      </c>
      <c r="AB108">
        <v>0</v>
      </c>
      <c r="AC108">
        <v>0</v>
      </c>
      <c r="AD108">
        <v>0</v>
      </c>
      <c r="AE108">
        <v>0</v>
      </c>
      <c r="AF108">
        <v>8.6569154301130463E-2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11.551458577514849</v>
      </c>
      <c r="AM108">
        <v>11.551458577514849</v>
      </c>
      <c r="AN108">
        <v>12.212171052631579</v>
      </c>
      <c r="BE108">
        <v>0</v>
      </c>
      <c r="BF108">
        <v>0</v>
      </c>
      <c r="BG108">
        <v>0</v>
      </c>
      <c r="BI108">
        <v>8.1885521885521881E-2</v>
      </c>
      <c r="BJ108">
        <v>8.1885521885521881E-2</v>
      </c>
      <c r="BK108">
        <v>0.94589721415879169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5.4102785841208312E-2</v>
      </c>
      <c r="BW108">
        <v>0</v>
      </c>
      <c r="BX108">
        <v>0</v>
      </c>
      <c r="BY108">
        <v>0</v>
      </c>
      <c r="BZ108">
        <v>8.1885521885521881E-2</v>
      </c>
      <c r="CA108">
        <v>0</v>
      </c>
      <c r="CB108">
        <v>0</v>
      </c>
      <c r="CC108">
        <v>0</v>
      </c>
      <c r="CD108">
        <v>0</v>
      </c>
      <c r="CE108">
        <v>0</v>
      </c>
    </row>
    <row r="109" spans="1:83" x14ac:dyDescent="0.25">
      <c r="A109" t="s">
        <v>128</v>
      </c>
      <c r="B109" t="s">
        <v>145</v>
      </c>
      <c r="C109" t="s">
        <v>72</v>
      </c>
      <c r="D109" s="12">
        <v>46240</v>
      </c>
      <c r="E109" t="s">
        <v>134</v>
      </c>
      <c r="F109" t="s">
        <v>75</v>
      </c>
      <c r="G109">
        <v>10.972274579690296</v>
      </c>
      <c r="H109">
        <v>10.45</v>
      </c>
      <c r="I109">
        <v>20</v>
      </c>
      <c r="K109">
        <v>10.45</v>
      </c>
      <c r="L109">
        <v>46240</v>
      </c>
      <c r="M109" t="s">
        <v>213</v>
      </c>
      <c r="N109">
        <v>11.6015625</v>
      </c>
      <c r="O109">
        <v>0.95240051860741537</v>
      </c>
      <c r="P109">
        <v>0.95240051860741537</v>
      </c>
      <c r="Q109">
        <v>1.0573525494407985</v>
      </c>
      <c r="R109">
        <v>5.7352549440798484E-2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4.7599481392584631E-2</v>
      </c>
      <c r="AB109">
        <v>0</v>
      </c>
      <c r="AC109">
        <v>0</v>
      </c>
      <c r="AD109">
        <v>0</v>
      </c>
      <c r="AE109">
        <v>0</v>
      </c>
      <c r="AF109">
        <v>0.95240051860741537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1.0499784286784972</v>
      </c>
      <c r="AM109">
        <v>1.0499784286784972</v>
      </c>
      <c r="AN109">
        <v>1.1101973684210527</v>
      </c>
      <c r="AO109">
        <v>6.0218939742555433E-2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4.9978428678497222E-2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1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0.90074074074074073</v>
      </c>
      <c r="BJ109">
        <v>0.90074074074074073</v>
      </c>
      <c r="BK109">
        <v>0.94575834760966859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5.4241652390331407E-2</v>
      </c>
      <c r="BW109">
        <v>0</v>
      </c>
      <c r="BX109">
        <v>0</v>
      </c>
      <c r="BY109">
        <v>0</v>
      </c>
      <c r="BZ109">
        <v>0.90074074074074073</v>
      </c>
      <c r="CA109">
        <v>0</v>
      </c>
      <c r="CB109">
        <v>0</v>
      </c>
      <c r="CC109">
        <v>0</v>
      </c>
      <c r="CD109">
        <v>0</v>
      </c>
      <c r="CE109">
        <v>0</v>
      </c>
    </row>
    <row r="110" spans="1:83" x14ac:dyDescent="0.25">
      <c r="A110" t="s">
        <v>128</v>
      </c>
      <c r="B110" t="s">
        <v>145</v>
      </c>
      <c r="C110" t="s">
        <v>72</v>
      </c>
      <c r="D110" s="12">
        <v>46241</v>
      </c>
      <c r="E110" t="s">
        <v>134</v>
      </c>
      <c r="F110" t="s">
        <v>73</v>
      </c>
      <c r="G110">
        <v>10.972274579690296</v>
      </c>
      <c r="H110">
        <v>19</v>
      </c>
      <c r="I110">
        <v>20</v>
      </c>
      <c r="K110">
        <v>19</v>
      </c>
      <c r="L110">
        <v>46241</v>
      </c>
      <c r="M110" t="s">
        <v>212</v>
      </c>
      <c r="N110">
        <v>11.308823529411764</v>
      </c>
      <c r="O110">
        <v>1.7316373065589372</v>
      </c>
      <c r="P110">
        <v>1.7316373065589372</v>
      </c>
      <c r="Q110">
        <v>1.0306726693063644</v>
      </c>
      <c r="R110">
        <v>0</v>
      </c>
      <c r="S110">
        <v>0</v>
      </c>
      <c r="T110">
        <v>0.48163730655893722</v>
      </c>
      <c r="U110">
        <v>0</v>
      </c>
      <c r="V110">
        <v>0</v>
      </c>
      <c r="W110">
        <v>0</v>
      </c>
      <c r="X110">
        <v>3.0672669306364364E-2</v>
      </c>
      <c r="Y110">
        <v>0</v>
      </c>
      <c r="Z110">
        <v>0.21932733069363564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1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0.57748813577317348</v>
      </c>
      <c r="AM110">
        <v>0.57748813577317348</v>
      </c>
      <c r="AN110">
        <v>0.59520123839009287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0.40479876160990713</v>
      </c>
      <c r="AZ110">
        <v>0</v>
      </c>
      <c r="BA110">
        <v>0</v>
      </c>
      <c r="BB110">
        <v>0</v>
      </c>
      <c r="BC110">
        <v>0.57748813577317348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1.6801040312093629</v>
      </c>
      <c r="BJ110">
        <v>1.6801040312093629</v>
      </c>
      <c r="BK110">
        <v>0.97024014488808863</v>
      </c>
      <c r="CB110">
        <v>0</v>
      </c>
      <c r="CC110">
        <v>0</v>
      </c>
      <c r="CD110">
        <v>0</v>
      </c>
    </row>
    <row r="111" spans="1:83" x14ac:dyDescent="0.25">
      <c r="A111" t="s">
        <v>128</v>
      </c>
      <c r="B111" t="s">
        <v>146</v>
      </c>
      <c r="C111" t="s">
        <v>72</v>
      </c>
      <c r="D111" s="12">
        <v>46241</v>
      </c>
      <c r="E111" t="s">
        <v>134</v>
      </c>
      <c r="F111" t="s">
        <v>73</v>
      </c>
      <c r="G111">
        <v>10.973885648639108</v>
      </c>
      <c r="H111">
        <v>0</v>
      </c>
      <c r="I111">
        <v>10</v>
      </c>
      <c r="J111">
        <v>1</v>
      </c>
      <c r="K111">
        <v>0</v>
      </c>
      <c r="L111">
        <v>46241</v>
      </c>
      <c r="M111" t="s">
        <v>212</v>
      </c>
      <c r="N111">
        <v>11.308823529411764</v>
      </c>
      <c r="O111">
        <v>0</v>
      </c>
      <c r="P111">
        <v>0</v>
      </c>
      <c r="Q111">
        <v>1.0305213569283176</v>
      </c>
      <c r="R111">
        <v>3.0521356928317589E-2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</v>
      </c>
      <c r="AK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1</v>
      </c>
      <c r="BH111">
        <v>1</v>
      </c>
      <c r="BI111">
        <v>0</v>
      </c>
      <c r="BJ111">
        <v>0</v>
      </c>
      <c r="BK111">
        <v>0.9703826061215336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2.9617393878466403E-2</v>
      </c>
      <c r="BW111">
        <v>0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0.9703826061215336</v>
      </c>
      <c r="CE111">
        <v>0</v>
      </c>
    </row>
    <row r="112" spans="1:83" x14ac:dyDescent="0.25">
      <c r="A112" t="s">
        <v>128</v>
      </c>
      <c r="B112" t="s">
        <v>145</v>
      </c>
      <c r="C112" t="s">
        <v>72</v>
      </c>
      <c r="D112" s="12">
        <v>46241</v>
      </c>
      <c r="E112" t="s">
        <v>134</v>
      </c>
      <c r="F112" t="s">
        <v>74</v>
      </c>
      <c r="G112">
        <v>4.220105607573192</v>
      </c>
      <c r="H112">
        <v>3.8</v>
      </c>
      <c r="I112">
        <v>20</v>
      </c>
      <c r="K112">
        <v>3.8</v>
      </c>
      <c r="L112">
        <v>46241</v>
      </c>
      <c r="M112" t="s">
        <v>211</v>
      </c>
      <c r="N112">
        <v>4.6875</v>
      </c>
      <c r="O112">
        <v>0.90045139941064711</v>
      </c>
      <c r="P112">
        <v>0.90045139941064711</v>
      </c>
      <c r="Q112">
        <v>1.1107541933519496</v>
      </c>
      <c r="R112">
        <v>0.11075419335194958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9.9548600589352887E-2</v>
      </c>
      <c r="AB112">
        <v>0</v>
      </c>
      <c r="AC112">
        <v>0</v>
      </c>
      <c r="AD112">
        <v>0</v>
      </c>
      <c r="AE112">
        <v>0</v>
      </c>
      <c r="AF112">
        <v>0.90045139941064711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1.1105541072561032</v>
      </c>
      <c r="AM112">
        <v>1.1105541072561032</v>
      </c>
      <c r="AN112">
        <v>1.2335526315789473</v>
      </c>
      <c r="AO112">
        <v>0.12299852432284419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0.11055410725610315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1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0.81066666666666665</v>
      </c>
      <c r="BJ112">
        <v>0.81066666666666665</v>
      </c>
      <c r="BK112">
        <v>0.90028919628228099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9.971080371771901E-2</v>
      </c>
      <c r="BW112">
        <v>0</v>
      </c>
      <c r="BX112">
        <v>0</v>
      </c>
      <c r="BY112">
        <v>0</v>
      </c>
      <c r="BZ112">
        <v>0.81066666666666665</v>
      </c>
      <c r="CA112">
        <v>0</v>
      </c>
      <c r="CB112">
        <v>0</v>
      </c>
      <c r="CC112">
        <v>0</v>
      </c>
      <c r="CD112">
        <v>0</v>
      </c>
      <c r="CE112">
        <v>0</v>
      </c>
    </row>
    <row r="113" spans="1:83" x14ac:dyDescent="0.25">
      <c r="A113" t="s">
        <v>128</v>
      </c>
      <c r="B113" t="s">
        <v>146</v>
      </c>
      <c r="C113" t="s">
        <v>72</v>
      </c>
      <c r="D113" s="12">
        <v>46241</v>
      </c>
      <c r="E113" t="s">
        <v>134</v>
      </c>
      <c r="F113" t="s">
        <v>74</v>
      </c>
      <c r="G113">
        <v>4.2207252494765797</v>
      </c>
      <c r="H113">
        <v>3.8</v>
      </c>
      <c r="I113">
        <v>10</v>
      </c>
      <c r="J113">
        <v>1</v>
      </c>
      <c r="K113">
        <v>3.8</v>
      </c>
      <c r="L113">
        <v>46241</v>
      </c>
      <c r="M113" t="s">
        <v>211</v>
      </c>
      <c r="N113">
        <v>4.6875</v>
      </c>
      <c r="O113">
        <v>0.90031920473175675</v>
      </c>
      <c r="P113">
        <v>0.90031920473175675</v>
      </c>
      <c r="Q113">
        <v>1.1105911242579236</v>
      </c>
      <c r="R113">
        <v>0.11059112425792361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9.968079526824325E-2</v>
      </c>
      <c r="AB113">
        <v>0</v>
      </c>
      <c r="AC113">
        <v>0</v>
      </c>
      <c r="AD113">
        <v>0</v>
      </c>
      <c r="AE113">
        <v>0</v>
      </c>
      <c r="AF113">
        <v>0.90031920473175675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1.1107171709148895</v>
      </c>
      <c r="AM113">
        <v>1.1107171709148895</v>
      </c>
      <c r="AN113">
        <v>1.2335526315789473</v>
      </c>
      <c r="AO113">
        <v>0.12283546066405782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0.11071717091488953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1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0.81066666666666665</v>
      </c>
      <c r="BJ113">
        <v>0.81066666666666665</v>
      </c>
      <c r="BK113">
        <v>0.9004213865550037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9.95786134449963E-2</v>
      </c>
      <c r="BW113">
        <v>0</v>
      </c>
      <c r="BX113">
        <v>0</v>
      </c>
      <c r="BY113">
        <v>0</v>
      </c>
      <c r="BZ113">
        <v>0.81066666666666665</v>
      </c>
      <c r="CA113">
        <v>0</v>
      </c>
      <c r="CB113">
        <v>0</v>
      </c>
      <c r="CC113">
        <v>0</v>
      </c>
      <c r="CD113">
        <v>0</v>
      </c>
      <c r="CE113">
        <v>0</v>
      </c>
    </row>
    <row r="114" spans="1:83" x14ac:dyDescent="0.25">
      <c r="A114" t="s">
        <v>128</v>
      </c>
      <c r="B114" t="s">
        <v>145</v>
      </c>
      <c r="C114" t="s">
        <v>72</v>
      </c>
      <c r="D114" s="12">
        <v>46241</v>
      </c>
      <c r="E114" t="s">
        <v>134</v>
      </c>
      <c r="F114" t="s">
        <v>75</v>
      </c>
      <c r="G114">
        <v>11.028542654457938</v>
      </c>
      <c r="H114">
        <v>10.45</v>
      </c>
      <c r="I114">
        <v>20</v>
      </c>
      <c r="K114">
        <v>10.45</v>
      </c>
      <c r="L114">
        <v>46241</v>
      </c>
      <c r="M114" t="s">
        <v>210</v>
      </c>
      <c r="N114">
        <v>11.253676470588236</v>
      </c>
      <c r="O114">
        <v>0.94754133228798987</v>
      </c>
      <c r="P114">
        <v>0.94754133228798987</v>
      </c>
      <c r="Q114">
        <v>1.0204137412515963</v>
      </c>
      <c r="R114">
        <v>2.041374125159634E-2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5.2458667712010132E-2</v>
      </c>
      <c r="AB114">
        <v>0</v>
      </c>
      <c r="AC114">
        <v>0</v>
      </c>
      <c r="AD114">
        <v>0</v>
      </c>
      <c r="AE114">
        <v>0</v>
      </c>
      <c r="AF114">
        <v>0.94754133228798987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1.0553629334409511</v>
      </c>
      <c r="AM114">
        <v>1.0553629334409511</v>
      </c>
      <c r="AN114">
        <v>1.0769068392907404</v>
      </c>
      <c r="AO114">
        <v>2.1543905849789269E-2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5.5362933440951112E-2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1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0.92858542959817048</v>
      </c>
      <c r="BJ114">
        <v>0.92858542959817048</v>
      </c>
      <c r="BK114">
        <v>0.97999464293125094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2.0005357068749063E-2</v>
      </c>
      <c r="BW114">
        <v>0</v>
      </c>
      <c r="BX114">
        <v>0</v>
      </c>
      <c r="BY114">
        <v>0</v>
      </c>
      <c r="BZ114">
        <v>0.92858542959817048</v>
      </c>
      <c r="CA114">
        <v>0</v>
      </c>
      <c r="CB114">
        <v>0</v>
      </c>
      <c r="CC114">
        <v>0</v>
      </c>
      <c r="CD114">
        <v>0</v>
      </c>
      <c r="CE114">
        <v>0</v>
      </c>
    </row>
    <row r="115" spans="1:83" x14ac:dyDescent="0.25">
      <c r="A115" t="s">
        <v>128</v>
      </c>
      <c r="B115" t="s">
        <v>146</v>
      </c>
      <c r="C115" t="s">
        <v>72</v>
      </c>
      <c r="D115" s="12">
        <v>46241</v>
      </c>
      <c r="E115" t="s">
        <v>134</v>
      </c>
      <c r="F115" t="s">
        <v>75</v>
      </c>
      <c r="G115">
        <v>11.026644714257564</v>
      </c>
      <c r="H115">
        <v>2.8499999999999996</v>
      </c>
      <c r="I115">
        <v>10</v>
      </c>
      <c r="J115">
        <v>1</v>
      </c>
      <c r="K115">
        <v>2.8499999999999996</v>
      </c>
      <c r="L115">
        <v>46241</v>
      </c>
      <c r="M115" t="s">
        <v>210</v>
      </c>
      <c r="N115">
        <v>11.253676470588236</v>
      </c>
      <c r="O115">
        <v>0.25846484346366222</v>
      </c>
      <c r="P115">
        <v>0.25846484346366222</v>
      </c>
      <c r="Q115">
        <v>1.0205893780215043</v>
      </c>
      <c r="R115">
        <v>2.058937802150429E-2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0.74153515653633773</v>
      </c>
      <c r="AB115">
        <v>0</v>
      </c>
      <c r="AC115">
        <v>0</v>
      </c>
      <c r="AD115">
        <v>0</v>
      </c>
      <c r="AE115">
        <v>0</v>
      </c>
      <c r="AF115">
        <v>0.25846484346366222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3.8689981453535318</v>
      </c>
      <c r="AM115">
        <v>3.8689981453535318</v>
      </c>
      <c r="AN115">
        <v>3.9486584107327145</v>
      </c>
      <c r="BE115">
        <v>0</v>
      </c>
      <c r="BF115">
        <v>0</v>
      </c>
      <c r="BG115">
        <v>0</v>
      </c>
      <c r="BI115">
        <v>0.25325057170859194</v>
      </c>
      <c r="BJ115">
        <v>0.25325057170859194</v>
      </c>
      <c r="BK115">
        <v>0.97982599225026379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2.0174007749736211E-2</v>
      </c>
      <c r="BW115">
        <v>0</v>
      </c>
      <c r="BX115">
        <v>0</v>
      </c>
      <c r="BY115">
        <v>0</v>
      </c>
      <c r="BZ115">
        <v>0.25325057170859194</v>
      </c>
      <c r="CA115">
        <v>0</v>
      </c>
      <c r="CB115">
        <v>0</v>
      </c>
      <c r="CC115">
        <v>0</v>
      </c>
      <c r="CD115">
        <v>0</v>
      </c>
      <c r="CE115">
        <v>0</v>
      </c>
    </row>
    <row r="116" spans="1:83" x14ac:dyDescent="0.25">
      <c r="A116" t="s">
        <v>128</v>
      </c>
      <c r="B116" t="s">
        <v>145</v>
      </c>
      <c r="C116" t="s">
        <v>72</v>
      </c>
      <c r="D116" s="12">
        <v>46242</v>
      </c>
      <c r="E116" t="s">
        <v>134</v>
      </c>
      <c r="F116" t="s">
        <v>73</v>
      </c>
      <c r="G116">
        <v>11.028542654457938</v>
      </c>
      <c r="H116">
        <v>15.2</v>
      </c>
      <c r="I116">
        <v>20</v>
      </c>
      <c r="K116">
        <v>15.2</v>
      </c>
      <c r="L116">
        <v>46242</v>
      </c>
      <c r="M116" t="s">
        <v>209</v>
      </c>
      <c r="N116">
        <v>11.253676470588236</v>
      </c>
      <c r="O116">
        <v>1.3782419378734398</v>
      </c>
      <c r="P116">
        <v>1.3782419378734398</v>
      </c>
      <c r="Q116">
        <v>1.0204137412515963</v>
      </c>
      <c r="R116">
        <v>0</v>
      </c>
      <c r="S116">
        <v>0</v>
      </c>
      <c r="T116">
        <v>0.12824193787343985</v>
      </c>
      <c r="U116">
        <v>0</v>
      </c>
      <c r="V116">
        <v>0</v>
      </c>
      <c r="W116">
        <v>0</v>
      </c>
      <c r="X116">
        <v>2.041374125159634E-2</v>
      </c>
      <c r="Y116">
        <v>0</v>
      </c>
      <c r="Z116">
        <v>0.22958625874840366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1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0.7255620167406539</v>
      </c>
      <c r="AM116">
        <v>0.7255620167406539</v>
      </c>
      <c r="AN116">
        <v>0.74037345201238391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0.25962654798761609</v>
      </c>
      <c r="AZ116">
        <v>0</v>
      </c>
      <c r="BA116">
        <v>0</v>
      </c>
      <c r="BB116">
        <v>0</v>
      </c>
      <c r="BC116">
        <v>0.7255620167406539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1.350669715779157</v>
      </c>
      <c r="BJ116">
        <v>1.350669715779157</v>
      </c>
      <c r="BK116">
        <v>0.97999464293125094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0.35066971577915695</v>
      </c>
      <c r="BU116">
        <v>0</v>
      </c>
      <c r="BV116">
        <v>0</v>
      </c>
      <c r="BW116">
        <v>0</v>
      </c>
      <c r="BX116">
        <v>2.0005357068749063E-2</v>
      </c>
      <c r="BY116">
        <v>0</v>
      </c>
      <c r="BZ116">
        <v>0.97999464293125094</v>
      </c>
      <c r="CA116">
        <v>0</v>
      </c>
      <c r="CB116">
        <v>0</v>
      </c>
      <c r="CC116">
        <v>0</v>
      </c>
      <c r="CD116">
        <v>0</v>
      </c>
      <c r="CE116">
        <v>0</v>
      </c>
    </row>
    <row r="117" spans="1:83" x14ac:dyDescent="0.25">
      <c r="A117" t="s">
        <v>128</v>
      </c>
      <c r="B117" t="s">
        <v>146</v>
      </c>
      <c r="C117" t="s">
        <v>72</v>
      </c>
      <c r="D117" s="12">
        <v>46242</v>
      </c>
      <c r="E117" t="s">
        <v>134</v>
      </c>
      <c r="F117" t="s">
        <v>73</v>
      </c>
      <c r="G117">
        <v>11.026644714257564</v>
      </c>
      <c r="H117">
        <v>4.75</v>
      </c>
      <c r="I117">
        <v>10</v>
      </c>
      <c r="J117">
        <v>1</v>
      </c>
      <c r="K117">
        <v>4.75</v>
      </c>
      <c r="L117">
        <v>46242</v>
      </c>
      <c r="M117" t="s">
        <v>209</v>
      </c>
      <c r="N117">
        <v>11.253676470588236</v>
      </c>
      <c r="O117">
        <v>0.43077473910610375</v>
      </c>
      <c r="P117">
        <v>0.43077473910610375</v>
      </c>
      <c r="Q117">
        <v>1.0205893780215043</v>
      </c>
      <c r="R117">
        <v>2.058937802150429E-2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0.56922526089389625</v>
      </c>
      <c r="AB117">
        <v>0</v>
      </c>
      <c r="AC117">
        <v>0</v>
      </c>
      <c r="AD117">
        <v>0</v>
      </c>
      <c r="AE117">
        <v>0</v>
      </c>
      <c r="AF117">
        <v>0.43077473910610375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2.3213988872121187</v>
      </c>
      <c r="AM117">
        <v>2.3213988872121187</v>
      </c>
      <c r="AN117">
        <v>2.3691950464396285</v>
      </c>
      <c r="BE117">
        <v>0</v>
      </c>
      <c r="BF117">
        <v>0</v>
      </c>
      <c r="BG117">
        <v>0</v>
      </c>
      <c r="BI117">
        <v>0.42208428618098659</v>
      </c>
      <c r="BJ117">
        <v>0.42208428618098659</v>
      </c>
      <c r="BK117">
        <v>0.97982599225026379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2.0174007749736211E-2</v>
      </c>
      <c r="BW117">
        <v>0</v>
      </c>
      <c r="BX117">
        <v>0</v>
      </c>
      <c r="BY117">
        <v>0</v>
      </c>
      <c r="BZ117">
        <v>0.42208428618098659</v>
      </c>
      <c r="CA117">
        <v>0</v>
      </c>
      <c r="CB117">
        <v>0</v>
      </c>
      <c r="CC117">
        <v>0</v>
      </c>
      <c r="CD117">
        <v>0</v>
      </c>
      <c r="CE117">
        <v>0</v>
      </c>
    </row>
    <row r="118" spans="1:83" x14ac:dyDescent="0.25">
      <c r="A118" t="s">
        <v>128</v>
      </c>
      <c r="B118" t="s">
        <v>145</v>
      </c>
      <c r="C118" t="s">
        <v>72</v>
      </c>
      <c r="D118" s="12">
        <v>46242</v>
      </c>
      <c r="E118" t="s">
        <v>134</v>
      </c>
      <c r="F118" t="s">
        <v>74</v>
      </c>
      <c r="G118">
        <v>4.220105607573192</v>
      </c>
      <c r="H118">
        <v>3.8</v>
      </c>
      <c r="I118">
        <v>20</v>
      </c>
      <c r="K118">
        <v>3.8</v>
      </c>
      <c r="L118">
        <v>46242</v>
      </c>
      <c r="M118" t="s">
        <v>208</v>
      </c>
      <c r="N118">
        <v>4.6875</v>
      </c>
      <c r="O118">
        <v>0.90045139941064711</v>
      </c>
      <c r="P118">
        <v>0.90045139941064711</v>
      </c>
      <c r="Q118">
        <v>1.1107541933519496</v>
      </c>
      <c r="R118">
        <v>0.11075419335194958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9.9548600589352887E-2</v>
      </c>
      <c r="AB118">
        <v>0</v>
      </c>
      <c r="AC118">
        <v>0</v>
      </c>
      <c r="AD118">
        <v>0</v>
      </c>
      <c r="AE118">
        <v>0</v>
      </c>
      <c r="AF118">
        <v>0.90045139941064711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1.1105541072561032</v>
      </c>
      <c r="AM118">
        <v>1.1105541072561032</v>
      </c>
      <c r="AN118">
        <v>1.2335526315789473</v>
      </c>
      <c r="AO118">
        <v>0.12299852432284419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0.11055410725610315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1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0.81066666666666665</v>
      </c>
      <c r="BJ118">
        <v>0.81066666666666665</v>
      </c>
      <c r="BK118">
        <v>0.90028919628228099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9.971080371771901E-2</v>
      </c>
      <c r="BW118">
        <v>0</v>
      </c>
      <c r="BX118">
        <v>0</v>
      </c>
      <c r="BY118">
        <v>0</v>
      </c>
      <c r="BZ118">
        <v>0.81066666666666665</v>
      </c>
      <c r="CA118">
        <v>0</v>
      </c>
      <c r="CB118">
        <v>0</v>
      </c>
      <c r="CC118">
        <v>0</v>
      </c>
      <c r="CD118">
        <v>0</v>
      </c>
      <c r="CE118">
        <v>0</v>
      </c>
    </row>
    <row r="119" spans="1:83" x14ac:dyDescent="0.25">
      <c r="A119" t="s">
        <v>128</v>
      </c>
      <c r="B119" t="s">
        <v>146</v>
      </c>
      <c r="C119" t="s">
        <v>72</v>
      </c>
      <c r="D119" s="12">
        <v>46242</v>
      </c>
      <c r="E119" t="s">
        <v>134</v>
      </c>
      <c r="F119" t="s">
        <v>74</v>
      </c>
      <c r="G119">
        <v>4.2207252494765797</v>
      </c>
      <c r="H119">
        <v>0.95</v>
      </c>
      <c r="I119">
        <v>10</v>
      </c>
      <c r="J119">
        <v>1</v>
      </c>
      <c r="K119">
        <v>0.95</v>
      </c>
      <c r="L119">
        <v>46242</v>
      </c>
      <c r="M119" t="s">
        <v>208</v>
      </c>
      <c r="N119">
        <v>4.6875</v>
      </c>
      <c r="O119">
        <v>0.22507980118293919</v>
      </c>
      <c r="P119">
        <v>0.22507980118293919</v>
      </c>
      <c r="Q119">
        <v>1.1105911242579236</v>
      </c>
      <c r="R119">
        <v>0.11059112425792361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0.77492019881706087</v>
      </c>
      <c r="AB119">
        <v>0</v>
      </c>
      <c r="AC119">
        <v>0</v>
      </c>
      <c r="AD119">
        <v>0</v>
      </c>
      <c r="AE119">
        <v>0</v>
      </c>
      <c r="AF119">
        <v>0.22507980118293919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4.4428686836595581</v>
      </c>
      <c r="AM119">
        <v>4.4428686836595581</v>
      </c>
      <c r="AN119">
        <v>4.9342105263157894</v>
      </c>
      <c r="BE119">
        <v>0</v>
      </c>
      <c r="BF119">
        <v>0</v>
      </c>
      <c r="BG119">
        <v>0</v>
      </c>
      <c r="BI119">
        <v>0.20266666666666666</v>
      </c>
      <c r="BJ119">
        <v>0.20266666666666666</v>
      </c>
      <c r="BK119">
        <v>0.9004213865550037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  <c r="BV119">
        <v>9.95786134449963E-2</v>
      </c>
      <c r="BW119">
        <v>0</v>
      </c>
      <c r="BX119">
        <v>0</v>
      </c>
      <c r="BY119">
        <v>0</v>
      </c>
      <c r="BZ119">
        <v>0.20266666666666666</v>
      </c>
      <c r="CA119">
        <v>0</v>
      </c>
      <c r="CB119">
        <v>0</v>
      </c>
      <c r="CC119">
        <v>0</v>
      </c>
      <c r="CD119">
        <v>0</v>
      </c>
      <c r="CE119">
        <v>0</v>
      </c>
    </row>
    <row r="120" spans="1:83" x14ac:dyDescent="0.25">
      <c r="A120" t="s">
        <v>128</v>
      </c>
      <c r="B120" t="s">
        <v>145</v>
      </c>
      <c r="C120" t="s">
        <v>72</v>
      </c>
      <c r="D120" s="12">
        <v>46242</v>
      </c>
      <c r="E120" t="s">
        <v>134</v>
      </c>
      <c r="F120" t="s">
        <v>75</v>
      </c>
      <c r="G120">
        <v>10.972274579690296</v>
      </c>
      <c r="H120">
        <v>10.45</v>
      </c>
      <c r="I120">
        <v>20</v>
      </c>
      <c r="K120">
        <v>10.45</v>
      </c>
      <c r="L120">
        <v>46242</v>
      </c>
      <c r="M120" t="s">
        <v>207</v>
      </c>
      <c r="N120">
        <v>11.308823529411764</v>
      </c>
      <c r="O120">
        <v>0.95240051860741537</v>
      </c>
      <c r="P120">
        <v>0.95240051860741537</v>
      </c>
      <c r="Q120">
        <v>1.0306726693063644</v>
      </c>
      <c r="R120">
        <v>3.0672669306364364E-2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4.7599481392584631E-2</v>
      </c>
      <c r="AB120">
        <v>0</v>
      </c>
      <c r="AC120">
        <v>0</v>
      </c>
      <c r="AD120">
        <v>0</v>
      </c>
      <c r="AE120">
        <v>0</v>
      </c>
      <c r="AF120">
        <v>0.95240051860741537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1.0499784286784972</v>
      </c>
      <c r="AM120">
        <v>1.0499784286784972</v>
      </c>
      <c r="AN120">
        <v>1.082184069800169</v>
      </c>
      <c r="AO120">
        <v>3.2205641121671791E-2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4.9978428678497222E-2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1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0.92405721716514955</v>
      </c>
      <c r="BJ120">
        <v>0.92405721716514955</v>
      </c>
      <c r="BK120">
        <v>0.97024014488808863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2.9759855111911371E-2</v>
      </c>
      <c r="BW120">
        <v>0</v>
      </c>
      <c r="BX120">
        <v>0</v>
      </c>
      <c r="BY120">
        <v>0</v>
      </c>
      <c r="BZ120">
        <v>0.92405721716514955</v>
      </c>
      <c r="CA120">
        <v>0</v>
      </c>
      <c r="CB120">
        <v>0</v>
      </c>
      <c r="CC120">
        <v>0</v>
      </c>
      <c r="CD120">
        <v>0</v>
      </c>
      <c r="CE120">
        <v>0</v>
      </c>
    </row>
    <row r="121" spans="1:83" x14ac:dyDescent="0.25">
      <c r="A121" t="s">
        <v>128</v>
      </c>
      <c r="B121" t="s">
        <v>146</v>
      </c>
      <c r="C121" t="s">
        <v>72</v>
      </c>
      <c r="D121" s="12">
        <v>46242</v>
      </c>
      <c r="E121" t="s">
        <v>134</v>
      </c>
      <c r="F121" t="s">
        <v>75</v>
      </c>
      <c r="G121">
        <v>10.973885648639106</v>
      </c>
      <c r="H121">
        <v>1.9</v>
      </c>
      <c r="I121">
        <v>10</v>
      </c>
      <c r="J121">
        <v>1</v>
      </c>
      <c r="K121">
        <v>1.9</v>
      </c>
      <c r="L121">
        <v>46242</v>
      </c>
      <c r="M121" t="s">
        <v>207</v>
      </c>
      <c r="N121">
        <v>11.308823529411764</v>
      </c>
      <c r="O121">
        <v>0.17313830860226093</v>
      </c>
      <c r="P121">
        <v>0.17313830860226093</v>
      </c>
      <c r="Q121">
        <v>1.0305213569283178</v>
      </c>
      <c r="R121">
        <v>3.0521356928317811E-2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0.82686169139773913</v>
      </c>
      <c r="AB121">
        <v>0</v>
      </c>
      <c r="AC121">
        <v>0</v>
      </c>
      <c r="AD121">
        <v>0</v>
      </c>
      <c r="AE121">
        <v>0</v>
      </c>
      <c r="AF121">
        <v>0.17313830860226093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5.7757292887574243</v>
      </c>
      <c r="AM121">
        <v>5.7757292887574243</v>
      </c>
      <c r="AN121">
        <v>5.9520123839009287</v>
      </c>
      <c r="BE121">
        <v>0</v>
      </c>
      <c r="BF121">
        <v>0</v>
      </c>
      <c r="BG121">
        <v>0</v>
      </c>
      <c r="BI121">
        <v>0.16801040312093626</v>
      </c>
      <c r="BJ121">
        <v>0.16801040312093626</v>
      </c>
      <c r="BK121">
        <v>0.97038260612153349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2.9617393878466514E-2</v>
      </c>
      <c r="BW121">
        <v>0</v>
      </c>
      <c r="BX121">
        <v>0</v>
      </c>
      <c r="BY121">
        <v>0</v>
      </c>
      <c r="BZ121">
        <v>0.16801040312093626</v>
      </c>
      <c r="CA121">
        <v>0</v>
      </c>
      <c r="CB121">
        <v>0</v>
      </c>
      <c r="CC121">
        <v>0</v>
      </c>
      <c r="CD121">
        <v>0</v>
      </c>
      <c r="CE121">
        <v>0</v>
      </c>
    </row>
    <row r="122" spans="1:83" x14ac:dyDescent="0.25">
      <c r="A122" t="s">
        <v>128</v>
      </c>
      <c r="B122" t="s">
        <v>146</v>
      </c>
      <c r="C122" t="s">
        <v>72</v>
      </c>
      <c r="D122" s="12">
        <v>46243</v>
      </c>
      <c r="E122" t="s">
        <v>134</v>
      </c>
      <c r="F122" t="s">
        <v>73</v>
      </c>
      <c r="G122">
        <v>10.973885648639106</v>
      </c>
      <c r="H122">
        <v>0.95</v>
      </c>
      <c r="I122">
        <v>10</v>
      </c>
      <c r="J122">
        <v>1</v>
      </c>
      <c r="K122">
        <v>0.95</v>
      </c>
      <c r="L122">
        <v>46243</v>
      </c>
      <c r="M122" t="s">
        <v>206</v>
      </c>
      <c r="N122">
        <v>11.25</v>
      </c>
      <c r="O122">
        <v>8.6569154301130463E-2</v>
      </c>
      <c r="P122">
        <v>8.6569154301130463E-2</v>
      </c>
      <c r="Q122">
        <v>1.025161037776545</v>
      </c>
      <c r="R122">
        <v>2.5161037776544992E-2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0.91343084569886956</v>
      </c>
      <c r="AB122">
        <v>0</v>
      </c>
      <c r="AC122">
        <v>0</v>
      </c>
      <c r="AD122">
        <v>0</v>
      </c>
      <c r="AE122">
        <v>0</v>
      </c>
      <c r="AF122">
        <v>8.6569154301130463E-2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11.551458577514849</v>
      </c>
      <c r="AM122">
        <v>11.551458577514849</v>
      </c>
      <c r="AN122">
        <v>11.842105263157896</v>
      </c>
      <c r="BE122">
        <v>0</v>
      </c>
      <c r="BF122">
        <v>0</v>
      </c>
      <c r="BG122">
        <v>0</v>
      </c>
      <c r="BI122">
        <v>8.4444444444444447E-2</v>
      </c>
      <c r="BJ122">
        <v>8.4444444444444447E-2</v>
      </c>
      <c r="BK122">
        <v>0.9754565021012539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2.4543497898746103E-2</v>
      </c>
      <c r="BW122">
        <v>0</v>
      </c>
      <c r="BX122">
        <v>0</v>
      </c>
      <c r="BY122">
        <v>0</v>
      </c>
      <c r="BZ122">
        <v>8.4444444444444447E-2</v>
      </c>
      <c r="CA122">
        <v>0</v>
      </c>
      <c r="CB122">
        <v>0</v>
      </c>
      <c r="CC122">
        <v>0</v>
      </c>
      <c r="CD122">
        <v>0</v>
      </c>
      <c r="CE122">
        <v>0</v>
      </c>
    </row>
    <row r="123" spans="1:83" x14ac:dyDescent="0.25">
      <c r="A123" t="s">
        <v>128</v>
      </c>
      <c r="B123" t="s">
        <v>145</v>
      </c>
      <c r="C123" t="s">
        <v>72</v>
      </c>
      <c r="D123" s="12">
        <v>46243</v>
      </c>
      <c r="E123" t="s">
        <v>134</v>
      </c>
      <c r="F123" t="s">
        <v>73</v>
      </c>
      <c r="G123">
        <v>10.972274579690296</v>
      </c>
      <c r="H123">
        <v>10.45</v>
      </c>
      <c r="I123">
        <v>20</v>
      </c>
      <c r="K123">
        <v>10.45</v>
      </c>
      <c r="L123">
        <v>46243</v>
      </c>
      <c r="M123" t="s">
        <v>206</v>
      </c>
      <c r="N123">
        <v>11.25</v>
      </c>
      <c r="O123">
        <v>0.95240051860741537</v>
      </c>
      <c r="P123">
        <v>0.95240051860741537</v>
      </c>
      <c r="Q123">
        <v>1.0253115630941076</v>
      </c>
      <c r="R123">
        <v>2.5311563094107647E-2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4.7599481392584631E-2</v>
      </c>
      <c r="AB123">
        <v>0</v>
      </c>
      <c r="AC123">
        <v>0</v>
      </c>
      <c r="AD123">
        <v>0</v>
      </c>
      <c r="AE123">
        <v>0</v>
      </c>
      <c r="AF123">
        <v>0.95240051860741537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1.0499784286784972</v>
      </c>
      <c r="AM123">
        <v>1.0499784286784972</v>
      </c>
      <c r="AN123">
        <v>1.0765550239234452</v>
      </c>
      <c r="AO123">
        <v>2.6576595244947931E-2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4.9978428678497222E-2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1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0.92888888888888888</v>
      </c>
      <c r="BJ123">
        <v>0.92888888888888888</v>
      </c>
      <c r="BK123">
        <v>0.97531329597247074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2.468670402752926E-2</v>
      </c>
      <c r="BW123">
        <v>0</v>
      </c>
      <c r="BX123">
        <v>0</v>
      </c>
      <c r="BY123">
        <v>0</v>
      </c>
      <c r="BZ123">
        <v>0.92888888888888888</v>
      </c>
      <c r="CA123">
        <v>0</v>
      </c>
      <c r="CB123">
        <v>0</v>
      </c>
      <c r="CC123">
        <v>0</v>
      </c>
      <c r="CD123">
        <v>0</v>
      </c>
      <c r="CE123">
        <v>0</v>
      </c>
    </row>
    <row r="124" spans="1:83" x14ac:dyDescent="0.25">
      <c r="A124" t="s">
        <v>128</v>
      </c>
      <c r="B124" t="s">
        <v>145</v>
      </c>
      <c r="C124" t="s">
        <v>72</v>
      </c>
      <c r="D124" s="12">
        <v>46243</v>
      </c>
      <c r="E124" t="s">
        <v>134</v>
      </c>
      <c r="F124" t="s">
        <v>74</v>
      </c>
      <c r="G124">
        <v>4.220105607573192</v>
      </c>
      <c r="H124">
        <v>3.8</v>
      </c>
      <c r="I124">
        <v>20</v>
      </c>
      <c r="K124">
        <v>3.8</v>
      </c>
      <c r="L124">
        <v>46243</v>
      </c>
      <c r="M124" t="s">
        <v>214</v>
      </c>
      <c r="N124">
        <v>4.6875</v>
      </c>
      <c r="O124">
        <v>0.90045139941064711</v>
      </c>
      <c r="P124">
        <v>0.90045139941064711</v>
      </c>
      <c r="Q124">
        <v>1.1107541933519496</v>
      </c>
      <c r="R124">
        <v>0.11075419335194958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9.9548600589352887E-2</v>
      </c>
      <c r="AB124">
        <v>0</v>
      </c>
      <c r="AC124">
        <v>0</v>
      </c>
      <c r="AD124">
        <v>0</v>
      </c>
      <c r="AE124">
        <v>0</v>
      </c>
      <c r="AF124">
        <v>0.90045139941064711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1.1105541072561032</v>
      </c>
      <c r="AM124">
        <v>1.1105541072561032</v>
      </c>
      <c r="AN124">
        <v>1.2335526315789473</v>
      </c>
      <c r="AO124">
        <v>0.12299852432284419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0.11055410725610315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1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0.81066666666666665</v>
      </c>
      <c r="BJ124">
        <v>0.81066666666666665</v>
      </c>
      <c r="BK124">
        <v>0.90028919628228099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9.971080371771901E-2</v>
      </c>
      <c r="BW124">
        <v>0</v>
      </c>
      <c r="BX124">
        <v>0</v>
      </c>
      <c r="BY124">
        <v>0</v>
      </c>
      <c r="BZ124">
        <v>0.81066666666666665</v>
      </c>
      <c r="CA124">
        <v>0</v>
      </c>
      <c r="CB124">
        <v>0</v>
      </c>
      <c r="CC124">
        <v>0</v>
      </c>
      <c r="CD124">
        <v>0</v>
      </c>
      <c r="CE124">
        <v>0</v>
      </c>
    </row>
    <row r="125" spans="1:83" x14ac:dyDescent="0.25">
      <c r="A125" t="s">
        <v>128</v>
      </c>
      <c r="B125" t="s">
        <v>146</v>
      </c>
      <c r="C125" t="s">
        <v>72</v>
      </c>
      <c r="D125" s="12">
        <v>46243</v>
      </c>
      <c r="E125" t="s">
        <v>134</v>
      </c>
      <c r="F125" t="s">
        <v>74</v>
      </c>
      <c r="G125">
        <v>4.2207252494765797</v>
      </c>
      <c r="H125">
        <v>1.9</v>
      </c>
      <c r="I125">
        <v>10</v>
      </c>
      <c r="J125">
        <v>1</v>
      </c>
      <c r="K125">
        <v>1.9</v>
      </c>
      <c r="L125">
        <v>46243</v>
      </c>
      <c r="M125" t="s">
        <v>214</v>
      </c>
      <c r="N125">
        <v>4.6875</v>
      </c>
      <c r="O125">
        <v>0.45015960236587838</v>
      </c>
      <c r="P125">
        <v>0.45015960236587838</v>
      </c>
      <c r="Q125">
        <v>1.1105911242579236</v>
      </c>
      <c r="R125">
        <v>0.11059112425792361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0.54984039763412162</v>
      </c>
      <c r="AB125">
        <v>0</v>
      </c>
      <c r="AC125">
        <v>0</v>
      </c>
      <c r="AD125">
        <v>0</v>
      </c>
      <c r="AE125">
        <v>0</v>
      </c>
      <c r="AF125">
        <v>0.45015960236587838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2.2214343418297791</v>
      </c>
      <c r="AM125">
        <v>2.2214343418297791</v>
      </c>
      <c r="AN125">
        <v>2.4671052631578947</v>
      </c>
      <c r="BE125">
        <v>0</v>
      </c>
      <c r="BF125">
        <v>0</v>
      </c>
      <c r="BG125">
        <v>0</v>
      </c>
      <c r="BI125">
        <v>0.40533333333333332</v>
      </c>
      <c r="BJ125">
        <v>0.40533333333333332</v>
      </c>
      <c r="BK125">
        <v>0.9004213865550037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9.95786134449963E-2</v>
      </c>
      <c r="BW125">
        <v>0</v>
      </c>
      <c r="BX125">
        <v>0</v>
      </c>
      <c r="BY125">
        <v>0</v>
      </c>
      <c r="BZ125">
        <v>0.40533333333333332</v>
      </c>
      <c r="CA125">
        <v>0</v>
      </c>
      <c r="CB125">
        <v>0</v>
      </c>
      <c r="CC125">
        <v>0</v>
      </c>
      <c r="CD125">
        <v>0</v>
      </c>
      <c r="CE125">
        <v>0</v>
      </c>
    </row>
    <row r="126" spans="1:83" x14ac:dyDescent="0.25">
      <c r="A126" t="s">
        <v>128</v>
      </c>
      <c r="B126" t="s">
        <v>146</v>
      </c>
      <c r="C126" t="s">
        <v>72</v>
      </c>
      <c r="D126" s="12">
        <v>46243</v>
      </c>
      <c r="E126" t="s">
        <v>134</v>
      </c>
      <c r="F126" t="s">
        <v>75</v>
      </c>
      <c r="G126">
        <v>11.818030698534422</v>
      </c>
      <c r="H126">
        <v>5.6999999999999993</v>
      </c>
      <c r="I126">
        <v>10</v>
      </c>
      <c r="J126">
        <v>1</v>
      </c>
      <c r="K126">
        <v>5.6999999999999993</v>
      </c>
      <c r="L126">
        <v>46243</v>
      </c>
      <c r="M126" t="s">
        <v>205</v>
      </c>
      <c r="N126">
        <v>12.1875</v>
      </c>
      <c r="O126">
        <v>0.48231385967772683</v>
      </c>
      <c r="P126">
        <v>0.48231385967772683</v>
      </c>
      <c r="Q126">
        <v>1.0312631868109292</v>
      </c>
      <c r="R126">
        <v>3.1263186810929211E-2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0.51768614032227322</v>
      </c>
      <c r="AB126">
        <v>0</v>
      </c>
      <c r="AC126">
        <v>0</v>
      </c>
      <c r="AD126">
        <v>0</v>
      </c>
      <c r="AE126">
        <v>0</v>
      </c>
      <c r="AF126">
        <v>0.48231385967772683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2.0733387190411268</v>
      </c>
      <c r="AM126">
        <v>2.0733387190411268</v>
      </c>
      <c r="AN126">
        <v>2.1381578947368425</v>
      </c>
      <c r="BE126">
        <v>0</v>
      </c>
      <c r="BF126">
        <v>0</v>
      </c>
      <c r="BG126">
        <v>0</v>
      </c>
      <c r="BI126">
        <v>0.46769230769230763</v>
      </c>
      <c r="BJ126">
        <v>0.46769230769230763</v>
      </c>
      <c r="BK126">
        <v>0.96968457013615772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3.031542986384228E-2</v>
      </c>
      <c r="BW126">
        <v>0</v>
      </c>
      <c r="BX126">
        <v>0</v>
      </c>
      <c r="BY126">
        <v>0</v>
      </c>
      <c r="BZ126">
        <v>0.46769230769230763</v>
      </c>
      <c r="CA126">
        <v>0</v>
      </c>
      <c r="CB126">
        <v>0</v>
      </c>
      <c r="CC126">
        <v>0</v>
      </c>
      <c r="CD126">
        <v>0</v>
      </c>
      <c r="CE126">
        <v>0</v>
      </c>
    </row>
    <row r="127" spans="1:83" x14ac:dyDescent="0.25">
      <c r="A127" t="s">
        <v>128</v>
      </c>
      <c r="B127" t="s">
        <v>145</v>
      </c>
      <c r="C127" t="s">
        <v>72</v>
      </c>
      <c r="D127" s="12">
        <v>46243</v>
      </c>
      <c r="E127" t="s">
        <v>134</v>
      </c>
      <c r="F127" t="s">
        <v>75</v>
      </c>
      <c r="G127">
        <v>11.816295701204934</v>
      </c>
      <c r="H127">
        <v>21.85</v>
      </c>
      <c r="I127">
        <v>20</v>
      </c>
      <c r="K127">
        <v>21.85</v>
      </c>
      <c r="L127">
        <v>46243</v>
      </c>
      <c r="M127" t="s">
        <v>205</v>
      </c>
      <c r="N127">
        <v>12.1875</v>
      </c>
      <c r="O127">
        <v>1.849141266646865</v>
      </c>
      <c r="P127">
        <v>1.849141266646865</v>
      </c>
      <c r="Q127">
        <v>1.0314146081125248</v>
      </c>
      <c r="R127">
        <v>0</v>
      </c>
      <c r="S127">
        <v>0</v>
      </c>
      <c r="T127">
        <v>0.59914126664686496</v>
      </c>
      <c r="U127">
        <v>0</v>
      </c>
      <c r="V127">
        <v>0</v>
      </c>
      <c r="W127">
        <v>0</v>
      </c>
      <c r="X127">
        <v>3.1414608112524833E-2</v>
      </c>
      <c r="Y127">
        <v>0</v>
      </c>
      <c r="Z127">
        <v>0.21858539188747517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0.54079156527253713</v>
      </c>
      <c r="AM127">
        <v>0.54079156527253713</v>
      </c>
      <c r="AN127">
        <v>0.55778032036613279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0.44221967963386721</v>
      </c>
      <c r="AZ127">
        <v>0</v>
      </c>
      <c r="BA127">
        <v>0</v>
      </c>
      <c r="BB127">
        <v>0</v>
      </c>
      <c r="BC127">
        <v>0.54079156527253713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1.7928205128205126</v>
      </c>
      <c r="BJ127">
        <v>1.7928205128205126</v>
      </c>
      <c r="BK127">
        <v>0.96954221138091767</v>
      </c>
      <c r="CB127">
        <v>0</v>
      </c>
      <c r="CC127">
        <v>0</v>
      </c>
      <c r="CD127">
        <v>0</v>
      </c>
    </row>
    <row r="128" spans="1:83" x14ac:dyDescent="0.25">
      <c r="A128" t="s">
        <v>128</v>
      </c>
      <c r="B128" t="s">
        <v>145</v>
      </c>
      <c r="C128" t="s">
        <v>72</v>
      </c>
      <c r="D128" s="12">
        <v>46244</v>
      </c>
      <c r="E128" t="s">
        <v>134</v>
      </c>
      <c r="F128" t="s">
        <v>73</v>
      </c>
      <c r="G128">
        <v>11.872563775972576</v>
      </c>
      <c r="H128">
        <v>11.4</v>
      </c>
      <c r="I128">
        <v>20</v>
      </c>
      <c r="K128">
        <v>11.4</v>
      </c>
      <c r="L128">
        <v>46244</v>
      </c>
      <c r="M128" t="s">
        <v>203</v>
      </c>
      <c r="N128">
        <v>11.839613970588236</v>
      </c>
      <c r="O128">
        <v>0.96019698989287039</v>
      </c>
      <c r="P128">
        <v>0.96019698989287039</v>
      </c>
      <c r="Q128">
        <v>0.99722471018003511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3.7027720287164723E-2</v>
      </c>
      <c r="AB128">
        <v>2.7752898199648879E-3</v>
      </c>
      <c r="AC128">
        <v>0</v>
      </c>
      <c r="AD128">
        <v>0</v>
      </c>
      <c r="AE128">
        <v>0</v>
      </c>
      <c r="AF128">
        <v>0.96019698989287039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1.0414529628046121</v>
      </c>
      <c r="AM128">
        <v>1.0414529628046121</v>
      </c>
      <c r="AN128">
        <v>1.0385626289989682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3.8562628998968229E-2</v>
      </c>
      <c r="AV128">
        <v>0</v>
      </c>
      <c r="AW128">
        <v>2.8903338056438521E-3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1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0.96286923106781031</v>
      </c>
      <c r="BJ128">
        <v>0.96286923106781031</v>
      </c>
      <c r="BK128">
        <v>1.0027830134889697</v>
      </c>
      <c r="BL128">
        <v>2.7830134889696989E-3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3.9803010107129611E-2</v>
      </c>
      <c r="BV128">
        <v>0</v>
      </c>
      <c r="BW128">
        <v>0</v>
      </c>
      <c r="BX128">
        <v>0</v>
      </c>
      <c r="BY128">
        <v>0</v>
      </c>
      <c r="BZ128">
        <v>0.96286923106781031</v>
      </c>
      <c r="CA128">
        <v>0</v>
      </c>
      <c r="CB128">
        <v>0</v>
      </c>
      <c r="CC128">
        <v>0</v>
      </c>
      <c r="CD128">
        <v>0</v>
      </c>
      <c r="CE128">
        <v>0</v>
      </c>
    </row>
    <row r="129" spans="1:83" x14ac:dyDescent="0.25">
      <c r="A129" t="s">
        <v>128</v>
      </c>
      <c r="B129" t="s">
        <v>146</v>
      </c>
      <c r="C129" t="s">
        <v>72</v>
      </c>
      <c r="D129" s="12">
        <v>46244</v>
      </c>
      <c r="E129" t="s">
        <v>134</v>
      </c>
      <c r="F129" t="s">
        <v>73</v>
      </c>
      <c r="G129">
        <v>11.870789764152878</v>
      </c>
      <c r="H129">
        <v>5.6999999999999993</v>
      </c>
      <c r="I129">
        <v>10</v>
      </c>
      <c r="J129">
        <v>1</v>
      </c>
      <c r="K129">
        <v>5.6999999999999993</v>
      </c>
      <c r="L129">
        <v>46244</v>
      </c>
      <c r="M129" t="s">
        <v>203</v>
      </c>
      <c r="N129">
        <v>11.839613970588236</v>
      </c>
      <c r="O129">
        <v>0.48017024252360363</v>
      </c>
      <c r="P129">
        <v>0.48017024252360363</v>
      </c>
      <c r="Q129">
        <v>0.99737373888477188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0.51720349636116825</v>
      </c>
      <c r="AB129">
        <v>2.6262611152281234E-3</v>
      </c>
      <c r="AC129">
        <v>0</v>
      </c>
      <c r="AD129">
        <v>0</v>
      </c>
      <c r="AE129">
        <v>0</v>
      </c>
      <c r="AF129">
        <v>0.48017024252360363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2.0825946954654175</v>
      </c>
      <c r="AM129">
        <v>2.0825946954654175</v>
      </c>
      <c r="AN129">
        <v>2.0771252579979365</v>
      </c>
      <c r="BE129">
        <v>0</v>
      </c>
      <c r="BF129">
        <v>0</v>
      </c>
      <c r="BG129">
        <v>0</v>
      </c>
      <c r="BI129">
        <v>0.48143461553390515</v>
      </c>
      <c r="BJ129">
        <v>0.48143461553390515</v>
      </c>
      <c r="BK129">
        <v>1.0026331765243435</v>
      </c>
      <c r="BL129">
        <v>2.6331765243434724E-3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0.51982975747639637</v>
      </c>
      <c r="BV129">
        <v>0</v>
      </c>
      <c r="BW129">
        <v>0</v>
      </c>
      <c r="BX129">
        <v>0</v>
      </c>
      <c r="BY129">
        <v>0</v>
      </c>
      <c r="BZ129">
        <v>0.48143461553390515</v>
      </c>
      <c r="CA129">
        <v>0</v>
      </c>
      <c r="CB129">
        <v>0</v>
      </c>
      <c r="CC129">
        <v>0</v>
      </c>
      <c r="CD129">
        <v>0</v>
      </c>
      <c r="CE129">
        <v>0</v>
      </c>
    </row>
    <row r="130" spans="1:83" x14ac:dyDescent="0.25">
      <c r="A130" t="s">
        <v>128</v>
      </c>
      <c r="B130" t="s">
        <v>145</v>
      </c>
      <c r="C130" t="s">
        <v>72</v>
      </c>
      <c r="D130" s="12">
        <v>46244</v>
      </c>
      <c r="E130" t="s">
        <v>134</v>
      </c>
      <c r="F130" t="s">
        <v>74</v>
      </c>
      <c r="G130">
        <v>4.220105607573192</v>
      </c>
      <c r="H130">
        <v>3.8</v>
      </c>
      <c r="I130">
        <v>20</v>
      </c>
      <c r="K130">
        <v>3.8</v>
      </c>
      <c r="L130">
        <v>46244</v>
      </c>
      <c r="M130" t="s">
        <v>202</v>
      </c>
      <c r="N130">
        <v>4.6875</v>
      </c>
      <c r="O130">
        <v>0.90045139941064711</v>
      </c>
      <c r="P130">
        <v>0.90045139941064711</v>
      </c>
      <c r="Q130">
        <v>1.1107541933519496</v>
      </c>
      <c r="R130">
        <v>0.11075419335194958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9.9548600589352887E-2</v>
      </c>
      <c r="AB130">
        <v>0</v>
      </c>
      <c r="AC130">
        <v>0</v>
      </c>
      <c r="AD130">
        <v>0</v>
      </c>
      <c r="AE130">
        <v>0</v>
      </c>
      <c r="AF130">
        <v>0.90045139941064711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1.1105541072561032</v>
      </c>
      <c r="AM130">
        <v>1.1105541072561032</v>
      </c>
      <c r="AN130">
        <v>1.2335526315789473</v>
      </c>
      <c r="AO130">
        <v>0.12299852432284419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0.11055410725610315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1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0.81066666666666665</v>
      </c>
      <c r="BJ130">
        <v>0.81066666666666665</v>
      </c>
      <c r="BK130">
        <v>0.90028919628228099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  <c r="BV130">
        <v>9.971080371771901E-2</v>
      </c>
      <c r="BW130">
        <v>0</v>
      </c>
      <c r="BX130">
        <v>0</v>
      </c>
      <c r="BY130">
        <v>0</v>
      </c>
      <c r="BZ130">
        <v>0.81066666666666665</v>
      </c>
      <c r="CA130">
        <v>0</v>
      </c>
      <c r="CB130">
        <v>0</v>
      </c>
      <c r="CC130">
        <v>0</v>
      </c>
      <c r="CD130">
        <v>0</v>
      </c>
      <c r="CE130">
        <v>0</v>
      </c>
    </row>
    <row r="131" spans="1:83" x14ac:dyDescent="0.25">
      <c r="A131" t="s">
        <v>128</v>
      </c>
      <c r="B131" t="s">
        <v>146</v>
      </c>
      <c r="C131" t="s">
        <v>72</v>
      </c>
      <c r="D131" s="12">
        <v>46244</v>
      </c>
      <c r="E131" t="s">
        <v>134</v>
      </c>
      <c r="F131" t="s">
        <v>74</v>
      </c>
      <c r="G131">
        <v>4.2207252494765797</v>
      </c>
      <c r="H131">
        <v>0.95</v>
      </c>
      <c r="I131">
        <v>10</v>
      </c>
      <c r="J131">
        <v>1</v>
      </c>
      <c r="K131">
        <v>0.95</v>
      </c>
      <c r="L131">
        <v>46244</v>
      </c>
      <c r="M131" t="s">
        <v>202</v>
      </c>
      <c r="N131">
        <v>4.6875</v>
      </c>
      <c r="O131">
        <v>0.22507980118293919</v>
      </c>
      <c r="P131">
        <v>0.22507980118293919</v>
      </c>
      <c r="Q131">
        <v>1.1105911242579236</v>
      </c>
      <c r="R131">
        <v>0.11059112425792361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0.77492019881706087</v>
      </c>
      <c r="AB131">
        <v>0</v>
      </c>
      <c r="AC131">
        <v>0</v>
      </c>
      <c r="AD131">
        <v>0</v>
      </c>
      <c r="AE131">
        <v>0</v>
      </c>
      <c r="AF131">
        <v>0.22507980118293919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4.4428686836595581</v>
      </c>
      <c r="AM131">
        <v>4.4428686836595581</v>
      </c>
      <c r="AN131">
        <v>4.9342105263157894</v>
      </c>
      <c r="BE131">
        <v>0</v>
      </c>
      <c r="BF131">
        <v>0</v>
      </c>
      <c r="BG131">
        <v>0</v>
      </c>
      <c r="BI131">
        <v>0.20266666666666666</v>
      </c>
      <c r="BJ131">
        <v>0.20266666666666666</v>
      </c>
      <c r="BK131">
        <v>0.9004213865550037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9.95786134449963E-2</v>
      </c>
      <c r="BW131">
        <v>0</v>
      </c>
      <c r="BX131">
        <v>0</v>
      </c>
      <c r="BY131">
        <v>0</v>
      </c>
      <c r="BZ131">
        <v>0.20266666666666666</v>
      </c>
      <c r="CA131">
        <v>0</v>
      </c>
      <c r="CB131">
        <v>0</v>
      </c>
      <c r="CC131">
        <v>0</v>
      </c>
      <c r="CD131">
        <v>0</v>
      </c>
      <c r="CE131">
        <v>0</v>
      </c>
    </row>
    <row r="132" spans="1:83" x14ac:dyDescent="0.25">
      <c r="A132" t="s">
        <v>128</v>
      </c>
      <c r="B132" t="s">
        <v>145</v>
      </c>
      <c r="C132" t="s">
        <v>72</v>
      </c>
      <c r="D132" s="12">
        <v>46244</v>
      </c>
      <c r="E132" t="s">
        <v>134</v>
      </c>
      <c r="F132" t="s">
        <v>75</v>
      </c>
      <c r="G132">
        <v>10.972274579690296</v>
      </c>
      <c r="H132">
        <v>10.45</v>
      </c>
      <c r="I132">
        <v>20</v>
      </c>
      <c r="K132">
        <v>10.45</v>
      </c>
      <c r="L132">
        <v>46244</v>
      </c>
      <c r="M132" t="s">
        <v>201</v>
      </c>
      <c r="N132">
        <v>11.660386029411764</v>
      </c>
      <c r="O132">
        <v>0.95240051860741537</v>
      </c>
      <c r="P132">
        <v>0.95240051860741537</v>
      </c>
      <c r="Q132">
        <v>1.0627136556530552</v>
      </c>
      <c r="R132">
        <v>6.27136556530552E-2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4.7599481392584631E-2</v>
      </c>
      <c r="AB132">
        <v>0</v>
      </c>
      <c r="AC132">
        <v>0</v>
      </c>
      <c r="AD132">
        <v>0</v>
      </c>
      <c r="AE132">
        <v>0</v>
      </c>
      <c r="AF132">
        <v>0.95240051860741537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1.0499784286784972</v>
      </c>
      <c r="AM132">
        <v>1.0499784286784972</v>
      </c>
      <c r="AN132">
        <v>1.1158264142977765</v>
      </c>
      <c r="AO132">
        <v>6.5847985619279292E-2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4.9978428678497222E-2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1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0.89619674457100063</v>
      </c>
      <c r="BJ132">
        <v>0.89619674457100063</v>
      </c>
      <c r="BK132">
        <v>0.94098724965144387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5.9012750348556131E-2</v>
      </c>
      <c r="BW132">
        <v>0</v>
      </c>
      <c r="BX132">
        <v>0</v>
      </c>
      <c r="BY132">
        <v>0</v>
      </c>
      <c r="BZ132">
        <v>0.89619674457100063</v>
      </c>
      <c r="CA132">
        <v>0</v>
      </c>
      <c r="CB132">
        <v>0</v>
      </c>
      <c r="CC132">
        <v>0</v>
      </c>
      <c r="CD132">
        <v>0</v>
      </c>
      <c r="CE132">
        <v>0</v>
      </c>
    </row>
    <row r="133" spans="1:83" x14ac:dyDescent="0.25">
      <c r="A133" t="s">
        <v>128</v>
      </c>
      <c r="B133" t="s">
        <v>146</v>
      </c>
      <c r="C133" t="s">
        <v>72</v>
      </c>
      <c r="D133" s="12">
        <v>46244</v>
      </c>
      <c r="E133" t="s">
        <v>134</v>
      </c>
      <c r="F133" t="s">
        <v>75</v>
      </c>
      <c r="G133">
        <v>10.973885648639106</v>
      </c>
      <c r="H133">
        <v>0</v>
      </c>
      <c r="I133">
        <v>10</v>
      </c>
      <c r="J133">
        <v>1</v>
      </c>
      <c r="K133">
        <v>0</v>
      </c>
      <c r="L133">
        <v>46244</v>
      </c>
      <c r="M133" t="s">
        <v>201</v>
      </c>
      <c r="N133">
        <v>11.660386029411764</v>
      </c>
      <c r="O133">
        <v>0</v>
      </c>
      <c r="P133">
        <v>0</v>
      </c>
      <c r="Q133">
        <v>1.0625576393588347</v>
      </c>
      <c r="R133">
        <v>6.2557639358834738E-2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1</v>
      </c>
      <c r="AK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1</v>
      </c>
      <c r="BH133">
        <v>1</v>
      </c>
      <c r="BI133">
        <v>0</v>
      </c>
      <c r="BJ133">
        <v>0</v>
      </c>
      <c r="BK133">
        <v>0.94112541565596086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5.8874584344039138E-2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0.94112541565596086</v>
      </c>
      <c r="CE133">
        <v>0</v>
      </c>
    </row>
    <row r="134" spans="1:83" x14ac:dyDescent="0.25">
      <c r="A134" t="s">
        <v>128</v>
      </c>
      <c r="B134" t="s">
        <v>145</v>
      </c>
      <c r="C134" t="s">
        <v>72</v>
      </c>
      <c r="D134" s="12">
        <v>46245</v>
      </c>
      <c r="E134" t="s">
        <v>134</v>
      </c>
      <c r="F134" t="s">
        <v>73</v>
      </c>
      <c r="G134">
        <v>11.73189358905347</v>
      </c>
      <c r="H134">
        <v>21.85</v>
      </c>
      <c r="I134">
        <v>20</v>
      </c>
      <c r="K134">
        <v>21.85</v>
      </c>
      <c r="L134">
        <v>46245</v>
      </c>
      <c r="M134" t="s">
        <v>200</v>
      </c>
      <c r="N134">
        <v>11.7421875</v>
      </c>
      <c r="O134">
        <v>1.8624444412270582</v>
      </c>
      <c r="P134">
        <v>1.8624444412270582</v>
      </c>
      <c r="Q134">
        <v>1.0008774296210916</v>
      </c>
      <c r="R134">
        <v>0</v>
      </c>
      <c r="S134">
        <v>0</v>
      </c>
      <c r="T134">
        <v>0.61244444122705821</v>
      </c>
      <c r="U134">
        <v>0</v>
      </c>
      <c r="V134">
        <v>0</v>
      </c>
      <c r="W134">
        <v>0</v>
      </c>
      <c r="X134">
        <v>8.7742962109160771E-4</v>
      </c>
      <c r="Y134">
        <v>0</v>
      </c>
      <c r="Z134">
        <v>0.24912257037890839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0.53692876837773329</v>
      </c>
      <c r="AM134">
        <v>0.53692876837773329</v>
      </c>
      <c r="AN134">
        <v>0.53739988558352403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0.46260011441647597</v>
      </c>
      <c r="AZ134">
        <v>0</v>
      </c>
      <c r="BA134">
        <v>0</v>
      </c>
      <c r="BB134">
        <v>0</v>
      </c>
      <c r="BC134">
        <v>0.53692876837773329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1.8608117099135062</v>
      </c>
      <c r="BJ134">
        <v>1.8608117099135062</v>
      </c>
      <c r="BK134">
        <v>0.99912333958672273</v>
      </c>
      <c r="CB134">
        <v>0</v>
      </c>
      <c r="CC134">
        <v>0</v>
      </c>
      <c r="CD134">
        <v>0</v>
      </c>
    </row>
    <row r="135" spans="1:83" x14ac:dyDescent="0.25">
      <c r="A135" t="s">
        <v>128</v>
      </c>
      <c r="B135" t="s">
        <v>146</v>
      </c>
      <c r="C135" t="s">
        <v>72</v>
      </c>
      <c r="D135" s="12">
        <v>46245</v>
      </c>
      <c r="E135" t="s">
        <v>134</v>
      </c>
      <c r="F135" t="s">
        <v>73</v>
      </c>
      <c r="G135">
        <v>11.738892100106735</v>
      </c>
      <c r="H135">
        <v>3.8</v>
      </c>
      <c r="I135">
        <v>10</v>
      </c>
      <c r="J135">
        <v>1</v>
      </c>
      <c r="K135">
        <v>3.8</v>
      </c>
      <c r="L135">
        <v>46245</v>
      </c>
      <c r="M135" t="s">
        <v>200</v>
      </c>
      <c r="N135">
        <v>11.7421875</v>
      </c>
      <c r="O135">
        <v>0.32371027585860923</v>
      </c>
      <c r="P135">
        <v>0.32371027585860923</v>
      </c>
      <c r="Q135">
        <v>1.0002807249496086</v>
      </c>
      <c r="R135">
        <v>2.8072494960862393E-4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0.67628972414139077</v>
      </c>
      <c r="AB135">
        <v>0</v>
      </c>
      <c r="AC135">
        <v>0</v>
      </c>
      <c r="AD135">
        <v>0</v>
      </c>
      <c r="AE135">
        <v>0</v>
      </c>
      <c r="AF135">
        <v>0.32371027585860923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3.0891821316070356</v>
      </c>
      <c r="AM135">
        <v>3.0891821316070356</v>
      </c>
      <c r="AN135">
        <v>3.0900493421052633</v>
      </c>
      <c r="BE135">
        <v>0</v>
      </c>
      <c r="BF135">
        <v>0</v>
      </c>
      <c r="BG135">
        <v>0</v>
      </c>
      <c r="BI135">
        <v>0.32361942781104458</v>
      </c>
      <c r="BJ135">
        <v>0.32361942781104458</v>
      </c>
      <c r="BK135">
        <v>0.99971935383477184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2.8064616522815999E-4</v>
      </c>
      <c r="BW135">
        <v>0</v>
      </c>
      <c r="BX135">
        <v>0</v>
      </c>
      <c r="BY135">
        <v>0</v>
      </c>
      <c r="BZ135">
        <v>0.32361942781104458</v>
      </c>
      <c r="CA135">
        <v>0</v>
      </c>
      <c r="CB135">
        <v>0</v>
      </c>
      <c r="CC135">
        <v>0</v>
      </c>
      <c r="CD135">
        <v>0</v>
      </c>
      <c r="CE135">
        <v>0</v>
      </c>
    </row>
    <row r="136" spans="1:83" x14ac:dyDescent="0.25">
      <c r="A136" t="s">
        <v>128</v>
      </c>
      <c r="B136" t="s">
        <v>145</v>
      </c>
      <c r="C136" t="s">
        <v>72</v>
      </c>
      <c r="D136" s="12">
        <v>46245</v>
      </c>
      <c r="E136" t="s">
        <v>134</v>
      </c>
      <c r="F136" t="s">
        <v>74</v>
      </c>
      <c r="G136">
        <v>4.220105607573192</v>
      </c>
      <c r="H136">
        <v>3.8</v>
      </c>
      <c r="I136">
        <v>20</v>
      </c>
      <c r="K136">
        <v>3.8</v>
      </c>
      <c r="L136">
        <v>46245</v>
      </c>
      <c r="M136" t="s">
        <v>199</v>
      </c>
      <c r="N136">
        <v>4.6875</v>
      </c>
      <c r="O136">
        <v>0.90045139941064711</v>
      </c>
      <c r="P136">
        <v>0.90045139941064711</v>
      </c>
      <c r="Q136">
        <v>1.1107541933519496</v>
      </c>
      <c r="R136">
        <v>0.11075419335194958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9.9548600589352887E-2</v>
      </c>
      <c r="AB136">
        <v>0</v>
      </c>
      <c r="AC136">
        <v>0</v>
      </c>
      <c r="AD136">
        <v>0</v>
      </c>
      <c r="AE136">
        <v>0</v>
      </c>
      <c r="AF136">
        <v>0.90045139941064711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1.1105541072561032</v>
      </c>
      <c r="AM136">
        <v>1.1105541072561032</v>
      </c>
      <c r="AN136">
        <v>1.2335526315789473</v>
      </c>
      <c r="AO136">
        <v>0.12299852432284419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0.11055410725610315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0.81066666666666665</v>
      </c>
      <c r="BJ136">
        <v>0.81066666666666665</v>
      </c>
      <c r="BK136">
        <v>0.90028919628228099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9.971080371771901E-2</v>
      </c>
      <c r="BW136">
        <v>0</v>
      </c>
      <c r="BX136">
        <v>0</v>
      </c>
      <c r="BY136">
        <v>0</v>
      </c>
      <c r="BZ136">
        <v>0.81066666666666665</v>
      </c>
      <c r="CA136">
        <v>0</v>
      </c>
      <c r="CB136">
        <v>0</v>
      </c>
      <c r="CC136">
        <v>0</v>
      </c>
      <c r="CD136">
        <v>0</v>
      </c>
      <c r="CE136">
        <v>0</v>
      </c>
    </row>
    <row r="137" spans="1:83" x14ac:dyDescent="0.25">
      <c r="A137" t="s">
        <v>128</v>
      </c>
      <c r="B137" t="s">
        <v>146</v>
      </c>
      <c r="C137" t="s">
        <v>72</v>
      </c>
      <c r="D137" s="12">
        <v>46245</v>
      </c>
      <c r="E137" t="s">
        <v>134</v>
      </c>
      <c r="F137" t="s">
        <v>74</v>
      </c>
      <c r="G137">
        <v>4.2207252494765797</v>
      </c>
      <c r="H137">
        <v>0</v>
      </c>
      <c r="I137">
        <v>10</v>
      </c>
      <c r="J137">
        <v>1</v>
      </c>
      <c r="K137">
        <v>0</v>
      </c>
      <c r="L137">
        <v>46245</v>
      </c>
      <c r="M137" t="s">
        <v>199</v>
      </c>
      <c r="N137">
        <v>4.6875</v>
      </c>
      <c r="O137">
        <v>0</v>
      </c>
      <c r="P137">
        <v>0</v>
      </c>
      <c r="Q137">
        <v>1.1105911242579236</v>
      </c>
      <c r="R137">
        <v>0.11059112425792361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1</v>
      </c>
      <c r="AK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1</v>
      </c>
      <c r="BH137">
        <v>1</v>
      </c>
      <c r="BI137">
        <v>0</v>
      </c>
      <c r="BJ137">
        <v>0</v>
      </c>
      <c r="BK137">
        <v>0.9004213865550037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9.95786134449963E-2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0.9004213865550037</v>
      </c>
      <c r="CE137">
        <v>0</v>
      </c>
    </row>
    <row r="138" spans="1:83" x14ac:dyDescent="0.25">
      <c r="A138" t="s">
        <v>128</v>
      </c>
      <c r="B138" t="s">
        <v>145</v>
      </c>
      <c r="C138" t="s">
        <v>72</v>
      </c>
      <c r="D138" s="12">
        <v>46245</v>
      </c>
      <c r="E138" t="s">
        <v>134</v>
      </c>
      <c r="F138" t="s">
        <v>75</v>
      </c>
      <c r="G138">
        <v>10.972274579690296</v>
      </c>
      <c r="H138">
        <v>10.45</v>
      </c>
      <c r="I138">
        <v>20</v>
      </c>
      <c r="K138">
        <v>10.45</v>
      </c>
      <c r="L138">
        <v>46245</v>
      </c>
      <c r="M138" t="s">
        <v>198</v>
      </c>
      <c r="N138">
        <v>11.6015625</v>
      </c>
      <c r="O138">
        <v>0.95240051860741537</v>
      </c>
      <c r="P138">
        <v>0.95240051860741537</v>
      </c>
      <c r="Q138">
        <v>1.0573525494407985</v>
      </c>
      <c r="R138">
        <v>5.7352549440798484E-2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4.7599481392584631E-2</v>
      </c>
      <c r="AB138">
        <v>0</v>
      </c>
      <c r="AC138">
        <v>0</v>
      </c>
      <c r="AD138">
        <v>0</v>
      </c>
      <c r="AE138">
        <v>0</v>
      </c>
      <c r="AF138">
        <v>0.95240051860741537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1.0499784286784972</v>
      </c>
      <c r="AM138">
        <v>1.0499784286784972</v>
      </c>
      <c r="AN138">
        <v>1.1101973684210527</v>
      </c>
      <c r="AO138">
        <v>6.0218939742555433E-2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4.9978428678497222E-2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1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0.90074074074074073</v>
      </c>
      <c r="BJ138">
        <v>0.90074074074074073</v>
      </c>
      <c r="BK138">
        <v>0.94575834760966859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5.4241652390331407E-2</v>
      </c>
      <c r="BW138">
        <v>0</v>
      </c>
      <c r="BX138">
        <v>0</v>
      </c>
      <c r="BY138">
        <v>0</v>
      </c>
      <c r="BZ138">
        <v>0.90074074074074073</v>
      </c>
      <c r="CA138">
        <v>0</v>
      </c>
      <c r="CB138">
        <v>0</v>
      </c>
      <c r="CC138">
        <v>0</v>
      </c>
      <c r="CD138">
        <v>0</v>
      </c>
      <c r="CE138">
        <v>0</v>
      </c>
    </row>
    <row r="139" spans="1:83" x14ac:dyDescent="0.25">
      <c r="A139" t="s">
        <v>128</v>
      </c>
      <c r="B139" t="s">
        <v>146</v>
      </c>
      <c r="C139" t="s">
        <v>72</v>
      </c>
      <c r="D139" s="12">
        <v>46245</v>
      </c>
      <c r="E139" t="s">
        <v>134</v>
      </c>
      <c r="F139" t="s">
        <v>75</v>
      </c>
      <c r="G139">
        <v>10.973885648639106</v>
      </c>
      <c r="H139">
        <v>0.95</v>
      </c>
      <c r="I139">
        <v>10</v>
      </c>
      <c r="J139">
        <v>1</v>
      </c>
      <c r="K139">
        <v>0.95</v>
      </c>
      <c r="L139">
        <v>46245</v>
      </c>
      <c r="M139" t="s">
        <v>198</v>
      </c>
      <c r="N139">
        <v>11.6015625</v>
      </c>
      <c r="O139">
        <v>8.6569154301130463E-2</v>
      </c>
      <c r="P139">
        <v>8.6569154301130463E-2</v>
      </c>
      <c r="Q139">
        <v>1.0571973202070621</v>
      </c>
      <c r="R139">
        <v>5.7197320207062141E-2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0.91343084569886956</v>
      </c>
      <c r="AB139">
        <v>0</v>
      </c>
      <c r="AC139">
        <v>0</v>
      </c>
      <c r="AD139">
        <v>0</v>
      </c>
      <c r="AE139">
        <v>0</v>
      </c>
      <c r="AF139">
        <v>8.6569154301130463E-2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11.551458577514849</v>
      </c>
      <c r="AM139">
        <v>11.551458577514849</v>
      </c>
      <c r="AN139">
        <v>12.212171052631579</v>
      </c>
      <c r="BE139">
        <v>0</v>
      </c>
      <c r="BF139">
        <v>0</v>
      </c>
      <c r="BG139">
        <v>0</v>
      </c>
      <c r="BI139">
        <v>8.1885521885521881E-2</v>
      </c>
      <c r="BJ139">
        <v>8.1885521885521881E-2</v>
      </c>
      <c r="BK139">
        <v>0.94589721415879169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5.4102785841208312E-2</v>
      </c>
      <c r="BW139">
        <v>0</v>
      </c>
      <c r="BX139">
        <v>0</v>
      </c>
      <c r="BY139">
        <v>0</v>
      </c>
      <c r="BZ139">
        <v>8.1885521885521881E-2</v>
      </c>
      <c r="CA139">
        <v>0</v>
      </c>
      <c r="CB139">
        <v>0</v>
      </c>
      <c r="CC139">
        <v>0</v>
      </c>
      <c r="CD139">
        <v>0</v>
      </c>
      <c r="CE139">
        <v>0</v>
      </c>
    </row>
    <row r="140" spans="1:83" x14ac:dyDescent="0.25">
      <c r="A140" t="s">
        <v>128</v>
      </c>
      <c r="B140" t="s">
        <v>146</v>
      </c>
      <c r="C140" t="s">
        <v>72</v>
      </c>
      <c r="D140" s="12">
        <v>46246</v>
      </c>
      <c r="E140" t="s">
        <v>134</v>
      </c>
      <c r="F140" t="s">
        <v>73</v>
      </c>
      <c r="G140">
        <v>12.583037150002053</v>
      </c>
      <c r="H140">
        <v>1.9</v>
      </c>
      <c r="I140">
        <v>10</v>
      </c>
      <c r="J140">
        <v>1</v>
      </c>
      <c r="K140">
        <v>1.9</v>
      </c>
      <c r="L140">
        <v>46246</v>
      </c>
      <c r="M140" t="s">
        <v>197</v>
      </c>
      <c r="N140">
        <v>11.801011029411764</v>
      </c>
      <c r="O140">
        <v>0.15099693161119609</v>
      </c>
      <c r="P140">
        <v>0.15099693161119609</v>
      </c>
      <c r="Q140">
        <v>0.93785076597424166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0.78685383436304557</v>
      </c>
      <c r="AB140">
        <v>6.2149234025758338E-2</v>
      </c>
      <c r="AC140">
        <v>0</v>
      </c>
      <c r="AD140">
        <v>0</v>
      </c>
      <c r="AE140">
        <v>0</v>
      </c>
      <c r="AF140">
        <v>0.15099693161119609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6.622651131580028</v>
      </c>
      <c r="AM140">
        <v>6.622651131580028</v>
      </c>
      <c r="AN140">
        <v>6.2110584365325083</v>
      </c>
      <c r="BE140">
        <v>0</v>
      </c>
      <c r="BF140">
        <v>0</v>
      </c>
      <c r="BG140">
        <v>0</v>
      </c>
      <c r="BI140">
        <v>0.16100315432843956</v>
      </c>
      <c r="BJ140">
        <v>0.16100315432843956</v>
      </c>
      <c r="BK140">
        <v>1.0662677222011943</v>
      </c>
      <c r="BL140">
        <v>6.6267722201194257E-2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0.84900306838880391</v>
      </c>
      <c r="BV140">
        <v>0</v>
      </c>
      <c r="BW140">
        <v>0</v>
      </c>
      <c r="BX140">
        <v>0</v>
      </c>
      <c r="BY140">
        <v>0</v>
      </c>
      <c r="BZ140">
        <v>0.16100315432843956</v>
      </c>
      <c r="CA140">
        <v>0</v>
      </c>
      <c r="CB140">
        <v>0</v>
      </c>
      <c r="CC140">
        <v>0</v>
      </c>
      <c r="CD140">
        <v>0</v>
      </c>
      <c r="CE140">
        <v>0</v>
      </c>
    </row>
    <row r="141" spans="1:83" x14ac:dyDescent="0.25">
      <c r="A141" t="s">
        <v>128</v>
      </c>
      <c r="B141" t="s">
        <v>145</v>
      </c>
      <c r="C141" t="s">
        <v>72</v>
      </c>
      <c r="D141" s="12">
        <v>46246</v>
      </c>
      <c r="E141" t="s">
        <v>134</v>
      </c>
      <c r="F141" t="s">
        <v>73</v>
      </c>
      <c r="G141">
        <v>12.575914710568108</v>
      </c>
      <c r="H141">
        <v>16.149999999999999</v>
      </c>
      <c r="I141">
        <v>20</v>
      </c>
      <c r="K141">
        <v>16.149999999999999</v>
      </c>
      <c r="L141">
        <v>46246</v>
      </c>
      <c r="M141" t="s">
        <v>197</v>
      </c>
      <c r="N141">
        <v>11.801011029411764</v>
      </c>
      <c r="O141">
        <v>1.2842008213071312</v>
      </c>
      <c r="P141">
        <v>1.2842008213071312</v>
      </c>
      <c r="Q141">
        <v>0.93838192298607448</v>
      </c>
      <c r="R141">
        <v>0</v>
      </c>
      <c r="S141">
        <v>0</v>
      </c>
      <c r="T141">
        <v>3.4200821307131202E-2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0.25</v>
      </c>
      <c r="AA141">
        <v>0</v>
      </c>
      <c r="AB141">
        <v>0</v>
      </c>
      <c r="AC141">
        <v>0</v>
      </c>
      <c r="AD141">
        <v>6.1618077013925521E-2</v>
      </c>
      <c r="AE141">
        <v>0</v>
      </c>
      <c r="AF141">
        <v>0.93838192298607448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0.77869440932310274</v>
      </c>
      <c r="AM141">
        <v>0.77869440932310274</v>
      </c>
      <c r="AN141">
        <v>0.73071275723911866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0.22130559067689726</v>
      </c>
      <c r="AZ141">
        <v>0</v>
      </c>
      <c r="BA141">
        <v>4.7981652083984083E-2</v>
      </c>
      <c r="BB141">
        <v>0</v>
      </c>
      <c r="BC141">
        <v>0.73071275723911866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1.3685268117917364</v>
      </c>
      <c r="BJ141">
        <v>1.3685268117917364</v>
      </c>
      <c r="BK141">
        <v>1.0656641773509952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6.5664177350995168E-2</v>
      </c>
      <c r="BS141">
        <v>0</v>
      </c>
      <c r="BT141">
        <v>0.30286263444074124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1</v>
      </c>
      <c r="CA141">
        <v>0</v>
      </c>
      <c r="CB141">
        <v>0</v>
      </c>
      <c r="CC141">
        <v>0</v>
      </c>
      <c r="CD141">
        <v>0</v>
      </c>
      <c r="CE141">
        <v>0</v>
      </c>
    </row>
    <row r="142" spans="1:83" x14ac:dyDescent="0.25">
      <c r="A142" t="s">
        <v>128</v>
      </c>
      <c r="B142" t="s">
        <v>145</v>
      </c>
      <c r="C142" t="s">
        <v>72</v>
      </c>
      <c r="D142" s="12">
        <v>46246</v>
      </c>
      <c r="E142" t="s">
        <v>134</v>
      </c>
      <c r="F142" t="s">
        <v>74</v>
      </c>
      <c r="G142">
        <v>4.220105607573192</v>
      </c>
      <c r="H142">
        <v>3.8</v>
      </c>
      <c r="I142">
        <v>20</v>
      </c>
      <c r="K142">
        <v>3.8</v>
      </c>
      <c r="L142">
        <v>46246</v>
      </c>
      <c r="M142" t="s">
        <v>196</v>
      </c>
      <c r="N142">
        <v>4.6875</v>
      </c>
      <c r="O142">
        <v>0.90045139941064711</v>
      </c>
      <c r="P142">
        <v>0.90045139941064711</v>
      </c>
      <c r="Q142">
        <v>1.1107541933519496</v>
      </c>
      <c r="R142">
        <v>0.11075419335194958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9.9548600589352887E-2</v>
      </c>
      <c r="AB142">
        <v>0</v>
      </c>
      <c r="AC142">
        <v>0</v>
      </c>
      <c r="AD142">
        <v>0</v>
      </c>
      <c r="AE142">
        <v>0</v>
      </c>
      <c r="AF142">
        <v>0.90045139941064711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1.1105541072561032</v>
      </c>
      <c r="AM142">
        <v>1.1105541072561032</v>
      </c>
      <c r="AN142">
        <v>1.2335526315789473</v>
      </c>
      <c r="AO142">
        <v>0.12299852432284419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0.11055410725610315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1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0.81066666666666665</v>
      </c>
      <c r="BJ142">
        <v>0.81066666666666665</v>
      </c>
      <c r="BK142">
        <v>0.90028919628228099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9.971080371771901E-2</v>
      </c>
      <c r="BW142">
        <v>0</v>
      </c>
      <c r="BX142">
        <v>0</v>
      </c>
      <c r="BY142">
        <v>0</v>
      </c>
      <c r="BZ142">
        <v>0.81066666666666665</v>
      </c>
      <c r="CA142">
        <v>0</v>
      </c>
      <c r="CB142">
        <v>0</v>
      </c>
      <c r="CC142">
        <v>0</v>
      </c>
      <c r="CD142">
        <v>0</v>
      </c>
      <c r="CE142">
        <v>0</v>
      </c>
    </row>
    <row r="143" spans="1:83" x14ac:dyDescent="0.25">
      <c r="A143" t="s">
        <v>128</v>
      </c>
      <c r="B143" t="s">
        <v>146</v>
      </c>
      <c r="C143" t="s">
        <v>72</v>
      </c>
      <c r="D143" s="12">
        <v>46246</v>
      </c>
      <c r="E143" t="s">
        <v>134</v>
      </c>
      <c r="F143" t="s">
        <v>74</v>
      </c>
      <c r="G143">
        <v>4.2207252494765797</v>
      </c>
      <c r="H143">
        <v>1.9</v>
      </c>
      <c r="I143">
        <v>10</v>
      </c>
      <c r="J143">
        <v>1</v>
      </c>
      <c r="K143">
        <v>1.9</v>
      </c>
      <c r="L143">
        <v>46246</v>
      </c>
      <c r="M143" t="s">
        <v>196</v>
      </c>
      <c r="N143">
        <v>4.6875</v>
      </c>
      <c r="O143">
        <v>0.45015960236587838</v>
      </c>
      <c r="P143">
        <v>0.45015960236587838</v>
      </c>
      <c r="Q143">
        <v>1.1105911242579236</v>
      </c>
      <c r="R143">
        <v>0.11059112425792361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0.54984039763412162</v>
      </c>
      <c r="AB143">
        <v>0</v>
      </c>
      <c r="AC143">
        <v>0</v>
      </c>
      <c r="AD143">
        <v>0</v>
      </c>
      <c r="AE143">
        <v>0</v>
      </c>
      <c r="AF143">
        <v>0.45015960236587838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2.2214343418297791</v>
      </c>
      <c r="AM143">
        <v>2.2214343418297791</v>
      </c>
      <c r="AN143">
        <v>2.4671052631578947</v>
      </c>
      <c r="BE143">
        <v>0</v>
      </c>
      <c r="BF143">
        <v>0</v>
      </c>
      <c r="BG143">
        <v>0</v>
      </c>
      <c r="BI143">
        <v>0.40533333333333332</v>
      </c>
      <c r="BJ143">
        <v>0.40533333333333332</v>
      </c>
      <c r="BK143">
        <v>0.9004213865550037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9.95786134449963E-2</v>
      </c>
      <c r="BW143">
        <v>0</v>
      </c>
      <c r="BX143">
        <v>0</v>
      </c>
      <c r="BY143">
        <v>0</v>
      </c>
      <c r="BZ143">
        <v>0.40533333333333332</v>
      </c>
      <c r="CA143">
        <v>0</v>
      </c>
      <c r="CB143">
        <v>0</v>
      </c>
      <c r="CC143">
        <v>0</v>
      </c>
      <c r="CD143">
        <v>0</v>
      </c>
      <c r="CE143">
        <v>0</v>
      </c>
    </row>
    <row r="144" spans="1:83" x14ac:dyDescent="0.25">
      <c r="A144" t="s">
        <v>128</v>
      </c>
      <c r="B144" t="s">
        <v>145</v>
      </c>
      <c r="C144" t="s">
        <v>72</v>
      </c>
      <c r="D144" s="12">
        <v>46246</v>
      </c>
      <c r="E144" t="s">
        <v>134</v>
      </c>
      <c r="F144" t="s">
        <v>75</v>
      </c>
      <c r="G144">
        <v>10.80347035538737</v>
      </c>
      <c r="H144">
        <v>10.45</v>
      </c>
      <c r="I144">
        <v>20</v>
      </c>
      <c r="K144">
        <v>10.45</v>
      </c>
      <c r="L144">
        <v>46246</v>
      </c>
      <c r="M144" t="s">
        <v>204</v>
      </c>
      <c r="N144">
        <v>11.355238970588234</v>
      </c>
      <c r="O144">
        <v>0.96728177671065618</v>
      </c>
      <c r="P144">
        <v>0.96728177671065618</v>
      </c>
      <c r="Q144">
        <v>1.0510732752578631</v>
      </c>
      <c r="R144">
        <v>5.1073275257863093E-2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3.2718223289343817E-2</v>
      </c>
      <c r="AB144">
        <v>0</v>
      </c>
      <c r="AC144">
        <v>0</v>
      </c>
      <c r="AD144">
        <v>0</v>
      </c>
      <c r="AE144">
        <v>0</v>
      </c>
      <c r="AF144">
        <v>0.96728177671065618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1.033824914391136</v>
      </c>
      <c r="AM144">
        <v>1.033824914391136</v>
      </c>
      <c r="AN144">
        <v>1.0866257388122713</v>
      </c>
      <c r="AO144">
        <v>5.2800824421135317E-2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3.3824914391135996E-2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1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0.92028005989720352</v>
      </c>
      <c r="BJ144">
        <v>0.92028005989720352</v>
      </c>
      <c r="BK144">
        <v>0.95140845413909592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4.8591545860904084E-2</v>
      </c>
      <c r="BW144">
        <v>0</v>
      </c>
      <c r="BX144">
        <v>0</v>
      </c>
      <c r="BY144">
        <v>0</v>
      </c>
      <c r="BZ144">
        <v>0.92028005989720352</v>
      </c>
      <c r="CA144">
        <v>0</v>
      </c>
      <c r="CB144">
        <v>0</v>
      </c>
      <c r="CC144">
        <v>0</v>
      </c>
      <c r="CD144">
        <v>0</v>
      </c>
      <c r="CE144">
        <v>0</v>
      </c>
    </row>
    <row r="145" spans="1:83" x14ac:dyDescent="0.25">
      <c r="A145" t="s">
        <v>128</v>
      </c>
      <c r="B145" t="s">
        <v>146</v>
      </c>
      <c r="C145" t="s">
        <v>72</v>
      </c>
      <c r="D145" s="12">
        <v>46246</v>
      </c>
      <c r="E145" t="s">
        <v>134</v>
      </c>
      <c r="F145" t="s">
        <v>75</v>
      </c>
      <c r="G145">
        <v>10.815608451783737</v>
      </c>
      <c r="H145">
        <v>1.9</v>
      </c>
      <c r="I145">
        <v>10</v>
      </c>
      <c r="J145">
        <v>1</v>
      </c>
      <c r="K145">
        <v>1.9</v>
      </c>
      <c r="L145">
        <v>46246</v>
      </c>
      <c r="M145" t="s">
        <v>204</v>
      </c>
      <c r="N145">
        <v>11.355238970588234</v>
      </c>
      <c r="O145">
        <v>0.17567203994765984</v>
      </c>
      <c r="P145">
        <v>0.17567203994765984</v>
      </c>
      <c r="Q145">
        <v>1.0498936810823158</v>
      </c>
      <c r="R145">
        <v>4.9893681082315844E-2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0.8243279600523401</v>
      </c>
      <c r="AB145">
        <v>0</v>
      </c>
      <c r="AC145">
        <v>0</v>
      </c>
      <c r="AD145">
        <v>0</v>
      </c>
      <c r="AE145">
        <v>0</v>
      </c>
      <c r="AF145">
        <v>0.17567203994765984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5.6924255009388087</v>
      </c>
      <c r="AM145">
        <v>5.6924255009388087</v>
      </c>
      <c r="AN145">
        <v>5.9764415634674917</v>
      </c>
      <c r="BE145">
        <v>0</v>
      </c>
      <c r="BF145">
        <v>0</v>
      </c>
      <c r="BG145">
        <v>0</v>
      </c>
      <c r="BI145">
        <v>0.16732364725403701</v>
      </c>
      <c r="BJ145">
        <v>0.16732364725403701</v>
      </c>
      <c r="BK145">
        <v>0.95247739653897023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4.7522603461029767E-2</v>
      </c>
      <c r="BW145">
        <v>0</v>
      </c>
      <c r="BX145">
        <v>0</v>
      </c>
      <c r="BY145">
        <v>0</v>
      </c>
      <c r="BZ145">
        <v>0.16732364725403701</v>
      </c>
      <c r="CA145">
        <v>0</v>
      </c>
      <c r="CB145">
        <v>0</v>
      </c>
      <c r="CC145">
        <v>0</v>
      </c>
      <c r="CD145">
        <v>0</v>
      </c>
      <c r="CE145">
        <v>0</v>
      </c>
    </row>
    <row r="146" spans="1:83" x14ac:dyDescent="0.25">
      <c r="A146" t="s">
        <v>128</v>
      </c>
      <c r="B146" t="s">
        <v>146</v>
      </c>
      <c r="C146" t="s">
        <v>72</v>
      </c>
      <c r="D146" s="12">
        <v>46247</v>
      </c>
      <c r="E146" t="s">
        <v>134</v>
      </c>
      <c r="F146" t="s">
        <v>73</v>
      </c>
      <c r="G146">
        <v>10.89474705021142</v>
      </c>
      <c r="H146">
        <v>0</v>
      </c>
      <c r="I146">
        <v>10</v>
      </c>
      <c r="J146">
        <v>1</v>
      </c>
      <c r="K146">
        <v>0</v>
      </c>
      <c r="L146">
        <v>46247</v>
      </c>
      <c r="M146" t="s">
        <v>177</v>
      </c>
      <c r="N146">
        <v>11.15625</v>
      </c>
      <c r="O146">
        <v>0</v>
      </c>
      <c r="P146">
        <v>0</v>
      </c>
      <c r="Q146">
        <v>1.0240026637225603</v>
      </c>
      <c r="R146">
        <v>2.4002663722560325E-2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</v>
      </c>
      <c r="AK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1</v>
      </c>
      <c r="BH146">
        <v>1</v>
      </c>
      <c r="BI146">
        <v>0</v>
      </c>
      <c r="BJ146">
        <v>0</v>
      </c>
      <c r="BK146">
        <v>0.97655995968281628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2.3440040317183719E-2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0.97655995968281628</v>
      </c>
      <c r="CE146">
        <v>0</v>
      </c>
    </row>
    <row r="147" spans="1:83" x14ac:dyDescent="0.25">
      <c r="A147" t="s">
        <v>128</v>
      </c>
      <c r="B147" t="s">
        <v>145</v>
      </c>
      <c r="C147" t="s">
        <v>72</v>
      </c>
      <c r="D147" s="12">
        <v>46247</v>
      </c>
      <c r="E147" t="s">
        <v>134</v>
      </c>
      <c r="F147" t="s">
        <v>73</v>
      </c>
      <c r="G147">
        <v>10.887872467538834</v>
      </c>
      <c r="H147">
        <v>20.9</v>
      </c>
      <c r="I147">
        <v>20</v>
      </c>
      <c r="K147">
        <v>20.9</v>
      </c>
      <c r="L147">
        <v>46247</v>
      </c>
      <c r="M147" t="s">
        <v>177</v>
      </c>
      <c r="N147">
        <v>11.15625</v>
      </c>
      <c r="O147">
        <v>1.9195669367281238</v>
      </c>
      <c r="P147">
        <v>1.9195669367281238</v>
      </c>
      <c r="Q147">
        <v>1.0246492171231163</v>
      </c>
      <c r="R147">
        <v>0</v>
      </c>
      <c r="S147">
        <v>0</v>
      </c>
      <c r="T147">
        <v>0.66956693672812384</v>
      </c>
      <c r="U147">
        <v>0</v>
      </c>
      <c r="V147">
        <v>0</v>
      </c>
      <c r="W147">
        <v>0</v>
      </c>
      <c r="X147">
        <v>2.4649217123116296E-2</v>
      </c>
      <c r="Y147">
        <v>0</v>
      </c>
      <c r="Z147">
        <v>0.2253507828768837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1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0.52095083576740842</v>
      </c>
      <c r="AM147">
        <v>0.52095083576740842</v>
      </c>
      <c r="AN147">
        <v>0.53379186602870821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0.46620813397129179</v>
      </c>
      <c r="AZ147">
        <v>0</v>
      </c>
      <c r="BA147">
        <v>0</v>
      </c>
      <c r="BB147">
        <v>0</v>
      </c>
      <c r="BC147">
        <v>0.52095083576740842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1.8733893557422967</v>
      </c>
      <c r="BJ147">
        <v>1.8733893557422967</v>
      </c>
      <c r="BK147">
        <v>0.97594375059171623</v>
      </c>
      <c r="CB147">
        <v>0</v>
      </c>
      <c r="CC147">
        <v>0</v>
      </c>
      <c r="CD147">
        <v>0</v>
      </c>
    </row>
    <row r="148" spans="1:83" x14ac:dyDescent="0.25">
      <c r="A148" t="s">
        <v>128</v>
      </c>
      <c r="B148" t="s">
        <v>146</v>
      </c>
      <c r="C148" t="s">
        <v>72</v>
      </c>
      <c r="D148" s="12">
        <v>46247</v>
      </c>
      <c r="E148" t="s">
        <v>134</v>
      </c>
      <c r="F148" t="s">
        <v>74</v>
      </c>
      <c r="G148">
        <v>4.2207252494765797</v>
      </c>
      <c r="H148">
        <v>0</v>
      </c>
      <c r="I148">
        <v>10</v>
      </c>
      <c r="J148">
        <v>1</v>
      </c>
      <c r="K148">
        <v>0</v>
      </c>
      <c r="L148">
        <v>46247</v>
      </c>
      <c r="M148" t="s">
        <v>165</v>
      </c>
      <c r="N148">
        <v>4.6875</v>
      </c>
      <c r="O148">
        <v>0</v>
      </c>
      <c r="P148">
        <v>0</v>
      </c>
      <c r="Q148">
        <v>1.1105911242579236</v>
      </c>
      <c r="R148">
        <v>0.11059112425792361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</v>
      </c>
      <c r="AK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1</v>
      </c>
      <c r="BH148">
        <v>1</v>
      </c>
      <c r="BI148">
        <v>0</v>
      </c>
      <c r="BJ148">
        <v>0</v>
      </c>
      <c r="BK148">
        <v>0.9004213865550037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9.95786134449963E-2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0.9004213865550037</v>
      </c>
      <c r="CE148">
        <v>0</v>
      </c>
    </row>
    <row r="149" spans="1:83" x14ac:dyDescent="0.25">
      <c r="A149" t="s">
        <v>128</v>
      </c>
      <c r="B149" t="s">
        <v>145</v>
      </c>
      <c r="C149" t="s">
        <v>72</v>
      </c>
      <c r="D149" s="12">
        <v>46247</v>
      </c>
      <c r="E149" t="s">
        <v>134</v>
      </c>
      <c r="F149" t="s">
        <v>74</v>
      </c>
      <c r="G149">
        <v>4.220105607573192</v>
      </c>
      <c r="H149">
        <v>4.75</v>
      </c>
      <c r="I149">
        <v>20</v>
      </c>
      <c r="K149">
        <v>4.75</v>
      </c>
      <c r="L149">
        <v>46247</v>
      </c>
      <c r="M149" t="s">
        <v>165</v>
      </c>
      <c r="N149">
        <v>4.6875</v>
      </c>
      <c r="O149">
        <v>1.1255642492633089</v>
      </c>
      <c r="P149">
        <v>1.1255642492633089</v>
      </c>
      <c r="Q149">
        <v>1.1107541933519496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0.11075419335194958</v>
      </c>
      <c r="Y149">
        <v>0</v>
      </c>
      <c r="Z149">
        <v>1.481005591135931E-2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0.88844328580488252</v>
      </c>
      <c r="AM149">
        <v>0.88844328580488252</v>
      </c>
      <c r="AN149">
        <v>0.98684210526315785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1.3157894736842146E-2</v>
      </c>
      <c r="AZ149">
        <v>0</v>
      </c>
      <c r="BA149">
        <v>0</v>
      </c>
      <c r="BB149">
        <v>0</v>
      </c>
      <c r="BC149">
        <v>0.88844328580488252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1.0133333333333334</v>
      </c>
      <c r="BJ149">
        <v>1.0133333333333334</v>
      </c>
      <c r="BK149">
        <v>0.90028919628228099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1.3333333333333419E-2</v>
      </c>
      <c r="BU149">
        <v>0</v>
      </c>
      <c r="BV149">
        <v>0</v>
      </c>
      <c r="BW149">
        <v>0</v>
      </c>
      <c r="BX149">
        <v>9.971080371771901E-2</v>
      </c>
      <c r="BY149">
        <v>0</v>
      </c>
      <c r="BZ149">
        <v>0.90028919628228099</v>
      </c>
      <c r="CA149">
        <v>0</v>
      </c>
      <c r="CB149">
        <v>0</v>
      </c>
      <c r="CC149">
        <v>0</v>
      </c>
      <c r="CD149">
        <v>0</v>
      </c>
      <c r="CE149">
        <v>0</v>
      </c>
    </row>
    <row r="150" spans="1:83" x14ac:dyDescent="0.25">
      <c r="A150" t="s">
        <v>128</v>
      </c>
      <c r="B150" t="s">
        <v>146</v>
      </c>
      <c r="C150" t="s">
        <v>72</v>
      </c>
      <c r="D150" s="12">
        <v>46247</v>
      </c>
      <c r="E150" t="s">
        <v>134</v>
      </c>
      <c r="F150" t="s">
        <v>75</v>
      </c>
      <c r="G150">
        <v>10.973885648639106</v>
      </c>
      <c r="H150">
        <v>5.6999999999999993</v>
      </c>
      <c r="I150">
        <v>10</v>
      </c>
      <c r="J150">
        <v>1</v>
      </c>
      <c r="K150">
        <v>5.6999999999999993</v>
      </c>
      <c r="L150">
        <v>46247</v>
      </c>
      <c r="M150" t="s">
        <v>164</v>
      </c>
      <c r="N150">
        <v>11.25</v>
      </c>
      <c r="O150">
        <v>0.51941492580678272</v>
      </c>
      <c r="P150">
        <v>0.51941492580678272</v>
      </c>
      <c r="Q150">
        <v>1.025161037776545</v>
      </c>
      <c r="R150">
        <v>2.5161037776544992E-2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0.48058507419321728</v>
      </c>
      <c r="AB150">
        <v>0</v>
      </c>
      <c r="AC150">
        <v>0</v>
      </c>
      <c r="AD150">
        <v>0</v>
      </c>
      <c r="AE150">
        <v>0</v>
      </c>
      <c r="AF150">
        <v>0.51941492580678272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1.9252430962524749</v>
      </c>
      <c r="AM150">
        <v>1.9252430962524749</v>
      </c>
      <c r="AN150">
        <v>1.9736842105263159</v>
      </c>
      <c r="BE150">
        <v>0</v>
      </c>
      <c r="BF150">
        <v>0</v>
      </c>
      <c r="BG150">
        <v>0</v>
      </c>
      <c r="BI150">
        <v>0.5066666666666666</v>
      </c>
      <c r="BJ150">
        <v>0.5066666666666666</v>
      </c>
      <c r="BK150">
        <v>0.9754565021012539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2.4543497898746103E-2</v>
      </c>
      <c r="BW150">
        <v>0</v>
      </c>
      <c r="BX150">
        <v>0</v>
      </c>
      <c r="BY150">
        <v>0</v>
      </c>
      <c r="BZ150">
        <v>0.5066666666666666</v>
      </c>
      <c r="CA150">
        <v>0</v>
      </c>
      <c r="CB150">
        <v>0</v>
      </c>
      <c r="CC150">
        <v>0</v>
      </c>
      <c r="CD150">
        <v>0</v>
      </c>
      <c r="CE150">
        <v>0</v>
      </c>
    </row>
    <row r="151" spans="1:83" x14ac:dyDescent="0.25">
      <c r="A151" t="s">
        <v>128</v>
      </c>
      <c r="B151" t="s">
        <v>145</v>
      </c>
      <c r="C151" t="s">
        <v>72</v>
      </c>
      <c r="D151" s="12">
        <v>46247</v>
      </c>
      <c r="E151" t="s">
        <v>134</v>
      </c>
      <c r="F151" t="s">
        <v>75</v>
      </c>
      <c r="G151">
        <v>10.972274579690296</v>
      </c>
      <c r="H151">
        <v>11.4</v>
      </c>
      <c r="I151">
        <v>20</v>
      </c>
      <c r="K151">
        <v>11.4</v>
      </c>
      <c r="L151">
        <v>46247</v>
      </c>
      <c r="M151" t="s">
        <v>164</v>
      </c>
      <c r="N151">
        <v>11.25</v>
      </c>
      <c r="O151">
        <v>1.0389823839353622</v>
      </c>
      <c r="P151">
        <v>1.0389823839353622</v>
      </c>
      <c r="Q151">
        <v>1.0253115630941076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2.5311563094107647E-2</v>
      </c>
      <c r="Y151">
        <v>0</v>
      </c>
      <c r="Z151">
        <v>1.3670820841254594E-2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1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0.96248022628862262</v>
      </c>
      <c r="AM151">
        <v>0.96248022628862262</v>
      </c>
      <c r="AN151">
        <v>0.98684210526315796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1.3157894736842035E-2</v>
      </c>
      <c r="AZ151">
        <v>0</v>
      </c>
      <c r="BA151">
        <v>0</v>
      </c>
      <c r="BB151">
        <v>0</v>
      </c>
      <c r="BC151">
        <v>0.96248022628862262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1.0133333333333332</v>
      </c>
      <c r="BJ151">
        <v>1.0133333333333332</v>
      </c>
      <c r="BK151">
        <v>0.97531329597247074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1.3333333333333197E-2</v>
      </c>
      <c r="BU151">
        <v>0</v>
      </c>
      <c r="BV151">
        <v>0</v>
      </c>
      <c r="BW151">
        <v>0</v>
      </c>
      <c r="BX151">
        <v>2.468670402752926E-2</v>
      </c>
      <c r="BY151">
        <v>0</v>
      </c>
      <c r="BZ151">
        <v>0.97531329597247074</v>
      </c>
      <c r="CA151">
        <v>0</v>
      </c>
      <c r="CB151">
        <v>0</v>
      </c>
      <c r="CC151">
        <v>0</v>
      </c>
      <c r="CD151">
        <v>0</v>
      </c>
      <c r="CE151">
        <v>0</v>
      </c>
    </row>
    <row r="152" spans="1:83" x14ac:dyDescent="0.25">
      <c r="A152" t="s">
        <v>128</v>
      </c>
      <c r="B152" t="s">
        <v>145</v>
      </c>
      <c r="C152" t="s">
        <v>72</v>
      </c>
      <c r="D152" s="12">
        <v>46248</v>
      </c>
      <c r="E152" t="s">
        <v>134</v>
      </c>
      <c r="F152" t="s">
        <v>73</v>
      </c>
      <c r="G152">
        <v>10.972274579690296</v>
      </c>
      <c r="H152">
        <v>19</v>
      </c>
      <c r="I152">
        <v>20</v>
      </c>
      <c r="K152">
        <v>19</v>
      </c>
      <c r="L152">
        <v>46248</v>
      </c>
      <c r="M152" t="s">
        <v>162</v>
      </c>
      <c r="N152">
        <v>9.4338235294117645</v>
      </c>
      <c r="O152">
        <v>1.7316373065589372</v>
      </c>
      <c r="P152">
        <v>1.7316373065589372</v>
      </c>
      <c r="Q152">
        <v>0.85978740879067972</v>
      </c>
      <c r="R152">
        <v>0</v>
      </c>
      <c r="S152">
        <v>0</v>
      </c>
      <c r="T152">
        <v>0.48163730655893722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0.25</v>
      </c>
      <c r="AA152">
        <v>0</v>
      </c>
      <c r="AB152">
        <v>0</v>
      </c>
      <c r="AC152">
        <v>0</v>
      </c>
      <c r="AD152">
        <v>0.14021259120932028</v>
      </c>
      <c r="AE152">
        <v>0</v>
      </c>
      <c r="AF152">
        <v>0.85978740879067972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0.57748813577317348</v>
      </c>
      <c r="AM152">
        <v>0.57748813577317348</v>
      </c>
      <c r="AN152">
        <v>0.49651702786377711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0.42251186422682652</v>
      </c>
      <c r="AZ152">
        <v>0</v>
      </c>
      <c r="BA152">
        <v>8.0971107909396378E-2</v>
      </c>
      <c r="BB152">
        <v>0</v>
      </c>
      <c r="BC152">
        <v>0.49651702786377711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2.0140296180826187</v>
      </c>
      <c r="BJ152">
        <v>2.0140296180826187</v>
      </c>
      <c r="BK152">
        <v>1.1630782095384882</v>
      </c>
      <c r="CB152">
        <v>0</v>
      </c>
      <c r="CC152">
        <v>0</v>
      </c>
      <c r="CD152">
        <v>0</v>
      </c>
    </row>
    <row r="153" spans="1:83" x14ac:dyDescent="0.25">
      <c r="A153" t="s">
        <v>128</v>
      </c>
      <c r="B153" t="s">
        <v>146</v>
      </c>
      <c r="C153" t="s">
        <v>72</v>
      </c>
      <c r="D153" s="12">
        <v>46248</v>
      </c>
      <c r="E153" t="s">
        <v>134</v>
      </c>
      <c r="F153" t="s">
        <v>73</v>
      </c>
      <c r="G153">
        <v>10.973885648639106</v>
      </c>
      <c r="H153">
        <v>0</v>
      </c>
      <c r="I153">
        <v>10</v>
      </c>
      <c r="J153">
        <v>1</v>
      </c>
      <c r="K153">
        <v>0</v>
      </c>
      <c r="L153">
        <v>46248</v>
      </c>
      <c r="M153" t="s">
        <v>162</v>
      </c>
      <c r="N153">
        <v>9.4338235294117645</v>
      </c>
      <c r="O153">
        <v>0</v>
      </c>
      <c r="P153">
        <v>0</v>
      </c>
      <c r="Q153">
        <v>0.85966118396556024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0.85966118396556024</v>
      </c>
      <c r="AB153">
        <v>0.14033881603443976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1</v>
      </c>
      <c r="BI153">
        <v>0</v>
      </c>
      <c r="BJ153">
        <v>0</v>
      </c>
      <c r="BK153">
        <v>1.1632489853584711</v>
      </c>
      <c r="BL153">
        <v>0.1632489853584711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1</v>
      </c>
      <c r="CE153">
        <v>1</v>
      </c>
    </row>
    <row r="154" spans="1:83" x14ac:dyDescent="0.25">
      <c r="A154" t="s">
        <v>128</v>
      </c>
      <c r="B154" t="s">
        <v>145</v>
      </c>
      <c r="C154" t="s">
        <v>72</v>
      </c>
      <c r="D154" s="12">
        <v>46248</v>
      </c>
      <c r="E154" t="s">
        <v>134</v>
      </c>
      <c r="F154" t="s">
        <v>74</v>
      </c>
      <c r="G154">
        <v>4.220105607573192</v>
      </c>
      <c r="H154">
        <v>5.6999999999999993</v>
      </c>
      <c r="I154">
        <v>20</v>
      </c>
      <c r="K154">
        <v>5.6999999999999993</v>
      </c>
      <c r="L154">
        <v>46248</v>
      </c>
      <c r="M154" t="s">
        <v>161</v>
      </c>
      <c r="N154">
        <v>3.75</v>
      </c>
      <c r="O154">
        <v>1.3506770991159704</v>
      </c>
      <c r="P154">
        <v>1.3506770991159704</v>
      </c>
      <c r="Q154">
        <v>0.88860335468155971</v>
      </c>
      <c r="R154">
        <v>0</v>
      </c>
      <c r="S154">
        <v>0</v>
      </c>
      <c r="T154">
        <v>0.10067709911597045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0.25</v>
      </c>
      <c r="AA154">
        <v>0</v>
      </c>
      <c r="AB154">
        <v>0</v>
      </c>
      <c r="AC154">
        <v>0</v>
      </c>
      <c r="AD154">
        <v>0.11139664531844029</v>
      </c>
      <c r="AE154">
        <v>0</v>
      </c>
      <c r="AF154">
        <v>0.88860335468155971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0.74036940483740221</v>
      </c>
      <c r="AM154">
        <v>0.74036940483740221</v>
      </c>
      <c r="AN154">
        <v>0.65789473684210531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0.25963059516259779</v>
      </c>
      <c r="AZ154">
        <v>0</v>
      </c>
      <c r="BA154">
        <v>8.2474667995296902E-2</v>
      </c>
      <c r="BB154">
        <v>0</v>
      </c>
      <c r="BC154">
        <v>0.65789473684210531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1.5199999999999998</v>
      </c>
      <c r="BJ154">
        <v>1.5199999999999998</v>
      </c>
      <c r="BK154">
        <v>1.1253614953528512</v>
      </c>
      <c r="CB154">
        <v>0</v>
      </c>
      <c r="CC154">
        <v>0</v>
      </c>
      <c r="CD154">
        <v>0</v>
      </c>
    </row>
    <row r="155" spans="1:83" x14ac:dyDescent="0.25">
      <c r="A155" t="s">
        <v>128</v>
      </c>
      <c r="B155" t="s">
        <v>146</v>
      </c>
      <c r="C155" t="s">
        <v>72</v>
      </c>
      <c r="D155" s="12">
        <v>46248</v>
      </c>
      <c r="E155" t="s">
        <v>134</v>
      </c>
      <c r="F155" t="s">
        <v>74</v>
      </c>
      <c r="G155">
        <v>4.2207252494765797</v>
      </c>
      <c r="H155">
        <v>0.95</v>
      </c>
      <c r="I155">
        <v>10</v>
      </c>
      <c r="J155">
        <v>1</v>
      </c>
      <c r="K155">
        <v>0.95</v>
      </c>
      <c r="L155">
        <v>46248</v>
      </c>
      <c r="M155" t="s">
        <v>161</v>
      </c>
      <c r="N155">
        <v>3.75</v>
      </c>
      <c r="O155">
        <v>0.22507980118293919</v>
      </c>
      <c r="P155">
        <v>0.22507980118293919</v>
      </c>
      <c r="Q155">
        <v>0.88847289940633889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0.66339309822339976</v>
      </c>
      <c r="AB155">
        <v>0.11152710059366111</v>
      </c>
      <c r="AC155">
        <v>0</v>
      </c>
      <c r="AD155">
        <v>0</v>
      </c>
      <c r="AE155">
        <v>0</v>
      </c>
      <c r="AF155">
        <v>0.22507980118293919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4.4428686836595581</v>
      </c>
      <c r="AM155">
        <v>4.4428686836595581</v>
      </c>
      <c r="AN155">
        <v>3.9473684210526319</v>
      </c>
      <c r="BE155">
        <v>0</v>
      </c>
      <c r="BF155">
        <v>0</v>
      </c>
      <c r="BG155">
        <v>0</v>
      </c>
      <c r="BI155">
        <v>0.2533333333333333</v>
      </c>
      <c r="BJ155">
        <v>0.2533333333333333</v>
      </c>
      <c r="BK155">
        <v>1.1255267331937546</v>
      </c>
      <c r="BL155">
        <v>0.12552673319375462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0.77492019881706087</v>
      </c>
      <c r="BV155">
        <v>0</v>
      </c>
      <c r="BW155">
        <v>0</v>
      </c>
      <c r="BX155">
        <v>0</v>
      </c>
      <c r="BY155">
        <v>0</v>
      </c>
      <c r="BZ155">
        <v>0.2533333333333333</v>
      </c>
      <c r="CA155">
        <v>0</v>
      </c>
      <c r="CB155">
        <v>0</v>
      </c>
      <c r="CC155">
        <v>0</v>
      </c>
      <c r="CD155">
        <v>0</v>
      </c>
      <c r="CE155">
        <v>0</v>
      </c>
    </row>
    <row r="156" spans="1:83" x14ac:dyDescent="0.25">
      <c r="A156" t="s">
        <v>128</v>
      </c>
      <c r="B156" t="s">
        <v>145</v>
      </c>
      <c r="C156" t="s">
        <v>72</v>
      </c>
      <c r="D156" s="12">
        <v>46248</v>
      </c>
      <c r="E156" t="s">
        <v>134</v>
      </c>
      <c r="F156" t="s">
        <v>75</v>
      </c>
      <c r="G156">
        <v>11.028542654457938</v>
      </c>
      <c r="H156">
        <v>11.4</v>
      </c>
      <c r="I156">
        <v>20</v>
      </c>
      <c r="K156">
        <v>11.4</v>
      </c>
      <c r="L156">
        <v>46248</v>
      </c>
      <c r="M156" t="s">
        <v>159</v>
      </c>
      <c r="N156">
        <v>11.253676470588236</v>
      </c>
      <c r="O156">
        <v>1.0336814534050798</v>
      </c>
      <c r="P156">
        <v>1.0336814534050798</v>
      </c>
      <c r="Q156">
        <v>1.0204137412515963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2.041374125159634E-2</v>
      </c>
      <c r="Y156">
        <v>0</v>
      </c>
      <c r="Z156">
        <v>1.3267712153483435E-2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1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0.96741602232087187</v>
      </c>
      <c r="AM156">
        <v>0.96741602232087187</v>
      </c>
      <c r="AN156">
        <v>0.98716460268317863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1.2835397316821373E-2</v>
      </c>
      <c r="AZ156">
        <v>0</v>
      </c>
      <c r="BA156">
        <v>0</v>
      </c>
      <c r="BB156">
        <v>0</v>
      </c>
      <c r="BC156">
        <v>0.96741602232087187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1.0130022868343678</v>
      </c>
      <c r="BJ156">
        <v>1.0130022868343678</v>
      </c>
      <c r="BK156">
        <v>0.97999464293125094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1.3002286834367771E-2</v>
      </c>
      <c r="BU156">
        <v>0</v>
      </c>
      <c r="BV156">
        <v>0</v>
      </c>
      <c r="BW156">
        <v>0</v>
      </c>
      <c r="BX156">
        <v>2.0005357068749063E-2</v>
      </c>
      <c r="BY156">
        <v>0</v>
      </c>
      <c r="BZ156">
        <v>0.97999464293125094</v>
      </c>
      <c r="CA156">
        <v>0</v>
      </c>
      <c r="CB156">
        <v>0</v>
      </c>
      <c r="CC156">
        <v>0</v>
      </c>
      <c r="CD156">
        <v>0</v>
      </c>
      <c r="CE156">
        <v>0</v>
      </c>
    </row>
    <row r="157" spans="1:83" x14ac:dyDescent="0.25">
      <c r="A157" t="s">
        <v>128</v>
      </c>
      <c r="B157" t="s">
        <v>146</v>
      </c>
      <c r="C157" t="s">
        <v>72</v>
      </c>
      <c r="D157" s="12">
        <v>46248</v>
      </c>
      <c r="E157" t="s">
        <v>134</v>
      </c>
      <c r="F157" t="s">
        <v>75</v>
      </c>
      <c r="G157">
        <v>11.026644714257564</v>
      </c>
      <c r="H157">
        <v>4.75</v>
      </c>
      <c r="I157">
        <v>10</v>
      </c>
      <c r="J157">
        <v>1</v>
      </c>
      <c r="K157">
        <v>4.75</v>
      </c>
      <c r="L157">
        <v>46248</v>
      </c>
      <c r="M157" t="s">
        <v>159</v>
      </c>
      <c r="N157">
        <v>11.253676470588236</v>
      </c>
      <c r="O157">
        <v>0.43077473910610375</v>
      </c>
      <c r="P157">
        <v>0.43077473910610375</v>
      </c>
      <c r="Q157">
        <v>1.0205893780215043</v>
      </c>
      <c r="R157">
        <v>2.058937802150429E-2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0.56922526089389625</v>
      </c>
      <c r="AB157">
        <v>0</v>
      </c>
      <c r="AC157">
        <v>0</v>
      </c>
      <c r="AD157">
        <v>0</v>
      </c>
      <c r="AE157">
        <v>0</v>
      </c>
      <c r="AF157">
        <v>0.43077473910610375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2.3213988872121187</v>
      </c>
      <c r="AM157">
        <v>2.3213988872121187</v>
      </c>
      <c r="AN157">
        <v>2.3691950464396285</v>
      </c>
      <c r="BE157">
        <v>0</v>
      </c>
      <c r="BF157">
        <v>0</v>
      </c>
      <c r="BG157">
        <v>0</v>
      </c>
      <c r="BI157">
        <v>0.42208428618098659</v>
      </c>
      <c r="BJ157">
        <v>0.42208428618098659</v>
      </c>
      <c r="BK157">
        <v>0.97982599225026379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2.0174007749736211E-2</v>
      </c>
      <c r="BW157">
        <v>0</v>
      </c>
      <c r="BX157">
        <v>0</v>
      </c>
      <c r="BY157">
        <v>0</v>
      </c>
      <c r="BZ157">
        <v>0.42208428618098659</v>
      </c>
      <c r="CA157">
        <v>0</v>
      </c>
      <c r="CB157">
        <v>0</v>
      </c>
      <c r="CC157">
        <v>0</v>
      </c>
      <c r="CD157">
        <v>0</v>
      </c>
      <c r="CE157">
        <v>0</v>
      </c>
    </row>
    <row r="158" spans="1:83" x14ac:dyDescent="0.25">
      <c r="A158" t="s">
        <v>128</v>
      </c>
      <c r="B158" t="s">
        <v>146</v>
      </c>
      <c r="C158" t="s">
        <v>72</v>
      </c>
      <c r="D158" s="12">
        <v>46249</v>
      </c>
      <c r="E158" t="s">
        <v>134</v>
      </c>
      <c r="F158" t="s">
        <v>73</v>
      </c>
      <c r="G158">
        <v>11.026644714257564</v>
      </c>
      <c r="H158">
        <v>3.8</v>
      </c>
      <c r="I158">
        <v>10</v>
      </c>
      <c r="J158">
        <v>1</v>
      </c>
      <c r="K158">
        <v>3.8</v>
      </c>
      <c r="L158">
        <v>46249</v>
      </c>
      <c r="M158" t="s">
        <v>158</v>
      </c>
      <c r="N158">
        <v>11.25</v>
      </c>
      <c r="O158">
        <v>0.34461979128488296</v>
      </c>
      <c r="P158">
        <v>0.34461979128488296</v>
      </c>
      <c r="Q158">
        <v>1.020255961040772</v>
      </c>
      <c r="R158">
        <v>2.0255961040771986E-2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0.65538020871511704</v>
      </c>
      <c r="AB158">
        <v>0</v>
      </c>
      <c r="AC158">
        <v>0</v>
      </c>
      <c r="AD158">
        <v>0</v>
      </c>
      <c r="AE158">
        <v>0</v>
      </c>
      <c r="AF158">
        <v>0.34461979128488296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2.9017486090151485</v>
      </c>
      <c r="AM158">
        <v>2.9017486090151485</v>
      </c>
      <c r="AN158">
        <v>2.9605263157894739</v>
      </c>
      <c r="BE158">
        <v>0</v>
      </c>
      <c r="BF158">
        <v>0</v>
      </c>
      <c r="BG158">
        <v>0</v>
      </c>
      <c r="BI158">
        <v>0.33777777777777779</v>
      </c>
      <c r="BJ158">
        <v>0.33777777777777779</v>
      </c>
      <c r="BK158">
        <v>0.98014619682289461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1.9853803177105389E-2</v>
      </c>
      <c r="BW158">
        <v>0</v>
      </c>
      <c r="BX158">
        <v>0</v>
      </c>
      <c r="BY158">
        <v>0</v>
      </c>
      <c r="BZ158">
        <v>0.33777777777777779</v>
      </c>
      <c r="CA158">
        <v>0</v>
      </c>
      <c r="CB158">
        <v>0</v>
      </c>
      <c r="CC158">
        <v>0</v>
      </c>
      <c r="CD158">
        <v>0</v>
      </c>
      <c r="CE158">
        <v>0</v>
      </c>
    </row>
    <row r="159" spans="1:83" x14ac:dyDescent="0.25">
      <c r="A159" t="s">
        <v>128</v>
      </c>
      <c r="B159" t="s">
        <v>145</v>
      </c>
      <c r="C159" t="s">
        <v>72</v>
      </c>
      <c r="D159" s="12">
        <v>46249</v>
      </c>
      <c r="E159" t="s">
        <v>134</v>
      </c>
      <c r="F159" t="s">
        <v>73</v>
      </c>
      <c r="G159">
        <v>11.028542654457937</v>
      </c>
      <c r="H159">
        <v>14.25</v>
      </c>
      <c r="I159">
        <v>20</v>
      </c>
      <c r="K159">
        <v>14.25</v>
      </c>
      <c r="L159">
        <v>46249</v>
      </c>
      <c r="M159" t="s">
        <v>158</v>
      </c>
      <c r="N159">
        <v>11.25</v>
      </c>
      <c r="O159">
        <v>1.2921018167563501</v>
      </c>
      <c r="P159">
        <v>1.2921018167563501</v>
      </c>
      <c r="Q159">
        <v>1.0200803816497501</v>
      </c>
      <c r="R159">
        <v>0</v>
      </c>
      <c r="S159">
        <v>0</v>
      </c>
      <c r="T159">
        <v>4.2101816756350052E-2</v>
      </c>
      <c r="U159">
        <v>0</v>
      </c>
      <c r="V159">
        <v>0</v>
      </c>
      <c r="W159">
        <v>0</v>
      </c>
      <c r="X159">
        <v>2.0080381649750123E-2</v>
      </c>
      <c r="Y159">
        <v>0</v>
      </c>
      <c r="Z159">
        <v>0.22991961835024988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1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0.77393281785669732</v>
      </c>
      <c r="AM159">
        <v>0.77393281785669732</v>
      </c>
      <c r="AN159">
        <v>0.78947368421052633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0.21052631578947367</v>
      </c>
      <c r="AZ159">
        <v>0</v>
      </c>
      <c r="BA159">
        <v>0</v>
      </c>
      <c r="BB159">
        <v>0</v>
      </c>
      <c r="BC159">
        <v>0.77393281785669732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1.2666666666666666</v>
      </c>
      <c r="BJ159">
        <v>1.2666666666666666</v>
      </c>
      <c r="BK159">
        <v>0.9803149026184832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0.26666666666666661</v>
      </c>
      <c r="BU159">
        <v>0</v>
      </c>
      <c r="BV159">
        <v>0</v>
      </c>
      <c r="BW159">
        <v>0</v>
      </c>
      <c r="BX159">
        <v>1.9685097381516803E-2</v>
      </c>
      <c r="BY159">
        <v>0</v>
      </c>
      <c r="BZ159">
        <v>0.9803149026184832</v>
      </c>
      <c r="CA159">
        <v>0</v>
      </c>
      <c r="CB159">
        <v>0</v>
      </c>
      <c r="CC159">
        <v>0</v>
      </c>
      <c r="CD159">
        <v>0</v>
      </c>
      <c r="CE159">
        <v>0</v>
      </c>
    </row>
    <row r="160" spans="1:83" x14ac:dyDescent="0.25">
      <c r="A160" t="s">
        <v>128</v>
      </c>
      <c r="B160" t="s">
        <v>146</v>
      </c>
      <c r="C160" t="s">
        <v>72</v>
      </c>
      <c r="D160" s="12">
        <v>46249</v>
      </c>
      <c r="E160" t="s">
        <v>134</v>
      </c>
      <c r="F160" t="s">
        <v>74</v>
      </c>
      <c r="G160">
        <v>4.2207252494765797</v>
      </c>
      <c r="H160">
        <v>0.95</v>
      </c>
      <c r="I160">
        <v>10</v>
      </c>
      <c r="J160">
        <v>1</v>
      </c>
      <c r="K160">
        <v>0.95</v>
      </c>
      <c r="L160">
        <v>46249</v>
      </c>
      <c r="M160" t="s">
        <v>167</v>
      </c>
      <c r="N160">
        <v>4.6875</v>
      </c>
      <c r="O160">
        <v>0.22507980118293919</v>
      </c>
      <c r="P160">
        <v>0.22507980118293919</v>
      </c>
      <c r="Q160">
        <v>1.1105911242579236</v>
      </c>
      <c r="R160">
        <v>0.11059112425792361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0.77492019881706087</v>
      </c>
      <c r="AB160">
        <v>0</v>
      </c>
      <c r="AC160">
        <v>0</v>
      </c>
      <c r="AD160">
        <v>0</v>
      </c>
      <c r="AE160">
        <v>0</v>
      </c>
      <c r="AF160">
        <v>0.22507980118293919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4.4428686836595581</v>
      </c>
      <c r="AM160">
        <v>4.4428686836595581</v>
      </c>
      <c r="AN160">
        <v>4.9342105263157894</v>
      </c>
      <c r="BE160">
        <v>0</v>
      </c>
      <c r="BF160">
        <v>0</v>
      </c>
      <c r="BG160">
        <v>0</v>
      </c>
      <c r="BI160">
        <v>0.20266666666666666</v>
      </c>
      <c r="BJ160">
        <v>0.20266666666666666</v>
      </c>
      <c r="BK160">
        <v>0.9004213865550037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9.95786134449963E-2</v>
      </c>
      <c r="BW160">
        <v>0</v>
      </c>
      <c r="BX160">
        <v>0</v>
      </c>
      <c r="BY160">
        <v>0</v>
      </c>
      <c r="BZ160">
        <v>0.20266666666666666</v>
      </c>
      <c r="CA160">
        <v>0</v>
      </c>
      <c r="CB160">
        <v>0</v>
      </c>
      <c r="CC160">
        <v>0</v>
      </c>
      <c r="CD160">
        <v>0</v>
      </c>
      <c r="CE160">
        <v>0</v>
      </c>
    </row>
    <row r="161" spans="1:83" x14ac:dyDescent="0.25">
      <c r="A161" t="s">
        <v>128</v>
      </c>
      <c r="B161" t="s">
        <v>145</v>
      </c>
      <c r="C161" t="s">
        <v>72</v>
      </c>
      <c r="D161" s="12">
        <v>46249</v>
      </c>
      <c r="E161" t="s">
        <v>134</v>
      </c>
      <c r="F161" t="s">
        <v>74</v>
      </c>
      <c r="G161">
        <v>4.220105607573192</v>
      </c>
      <c r="H161">
        <v>4.75</v>
      </c>
      <c r="I161">
        <v>20</v>
      </c>
      <c r="K161">
        <v>4.75</v>
      </c>
      <c r="L161">
        <v>46249</v>
      </c>
      <c r="M161" t="s">
        <v>167</v>
      </c>
      <c r="N161">
        <v>4.6875</v>
      </c>
      <c r="O161">
        <v>1.1255642492633089</v>
      </c>
      <c r="P161">
        <v>1.1255642492633089</v>
      </c>
      <c r="Q161">
        <v>1.1107541933519496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0.11075419335194958</v>
      </c>
      <c r="Y161">
        <v>0</v>
      </c>
      <c r="Z161">
        <v>1.481005591135931E-2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1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0.88844328580488252</v>
      </c>
      <c r="AM161">
        <v>0.88844328580488252</v>
      </c>
      <c r="AN161">
        <v>0.98684210526315785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1.3157894736842146E-2</v>
      </c>
      <c r="AZ161">
        <v>0</v>
      </c>
      <c r="BA161">
        <v>0</v>
      </c>
      <c r="BB161">
        <v>0</v>
      </c>
      <c r="BC161">
        <v>0.88844328580488252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1.0133333333333334</v>
      </c>
      <c r="BJ161">
        <v>1.0133333333333334</v>
      </c>
      <c r="BK161">
        <v>0.90028919628228099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1.3333333333333419E-2</v>
      </c>
      <c r="BU161">
        <v>0</v>
      </c>
      <c r="BV161">
        <v>0</v>
      </c>
      <c r="BW161">
        <v>0</v>
      </c>
      <c r="BX161">
        <v>9.971080371771901E-2</v>
      </c>
      <c r="BY161">
        <v>0</v>
      </c>
      <c r="BZ161">
        <v>0.90028919628228099</v>
      </c>
      <c r="CA161">
        <v>0</v>
      </c>
      <c r="CB161">
        <v>0</v>
      </c>
      <c r="CC161">
        <v>0</v>
      </c>
      <c r="CD161">
        <v>0</v>
      </c>
      <c r="CE161">
        <v>0</v>
      </c>
    </row>
    <row r="162" spans="1:83" x14ac:dyDescent="0.25">
      <c r="A162" t="s">
        <v>128</v>
      </c>
      <c r="B162" t="s">
        <v>145</v>
      </c>
      <c r="C162" t="s">
        <v>72</v>
      </c>
      <c r="D162" s="12">
        <v>46249</v>
      </c>
      <c r="E162" t="s">
        <v>134</v>
      </c>
      <c r="F162" t="s">
        <v>75</v>
      </c>
      <c r="G162">
        <v>10.972274579690296</v>
      </c>
      <c r="H162">
        <v>9.5</v>
      </c>
      <c r="I162">
        <v>20</v>
      </c>
      <c r="K162">
        <v>9.5</v>
      </c>
      <c r="L162">
        <v>46249</v>
      </c>
      <c r="M162" t="s">
        <v>170</v>
      </c>
      <c r="N162">
        <v>11.25</v>
      </c>
      <c r="O162">
        <v>0.86581865327946861</v>
      </c>
      <c r="P162">
        <v>0.86581865327946861</v>
      </c>
      <c r="Q162">
        <v>1.0253115630941076</v>
      </c>
      <c r="R162">
        <v>2.5311563094107647E-2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0.13418134672053139</v>
      </c>
      <c r="AB162">
        <v>0</v>
      </c>
      <c r="AC162">
        <v>0</v>
      </c>
      <c r="AD162">
        <v>0</v>
      </c>
      <c r="AE162">
        <v>0</v>
      </c>
      <c r="AF162">
        <v>0.86581865327946861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1.154976271546347</v>
      </c>
      <c r="AM162">
        <v>1.154976271546347</v>
      </c>
      <c r="AN162">
        <v>1.1842105263157894</v>
      </c>
      <c r="AO162">
        <v>2.9234254769442414E-2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0.15497627154634697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1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0.84444444444444444</v>
      </c>
      <c r="BJ162">
        <v>0.84444444444444444</v>
      </c>
      <c r="BK162">
        <v>0.97531329597247074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2.468670402752926E-2</v>
      </c>
      <c r="BW162">
        <v>0</v>
      </c>
      <c r="BX162">
        <v>0</v>
      </c>
      <c r="BY162">
        <v>0</v>
      </c>
      <c r="BZ162">
        <v>0.84444444444444444</v>
      </c>
      <c r="CA162">
        <v>0</v>
      </c>
      <c r="CB162">
        <v>0</v>
      </c>
      <c r="CC162">
        <v>0</v>
      </c>
      <c r="CD162">
        <v>0</v>
      </c>
      <c r="CE162">
        <v>0</v>
      </c>
    </row>
    <row r="163" spans="1:83" x14ac:dyDescent="0.25">
      <c r="A163" t="s">
        <v>128</v>
      </c>
      <c r="B163" t="s">
        <v>146</v>
      </c>
      <c r="C163" t="s">
        <v>72</v>
      </c>
      <c r="D163" s="12">
        <v>46249</v>
      </c>
      <c r="E163" t="s">
        <v>134</v>
      </c>
      <c r="F163" t="s">
        <v>75</v>
      </c>
      <c r="G163">
        <v>10.973885648639106</v>
      </c>
      <c r="H163">
        <v>1.9</v>
      </c>
      <c r="I163">
        <v>10</v>
      </c>
      <c r="J163">
        <v>1</v>
      </c>
      <c r="K163">
        <v>1.9</v>
      </c>
      <c r="L163">
        <v>46249</v>
      </c>
      <c r="M163" t="s">
        <v>170</v>
      </c>
      <c r="N163">
        <v>11.25</v>
      </c>
      <c r="O163">
        <v>0.17313830860226093</v>
      </c>
      <c r="P163">
        <v>0.17313830860226093</v>
      </c>
      <c r="Q163">
        <v>1.025161037776545</v>
      </c>
      <c r="R163">
        <v>2.5161037776544992E-2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0.82686169139773913</v>
      </c>
      <c r="AB163">
        <v>0</v>
      </c>
      <c r="AC163">
        <v>0</v>
      </c>
      <c r="AD163">
        <v>0</v>
      </c>
      <c r="AE163">
        <v>0</v>
      </c>
      <c r="AF163">
        <v>0.17313830860226093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5.7757292887574243</v>
      </c>
      <c r="AM163">
        <v>5.7757292887574243</v>
      </c>
      <c r="AN163">
        <v>5.9210526315789478</v>
      </c>
      <c r="BE163">
        <v>0</v>
      </c>
      <c r="BF163">
        <v>0</v>
      </c>
      <c r="BG163">
        <v>0</v>
      </c>
      <c r="BI163">
        <v>0.16888888888888889</v>
      </c>
      <c r="BJ163">
        <v>0.16888888888888889</v>
      </c>
      <c r="BK163">
        <v>0.9754565021012539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2.4543497898746103E-2</v>
      </c>
      <c r="BW163">
        <v>0</v>
      </c>
      <c r="BX163">
        <v>0</v>
      </c>
      <c r="BY163">
        <v>0</v>
      </c>
      <c r="BZ163">
        <v>0.16888888888888889</v>
      </c>
      <c r="CA163">
        <v>0</v>
      </c>
      <c r="CB163">
        <v>0</v>
      </c>
      <c r="CC163">
        <v>0</v>
      </c>
      <c r="CD163">
        <v>0</v>
      </c>
      <c r="CE163">
        <v>0</v>
      </c>
    </row>
    <row r="164" spans="1:83" x14ac:dyDescent="0.25">
      <c r="A164" t="s">
        <v>128</v>
      </c>
      <c r="B164" t="s">
        <v>145</v>
      </c>
      <c r="C164" t="s">
        <v>72</v>
      </c>
      <c r="D164" s="12">
        <v>46250</v>
      </c>
      <c r="E164" t="s">
        <v>134</v>
      </c>
      <c r="F164" t="s">
        <v>73</v>
      </c>
      <c r="G164">
        <v>10.972274579690296</v>
      </c>
      <c r="H164">
        <v>10.45</v>
      </c>
      <c r="I164">
        <v>20</v>
      </c>
      <c r="K164">
        <v>10.45</v>
      </c>
      <c r="L164">
        <v>46250</v>
      </c>
      <c r="M164" t="s">
        <v>171</v>
      </c>
      <c r="N164">
        <v>11.25</v>
      </c>
      <c r="O164">
        <v>0.95240051860741537</v>
      </c>
      <c r="P164">
        <v>0.95240051860741537</v>
      </c>
      <c r="Q164">
        <v>1.0253115630941076</v>
      </c>
      <c r="R164">
        <v>2.5311563094107647E-2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4.7599481392584631E-2</v>
      </c>
      <c r="AB164">
        <v>0</v>
      </c>
      <c r="AC164">
        <v>0</v>
      </c>
      <c r="AD164">
        <v>0</v>
      </c>
      <c r="AE164">
        <v>0</v>
      </c>
      <c r="AF164">
        <v>0.95240051860741537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1.0499784286784972</v>
      </c>
      <c r="AM164">
        <v>1.0499784286784972</v>
      </c>
      <c r="AN164">
        <v>1.0765550239234452</v>
      </c>
      <c r="AO164">
        <v>2.6576595244947931E-2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4.9978428678497222E-2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1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0.92888888888888888</v>
      </c>
      <c r="BJ164">
        <v>0.92888888888888888</v>
      </c>
      <c r="BK164">
        <v>0.97531329597247074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2.468670402752926E-2</v>
      </c>
      <c r="BW164">
        <v>0</v>
      </c>
      <c r="BX164">
        <v>0</v>
      </c>
      <c r="BY164">
        <v>0</v>
      </c>
      <c r="BZ164">
        <v>0.92888888888888888</v>
      </c>
      <c r="CA164">
        <v>0</v>
      </c>
      <c r="CB164">
        <v>0</v>
      </c>
      <c r="CC164">
        <v>0</v>
      </c>
      <c r="CD164">
        <v>0</v>
      </c>
      <c r="CE164">
        <v>0</v>
      </c>
    </row>
    <row r="165" spans="1:83" x14ac:dyDescent="0.25">
      <c r="A165" t="s">
        <v>128</v>
      </c>
      <c r="B165" t="s">
        <v>146</v>
      </c>
      <c r="C165" t="s">
        <v>72</v>
      </c>
      <c r="D165" s="12">
        <v>46250</v>
      </c>
      <c r="E165" t="s">
        <v>134</v>
      </c>
      <c r="F165" t="s">
        <v>73</v>
      </c>
      <c r="G165">
        <v>10.973885648639106</v>
      </c>
      <c r="H165">
        <v>3.8</v>
      </c>
      <c r="I165">
        <v>10</v>
      </c>
      <c r="J165">
        <v>1</v>
      </c>
      <c r="K165">
        <v>3.8</v>
      </c>
      <c r="L165">
        <v>46250</v>
      </c>
      <c r="M165" t="s">
        <v>171</v>
      </c>
      <c r="N165">
        <v>11.25</v>
      </c>
      <c r="O165">
        <v>0.34627661720452185</v>
      </c>
      <c r="P165">
        <v>0.34627661720452185</v>
      </c>
      <c r="Q165">
        <v>1.025161037776545</v>
      </c>
      <c r="R165">
        <v>2.5161037776544992E-2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0.65372338279547815</v>
      </c>
      <c r="AB165">
        <v>0</v>
      </c>
      <c r="AC165">
        <v>0</v>
      </c>
      <c r="AD165">
        <v>0</v>
      </c>
      <c r="AE165">
        <v>0</v>
      </c>
      <c r="AF165">
        <v>0.34627661720452185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2.8878646443787122</v>
      </c>
      <c r="AM165">
        <v>2.8878646443787122</v>
      </c>
      <c r="AN165">
        <v>2.9605263157894739</v>
      </c>
      <c r="BE165">
        <v>0</v>
      </c>
      <c r="BF165">
        <v>0</v>
      </c>
      <c r="BG165">
        <v>0</v>
      </c>
      <c r="BI165">
        <v>0.33777777777777779</v>
      </c>
      <c r="BJ165">
        <v>0.33777777777777779</v>
      </c>
      <c r="BK165">
        <v>0.9754565021012539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2.4543497898746103E-2</v>
      </c>
      <c r="BW165">
        <v>0</v>
      </c>
      <c r="BX165">
        <v>0</v>
      </c>
      <c r="BY165">
        <v>0</v>
      </c>
      <c r="BZ165">
        <v>0.33777777777777779</v>
      </c>
      <c r="CA165">
        <v>0</v>
      </c>
      <c r="CB165">
        <v>0</v>
      </c>
      <c r="CC165">
        <v>0</v>
      </c>
      <c r="CD165">
        <v>0</v>
      </c>
      <c r="CE165">
        <v>0</v>
      </c>
    </row>
    <row r="166" spans="1:83" x14ac:dyDescent="0.25">
      <c r="A166" t="s">
        <v>128</v>
      </c>
      <c r="B166" t="s">
        <v>145</v>
      </c>
      <c r="C166" t="s">
        <v>72</v>
      </c>
      <c r="D166" s="12">
        <v>46250</v>
      </c>
      <c r="E166" t="s">
        <v>134</v>
      </c>
      <c r="F166" t="s">
        <v>74</v>
      </c>
      <c r="G166">
        <v>4.220105607573192</v>
      </c>
      <c r="H166">
        <v>4.75</v>
      </c>
      <c r="I166">
        <v>20</v>
      </c>
      <c r="K166">
        <v>4.75</v>
      </c>
      <c r="L166">
        <v>46250</v>
      </c>
      <c r="M166" t="s">
        <v>173</v>
      </c>
      <c r="N166">
        <v>4.6875</v>
      </c>
      <c r="O166">
        <v>1.1255642492633089</v>
      </c>
      <c r="P166">
        <v>1.1255642492633089</v>
      </c>
      <c r="Q166">
        <v>1.1107541933519496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0.11075419335194958</v>
      </c>
      <c r="Y166">
        <v>0</v>
      </c>
      <c r="Z166">
        <v>1.481005591135931E-2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0.88844328580488252</v>
      </c>
      <c r="AM166">
        <v>0.88844328580488252</v>
      </c>
      <c r="AN166">
        <v>0.98684210526315785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1.3157894736842146E-2</v>
      </c>
      <c r="AZ166">
        <v>0</v>
      </c>
      <c r="BA166">
        <v>0</v>
      </c>
      <c r="BB166">
        <v>0</v>
      </c>
      <c r="BC166">
        <v>0.88844328580488252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1.0133333333333334</v>
      </c>
      <c r="BJ166">
        <v>1.0133333333333334</v>
      </c>
      <c r="BK166">
        <v>0.90028919628228099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1.3333333333333419E-2</v>
      </c>
      <c r="BU166">
        <v>0</v>
      </c>
      <c r="BV166">
        <v>0</v>
      </c>
      <c r="BW166">
        <v>0</v>
      </c>
      <c r="BX166">
        <v>9.971080371771901E-2</v>
      </c>
      <c r="BY166">
        <v>0</v>
      </c>
      <c r="BZ166">
        <v>0.90028919628228099</v>
      </c>
      <c r="CA166">
        <v>0</v>
      </c>
      <c r="CB166">
        <v>0</v>
      </c>
      <c r="CC166">
        <v>0</v>
      </c>
      <c r="CD166">
        <v>0</v>
      </c>
      <c r="CE166">
        <v>0</v>
      </c>
    </row>
    <row r="167" spans="1:83" x14ac:dyDescent="0.25">
      <c r="A167" t="s">
        <v>128</v>
      </c>
      <c r="B167" t="s">
        <v>146</v>
      </c>
      <c r="C167" t="s">
        <v>72</v>
      </c>
      <c r="D167" s="12">
        <v>46250</v>
      </c>
      <c r="E167" t="s">
        <v>134</v>
      </c>
      <c r="F167" t="s">
        <v>74</v>
      </c>
      <c r="G167">
        <v>4.2207252494765797</v>
      </c>
      <c r="H167">
        <v>0</v>
      </c>
      <c r="I167">
        <v>10</v>
      </c>
      <c r="J167">
        <v>1</v>
      </c>
      <c r="K167">
        <v>0</v>
      </c>
      <c r="L167">
        <v>46250</v>
      </c>
      <c r="M167" t="s">
        <v>173</v>
      </c>
      <c r="N167">
        <v>4.6875</v>
      </c>
      <c r="O167">
        <v>0</v>
      </c>
      <c r="P167">
        <v>0</v>
      </c>
      <c r="Q167">
        <v>1.1105911242579236</v>
      </c>
      <c r="R167">
        <v>0.11059112425792361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1</v>
      </c>
      <c r="AK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1</v>
      </c>
      <c r="BH167">
        <v>1</v>
      </c>
      <c r="BI167">
        <v>0</v>
      </c>
      <c r="BJ167">
        <v>0</v>
      </c>
      <c r="BK167">
        <v>0.9004213865550037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9.95786134449963E-2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0.9004213865550037</v>
      </c>
      <c r="CE167">
        <v>0</v>
      </c>
    </row>
    <row r="168" spans="1:83" x14ac:dyDescent="0.25">
      <c r="A168" t="s">
        <v>128</v>
      </c>
      <c r="B168" t="s">
        <v>145</v>
      </c>
      <c r="C168" t="s">
        <v>72</v>
      </c>
      <c r="D168" s="12">
        <v>46250</v>
      </c>
      <c r="E168" t="s">
        <v>134</v>
      </c>
      <c r="F168" t="s">
        <v>75</v>
      </c>
      <c r="G168">
        <v>10.972274579690296</v>
      </c>
      <c r="H168">
        <v>8.5499999999999989</v>
      </c>
      <c r="I168">
        <v>20</v>
      </c>
      <c r="K168">
        <v>8.5499999999999989</v>
      </c>
      <c r="L168">
        <v>46250</v>
      </c>
      <c r="M168" t="s">
        <v>174</v>
      </c>
      <c r="N168">
        <v>11.25</v>
      </c>
      <c r="O168">
        <v>0.77923678795152163</v>
      </c>
      <c r="P168">
        <v>0.77923678795152163</v>
      </c>
      <c r="Q168">
        <v>1.0253115630941076</v>
      </c>
      <c r="R168">
        <v>2.5311563094107647E-2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0.22076321204847837</v>
      </c>
      <c r="AB168">
        <v>0</v>
      </c>
      <c r="AC168">
        <v>0</v>
      </c>
      <c r="AD168">
        <v>0</v>
      </c>
      <c r="AE168">
        <v>0</v>
      </c>
      <c r="AF168">
        <v>0.77923678795152163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1.2833069683848302</v>
      </c>
      <c r="AM168">
        <v>1.2833069683848302</v>
      </c>
      <c r="AN168">
        <v>1.3157894736842106</v>
      </c>
      <c r="AO168">
        <v>3.248250529938046E-2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0.28330696838483016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1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0.7599999999999999</v>
      </c>
      <c r="BJ168">
        <v>0.7599999999999999</v>
      </c>
      <c r="BK168">
        <v>0.97531329597247074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2.468670402752926E-2</v>
      </c>
      <c r="BW168">
        <v>0</v>
      </c>
      <c r="BX168">
        <v>0</v>
      </c>
      <c r="BY168">
        <v>0</v>
      </c>
      <c r="BZ168">
        <v>0.7599999999999999</v>
      </c>
      <c r="CA168">
        <v>0</v>
      </c>
      <c r="CB168">
        <v>0</v>
      </c>
      <c r="CC168">
        <v>0</v>
      </c>
      <c r="CD168">
        <v>0</v>
      </c>
      <c r="CE168">
        <v>0</v>
      </c>
    </row>
    <row r="169" spans="1:83" x14ac:dyDescent="0.25">
      <c r="A169" t="s">
        <v>128</v>
      </c>
      <c r="B169" t="s">
        <v>146</v>
      </c>
      <c r="C169" t="s">
        <v>72</v>
      </c>
      <c r="D169" s="12">
        <v>46250</v>
      </c>
      <c r="E169" t="s">
        <v>134</v>
      </c>
      <c r="F169" t="s">
        <v>75</v>
      </c>
      <c r="G169">
        <v>10.973885648639106</v>
      </c>
      <c r="H169">
        <v>2.8499999999999996</v>
      </c>
      <c r="I169">
        <v>10</v>
      </c>
      <c r="J169">
        <v>1</v>
      </c>
      <c r="K169">
        <v>2.8499999999999996</v>
      </c>
      <c r="L169">
        <v>46250</v>
      </c>
      <c r="M169" t="s">
        <v>174</v>
      </c>
      <c r="N169">
        <v>11.25</v>
      </c>
      <c r="O169">
        <v>0.25970746290339136</v>
      </c>
      <c r="P169">
        <v>0.25970746290339136</v>
      </c>
      <c r="Q169">
        <v>1.025161037776545</v>
      </c>
      <c r="R169">
        <v>2.5161037776544992E-2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0.74029253709660869</v>
      </c>
      <c r="AB169">
        <v>0</v>
      </c>
      <c r="AC169">
        <v>0</v>
      </c>
      <c r="AD169">
        <v>0</v>
      </c>
      <c r="AE169">
        <v>0</v>
      </c>
      <c r="AF169">
        <v>0.25970746290339136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3.8504861925049498</v>
      </c>
      <c r="AM169">
        <v>3.8504861925049498</v>
      </c>
      <c r="AN169">
        <v>3.9473684210526319</v>
      </c>
      <c r="BE169">
        <v>0</v>
      </c>
      <c r="BF169">
        <v>0</v>
      </c>
      <c r="BG169">
        <v>0</v>
      </c>
      <c r="BI169">
        <v>0.2533333333333333</v>
      </c>
      <c r="BJ169">
        <v>0.2533333333333333</v>
      </c>
      <c r="BK169">
        <v>0.9754565021012539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2.4543497898746103E-2</v>
      </c>
      <c r="BW169">
        <v>0</v>
      </c>
      <c r="BX169">
        <v>0</v>
      </c>
      <c r="BY169">
        <v>0</v>
      </c>
      <c r="BZ169">
        <v>0.2533333333333333</v>
      </c>
      <c r="CA169">
        <v>0</v>
      </c>
      <c r="CB169">
        <v>0</v>
      </c>
      <c r="CC169">
        <v>0</v>
      </c>
      <c r="CD169">
        <v>0</v>
      </c>
      <c r="CE169">
        <v>0</v>
      </c>
    </row>
    <row r="170" spans="1:83" x14ac:dyDescent="0.25">
      <c r="A170" t="s">
        <v>128</v>
      </c>
      <c r="B170" t="s">
        <v>146</v>
      </c>
      <c r="C170" t="s">
        <v>72</v>
      </c>
      <c r="D170" s="12">
        <v>46223</v>
      </c>
      <c r="E170" t="s">
        <v>136</v>
      </c>
      <c r="F170" t="s">
        <v>73</v>
      </c>
      <c r="G170">
        <v>3.5876164620550925</v>
      </c>
      <c r="H170">
        <v>6.6499999999999995</v>
      </c>
      <c r="I170">
        <v>10</v>
      </c>
      <c r="J170">
        <v>1</v>
      </c>
      <c r="K170">
        <v>6.6499999999999995</v>
      </c>
      <c r="L170">
        <v>46223</v>
      </c>
      <c r="M170" t="s">
        <v>176</v>
      </c>
      <c r="N170">
        <v>3.764705882352942</v>
      </c>
      <c r="O170">
        <v>1.8535983626830286</v>
      </c>
      <c r="P170">
        <v>1.8535983626830286</v>
      </c>
      <c r="Q170">
        <v>1.0493613021823429</v>
      </c>
      <c r="R170">
        <v>0</v>
      </c>
      <c r="S170">
        <v>0</v>
      </c>
      <c r="T170">
        <v>0.60359836268302858</v>
      </c>
      <c r="U170">
        <v>0</v>
      </c>
      <c r="V170">
        <v>0</v>
      </c>
      <c r="W170">
        <v>0</v>
      </c>
      <c r="X170">
        <v>4.9361302182342914E-2</v>
      </c>
      <c r="Y170">
        <v>0</v>
      </c>
      <c r="Z170">
        <v>0.20063869781765709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1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0.53949119730151773</v>
      </c>
      <c r="AM170">
        <v>0.53949119730151773</v>
      </c>
      <c r="AN170">
        <v>0.5661211853162319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0.4338788146837681</v>
      </c>
      <c r="AZ170">
        <v>0</v>
      </c>
      <c r="BA170">
        <v>0</v>
      </c>
      <c r="BB170">
        <v>0</v>
      </c>
      <c r="BC170">
        <v>0.53949119730151773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1.7664062499999995</v>
      </c>
      <c r="BJ170">
        <v>1.7664062499999995</v>
      </c>
      <c r="BK170">
        <v>0.95296062273338378</v>
      </c>
      <c r="CB170">
        <v>0</v>
      </c>
      <c r="CC170">
        <v>0</v>
      </c>
      <c r="CD170">
        <v>0</v>
      </c>
    </row>
    <row r="171" spans="1:83" x14ac:dyDescent="0.25">
      <c r="A171" t="s">
        <v>128</v>
      </c>
      <c r="B171" t="s">
        <v>145</v>
      </c>
      <c r="C171" t="s">
        <v>72</v>
      </c>
      <c r="D171" s="12">
        <v>46223</v>
      </c>
      <c r="E171" t="s">
        <v>136</v>
      </c>
      <c r="F171" t="s">
        <v>73</v>
      </c>
      <c r="G171">
        <v>3.6011567851291222</v>
      </c>
      <c r="H171">
        <v>0</v>
      </c>
      <c r="I171">
        <v>0</v>
      </c>
      <c r="K171">
        <v>0</v>
      </c>
      <c r="L171">
        <v>46223</v>
      </c>
      <c r="M171" t="s">
        <v>176</v>
      </c>
      <c r="N171">
        <v>3.764705882352942</v>
      </c>
      <c r="O171">
        <v>0</v>
      </c>
      <c r="P171">
        <v>0</v>
      </c>
      <c r="Q171">
        <v>1.0454157113900708</v>
      </c>
      <c r="R171">
        <v>4.5415711390070834E-2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1</v>
      </c>
      <c r="AK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1</v>
      </c>
      <c r="BH171">
        <v>1</v>
      </c>
      <c r="BI171">
        <v>0</v>
      </c>
      <c r="BJ171">
        <v>0</v>
      </c>
      <c r="BK171">
        <v>0.95655727104992283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4.344272895007717E-2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0.95655727104992283</v>
      </c>
      <c r="CE171">
        <v>0</v>
      </c>
    </row>
    <row r="172" spans="1:83" x14ac:dyDescent="0.25">
      <c r="A172" t="s">
        <v>128</v>
      </c>
      <c r="B172" t="s">
        <v>145</v>
      </c>
      <c r="C172" t="s">
        <v>72</v>
      </c>
      <c r="D172" s="12">
        <v>46223</v>
      </c>
      <c r="E172" t="s">
        <v>136</v>
      </c>
      <c r="F172" t="s">
        <v>74</v>
      </c>
      <c r="G172">
        <v>0</v>
      </c>
      <c r="H172">
        <v>0</v>
      </c>
      <c r="I172">
        <v>0</v>
      </c>
      <c r="K172">
        <v>0</v>
      </c>
      <c r="L172">
        <v>46223</v>
      </c>
      <c r="M172" t="s">
        <v>160</v>
      </c>
      <c r="N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K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1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E172">
        <v>0</v>
      </c>
    </row>
    <row r="173" spans="1:83" x14ac:dyDescent="0.25">
      <c r="A173" t="s">
        <v>128</v>
      </c>
      <c r="B173" t="s">
        <v>146</v>
      </c>
      <c r="C173" t="s">
        <v>72</v>
      </c>
      <c r="D173" s="12">
        <v>46223</v>
      </c>
      <c r="E173" t="s">
        <v>136</v>
      </c>
      <c r="F173" t="s">
        <v>74</v>
      </c>
      <c r="G173">
        <v>0</v>
      </c>
      <c r="H173">
        <v>0</v>
      </c>
      <c r="I173">
        <v>10</v>
      </c>
      <c r="J173">
        <v>1</v>
      </c>
      <c r="K173">
        <v>0</v>
      </c>
      <c r="L173">
        <v>46223</v>
      </c>
      <c r="M173" t="s">
        <v>160</v>
      </c>
      <c r="N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1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K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1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E173">
        <v>0</v>
      </c>
    </row>
    <row r="174" spans="1:83" x14ac:dyDescent="0.25">
      <c r="A174" t="s">
        <v>128</v>
      </c>
      <c r="B174" t="s">
        <v>145</v>
      </c>
      <c r="C174" t="s">
        <v>72</v>
      </c>
      <c r="D174" s="12">
        <v>46223</v>
      </c>
      <c r="E174" t="s">
        <v>136</v>
      </c>
      <c r="F174" t="s">
        <v>75</v>
      </c>
      <c r="G174">
        <v>3.1774912809962848</v>
      </c>
      <c r="H174">
        <v>0</v>
      </c>
      <c r="I174">
        <v>0</v>
      </c>
      <c r="K174">
        <v>0</v>
      </c>
      <c r="L174">
        <v>46223</v>
      </c>
      <c r="M174" t="s">
        <v>168</v>
      </c>
      <c r="N174">
        <v>2.8685121107266438</v>
      </c>
      <c r="O174">
        <v>0</v>
      </c>
      <c r="P174">
        <v>0</v>
      </c>
      <c r="Q174">
        <v>0.9027600257733005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0.9027600257733005</v>
      </c>
      <c r="AB174">
        <v>9.7239974226699499E-2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1</v>
      </c>
      <c r="BI174">
        <v>0</v>
      </c>
      <c r="BJ174">
        <v>0</v>
      </c>
      <c r="BK174">
        <v>1.1077140895149895</v>
      </c>
      <c r="BL174">
        <v>0.10771408951498951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1</v>
      </c>
      <c r="CE174">
        <v>1</v>
      </c>
    </row>
    <row r="175" spans="1:83" x14ac:dyDescent="0.25">
      <c r="A175" t="s">
        <v>128</v>
      </c>
      <c r="B175" t="s">
        <v>146</v>
      </c>
      <c r="C175" t="s">
        <v>72</v>
      </c>
      <c r="D175" s="12">
        <v>46223</v>
      </c>
      <c r="E175" t="s">
        <v>136</v>
      </c>
      <c r="F175" t="s">
        <v>75</v>
      </c>
      <c r="G175">
        <v>3.1779578349000128</v>
      </c>
      <c r="H175">
        <v>2.8499999999999996</v>
      </c>
      <c r="I175">
        <v>10</v>
      </c>
      <c r="J175">
        <v>1</v>
      </c>
      <c r="K175">
        <v>2.8499999999999996</v>
      </c>
      <c r="L175">
        <v>46223</v>
      </c>
      <c r="M175" t="s">
        <v>168</v>
      </c>
      <c r="N175">
        <v>2.8685121107266438</v>
      </c>
      <c r="O175">
        <v>0.89680233283827326</v>
      </c>
      <c r="P175">
        <v>0.89680233283827326</v>
      </c>
      <c r="Q175">
        <v>0.90262749216648908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5.8251593282158121E-3</v>
      </c>
      <c r="AB175">
        <v>9.7372507833510924E-2</v>
      </c>
      <c r="AC175">
        <v>0</v>
      </c>
      <c r="AD175">
        <v>0</v>
      </c>
      <c r="AE175">
        <v>0</v>
      </c>
      <c r="AF175">
        <v>0.89680233283827326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1.1150729245263205</v>
      </c>
      <c r="AM175">
        <v>1.1150729245263205</v>
      </c>
      <c r="AN175">
        <v>1.0064954774479453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6.4954774479453192E-3</v>
      </c>
      <c r="AV175">
        <v>0</v>
      </c>
      <c r="AW175">
        <v>0.10857744707837513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0.99354644149577787</v>
      </c>
      <c r="BJ175">
        <v>0.99354644149577787</v>
      </c>
      <c r="BK175">
        <v>1.1078767361714157</v>
      </c>
      <c r="BL175">
        <v>0.10787673617141569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0.10319766716172674</v>
      </c>
      <c r="BV175">
        <v>0</v>
      </c>
      <c r="BW175">
        <v>0</v>
      </c>
      <c r="BX175">
        <v>0</v>
      </c>
      <c r="BY175">
        <v>0</v>
      </c>
      <c r="BZ175">
        <v>0.99354644149577787</v>
      </c>
      <c r="CA175">
        <v>0</v>
      </c>
      <c r="CB175">
        <v>0</v>
      </c>
      <c r="CC175">
        <v>0</v>
      </c>
      <c r="CD175">
        <v>0</v>
      </c>
      <c r="CE175">
        <v>0</v>
      </c>
    </row>
    <row r="176" spans="1:83" x14ac:dyDescent="0.25">
      <c r="A176" t="s">
        <v>128</v>
      </c>
      <c r="B176" t="s">
        <v>146</v>
      </c>
      <c r="C176" t="s">
        <v>72</v>
      </c>
      <c r="D176" s="12">
        <v>46224</v>
      </c>
      <c r="E176" t="s">
        <v>136</v>
      </c>
      <c r="F176" t="s">
        <v>73</v>
      </c>
      <c r="G176">
        <v>3.587616462055093</v>
      </c>
      <c r="H176">
        <v>4.75</v>
      </c>
      <c r="I176">
        <v>10</v>
      </c>
      <c r="J176">
        <v>1</v>
      </c>
      <c r="K176">
        <v>4.75</v>
      </c>
      <c r="L176">
        <v>46224</v>
      </c>
      <c r="M176" t="s">
        <v>175</v>
      </c>
      <c r="N176">
        <v>4.8182773109243673</v>
      </c>
      <c r="O176">
        <v>1.3239988304878776</v>
      </c>
      <c r="P176">
        <v>1.3239988304878776</v>
      </c>
      <c r="Q176">
        <v>1.3430302157116079</v>
      </c>
      <c r="R176">
        <v>1.9031385223730268E-2</v>
      </c>
      <c r="S176">
        <v>0</v>
      </c>
      <c r="T176">
        <v>0</v>
      </c>
      <c r="U176">
        <v>0</v>
      </c>
      <c r="V176">
        <v>7.3998830487877587E-2</v>
      </c>
      <c r="W176">
        <v>0</v>
      </c>
      <c r="X176">
        <v>0.25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1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0.75528767622212489</v>
      </c>
      <c r="AM176">
        <v>0.75528767622212489</v>
      </c>
      <c r="AN176">
        <v>1.0143741707209195</v>
      </c>
      <c r="AO176">
        <v>1.437417072091951E-2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0.75528767622212489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0.98582951820361941</v>
      </c>
      <c r="BJ176">
        <v>0.98582951820361941</v>
      </c>
      <c r="BK176">
        <v>0.74458488595518868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1.4170481796380585E-2</v>
      </c>
      <c r="BW176">
        <v>0</v>
      </c>
      <c r="BX176">
        <v>0.24124463224843073</v>
      </c>
      <c r="BY176">
        <v>0</v>
      </c>
      <c r="BZ176">
        <v>0.74458488595518868</v>
      </c>
      <c r="CA176">
        <v>0</v>
      </c>
      <c r="CB176">
        <v>0</v>
      </c>
      <c r="CC176">
        <v>0</v>
      </c>
      <c r="CD176">
        <v>0</v>
      </c>
      <c r="CE176">
        <v>0</v>
      </c>
    </row>
    <row r="177" spans="1:83" x14ac:dyDescent="0.25">
      <c r="A177" t="s">
        <v>128</v>
      </c>
      <c r="B177" t="s">
        <v>145</v>
      </c>
      <c r="C177" t="s">
        <v>72</v>
      </c>
      <c r="D177" s="12">
        <v>46224</v>
      </c>
      <c r="E177" t="s">
        <v>136</v>
      </c>
      <c r="F177" t="s">
        <v>73</v>
      </c>
      <c r="G177">
        <v>3.6011567851291235</v>
      </c>
      <c r="H177">
        <v>0</v>
      </c>
      <c r="I177">
        <v>0</v>
      </c>
      <c r="K177">
        <v>0</v>
      </c>
      <c r="L177">
        <v>46224</v>
      </c>
      <c r="M177" t="s">
        <v>175</v>
      </c>
      <c r="N177">
        <v>4.8182773109243673</v>
      </c>
      <c r="O177">
        <v>0</v>
      </c>
      <c r="P177">
        <v>0</v>
      </c>
      <c r="Q177">
        <v>1.3379804319604491</v>
      </c>
      <c r="R177">
        <v>0.33798043196044913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1</v>
      </c>
      <c r="AK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1</v>
      </c>
      <c r="BH177">
        <v>1</v>
      </c>
      <c r="BI177">
        <v>0</v>
      </c>
      <c r="BJ177">
        <v>0</v>
      </c>
      <c r="BK177">
        <v>0.74739508599148186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0.25260491400851814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0.74739508599148186</v>
      </c>
      <c r="CE177">
        <v>0</v>
      </c>
    </row>
    <row r="178" spans="1:83" x14ac:dyDescent="0.25">
      <c r="A178" t="s">
        <v>128</v>
      </c>
      <c r="B178" t="s">
        <v>145</v>
      </c>
      <c r="C178" t="s">
        <v>72</v>
      </c>
      <c r="D178" s="12">
        <v>46224</v>
      </c>
      <c r="E178" t="s">
        <v>136</v>
      </c>
      <c r="F178" t="s">
        <v>74</v>
      </c>
      <c r="G178">
        <v>0</v>
      </c>
      <c r="H178">
        <v>0</v>
      </c>
      <c r="I178">
        <v>0</v>
      </c>
      <c r="K178">
        <v>0</v>
      </c>
      <c r="L178">
        <v>46224</v>
      </c>
      <c r="M178" t="s">
        <v>172</v>
      </c>
      <c r="N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K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1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E178">
        <v>0</v>
      </c>
    </row>
    <row r="179" spans="1:83" x14ac:dyDescent="0.25">
      <c r="A179" t="s">
        <v>128</v>
      </c>
      <c r="B179" t="s">
        <v>146</v>
      </c>
      <c r="C179" t="s">
        <v>72</v>
      </c>
      <c r="D179" s="12">
        <v>46224</v>
      </c>
      <c r="E179" t="s">
        <v>136</v>
      </c>
      <c r="F179" t="s">
        <v>74</v>
      </c>
      <c r="G179">
        <v>0</v>
      </c>
      <c r="H179">
        <v>0.95</v>
      </c>
      <c r="I179">
        <v>10</v>
      </c>
      <c r="J179">
        <v>1</v>
      </c>
      <c r="K179">
        <v>0.95</v>
      </c>
      <c r="L179">
        <v>46224</v>
      </c>
      <c r="M179" t="s">
        <v>172</v>
      </c>
      <c r="N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1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</v>
      </c>
      <c r="CC179">
        <v>0</v>
      </c>
      <c r="CE179">
        <v>0</v>
      </c>
    </row>
    <row r="180" spans="1:83" x14ac:dyDescent="0.25">
      <c r="A180" t="s">
        <v>128</v>
      </c>
      <c r="B180" t="s">
        <v>146</v>
      </c>
      <c r="C180" t="s">
        <v>72</v>
      </c>
      <c r="D180" s="12">
        <v>46224</v>
      </c>
      <c r="E180" t="s">
        <v>136</v>
      </c>
      <c r="F180" t="s">
        <v>75</v>
      </c>
      <c r="G180">
        <v>3.2276134260703255</v>
      </c>
      <c r="H180">
        <v>3.8</v>
      </c>
      <c r="I180">
        <v>10</v>
      </c>
      <c r="J180">
        <v>1</v>
      </c>
      <c r="K180">
        <v>3.8</v>
      </c>
      <c r="L180">
        <v>46224</v>
      </c>
      <c r="M180" t="s">
        <v>169</v>
      </c>
      <c r="N180">
        <v>4.4063272367770638</v>
      </c>
      <c r="O180">
        <v>1.1773404984953741</v>
      </c>
      <c r="P180">
        <v>1.1773404984953741</v>
      </c>
      <c r="Q180">
        <v>1.3651967119686457</v>
      </c>
      <c r="R180">
        <v>0.18785621347327153</v>
      </c>
      <c r="S180">
        <v>0</v>
      </c>
      <c r="T180">
        <v>0</v>
      </c>
      <c r="U180">
        <v>0</v>
      </c>
      <c r="V180">
        <v>0</v>
      </c>
      <c r="W180">
        <v>7.2659501504625856E-2</v>
      </c>
      <c r="X180">
        <v>0.17734049849537414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1</v>
      </c>
      <c r="AL180">
        <v>0.84937195422903311</v>
      </c>
      <c r="AM180">
        <v>0.84937195422903311</v>
      </c>
      <c r="AN180">
        <v>1.1595597991518589</v>
      </c>
      <c r="AO180">
        <v>0.15955979915185892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0.84937195422903311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0.86239623064841819</v>
      </c>
      <c r="BJ180">
        <v>0.86239623064841819</v>
      </c>
      <c r="BK180">
        <v>0.73249517174559886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0.13760376935158181</v>
      </c>
      <c r="BW180">
        <v>0</v>
      </c>
      <c r="BX180">
        <v>0.12990105890281933</v>
      </c>
      <c r="BY180">
        <v>0</v>
      </c>
      <c r="BZ180">
        <v>0.73249517174559886</v>
      </c>
      <c r="CA180">
        <v>0</v>
      </c>
      <c r="CB180">
        <v>0</v>
      </c>
      <c r="CC180">
        <v>0</v>
      </c>
      <c r="CD180">
        <v>0</v>
      </c>
      <c r="CE180">
        <v>0</v>
      </c>
    </row>
    <row r="181" spans="1:83" x14ac:dyDescent="0.25">
      <c r="A181" t="s">
        <v>128</v>
      </c>
      <c r="B181" t="s">
        <v>145</v>
      </c>
      <c r="C181" t="s">
        <v>72</v>
      </c>
      <c r="D181" s="12">
        <v>46224</v>
      </c>
      <c r="E181" t="s">
        <v>136</v>
      </c>
      <c r="F181" t="s">
        <v>75</v>
      </c>
      <c r="G181">
        <v>3.2304494690128904</v>
      </c>
      <c r="H181">
        <v>0</v>
      </c>
      <c r="I181">
        <v>0</v>
      </c>
      <c r="K181">
        <v>0</v>
      </c>
      <c r="L181">
        <v>46224</v>
      </c>
      <c r="M181" t="s">
        <v>169</v>
      </c>
      <c r="N181">
        <v>4.4063272367770638</v>
      </c>
      <c r="O181">
        <v>0</v>
      </c>
      <c r="P181">
        <v>0</v>
      </c>
      <c r="Q181">
        <v>1.363998192525042</v>
      </c>
      <c r="R181">
        <v>0.36399819252504195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1</v>
      </c>
      <c r="AK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1</v>
      </c>
      <c r="BH181">
        <v>1</v>
      </c>
      <c r="BI181">
        <v>0</v>
      </c>
      <c r="BJ181">
        <v>0</v>
      </c>
      <c r="BK181">
        <v>0.7331388014149739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0.2668611985850261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0.7331388014149739</v>
      </c>
      <c r="CE181">
        <v>0</v>
      </c>
    </row>
    <row r="182" spans="1:83" x14ac:dyDescent="0.25">
      <c r="A182" t="s">
        <v>128</v>
      </c>
      <c r="B182" t="s">
        <v>145</v>
      </c>
      <c r="C182" t="s">
        <v>72</v>
      </c>
      <c r="D182" s="12">
        <v>46225</v>
      </c>
      <c r="E182" t="s">
        <v>136</v>
      </c>
      <c r="F182" t="s">
        <v>73</v>
      </c>
      <c r="G182">
        <v>3.6011567851291222</v>
      </c>
      <c r="H182">
        <v>0</v>
      </c>
      <c r="I182">
        <v>0</v>
      </c>
      <c r="K182">
        <v>0</v>
      </c>
      <c r="L182">
        <v>46225</v>
      </c>
      <c r="M182" t="s">
        <v>166</v>
      </c>
      <c r="N182">
        <v>4.7022058823529402</v>
      </c>
      <c r="O182">
        <v>0</v>
      </c>
      <c r="P182">
        <v>0</v>
      </c>
      <c r="Q182">
        <v>1.3057487254569338</v>
      </c>
      <c r="R182">
        <v>0.30574872545693377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1</v>
      </c>
      <c r="AK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1</v>
      </c>
      <c r="BH182">
        <v>1</v>
      </c>
      <c r="BI182">
        <v>0</v>
      </c>
      <c r="BJ182">
        <v>0</v>
      </c>
      <c r="BK182">
        <v>0.76584413256850781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0.23415586743149219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0.76584413256850781</v>
      </c>
      <c r="CE182">
        <v>0</v>
      </c>
    </row>
    <row r="183" spans="1:83" x14ac:dyDescent="0.25">
      <c r="A183" t="s">
        <v>128</v>
      </c>
      <c r="B183" t="s">
        <v>146</v>
      </c>
      <c r="C183" t="s">
        <v>72</v>
      </c>
      <c r="D183" s="12">
        <v>46225</v>
      </c>
      <c r="E183" t="s">
        <v>136</v>
      </c>
      <c r="F183" t="s">
        <v>73</v>
      </c>
      <c r="G183">
        <v>3.587616462055093</v>
      </c>
      <c r="H183">
        <v>3.8</v>
      </c>
      <c r="I183">
        <v>10</v>
      </c>
      <c r="J183">
        <v>1</v>
      </c>
      <c r="K183">
        <v>3.8</v>
      </c>
      <c r="L183">
        <v>46225</v>
      </c>
      <c r="M183" t="s">
        <v>166</v>
      </c>
      <c r="N183">
        <v>4.7022058823529402</v>
      </c>
      <c r="O183">
        <v>1.059199064390302</v>
      </c>
      <c r="P183">
        <v>1.059199064390302</v>
      </c>
      <c r="Q183">
        <v>1.3106768608312656</v>
      </c>
      <c r="R183">
        <v>0.25147779644096357</v>
      </c>
      <c r="S183">
        <v>0</v>
      </c>
      <c r="T183">
        <v>0</v>
      </c>
      <c r="U183">
        <v>0</v>
      </c>
      <c r="V183">
        <v>0</v>
      </c>
      <c r="W183">
        <v>0.19080093560969802</v>
      </c>
      <c r="X183">
        <v>5.9199064390301981E-2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1</v>
      </c>
      <c r="AL183">
        <v>0.94410959527765614</v>
      </c>
      <c r="AM183">
        <v>0.94410959527765614</v>
      </c>
      <c r="AN183">
        <v>1.2374226006191948</v>
      </c>
      <c r="AO183">
        <v>0.23742260061919485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0.94410959527765614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0.80813135261923386</v>
      </c>
      <c r="BJ183">
        <v>0.80813135261923386</v>
      </c>
      <c r="BK183">
        <v>0.76296456425252968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0.19186864738076614</v>
      </c>
      <c r="BW183">
        <v>0</v>
      </c>
      <c r="BX183">
        <v>4.516678836670418E-2</v>
      </c>
      <c r="BY183">
        <v>0</v>
      </c>
      <c r="BZ183">
        <v>0.76296456425252968</v>
      </c>
      <c r="CA183">
        <v>0</v>
      </c>
      <c r="CB183">
        <v>0</v>
      </c>
      <c r="CC183">
        <v>0</v>
      </c>
      <c r="CD183">
        <v>0</v>
      </c>
      <c r="CE183">
        <v>0</v>
      </c>
    </row>
    <row r="184" spans="1:83" x14ac:dyDescent="0.25">
      <c r="A184" t="s">
        <v>128</v>
      </c>
      <c r="B184" t="s">
        <v>146</v>
      </c>
      <c r="C184" t="s">
        <v>72</v>
      </c>
      <c r="D184" s="12">
        <v>46225</v>
      </c>
      <c r="E184" t="s">
        <v>136</v>
      </c>
      <c r="F184" t="s">
        <v>74</v>
      </c>
      <c r="G184">
        <v>0</v>
      </c>
      <c r="H184">
        <v>0</v>
      </c>
      <c r="I184">
        <v>10</v>
      </c>
      <c r="J184">
        <v>1</v>
      </c>
      <c r="K184">
        <v>0</v>
      </c>
      <c r="L184">
        <v>46225</v>
      </c>
      <c r="M184" t="s">
        <v>163</v>
      </c>
      <c r="N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K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1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E184">
        <v>0</v>
      </c>
    </row>
    <row r="185" spans="1:83" x14ac:dyDescent="0.25">
      <c r="A185" t="s">
        <v>128</v>
      </c>
      <c r="B185" t="s">
        <v>145</v>
      </c>
      <c r="C185" t="s">
        <v>72</v>
      </c>
      <c r="D185" s="12">
        <v>46225</v>
      </c>
      <c r="E185" t="s">
        <v>136</v>
      </c>
      <c r="F185" t="s">
        <v>74</v>
      </c>
      <c r="G185">
        <v>0</v>
      </c>
      <c r="H185">
        <v>0</v>
      </c>
      <c r="I185">
        <v>10</v>
      </c>
      <c r="K185">
        <v>0</v>
      </c>
      <c r="L185">
        <v>46225</v>
      </c>
      <c r="M185" t="s">
        <v>163</v>
      </c>
      <c r="N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1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K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1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E185">
        <v>0</v>
      </c>
    </row>
    <row r="186" spans="1:83" x14ac:dyDescent="0.25">
      <c r="A186" t="s">
        <v>128</v>
      </c>
      <c r="B186" t="s">
        <v>145</v>
      </c>
      <c r="C186" t="s">
        <v>72</v>
      </c>
      <c r="D186" s="12">
        <v>46225</v>
      </c>
      <c r="E186" t="s">
        <v>136</v>
      </c>
      <c r="F186" t="s">
        <v>75</v>
      </c>
      <c r="G186">
        <v>3.1774912809962848</v>
      </c>
      <c r="H186">
        <v>0</v>
      </c>
      <c r="I186">
        <v>0</v>
      </c>
      <c r="K186">
        <v>0</v>
      </c>
      <c r="L186">
        <v>46225</v>
      </c>
      <c r="M186" t="s">
        <v>215</v>
      </c>
      <c r="N186">
        <v>4.6332179930795849</v>
      </c>
      <c r="O186">
        <v>0</v>
      </c>
      <c r="P186">
        <v>0</v>
      </c>
      <c r="Q186">
        <v>1.4581371224492754</v>
      </c>
      <c r="R186">
        <v>0.4581371224492754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1</v>
      </c>
      <c r="AK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1</v>
      </c>
      <c r="BH186">
        <v>1</v>
      </c>
      <c r="BI186">
        <v>0</v>
      </c>
      <c r="BJ186">
        <v>0</v>
      </c>
      <c r="BK186">
        <v>0.68580655728747297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0.31419344271252703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0.68580655728747297</v>
      </c>
      <c r="CE186">
        <v>0</v>
      </c>
    </row>
    <row r="187" spans="1:83" x14ac:dyDescent="0.25">
      <c r="A187" t="s">
        <v>128</v>
      </c>
      <c r="B187" t="s">
        <v>146</v>
      </c>
      <c r="C187" t="s">
        <v>72</v>
      </c>
      <c r="D187" s="12">
        <v>46225</v>
      </c>
      <c r="E187" t="s">
        <v>136</v>
      </c>
      <c r="F187" t="s">
        <v>75</v>
      </c>
      <c r="G187">
        <v>3.1779578349000128</v>
      </c>
      <c r="H187">
        <v>2.8499999999999996</v>
      </c>
      <c r="I187">
        <v>10</v>
      </c>
      <c r="J187">
        <v>1</v>
      </c>
      <c r="K187">
        <v>2.8499999999999996</v>
      </c>
      <c r="L187">
        <v>46225</v>
      </c>
      <c r="M187" t="s">
        <v>215</v>
      </c>
      <c r="N187">
        <v>4.6332179930795849</v>
      </c>
      <c r="O187">
        <v>0.89680233283827326</v>
      </c>
      <c r="P187">
        <v>0.89680233283827326</v>
      </c>
      <c r="Q187">
        <v>1.4579230542954509</v>
      </c>
      <c r="R187">
        <v>0.45792305429545088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0.10319766716172674</v>
      </c>
      <c r="AB187">
        <v>0</v>
      </c>
      <c r="AC187">
        <v>0</v>
      </c>
      <c r="AD187">
        <v>0</v>
      </c>
      <c r="AE187">
        <v>0</v>
      </c>
      <c r="AF187">
        <v>0.89680233283827326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1.1150729245263205</v>
      </c>
      <c r="AM187">
        <v>1.1150729245263205</v>
      </c>
      <c r="AN187">
        <v>1.6256905238875738</v>
      </c>
      <c r="AO187">
        <v>0.51061759936125339</v>
      </c>
      <c r="AP187">
        <v>0</v>
      </c>
      <c r="AQ187">
        <v>0</v>
      </c>
      <c r="AR187">
        <v>0</v>
      </c>
      <c r="AS187">
        <v>0</v>
      </c>
      <c r="AT187">
        <v>0.38492707547367955</v>
      </c>
      <c r="AU187">
        <v>0.11507292452632045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0.61512322628827476</v>
      </c>
      <c r="BJ187">
        <v>0.61512322628827476</v>
      </c>
      <c r="BK187">
        <v>0.68590725488133208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0.31409274511866792</v>
      </c>
      <c r="BW187">
        <v>0</v>
      </c>
      <c r="BX187">
        <v>0</v>
      </c>
      <c r="BY187">
        <v>0</v>
      </c>
      <c r="BZ187">
        <v>0.61512322628827476</v>
      </c>
      <c r="CA187">
        <v>0</v>
      </c>
      <c r="CB187">
        <v>0</v>
      </c>
      <c r="CC187">
        <v>0</v>
      </c>
      <c r="CD187">
        <v>0</v>
      </c>
      <c r="CE187">
        <v>0</v>
      </c>
    </row>
    <row r="188" spans="1:83" x14ac:dyDescent="0.25">
      <c r="A188" t="s">
        <v>128</v>
      </c>
      <c r="B188" t="s">
        <v>145</v>
      </c>
      <c r="C188" t="s">
        <v>72</v>
      </c>
      <c r="D188" s="12">
        <v>46226</v>
      </c>
      <c r="E188" t="s">
        <v>136</v>
      </c>
      <c r="F188" t="s">
        <v>73</v>
      </c>
      <c r="G188">
        <v>3.6011567851291222</v>
      </c>
      <c r="H188">
        <v>0.95</v>
      </c>
      <c r="I188">
        <v>10</v>
      </c>
      <c r="K188">
        <v>0.95</v>
      </c>
      <c r="L188">
        <v>46226</v>
      </c>
      <c r="M188" t="s">
        <v>232</v>
      </c>
      <c r="N188">
        <v>4.7022058823529411</v>
      </c>
      <c r="O188">
        <v>0.26380412092108813</v>
      </c>
      <c r="P188">
        <v>0.26380412092108813</v>
      </c>
      <c r="Q188">
        <v>1.305748725456934</v>
      </c>
      <c r="R188">
        <v>0.30574872545693399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0.73619587907891182</v>
      </c>
      <c r="AB188">
        <v>0</v>
      </c>
      <c r="AC188">
        <v>0</v>
      </c>
      <c r="AD188">
        <v>0</v>
      </c>
      <c r="AE188">
        <v>0</v>
      </c>
      <c r="AF188">
        <v>0.26380412092108813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3.7906913527674972</v>
      </c>
      <c r="AM188">
        <v>3.7906913527674972</v>
      </c>
      <c r="AN188">
        <v>4.9496904024767803</v>
      </c>
      <c r="BE188">
        <v>0</v>
      </c>
      <c r="BF188">
        <v>0</v>
      </c>
      <c r="BG188">
        <v>0</v>
      </c>
      <c r="BI188">
        <v>0.20203283815480844</v>
      </c>
      <c r="BJ188">
        <v>0.20203283815480844</v>
      </c>
      <c r="BK188">
        <v>0.76584413256850759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0.23415586743149241</v>
      </c>
      <c r="BW188">
        <v>0</v>
      </c>
      <c r="BX188">
        <v>0</v>
      </c>
      <c r="BY188">
        <v>0</v>
      </c>
      <c r="BZ188">
        <v>0.20203283815480844</v>
      </c>
      <c r="CA188">
        <v>0</v>
      </c>
      <c r="CB188">
        <v>0</v>
      </c>
      <c r="CC188">
        <v>0</v>
      </c>
      <c r="CD188">
        <v>0</v>
      </c>
      <c r="CE188">
        <v>0</v>
      </c>
    </row>
    <row r="189" spans="1:83" x14ac:dyDescent="0.25">
      <c r="A189" t="s">
        <v>128</v>
      </c>
      <c r="B189" t="s">
        <v>146</v>
      </c>
      <c r="C189" t="s">
        <v>72</v>
      </c>
      <c r="D189" s="12">
        <v>46226</v>
      </c>
      <c r="E189" t="s">
        <v>136</v>
      </c>
      <c r="F189" t="s">
        <v>73</v>
      </c>
      <c r="G189">
        <v>3.5876164620550925</v>
      </c>
      <c r="H189">
        <v>3.8</v>
      </c>
      <c r="I189">
        <v>10</v>
      </c>
      <c r="J189">
        <v>1</v>
      </c>
      <c r="K189">
        <v>3.8</v>
      </c>
      <c r="L189">
        <v>46226</v>
      </c>
      <c r="M189" t="s">
        <v>232</v>
      </c>
      <c r="N189">
        <v>4.7022058823529411</v>
      </c>
      <c r="O189">
        <v>1.0591990643903022</v>
      </c>
      <c r="P189">
        <v>1.0591990643903022</v>
      </c>
      <c r="Q189">
        <v>1.310676860831266</v>
      </c>
      <c r="R189">
        <v>0.2514777964409638</v>
      </c>
      <c r="S189">
        <v>0</v>
      </c>
      <c r="T189">
        <v>0</v>
      </c>
      <c r="U189">
        <v>0</v>
      </c>
      <c r="V189">
        <v>0</v>
      </c>
      <c r="W189">
        <v>0.1908009356096978</v>
      </c>
      <c r="X189">
        <v>5.9199064390302203E-2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1</v>
      </c>
      <c r="AL189">
        <v>0.94410959527765603</v>
      </c>
      <c r="AM189">
        <v>0.94410959527765603</v>
      </c>
      <c r="AN189">
        <v>1.2374226006191951</v>
      </c>
      <c r="AO189">
        <v>0.23742260061919507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0.94410959527765603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0.80813135261923374</v>
      </c>
      <c r="BJ189">
        <v>0.80813135261923374</v>
      </c>
      <c r="BK189">
        <v>0.76296456425252945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0.19186864738076626</v>
      </c>
      <c r="BW189">
        <v>0</v>
      </c>
      <c r="BX189">
        <v>4.5166788366704291E-2</v>
      </c>
      <c r="BY189">
        <v>0</v>
      </c>
      <c r="BZ189">
        <v>0.76296456425252945</v>
      </c>
      <c r="CA189">
        <v>0</v>
      </c>
      <c r="CB189">
        <v>0</v>
      </c>
      <c r="CC189">
        <v>0</v>
      </c>
      <c r="CD189">
        <v>0</v>
      </c>
      <c r="CE189">
        <v>0</v>
      </c>
    </row>
    <row r="190" spans="1:83" x14ac:dyDescent="0.25">
      <c r="A190" t="s">
        <v>128</v>
      </c>
      <c r="B190" t="s">
        <v>145</v>
      </c>
      <c r="C190" t="s">
        <v>72</v>
      </c>
      <c r="D190" s="12">
        <v>46226</v>
      </c>
      <c r="E190" t="s">
        <v>136</v>
      </c>
      <c r="F190" t="s">
        <v>74</v>
      </c>
      <c r="G190">
        <v>0</v>
      </c>
      <c r="H190">
        <v>0</v>
      </c>
      <c r="I190">
        <v>10</v>
      </c>
      <c r="K190">
        <v>0</v>
      </c>
      <c r="L190">
        <v>46226</v>
      </c>
      <c r="M190" t="s">
        <v>231</v>
      </c>
      <c r="N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1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K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1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E190">
        <v>0</v>
      </c>
    </row>
    <row r="191" spans="1:83" x14ac:dyDescent="0.25">
      <c r="A191" t="s">
        <v>128</v>
      </c>
      <c r="B191" t="s">
        <v>146</v>
      </c>
      <c r="C191" t="s">
        <v>72</v>
      </c>
      <c r="D191" s="12">
        <v>46226</v>
      </c>
      <c r="E191" t="s">
        <v>136</v>
      </c>
      <c r="F191" t="s">
        <v>74</v>
      </c>
      <c r="G191">
        <v>0</v>
      </c>
      <c r="H191">
        <v>0</v>
      </c>
      <c r="I191">
        <v>10</v>
      </c>
      <c r="J191">
        <v>1</v>
      </c>
      <c r="K191">
        <v>0</v>
      </c>
      <c r="L191">
        <v>46226</v>
      </c>
      <c r="M191" t="s">
        <v>231</v>
      </c>
      <c r="N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1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K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1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E191">
        <v>0</v>
      </c>
    </row>
    <row r="192" spans="1:83" x14ac:dyDescent="0.25">
      <c r="A192" t="s">
        <v>128</v>
      </c>
      <c r="B192" t="s">
        <v>145</v>
      </c>
      <c r="C192" t="s">
        <v>72</v>
      </c>
      <c r="D192" s="12">
        <v>46226</v>
      </c>
      <c r="E192" t="s">
        <v>136</v>
      </c>
      <c r="F192" t="s">
        <v>75</v>
      </c>
      <c r="G192">
        <v>3.1774912809962856</v>
      </c>
      <c r="H192">
        <v>0</v>
      </c>
      <c r="I192">
        <v>10</v>
      </c>
      <c r="K192">
        <v>0</v>
      </c>
      <c r="L192">
        <v>46226</v>
      </c>
      <c r="M192" t="s">
        <v>230</v>
      </c>
      <c r="N192">
        <v>4.6332179930795849</v>
      </c>
      <c r="O192">
        <v>0</v>
      </c>
      <c r="P192">
        <v>0</v>
      </c>
      <c r="Q192">
        <v>1.4581371224492752</v>
      </c>
      <c r="R192">
        <v>0.45813712244927518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1</v>
      </c>
      <c r="AK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1</v>
      </c>
      <c r="BH192">
        <v>1</v>
      </c>
      <c r="BI192">
        <v>0</v>
      </c>
      <c r="BJ192">
        <v>0</v>
      </c>
      <c r="BK192">
        <v>0.68580655728747308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0.31419344271252692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0.68580655728747308</v>
      </c>
      <c r="CE192">
        <v>0</v>
      </c>
    </row>
    <row r="193" spans="1:83" x14ac:dyDescent="0.25">
      <c r="A193" t="s">
        <v>128</v>
      </c>
      <c r="B193" t="s">
        <v>146</v>
      </c>
      <c r="C193" t="s">
        <v>72</v>
      </c>
      <c r="D193" s="12">
        <v>46226</v>
      </c>
      <c r="E193" t="s">
        <v>136</v>
      </c>
      <c r="F193" t="s">
        <v>75</v>
      </c>
      <c r="G193">
        <v>3.1779578349000133</v>
      </c>
      <c r="H193">
        <v>2.8499999999999996</v>
      </c>
      <c r="I193">
        <v>10</v>
      </c>
      <c r="J193">
        <v>1</v>
      </c>
      <c r="K193">
        <v>2.8499999999999996</v>
      </c>
      <c r="L193">
        <v>46226</v>
      </c>
      <c r="M193" t="s">
        <v>230</v>
      </c>
      <c r="N193">
        <v>4.6332179930795849</v>
      </c>
      <c r="O193">
        <v>0.89680233283827315</v>
      </c>
      <c r="P193">
        <v>0.89680233283827315</v>
      </c>
      <c r="Q193">
        <v>1.4579230542954507</v>
      </c>
      <c r="R193">
        <v>0.45792305429545066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0.10319766716172685</v>
      </c>
      <c r="AB193">
        <v>0</v>
      </c>
      <c r="AC193">
        <v>0</v>
      </c>
      <c r="AD193">
        <v>0</v>
      </c>
      <c r="AE193">
        <v>0</v>
      </c>
      <c r="AF193">
        <v>0.89680233283827315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1.1150729245263207</v>
      </c>
      <c r="AM193">
        <v>1.1150729245263207</v>
      </c>
      <c r="AN193">
        <v>1.6256905238875738</v>
      </c>
      <c r="AO193">
        <v>0.51061759936125317</v>
      </c>
      <c r="AP193">
        <v>0</v>
      </c>
      <c r="AQ193">
        <v>0</v>
      </c>
      <c r="AR193">
        <v>0</v>
      </c>
      <c r="AS193">
        <v>0</v>
      </c>
      <c r="AT193">
        <v>0.38492707547367933</v>
      </c>
      <c r="AU193">
        <v>0.11507292452632067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0.61512322628827476</v>
      </c>
      <c r="BJ193">
        <v>0.61512322628827476</v>
      </c>
      <c r="BK193">
        <v>0.6859072548813322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0.3140927451186678</v>
      </c>
      <c r="BW193">
        <v>0</v>
      </c>
      <c r="BX193">
        <v>0</v>
      </c>
      <c r="BY193">
        <v>0</v>
      </c>
      <c r="BZ193">
        <v>0.61512322628827476</v>
      </c>
      <c r="CA193">
        <v>0</v>
      </c>
      <c r="CB193">
        <v>0</v>
      </c>
      <c r="CC193">
        <v>0</v>
      </c>
      <c r="CD193">
        <v>0</v>
      </c>
      <c r="CE193">
        <v>0</v>
      </c>
    </row>
    <row r="194" spans="1:83" x14ac:dyDescent="0.25">
      <c r="A194" t="s">
        <v>128</v>
      </c>
      <c r="B194" t="s">
        <v>145</v>
      </c>
      <c r="C194" t="s">
        <v>72</v>
      </c>
      <c r="D194" s="12">
        <v>46227</v>
      </c>
      <c r="E194" t="s">
        <v>136</v>
      </c>
      <c r="F194" t="s">
        <v>73</v>
      </c>
      <c r="G194">
        <v>3.6011567851291222</v>
      </c>
      <c r="H194">
        <v>0.95</v>
      </c>
      <c r="I194">
        <v>10</v>
      </c>
      <c r="K194">
        <v>0.95</v>
      </c>
      <c r="L194">
        <v>46227</v>
      </c>
      <c r="M194" t="s">
        <v>229</v>
      </c>
      <c r="N194">
        <v>4.702205882352942</v>
      </c>
      <c r="O194">
        <v>0.26380412092108813</v>
      </c>
      <c r="P194">
        <v>0.26380412092108813</v>
      </c>
      <c r="Q194">
        <v>1.3057487254569342</v>
      </c>
      <c r="R194">
        <v>0.30574872545693421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0.73619587907891182</v>
      </c>
      <c r="AB194">
        <v>0</v>
      </c>
      <c r="AC194">
        <v>0</v>
      </c>
      <c r="AD194">
        <v>0</v>
      </c>
      <c r="AE194">
        <v>0</v>
      </c>
      <c r="AF194">
        <v>0.26380412092108813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3.7906913527674972</v>
      </c>
      <c r="AM194">
        <v>3.7906913527674972</v>
      </c>
      <c r="AN194">
        <v>4.9496904024767812</v>
      </c>
      <c r="BE194">
        <v>0</v>
      </c>
      <c r="BF194">
        <v>0</v>
      </c>
      <c r="BG194">
        <v>0</v>
      </c>
      <c r="BI194">
        <v>0.20203283815480841</v>
      </c>
      <c r="BJ194">
        <v>0.20203283815480841</v>
      </c>
      <c r="BK194">
        <v>0.76584413256850747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0.23415586743149253</v>
      </c>
      <c r="BW194">
        <v>0</v>
      </c>
      <c r="BX194">
        <v>0</v>
      </c>
      <c r="BY194">
        <v>0</v>
      </c>
      <c r="BZ194">
        <v>0.20203283815480841</v>
      </c>
      <c r="CA194">
        <v>0</v>
      </c>
      <c r="CB194">
        <v>0</v>
      </c>
      <c r="CC194">
        <v>0</v>
      </c>
      <c r="CD194">
        <v>0</v>
      </c>
      <c r="CE194">
        <v>0</v>
      </c>
    </row>
    <row r="195" spans="1:83" x14ac:dyDescent="0.25">
      <c r="A195" t="s">
        <v>128</v>
      </c>
      <c r="B195" t="s">
        <v>146</v>
      </c>
      <c r="C195" t="s">
        <v>72</v>
      </c>
      <c r="D195" s="12">
        <v>46227</v>
      </c>
      <c r="E195" t="s">
        <v>136</v>
      </c>
      <c r="F195" t="s">
        <v>73</v>
      </c>
      <c r="G195">
        <v>3.5876164620550925</v>
      </c>
      <c r="H195">
        <v>3.8</v>
      </c>
      <c r="I195">
        <v>10</v>
      </c>
      <c r="J195">
        <v>1</v>
      </c>
      <c r="K195">
        <v>3.8</v>
      </c>
      <c r="L195">
        <v>46227</v>
      </c>
      <c r="M195" t="s">
        <v>229</v>
      </c>
      <c r="N195">
        <v>4.702205882352942</v>
      </c>
      <c r="O195">
        <v>1.0591990643903022</v>
      </c>
      <c r="P195">
        <v>1.0591990643903022</v>
      </c>
      <c r="Q195">
        <v>1.3106768608312662</v>
      </c>
      <c r="R195">
        <v>0.25147779644096402</v>
      </c>
      <c r="S195">
        <v>0</v>
      </c>
      <c r="T195">
        <v>0</v>
      </c>
      <c r="U195">
        <v>0</v>
      </c>
      <c r="V195">
        <v>0</v>
      </c>
      <c r="W195">
        <v>0.1908009356096978</v>
      </c>
      <c r="X195">
        <v>5.9199064390302203E-2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</v>
      </c>
      <c r="AL195">
        <v>0.94410959527765603</v>
      </c>
      <c r="AM195">
        <v>0.94410959527765603</v>
      </c>
      <c r="AN195">
        <v>1.2374226006191953</v>
      </c>
      <c r="AO195">
        <v>0.23742260061919529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0.94410959527765603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0.80813135261923363</v>
      </c>
      <c r="BJ195">
        <v>0.80813135261923363</v>
      </c>
      <c r="BK195">
        <v>0.76296456425252934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0.19186864738076637</v>
      </c>
      <c r="BW195">
        <v>0</v>
      </c>
      <c r="BX195">
        <v>4.5166788366704291E-2</v>
      </c>
      <c r="BY195">
        <v>0</v>
      </c>
      <c r="BZ195">
        <v>0.76296456425252934</v>
      </c>
      <c r="CA195">
        <v>0</v>
      </c>
      <c r="CB195">
        <v>0</v>
      </c>
      <c r="CC195">
        <v>0</v>
      </c>
      <c r="CD195">
        <v>0</v>
      </c>
      <c r="CE195">
        <v>0</v>
      </c>
    </row>
    <row r="196" spans="1:83" x14ac:dyDescent="0.25">
      <c r="A196" t="s">
        <v>128</v>
      </c>
      <c r="B196" t="s">
        <v>145</v>
      </c>
      <c r="C196" t="s">
        <v>72</v>
      </c>
      <c r="D196" s="12">
        <v>46227</v>
      </c>
      <c r="E196" t="s">
        <v>136</v>
      </c>
      <c r="F196" t="s">
        <v>74</v>
      </c>
      <c r="G196">
        <v>0</v>
      </c>
      <c r="H196">
        <v>0</v>
      </c>
      <c r="I196">
        <v>10</v>
      </c>
      <c r="K196">
        <v>0</v>
      </c>
      <c r="L196">
        <v>46227</v>
      </c>
      <c r="M196" t="s">
        <v>228</v>
      </c>
      <c r="N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K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1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E196">
        <v>0</v>
      </c>
    </row>
    <row r="197" spans="1:83" x14ac:dyDescent="0.25">
      <c r="A197" t="s">
        <v>128</v>
      </c>
      <c r="B197" t="s">
        <v>146</v>
      </c>
      <c r="C197" t="s">
        <v>72</v>
      </c>
      <c r="D197" s="12">
        <v>46227</v>
      </c>
      <c r="E197" t="s">
        <v>136</v>
      </c>
      <c r="F197" t="s">
        <v>74</v>
      </c>
      <c r="G197">
        <v>0</v>
      </c>
      <c r="H197">
        <v>0</v>
      </c>
      <c r="I197">
        <v>10</v>
      </c>
      <c r="J197">
        <v>1</v>
      </c>
      <c r="K197">
        <v>0</v>
      </c>
      <c r="L197">
        <v>46227</v>
      </c>
      <c r="M197" t="s">
        <v>228</v>
      </c>
      <c r="N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K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1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E197">
        <v>0</v>
      </c>
    </row>
    <row r="198" spans="1:83" x14ac:dyDescent="0.25">
      <c r="A198" t="s">
        <v>128</v>
      </c>
      <c r="B198" t="s">
        <v>145</v>
      </c>
      <c r="C198" t="s">
        <v>72</v>
      </c>
      <c r="D198" s="12">
        <v>46227</v>
      </c>
      <c r="E198" t="s">
        <v>136</v>
      </c>
      <c r="F198" t="s">
        <v>75</v>
      </c>
      <c r="G198">
        <v>3.1774912809962848</v>
      </c>
      <c r="H198">
        <v>0</v>
      </c>
      <c r="I198">
        <v>10</v>
      </c>
      <c r="K198">
        <v>0</v>
      </c>
      <c r="L198">
        <v>46227</v>
      </c>
      <c r="M198" t="s">
        <v>227</v>
      </c>
      <c r="N198">
        <v>2.8685121107266438</v>
      </c>
      <c r="O198">
        <v>0</v>
      </c>
      <c r="P198">
        <v>0</v>
      </c>
      <c r="Q198">
        <v>0.9027600257733005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0.9027600257733005</v>
      </c>
      <c r="AB198">
        <v>9.7239974226699499E-2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1</v>
      </c>
      <c r="BI198">
        <v>0</v>
      </c>
      <c r="BJ198">
        <v>0</v>
      </c>
      <c r="BK198">
        <v>1.1077140895149895</v>
      </c>
      <c r="BL198">
        <v>0.10771408951498951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1</v>
      </c>
      <c r="CE198">
        <v>1</v>
      </c>
    </row>
    <row r="199" spans="1:83" x14ac:dyDescent="0.25">
      <c r="A199" t="s">
        <v>128</v>
      </c>
      <c r="B199" t="s">
        <v>146</v>
      </c>
      <c r="C199" t="s">
        <v>72</v>
      </c>
      <c r="D199" s="12">
        <v>46227</v>
      </c>
      <c r="E199" t="s">
        <v>136</v>
      </c>
      <c r="F199" t="s">
        <v>75</v>
      </c>
      <c r="G199">
        <v>3.1779578349000128</v>
      </c>
      <c r="H199">
        <v>2.8499999999999996</v>
      </c>
      <c r="I199">
        <v>10</v>
      </c>
      <c r="J199">
        <v>1</v>
      </c>
      <c r="K199">
        <v>2.8499999999999996</v>
      </c>
      <c r="L199">
        <v>46227</v>
      </c>
      <c r="M199" t="s">
        <v>227</v>
      </c>
      <c r="N199">
        <v>2.8685121107266438</v>
      </c>
      <c r="O199">
        <v>0.89680233283827326</v>
      </c>
      <c r="P199">
        <v>0.89680233283827326</v>
      </c>
      <c r="Q199">
        <v>0.90262749216648908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5.8251593282158121E-3</v>
      </c>
      <c r="AB199">
        <v>9.7372507833510924E-2</v>
      </c>
      <c r="AC199">
        <v>0</v>
      </c>
      <c r="AD199">
        <v>0</v>
      </c>
      <c r="AE199">
        <v>0</v>
      </c>
      <c r="AF199">
        <v>0.89680233283827326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1.1150729245263205</v>
      </c>
      <c r="AM199">
        <v>1.1150729245263205</v>
      </c>
      <c r="AN199">
        <v>1.0064954774479453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6.4954774479453192E-3</v>
      </c>
      <c r="AV199">
        <v>0</v>
      </c>
      <c r="AW199">
        <v>0.10857744707837513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1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0.99354644149577787</v>
      </c>
      <c r="BJ199">
        <v>0.99354644149577787</v>
      </c>
      <c r="BK199">
        <v>1.1078767361714157</v>
      </c>
      <c r="BL199">
        <v>0.10787673617141569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0.10319766716172674</v>
      </c>
      <c r="BV199">
        <v>0</v>
      </c>
      <c r="BW199">
        <v>0</v>
      </c>
      <c r="BX199">
        <v>0</v>
      </c>
      <c r="BY199">
        <v>0</v>
      </c>
      <c r="BZ199">
        <v>0.99354644149577787</v>
      </c>
      <c r="CA199">
        <v>0</v>
      </c>
      <c r="CB199">
        <v>0</v>
      </c>
      <c r="CC199">
        <v>0</v>
      </c>
      <c r="CD199">
        <v>0</v>
      </c>
      <c r="CE199">
        <v>0</v>
      </c>
    </row>
    <row r="200" spans="1:83" x14ac:dyDescent="0.25">
      <c r="A200" t="s">
        <v>128</v>
      </c>
      <c r="B200" t="s">
        <v>145</v>
      </c>
      <c r="C200" t="s">
        <v>72</v>
      </c>
      <c r="D200" s="12">
        <v>46228</v>
      </c>
      <c r="E200" t="s">
        <v>136</v>
      </c>
      <c r="F200" t="s">
        <v>73</v>
      </c>
      <c r="G200">
        <v>3.6011567851291222</v>
      </c>
      <c r="H200">
        <v>0</v>
      </c>
      <c r="I200">
        <v>10</v>
      </c>
      <c r="K200">
        <v>0</v>
      </c>
      <c r="L200">
        <v>46228</v>
      </c>
      <c r="M200" t="s">
        <v>226</v>
      </c>
      <c r="N200">
        <v>3.8198529411764697</v>
      </c>
      <c r="O200">
        <v>0</v>
      </c>
      <c r="P200">
        <v>0</v>
      </c>
      <c r="Q200">
        <v>1.0607294180998859</v>
      </c>
      <c r="R200">
        <v>6.0729418099885857E-2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1</v>
      </c>
      <c r="AK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1</v>
      </c>
      <c r="BH200">
        <v>1</v>
      </c>
      <c r="BI200">
        <v>0</v>
      </c>
      <c r="BJ200">
        <v>0</v>
      </c>
      <c r="BK200">
        <v>0.9427474933158051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5.7252506684194904E-2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0.9427474933158051</v>
      </c>
      <c r="CE200">
        <v>0</v>
      </c>
    </row>
    <row r="201" spans="1:83" x14ac:dyDescent="0.25">
      <c r="A201" t="s">
        <v>128</v>
      </c>
      <c r="B201" t="s">
        <v>146</v>
      </c>
      <c r="C201" t="s">
        <v>72</v>
      </c>
      <c r="D201" s="12">
        <v>46228</v>
      </c>
      <c r="E201" t="s">
        <v>136</v>
      </c>
      <c r="F201" t="s">
        <v>73</v>
      </c>
      <c r="G201">
        <v>3.587616462055093</v>
      </c>
      <c r="H201">
        <v>4.75</v>
      </c>
      <c r="I201">
        <v>10</v>
      </c>
      <c r="J201">
        <v>1</v>
      </c>
      <c r="K201">
        <v>4.75</v>
      </c>
      <c r="L201">
        <v>46228</v>
      </c>
      <c r="M201" t="s">
        <v>226</v>
      </c>
      <c r="N201">
        <v>3.8198529411764697</v>
      </c>
      <c r="O201">
        <v>1.3239988304878776</v>
      </c>
      <c r="P201">
        <v>1.3239988304878776</v>
      </c>
      <c r="Q201">
        <v>1.0647328056322789</v>
      </c>
      <c r="R201">
        <v>0</v>
      </c>
      <c r="S201">
        <v>0</v>
      </c>
      <c r="T201">
        <v>7.3998830487877587E-2</v>
      </c>
      <c r="U201">
        <v>0</v>
      </c>
      <c r="V201">
        <v>0</v>
      </c>
      <c r="W201">
        <v>0</v>
      </c>
      <c r="X201">
        <v>6.47328056322789E-2</v>
      </c>
      <c r="Y201">
        <v>0</v>
      </c>
      <c r="Z201">
        <v>0.1852671943677211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1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0.75528767622212489</v>
      </c>
      <c r="AM201">
        <v>0.75528767622212489</v>
      </c>
      <c r="AN201">
        <v>0.80417956656346734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0.19582043343653266</v>
      </c>
      <c r="AZ201">
        <v>0</v>
      </c>
      <c r="BA201">
        <v>0</v>
      </c>
      <c r="BB201">
        <v>0</v>
      </c>
      <c r="BC201">
        <v>0.75528767622212489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1.2435033686236769</v>
      </c>
      <c r="BJ201">
        <v>1.2435033686236769</v>
      </c>
      <c r="BK201">
        <v>0.93920276966216121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0.24350336862367694</v>
      </c>
      <c r="BU201">
        <v>0</v>
      </c>
      <c r="BV201">
        <v>0</v>
      </c>
      <c r="BW201">
        <v>0</v>
      </c>
      <c r="BX201">
        <v>6.0797230337838792E-2</v>
      </c>
      <c r="BY201">
        <v>0</v>
      </c>
      <c r="BZ201">
        <v>0.93920276966216121</v>
      </c>
      <c r="CA201">
        <v>0</v>
      </c>
      <c r="CB201">
        <v>0</v>
      </c>
      <c r="CC201">
        <v>0</v>
      </c>
      <c r="CD201">
        <v>0</v>
      </c>
      <c r="CE201">
        <v>0</v>
      </c>
    </row>
    <row r="202" spans="1:83" x14ac:dyDescent="0.25">
      <c r="A202" t="s">
        <v>128</v>
      </c>
      <c r="B202" t="s">
        <v>146</v>
      </c>
      <c r="C202" t="s">
        <v>72</v>
      </c>
      <c r="D202" s="12">
        <v>46228</v>
      </c>
      <c r="E202" t="s">
        <v>136</v>
      </c>
      <c r="F202" t="s">
        <v>74</v>
      </c>
      <c r="G202">
        <v>0</v>
      </c>
      <c r="H202">
        <v>0.95</v>
      </c>
      <c r="I202">
        <v>10</v>
      </c>
      <c r="J202">
        <v>1</v>
      </c>
      <c r="K202">
        <v>0.95</v>
      </c>
      <c r="L202">
        <v>46228</v>
      </c>
      <c r="M202" t="s">
        <v>225</v>
      </c>
      <c r="N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1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  <c r="AI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1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1</v>
      </c>
      <c r="CC202">
        <v>0</v>
      </c>
      <c r="CE202">
        <v>0</v>
      </c>
    </row>
    <row r="203" spans="1:83" x14ac:dyDescent="0.25">
      <c r="A203" t="s">
        <v>128</v>
      </c>
      <c r="B203" t="s">
        <v>145</v>
      </c>
      <c r="C203" t="s">
        <v>72</v>
      </c>
      <c r="D203" s="12">
        <v>46228</v>
      </c>
      <c r="E203" t="s">
        <v>136</v>
      </c>
      <c r="F203" t="s">
        <v>74</v>
      </c>
      <c r="G203">
        <v>0</v>
      </c>
      <c r="H203">
        <v>0</v>
      </c>
      <c r="I203">
        <v>10</v>
      </c>
      <c r="K203">
        <v>0</v>
      </c>
      <c r="L203">
        <v>46228</v>
      </c>
      <c r="M203" t="s">
        <v>225</v>
      </c>
      <c r="N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1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K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E203">
        <v>0</v>
      </c>
    </row>
    <row r="204" spans="1:83" x14ac:dyDescent="0.25">
      <c r="A204" t="s">
        <v>128</v>
      </c>
      <c r="B204" t="s">
        <v>145</v>
      </c>
      <c r="C204" t="s">
        <v>72</v>
      </c>
      <c r="D204" s="12">
        <v>46228</v>
      </c>
      <c r="E204" t="s">
        <v>136</v>
      </c>
      <c r="F204" t="s">
        <v>75</v>
      </c>
      <c r="G204">
        <v>3.1774912809962856</v>
      </c>
      <c r="H204">
        <v>0</v>
      </c>
      <c r="I204">
        <v>10</v>
      </c>
      <c r="K204">
        <v>0</v>
      </c>
      <c r="L204">
        <v>46228</v>
      </c>
      <c r="M204" t="s">
        <v>224</v>
      </c>
      <c r="N204">
        <v>4.5813148788927336</v>
      </c>
      <c r="O204">
        <v>0</v>
      </c>
      <c r="P204">
        <v>0</v>
      </c>
      <c r="Q204">
        <v>1.4418025019588052</v>
      </c>
      <c r="R204">
        <v>0.44180250195880522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1</v>
      </c>
      <c r="AK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1</v>
      </c>
      <c r="BH204">
        <v>1</v>
      </c>
      <c r="BI204">
        <v>0</v>
      </c>
      <c r="BJ204">
        <v>0</v>
      </c>
      <c r="BK204">
        <v>0.69357626903921943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0.30642373096078057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0.69357626903921943</v>
      </c>
      <c r="CE204">
        <v>0</v>
      </c>
    </row>
    <row r="205" spans="1:83" x14ac:dyDescent="0.25">
      <c r="A205" t="s">
        <v>128</v>
      </c>
      <c r="B205" t="s">
        <v>146</v>
      </c>
      <c r="C205" t="s">
        <v>72</v>
      </c>
      <c r="D205" s="12">
        <v>46228</v>
      </c>
      <c r="E205" t="s">
        <v>136</v>
      </c>
      <c r="F205" t="s">
        <v>75</v>
      </c>
      <c r="G205">
        <v>3.1779578349000133</v>
      </c>
      <c r="H205">
        <v>2.8499999999999996</v>
      </c>
      <c r="I205">
        <v>10</v>
      </c>
      <c r="J205">
        <v>1</v>
      </c>
      <c r="K205">
        <v>2.8499999999999996</v>
      </c>
      <c r="L205">
        <v>46228</v>
      </c>
      <c r="M205" t="s">
        <v>224</v>
      </c>
      <c r="N205">
        <v>4.5813148788927336</v>
      </c>
      <c r="O205">
        <v>0.89680233283827315</v>
      </c>
      <c r="P205">
        <v>0.89680233283827315</v>
      </c>
      <c r="Q205">
        <v>1.4415908318798929</v>
      </c>
      <c r="R205">
        <v>0.4415908318798929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0.10319766716172685</v>
      </c>
      <c r="AB205">
        <v>0</v>
      </c>
      <c r="AC205">
        <v>0</v>
      </c>
      <c r="AD205">
        <v>0</v>
      </c>
      <c r="AE205">
        <v>0</v>
      </c>
      <c r="AF205">
        <v>0.89680233283827315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1.1150729245263207</v>
      </c>
      <c r="AM205">
        <v>1.1150729245263207</v>
      </c>
      <c r="AN205">
        <v>1.6074789048746436</v>
      </c>
      <c r="AO205">
        <v>0.49240598034832295</v>
      </c>
      <c r="AP205">
        <v>0</v>
      </c>
      <c r="AQ205">
        <v>0</v>
      </c>
      <c r="AR205">
        <v>0</v>
      </c>
      <c r="AS205">
        <v>0</v>
      </c>
      <c r="AT205">
        <v>0.38492707547367933</v>
      </c>
      <c r="AU205">
        <v>0.11507292452632067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0.62209214501510568</v>
      </c>
      <c r="BJ205">
        <v>0.62209214501510568</v>
      </c>
      <c r="BK205">
        <v>0.69367810746684577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0.30632189253315423</v>
      </c>
      <c r="BW205">
        <v>0</v>
      </c>
      <c r="BX205">
        <v>0</v>
      </c>
      <c r="BY205">
        <v>0</v>
      </c>
      <c r="BZ205">
        <v>0.62209214501510568</v>
      </c>
      <c r="CA205">
        <v>0</v>
      </c>
      <c r="CB205">
        <v>0</v>
      </c>
      <c r="CC205">
        <v>0</v>
      </c>
      <c r="CD205">
        <v>0</v>
      </c>
      <c r="CE205">
        <v>0</v>
      </c>
    </row>
    <row r="206" spans="1:83" x14ac:dyDescent="0.25">
      <c r="A206" t="s">
        <v>128</v>
      </c>
      <c r="B206" t="s">
        <v>146</v>
      </c>
      <c r="C206" t="s">
        <v>72</v>
      </c>
      <c r="D206" s="12">
        <v>46229</v>
      </c>
      <c r="E206" t="s">
        <v>136</v>
      </c>
      <c r="F206" t="s">
        <v>73</v>
      </c>
      <c r="G206">
        <v>3.587616462055093</v>
      </c>
      <c r="H206">
        <v>4.75</v>
      </c>
      <c r="I206">
        <v>10</v>
      </c>
      <c r="J206">
        <v>1</v>
      </c>
      <c r="K206">
        <v>4.75</v>
      </c>
      <c r="L206">
        <v>46229</v>
      </c>
      <c r="M206" t="s">
        <v>223</v>
      </c>
      <c r="N206">
        <v>4.7610294117647056</v>
      </c>
      <c r="O206">
        <v>1.3239988304878776</v>
      </c>
      <c r="P206">
        <v>1.3239988304878776</v>
      </c>
      <c r="Q206">
        <v>1.3270731311778647</v>
      </c>
      <c r="R206">
        <v>3.0743006899871528E-3</v>
      </c>
      <c r="S206">
        <v>0</v>
      </c>
      <c r="T206">
        <v>0</v>
      </c>
      <c r="U206">
        <v>0</v>
      </c>
      <c r="V206">
        <v>7.3998830487877587E-2</v>
      </c>
      <c r="W206">
        <v>0</v>
      </c>
      <c r="X206">
        <v>0.25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0.75528767622212489</v>
      </c>
      <c r="AM206">
        <v>0.75528767622212489</v>
      </c>
      <c r="AN206">
        <v>1.0023219814241486</v>
      </c>
      <c r="AO206">
        <v>2.3219814241486336E-3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0.75528767622212489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0.99768339768339775</v>
      </c>
      <c r="BJ206">
        <v>0.99768339768339775</v>
      </c>
      <c r="BK206">
        <v>0.75353797504168751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2.3166023166022454E-3</v>
      </c>
      <c r="BW206">
        <v>0</v>
      </c>
      <c r="BX206">
        <v>0.24414542264171024</v>
      </c>
      <c r="BY206">
        <v>0</v>
      </c>
      <c r="BZ206">
        <v>0.75353797504168751</v>
      </c>
      <c r="CA206">
        <v>0</v>
      </c>
      <c r="CB206">
        <v>0</v>
      </c>
      <c r="CC206">
        <v>0</v>
      </c>
      <c r="CD206">
        <v>0</v>
      </c>
      <c r="CE206">
        <v>0</v>
      </c>
    </row>
    <row r="207" spans="1:83" x14ac:dyDescent="0.25">
      <c r="A207" t="s">
        <v>128</v>
      </c>
      <c r="B207" t="s">
        <v>145</v>
      </c>
      <c r="C207" t="s">
        <v>72</v>
      </c>
      <c r="D207" s="12">
        <v>46229</v>
      </c>
      <c r="E207" t="s">
        <v>136</v>
      </c>
      <c r="F207" t="s">
        <v>73</v>
      </c>
      <c r="G207">
        <v>3.6011567851291222</v>
      </c>
      <c r="H207">
        <v>0.95</v>
      </c>
      <c r="I207">
        <v>10</v>
      </c>
      <c r="K207">
        <v>0.95</v>
      </c>
      <c r="L207">
        <v>46229</v>
      </c>
      <c r="M207" t="s">
        <v>223</v>
      </c>
      <c r="N207">
        <v>4.7610294117647056</v>
      </c>
      <c r="O207">
        <v>0.26380412092108813</v>
      </c>
      <c r="P207">
        <v>0.26380412092108813</v>
      </c>
      <c r="Q207">
        <v>1.3220833459474037</v>
      </c>
      <c r="R207">
        <v>0.32208334594740373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0.73619587907891182</v>
      </c>
      <c r="AB207">
        <v>0</v>
      </c>
      <c r="AC207">
        <v>0</v>
      </c>
      <c r="AD207">
        <v>0</v>
      </c>
      <c r="AE207">
        <v>0</v>
      </c>
      <c r="AF207">
        <v>0.26380412092108813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3.7906913527674972</v>
      </c>
      <c r="AM207">
        <v>3.7906913527674972</v>
      </c>
      <c r="AN207">
        <v>5.0116099071207429</v>
      </c>
      <c r="BE207">
        <v>0</v>
      </c>
      <c r="BF207">
        <v>0</v>
      </c>
      <c r="BG207">
        <v>0</v>
      </c>
      <c r="BI207">
        <v>0.19953667953667953</v>
      </c>
      <c r="BJ207">
        <v>0.19953667953667953</v>
      </c>
      <c r="BK207">
        <v>0.75638196567963034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0.24361803432036966</v>
      </c>
      <c r="BW207">
        <v>0</v>
      </c>
      <c r="BX207">
        <v>0</v>
      </c>
      <c r="BY207">
        <v>0</v>
      </c>
      <c r="BZ207">
        <v>0.19953667953667953</v>
      </c>
      <c r="CA207">
        <v>0</v>
      </c>
      <c r="CB207">
        <v>0</v>
      </c>
      <c r="CC207">
        <v>0</v>
      </c>
      <c r="CD207">
        <v>0</v>
      </c>
      <c r="CE207">
        <v>0</v>
      </c>
    </row>
    <row r="208" spans="1:83" x14ac:dyDescent="0.25">
      <c r="A208" t="s">
        <v>128</v>
      </c>
      <c r="B208" t="s">
        <v>145</v>
      </c>
      <c r="C208" t="s">
        <v>72</v>
      </c>
      <c r="D208" s="12">
        <v>46229</v>
      </c>
      <c r="E208" t="s">
        <v>136</v>
      </c>
      <c r="F208" t="s">
        <v>74</v>
      </c>
      <c r="G208">
        <v>0</v>
      </c>
      <c r="H208">
        <v>0</v>
      </c>
      <c r="I208">
        <v>10</v>
      </c>
      <c r="K208">
        <v>0</v>
      </c>
      <c r="L208">
        <v>46229</v>
      </c>
      <c r="M208" t="s">
        <v>222</v>
      </c>
      <c r="N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K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1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E208">
        <v>0</v>
      </c>
    </row>
    <row r="209" spans="1:83" x14ac:dyDescent="0.25">
      <c r="A209" t="s">
        <v>128</v>
      </c>
      <c r="B209" t="s">
        <v>146</v>
      </c>
      <c r="C209" t="s">
        <v>72</v>
      </c>
      <c r="D209" s="12">
        <v>46229</v>
      </c>
      <c r="E209" t="s">
        <v>136</v>
      </c>
      <c r="F209" t="s">
        <v>74</v>
      </c>
      <c r="G209">
        <v>0</v>
      </c>
      <c r="H209">
        <v>0.95</v>
      </c>
      <c r="I209">
        <v>10</v>
      </c>
      <c r="J209">
        <v>1</v>
      </c>
      <c r="K209">
        <v>0.95</v>
      </c>
      <c r="L209">
        <v>46229</v>
      </c>
      <c r="M209" t="s">
        <v>222</v>
      </c>
      <c r="N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  <c r="AI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1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1</v>
      </c>
      <c r="CC209">
        <v>0</v>
      </c>
      <c r="CE209">
        <v>0</v>
      </c>
    </row>
    <row r="210" spans="1:83" x14ac:dyDescent="0.25">
      <c r="A210" t="s">
        <v>128</v>
      </c>
      <c r="B210" t="s">
        <v>146</v>
      </c>
      <c r="C210" t="s">
        <v>72</v>
      </c>
      <c r="D210" s="12">
        <v>46229</v>
      </c>
      <c r="E210" t="s">
        <v>136</v>
      </c>
      <c r="F210" t="s">
        <v>75</v>
      </c>
      <c r="G210">
        <v>3.1779578349000128</v>
      </c>
      <c r="H210">
        <v>2.8499999999999996</v>
      </c>
      <c r="I210">
        <v>10</v>
      </c>
      <c r="J210">
        <v>1</v>
      </c>
      <c r="K210">
        <v>2.8499999999999996</v>
      </c>
      <c r="L210">
        <v>46229</v>
      </c>
      <c r="M210" t="s">
        <v>221</v>
      </c>
      <c r="N210">
        <v>4.6366782006920406</v>
      </c>
      <c r="O210">
        <v>0.89680233283827326</v>
      </c>
      <c r="P210">
        <v>0.89680233283827326</v>
      </c>
      <c r="Q210">
        <v>1.4590118691231544</v>
      </c>
      <c r="R210">
        <v>0.45901186912315439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0.10319766716172674</v>
      </c>
      <c r="AB210">
        <v>0</v>
      </c>
      <c r="AC210">
        <v>0</v>
      </c>
      <c r="AD210">
        <v>0</v>
      </c>
      <c r="AE210">
        <v>0</v>
      </c>
      <c r="AF210">
        <v>0.89680233283827326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1.1150729245263205</v>
      </c>
      <c r="AM210">
        <v>1.1150729245263205</v>
      </c>
      <c r="AN210">
        <v>1.6269046318217688</v>
      </c>
      <c r="AO210">
        <v>0.51183170729544836</v>
      </c>
      <c r="AP210">
        <v>0</v>
      </c>
      <c r="AQ210">
        <v>0</v>
      </c>
      <c r="AR210">
        <v>0</v>
      </c>
      <c r="AS210">
        <v>0</v>
      </c>
      <c r="AT210">
        <v>0.38492707547367955</v>
      </c>
      <c r="AU210">
        <v>0.11507292452632045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0.61466417910447768</v>
      </c>
      <c r="BJ210">
        <v>0.61466417910447768</v>
      </c>
      <c r="BK210">
        <v>0.68539538379559994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0.31460461620440006</v>
      </c>
      <c r="BW210">
        <v>0</v>
      </c>
      <c r="BX210">
        <v>0</v>
      </c>
      <c r="BY210">
        <v>0</v>
      </c>
      <c r="BZ210">
        <v>0.61466417910447768</v>
      </c>
      <c r="CA210">
        <v>0</v>
      </c>
      <c r="CB210">
        <v>0</v>
      </c>
      <c r="CC210">
        <v>0</v>
      </c>
      <c r="CD210">
        <v>0</v>
      </c>
      <c r="CE210">
        <v>0</v>
      </c>
    </row>
    <row r="211" spans="1:83" x14ac:dyDescent="0.25">
      <c r="A211" t="s">
        <v>128</v>
      </c>
      <c r="B211" t="s">
        <v>145</v>
      </c>
      <c r="C211" t="s">
        <v>72</v>
      </c>
      <c r="D211" s="12">
        <v>46229</v>
      </c>
      <c r="E211" t="s">
        <v>136</v>
      </c>
      <c r="F211" t="s">
        <v>75</v>
      </c>
      <c r="G211">
        <v>3.1774912809962848</v>
      </c>
      <c r="H211">
        <v>0</v>
      </c>
      <c r="I211">
        <v>10</v>
      </c>
      <c r="K211">
        <v>0</v>
      </c>
      <c r="L211">
        <v>46229</v>
      </c>
      <c r="M211" t="s">
        <v>221</v>
      </c>
      <c r="N211">
        <v>4.6366782006920406</v>
      </c>
      <c r="O211">
        <v>0</v>
      </c>
      <c r="P211">
        <v>0</v>
      </c>
      <c r="Q211">
        <v>1.4592260971486399</v>
      </c>
      <c r="R211">
        <v>0.45922609714863993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1</v>
      </c>
      <c r="AK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1</v>
      </c>
      <c r="BH211">
        <v>1</v>
      </c>
      <c r="BI211">
        <v>0</v>
      </c>
      <c r="BJ211">
        <v>0</v>
      </c>
      <c r="BK211">
        <v>0.68529476134919887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0.31470523865080113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0.68529476134919887</v>
      </c>
      <c r="CE211">
        <v>0</v>
      </c>
    </row>
    <row r="212" spans="1:83" x14ac:dyDescent="0.25">
      <c r="A212" t="s">
        <v>128</v>
      </c>
      <c r="B212" t="s">
        <v>145</v>
      </c>
      <c r="C212" t="s">
        <v>72</v>
      </c>
      <c r="D212" s="12">
        <v>46230</v>
      </c>
      <c r="E212" t="s">
        <v>136</v>
      </c>
      <c r="F212" t="s">
        <v>73</v>
      </c>
      <c r="G212">
        <v>3.6011567851291222</v>
      </c>
      <c r="H212">
        <v>0</v>
      </c>
      <c r="I212">
        <v>10</v>
      </c>
      <c r="K212">
        <v>0</v>
      </c>
      <c r="L212">
        <v>46230</v>
      </c>
      <c r="M212" t="s">
        <v>220</v>
      </c>
      <c r="N212">
        <v>4.7058823529411793</v>
      </c>
      <c r="O212">
        <v>0</v>
      </c>
      <c r="P212">
        <v>0</v>
      </c>
      <c r="Q212">
        <v>1.3067696392375892</v>
      </c>
      <c r="R212">
        <v>0.30676963923758915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1</v>
      </c>
      <c r="AK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1</v>
      </c>
      <c r="BH212">
        <v>1</v>
      </c>
      <c r="BI212">
        <v>0</v>
      </c>
      <c r="BJ212">
        <v>0</v>
      </c>
      <c r="BK212">
        <v>0.76524581683993798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0.23475418316006202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0.76524581683993798</v>
      </c>
      <c r="CE212">
        <v>0</v>
      </c>
    </row>
    <row r="213" spans="1:83" x14ac:dyDescent="0.25">
      <c r="A213" t="s">
        <v>128</v>
      </c>
      <c r="B213" t="s">
        <v>146</v>
      </c>
      <c r="C213" t="s">
        <v>72</v>
      </c>
      <c r="D213" s="12">
        <v>46230</v>
      </c>
      <c r="E213" t="s">
        <v>136</v>
      </c>
      <c r="F213" t="s">
        <v>73</v>
      </c>
      <c r="G213">
        <v>3.5876164620550921</v>
      </c>
      <c r="H213">
        <v>4.75</v>
      </c>
      <c r="I213">
        <v>10</v>
      </c>
      <c r="J213">
        <v>1</v>
      </c>
      <c r="K213">
        <v>4.75</v>
      </c>
      <c r="L213">
        <v>46230</v>
      </c>
      <c r="M213" t="s">
        <v>220</v>
      </c>
      <c r="N213">
        <v>4.7058823529411793</v>
      </c>
      <c r="O213">
        <v>1.3239988304878778</v>
      </c>
      <c r="P213">
        <v>1.3239988304878778</v>
      </c>
      <c r="Q213">
        <v>1.3117016277279294</v>
      </c>
      <c r="R213">
        <v>0</v>
      </c>
      <c r="S213">
        <v>0</v>
      </c>
      <c r="T213">
        <v>1.2297202759948389E-2</v>
      </c>
      <c r="U213">
        <v>0</v>
      </c>
      <c r="V213">
        <v>6.170162772792942E-2</v>
      </c>
      <c r="W213">
        <v>0</v>
      </c>
      <c r="X213">
        <v>0.25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1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0.75528767622212467</v>
      </c>
      <c r="AM213">
        <v>0.75528767622212467</v>
      </c>
      <c r="AN213">
        <v>0.99071207430340613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9.2879256965938684E-3</v>
      </c>
      <c r="AZ213">
        <v>0</v>
      </c>
      <c r="BA213">
        <v>0</v>
      </c>
      <c r="BB213">
        <v>0</v>
      </c>
      <c r="BC213">
        <v>0.75528767622212467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1.0093749999999995</v>
      </c>
      <c r="BJ213">
        <v>1.0093749999999995</v>
      </c>
      <c r="BK213">
        <v>0.7623684981867066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9.3749999999994671E-3</v>
      </c>
      <c r="BU213">
        <v>0</v>
      </c>
      <c r="BV213">
        <v>0</v>
      </c>
      <c r="BW213">
        <v>0</v>
      </c>
      <c r="BX213">
        <v>0.2376315018132934</v>
      </c>
      <c r="BY213">
        <v>0</v>
      </c>
      <c r="BZ213">
        <v>0.7623684981867066</v>
      </c>
      <c r="CA213">
        <v>0</v>
      </c>
      <c r="CB213">
        <v>0</v>
      </c>
      <c r="CC213">
        <v>0</v>
      </c>
      <c r="CD213">
        <v>0</v>
      </c>
      <c r="CE213">
        <v>0</v>
      </c>
    </row>
    <row r="214" spans="1:83" x14ac:dyDescent="0.25">
      <c r="A214" t="s">
        <v>128</v>
      </c>
      <c r="B214" t="s">
        <v>145</v>
      </c>
      <c r="C214" t="s">
        <v>72</v>
      </c>
      <c r="D214" s="12">
        <v>46230</v>
      </c>
      <c r="E214" t="s">
        <v>136</v>
      </c>
      <c r="F214" t="s">
        <v>74</v>
      </c>
      <c r="G214">
        <v>0</v>
      </c>
      <c r="H214">
        <v>0</v>
      </c>
      <c r="I214">
        <v>10</v>
      </c>
      <c r="K214">
        <v>0</v>
      </c>
      <c r="L214">
        <v>46230</v>
      </c>
      <c r="M214" t="s">
        <v>219</v>
      </c>
      <c r="N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K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1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E214">
        <v>0</v>
      </c>
    </row>
    <row r="215" spans="1:83" x14ac:dyDescent="0.25">
      <c r="A215" t="s">
        <v>128</v>
      </c>
      <c r="B215" t="s">
        <v>146</v>
      </c>
      <c r="C215" t="s">
        <v>72</v>
      </c>
      <c r="D215" s="12">
        <v>46230</v>
      </c>
      <c r="E215" t="s">
        <v>136</v>
      </c>
      <c r="F215" t="s">
        <v>74</v>
      </c>
      <c r="G215">
        <v>0</v>
      </c>
      <c r="H215">
        <v>0</v>
      </c>
      <c r="I215">
        <v>10</v>
      </c>
      <c r="J215">
        <v>1</v>
      </c>
      <c r="K215">
        <v>0</v>
      </c>
      <c r="L215">
        <v>46230</v>
      </c>
      <c r="M215" t="s">
        <v>219</v>
      </c>
      <c r="N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K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1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E215">
        <v>0</v>
      </c>
    </row>
    <row r="216" spans="1:83" x14ac:dyDescent="0.25">
      <c r="A216" t="s">
        <v>128</v>
      </c>
      <c r="B216" t="s">
        <v>145</v>
      </c>
      <c r="C216" t="s">
        <v>72</v>
      </c>
      <c r="D216" s="12">
        <v>46230</v>
      </c>
      <c r="E216" t="s">
        <v>136</v>
      </c>
      <c r="F216" t="s">
        <v>75</v>
      </c>
      <c r="G216">
        <v>3.1774912809962848</v>
      </c>
      <c r="H216">
        <v>0</v>
      </c>
      <c r="I216">
        <v>10</v>
      </c>
      <c r="K216">
        <v>0</v>
      </c>
      <c r="L216">
        <v>46230</v>
      </c>
      <c r="M216" t="s">
        <v>218</v>
      </c>
      <c r="N216">
        <v>3.8062283737024223</v>
      </c>
      <c r="O216">
        <v>0</v>
      </c>
      <c r="P216">
        <v>0</v>
      </c>
      <c r="Q216">
        <v>1.1978721693011225</v>
      </c>
      <c r="R216">
        <v>0.1978721693011225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1</v>
      </c>
      <c r="AK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1</v>
      </c>
      <c r="BH216">
        <v>1</v>
      </c>
      <c r="BI216">
        <v>0</v>
      </c>
      <c r="BJ216">
        <v>0</v>
      </c>
      <c r="BK216">
        <v>0.834813618370842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0.165186381629158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0.834813618370842</v>
      </c>
      <c r="CE216">
        <v>0</v>
      </c>
    </row>
    <row r="217" spans="1:83" x14ac:dyDescent="0.25">
      <c r="A217" t="s">
        <v>128</v>
      </c>
      <c r="B217" t="s">
        <v>146</v>
      </c>
      <c r="C217" t="s">
        <v>72</v>
      </c>
      <c r="D217" s="12">
        <v>46230</v>
      </c>
      <c r="E217" t="s">
        <v>136</v>
      </c>
      <c r="F217" t="s">
        <v>75</v>
      </c>
      <c r="G217">
        <v>3.1779578349000128</v>
      </c>
      <c r="H217">
        <v>3.8</v>
      </c>
      <c r="I217">
        <v>10</v>
      </c>
      <c r="J217">
        <v>1</v>
      </c>
      <c r="K217">
        <v>3.8</v>
      </c>
      <c r="L217">
        <v>46230</v>
      </c>
      <c r="M217" t="s">
        <v>218</v>
      </c>
      <c r="N217">
        <v>3.8062283737024223</v>
      </c>
      <c r="O217">
        <v>1.1957364437843645</v>
      </c>
      <c r="P217">
        <v>1.1957364437843645</v>
      </c>
      <c r="Q217">
        <v>1.1976963104742315</v>
      </c>
      <c r="R217">
        <v>1.9598666898670292E-3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0.1957364437843645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0.83630469339474023</v>
      </c>
      <c r="AM217">
        <v>0.83630469339474023</v>
      </c>
      <c r="AN217">
        <v>1.0016390457111639</v>
      </c>
      <c r="AO217">
        <v>1.6390457111639112E-3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0.83630469339474023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0.99836363636363623</v>
      </c>
      <c r="BJ217">
        <v>0.99836363636363623</v>
      </c>
      <c r="BK217">
        <v>0.83493619480554881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1.636363636363769E-3</v>
      </c>
      <c r="BW217">
        <v>0</v>
      </c>
      <c r="BX217">
        <v>0.16342744155808742</v>
      </c>
      <c r="BY217">
        <v>0</v>
      </c>
      <c r="BZ217">
        <v>0.83493619480554881</v>
      </c>
      <c r="CA217">
        <v>0</v>
      </c>
      <c r="CB217">
        <v>0</v>
      </c>
      <c r="CC217">
        <v>0</v>
      </c>
      <c r="CD217">
        <v>0</v>
      </c>
      <c r="CE217">
        <v>0</v>
      </c>
    </row>
    <row r="218" spans="1:83" x14ac:dyDescent="0.25">
      <c r="A218" t="s">
        <v>128</v>
      </c>
      <c r="B218" t="s">
        <v>145</v>
      </c>
      <c r="C218" t="s">
        <v>72</v>
      </c>
      <c r="D218" s="12">
        <v>46231</v>
      </c>
      <c r="E218" t="s">
        <v>136</v>
      </c>
      <c r="F218" t="s">
        <v>73</v>
      </c>
      <c r="G218">
        <v>3.6011567851291222</v>
      </c>
      <c r="H218">
        <v>0</v>
      </c>
      <c r="I218">
        <v>10</v>
      </c>
      <c r="K218">
        <v>0</v>
      </c>
      <c r="L218">
        <v>46231</v>
      </c>
      <c r="M218" t="s">
        <v>217</v>
      </c>
      <c r="N218">
        <v>4.7058823529411749</v>
      </c>
      <c r="O218">
        <v>0</v>
      </c>
      <c r="P218">
        <v>0</v>
      </c>
      <c r="Q218">
        <v>1.3067696392375878</v>
      </c>
      <c r="R218">
        <v>0.30676963923758782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1</v>
      </c>
      <c r="AK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1</v>
      </c>
      <c r="BH218">
        <v>1</v>
      </c>
      <c r="BI218">
        <v>0</v>
      </c>
      <c r="BJ218">
        <v>0</v>
      </c>
      <c r="BK218">
        <v>0.76524581683993875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0.23475418316006125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0.76524581683993875</v>
      </c>
      <c r="CE218">
        <v>0</v>
      </c>
    </row>
    <row r="219" spans="1:83" x14ac:dyDescent="0.25">
      <c r="A219" t="s">
        <v>128</v>
      </c>
      <c r="B219" t="s">
        <v>146</v>
      </c>
      <c r="C219" t="s">
        <v>72</v>
      </c>
      <c r="D219" s="12">
        <v>46231</v>
      </c>
      <c r="E219" t="s">
        <v>136</v>
      </c>
      <c r="F219" t="s">
        <v>73</v>
      </c>
      <c r="G219">
        <v>3.5876164620550925</v>
      </c>
      <c r="H219">
        <v>4.75</v>
      </c>
      <c r="I219">
        <v>10</v>
      </c>
      <c r="J219">
        <v>1</v>
      </c>
      <c r="K219">
        <v>4.75</v>
      </c>
      <c r="L219">
        <v>46231</v>
      </c>
      <c r="M219" t="s">
        <v>217</v>
      </c>
      <c r="N219">
        <v>4.7058823529411749</v>
      </c>
      <c r="O219">
        <v>1.3239988304878778</v>
      </c>
      <c r="P219">
        <v>1.3239988304878778</v>
      </c>
      <c r="Q219">
        <v>1.3117016277279279</v>
      </c>
      <c r="R219">
        <v>0</v>
      </c>
      <c r="S219">
        <v>0</v>
      </c>
      <c r="T219">
        <v>1.2297202759949943E-2</v>
      </c>
      <c r="U219">
        <v>0</v>
      </c>
      <c r="V219">
        <v>6.1701627727927866E-2</v>
      </c>
      <c r="W219">
        <v>0</v>
      </c>
      <c r="X219">
        <v>0.25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0.75528767622212478</v>
      </c>
      <c r="AM219">
        <v>0.75528767622212478</v>
      </c>
      <c r="AN219">
        <v>0.99071207430340524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9.2879256965947565E-3</v>
      </c>
      <c r="AZ219">
        <v>0</v>
      </c>
      <c r="BA219">
        <v>0</v>
      </c>
      <c r="BB219">
        <v>0</v>
      </c>
      <c r="BC219">
        <v>0.75528767622212478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1.0093750000000004</v>
      </c>
      <c r="BJ219">
        <v>1.0093750000000004</v>
      </c>
      <c r="BK219">
        <v>0.76236849818670738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9.3750000000003553E-3</v>
      </c>
      <c r="BU219">
        <v>0</v>
      </c>
      <c r="BV219">
        <v>0</v>
      </c>
      <c r="BW219">
        <v>0</v>
      </c>
      <c r="BX219">
        <v>0.23763150181329262</v>
      </c>
      <c r="BY219">
        <v>0</v>
      </c>
      <c r="BZ219">
        <v>0.76236849818670738</v>
      </c>
      <c r="CA219">
        <v>0</v>
      </c>
      <c r="CB219">
        <v>0</v>
      </c>
      <c r="CC219">
        <v>0</v>
      </c>
      <c r="CD219">
        <v>0</v>
      </c>
      <c r="CE219">
        <v>0</v>
      </c>
    </row>
    <row r="220" spans="1:83" x14ac:dyDescent="0.25">
      <c r="A220" t="s">
        <v>128</v>
      </c>
      <c r="B220" t="s">
        <v>146</v>
      </c>
      <c r="C220" t="s">
        <v>72</v>
      </c>
      <c r="D220" s="12">
        <v>46231</v>
      </c>
      <c r="E220" t="s">
        <v>136</v>
      </c>
      <c r="F220" t="s">
        <v>74</v>
      </c>
      <c r="G220">
        <v>0</v>
      </c>
      <c r="H220">
        <v>1.9</v>
      </c>
      <c r="I220">
        <v>10</v>
      </c>
      <c r="J220">
        <v>1</v>
      </c>
      <c r="K220">
        <v>1.9</v>
      </c>
      <c r="L220">
        <v>46231</v>
      </c>
      <c r="M220" t="s">
        <v>233</v>
      </c>
      <c r="N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1</v>
      </c>
      <c r="AI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1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1</v>
      </c>
      <c r="CC220">
        <v>0</v>
      </c>
      <c r="CE220">
        <v>0</v>
      </c>
    </row>
    <row r="221" spans="1:83" x14ac:dyDescent="0.25">
      <c r="A221" t="s">
        <v>128</v>
      </c>
      <c r="B221" t="s">
        <v>145</v>
      </c>
      <c r="C221" t="s">
        <v>72</v>
      </c>
      <c r="D221" s="12">
        <v>46231</v>
      </c>
      <c r="E221" t="s">
        <v>136</v>
      </c>
      <c r="F221" t="s">
        <v>74</v>
      </c>
      <c r="G221">
        <v>0</v>
      </c>
      <c r="H221">
        <v>0</v>
      </c>
      <c r="I221">
        <v>10</v>
      </c>
      <c r="K221">
        <v>0</v>
      </c>
      <c r="L221">
        <v>46231</v>
      </c>
      <c r="M221" t="s">
        <v>233</v>
      </c>
      <c r="N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K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1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E221">
        <v>0</v>
      </c>
    </row>
    <row r="222" spans="1:83" x14ac:dyDescent="0.25">
      <c r="A222" t="s">
        <v>128</v>
      </c>
      <c r="B222" t="s">
        <v>146</v>
      </c>
      <c r="C222" t="s">
        <v>72</v>
      </c>
      <c r="D222" s="12">
        <v>46231</v>
      </c>
      <c r="E222" t="s">
        <v>136</v>
      </c>
      <c r="F222" t="s">
        <v>75</v>
      </c>
      <c r="G222">
        <v>3.1779578349000128</v>
      </c>
      <c r="H222">
        <v>2.8499999999999996</v>
      </c>
      <c r="I222">
        <v>10</v>
      </c>
      <c r="J222">
        <v>1</v>
      </c>
      <c r="K222">
        <v>2.8499999999999996</v>
      </c>
      <c r="L222">
        <v>46231</v>
      </c>
      <c r="M222" t="s">
        <v>234</v>
      </c>
      <c r="N222">
        <v>4.6885813148788937</v>
      </c>
      <c r="O222">
        <v>0.89680233283827326</v>
      </c>
      <c r="P222">
        <v>0.89680233283827326</v>
      </c>
      <c r="Q222">
        <v>1.4753440915387126</v>
      </c>
      <c r="R222">
        <v>0.4753440915387126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0.10319766716172674</v>
      </c>
      <c r="AB222">
        <v>0</v>
      </c>
      <c r="AC222">
        <v>0</v>
      </c>
      <c r="AD222">
        <v>0</v>
      </c>
      <c r="AE222">
        <v>0</v>
      </c>
      <c r="AF222">
        <v>0.89680233283827326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1.1150729245263205</v>
      </c>
      <c r="AM222">
        <v>1.1150729245263205</v>
      </c>
      <c r="AN222">
        <v>1.6451162508346997</v>
      </c>
      <c r="AO222">
        <v>0.53004332630837925</v>
      </c>
      <c r="AP222">
        <v>0</v>
      </c>
      <c r="AQ222">
        <v>0</v>
      </c>
      <c r="AR222">
        <v>0</v>
      </c>
      <c r="AS222">
        <v>0</v>
      </c>
      <c r="AT222">
        <v>0.38492707547367955</v>
      </c>
      <c r="AU222">
        <v>0.11507292452632045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0.60785977859778573</v>
      </c>
      <c r="BJ222">
        <v>0.60785977859778573</v>
      </c>
      <c r="BK222">
        <v>0.67780798102295459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0.32219201897704541</v>
      </c>
      <c r="BW222">
        <v>0</v>
      </c>
      <c r="BX222">
        <v>0</v>
      </c>
      <c r="BY222">
        <v>0</v>
      </c>
      <c r="BZ222">
        <v>0.60785977859778573</v>
      </c>
      <c r="CA222">
        <v>0</v>
      </c>
      <c r="CB222">
        <v>0</v>
      </c>
      <c r="CC222">
        <v>0</v>
      </c>
      <c r="CD222">
        <v>0</v>
      </c>
      <c r="CE222">
        <v>0</v>
      </c>
    </row>
    <row r="223" spans="1:83" x14ac:dyDescent="0.25">
      <c r="A223" t="s">
        <v>128</v>
      </c>
      <c r="B223" t="s">
        <v>145</v>
      </c>
      <c r="C223" t="s">
        <v>72</v>
      </c>
      <c r="D223" s="12">
        <v>46231</v>
      </c>
      <c r="E223" t="s">
        <v>136</v>
      </c>
      <c r="F223" t="s">
        <v>75</v>
      </c>
      <c r="G223">
        <v>3.1774912809962848</v>
      </c>
      <c r="H223">
        <v>0</v>
      </c>
      <c r="I223">
        <v>10</v>
      </c>
      <c r="K223">
        <v>0</v>
      </c>
      <c r="L223">
        <v>46231</v>
      </c>
      <c r="M223" t="s">
        <v>234</v>
      </c>
      <c r="N223">
        <v>4.6885813148788937</v>
      </c>
      <c r="O223">
        <v>0</v>
      </c>
      <c r="P223">
        <v>0</v>
      </c>
      <c r="Q223">
        <v>1.4755607176391103</v>
      </c>
      <c r="R223">
        <v>0.47556071763911034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1</v>
      </c>
      <c r="AK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1</v>
      </c>
      <c r="BH223">
        <v>1</v>
      </c>
      <c r="BI223">
        <v>0</v>
      </c>
      <c r="BJ223">
        <v>0</v>
      </c>
      <c r="BK223">
        <v>0.67770847247817423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0.32229152752182577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0.67770847247817423</v>
      </c>
      <c r="CE223">
        <v>0</v>
      </c>
    </row>
    <row r="224" spans="1:83" x14ac:dyDescent="0.25">
      <c r="A224" t="s">
        <v>128</v>
      </c>
      <c r="B224" t="s">
        <v>145</v>
      </c>
      <c r="C224" t="s">
        <v>72</v>
      </c>
      <c r="D224" s="12">
        <v>46232</v>
      </c>
      <c r="E224" t="s">
        <v>136</v>
      </c>
      <c r="F224" t="s">
        <v>73</v>
      </c>
      <c r="G224">
        <v>3.6011567851291235</v>
      </c>
      <c r="H224">
        <v>0</v>
      </c>
      <c r="I224">
        <v>10</v>
      </c>
      <c r="K224">
        <v>0</v>
      </c>
      <c r="L224">
        <v>46232</v>
      </c>
      <c r="M224" t="s">
        <v>241</v>
      </c>
      <c r="N224">
        <v>4.7022058823529385</v>
      </c>
      <c r="O224">
        <v>0</v>
      </c>
      <c r="P224">
        <v>0</v>
      </c>
      <c r="Q224">
        <v>1.3057487254569327</v>
      </c>
      <c r="R224">
        <v>0.30574872545693266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1</v>
      </c>
      <c r="AK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1</v>
      </c>
      <c r="BH224">
        <v>1</v>
      </c>
      <c r="BI224">
        <v>0</v>
      </c>
      <c r="BJ224">
        <v>0</v>
      </c>
      <c r="BK224">
        <v>0.76584413256850836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0.23415586743149164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0.76584413256850836</v>
      </c>
      <c r="CE224">
        <v>0</v>
      </c>
    </row>
    <row r="225" spans="1:83" x14ac:dyDescent="0.25">
      <c r="A225" t="s">
        <v>128</v>
      </c>
      <c r="B225" t="s">
        <v>146</v>
      </c>
      <c r="C225" t="s">
        <v>72</v>
      </c>
      <c r="D225" s="12">
        <v>46232</v>
      </c>
      <c r="E225" t="s">
        <v>136</v>
      </c>
      <c r="F225" t="s">
        <v>73</v>
      </c>
      <c r="G225">
        <v>3.587616462055093</v>
      </c>
      <c r="H225">
        <v>3.8</v>
      </c>
      <c r="I225">
        <v>10</v>
      </c>
      <c r="J225">
        <v>1</v>
      </c>
      <c r="K225">
        <v>3.8</v>
      </c>
      <c r="L225">
        <v>46232</v>
      </c>
      <c r="M225" t="s">
        <v>241</v>
      </c>
      <c r="N225">
        <v>4.7022058823529385</v>
      </c>
      <c r="O225">
        <v>1.059199064390302</v>
      </c>
      <c r="P225">
        <v>1.059199064390302</v>
      </c>
      <c r="Q225">
        <v>1.3106768608312651</v>
      </c>
      <c r="R225">
        <v>0.25147779644096313</v>
      </c>
      <c r="S225">
        <v>0</v>
      </c>
      <c r="T225">
        <v>0</v>
      </c>
      <c r="U225">
        <v>0</v>
      </c>
      <c r="V225">
        <v>0</v>
      </c>
      <c r="W225">
        <v>0.19080093560969802</v>
      </c>
      <c r="X225">
        <v>5.9199064390301981E-2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1</v>
      </c>
      <c r="AL225">
        <v>0.94410959527765614</v>
      </c>
      <c r="AM225">
        <v>0.94410959527765614</v>
      </c>
      <c r="AN225">
        <v>1.2374226006191944</v>
      </c>
      <c r="AO225">
        <v>0.2374226006191944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0.94410959527765614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0.80813135261923419</v>
      </c>
      <c r="BJ225">
        <v>0.80813135261923419</v>
      </c>
      <c r="BK225">
        <v>0.76296456425253001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0.19186864738076581</v>
      </c>
      <c r="BW225">
        <v>0</v>
      </c>
      <c r="BX225">
        <v>4.516678836670418E-2</v>
      </c>
      <c r="BY225">
        <v>0</v>
      </c>
      <c r="BZ225">
        <v>0.76296456425253001</v>
      </c>
      <c r="CA225">
        <v>0</v>
      </c>
      <c r="CB225">
        <v>0</v>
      </c>
      <c r="CC225">
        <v>0</v>
      </c>
      <c r="CD225">
        <v>0</v>
      </c>
      <c r="CE225">
        <v>0</v>
      </c>
    </row>
    <row r="226" spans="1:83" x14ac:dyDescent="0.25">
      <c r="A226" t="s">
        <v>128</v>
      </c>
      <c r="B226" t="s">
        <v>145</v>
      </c>
      <c r="C226" t="s">
        <v>72</v>
      </c>
      <c r="D226" s="12">
        <v>46232</v>
      </c>
      <c r="E226" t="s">
        <v>136</v>
      </c>
      <c r="F226" t="s">
        <v>74</v>
      </c>
      <c r="G226">
        <v>0</v>
      </c>
      <c r="H226">
        <v>0</v>
      </c>
      <c r="I226">
        <v>10</v>
      </c>
      <c r="K226">
        <v>0</v>
      </c>
      <c r="L226">
        <v>46232</v>
      </c>
      <c r="M226" t="s">
        <v>240</v>
      </c>
      <c r="N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K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1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E226">
        <v>0</v>
      </c>
    </row>
    <row r="227" spans="1:83" x14ac:dyDescent="0.25">
      <c r="A227" t="s">
        <v>128</v>
      </c>
      <c r="B227" t="s">
        <v>146</v>
      </c>
      <c r="C227" t="s">
        <v>72</v>
      </c>
      <c r="D227" s="12">
        <v>46232</v>
      </c>
      <c r="E227" t="s">
        <v>136</v>
      </c>
      <c r="F227" t="s">
        <v>74</v>
      </c>
      <c r="G227">
        <v>0</v>
      </c>
      <c r="H227">
        <v>0</v>
      </c>
      <c r="I227">
        <v>10</v>
      </c>
      <c r="J227">
        <v>1</v>
      </c>
      <c r="K227">
        <v>0</v>
      </c>
      <c r="L227">
        <v>46232</v>
      </c>
      <c r="M227" t="s">
        <v>240</v>
      </c>
      <c r="N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K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1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E227">
        <v>0</v>
      </c>
    </row>
    <row r="228" spans="1:83" x14ac:dyDescent="0.25">
      <c r="A228" t="s">
        <v>128</v>
      </c>
      <c r="B228" t="s">
        <v>145</v>
      </c>
      <c r="C228" t="s">
        <v>72</v>
      </c>
      <c r="D228" s="12">
        <v>46232</v>
      </c>
      <c r="E228" t="s">
        <v>136</v>
      </c>
      <c r="F228" t="s">
        <v>75</v>
      </c>
      <c r="G228">
        <v>3.1774912809962848</v>
      </c>
      <c r="H228">
        <v>0</v>
      </c>
      <c r="I228">
        <v>10</v>
      </c>
      <c r="K228">
        <v>0</v>
      </c>
      <c r="L228">
        <v>46232</v>
      </c>
      <c r="M228" t="s">
        <v>239</v>
      </c>
      <c r="N228">
        <v>4.6332179930795849</v>
      </c>
      <c r="O228">
        <v>0</v>
      </c>
      <c r="P228">
        <v>0</v>
      </c>
      <c r="Q228">
        <v>1.4581371224492754</v>
      </c>
      <c r="R228">
        <v>0.4581371224492754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1</v>
      </c>
      <c r="AK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1</v>
      </c>
      <c r="BH228">
        <v>1</v>
      </c>
      <c r="BI228">
        <v>0</v>
      </c>
      <c r="BJ228">
        <v>0</v>
      </c>
      <c r="BK228">
        <v>0.68580655728747297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0.31419344271252703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0.68580655728747297</v>
      </c>
      <c r="CE228">
        <v>0</v>
      </c>
    </row>
    <row r="229" spans="1:83" x14ac:dyDescent="0.25">
      <c r="A229" t="s">
        <v>128</v>
      </c>
      <c r="B229" t="s">
        <v>146</v>
      </c>
      <c r="C229" t="s">
        <v>72</v>
      </c>
      <c r="D229" s="12">
        <v>46232</v>
      </c>
      <c r="E229" t="s">
        <v>136</v>
      </c>
      <c r="F229" t="s">
        <v>75</v>
      </c>
      <c r="G229">
        <v>3.1779578349000128</v>
      </c>
      <c r="H229">
        <v>2.8499999999999996</v>
      </c>
      <c r="I229">
        <v>10</v>
      </c>
      <c r="J229">
        <v>1</v>
      </c>
      <c r="K229">
        <v>2.8499999999999996</v>
      </c>
      <c r="L229">
        <v>46232</v>
      </c>
      <c r="M229" t="s">
        <v>239</v>
      </c>
      <c r="N229">
        <v>4.6332179930795849</v>
      </c>
      <c r="O229">
        <v>0.89680233283827326</v>
      </c>
      <c r="P229">
        <v>0.89680233283827326</v>
      </c>
      <c r="Q229">
        <v>1.4579230542954509</v>
      </c>
      <c r="R229">
        <v>0.45792305429545088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0.10319766716172674</v>
      </c>
      <c r="AB229">
        <v>0</v>
      </c>
      <c r="AC229">
        <v>0</v>
      </c>
      <c r="AD229">
        <v>0</v>
      </c>
      <c r="AE229">
        <v>0</v>
      </c>
      <c r="AF229">
        <v>0.89680233283827326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1.1150729245263205</v>
      </c>
      <c r="AM229">
        <v>1.1150729245263205</v>
      </c>
      <c r="AN229">
        <v>1.6256905238875738</v>
      </c>
      <c r="AO229">
        <v>0.51061759936125339</v>
      </c>
      <c r="AP229">
        <v>0</v>
      </c>
      <c r="AQ229">
        <v>0</v>
      </c>
      <c r="AR229">
        <v>0</v>
      </c>
      <c r="AS229">
        <v>0</v>
      </c>
      <c r="AT229">
        <v>0.38492707547367955</v>
      </c>
      <c r="AU229">
        <v>0.11507292452632045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0.61512322628827476</v>
      </c>
      <c r="BJ229">
        <v>0.61512322628827476</v>
      </c>
      <c r="BK229">
        <v>0.68590725488133208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0.31409274511866792</v>
      </c>
      <c r="BW229">
        <v>0</v>
      </c>
      <c r="BX229">
        <v>0</v>
      </c>
      <c r="BY229">
        <v>0</v>
      </c>
      <c r="BZ229">
        <v>0.61512322628827476</v>
      </c>
      <c r="CA229">
        <v>0</v>
      </c>
      <c r="CB229">
        <v>0</v>
      </c>
      <c r="CC229">
        <v>0</v>
      </c>
      <c r="CD229">
        <v>0</v>
      </c>
      <c r="CE229">
        <v>0</v>
      </c>
    </row>
    <row r="230" spans="1:83" x14ac:dyDescent="0.25">
      <c r="A230" t="s">
        <v>128</v>
      </c>
      <c r="B230" t="s">
        <v>146</v>
      </c>
      <c r="C230" t="s">
        <v>72</v>
      </c>
      <c r="D230" s="12">
        <v>46233</v>
      </c>
      <c r="E230" t="s">
        <v>136</v>
      </c>
      <c r="F230" t="s">
        <v>73</v>
      </c>
      <c r="G230">
        <v>3.587616462055093</v>
      </c>
      <c r="H230">
        <v>3.8</v>
      </c>
      <c r="I230">
        <v>10</v>
      </c>
      <c r="J230">
        <v>1</v>
      </c>
      <c r="K230">
        <v>3.8</v>
      </c>
      <c r="L230">
        <v>46233</v>
      </c>
      <c r="M230" t="s">
        <v>238</v>
      </c>
      <c r="N230">
        <v>5.6433823529411775</v>
      </c>
      <c r="O230">
        <v>1.059199064390302</v>
      </c>
      <c r="P230">
        <v>1.059199064390302</v>
      </c>
      <c r="Q230">
        <v>1.5730171863768516</v>
      </c>
      <c r="R230">
        <v>0.51381812198654964</v>
      </c>
      <c r="S230">
        <v>0</v>
      </c>
      <c r="T230">
        <v>0</v>
      </c>
      <c r="U230">
        <v>0</v>
      </c>
      <c r="V230">
        <v>0</v>
      </c>
      <c r="W230">
        <v>0.19080093560969802</v>
      </c>
      <c r="X230">
        <v>5.9199064390301981E-2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1</v>
      </c>
      <c r="AL230">
        <v>0.94410959527765614</v>
      </c>
      <c r="AM230">
        <v>0.94410959527765614</v>
      </c>
      <c r="AN230">
        <v>1.4851006191950469</v>
      </c>
      <c r="AO230">
        <v>0.48510061919504688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0.94410959527765614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0.67335504885993469</v>
      </c>
      <c r="BJ230">
        <v>0.67335504885993469</v>
      </c>
      <c r="BK230">
        <v>0.63572096265731926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0.32664495114006531</v>
      </c>
      <c r="BW230">
        <v>0</v>
      </c>
      <c r="BX230">
        <v>3.7634086202615435E-2</v>
      </c>
      <c r="BY230">
        <v>0</v>
      </c>
      <c r="BZ230">
        <v>0.63572096265731926</v>
      </c>
      <c r="CA230">
        <v>0</v>
      </c>
      <c r="CB230">
        <v>0</v>
      </c>
      <c r="CC230">
        <v>0</v>
      </c>
      <c r="CD230">
        <v>0</v>
      </c>
      <c r="CE230">
        <v>0</v>
      </c>
    </row>
    <row r="231" spans="1:83" x14ac:dyDescent="0.25">
      <c r="A231" t="s">
        <v>128</v>
      </c>
      <c r="B231" t="s">
        <v>145</v>
      </c>
      <c r="C231" t="s">
        <v>72</v>
      </c>
      <c r="D231" s="12">
        <v>46233</v>
      </c>
      <c r="E231" t="s">
        <v>136</v>
      </c>
      <c r="F231" t="s">
        <v>73</v>
      </c>
      <c r="G231">
        <v>3.6011567851291222</v>
      </c>
      <c r="H231">
        <v>0.95</v>
      </c>
      <c r="I231">
        <v>10</v>
      </c>
      <c r="K231">
        <v>0.95</v>
      </c>
      <c r="L231">
        <v>46233</v>
      </c>
      <c r="M231" t="s">
        <v>238</v>
      </c>
      <c r="N231">
        <v>5.6433823529411775</v>
      </c>
      <c r="O231">
        <v>0.26380412092108813</v>
      </c>
      <c r="P231">
        <v>0.26380412092108813</v>
      </c>
      <c r="Q231">
        <v>1.5671026533044519</v>
      </c>
      <c r="R231">
        <v>0.56710265330445186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0.73619587907891182</v>
      </c>
      <c r="AB231">
        <v>0</v>
      </c>
      <c r="AC231">
        <v>0</v>
      </c>
      <c r="AD231">
        <v>0</v>
      </c>
      <c r="AE231">
        <v>0</v>
      </c>
      <c r="AF231">
        <v>0.26380412092108813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3.7906913527674972</v>
      </c>
      <c r="AM231">
        <v>3.7906913527674972</v>
      </c>
      <c r="AN231">
        <v>5.9404024767801875</v>
      </c>
      <c r="BE231">
        <v>0</v>
      </c>
      <c r="BF231">
        <v>0</v>
      </c>
      <c r="BG231">
        <v>0</v>
      </c>
      <c r="BI231">
        <v>0.16833876221498367</v>
      </c>
      <c r="BJ231">
        <v>0.16833876221498367</v>
      </c>
      <c r="BK231">
        <v>0.63812029026392247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0.36187970973607753</v>
      </c>
      <c r="BW231">
        <v>0</v>
      </c>
      <c r="BX231">
        <v>0</v>
      </c>
      <c r="BY231">
        <v>0</v>
      </c>
      <c r="BZ231">
        <v>0.16833876221498367</v>
      </c>
      <c r="CA231">
        <v>0</v>
      </c>
      <c r="CB231">
        <v>0</v>
      </c>
      <c r="CC231">
        <v>0</v>
      </c>
      <c r="CD231">
        <v>0</v>
      </c>
      <c r="CE231">
        <v>0</v>
      </c>
    </row>
    <row r="232" spans="1:83" x14ac:dyDescent="0.25">
      <c r="A232" t="s">
        <v>128</v>
      </c>
      <c r="B232" t="s">
        <v>146</v>
      </c>
      <c r="C232" t="s">
        <v>72</v>
      </c>
      <c r="D232" s="12">
        <v>46233</v>
      </c>
      <c r="E232" t="s">
        <v>136</v>
      </c>
      <c r="F232" t="s">
        <v>74</v>
      </c>
      <c r="G232">
        <v>0</v>
      </c>
      <c r="H232">
        <v>0</v>
      </c>
      <c r="I232">
        <v>10</v>
      </c>
      <c r="J232">
        <v>1</v>
      </c>
      <c r="K232">
        <v>0</v>
      </c>
      <c r="L232">
        <v>46233</v>
      </c>
      <c r="M232" t="s">
        <v>237</v>
      </c>
      <c r="N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K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1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E232">
        <v>0</v>
      </c>
    </row>
    <row r="233" spans="1:83" x14ac:dyDescent="0.25">
      <c r="A233" t="s">
        <v>128</v>
      </c>
      <c r="B233" t="s">
        <v>145</v>
      </c>
      <c r="C233" t="s">
        <v>72</v>
      </c>
      <c r="D233" s="12">
        <v>46233</v>
      </c>
      <c r="E233" t="s">
        <v>136</v>
      </c>
      <c r="F233" t="s">
        <v>74</v>
      </c>
      <c r="G233">
        <v>0</v>
      </c>
      <c r="H233">
        <v>0</v>
      </c>
      <c r="I233">
        <v>10</v>
      </c>
      <c r="K233">
        <v>0</v>
      </c>
      <c r="L233">
        <v>46233</v>
      </c>
      <c r="M233" t="s">
        <v>237</v>
      </c>
      <c r="N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1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K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1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E233">
        <v>0</v>
      </c>
    </row>
    <row r="234" spans="1:83" x14ac:dyDescent="0.25">
      <c r="A234" t="s">
        <v>128</v>
      </c>
      <c r="B234" t="s">
        <v>146</v>
      </c>
      <c r="C234" t="s">
        <v>72</v>
      </c>
      <c r="D234" s="12">
        <v>46233</v>
      </c>
      <c r="E234" t="s">
        <v>136</v>
      </c>
      <c r="F234" t="s">
        <v>75</v>
      </c>
      <c r="G234">
        <v>3.1779578349000128</v>
      </c>
      <c r="H234">
        <v>2.8499999999999996</v>
      </c>
      <c r="I234">
        <v>10</v>
      </c>
      <c r="J234">
        <v>1</v>
      </c>
      <c r="K234">
        <v>2.8499999999999996</v>
      </c>
      <c r="L234">
        <v>46233</v>
      </c>
      <c r="M234" t="s">
        <v>236</v>
      </c>
      <c r="N234">
        <v>4.6885813148788928</v>
      </c>
      <c r="O234">
        <v>0.89680233283827326</v>
      </c>
      <c r="P234">
        <v>0.89680233283827326</v>
      </c>
      <c r="Q234">
        <v>1.4753440915387124</v>
      </c>
      <c r="R234">
        <v>0.47534409153871238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0.10319766716172674</v>
      </c>
      <c r="AB234">
        <v>0</v>
      </c>
      <c r="AC234">
        <v>0</v>
      </c>
      <c r="AD234">
        <v>0</v>
      </c>
      <c r="AE234">
        <v>0</v>
      </c>
      <c r="AF234">
        <v>0.89680233283827326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1.1150729245263205</v>
      </c>
      <c r="AM234">
        <v>1.1150729245263205</v>
      </c>
      <c r="AN234">
        <v>1.6451162508346995</v>
      </c>
      <c r="AO234">
        <v>0.53004332630837903</v>
      </c>
      <c r="AP234">
        <v>0</v>
      </c>
      <c r="AQ234">
        <v>0</v>
      </c>
      <c r="AR234">
        <v>0</v>
      </c>
      <c r="AS234">
        <v>0</v>
      </c>
      <c r="AT234">
        <v>0.38492707547367955</v>
      </c>
      <c r="AU234">
        <v>0.11507292452632045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0.60785977859778584</v>
      </c>
      <c r="BJ234">
        <v>0.60785977859778584</v>
      </c>
      <c r="BK234">
        <v>0.6778079810229547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0.3221920189770453</v>
      </c>
      <c r="BW234">
        <v>0</v>
      </c>
      <c r="BX234">
        <v>0</v>
      </c>
      <c r="BY234">
        <v>0</v>
      </c>
      <c r="BZ234">
        <v>0.60785977859778584</v>
      </c>
      <c r="CA234">
        <v>0</v>
      </c>
      <c r="CB234">
        <v>0</v>
      </c>
      <c r="CC234">
        <v>0</v>
      </c>
      <c r="CD234">
        <v>0</v>
      </c>
      <c r="CE234">
        <v>0</v>
      </c>
    </row>
    <row r="235" spans="1:83" x14ac:dyDescent="0.25">
      <c r="A235" t="s">
        <v>128</v>
      </c>
      <c r="B235" t="s">
        <v>145</v>
      </c>
      <c r="C235" t="s">
        <v>72</v>
      </c>
      <c r="D235" s="12">
        <v>46233</v>
      </c>
      <c r="E235" t="s">
        <v>136</v>
      </c>
      <c r="F235" t="s">
        <v>75</v>
      </c>
      <c r="G235">
        <v>3.1774912809962848</v>
      </c>
      <c r="H235">
        <v>0</v>
      </c>
      <c r="I235">
        <v>10</v>
      </c>
      <c r="K235">
        <v>0</v>
      </c>
      <c r="L235">
        <v>46233</v>
      </c>
      <c r="M235" t="s">
        <v>236</v>
      </c>
      <c r="N235">
        <v>4.6885813148788928</v>
      </c>
      <c r="O235">
        <v>0</v>
      </c>
      <c r="P235">
        <v>0</v>
      </c>
      <c r="Q235">
        <v>1.4755607176391099</v>
      </c>
      <c r="R235">
        <v>0.4755607176391099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1</v>
      </c>
      <c r="AK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1</v>
      </c>
      <c r="BH235">
        <v>1</v>
      </c>
      <c r="BI235">
        <v>0</v>
      </c>
      <c r="BJ235">
        <v>0</v>
      </c>
      <c r="BK235">
        <v>0.67770847247817434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0.32229152752182566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0.67770847247817434</v>
      </c>
      <c r="CE235">
        <v>0</v>
      </c>
    </row>
    <row r="236" spans="1:83" x14ac:dyDescent="0.25">
      <c r="A236" t="s">
        <v>128</v>
      </c>
      <c r="B236" t="s">
        <v>145</v>
      </c>
      <c r="C236" t="s">
        <v>72</v>
      </c>
      <c r="D236" s="12">
        <v>46234</v>
      </c>
      <c r="E236" t="s">
        <v>136</v>
      </c>
      <c r="F236" t="s">
        <v>73</v>
      </c>
      <c r="G236">
        <v>3.6011567851291235</v>
      </c>
      <c r="H236">
        <v>0.95</v>
      </c>
      <c r="I236">
        <v>10</v>
      </c>
      <c r="K236">
        <v>0.95</v>
      </c>
      <c r="L236">
        <v>46234</v>
      </c>
      <c r="M236" t="s">
        <v>216</v>
      </c>
      <c r="N236">
        <v>4.7610294117647047</v>
      </c>
      <c r="O236">
        <v>0.26380412092108801</v>
      </c>
      <c r="P236">
        <v>0.26380412092108801</v>
      </c>
      <c r="Q236">
        <v>1.3220833459474031</v>
      </c>
      <c r="R236">
        <v>0.32208334594740307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0.73619587907891204</v>
      </c>
      <c r="AB236">
        <v>0</v>
      </c>
      <c r="AC236">
        <v>0</v>
      </c>
      <c r="AD236">
        <v>0</v>
      </c>
      <c r="AE236">
        <v>0</v>
      </c>
      <c r="AF236">
        <v>0.26380412092108801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3.7906913527674986</v>
      </c>
      <c r="AM236">
        <v>3.7906913527674986</v>
      </c>
      <c r="AN236">
        <v>5.0116099071207421</v>
      </c>
      <c r="BE236">
        <v>0</v>
      </c>
      <c r="BF236">
        <v>0</v>
      </c>
      <c r="BG236">
        <v>0</v>
      </c>
      <c r="BI236">
        <v>0.19953667953667958</v>
      </c>
      <c r="BJ236">
        <v>0.19953667953667958</v>
      </c>
      <c r="BK236">
        <v>0.75638196567963079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0.24361803432036921</v>
      </c>
      <c r="BW236">
        <v>0</v>
      </c>
      <c r="BX236">
        <v>0</v>
      </c>
      <c r="BY236">
        <v>0</v>
      </c>
      <c r="BZ236">
        <v>0.19953667953667958</v>
      </c>
      <c r="CA236">
        <v>0</v>
      </c>
      <c r="CB236">
        <v>0</v>
      </c>
      <c r="CC236">
        <v>0</v>
      </c>
      <c r="CD236">
        <v>0</v>
      </c>
      <c r="CE236">
        <v>0</v>
      </c>
    </row>
    <row r="237" spans="1:83" x14ac:dyDescent="0.25">
      <c r="A237" t="s">
        <v>128</v>
      </c>
      <c r="B237" t="s">
        <v>146</v>
      </c>
      <c r="C237" t="s">
        <v>72</v>
      </c>
      <c r="D237" s="12">
        <v>46234</v>
      </c>
      <c r="E237" t="s">
        <v>136</v>
      </c>
      <c r="F237" t="s">
        <v>73</v>
      </c>
      <c r="G237">
        <v>3.587616462055093</v>
      </c>
      <c r="H237">
        <v>4.75</v>
      </c>
      <c r="I237">
        <v>10</v>
      </c>
      <c r="J237">
        <v>1</v>
      </c>
      <c r="K237">
        <v>4.75</v>
      </c>
      <c r="L237">
        <v>46234</v>
      </c>
      <c r="M237" t="s">
        <v>216</v>
      </c>
      <c r="N237">
        <v>4.7610294117647047</v>
      </c>
      <c r="O237">
        <v>1.3239988304878776</v>
      </c>
      <c r="P237">
        <v>1.3239988304878776</v>
      </c>
      <c r="Q237">
        <v>1.3270731311778645</v>
      </c>
      <c r="R237">
        <v>3.0743006899869307E-3</v>
      </c>
      <c r="S237">
        <v>0</v>
      </c>
      <c r="T237">
        <v>0</v>
      </c>
      <c r="U237">
        <v>0</v>
      </c>
      <c r="V237">
        <v>7.3998830487877587E-2</v>
      </c>
      <c r="W237">
        <v>0</v>
      </c>
      <c r="X237">
        <v>0.25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0.75528767622212489</v>
      </c>
      <c r="AM237">
        <v>0.75528767622212489</v>
      </c>
      <c r="AN237">
        <v>1.0023219814241484</v>
      </c>
      <c r="AO237">
        <v>2.3219814241484116E-3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0.75528767622212489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0.99768339768339798</v>
      </c>
      <c r="BJ237">
        <v>0.99768339768339798</v>
      </c>
      <c r="BK237">
        <v>0.75353797504168762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2.3166023166020233E-3</v>
      </c>
      <c r="BW237">
        <v>0</v>
      </c>
      <c r="BX237">
        <v>0.24414542264171035</v>
      </c>
      <c r="BY237">
        <v>0</v>
      </c>
      <c r="BZ237">
        <v>0.75353797504168762</v>
      </c>
      <c r="CA237">
        <v>0</v>
      </c>
      <c r="CB237">
        <v>0</v>
      </c>
      <c r="CC237">
        <v>0</v>
      </c>
      <c r="CD237">
        <v>0</v>
      </c>
      <c r="CE237">
        <v>0</v>
      </c>
    </row>
    <row r="238" spans="1:83" x14ac:dyDescent="0.25">
      <c r="A238" t="s">
        <v>128</v>
      </c>
      <c r="B238" t="s">
        <v>145</v>
      </c>
      <c r="C238" t="s">
        <v>72</v>
      </c>
      <c r="D238" s="12">
        <v>46234</v>
      </c>
      <c r="E238" t="s">
        <v>136</v>
      </c>
      <c r="F238" t="s">
        <v>74</v>
      </c>
      <c r="G238">
        <v>0</v>
      </c>
      <c r="H238">
        <v>0</v>
      </c>
      <c r="I238">
        <v>10</v>
      </c>
      <c r="K238">
        <v>0</v>
      </c>
      <c r="L238">
        <v>46234</v>
      </c>
      <c r="M238" t="s">
        <v>193</v>
      </c>
      <c r="N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1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K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1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E238">
        <v>0</v>
      </c>
    </row>
    <row r="239" spans="1:83" x14ac:dyDescent="0.25">
      <c r="A239" t="s">
        <v>128</v>
      </c>
      <c r="B239" t="s">
        <v>146</v>
      </c>
      <c r="C239" t="s">
        <v>72</v>
      </c>
      <c r="D239" s="12">
        <v>46234</v>
      </c>
      <c r="E239" t="s">
        <v>136</v>
      </c>
      <c r="F239" t="s">
        <v>74</v>
      </c>
      <c r="G239">
        <v>0</v>
      </c>
      <c r="H239">
        <v>0</v>
      </c>
      <c r="I239">
        <v>10</v>
      </c>
      <c r="J239">
        <v>1</v>
      </c>
      <c r="K239">
        <v>0</v>
      </c>
      <c r="L239">
        <v>46234</v>
      </c>
      <c r="M239" t="s">
        <v>193</v>
      </c>
      <c r="N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1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K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1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</v>
      </c>
      <c r="CC239">
        <v>0</v>
      </c>
      <c r="CE239">
        <v>0</v>
      </c>
    </row>
    <row r="240" spans="1:83" x14ac:dyDescent="0.25">
      <c r="A240" t="s">
        <v>128</v>
      </c>
      <c r="B240" t="s">
        <v>145</v>
      </c>
      <c r="C240" t="s">
        <v>72</v>
      </c>
      <c r="D240" s="12">
        <v>46234</v>
      </c>
      <c r="E240" t="s">
        <v>136</v>
      </c>
      <c r="F240" t="s">
        <v>75</v>
      </c>
      <c r="G240">
        <v>3.1774912809962848</v>
      </c>
      <c r="H240">
        <v>0</v>
      </c>
      <c r="I240">
        <v>10</v>
      </c>
      <c r="K240">
        <v>0</v>
      </c>
      <c r="L240">
        <v>46234</v>
      </c>
      <c r="M240" t="s">
        <v>192</v>
      </c>
      <c r="N240">
        <v>4.6366782006920415</v>
      </c>
      <c r="O240">
        <v>0</v>
      </c>
      <c r="P240">
        <v>0</v>
      </c>
      <c r="Q240">
        <v>1.4592260971486402</v>
      </c>
      <c r="R240">
        <v>0.45922609714864016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1</v>
      </c>
      <c r="AK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1</v>
      </c>
      <c r="BH240">
        <v>1</v>
      </c>
      <c r="BI240">
        <v>0</v>
      </c>
      <c r="BJ240">
        <v>0</v>
      </c>
      <c r="BK240">
        <v>0.68529476134919876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0.31470523865080124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0.68529476134919876</v>
      </c>
      <c r="CE240">
        <v>0</v>
      </c>
    </row>
    <row r="241" spans="1:83" x14ac:dyDescent="0.25">
      <c r="A241" t="s">
        <v>128</v>
      </c>
      <c r="B241" t="s">
        <v>146</v>
      </c>
      <c r="C241" t="s">
        <v>72</v>
      </c>
      <c r="D241" s="12">
        <v>46234</v>
      </c>
      <c r="E241" t="s">
        <v>136</v>
      </c>
      <c r="F241" t="s">
        <v>75</v>
      </c>
      <c r="G241">
        <v>3.1779578349000128</v>
      </c>
      <c r="H241">
        <v>2.8499999999999996</v>
      </c>
      <c r="I241">
        <v>10</v>
      </c>
      <c r="J241">
        <v>1</v>
      </c>
      <c r="K241">
        <v>2.8499999999999996</v>
      </c>
      <c r="L241">
        <v>46234</v>
      </c>
      <c r="M241" t="s">
        <v>192</v>
      </c>
      <c r="N241">
        <v>4.6366782006920415</v>
      </c>
      <c r="O241">
        <v>0.89680233283827326</v>
      </c>
      <c r="P241">
        <v>0.89680233283827326</v>
      </c>
      <c r="Q241">
        <v>1.4590118691231546</v>
      </c>
      <c r="R241">
        <v>0.45901186912315461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0.10319766716172674</v>
      </c>
      <c r="AB241">
        <v>0</v>
      </c>
      <c r="AC241">
        <v>0</v>
      </c>
      <c r="AD241">
        <v>0</v>
      </c>
      <c r="AE241">
        <v>0</v>
      </c>
      <c r="AF241">
        <v>0.89680233283827326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1.1150729245263205</v>
      </c>
      <c r="AM241">
        <v>1.1150729245263205</v>
      </c>
      <c r="AN241">
        <v>1.6269046318217693</v>
      </c>
      <c r="AO241">
        <v>0.5118317072954488</v>
      </c>
      <c r="AP241">
        <v>0</v>
      </c>
      <c r="AQ241">
        <v>0</v>
      </c>
      <c r="AR241">
        <v>0</v>
      </c>
      <c r="AS241">
        <v>0</v>
      </c>
      <c r="AT241">
        <v>0.38492707547367955</v>
      </c>
      <c r="AU241">
        <v>0.11507292452632045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0.61466417910447757</v>
      </c>
      <c r="BJ241">
        <v>0.61466417910447757</v>
      </c>
      <c r="BK241">
        <v>0.68539538379559983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0.31460461620440017</v>
      </c>
      <c r="BW241">
        <v>0</v>
      </c>
      <c r="BX241">
        <v>0</v>
      </c>
      <c r="BY241">
        <v>0</v>
      </c>
      <c r="BZ241">
        <v>0.61466417910447757</v>
      </c>
      <c r="CA241">
        <v>0</v>
      </c>
      <c r="CB241">
        <v>0</v>
      </c>
      <c r="CC241">
        <v>0</v>
      </c>
      <c r="CD241">
        <v>0</v>
      </c>
      <c r="CE241">
        <v>0</v>
      </c>
    </row>
    <row r="242" spans="1:83" x14ac:dyDescent="0.25">
      <c r="A242" t="s">
        <v>128</v>
      </c>
      <c r="B242" t="s">
        <v>145</v>
      </c>
      <c r="C242" t="s">
        <v>72</v>
      </c>
      <c r="D242" s="12">
        <v>46235</v>
      </c>
      <c r="E242" t="s">
        <v>136</v>
      </c>
      <c r="F242" t="s">
        <v>73</v>
      </c>
      <c r="G242">
        <v>3.6011567851291222</v>
      </c>
      <c r="H242">
        <v>0</v>
      </c>
      <c r="I242">
        <v>10</v>
      </c>
      <c r="K242">
        <v>0</v>
      </c>
      <c r="L242">
        <v>46235</v>
      </c>
      <c r="M242" t="s">
        <v>191</v>
      </c>
      <c r="N242">
        <v>4.7058823529411757</v>
      </c>
      <c r="O242">
        <v>0</v>
      </c>
      <c r="P242">
        <v>0</v>
      </c>
      <c r="Q242">
        <v>1.306769639237588</v>
      </c>
      <c r="R242">
        <v>0.30676963923758804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1</v>
      </c>
      <c r="AK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1</v>
      </c>
      <c r="BH242">
        <v>1</v>
      </c>
      <c r="BI242">
        <v>0</v>
      </c>
      <c r="BJ242">
        <v>0</v>
      </c>
      <c r="BK242">
        <v>0.76524581683993853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0.23475418316006147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0.76524581683993853</v>
      </c>
      <c r="CE242">
        <v>0</v>
      </c>
    </row>
    <row r="243" spans="1:83" x14ac:dyDescent="0.25">
      <c r="A243" t="s">
        <v>128</v>
      </c>
      <c r="B243" t="s">
        <v>146</v>
      </c>
      <c r="C243" t="s">
        <v>72</v>
      </c>
      <c r="D243" s="12">
        <v>46235</v>
      </c>
      <c r="E243" t="s">
        <v>136</v>
      </c>
      <c r="F243" t="s">
        <v>73</v>
      </c>
      <c r="G243">
        <v>3.5876164620550925</v>
      </c>
      <c r="H243">
        <v>3.8</v>
      </c>
      <c r="I243">
        <v>10</v>
      </c>
      <c r="J243">
        <v>1</v>
      </c>
      <c r="K243">
        <v>3.8</v>
      </c>
      <c r="L243">
        <v>46235</v>
      </c>
      <c r="M243" t="s">
        <v>191</v>
      </c>
      <c r="N243">
        <v>4.7058823529411757</v>
      </c>
      <c r="O243">
        <v>1.0591990643903022</v>
      </c>
      <c r="P243">
        <v>1.0591990643903022</v>
      </c>
      <c r="Q243">
        <v>1.3117016277279281</v>
      </c>
      <c r="R243">
        <v>0.25250256333762588</v>
      </c>
      <c r="S243">
        <v>0</v>
      </c>
      <c r="T243">
        <v>0</v>
      </c>
      <c r="U243">
        <v>0</v>
      </c>
      <c r="V243">
        <v>0</v>
      </c>
      <c r="W243">
        <v>0.1908009356096978</v>
      </c>
      <c r="X243">
        <v>5.9199064390302203E-2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1</v>
      </c>
      <c r="AL243">
        <v>0.94410959527765603</v>
      </c>
      <c r="AM243">
        <v>0.94410959527765603</v>
      </c>
      <c r="AN243">
        <v>1.2383900928792568</v>
      </c>
      <c r="AO243">
        <v>0.23839009287925683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0.94410959527765603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0.80750000000000011</v>
      </c>
      <c r="BJ243">
        <v>0.80750000000000011</v>
      </c>
      <c r="BK243">
        <v>0.76236849818670727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0.19249999999999989</v>
      </c>
      <c r="BW243">
        <v>0</v>
      </c>
      <c r="BX243">
        <v>4.513150181329284E-2</v>
      </c>
      <c r="BY243">
        <v>0</v>
      </c>
      <c r="BZ243">
        <v>0.76236849818670727</v>
      </c>
      <c r="CA243">
        <v>0</v>
      </c>
      <c r="CB243">
        <v>0</v>
      </c>
      <c r="CC243">
        <v>0</v>
      </c>
      <c r="CD243">
        <v>0</v>
      </c>
      <c r="CE243">
        <v>0</v>
      </c>
    </row>
    <row r="244" spans="1:83" x14ac:dyDescent="0.25">
      <c r="A244" t="s">
        <v>128</v>
      </c>
      <c r="B244" t="s">
        <v>146</v>
      </c>
      <c r="C244" t="s">
        <v>72</v>
      </c>
      <c r="D244" s="12">
        <v>46235</v>
      </c>
      <c r="E244" t="s">
        <v>136</v>
      </c>
      <c r="F244" t="s">
        <v>74</v>
      </c>
      <c r="G244">
        <v>0</v>
      </c>
      <c r="H244">
        <v>1.9</v>
      </c>
      <c r="I244">
        <v>10</v>
      </c>
      <c r="J244">
        <v>1</v>
      </c>
      <c r="K244">
        <v>1.9</v>
      </c>
      <c r="L244">
        <v>46235</v>
      </c>
      <c r="M244" t="s">
        <v>190</v>
      </c>
      <c r="N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1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1</v>
      </c>
      <c r="AI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1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1</v>
      </c>
      <c r="CC244">
        <v>0</v>
      </c>
      <c r="CE244">
        <v>0</v>
      </c>
    </row>
    <row r="245" spans="1:83" x14ac:dyDescent="0.25">
      <c r="A245" t="s">
        <v>128</v>
      </c>
      <c r="B245" t="s">
        <v>145</v>
      </c>
      <c r="C245" t="s">
        <v>72</v>
      </c>
      <c r="D245" s="12">
        <v>46235</v>
      </c>
      <c r="E245" t="s">
        <v>136</v>
      </c>
      <c r="F245" t="s">
        <v>74</v>
      </c>
      <c r="G245">
        <v>0</v>
      </c>
      <c r="H245">
        <v>0</v>
      </c>
      <c r="I245">
        <v>10</v>
      </c>
      <c r="K245">
        <v>0</v>
      </c>
      <c r="L245">
        <v>46235</v>
      </c>
      <c r="M245" t="s">
        <v>190</v>
      </c>
      <c r="N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K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1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E245">
        <v>0</v>
      </c>
    </row>
    <row r="246" spans="1:83" x14ac:dyDescent="0.25">
      <c r="A246" t="s">
        <v>128</v>
      </c>
      <c r="B246" t="s">
        <v>145</v>
      </c>
      <c r="C246" t="s">
        <v>72</v>
      </c>
      <c r="D246" s="12">
        <v>46235</v>
      </c>
      <c r="E246" t="s">
        <v>136</v>
      </c>
      <c r="F246" t="s">
        <v>75</v>
      </c>
      <c r="G246">
        <v>3.2304494690128904</v>
      </c>
      <c r="H246">
        <v>0</v>
      </c>
      <c r="I246">
        <v>10</v>
      </c>
      <c r="K246">
        <v>0</v>
      </c>
      <c r="L246">
        <v>46235</v>
      </c>
      <c r="M246" t="s">
        <v>189</v>
      </c>
      <c r="N246">
        <v>3.8062283737024223</v>
      </c>
      <c r="O246">
        <v>0</v>
      </c>
      <c r="P246">
        <v>0</v>
      </c>
      <c r="Q246">
        <v>1.1782349206240545</v>
      </c>
      <c r="R246">
        <v>0.17823492062405455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1</v>
      </c>
      <c r="AK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1</v>
      </c>
      <c r="BH246">
        <v>1</v>
      </c>
      <c r="BI246">
        <v>0</v>
      </c>
      <c r="BJ246">
        <v>0</v>
      </c>
      <c r="BK246">
        <v>0.84872717867702296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0.15127282132297704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0.84872717867702296</v>
      </c>
      <c r="CE246">
        <v>0</v>
      </c>
    </row>
    <row r="247" spans="1:83" x14ac:dyDescent="0.25">
      <c r="A247" t="s">
        <v>128</v>
      </c>
      <c r="B247" t="s">
        <v>146</v>
      </c>
      <c r="C247" t="s">
        <v>72</v>
      </c>
      <c r="D247" s="12">
        <v>46235</v>
      </c>
      <c r="E247" t="s">
        <v>136</v>
      </c>
      <c r="F247" t="s">
        <v>75</v>
      </c>
      <c r="G247">
        <v>3.2276134260703255</v>
      </c>
      <c r="H247">
        <v>2.8499999999999996</v>
      </c>
      <c r="I247">
        <v>10</v>
      </c>
      <c r="J247">
        <v>1</v>
      </c>
      <c r="K247">
        <v>2.8499999999999996</v>
      </c>
      <c r="L247">
        <v>46235</v>
      </c>
      <c r="M247" t="s">
        <v>189</v>
      </c>
      <c r="N247">
        <v>3.8062283737024223</v>
      </c>
      <c r="O247">
        <v>0.88300537387153066</v>
      </c>
      <c r="P247">
        <v>0.88300537387153066</v>
      </c>
      <c r="Q247">
        <v>1.1792702133900126</v>
      </c>
      <c r="R247">
        <v>0.17927021339001259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0.11699462612846934</v>
      </c>
      <c r="AB247">
        <v>0</v>
      </c>
      <c r="AC247">
        <v>0</v>
      </c>
      <c r="AD247">
        <v>0</v>
      </c>
      <c r="AE247">
        <v>0</v>
      </c>
      <c r="AF247">
        <v>0.88300537387153066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1.1324959389720441</v>
      </c>
      <c r="AM247">
        <v>1.1324959389720441</v>
      </c>
      <c r="AN247">
        <v>1.3355187276148852</v>
      </c>
      <c r="AO247">
        <v>0.20302278864284107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0.13249593897204415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1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0.74877272727272715</v>
      </c>
      <c r="BJ247">
        <v>0.74877272727272715</v>
      </c>
      <c r="BK247">
        <v>0.84798207284938554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  <c r="BV247">
        <v>0.15201792715061446</v>
      </c>
      <c r="BW247">
        <v>0</v>
      </c>
      <c r="BX247">
        <v>0</v>
      </c>
      <c r="BY247">
        <v>0</v>
      </c>
      <c r="BZ247">
        <v>0.74877272727272715</v>
      </c>
      <c r="CA247">
        <v>0</v>
      </c>
      <c r="CB247">
        <v>0</v>
      </c>
      <c r="CC247">
        <v>0</v>
      </c>
      <c r="CD247">
        <v>0</v>
      </c>
      <c r="CE247">
        <v>0</v>
      </c>
    </row>
    <row r="248" spans="1:83" x14ac:dyDescent="0.25">
      <c r="A248" t="s">
        <v>128</v>
      </c>
      <c r="B248" t="s">
        <v>146</v>
      </c>
      <c r="C248" t="s">
        <v>72</v>
      </c>
      <c r="D248" s="12">
        <v>46236</v>
      </c>
      <c r="E248" t="s">
        <v>136</v>
      </c>
      <c r="F248" t="s">
        <v>73</v>
      </c>
      <c r="G248">
        <v>3.5876164620550925</v>
      </c>
      <c r="H248">
        <v>3.8</v>
      </c>
      <c r="I248">
        <v>10</v>
      </c>
      <c r="J248">
        <v>1</v>
      </c>
      <c r="K248">
        <v>3.8</v>
      </c>
      <c r="L248">
        <v>46236</v>
      </c>
      <c r="M248" t="s">
        <v>188</v>
      </c>
      <c r="N248">
        <v>4.7610294117647047</v>
      </c>
      <c r="O248">
        <v>1.0591990643903022</v>
      </c>
      <c r="P248">
        <v>1.0591990643903022</v>
      </c>
      <c r="Q248">
        <v>1.3270731311778647</v>
      </c>
      <c r="R248">
        <v>0.26787406678756254</v>
      </c>
      <c r="S248">
        <v>0</v>
      </c>
      <c r="T248">
        <v>0</v>
      </c>
      <c r="U248">
        <v>0</v>
      </c>
      <c r="V248">
        <v>0</v>
      </c>
      <c r="W248">
        <v>0.1908009356096978</v>
      </c>
      <c r="X248">
        <v>5.9199064390302203E-2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1</v>
      </c>
      <c r="AL248">
        <v>0.94410959527765603</v>
      </c>
      <c r="AM248">
        <v>0.94410959527765603</v>
      </c>
      <c r="AN248">
        <v>1.2529024767801855</v>
      </c>
      <c r="AO248">
        <v>0.25290247678018551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0.94410959527765603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0.79814671814671834</v>
      </c>
      <c r="BJ248">
        <v>0.79814671814671834</v>
      </c>
      <c r="BK248">
        <v>0.75353797504168762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  <c r="BV248">
        <v>0.20185328185328166</v>
      </c>
      <c r="BW248">
        <v>0</v>
      </c>
      <c r="BX248">
        <v>4.4608743105030713E-2</v>
      </c>
      <c r="BY248">
        <v>0</v>
      </c>
      <c r="BZ248">
        <v>0.75353797504168762</v>
      </c>
      <c r="CA248">
        <v>0</v>
      </c>
      <c r="CB248">
        <v>0</v>
      </c>
      <c r="CC248">
        <v>0</v>
      </c>
      <c r="CD248">
        <v>0</v>
      </c>
      <c r="CE248">
        <v>0</v>
      </c>
    </row>
    <row r="249" spans="1:83" x14ac:dyDescent="0.25">
      <c r="A249" t="s">
        <v>128</v>
      </c>
      <c r="B249" t="s">
        <v>145</v>
      </c>
      <c r="C249" t="s">
        <v>72</v>
      </c>
      <c r="D249" s="12">
        <v>46236</v>
      </c>
      <c r="E249" t="s">
        <v>136</v>
      </c>
      <c r="F249" t="s">
        <v>73</v>
      </c>
      <c r="G249">
        <v>3.6011567851291222</v>
      </c>
      <c r="H249">
        <v>0.95</v>
      </c>
      <c r="I249">
        <v>10</v>
      </c>
      <c r="K249">
        <v>0.95</v>
      </c>
      <c r="L249">
        <v>46236</v>
      </c>
      <c r="M249" t="s">
        <v>188</v>
      </c>
      <c r="N249">
        <v>4.7610294117647047</v>
      </c>
      <c r="O249">
        <v>0.26380412092108813</v>
      </c>
      <c r="P249">
        <v>0.26380412092108813</v>
      </c>
      <c r="Q249">
        <v>1.3220833459474035</v>
      </c>
      <c r="R249">
        <v>0.32208334594740351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0.73619587907891182</v>
      </c>
      <c r="AB249">
        <v>0</v>
      </c>
      <c r="AC249">
        <v>0</v>
      </c>
      <c r="AD249">
        <v>0</v>
      </c>
      <c r="AE249">
        <v>0</v>
      </c>
      <c r="AF249">
        <v>0.26380412092108813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3.7906913527674972</v>
      </c>
      <c r="AM249">
        <v>3.7906913527674972</v>
      </c>
      <c r="AN249">
        <v>5.0116099071207421</v>
      </c>
      <c r="BE249">
        <v>0</v>
      </c>
      <c r="BF249">
        <v>0</v>
      </c>
      <c r="BG249">
        <v>0</v>
      </c>
      <c r="BI249">
        <v>0.19953667953667958</v>
      </c>
      <c r="BJ249">
        <v>0.19953667953667958</v>
      </c>
      <c r="BK249">
        <v>0.75638196567963045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  <c r="BV249">
        <v>0.24361803432036955</v>
      </c>
      <c r="BW249">
        <v>0</v>
      </c>
      <c r="BX249">
        <v>0</v>
      </c>
      <c r="BY249">
        <v>0</v>
      </c>
      <c r="BZ249">
        <v>0.19953667953667958</v>
      </c>
      <c r="CA249">
        <v>0</v>
      </c>
      <c r="CB249">
        <v>0</v>
      </c>
      <c r="CC249">
        <v>0</v>
      </c>
      <c r="CD249">
        <v>0</v>
      </c>
      <c r="CE249">
        <v>0</v>
      </c>
    </row>
    <row r="250" spans="1:83" x14ac:dyDescent="0.25">
      <c r="A250" t="s">
        <v>128</v>
      </c>
      <c r="B250" t="s">
        <v>146</v>
      </c>
      <c r="C250" t="s">
        <v>72</v>
      </c>
      <c r="D250" s="12">
        <v>46236</v>
      </c>
      <c r="E250" t="s">
        <v>136</v>
      </c>
      <c r="F250" t="s">
        <v>74</v>
      </c>
      <c r="G250">
        <v>0</v>
      </c>
      <c r="H250">
        <v>0</v>
      </c>
      <c r="I250">
        <v>10</v>
      </c>
      <c r="J250">
        <v>1</v>
      </c>
      <c r="K250">
        <v>0</v>
      </c>
      <c r="L250">
        <v>46236</v>
      </c>
      <c r="M250" t="s">
        <v>187</v>
      </c>
      <c r="N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K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  <c r="BV250">
        <v>1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E250">
        <v>0</v>
      </c>
    </row>
    <row r="251" spans="1:83" x14ac:dyDescent="0.25">
      <c r="A251" t="s">
        <v>128</v>
      </c>
      <c r="B251" t="s">
        <v>145</v>
      </c>
      <c r="C251" t="s">
        <v>72</v>
      </c>
      <c r="D251" s="12">
        <v>46236</v>
      </c>
      <c r="E251" t="s">
        <v>136</v>
      </c>
      <c r="F251" t="s">
        <v>74</v>
      </c>
      <c r="G251">
        <v>0</v>
      </c>
      <c r="H251">
        <v>0</v>
      </c>
      <c r="I251">
        <v>10</v>
      </c>
      <c r="K251">
        <v>0</v>
      </c>
      <c r="L251">
        <v>46236</v>
      </c>
      <c r="M251" t="s">
        <v>187</v>
      </c>
      <c r="N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K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  <c r="BV251">
        <v>1</v>
      </c>
      <c r="BW251">
        <v>0</v>
      </c>
      <c r="BX251">
        <v>0</v>
      </c>
      <c r="BY251">
        <v>0</v>
      </c>
      <c r="BZ251">
        <v>0</v>
      </c>
      <c r="CA251">
        <v>0</v>
      </c>
      <c r="CB251">
        <v>0</v>
      </c>
      <c r="CC251">
        <v>0</v>
      </c>
      <c r="CE251">
        <v>0</v>
      </c>
    </row>
    <row r="252" spans="1:83" x14ac:dyDescent="0.25">
      <c r="A252" t="s">
        <v>128</v>
      </c>
      <c r="B252" t="s">
        <v>146</v>
      </c>
      <c r="C252" t="s">
        <v>72</v>
      </c>
      <c r="D252" s="12">
        <v>46236</v>
      </c>
      <c r="E252" t="s">
        <v>136</v>
      </c>
      <c r="F252" t="s">
        <v>75</v>
      </c>
      <c r="G252">
        <v>3.1779578349000133</v>
      </c>
      <c r="H252">
        <v>2.8499999999999996</v>
      </c>
      <c r="I252">
        <v>10</v>
      </c>
      <c r="J252">
        <v>1</v>
      </c>
      <c r="K252">
        <v>2.8499999999999996</v>
      </c>
      <c r="L252">
        <v>46236</v>
      </c>
      <c r="M252" t="s">
        <v>186</v>
      </c>
      <c r="N252">
        <v>3.7543252595155714</v>
      </c>
      <c r="O252">
        <v>0.89680233283827315</v>
      </c>
      <c r="P252">
        <v>0.89680233283827315</v>
      </c>
      <c r="Q252">
        <v>1.1813640880586738</v>
      </c>
      <c r="R252">
        <v>0.18136408805867377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0.10319766716172685</v>
      </c>
      <c r="AB252">
        <v>0</v>
      </c>
      <c r="AC252">
        <v>0</v>
      </c>
      <c r="AD252">
        <v>0</v>
      </c>
      <c r="AE252">
        <v>0</v>
      </c>
      <c r="AF252">
        <v>0.89680233283827315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1.1150729245263207</v>
      </c>
      <c r="AM252">
        <v>1.1150729245263207</v>
      </c>
      <c r="AN252">
        <v>1.317307108601955</v>
      </c>
      <c r="AO252">
        <v>0.20223418407563432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0.11507292452632067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1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0.7591244239631334</v>
      </c>
      <c r="BJ252">
        <v>0.7591244239631334</v>
      </c>
      <c r="BK252">
        <v>0.84647909150792966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  <c r="BV252">
        <v>0.15352090849207034</v>
      </c>
      <c r="BW252">
        <v>0</v>
      </c>
      <c r="BX252">
        <v>0</v>
      </c>
      <c r="BY252">
        <v>0</v>
      </c>
      <c r="BZ252">
        <v>0.7591244239631334</v>
      </c>
      <c r="CA252">
        <v>0</v>
      </c>
      <c r="CB252">
        <v>0</v>
      </c>
      <c r="CC252">
        <v>0</v>
      </c>
      <c r="CD252">
        <v>0</v>
      </c>
      <c r="CE252">
        <v>0</v>
      </c>
    </row>
    <row r="253" spans="1:83" x14ac:dyDescent="0.25">
      <c r="A253" t="s">
        <v>128</v>
      </c>
      <c r="B253" t="s">
        <v>145</v>
      </c>
      <c r="C253" t="s">
        <v>72</v>
      </c>
      <c r="D253" s="12">
        <v>46236</v>
      </c>
      <c r="E253" t="s">
        <v>136</v>
      </c>
      <c r="F253" t="s">
        <v>75</v>
      </c>
      <c r="G253">
        <v>3.1774912809962856</v>
      </c>
      <c r="H253">
        <v>0</v>
      </c>
      <c r="I253">
        <v>10</v>
      </c>
      <c r="K253">
        <v>0</v>
      </c>
      <c r="L253">
        <v>46236</v>
      </c>
      <c r="M253" t="s">
        <v>186</v>
      </c>
      <c r="N253">
        <v>3.7543252595155714</v>
      </c>
      <c r="O253">
        <v>0</v>
      </c>
      <c r="P253">
        <v>0</v>
      </c>
      <c r="Q253">
        <v>1.1815375488106525</v>
      </c>
      <c r="R253">
        <v>0.18153754881065254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1</v>
      </c>
      <c r="AK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1</v>
      </c>
      <c r="BH253">
        <v>1</v>
      </c>
      <c r="BI253">
        <v>0</v>
      </c>
      <c r="BJ253">
        <v>0</v>
      </c>
      <c r="BK253">
        <v>0.84635482046813493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  <c r="BV253">
        <v>0.15364517953186507</v>
      </c>
      <c r="BW253">
        <v>0</v>
      </c>
      <c r="BX253">
        <v>0</v>
      </c>
      <c r="BY253">
        <v>0</v>
      </c>
      <c r="BZ253">
        <v>0</v>
      </c>
      <c r="CA253">
        <v>0</v>
      </c>
      <c r="CB253">
        <v>0</v>
      </c>
      <c r="CC253">
        <v>0</v>
      </c>
      <c r="CD253">
        <v>0.84635482046813493</v>
      </c>
      <c r="CE253">
        <v>0</v>
      </c>
    </row>
    <row r="254" spans="1:83" x14ac:dyDescent="0.25">
      <c r="A254" t="s">
        <v>128</v>
      </c>
      <c r="B254" t="s">
        <v>145</v>
      </c>
      <c r="C254" t="s">
        <v>72</v>
      </c>
      <c r="D254" s="12">
        <v>46237</v>
      </c>
      <c r="E254" t="s">
        <v>136</v>
      </c>
      <c r="F254" t="s">
        <v>73</v>
      </c>
      <c r="G254">
        <v>3.6011567851291222</v>
      </c>
      <c r="H254">
        <v>0</v>
      </c>
      <c r="I254">
        <v>10</v>
      </c>
      <c r="K254">
        <v>0</v>
      </c>
      <c r="L254">
        <v>46237</v>
      </c>
      <c r="M254" t="s">
        <v>235</v>
      </c>
      <c r="N254">
        <v>4.7058823529411757</v>
      </c>
      <c r="O254">
        <v>0</v>
      </c>
      <c r="P254">
        <v>0</v>
      </c>
      <c r="Q254">
        <v>1.306769639237588</v>
      </c>
      <c r="R254">
        <v>0.30676963923758804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1</v>
      </c>
      <c r="AK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1</v>
      </c>
      <c r="BH254">
        <v>1</v>
      </c>
      <c r="BI254">
        <v>0</v>
      </c>
      <c r="BJ254">
        <v>0</v>
      </c>
      <c r="BK254">
        <v>0.76524581683993853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  <c r="BV254">
        <v>0.23475418316006147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0.76524581683993853</v>
      </c>
      <c r="CE254">
        <v>0</v>
      </c>
    </row>
    <row r="255" spans="1:83" x14ac:dyDescent="0.25">
      <c r="A255" t="s">
        <v>128</v>
      </c>
      <c r="B255" t="s">
        <v>146</v>
      </c>
      <c r="C255" t="s">
        <v>72</v>
      </c>
      <c r="D255" s="12">
        <v>46237</v>
      </c>
      <c r="E255" t="s">
        <v>136</v>
      </c>
      <c r="F255" t="s">
        <v>73</v>
      </c>
      <c r="G255">
        <v>3.5876164620550925</v>
      </c>
      <c r="H255">
        <v>3.8</v>
      </c>
      <c r="I255">
        <v>10</v>
      </c>
      <c r="J255">
        <v>1</v>
      </c>
      <c r="K255">
        <v>3.8</v>
      </c>
      <c r="L255">
        <v>46237</v>
      </c>
      <c r="M255" t="s">
        <v>235</v>
      </c>
      <c r="N255">
        <v>4.7058823529411757</v>
      </c>
      <c r="O255">
        <v>1.0591990643903022</v>
      </c>
      <c r="P255">
        <v>1.0591990643903022</v>
      </c>
      <c r="Q255">
        <v>1.3117016277279281</v>
      </c>
      <c r="R255">
        <v>0.25250256333762588</v>
      </c>
      <c r="S255">
        <v>0</v>
      </c>
      <c r="T255">
        <v>0</v>
      </c>
      <c r="U255">
        <v>0</v>
      </c>
      <c r="V255">
        <v>0</v>
      </c>
      <c r="W255">
        <v>0.1908009356096978</v>
      </c>
      <c r="X255">
        <v>5.9199064390302203E-2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1</v>
      </c>
      <c r="AL255">
        <v>0.94410959527765603</v>
      </c>
      <c r="AM255">
        <v>0.94410959527765603</v>
      </c>
      <c r="AN255">
        <v>1.2383900928792568</v>
      </c>
      <c r="AO255">
        <v>0.23839009287925683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0.94410959527765603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0.80750000000000011</v>
      </c>
      <c r="BJ255">
        <v>0.80750000000000011</v>
      </c>
      <c r="BK255">
        <v>0.76236849818670727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  <c r="BV255">
        <v>0.19249999999999989</v>
      </c>
      <c r="BW255">
        <v>0</v>
      </c>
      <c r="BX255">
        <v>4.513150181329284E-2</v>
      </c>
      <c r="BY255">
        <v>0</v>
      </c>
      <c r="BZ255">
        <v>0.76236849818670727</v>
      </c>
      <c r="CA255">
        <v>0</v>
      </c>
      <c r="CB255">
        <v>0</v>
      </c>
      <c r="CC255">
        <v>0</v>
      </c>
      <c r="CD255">
        <v>0</v>
      </c>
      <c r="CE255">
        <v>0</v>
      </c>
    </row>
    <row r="256" spans="1:83" x14ac:dyDescent="0.25">
      <c r="A256" t="s">
        <v>128</v>
      </c>
      <c r="B256" t="s">
        <v>145</v>
      </c>
      <c r="C256" t="s">
        <v>72</v>
      </c>
      <c r="D256" s="12">
        <v>46237</v>
      </c>
      <c r="E256" t="s">
        <v>136</v>
      </c>
      <c r="F256" t="s">
        <v>74</v>
      </c>
      <c r="G256">
        <v>0</v>
      </c>
      <c r="H256">
        <v>0</v>
      </c>
      <c r="I256">
        <v>10</v>
      </c>
      <c r="K256">
        <v>0</v>
      </c>
      <c r="L256">
        <v>46237</v>
      </c>
      <c r="M256" t="s">
        <v>185</v>
      </c>
      <c r="N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K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1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E256">
        <v>0</v>
      </c>
    </row>
    <row r="257" spans="1:83" x14ac:dyDescent="0.25">
      <c r="A257" t="s">
        <v>128</v>
      </c>
      <c r="B257" t="s">
        <v>146</v>
      </c>
      <c r="C257" t="s">
        <v>72</v>
      </c>
      <c r="D257" s="12">
        <v>46237</v>
      </c>
      <c r="E257" t="s">
        <v>136</v>
      </c>
      <c r="F257" t="s">
        <v>74</v>
      </c>
      <c r="G257">
        <v>0</v>
      </c>
      <c r="H257">
        <v>0</v>
      </c>
      <c r="I257">
        <v>10</v>
      </c>
      <c r="J257">
        <v>1</v>
      </c>
      <c r="K257">
        <v>0</v>
      </c>
      <c r="L257">
        <v>46237</v>
      </c>
      <c r="M257" t="s">
        <v>185</v>
      </c>
      <c r="N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K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  <c r="BV257">
        <v>1</v>
      </c>
      <c r="BW257">
        <v>0</v>
      </c>
      <c r="BX257">
        <v>0</v>
      </c>
      <c r="BY257">
        <v>0</v>
      </c>
      <c r="BZ257">
        <v>0</v>
      </c>
      <c r="CA257">
        <v>0</v>
      </c>
      <c r="CB257">
        <v>0</v>
      </c>
      <c r="CC257">
        <v>0</v>
      </c>
      <c r="CE257">
        <v>0</v>
      </c>
    </row>
    <row r="258" spans="1:83" x14ac:dyDescent="0.25">
      <c r="A258" t="s">
        <v>128</v>
      </c>
      <c r="B258" t="s">
        <v>145</v>
      </c>
      <c r="C258" t="s">
        <v>72</v>
      </c>
      <c r="D258" s="12">
        <v>46237</v>
      </c>
      <c r="E258" t="s">
        <v>136</v>
      </c>
      <c r="F258" t="s">
        <v>75</v>
      </c>
      <c r="G258">
        <v>3.1774912809962848</v>
      </c>
      <c r="H258">
        <v>0</v>
      </c>
      <c r="I258">
        <v>10</v>
      </c>
      <c r="K258">
        <v>0</v>
      </c>
      <c r="L258">
        <v>46237</v>
      </c>
      <c r="M258" t="s">
        <v>184</v>
      </c>
      <c r="N258">
        <v>4.6885813148788937</v>
      </c>
      <c r="O258">
        <v>0</v>
      </c>
      <c r="P258">
        <v>0</v>
      </c>
      <c r="Q258">
        <v>1.4755607176391103</v>
      </c>
      <c r="R258">
        <v>0.47556071763911034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1</v>
      </c>
      <c r="AK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1</v>
      </c>
      <c r="BH258">
        <v>1</v>
      </c>
      <c r="BI258">
        <v>0</v>
      </c>
      <c r="BJ258">
        <v>0</v>
      </c>
      <c r="BK258">
        <v>0.67770847247817423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  <c r="BV258">
        <v>0.32229152752182577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0.67770847247817423</v>
      </c>
      <c r="CE258">
        <v>0</v>
      </c>
    </row>
    <row r="259" spans="1:83" x14ac:dyDescent="0.25">
      <c r="A259" t="s">
        <v>128</v>
      </c>
      <c r="B259" t="s">
        <v>146</v>
      </c>
      <c r="C259" t="s">
        <v>72</v>
      </c>
      <c r="D259" s="12">
        <v>46237</v>
      </c>
      <c r="E259" t="s">
        <v>136</v>
      </c>
      <c r="F259" t="s">
        <v>75</v>
      </c>
      <c r="G259">
        <v>3.1779578349000128</v>
      </c>
      <c r="H259">
        <v>2.8499999999999996</v>
      </c>
      <c r="I259">
        <v>10</v>
      </c>
      <c r="J259">
        <v>1</v>
      </c>
      <c r="K259">
        <v>2.8499999999999996</v>
      </c>
      <c r="L259">
        <v>46237</v>
      </c>
      <c r="M259" t="s">
        <v>184</v>
      </c>
      <c r="N259">
        <v>4.6885813148788937</v>
      </c>
      <c r="O259">
        <v>0.89680233283827326</v>
      </c>
      <c r="P259">
        <v>0.89680233283827326</v>
      </c>
      <c r="Q259">
        <v>1.4753440915387126</v>
      </c>
      <c r="R259">
        <v>0.4753440915387126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0.10319766716172674</v>
      </c>
      <c r="AB259">
        <v>0</v>
      </c>
      <c r="AC259">
        <v>0</v>
      </c>
      <c r="AD259">
        <v>0</v>
      </c>
      <c r="AE259">
        <v>0</v>
      </c>
      <c r="AF259">
        <v>0.89680233283827326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1.1150729245263205</v>
      </c>
      <c r="AM259">
        <v>1.1150729245263205</v>
      </c>
      <c r="AN259">
        <v>1.6451162508346997</v>
      </c>
      <c r="AO259">
        <v>0.53004332630837925</v>
      </c>
      <c r="AP259">
        <v>0</v>
      </c>
      <c r="AQ259">
        <v>0</v>
      </c>
      <c r="AR259">
        <v>0</v>
      </c>
      <c r="AS259">
        <v>0</v>
      </c>
      <c r="AT259">
        <v>0.38492707547367955</v>
      </c>
      <c r="AU259">
        <v>0.11507292452632045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0.60785977859778573</v>
      </c>
      <c r="BJ259">
        <v>0.60785977859778573</v>
      </c>
      <c r="BK259">
        <v>0.67780798102295459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  <c r="BV259">
        <v>0.32219201897704541</v>
      </c>
      <c r="BW259">
        <v>0</v>
      </c>
      <c r="BX259">
        <v>0</v>
      </c>
      <c r="BY259">
        <v>0</v>
      </c>
      <c r="BZ259">
        <v>0.60785977859778573</v>
      </c>
      <c r="CA259">
        <v>0</v>
      </c>
      <c r="CB259">
        <v>0</v>
      </c>
      <c r="CC259">
        <v>0</v>
      </c>
      <c r="CD259">
        <v>0</v>
      </c>
      <c r="CE259">
        <v>0</v>
      </c>
    </row>
    <row r="260" spans="1:83" x14ac:dyDescent="0.25">
      <c r="A260" t="s">
        <v>128</v>
      </c>
      <c r="B260" t="s">
        <v>145</v>
      </c>
      <c r="C260" t="s">
        <v>72</v>
      </c>
      <c r="D260" s="12">
        <v>46238</v>
      </c>
      <c r="E260" t="s">
        <v>136</v>
      </c>
      <c r="F260" t="s">
        <v>73</v>
      </c>
      <c r="G260">
        <v>3.6011567851291222</v>
      </c>
      <c r="H260">
        <v>0</v>
      </c>
      <c r="I260">
        <v>10</v>
      </c>
      <c r="K260">
        <v>0</v>
      </c>
      <c r="L260">
        <v>46238</v>
      </c>
      <c r="M260" t="s">
        <v>183</v>
      </c>
      <c r="N260">
        <v>4.8202614379084965</v>
      </c>
      <c r="O260">
        <v>0</v>
      </c>
      <c r="P260">
        <v>0</v>
      </c>
      <c r="Q260">
        <v>1.3385314013023908</v>
      </c>
      <c r="R260">
        <v>0.33853140130239079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1</v>
      </c>
      <c r="AK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1</v>
      </c>
      <c r="BH260">
        <v>1</v>
      </c>
      <c r="BI260">
        <v>0</v>
      </c>
      <c r="BJ260">
        <v>0</v>
      </c>
      <c r="BK260">
        <v>0.74708744152509254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  <c r="BV260">
        <v>0.25291255847490746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0.74708744152509254</v>
      </c>
      <c r="CE260">
        <v>0</v>
      </c>
    </row>
    <row r="261" spans="1:83" x14ac:dyDescent="0.25">
      <c r="A261" t="s">
        <v>128</v>
      </c>
      <c r="B261" t="s">
        <v>146</v>
      </c>
      <c r="C261" t="s">
        <v>72</v>
      </c>
      <c r="D261" s="12">
        <v>46238</v>
      </c>
      <c r="E261" t="s">
        <v>136</v>
      </c>
      <c r="F261" t="s">
        <v>73</v>
      </c>
      <c r="G261">
        <v>3.5876164620550925</v>
      </c>
      <c r="H261">
        <v>3.8</v>
      </c>
      <c r="I261">
        <v>10</v>
      </c>
      <c r="J261">
        <v>1</v>
      </c>
      <c r="K261">
        <v>3.8</v>
      </c>
      <c r="L261">
        <v>46238</v>
      </c>
      <c r="M261" t="s">
        <v>183</v>
      </c>
      <c r="N261">
        <v>4.8202614379084965</v>
      </c>
      <c r="O261">
        <v>1.0591990643903022</v>
      </c>
      <c r="P261">
        <v>1.0591990643903022</v>
      </c>
      <c r="Q261">
        <v>1.3435832645129822</v>
      </c>
      <c r="R261">
        <v>0.28438420012267995</v>
      </c>
      <c r="S261">
        <v>0</v>
      </c>
      <c r="T261">
        <v>0</v>
      </c>
      <c r="U261">
        <v>0</v>
      </c>
      <c r="V261">
        <v>0</v>
      </c>
      <c r="W261">
        <v>0.1908009356096978</v>
      </c>
      <c r="X261">
        <v>5.9199064390302203E-2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</v>
      </c>
      <c r="AL261">
        <v>0.94410959527765603</v>
      </c>
      <c r="AM261">
        <v>0.94410959527765603</v>
      </c>
      <c r="AN261">
        <v>1.2684898520811834</v>
      </c>
      <c r="AO261">
        <v>0.26848985208118337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0.94410959527765603</v>
      </c>
      <c r="BD261">
        <v>0</v>
      </c>
      <c r="BE261">
        <v>0</v>
      </c>
      <c r="BF261">
        <v>0</v>
      </c>
      <c r="BG261">
        <v>0</v>
      </c>
      <c r="BH261">
        <v>0</v>
      </c>
      <c r="BI261">
        <v>0.78833898305084749</v>
      </c>
      <c r="BJ261">
        <v>0.78833898305084749</v>
      </c>
      <c r="BK261">
        <v>0.74427839822973452</v>
      </c>
      <c r="BL261">
        <v>0</v>
      </c>
      <c r="BM261">
        <v>0</v>
      </c>
      <c r="BN261">
        <v>0</v>
      </c>
      <c r="BO261">
        <v>0</v>
      </c>
      <c r="BP261">
        <v>0</v>
      </c>
      <c r="BQ261">
        <v>0</v>
      </c>
      <c r="BR261">
        <v>0</v>
      </c>
      <c r="BS261">
        <v>0</v>
      </c>
      <c r="BT261">
        <v>0</v>
      </c>
      <c r="BU261">
        <v>0</v>
      </c>
      <c r="BV261">
        <v>0.21166101694915251</v>
      </c>
      <c r="BW261">
        <v>0</v>
      </c>
      <c r="BX261">
        <v>4.4060584821112969E-2</v>
      </c>
      <c r="BY261">
        <v>0</v>
      </c>
      <c r="BZ261">
        <v>0.74427839822973452</v>
      </c>
      <c r="CA261">
        <v>0</v>
      </c>
      <c r="CB261">
        <v>0</v>
      </c>
      <c r="CC261">
        <v>0</v>
      </c>
      <c r="CD261">
        <v>0</v>
      </c>
      <c r="CE261">
        <v>0</v>
      </c>
    </row>
    <row r="262" spans="1:83" x14ac:dyDescent="0.25">
      <c r="A262" t="s">
        <v>128</v>
      </c>
      <c r="B262" t="s">
        <v>145</v>
      </c>
      <c r="C262" t="s">
        <v>72</v>
      </c>
      <c r="D262" s="12">
        <v>46238</v>
      </c>
      <c r="E262" t="s">
        <v>136</v>
      </c>
      <c r="F262" t="s">
        <v>74</v>
      </c>
      <c r="G262">
        <v>0</v>
      </c>
      <c r="H262">
        <v>0</v>
      </c>
      <c r="I262">
        <v>10</v>
      </c>
      <c r="K262">
        <v>0</v>
      </c>
      <c r="L262">
        <v>46238</v>
      </c>
      <c r="M262" t="s">
        <v>182</v>
      </c>
      <c r="N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K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L262">
        <v>0</v>
      </c>
      <c r="BM262">
        <v>0</v>
      </c>
      <c r="BN262">
        <v>0</v>
      </c>
      <c r="BO262">
        <v>0</v>
      </c>
      <c r="BP262">
        <v>0</v>
      </c>
      <c r="BQ262">
        <v>0</v>
      </c>
      <c r="BR262">
        <v>0</v>
      </c>
      <c r="BS262">
        <v>0</v>
      </c>
      <c r="BT262">
        <v>0</v>
      </c>
      <c r="BU262">
        <v>0</v>
      </c>
      <c r="BV262">
        <v>1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E262">
        <v>0</v>
      </c>
    </row>
    <row r="263" spans="1:83" x14ac:dyDescent="0.25">
      <c r="A263" t="s">
        <v>128</v>
      </c>
      <c r="B263" t="s">
        <v>146</v>
      </c>
      <c r="C263" t="s">
        <v>72</v>
      </c>
      <c r="D263" s="12">
        <v>46238</v>
      </c>
      <c r="E263" t="s">
        <v>136</v>
      </c>
      <c r="F263" t="s">
        <v>74</v>
      </c>
      <c r="G263">
        <v>0</v>
      </c>
      <c r="H263">
        <v>0.95</v>
      </c>
      <c r="I263">
        <v>10</v>
      </c>
      <c r="J263">
        <v>1</v>
      </c>
      <c r="K263">
        <v>0.95</v>
      </c>
      <c r="L263">
        <v>46238</v>
      </c>
      <c r="M263" t="s">
        <v>182</v>
      </c>
      <c r="N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L263">
        <v>0</v>
      </c>
      <c r="BM263">
        <v>0</v>
      </c>
      <c r="BN263">
        <v>0</v>
      </c>
      <c r="BO263">
        <v>0</v>
      </c>
      <c r="BP263">
        <v>0</v>
      </c>
      <c r="BQ263">
        <v>0</v>
      </c>
      <c r="BR263">
        <v>0</v>
      </c>
      <c r="BS263">
        <v>0</v>
      </c>
      <c r="BT263">
        <v>0</v>
      </c>
      <c r="BU263">
        <v>0</v>
      </c>
      <c r="BV263">
        <v>1</v>
      </c>
      <c r="BW263">
        <v>0</v>
      </c>
      <c r="BX263">
        <v>0</v>
      </c>
      <c r="BY263">
        <v>0</v>
      </c>
      <c r="BZ263">
        <v>0</v>
      </c>
      <c r="CA263">
        <v>0</v>
      </c>
      <c r="CB263">
        <v>1</v>
      </c>
      <c r="CC263">
        <v>0</v>
      </c>
      <c r="CE263">
        <v>0</v>
      </c>
    </row>
    <row r="264" spans="1:83" x14ac:dyDescent="0.25">
      <c r="A264" t="s">
        <v>128</v>
      </c>
      <c r="B264" t="s">
        <v>146</v>
      </c>
      <c r="C264" t="s">
        <v>72</v>
      </c>
      <c r="D264" s="12">
        <v>46238</v>
      </c>
      <c r="E264" t="s">
        <v>136</v>
      </c>
      <c r="F264" t="s">
        <v>75</v>
      </c>
      <c r="G264">
        <v>3.2276134260703255</v>
      </c>
      <c r="H264">
        <v>2.8499999999999996</v>
      </c>
      <c r="I264">
        <v>10</v>
      </c>
      <c r="J264">
        <v>1</v>
      </c>
      <c r="K264">
        <v>2.8499999999999996</v>
      </c>
      <c r="L264">
        <v>46238</v>
      </c>
      <c r="M264" t="s">
        <v>181</v>
      </c>
      <c r="N264">
        <v>4.6397539407920032</v>
      </c>
      <c r="O264">
        <v>0.88300537387153066</v>
      </c>
      <c r="P264">
        <v>0.88300537387153066</v>
      </c>
      <c r="Q264">
        <v>1.437518478302088</v>
      </c>
      <c r="R264">
        <v>0.43751847830208801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0.11699462612846934</v>
      </c>
      <c r="AB264">
        <v>0</v>
      </c>
      <c r="AC264">
        <v>0</v>
      </c>
      <c r="AD264">
        <v>0</v>
      </c>
      <c r="AE264">
        <v>0</v>
      </c>
      <c r="AF264">
        <v>0.88300537387153066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1.1324959389720441</v>
      </c>
      <c r="AM264">
        <v>1.1324959389720441</v>
      </c>
      <c r="AN264">
        <v>1.6279838388743872</v>
      </c>
      <c r="AO264">
        <v>0.4954878999023431</v>
      </c>
      <c r="AP264">
        <v>0</v>
      </c>
      <c r="AQ264">
        <v>0</v>
      </c>
      <c r="AR264">
        <v>0</v>
      </c>
      <c r="AS264">
        <v>0</v>
      </c>
      <c r="AT264">
        <v>0.36750406102795585</v>
      </c>
      <c r="AU264">
        <v>0.13249593897204415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0.61425671196552856</v>
      </c>
      <c r="BJ264">
        <v>0.61425671196552856</v>
      </c>
      <c r="BK264">
        <v>0.69564323178728182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0.30435676821271818</v>
      </c>
      <c r="BW264">
        <v>0</v>
      </c>
      <c r="BX264">
        <v>0</v>
      </c>
      <c r="BY264">
        <v>0</v>
      </c>
      <c r="BZ264">
        <v>0.61425671196552856</v>
      </c>
      <c r="CA264">
        <v>0</v>
      </c>
      <c r="CB264">
        <v>0</v>
      </c>
      <c r="CC264">
        <v>0</v>
      </c>
      <c r="CD264">
        <v>0</v>
      </c>
      <c r="CE264">
        <v>0</v>
      </c>
    </row>
    <row r="265" spans="1:83" x14ac:dyDescent="0.25">
      <c r="A265" t="s">
        <v>128</v>
      </c>
      <c r="B265" t="s">
        <v>145</v>
      </c>
      <c r="C265" t="s">
        <v>72</v>
      </c>
      <c r="D265" s="12">
        <v>46238</v>
      </c>
      <c r="E265" t="s">
        <v>136</v>
      </c>
      <c r="F265" t="s">
        <v>75</v>
      </c>
      <c r="G265">
        <v>3.2304494690128904</v>
      </c>
      <c r="H265">
        <v>0</v>
      </c>
      <c r="I265">
        <v>10</v>
      </c>
      <c r="K265">
        <v>0</v>
      </c>
      <c r="L265">
        <v>46238</v>
      </c>
      <c r="M265" t="s">
        <v>181</v>
      </c>
      <c r="N265">
        <v>4.6397539407920032</v>
      </c>
      <c r="O265">
        <v>0</v>
      </c>
      <c r="P265">
        <v>0</v>
      </c>
      <c r="Q265">
        <v>1.4362564668778879</v>
      </c>
      <c r="R265">
        <v>0.43625646687788788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1</v>
      </c>
      <c r="AK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1</v>
      </c>
      <c r="BH265">
        <v>1</v>
      </c>
      <c r="BI265">
        <v>0</v>
      </c>
      <c r="BJ265">
        <v>0</v>
      </c>
      <c r="BK265">
        <v>0.69625448035320914</v>
      </c>
      <c r="BL265">
        <v>0</v>
      </c>
      <c r="BM265">
        <v>0</v>
      </c>
      <c r="BN265">
        <v>0</v>
      </c>
      <c r="BO265">
        <v>0</v>
      </c>
      <c r="BP265">
        <v>0</v>
      </c>
      <c r="BQ265">
        <v>0</v>
      </c>
      <c r="BR265">
        <v>0</v>
      </c>
      <c r="BS265">
        <v>0</v>
      </c>
      <c r="BT265">
        <v>0</v>
      </c>
      <c r="BU265">
        <v>0</v>
      </c>
      <c r="BV265">
        <v>0.30374551964679086</v>
      </c>
      <c r="BW265">
        <v>0</v>
      </c>
      <c r="BX265">
        <v>0</v>
      </c>
      <c r="BY265">
        <v>0</v>
      </c>
      <c r="BZ265">
        <v>0</v>
      </c>
      <c r="CA265">
        <v>0</v>
      </c>
      <c r="CB265">
        <v>0</v>
      </c>
      <c r="CC265">
        <v>0</v>
      </c>
      <c r="CD265">
        <v>0.69625448035320914</v>
      </c>
      <c r="CE265">
        <v>0</v>
      </c>
    </row>
    <row r="266" spans="1:83" x14ac:dyDescent="0.25">
      <c r="A266" t="s">
        <v>128</v>
      </c>
      <c r="B266" t="s">
        <v>145</v>
      </c>
      <c r="C266" t="s">
        <v>72</v>
      </c>
      <c r="D266" s="12">
        <v>46239</v>
      </c>
      <c r="E266" t="s">
        <v>136</v>
      </c>
      <c r="F266" t="s">
        <v>73</v>
      </c>
      <c r="G266">
        <v>3.6011567851291222</v>
      </c>
      <c r="H266">
        <v>0</v>
      </c>
      <c r="I266">
        <v>10</v>
      </c>
      <c r="K266">
        <v>0</v>
      </c>
      <c r="L266">
        <v>46239</v>
      </c>
      <c r="M266" t="s">
        <v>180</v>
      </c>
      <c r="N266">
        <v>4.7022058823529402</v>
      </c>
      <c r="O266">
        <v>0</v>
      </c>
      <c r="P266">
        <v>0</v>
      </c>
      <c r="Q266">
        <v>1.3057487254569338</v>
      </c>
      <c r="R266">
        <v>0.30574872545693377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1</v>
      </c>
      <c r="AK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1</v>
      </c>
      <c r="BH266">
        <v>1</v>
      </c>
      <c r="BI266">
        <v>0</v>
      </c>
      <c r="BJ266">
        <v>0</v>
      </c>
      <c r="BK266">
        <v>0.76584413256850781</v>
      </c>
      <c r="BL266">
        <v>0</v>
      </c>
      <c r="BM266">
        <v>0</v>
      </c>
      <c r="BN266">
        <v>0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0.23415586743149219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0.76584413256850781</v>
      </c>
      <c r="CE266">
        <v>0</v>
      </c>
    </row>
    <row r="267" spans="1:83" x14ac:dyDescent="0.25">
      <c r="A267" t="s">
        <v>128</v>
      </c>
      <c r="B267" t="s">
        <v>146</v>
      </c>
      <c r="C267" t="s">
        <v>72</v>
      </c>
      <c r="D267" s="12">
        <v>46239</v>
      </c>
      <c r="E267" t="s">
        <v>136</v>
      </c>
      <c r="F267" t="s">
        <v>73</v>
      </c>
      <c r="G267">
        <v>3.5876164620550925</v>
      </c>
      <c r="H267">
        <v>3.8</v>
      </c>
      <c r="I267">
        <v>10</v>
      </c>
      <c r="J267">
        <v>1</v>
      </c>
      <c r="K267">
        <v>3.8</v>
      </c>
      <c r="L267">
        <v>46239</v>
      </c>
      <c r="M267" t="s">
        <v>180</v>
      </c>
      <c r="N267">
        <v>4.7022058823529402</v>
      </c>
      <c r="O267">
        <v>1.0591990643903022</v>
      </c>
      <c r="P267">
        <v>1.0591990643903022</v>
      </c>
      <c r="Q267">
        <v>1.3106768608312656</v>
      </c>
      <c r="R267">
        <v>0.25147779644096335</v>
      </c>
      <c r="S267">
        <v>0</v>
      </c>
      <c r="T267">
        <v>0</v>
      </c>
      <c r="U267">
        <v>0</v>
      </c>
      <c r="V267">
        <v>0</v>
      </c>
      <c r="W267">
        <v>0.1908009356096978</v>
      </c>
      <c r="X267">
        <v>5.9199064390302203E-2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1</v>
      </c>
      <c r="AL267">
        <v>0.94410959527765603</v>
      </c>
      <c r="AM267">
        <v>0.94410959527765603</v>
      </c>
      <c r="AN267">
        <v>1.2374226006191948</v>
      </c>
      <c r="AO267">
        <v>0.23742260061919485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0.94410959527765603</v>
      </c>
      <c r="BD267">
        <v>0</v>
      </c>
      <c r="BE267">
        <v>0</v>
      </c>
      <c r="BF267">
        <v>0</v>
      </c>
      <c r="BG267">
        <v>0</v>
      </c>
      <c r="BH267">
        <v>0</v>
      </c>
      <c r="BI267">
        <v>0.80813135261923386</v>
      </c>
      <c r="BJ267">
        <v>0.80813135261923386</v>
      </c>
      <c r="BK267">
        <v>0.76296456425252956</v>
      </c>
      <c r="BL267">
        <v>0</v>
      </c>
      <c r="BM267">
        <v>0</v>
      </c>
      <c r="BN267">
        <v>0</v>
      </c>
      <c r="BO267">
        <v>0</v>
      </c>
      <c r="BP267">
        <v>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0.19186864738076614</v>
      </c>
      <c r="BW267">
        <v>0</v>
      </c>
      <c r="BX267">
        <v>4.5166788366704291E-2</v>
      </c>
      <c r="BY267">
        <v>0</v>
      </c>
      <c r="BZ267">
        <v>0.76296456425252956</v>
      </c>
      <c r="CA267">
        <v>0</v>
      </c>
      <c r="CB267">
        <v>0</v>
      </c>
      <c r="CC267">
        <v>0</v>
      </c>
      <c r="CD267">
        <v>0</v>
      </c>
      <c r="CE267">
        <v>0</v>
      </c>
    </row>
    <row r="268" spans="1:83" x14ac:dyDescent="0.25">
      <c r="A268" t="s">
        <v>128</v>
      </c>
      <c r="B268" t="s">
        <v>146</v>
      </c>
      <c r="C268" t="s">
        <v>72</v>
      </c>
      <c r="D268" s="12">
        <v>46239</v>
      </c>
      <c r="E268" t="s">
        <v>136</v>
      </c>
      <c r="F268" t="s">
        <v>74</v>
      </c>
      <c r="G268">
        <v>0</v>
      </c>
      <c r="H268">
        <v>0.95</v>
      </c>
      <c r="I268">
        <v>10</v>
      </c>
      <c r="J268">
        <v>1</v>
      </c>
      <c r="K268">
        <v>0.95</v>
      </c>
      <c r="L268">
        <v>46239</v>
      </c>
      <c r="M268" t="s">
        <v>179</v>
      </c>
      <c r="N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1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L268">
        <v>0</v>
      </c>
      <c r="BM268">
        <v>0</v>
      </c>
      <c r="BN268">
        <v>0</v>
      </c>
      <c r="BO268">
        <v>0</v>
      </c>
      <c r="BP268">
        <v>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1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1</v>
      </c>
      <c r="CC268">
        <v>0</v>
      </c>
      <c r="CE268">
        <v>0</v>
      </c>
    </row>
    <row r="269" spans="1:83" x14ac:dyDescent="0.25">
      <c r="A269" t="s">
        <v>128</v>
      </c>
      <c r="B269" t="s">
        <v>145</v>
      </c>
      <c r="C269" t="s">
        <v>72</v>
      </c>
      <c r="D269" s="12">
        <v>46239</v>
      </c>
      <c r="E269" t="s">
        <v>136</v>
      </c>
      <c r="F269" t="s">
        <v>74</v>
      </c>
      <c r="G269">
        <v>0</v>
      </c>
      <c r="H269">
        <v>0</v>
      </c>
      <c r="I269">
        <v>10</v>
      </c>
      <c r="K269">
        <v>0</v>
      </c>
      <c r="L269">
        <v>46239</v>
      </c>
      <c r="M269" t="s">
        <v>179</v>
      </c>
      <c r="N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K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L269">
        <v>0</v>
      </c>
      <c r="BM269">
        <v>0</v>
      </c>
      <c r="BN269">
        <v>0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1</v>
      </c>
      <c r="BW269">
        <v>0</v>
      </c>
      <c r="BX269">
        <v>0</v>
      </c>
      <c r="BY269">
        <v>0</v>
      </c>
      <c r="BZ269">
        <v>0</v>
      </c>
      <c r="CA269">
        <v>0</v>
      </c>
      <c r="CB269">
        <v>0</v>
      </c>
      <c r="CC269">
        <v>0</v>
      </c>
      <c r="CE269">
        <v>0</v>
      </c>
    </row>
    <row r="270" spans="1:83" x14ac:dyDescent="0.25">
      <c r="A270" t="s">
        <v>128</v>
      </c>
      <c r="B270" t="s">
        <v>145</v>
      </c>
      <c r="C270" t="s">
        <v>72</v>
      </c>
      <c r="D270" s="12">
        <v>46239</v>
      </c>
      <c r="E270" t="s">
        <v>136</v>
      </c>
      <c r="F270" t="s">
        <v>75</v>
      </c>
      <c r="G270">
        <v>3.1774912809962848</v>
      </c>
      <c r="H270">
        <v>0</v>
      </c>
      <c r="I270">
        <v>10</v>
      </c>
      <c r="K270">
        <v>0</v>
      </c>
      <c r="L270">
        <v>46239</v>
      </c>
      <c r="M270" t="s">
        <v>178</v>
      </c>
      <c r="N270">
        <v>4.6332179930795849</v>
      </c>
      <c r="O270">
        <v>0</v>
      </c>
      <c r="P270">
        <v>0</v>
      </c>
      <c r="Q270">
        <v>1.4581371224492754</v>
      </c>
      <c r="R270">
        <v>0.4581371224492754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1</v>
      </c>
      <c r="AK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1</v>
      </c>
      <c r="BH270">
        <v>1</v>
      </c>
      <c r="BI270">
        <v>0</v>
      </c>
      <c r="BJ270">
        <v>0</v>
      </c>
      <c r="BK270">
        <v>0.68580655728747297</v>
      </c>
      <c r="BL270">
        <v>0</v>
      </c>
      <c r="BM270">
        <v>0</v>
      </c>
      <c r="BN270">
        <v>0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0.31419344271252703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0.68580655728747297</v>
      </c>
      <c r="CE270">
        <v>0</v>
      </c>
    </row>
    <row r="271" spans="1:83" x14ac:dyDescent="0.25">
      <c r="A271" t="s">
        <v>128</v>
      </c>
      <c r="B271" t="s">
        <v>146</v>
      </c>
      <c r="C271" t="s">
        <v>72</v>
      </c>
      <c r="D271" s="12">
        <v>46239</v>
      </c>
      <c r="E271" t="s">
        <v>136</v>
      </c>
      <c r="F271" t="s">
        <v>75</v>
      </c>
      <c r="G271">
        <v>3.1779578349000128</v>
      </c>
      <c r="H271">
        <v>2.8499999999999996</v>
      </c>
      <c r="I271">
        <v>10</v>
      </c>
      <c r="J271">
        <v>1</v>
      </c>
      <c r="K271">
        <v>2.8499999999999996</v>
      </c>
      <c r="L271">
        <v>46239</v>
      </c>
      <c r="M271" t="s">
        <v>178</v>
      </c>
      <c r="N271">
        <v>4.6332179930795849</v>
      </c>
      <c r="O271">
        <v>0.89680233283827326</v>
      </c>
      <c r="P271">
        <v>0.89680233283827326</v>
      </c>
      <c r="Q271">
        <v>1.4579230542954509</v>
      </c>
      <c r="R271">
        <v>0.45792305429545088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0.10319766716172674</v>
      </c>
      <c r="AB271">
        <v>0</v>
      </c>
      <c r="AC271">
        <v>0</v>
      </c>
      <c r="AD271">
        <v>0</v>
      </c>
      <c r="AE271">
        <v>0</v>
      </c>
      <c r="AF271">
        <v>0.89680233283827326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1.1150729245263205</v>
      </c>
      <c r="AM271">
        <v>1.1150729245263205</v>
      </c>
      <c r="AN271">
        <v>1.6256905238875738</v>
      </c>
      <c r="AO271">
        <v>0.51061759936125339</v>
      </c>
      <c r="AP271">
        <v>0</v>
      </c>
      <c r="AQ271">
        <v>0</v>
      </c>
      <c r="AR271">
        <v>0</v>
      </c>
      <c r="AS271">
        <v>0</v>
      </c>
      <c r="AT271">
        <v>0.38492707547367955</v>
      </c>
      <c r="AU271">
        <v>0.11507292452632045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0</v>
      </c>
      <c r="BH271">
        <v>0</v>
      </c>
      <c r="BI271">
        <v>0.61512322628827476</v>
      </c>
      <c r="BJ271">
        <v>0.61512322628827476</v>
      </c>
      <c r="BK271">
        <v>0.68590725488133208</v>
      </c>
      <c r="BL271">
        <v>0</v>
      </c>
      <c r="BM271">
        <v>0</v>
      </c>
      <c r="BN271">
        <v>0</v>
      </c>
      <c r="BO271">
        <v>0</v>
      </c>
      <c r="BP271">
        <v>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0.31409274511866792</v>
      </c>
      <c r="BW271">
        <v>0</v>
      </c>
      <c r="BX271">
        <v>0</v>
      </c>
      <c r="BY271">
        <v>0</v>
      </c>
      <c r="BZ271">
        <v>0.61512322628827476</v>
      </c>
      <c r="CA271">
        <v>0</v>
      </c>
      <c r="CB271">
        <v>0</v>
      </c>
      <c r="CC271">
        <v>0</v>
      </c>
      <c r="CD271">
        <v>0</v>
      </c>
      <c r="CE271">
        <v>0</v>
      </c>
    </row>
    <row r="272" spans="1:83" x14ac:dyDescent="0.25">
      <c r="A272" t="s">
        <v>128</v>
      </c>
      <c r="B272" t="s">
        <v>145</v>
      </c>
      <c r="C272" t="s">
        <v>72</v>
      </c>
      <c r="D272" s="12">
        <v>46240</v>
      </c>
      <c r="E272" t="s">
        <v>136</v>
      </c>
      <c r="F272" t="s">
        <v>73</v>
      </c>
      <c r="G272">
        <v>3.6011567851291222</v>
      </c>
      <c r="H272">
        <v>0.95</v>
      </c>
      <c r="I272">
        <v>10</v>
      </c>
      <c r="K272">
        <v>0.95</v>
      </c>
      <c r="L272">
        <v>46240</v>
      </c>
      <c r="M272" t="s">
        <v>194</v>
      </c>
      <c r="N272">
        <v>4.7022058823529411</v>
      </c>
      <c r="O272">
        <v>0.26380412092108813</v>
      </c>
      <c r="P272">
        <v>0.26380412092108813</v>
      </c>
      <c r="Q272">
        <v>1.305748725456934</v>
      </c>
      <c r="R272">
        <v>0.30574872545693399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0.73619587907891182</v>
      </c>
      <c r="AB272">
        <v>0</v>
      </c>
      <c r="AC272">
        <v>0</v>
      </c>
      <c r="AD272">
        <v>0</v>
      </c>
      <c r="AE272">
        <v>0</v>
      </c>
      <c r="AF272">
        <v>0.26380412092108813</v>
      </c>
      <c r="AG272">
        <v>0</v>
      </c>
      <c r="AH272">
        <v>0</v>
      </c>
      <c r="AI272">
        <v>0</v>
      </c>
      <c r="AJ272">
        <v>0</v>
      </c>
      <c r="AK272">
        <v>0</v>
      </c>
      <c r="AL272">
        <v>3.7906913527674972</v>
      </c>
      <c r="AM272">
        <v>3.7906913527674972</v>
      </c>
      <c r="AN272">
        <v>4.9496904024767803</v>
      </c>
      <c r="BE272">
        <v>0</v>
      </c>
      <c r="BF272">
        <v>0</v>
      </c>
      <c r="BG272">
        <v>0</v>
      </c>
      <c r="BI272">
        <v>0.20203283815480844</v>
      </c>
      <c r="BJ272">
        <v>0.20203283815480844</v>
      </c>
      <c r="BK272">
        <v>0.76584413256850759</v>
      </c>
      <c r="BL272">
        <v>0</v>
      </c>
      <c r="BM272">
        <v>0</v>
      </c>
      <c r="BN272">
        <v>0</v>
      </c>
      <c r="BO272">
        <v>0</v>
      </c>
      <c r="BP272">
        <v>0</v>
      </c>
      <c r="BQ272">
        <v>0</v>
      </c>
      <c r="BR272">
        <v>0</v>
      </c>
      <c r="BS272">
        <v>0</v>
      </c>
      <c r="BT272">
        <v>0</v>
      </c>
      <c r="BU272">
        <v>0</v>
      </c>
      <c r="BV272">
        <v>0.23415586743149241</v>
      </c>
      <c r="BW272">
        <v>0</v>
      </c>
      <c r="BX272">
        <v>0</v>
      </c>
      <c r="BY272">
        <v>0</v>
      </c>
      <c r="BZ272">
        <v>0.20203283815480844</v>
      </c>
      <c r="CA272">
        <v>0</v>
      </c>
      <c r="CB272">
        <v>0</v>
      </c>
      <c r="CC272">
        <v>0</v>
      </c>
      <c r="CD272">
        <v>0</v>
      </c>
      <c r="CE272">
        <v>0</v>
      </c>
    </row>
    <row r="273" spans="1:83" x14ac:dyDescent="0.25">
      <c r="A273" t="s">
        <v>128</v>
      </c>
      <c r="B273" t="s">
        <v>146</v>
      </c>
      <c r="C273" t="s">
        <v>72</v>
      </c>
      <c r="D273" s="12">
        <v>46240</v>
      </c>
      <c r="E273" t="s">
        <v>136</v>
      </c>
      <c r="F273" t="s">
        <v>73</v>
      </c>
      <c r="G273">
        <v>3.5876164620550925</v>
      </c>
      <c r="H273">
        <v>3.8</v>
      </c>
      <c r="I273">
        <v>10</v>
      </c>
      <c r="J273">
        <v>1</v>
      </c>
      <c r="K273">
        <v>3.8</v>
      </c>
      <c r="L273">
        <v>46240</v>
      </c>
      <c r="M273" t="s">
        <v>194</v>
      </c>
      <c r="N273">
        <v>4.7022058823529411</v>
      </c>
      <c r="O273">
        <v>1.0591990643903022</v>
      </c>
      <c r="P273">
        <v>1.0591990643903022</v>
      </c>
      <c r="Q273">
        <v>1.310676860831266</v>
      </c>
      <c r="R273">
        <v>0.2514777964409638</v>
      </c>
      <c r="S273">
        <v>0</v>
      </c>
      <c r="T273">
        <v>0</v>
      </c>
      <c r="U273">
        <v>0</v>
      </c>
      <c r="V273">
        <v>0</v>
      </c>
      <c r="W273">
        <v>0.1908009356096978</v>
      </c>
      <c r="X273">
        <v>5.9199064390302203E-2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1</v>
      </c>
      <c r="AL273">
        <v>0.94410959527765603</v>
      </c>
      <c r="AM273">
        <v>0.94410959527765603</v>
      </c>
      <c r="AN273">
        <v>1.2374226006191951</v>
      </c>
      <c r="AO273">
        <v>0.23742260061919507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0.94410959527765603</v>
      </c>
      <c r="BD273">
        <v>0</v>
      </c>
      <c r="BE273">
        <v>0</v>
      </c>
      <c r="BF273">
        <v>0</v>
      </c>
      <c r="BG273">
        <v>0</v>
      </c>
      <c r="BH273">
        <v>0</v>
      </c>
      <c r="BI273">
        <v>0.80813135261923374</v>
      </c>
      <c r="BJ273">
        <v>0.80813135261923374</v>
      </c>
      <c r="BK273">
        <v>0.76296456425252945</v>
      </c>
      <c r="BL273">
        <v>0</v>
      </c>
      <c r="BM273">
        <v>0</v>
      </c>
      <c r="BN273">
        <v>0</v>
      </c>
      <c r="BO273">
        <v>0</v>
      </c>
      <c r="BP273">
        <v>0</v>
      </c>
      <c r="BQ273">
        <v>0</v>
      </c>
      <c r="BR273">
        <v>0</v>
      </c>
      <c r="BS273">
        <v>0</v>
      </c>
      <c r="BT273">
        <v>0</v>
      </c>
      <c r="BU273">
        <v>0</v>
      </c>
      <c r="BV273">
        <v>0.19186864738076626</v>
      </c>
      <c r="BW273">
        <v>0</v>
      </c>
      <c r="BX273">
        <v>4.5166788366704291E-2</v>
      </c>
      <c r="BY273">
        <v>0</v>
      </c>
      <c r="BZ273">
        <v>0.76296456425252945</v>
      </c>
      <c r="CA273">
        <v>0</v>
      </c>
      <c r="CB273">
        <v>0</v>
      </c>
      <c r="CC273">
        <v>0</v>
      </c>
      <c r="CD273">
        <v>0</v>
      </c>
      <c r="CE273">
        <v>0</v>
      </c>
    </row>
    <row r="274" spans="1:83" x14ac:dyDescent="0.25">
      <c r="A274" t="s">
        <v>128</v>
      </c>
      <c r="B274" t="s">
        <v>145</v>
      </c>
      <c r="C274" t="s">
        <v>72</v>
      </c>
      <c r="D274" s="12">
        <v>46240</v>
      </c>
      <c r="E274" t="s">
        <v>136</v>
      </c>
      <c r="F274" t="s">
        <v>74</v>
      </c>
      <c r="G274">
        <v>0</v>
      </c>
      <c r="H274">
        <v>0</v>
      </c>
      <c r="I274">
        <v>10</v>
      </c>
      <c r="K274">
        <v>0</v>
      </c>
      <c r="L274">
        <v>46240</v>
      </c>
      <c r="M274" t="s">
        <v>195</v>
      </c>
      <c r="N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1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K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L274">
        <v>0</v>
      </c>
      <c r="BM274">
        <v>0</v>
      </c>
      <c r="BN274">
        <v>0</v>
      </c>
      <c r="BO274">
        <v>0</v>
      </c>
      <c r="BP274">
        <v>0</v>
      </c>
      <c r="BQ274">
        <v>0</v>
      </c>
      <c r="BR274">
        <v>0</v>
      </c>
      <c r="BS274">
        <v>0</v>
      </c>
      <c r="BT274">
        <v>0</v>
      </c>
      <c r="BU274">
        <v>0</v>
      </c>
      <c r="BV274">
        <v>1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E274">
        <v>0</v>
      </c>
    </row>
    <row r="275" spans="1:83" x14ac:dyDescent="0.25">
      <c r="A275" t="s">
        <v>128</v>
      </c>
      <c r="B275" t="s">
        <v>146</v>
      </c>
      <c r="C275" t="s">
        <v>72</v>
      </c>
      <c r="D275" s="12">
        <v>46240</v>
      </c>
      <c r="E275" t="s">
        <v>136</v>
      </c>
      <c r="F275" t="s">
        <v>74</v>
      </c>
      <c r="G275">
        <v>0</v>
      </c>
      <c r="H275">
        <v>0</v>
      </c>
      <c r="I275">
        <v>10</v>
      </c>
      <c r="J275">
        <v>1</v>
      </c>
      <c r="K275">
        <v>0</v>
      </c>
      <c r="L275">
        <v>46240</v>
      </c>
      <c r="M275" t="s">
        <v>195</v>
      </c>
      <c r="N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K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1</v>
      </c>
      <c r="BW275">
        <v>0</v>
      </c>
      <c r="BX275">
        <v>0</v>
      </c>
      <c r="BY275">
        <v>0</v>
      </c>
      <c r="BZ275">
        <v>0</v>
      </c>
      <c r="CA275">
        <v>0</v>
      </c>
      <c r="CB275">
        <v>0</v>
      </c>
      <c r="CC275">
        <v>0</v>
      </c>
      <c r="CE275">
        <v>0</v>
      </c>
    </row>
    <row r="276" spans="1:83" x14ac:dyDescent="0.25">
      <c r="A276" t="s">
        <v>128</v>
      </c>
      <c r="B276" t="s">
        <v>145</v>
      </c>
      <c r="C276" t="s">
        <v>72</v>
      </c>
      <c r="D276" s="12">
        <v>46240</v>
      </c>
      <c r="E276" t="s">
        <v>136</v>
      </c>
      <c r="F276" t="s">
        <v>75</v>
      </c>
      <c r="G276">
        <v>3.1774912809962848</v>
      </c>
      <c r="H276">
        <v>0</v>
      </c>
      <c r="I276">
        <v>10</v>
      </c>
      <c r="K276">
        <v>0</v>
      </c>
      <c r="L276">
        <v>46240</v>
      </c>
      <c r="M276" t="s">
        <v>213</v>
      </c>
      <c r="N276">
        <v>4.6332179930795849</v>
      </c>
      <c r="O276">
        <v>0</v>
      </c>
      <c r="P276">
        <v>0</v>
      </c>
      <c r="Q276">
        <v>1.4581371224492754</v>
      </c>
      <c r="R276">
        <v>0.4581371224492754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1</v>
      </c>
      <c r="AK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1</v>
      </c>
      <c r="BH276">
        <v>1</v>
      </c>
      <c r="BI276">
        <v>0</v>
      </c>
      <c r="BJ276">
        <v>0</v>
      </c>
      <c r="BK276">
        <v>0.68580655728747297</v>
      </c>
      <c r="BL276">
        <v>0</v>
      </c>
      <c r="BM276">
        <v>0</v>
      </c>
      <c r="BN276">
        <v>0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0</v>
      </c>
      <c r="BV276">
        <v>0.31419344271252703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0.68580655728747297</v>
      </c>
      <c r="CE276">
        <v>0</v>
      </c>
    </row>
    <row r="277" spans="1:83" x14ac:dyDescent="0.25">
      <c r="A277" t="s">
        <v>128</v>
      </c>
      <c r="B277" t="s">
        <v>146</v>
      </c>
      <c r="C277" t="s">
        <v>72</v>
      </c>
      <c r="D277" s="12">
        <v>46240</v>
      </c>
      <c r="E277" t="s">
        <v>136</v>
      </c>
      <c r="F277" t="s">
        <v>75</v>
      </c>
      <c r="G277">
        <v>3.1779578349000128</v>
      </c>
      <c r="H277">
        <v>2.8499999999999996</v>
      </c>
      <c r="I277">
        <v>10</v>
      </c>
      <c r="J277">
        <v>1</v>
      </c>
      <c r="K277">
        <v>2.8499999999999996</v>
      </c>
      <c r="L277">
        <v>46240</v>
      </c>
      <c r="M277" t="s">
        <v>213</v>
      </c>
      <c r="N277">
        <v>4.6332179930795849</v>
      </c>
      <c r="O277">
        <v>0.89680233283827326</v>
      </c>
      <c r="P277">
        <v>0.89680233283827326</v>
      </c>
      <c r="Q277">
        <v>1.4579230542954509</v>
      </c>
      <c r="R277">
        <v>0.45792305429545088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0.10319766716172674</v>
      </c>
      <c r="AB277">
        <v>0</v>
      </c>
      <c r="AC277">
        <v>0</v>
      </c>
      <c r="AD277">
        <v>0</v>
      </c>
      <c r="AE277">
        <v>0</v>
      </c>
      <c r="AF277">
        <v>0.89680233283827326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1.1150729245263205</v>
      </c>
      <c r="AM277">
        <v>1.1150729245263205</v>
      </c>
      <c r="AN277">
        <v>1.6256905238875738</v>
      </c>
      <c r="AO277">
        <v>0.51061759936125339</v>
      </c>
      <c r="AP277">
        <v>0</v>
      </c>
      <c r="AQ277">
        <v>0</v>
      </c>
      <c r="AR277">
        <v>0</v>
      </c>
      <c r="AS277">
        <v>0</v>
      </c>
      <c r="AT277">
        <v>0.38492707547367955</v>
      </c>
      <c r="AU277">
        <v>0.11507292452632045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>
        <v>0</v>
      </c>
      <c r="BI277">
        <v>0.61512322628827476</v>
      </c>
      <c r="BJ277">
        <v>0.61512322628827476</v>
      </c>
      <c r="BK277">
        <v>0.68590725488133208</v>
      </c>
      <c r="BL277">
        <v>0</v>
      </c>
      <c r="BM277">
        <v>0</v>
      </c>
      <c r="BN277">
        <v>0</v>
      </c>
      <c r="BO277">
        <v>0</v>
      </c>
      <c r="BP277">
        <v>0</v>
      </c>
      <c r="BQ277">
        <v>0</v>
      </c>
      <c r="BR277">
        <v>0</v>
      </c>
      <c r="BS277">
        <v>0</v>
      </c>
      <c r="BT277">
        <v>0</v>
      </c>
      <c r="BU277">
        <v>0</v>
      </c>
      <c r="BV277">
        <v>0.31409274511866792</v>
      </c>
      <c r="BW277">
        <v>0</v>
      </c>
      <c r="BX277">
        <v>0</v>
      </c>
      <c r="BY277">
        <v>0</v>
      </c>
      <c r="BZ277">
        <v>0.61512322628827476</v>
      </c>
      <c r="CA277">
        <v>0</v>
      </c>
      <c r="CB277">
        <v>0</v>
      </c>
      <c r="CC277">
        <v>0</v>
      </c>
      <c r="CD277">
        <v>0</v>
      </c>
      <c r="CE277">
        <v>0</v>
      </c>
    </row>
    <row r="278" spans="1:83" x14ac:dyDescent="0.25">
      <c r="A278" t="s">
        <v>128</v>
      </c>
      <c r="B278" t="s">
        <v>146</v>
      </c>
      <c r="C278" t="s">
        <v>72</v>
      </c>
      <c r="D278" s="12">
        <v>46241</v>
      </c>
      <c r="E278" t="s">
        <v>136</v>
      </c>
      <c r="F278" t="s">
        <v>73</v>
      </c>
      <c r="G278">
        <v>3.587616462055093</v>
      </c>
      <c r="H278">
        <v>3.8</v>
      </c>
      <c r="I278">
        <v>10</v>
      </c>
      <c r="J278">
        <v>1</v>
      </c>
      <c r="K278">
        <v>3.8</v>
      </c>
      <c r="L278">
        <v>46241</v>
      </c>
      <c r="M278" t="s">
        <v>212</v>
      </c>
      <c r="N278">
        <v>4.7022058823529393</v>
      </c>
      <c r="O278">
        <v>1.059199064390302</v>
      </c>
      <c r="P278">
        <v>1.059199064390302</v>
      </c>
      <c r="Q278">
        <v>1.3106768608312653</v>
      </c>
      <c r="R278">
        <v>0.25147779644096335</v>
      </c>
      <c r="S278">
        <v>0</v>
      </c>
      <c r="T278">
        <v>0</v>
      </c>
      <c r="U278">
        <v>0</v>
      </c>
      <c r="V278">
        <v>0</v>
      </c>
      <c r="W278">
        <v>0.19080093560969802</v>
      </c>
      <c r="X278">
        <v>5.9199064390301981E-2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1</v>
      </c>
      <c r="AL278">
        <v>0.94410959527765614</v>
      </c>
      <c r="AM278">
        <v>0.94410959527765614</v>
      </c>
      <c r="AN278">
        <v>1.2374226006191946</v>
      </c>
      <c r="AO278">
        <v>0.23742260061919462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0.94410959527765614</v>
      </c>
      <c r="BD278">
        <v>0</v>
      </c>
      <c r="BE278">
        <v>0</v>
      </c>
      <c r="BF278">
        <v>0</v>
      </c>
      <c r="BG278">
        <v>0</v>
      </c>
      <c r="BH278">
        <v>0</v>
      </c>
      <c r="BI278">
        <v>0.80813135261923408</v>
      </c>
      <c r="BJ278">
        <v>0.80813135261923408</v>
      </c>
      <c r="BK278">
        <v>0.7629645642525299</v>
      </c>
      <c r="BL278">
        <v>0</v>
      </c>
      <c r="BM278">
        <v>0</v>
      </c>
      <c r="BN278">
        <v>0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0</v>
      </c>
      <c r="BV278">
        <v>0.19186864738076592</v>
      </c>
      <c r="BW278">
        <v>0</v>
      </c>
      <c r="BX278">
        <v>4.516678836670418E-2</v>
      </c>
      <c r="BY278">
        <v>0</v>
      </c>
      <c r="BZ278">
        <v>0.7629645642525299</v>
      </c>
      <c r="CA278">
        <v>0</v>
      </c>
      <c r="CB278">
        <v>0</v>
      </c>
      <c r="CC278">
        <v>0</v>
      </c>
      <c r="CD278">
        <v>0</v>
      </c>
      <c r="CE278">
        <v>0</v>
      </c>
    </row>
    <row r="279" spans="1:83" x14ac:dyDescent="0.25">
      <c r="A279" t="s">
        <v>128</v>
      </c>
      <c r="B279" t="s">
        <v>145</v>
      </c>
      <c r="C279" t="s">
        <v>72</v>
      </c>
      <c r="D279" s="12">
        <v>46241</v>
      </c>
      <c r="E279" t="s">
        <v>136</v>
      </c>
      <c r="F279" t="s">
        <v>73</v>
      </c>
      <c r="G279">
        <v>3.6011567851291222</v>
      </c>
      <c r="H279">
        <v>0.95</v>
      </c>
      <c r="I279">
        <v>10</v>
      </c>
      <c r="K279">
        <v>0.95</v>
      </c>
      <c r="L279">
        <v>46241</v>
      </c>
      <c r="M279" t="s">
        <v>212</v>
      </c>
      <c r="N279">
        <v>4.7022058823529393</v>
      </c>
      <c r="O279">
        <v>0.26380412092108813</v>
      </c>
      <c r="P279">
        <v>0.26380412092108813</v>
      </c>
      <c r="Q279">
        <v>1.3057487254569335</v>
      </c>
      <c r="R279">
        <v>0.30574872545693355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0.73619587907891182</v>
      </c>
      <c r="AB279">
        <v>0</v>
      </c>
      <c r="AC279">
        <v>0</v>
      </c>
      <c r="AD279">
        <v>0</v>
      </c>
      <c r="AE279">
        <v>0</v>
      </c>
      <c r="AF279">
        <v>0.26380412092108813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3.7906913527674972</v>
      </c>
      <c r="AM279">
        <v>3.7906913527674972</v>
      </c>
      <c r="AN279">
        <v>4.9496904024767785</v>
      </c>
      <c r="BE279">
        <v>0</v>
      </c>
      <c r="BF279">
        <v>0</v>
      </c>
      <c r="BG279">
        <v>0</v>
      </c>
      <c r="BI279">
        <v>0.20203283815480852</v>
      </c>
      <c r="BJ279">
        <v>0.20203283815480852</v>
      </c>
      <c r="BK279">
        <v>0.76584413256850792</v>
      </c>
      <c r="BL279">
        <v>0</v>
      </c>
      <c r="BM279">
        <v>0</v>
      </c>
      <c r="BN279">
        <v>0</v>
      </c>
      <c r="BO279">
        <v>0</v>
      </c>
      <c r="BP279">
        <v>0</v>
      </c>
      <c r="BQ279">
        <v>0</v>
      </c>
      <c r="BR279">
        <v>0</v>
      </c>
      <c r="BS279">
        <v>0</v>
      </c>
      <c r="BT279">
        <v>0</v>
      </c>
      <c r="BU279">
        <v>0</v>
      </c>
      <c r="BV279">
        <v>0.23415586743149208</v>
      </c>
      <c r="BW279">
        <v>0</v>
      </c>
      <c r="BX279">
        <v>0</v>
      </c>
      <c r="BY279">
        <v>0</v>
      </c>
      <c r="BZ279">
        <v>0.20203283815480852</v>
      </c>
      <c r="CA279">
        <v>0</v>
      </c>
      <c r="CB279">
        <v>0</v>
      </c>
      <c r="CC279">
        <v>0</v>
      </c>
      <c r="CD279">
        <v>0</v>
      </c>
      <c r="CE279">
        <v>0</v>
      </c>
    </row>
    <row r="280" spans="1:83" x14ac:dyDescent="0.25">
      <c r="A280" t="s">
        <v>128</v>
      </c>
      <c r="B280" t="s">
        <v>146</v>
      </c>
      <c r="C280" t="s">
        <v>72</v>
      </c>
      <c r="D280" s="12">
        <v>46241</v>
      </c>
      <c r="E280" t="s">
        <v>136</v>
      </c>
      <c r="F280" t="s">
        <v>74</v>
      </c>
      <c r="G280">
        <v>0</v>
      </c>
      <c r="H280">
        <v>0</v>
      </c>
      <c r="I280">
        <v>10</v>
      </c>
      <c r="J280">
        <v>1</v>
      </c>
      <c r="K280">
        <v>0</v>
      </c>
      <c r="L280">
        <v>46241</v>
      </c>
      <c r="M280" t="s">
        <v>211</v>
      </c>
      <c r="N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K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1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E280">
        <v>0</v>
      </c>
    </row>
    <row r="281" spans="1:83" x14ac:dyDescent="0.25">
      <c r="A281" t="s">
        <v>128</v>
      </c>
      <c r="B281" t="s">
        <v>145</v>
      </c>
      <c r="C281" t="s">
        <v>72</v>
      </c>
      <c r="D281" s="12">
        <v>46241</v>
      </c>
      <c r="E281" t="s">
        <v>136</v>
      </c>
      <c r="F281" t="s">
        <v>74</v>
      </c>
      <c r="G281">
        <v>0</v>
      </c>
      <c r="H281">
        <v>0</v>
      </c>
      <c r="I281">
        <v>10</v>
      </c>
      <c r="K281">
        <v>0</v>
      </c>
      <c r="L281">
        <v>46241</v>
      </c>
      <c r="M281" t="s">
        <v>211</v>
      </c>
      <c r="N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1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K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1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E281">
        <v>0</v>
      </c>
    </row>
    <row r="282" spans="1:83" x14ac:dyDescent="0.25">
      <c r="A282" t="s">
        <v>128</v>
      </c>
      <c r="B282" t="s">
        <v>146</v>
      </c>
      <c r="C282" t="s">
        <v>72</v>
      </c>
      <c r="D282" s="12">
        <v>46241</v>
      </c>
      <c r="E282" t="s">
        <v>136</v>
      </c>
      <c r="F282" t="s">
        <v>75</v>
      </c>
      <c r="G282">
        <v>3.1779578349000133</v>
      </c>
      <c r="H282">
        <v>3.8</v>
      </c>
      <c r="I282">
        <v>10</v>
      </c>
      <c r="J282">
        <v>1</v>
      </c>
      <c r="K282">
        <v>3.8</v>
      </c>
      <c r="L282">
        <v>46241</v>
      </c>
      <c r="M282" t="s">
        <v>210</v>
      </c>
      <c r="N282">
        <v>4.6332179930795849</v>
      </c>
      <c r="O282">
        <v>1.1957364437843643</v>
      </c>
      <c r="P282">
        <v>1.1957364437843643</v>
      </c>
      <c r="Q282">
        <v>1.4579230542954507</v>
      </c>
      <c r="R282">
        <v>0.26218661051108638</v>
      </c>
      <c r="S282">
        <v>0</v>
      </c>
      <c r="T282">
        <v>0</v>
      </c>
      <c r="U282">
        <v>0</v>
      </c>
      <c r="V282">
        <v>0</v>
      </c>
      <c r="W282">
        <v>5.4263556215635722E-2</v>
      </c>
      <c r="X282">
        <v>0.19573644378436428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1</v>
      </c>
      <c r="AL282">
        <v>0.83630469339474034</v>
      </c>
      <c r="AM282">
        <v>0.83630469339474034</v>
      </c>
      <c r="AN282">
        <v>1.2192678929156804</v>
      </c>
      <c r="AO282">
        <v>0.21926789291568038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0.83630469339474034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0.82016430171769972</v>
      </c>
      <c r="BJ282">
        <v>0.82016430171769972</v>
      </c>
      <c r="BK282">
        <v>0.6859072548813322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0.17983569828230028</v>
      </c>
      <c r="BW282">
        <v>0</v>
      </c>
      <c r="BX282">
        <v>0.13425704683636752</v>
      </c>
      <c r="BY282">
        <v>0</v>
      </c>
      <c r="BZ282">
        <v>0.6859072548813322</v>
      </c>
      <c r="CA282">
        <v>0</v>
      </c>
      <c r="CB282">
        <v>0</v>
      </c>
      <c r="CC282">
        <v>0</v>
      </c>
      <c r="CD282">
        <v>0</v>
      </c>
      <c r="CE282">
        <v>0</v>
      </c>
    </row>
    <row r="283" spans="1:83" x14ac:dyDescent="0.25">
      <c r="A283" t="s">
        <v>128</v>
      </c>
      <c r="B283" t="s">
        <v>145</v>
      </c>
      <c r="C283" t="s">
        <v>72</v>
      </c>
      <c r="D283" s="12">
        <v>46241</v>
      </c>
      <c r="E283" t="s">
        <v>136</v>
      </c>
      <c r="F283" t="s">
        <v>75</v>
      </c>
      <c r="G283">
        <v>3.1774912809962856</v>
      </c>
      <c r="H283">
        <v>0</v>
      </c>
      <c r="I283">
        <v>10</v>
      </c>
      <c r="K283">
        <v>0</v>
      </c>
      <c r="L283">
        <v>46241</v>
      </c>
      <c r="M283" t="s">
        <v>210</v>
      </c>
      <c r="N283">
        <v>4.6332179930795849</v>
      </c>
      <c r="O283">
        <v>0</v>
      </c>
      <c r="P283">
        <v>0</v>
      </c>
      <c r="Q283">
        <v>1.4581371224492752</v>
      </c>
      <c r="R283">
        <v>0.45813712244927518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1</v>
      </c>
      <c r="AK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1</v>
      </c>
      <c r="BH283">
        <v>1</v>
      </c>
      <c r="BI283">
        <v>0</v>
      </c>
      <c r="BJ283">
        <v>0</v>
      </c>
      <c r="BK283">
        <v>0.68580655728747308</v>
      </c>
      <c r="BL283">
        <v>0</v>
      </c>
      <c r="BM283">
        <v>0</v>
      </c>
      <c r="BN283">
        <v>0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0</v>
      </c>
      <c r="BV283">
        <v>0.31419344271252692</v>
      </c>
      <c r="BW283">
        <v>0</v>
      </c>
      <c r="BX283">
        <v>0</v>
      </c>
      <c r="BY283">
        <v>0</v>
      </c>
      <c r="BZ283">
        <v>0</v>
      </c>
      <c r="CA283">
        <v>0</v>
      </c>
      <c r="CB283">
        <v>0</v>
      </c>
      <c r="CC283">
        <v>0</v>
      </c>
      <c r="CD283">
        <v>0.68580655728747308</v>
      </c>
      <c r="CE283">
        <v>0</v>
      </c>
    </row>
    <row r="284" spans="1:83" x14ac:dyDescent="0.25">
      <c r="A284" t="s">
        <v>128</v>
      </c>
      <c r="B284" t="s">
        <v>145</v>
      </c>
      <c r="C284" t="s">
        <v>72</v>
      </c>
      <c r="D284" s="12">
        <v>46242</v>
      </c>
      <c r="E284" t="s">
        <v>136</v>
      </c>
      <c r="F284" t="s">
        <v>73</v>
      </c>
      <c r="G284">
        <v>3.6011567851291222</v>
      </c>
      <c r="H284">
        <v>0</v>
      </c>
      <c r="I284">
        <v>10</v>
      </c>
      <c r="K284">
        <v>0</v>
      </c>
      <c r="L284">
        <v>46242</v>
      </c>
      <c r="M284" t="s">
        <v>209</v>
      </c>
      <c r="N284">
        <v>4.702205882352942</v>
      </c>
      <c r="O284">
        <v>0</v>
      </c>
      <c r="P284">
        <v>0</v>
      </c>
      <c r="Q284">
        <v>1.3057487254569342</v>
      </c>
      <c r="R284">
        <v>0.30574872545693421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1</v>
      </c>
      <c r="AK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1</v>
      </c>
      <c r="BH284">
        <v>1</v>
      </c>
      <c r="BI284">
        <v>0</v>
      </c>
      <c r="BJ284">
        <v>0</v>
      </c>
      <c r="BK284">
        <v>0.76584413256850747</v>
      </c>
      <c r="BL284">
        <v>0</v>
      </c>
      <c r="BM284">
        <v>0</v>
      </c>
      <c r="BN284">
        <v>0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0</v>
      </c>
      <c r="BV284">
        <v>0.23415586743149253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0.76584413256850747</v>
      </c>
      <c r="CE284">
        <v>0</v>
      </c>
    </row>
    <row r="285" spans="1:83" x14ac:dyDescent="0.25">
      <c r="A285" t="s">
        <v>128</v>
      </c>
      <c r="B285" t="s">
        <v>146</v>
      </c>
      <c r="C285" t="s">
        <v>72</v>
      </c>
      <c r="D285" s="12">
        <v>46242</v>
      </c>
      <c r="E285" t="s">
        <v>136</v>
      </c>
      <c r="F285" t="s">
        <v>73</v>
      </c>
      <c r="G285">
        <v>3.5876164620550925</v>
      </c>
      <c r="H285">
        <v>3.8</v>
      </c>
      <c r="I285">
        <v>10</v>
      </c>
      <c r="J285">
        <v>1</v>
      </c>
      <c r="K285">
        <v>3.8</v>
      </c>
      <c r="L285">
        <v>46242</v>
      </c>
      <c r="M285" t="s">
        <v>209</v>
      </c>
      <c r="N285">
        <v>4.702205882352942</v>
      </c>
      <c r="O285">
        <v>1.0591990643903022</v>
      </c>
      <c r="P285">
        <v>1.0591990643903022</v>
      </c>
      <c r="Q285">
        <v>1.3106768608312662</v>
      </c>
      <c r="R285">
        <v>0.25147779644096402</v>
      </c>
      <c r="S285">
        <v>0</v>
      </c>
      <c r="T285">
        <v>0</v>
      </c>
      <c r="U285">
        <v>0</v>
      </c>
      <c r="V285">
        <v>0</v>
      </c>
      <c r="W285">
        <v>0.1908009356096978</v>
      </c>
      <c r="X285">
        <v>5.9199064390302203E-2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1</v>
      </c>
      <c r="AL285">
        <v>0.94410959527765603</v>
      </c>
      <c r="AM285">
        <v>0.94410959527765603</v>
      </c>
      <c r="AN285">
        <v>1.2374226006191953</v>
      </c>
      <c r="AO285">
        <v>0.23742260061919529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0.94410959527765603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0.80813135261923363</v>
      </c>
      <c r="BJ285">
        <v>0.80813135261923363</v>
      </c>
      <c r="BK285">
        <v>0.76296456425252934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0.19186864738076637</v>
      </c>
      <c r="BW285">
        <v>0</v>
      </c>
      <c r="BX285">
        <v>4.5166788366704291E-2</v>
      </c>
      <c r="BY285">
        <v>0</v>
      </c>
      <c r="BZ285">
        <v>0.76296456425252934</v>
      </c>
      <c r="CA285">
        <v>0</v>
      </c>
      <c r="CB285">
        <v>0</v>
      </c>
      <c r="CC285">
        <v>0</v>
      </c>
      <c r="CD285">
        <v>0</v>
      </c>
      <c r="CE285">
        <v>0</v>
      </c>
    </row>
    <row r="286" spans="1:83" x14ac:dyDescent="0.25">
      <c r="A286" t="s">
        <v>128</v>
      </c>
      <c r="B286" t="s">
        <v>145</v>
      </c>
      <c r="C286" t="s">
        <v>72</v>
      </c>
      <c r="D286" s="12">
        <v>46242</v>
      </c>
      <c r="E286" t="s">
        <v>136</v>
      </c>
      <c r="F286" t="s">
        <v>74</v>
      </c>
      <c r="G286">
        <v>0</v>
      </c>
      <c r="H286">
        <v>0</v>
      </c>
      <c r="I286">
        <v>10</v>
      </c>
      <c r="K286">
        <v>0</v>
      </c>
      <c r="L286">
        <v>46242</v>
      </c>
      <c r="M286" t="s">
        <v>208</v>
      </c>
      <c r="N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K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1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E286">
        <v>0</v>
      </c>
    </row>
    <row r="287" spans="1:83" x14ac:dyDescent="0.25">
      <c r="A287" t="s">
        <v>128</v>
      </c>
      <c r="B287" t="s">
        <v>146</v>
      </c>
      <c r="C287" t="s">
        <v>72</v>
      </c>
      <c r="D287" s="12">
        <v>46242</v>
      </c>
      <c r="E287" t="s">
        <v>136</v>
      </c>
      <c r="F287" t="s">
        <v>74</v>
      </c>
      <c r="G287">
        <v>0</v>
      </c>
      <c r="H287">
        <v>0.95</v>
      </c>
      <c r="I287">
        <v>10</v>
      </c>
      <c r="J287">
        <v>1</v>
      </c>
      <c r="K287">
        <v>0.95</v>
      </c>
      <c r="L287">
        <v>46242</v>
      </c>
      <c r="M287" t="s">
        <v>208</v>
      </c>
      <c r="N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1</v>
      </c>
      <c r="AI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1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1</v>
      </c>
      <c r="CC287">
        <v>0</v>
      </c>
      <c r="CE287">
        <v>0</v>
      </c>
    </row>
    <row r="288" spans="1:83" x14ac:dyDescent="0.25">
      <c r="A288" t="s">
        <v>128</v>
      </c>
      <c r="B288" t="s">
        <v>145</v>
      </c>
      <c r="C288" t="s">
        <v>72</v>
      </c>
      <c r="D288" s="12">
        <v>46242</v>
      </c>
      <c r="E288" t="s">
        <v>136</v>
      </c>
      <c r="F288" t="s">
        <v>75</v>
      </c>
      <c r="G288">
        <v>3.1774912809962856</v>
      </c>
      <c r="H288">
        <v>0</v>
      </c>
      <c r="I288">
        <v>10</v>
      </c>
      <c r="K288">
        <v>0</v>
      </c>
      <c r="L288">
        <v>46242</v>
      </c>
      <c r="M288" t="s">
        <v>207</v>
      </c>
      <c r="N288">
        <v>4.6332179930795849</v>
      </c>
      <c r="O288">
        <v>0</v>
      </c>
      <c r="P288">
        <v>0</v>
      </c>
      <c r="Q288">
        <v>1.4581371224492752</v>
      </c>
      <c r="R288">
        <v>0.45813712244927518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1</v>
      </c>
      <c r="AK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1</v>
      </c>
      <c r="BH288">
        <v>1</v>
      </c>
      <c r="BI288">
        <v>0</v>
      </c>
      <c r="BJ288">
        <v>0</v>
      </c>
      <c r="BK288">
        <v>0.68580655728747308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0.31419344271252692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0.68580655728747308</v>
      </c>
      <c r="CE288">
        <v>0</v>
      </c>
    </row>
    <row r="289" spans="1:83" x14ac:dyDescent="0.25">
      <c r="A289" t="s">
        <v>128</v>
      </c>
      <c r="B289" t="s">
        <v>146</v>
      </c>
      <c r="C289" t="s">
        <v>72</v>
      </c>
      <c r="D289" s="12">
        <v>46242</v>
      </c>
      <c r="E289" t="s">
        <v>136</v>
      </c>
      <c r="F289" t="s">
        <v>75</v>
      </c>
      <c r="G289">
        <v>3.1779578349000133</v>
      </c>
      <c r="H289">
        <v>2.8499999999999996</v>
      </c>
      <c r="I289">
        <v>10</v>
      </c>
      <c r="J289">
        <v>1</v>
      </c>
      <c r="K289">
        <v>2.8499999999999996</v>
      </c>
      <c r="L289">
        <v>46242</v>
      </c>
      <c r="M289" t="s">
        <v>207</v>
      </c>
      <c r="N289">
        <v>4.6332179930795849</v>
      </c>
      <c r="O289">
        <v>0.89680233283827315</v>
      </c>
      <c r="P289">
        <v>0.89680233283827315</v>
      </c>
      <c r="Q289">
        <v>1.4579230542954507</v>
      </c>
      <c r="R289">
        <v>0.45792305429545066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0.10319766716172685</v>
      </c>
      <c r="AB289">
        <v>0</v>
      </c>
      <c r="AC289">
        <v>0</v>
      </c>
      <c r="AD289">
        <v>0</v>
      </c>
      <c r="AE289">
        <v>0</v>
      </c>
      <c r="AF289">
        <v>0.89680233283827315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1.1150729245263207</v>
      </c>
      <c r="AM289">
        <v>1.1150729245263207</v>
      </c>
      <c r="AN289">
        <v>1.6256905238875738</v>
      </c>
      <c r="AO289">
        <v>0.51061759936125317</v>
      </c>
      <c r="AP289">
        <v>0</v>
      </c>
      <c r="AQ289">
        <v>0</v>
      </c>
      <c r="AR289">
        <v>0</v>
      </c>
      <c r="AS289">
        <v>0</v>
      </c>
      <c r="AT289">
        <v>0.38492707547367933</v>
      </c>
      <c r="AU289">
        <v>0.11507292452632067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>
        <v>0</v>
      </c>
      <c r="BI289">
        <v>0.61512322628827476</v>
      </c>
      <c r="BJ289">
        <v>0.61512322628827476</v>
      </c>
      <c r="BK289">
        <v>0.6859072548813322</v>
      </c>
      <c r="BL289">
        <v>0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0.3140927451186678</v>
      </c>
      <c r="BW289">
        <v>0</v>
      </c>
      <c r="BX289">
        <v>0</v>
      </c>
      <c r="BY289">
        <v>0</v>
      </c>
      <c r="BZ289">
        <v>0.61512322628827476</v>
      </c>
      <c r="CA289">
        <v>0</v>
      </c>
      <c r="CB289">
        <v>0</v>
      </c>
      <c r="CC289">
        <v>0</v>
      </c>
      <c r="CD289">
        <v>0</v>
      </c>
      <c r="CE289">
        <v>0</v>
      </c>
    </row>
    <row r="290" spans="1:83" x14ac:dyDescent="0.25">
      <c r="A290" t="s">
        <v>128</v>
      </c>
      <c r="B290" t="s">
        <v>146</v>
      </c>
      <c r="C290" t="s">
        <v>72</v>
      </c>
      <c r="D290" s="12">
        <v>46243</v>
      </c>
      <c r="E290" t="s">
        <v>136</v>
      </c>
      <c r="F290" t="s">
        <v>73</v>
      </c>
      <c r="G290">
        <v>3.5876164620550925</v>
      </c>
      <c r="H290">
        <v>3.8</v>
      </c>
      <c r="I290">
        <v>10</v>
      </c>
      <c r="J290">
        <v>1</v>
      </c>
      <c r="K290">
        <v>3.8</v>
      </c>
      <c r="L290">
        <v>46243</v>
      </c>
      <c r="M290" t="s">
        <v>206</v>
      </c>
      <c r="N290">
        <v>4.702205882352942</v>
      </c>
      <c r="O290">
        <v>1.0591990643903022</v>
      </c>
      <c r="P290">
        <v>1.0591990643903022</v>
      </c>
      <c r="Q290">
        <v>1.3106768608312662</v>
      </c>
      <c r="R290">
        <v>0.25147779644096402</v>
      </c>
      <c r="S290">
        <v>0</v>
      </c>
      <c r="T290">
        <v>0</v>
      </c>
      <c r="U290">
        <v>0</v>
      </c>
      <c r="V290">
        <v>0</v>
      </c>
      <c r="W290">
        <v>0.1908009356096978</v>
      </c>
      <c r="X290">
        <v>5.9199064390302203E-2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1</v>
      </c>
      <c r="AL290">
        <v>0.94410959527765603</v>
      </c>
      <c r="AM290">
        <v>0.94410959527765603</v>
      </c>
      <c r="AN290">
        <v>1.2374226006191953</v>
      </c>
      <c r="AO290">
        <v>0.23742260061919529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0.94410959527765603</v>
      </c>
      <c r="BD290">
        <v>0</v>
      </c>
      <c r="BE290">
        <v>0</v>
      </c>
      <c r="BF290">
        <v>0</v>
      </c>
      <c r="BG290">
        <v>0</v>
      </c>
      <c r="BH290">
        <v>0</v>
      </c>
      <c r="BI290">
        <v>0.80813135261923363</v>
      </c>
      <c r="BJ290">
        <v>0.80813135261923363</v>
      </c>
      <c r="BK290">
        <v>0.76296456425252934</v>
      </c>
      <c r="BL290">
        <v>0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0.19186864738076637</v>
      </c>
      <c r="BW290">
        <v>0</v>
      </c>
      <c r="BX290">
        <v>4.5166788366704291E-2</v>
      </c>
      <c r="BY290">
        <v>0</v>
      </c>
      <c r="BZ290">
        <v>0.76296456425252934</v>
      </c>
      <c r="CA290">
        <v>0</v>
      </c>
      <c r="CB290">
        <v>0</v>
      </c>
      <c r="CC290">
        <v>0</v>
      </c>
      <c r="CD290">
        <v>0</v>
      </c>
      <c r="CE290">
        <v>0</v>
      </c>
    </row>
    <row r="291" spans="1:83" x14ac:dyDescent="0.25">
      <c r="A291" t="s">
        <v>128</v>
      </c>
      <c r="B291" t="s">
        <v>145</v>
      </c>
      <c r="C291" t="s">
        <v>72</v>
      </c>
      <c r="D291" s="12">
        <v>46243</v>
      </c>
      <c r="E291" t="s">
        <v>136</v>
      </c>
      <c r="F291" t="s">
        <v>73</v>
      </c>
      <c r="G291">
        <v>3.6011567851291222</v>
      </c>
      <c r="H291">
        <v>0.95</v>
      </c>
      <c r="I291">
        <v>10</v>
      </c>
      <c r="K291">
        <v>0.95</v>
      </c>
      <c r="L291">
        <v>46243</v>
      </c>
      <c r="M291" t="s">
        <v>206</v>
      </c>
      <c r="N291">
        <v>4.702205882352942</v>
      </c>
      <c r="O291">
        <v>0.26380412092108813</v>
      </c>
      <c r="P291">
        <v>0.26380412092108813</v>
      </c>
      <c r="Q291">
        <v>1.3057487254569342</v>
      </c>
      <c r="R291">
        <v>0.30574872545693421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0.73619587907891182</v>
      </c>
      <c r="AB291">
        <v>0</v>
      </c>
      <c r="AC291">
        <v>0</v>
      </c>
      <c r="AD291">
        <v>0</v>
      </c>
      <c r="AE291">
        <v>0</v>
      </c>
      <c r="AF291">
        <v>0.26380412092108813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3.7906913527674972</v>
      </c>
      <c r="AM291">
        <v>3.7906913527674972</v>
      </c>
      <c r="AN291">
        <v>4.9496904024767812</v>
      </c>
      <c r="BE291">
        <v>0</v>
      </c>
      <c r="BF291">
        <v>0</v>
      </c>
      <c r="BG291">
        <v>0</v>
      </c>
      <c r="BI291">
        <v>0.20203283815480841</v>
      </c>
      <c r="BJ291">
        <v>0.20203283815480841</v>
      </c>
      <c r="BK291">
        <v>0.76584413256850747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0.23415586743149253</v>
      </c>
      <c r="BW291">
        <v>0</v>
      </c>
      <c r="BX291">
        <v>0</v>
      </c>
      <c r="BY291">
        <v>0</v>
      </c>
      <c r="BZ291">
        <v>0.20203283815480841</v>
      </c>
      <c r="CA291">
        <v>0</v>
      </c>
      <c r="CB291">
        <v>0</v>
      </c>
      <c r="CC291">
        <v>0</v>
      </c>
      <c r="CD291">
        <v>0</v>
      </c>
      <c r="CE291">
        <v>0</v>
      </c>
    </row>
    <row r="292" spans="1:83" x14ac:dyDescent="0.25">
      <c r="A292" t="s">
        <v>128</v>
      </c>
      <c r="B292" t="s">
        <v>145</v>
      </c>
      <c r="C292" t="s">
        <v>72</v>
      </c>
      <c r="D292" s="12">
        <v>46243</v>
      </c>
      <c r="E292" t="s">
        <v>136</v>
      </c>
      <c r="F292" t="s">
        <v>74</v>
      </c>
      <c r="G292">
        <v>0</v>
      </c>
      <c r="H292">
        <v>0</v>
      </c>
      <c r="I292">
        <v>10</v>
      </c>
      <c r="K292">
        <v>0</v>
      </c>
      <c r="L292">
        <v>46243</v>
      </c>
      <c r="M292" t="s">
        <v>214</v>
      </c>
      <c r="N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K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1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E292">
        <v>0</v>
      </c>
    </row>
    <row r="293" spans="1:83" x14ac:dyDescent="0.25">
      <c r="A293" t="s">
        <v>128</v>
      </c>
      <c r="B293" t="s">
        <v>146</v>
      </c>
      <c r="C293" t="s">
        <v>72</v>
      </c>
      <c r="D293" s="12">
        <v>46243</v>
      </c>
      <c r="E293" t="s">
        <v>136</v>
      </c>
      <c r="F293" t="s">
        <v>74</v>
      </c>
      <c r="G293">
        <v>0</v>
      </c>
      <c r="H293">
        <v>0.95</v>
      </c>
      <c r="I293">
        <v>10</v>
      </c>
      <c r="J293">
        <v>1</v>
      </c>
      <c r="K293">
        <v>0.95</v>
      </c>
      <c r="L293">
        <v>46243</v>
      </c>
      <c r="M293" t="s">
        <v>214</v>
      </c>
      <c r="N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1</v>
      </c>
      <c r="AI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1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1</v>
      </c>
      <c r="CC293">
        <v>0</v>
      </c>
      <c r="CE293">
        <v>0</v>
      </c>
    </row>
    <row r="294" spans="1:83" x14ac:dyDescent="0.25">
      <c r="A294" t="s">
        <v>128</v>
      </c>
      <c r="B294" t="s">
        <v>145</v>
      </c>
      <c r="C294" t="s">
        <v>72</v>
      </c>
      <c r="D294" s="12">
        <v>46243</v>
      </c>
      <c r="E294" t="s">
        <v>136</v>
      </c>
      <c r="F294" t="s">
        <v>75</v>
      </c>
      <c r="G294">
        <v>3.1774912809962856</v>
      </c>
      <c r="H294">
        <v>0</v>
      </c>
      <c r="I294">
        <v>10</v>
      </c>
      <c r="K294">
        <v>0</v>
      </c>
      <c r="L294">
        <v>46243</v>
      </c>
      <c r="M294" t="s">
        <v>205</v>
      </c>
      <c r="N294">
        <v>4.6332179930795849</v>
      </c>
      <c r="O294">
        <v>0</v>
      </c>
      <c r="P294">
        <v>0</v>
      </c>
      <c r="Q294">
        <v>1.4581371224492752</v>
      </c>
      <c r="R294">
        <v>0.45813712244927518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1</v>
      </c>
      <c r="AK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1</v>
      </c>
      <c r="BH294">
        <v>1</v>
      </c>
      <c r="BI294">
        <v>0</v>
      </c>
      <c r="BJ294">
        <v>0</v>
      </c>
      <c r="BK294">
        <v>0.68580655728747308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0.31419344271252692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0.68580655728747308</v>
      </c>
      <c r="CE294">
        <v>0</v>
      </c>
    </row>
    <row r="295" spans="1:83" x14ac:dyDescent="0.25">
      <c r="A295" t="s">
        <v>128</v>
      </c>
      <c r="B295" t="s">
        <v>146</v>
      </c>
      <c r="C295" t="s">
        <v>72</v>
      </c>
      <c r="D295" s="12">
        <v>46243</v>
      </c>
      <c r="E295" t="s">
        <v>136</v>
      </c>
      <c r="F295" t="s">
        <v>75</v>
      </c>
      <c r="G295">
        <v>3.1779578349000133</v>
      </c>
      <c r="H295">
        <v>2.8499999999999996</v>
      </c>
      <c r="I295">
        <v>10</v>
      </c>
      <c r="J295">
        <v>1</v>
      </c>
      <c r="K295">
        <v>2.8499999999999996</v>
      </c>
      <c r="L295">
        <v>46243</v>
      </c>
      <c r="M295" t="s">
        <v>205</v>
      </c>
      <c r="N295">
        <v>4.6332179930795849</v>
      </c>
      <c r="O295">
        <v>0.89680233283827315</v>
      </c>
      <c r="P295">
        <v>0.89680233283827315</v>
      </c>
      <c r="Q295">
        <v>1.4579230542954507</v>
      </c>
      <c r="R295">
        <v>0.45792305429545066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0.10319766716172685</v>
      </c>
      <c r="AB295">
        <v>0</v>
      </c>
      <c r="AC295">
        <v>0</v>
      </c>
      <c r="AD295">
        <v>0</v>
      </c>
      <c r="AE295">
        <v>0</v>
      </c>
      <c r="AF295">
        <v>0.89680233283827315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1.1150729245263207</v>
      </c>
      <c r="AM295">
        <v>1.1150729245263207</v>
      </c>
      <c r="AN295">
        <v>1.6256905238875738</v>
      </c>
      <c r="AO295">
        <v>0.51061759936125317</v>
      </c>
      <c r="AP295">
        <v>0</v>
      </c>
      <c r="AQ295">
        <v>0</v>
      </c>
      <c r="AR295">
        <v>0</v>
      </c>
      <c r="AS295">
        <v>0</v>
      </c>
      <c r="AT295">
        <v>0.38492707547367933</v>
      </c>
      <c r="AU295">
        <v>0.11507292452632067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>
        <v>0</v>
      </c>
      <c r="BI295">
        <v>0.61512322628827476</v>
      </c>
      <c r="BJ295">
        <v>0.61512322628827476</v>
      </c>
      <c r="BK295">
        <v>0.6859072548813322</v>
      </c>
      <c r="BL295">
        <v>0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0.3140927451186678</v>
      </c>
      <c r="BW295">
        <v>0</v>
      </c>
      <c r="BX295">
        <v>0</v>
      </c>
      <c r="BY295">
        <v>0</v>
      </c>
      <c r="BZ295">
        <v>0.61512322628827476</v>
      </c>
      <c r="CA295">
        <v>0</v>
      </c>
      <c r="CB295">
        <v>0</v>
      </c>
      <c r="CC295">
        <v>0</v>
      </c>
      <c r="CD295">
        <v>0</v>
      </c>
      <c r="CE295">
        <v>0</v>
      </c>
    </row>
    <row r="296" spans="1:83" x14ac:dyDescent="0.25">
      <c r="A296" t="s">
        <v>128</v>
      </c>
      <c r="B296" t="s">
        <v>146</v>
      </c>
      <c r="C296" t="s">
        <v>72</v>
      </c>
      <c r="D296" s="12">
        <v>46244</v>
      </c>
      <c r="E296" t="s">
        <v>136</v>
      </c>
      <c r="F296" t="s">
        <v>73</v>
      </c>
      <c r="G296">
        <v>3.5876164620550925</v>
      </c>
      <c r="H296">
        <v>3.8</v>
      </c>
      <c r="I296">
        <v>10</v>
      </c>
      <c r="J296">
        <v>1</v>
      </c>
      <c r="K296">
        <v>3.8</v>
      </c>
      <c r="L296">
        <v>46244</v>
      </c>
      <c r="M296" t="s">
        <v>203</v>
      </c>
      <c r="N296">
        <v>4.7022058823529411</v>
      </c>
      <c r="O296">
        <v>1.0591990643903022</v>
      </c>
      <c r="P296">
        <v>1.0591990643903022</v>
      </c>
      <c r="Q296">
        <v>1.310676860831266</v>
      </c>
      <c r="R296">
        <v>0.2514777964409638</v>
      </c>
      <c r="S296">
        <v>0</v>
      </c>
      <c r="T296">
        <v>0</v>
      </c>
      <c r="U296">
        <v>0</v>
      </c>
      <c r="V296">
        <v>0</v>
      </c>
      <c r="W296">
        <v>0.1908009356096978</v>
      </c>
      <c r="X296">
        <v>5.9199064390302203E-2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1</v>
      </c>
      <c r="AL296">
        <v>0.94410959527765603</v>
      </c>
      <c r="AM296">
        <v>0.94410959527765603</v>
      </c>
      <c r="AN296">
        <v>1.2374226006191951</v>
      </c>
      <c r="AO296">
        <v>0.23742260061919507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0.94410959527765603</v>
      </c>
      <c r="BD296">
        <v>0</v>
      </c>
      <c r="BE296">
        <v>0</v>
      </c>
      <c r="BF296">
        <v>0</v>
      </c>
      <c r="BG296">
        <v>0</v>
      </c>
      <c r="BH296">
        <v>0</v>
      </c>
      <c r="BI296">
        <v>0.80813135261923374</v>
      </c>
      <c r="BJ296">
        <v>0.80813135261923374</v>
      </c>
      <c r="BK296">
        <v>0.76296456425252945</v>
      </c>
      <c r="BL296">
        <v>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0.19186864738076626</v>
      </c>
      <c r="BW296">
        <v>0</v>
      </c>
      <c r="BX296">
        <v>4.5166788366704291E-2</v>
      </c>
      <c r="BY296">
        <v>0</v>
      </c>
      <c r="BZ296">
        <v>0.76296456425252945</v>
      </c>
      <c r="CA296">
        <v>0</v>
      </c>
      <c r="CB296">
        <v>0</v>
      </c>
      <c r="CC296">
        <v>0</v>
      </c>
      <c r="CD296">
        <v>0</v>
      </c>
      <c r="CE296">
        <v>0</v>
      </c>
    </row>
    <row r="297" spans="1:83" x14ac:dyDescent="0.25">
      <c r="A297" t="s">
        <v>128</v>
      </c>
      <c r="B297" t="s">
        <v>145</v>
      </c>
      <c r="C297" t="s">
        <v>72</v>
      </c>
      <c r="D297" s="12">
        <v>46244</v>
      </c>
      <c r="E297" t="s">
        <v>136</v>
      </c>
      <c r="F297" t="s">
        <v>73</v>
      </c>
      <c r="G297">
        <v>3.6011567851291222</v>
      </c>
      <c r="H297">
        <v>0</v>
      </c>
      <c r="I297">
        <v>10</v>
      </c>
      <c r="K297">
        <v>0</v>
      </c>
      <c r="L297">
        <v>46244</v>
      </c>
      <c r="M297" t="s">
        <v>203</v>
      </c>
      <c r="N297">
        <v>4.7022058823529411</v>
      </c>
      <c r="O297">
        <v>0</v>
      </c>
      <c r="P297">
        <v>0</v>
      </c>
      <c r="Q297">
        <v>1.305748725456934</v>
      </c>
      <c r="R297">
        <v>0.30574872545693399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1</v>
      </c>
      <c r="AK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1</v>
      </c>
      <c r="BH297">
        <v>1</v>
      </c>
      <c r="BI297">
        <v>0</v>
      </c>
      <c r="BJ297">
        <v>0</v>
      </c>
      <c r="BK297">
        <v>0.76584413256850759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0.23415586743149241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0.76584413256850759</v>
      </c>
      <c r="CE297">
        <v>0</v>
      </c>
    </row>
    <row r="298" spans="1:83" x14ac:dyDescent="0.25">
      <c r="A298" t="s">
        <v>128</v>
      </c>
      <c r="B298" t="s">
        <v>146</v>
      </c>
      <c r="C298" t="s">
        <v>72</v>
      </c>
      <c r="D298" s="12">
        <v>46244</v>
      </c>
      <c r="E298" t="s">
        <v>136</v>
      </c>
      <c r="F298" t="s">
        <v>74</v>
      </c>
      <c r="G298">
        <v>0</v>
      </c>
      <c r="H298">
        <v>0</v>
      </c>
      <c r="I298">
        <v>10</v>
      </c>
      <c r="J298">
        <v>1</v>
      </c>
      <c r="K298">
        <v>0</v>
      </c>
      <c r="L298">
        <v>46244</v>
      </c>
      <c r="M298" t="s">
        <v>202</v>
      </c>
      <c r="N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K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1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E298">
        <v>0</v>
      </c>
    </row>
    <row r="299" spans="1:83" x14ac:dyDescent="0.25">
      <c r="A299" t="s">
        <v>128</v>
      </c>
      <c r="B299" t="s">
        <v>145</v>
      </c>
      <c r="C299" t="s">
        <v>72</v>
      </c>
      <c r="D299" s="12">
        <v>46244</v>
      </c>
      <c r="E299" t="s">
        <v>136</v>
      </c>
      <c r="F299" t="s">
        <v>74</v>
      </c>
      <c r="G299">
        <v>0</v>
      </c>
      <c r="H299">
        <v>0</v>
      </c>
      <c r="I299">
        <v>10</v>
      </c>
      <c r="K299">
        <v>0</v>
      </c>
      <c r="L299">
        <v>46244</v>
      </c>
      <c r="M299" t="s">
        <v>202</v>
      </c>
      <c r="N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K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1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E299">
        <v>0</v>
      </c>
    </row>
    <row r="300" spans="1:83" x14ac:dyDescent="0.25">
      <c r="A300" t="s">
        <v>128</v>
      </c>
      <c r="B300" t="s">
        <v>145</v>
      </c>
      <c r="C300" t="s">
        <v>72</v>
      </c>
      <c r="D300" s="12">
        <v>46244</v>
      </c>
      <c r="E300" t="s">
        <v>136</v>
      </c>
      <c r="F300" t="s">
        <v>75</v>
      </c>
      <c r="G300">
        <v>3.1774912809962848</v>
      </c>
      <c r="H300">
        <v>0</v>
      </c>
      <c r="I300">
        <v>10</v>
      </c>
      <c r="K300">
        <v>0</v>
      </c>
      <c r="L300">
        <v>46244</v>
      </c>
      <c r="M300" t="s">
        <v>201</v>
      </c>
      <c r="N300">
        <v>4.6332179930795849</v>
      </c>
      <c r="O300">
        <v>0</v>
      </c>
      <c r="P300">
        <v>0</v>
      </c>
      <c r="Q300">
        <v>1.4581371224492754</v>
      </c>
      <c r="R300">
        <v>0.4581371224492754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1</v>
      </c>
      <c r="AK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1</v>
      </c>
      <c r="BH300">
        <v>1</v>
      </c>
      <c r="BI300">
        <v>0</v>
      </c>
      <c r="BJ300">
        <v>0</v>
      </c>
      <c r="BK300">
        <v>0.68580655728747297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0.31419344271252703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0.68580655728747297</v>
      </c>
      <c r="CE300">
        <v>0</v>
      </c>
    </row>
    <row r="301" spans="1:83" x14ac:dyDescent="0.25">
      <c r="A301" t="s">
        <v>128</v>
      </c>
      <c r="B301" t="s">
        <v>146</v>
      </c>
      <c r="C301" t="s">
        <v>72</v>
      </c>
      <c r="D301" s="12">
        <v>46244</v>
      </c>
      <c r="E301" t="s">
        <v>136</v>
      </c>
      <c r="F301" t="s">
        <v>75</v>
      </c>
      <c r="G301">
        <v>3.1779578349000128</v>
      </c>
      <c r="H301">
        <v>2.8499999999999996</v>
      </c>
      <c r="I301">
        <v>10</v>
      </c>
      <c r="J301">
        <v>1</v>
      </c>
      <c r="K301">
        <v>2.8499999999999996</v>
      </c>
      <c r="L301">
        <v>46244</v>
      </c>
      <c r="M301" t="s">
        <v>201</v>
      </c>
      <c r="N301">
        <v>4.6332179930795849</v>
      </c>
      <c r="O301">
        <v>0.89680233283827326</v>
      </c>
      <c r="P301">
        <v>0.89680233283827326</v>
      </c>
      <c r="Q301">
        <v>1.4579230542954509</v>
      </c>
      <c r="R301">
        <v>0.45792305429545088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0.10319766716172674</v>
      </c>
      <c r="AB301">
        <v>0</v>
      </c>
      <c r="AC301">
        <v>0</v>
      </c>
      <c r="AD301">
        <v>0</v>
      </c>
      <c r="AE301">
        <v>0</v>
      </c>
      <c r="AF301">
        <v>0.89680233283827326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1.1150729245263205</v>
      </c>
      <c r="AM301">
        <v>1.1150729245263205</v>
      </c>
      <c r="AN301">
        <v>1.6256905238875738</v>
      </c>
      <c r="AO301">
        <v>0.51061759936125339</v>
      </c>
      <c r="AP301">
        <v>0</v>
      </c>
      <c r="AQ301">
        <v>0</v>
      </c>
      <c r="AR301">
        <v>0</v>
      </c>
      <c r="AS301">
        <v>0</v>
      </c>
      <c r="AT301">
        <v>0.38492707547367955</v>
      </c>
      <c r="AU301">
        <v>0.11507292452632045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  <c r="BH301">
        <v>0</v>
      </c>
      <c r="BI301">
        <v>0.61512322628827476</v>
      </c>
      <c r="BJ301">
        <v>0.61512322628827476</v>
      </c>
      <c r="BK301">
        <v>0.68590725488133208</v>
      </c>
      <c r="BL301">
        <v>0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0.31409274511866792</v>
      </c>
      <c r="BW301">
        <v>0</v>
      </c>
      <c r="BX301">
        <v>0</v>
      </c>
      <c r="BY301">
        <v>0</v>
      </c>
      <c r="BZ301">
        <v>0.61512322628827476</v>
      </c>
      <c r="CA301">
        <v>0</v>
      </c>
      <c r="CB301">
        <v>0</v>
      </c>
      <c r="CC301">
        <v>0</v>
      </c>
      <c r="CD301">
        <v>0</v>
      </c>
      <c r="CE301">
        <v>0</v>
      </c>
    </row>
    <row r="302" spans="1:83" x14ac:dyDescent="0.25">
      <c r="A302" t="s">
        <v>128</v>
      </c>
      <c r="B302" t="s">
        <v>145</v>
      </c>
      <c r="C302" t="s">
        <v>72</v>
      </c>
      <c r="D302" s="12">
        <v>46245</v>
      </c>
      <c r="E302" t="s">
        <v>136</v>
      </c>
      <c r="F302" t="s">
        <v>73</v>
      </c>
      <c r="G302">
        <v>3.6011567851291222</v>
      </c>
      <c r="H302">
        <v>0</v>
      </c>
      <c r="I302">
        <v>10</v>
      </c>
      <c r="K302">
        <v>0</v>
      </c>
      <c r="L302">
        <v>46245</v>
      </c>
      <c r="M302" t="s">
        <v>200</v>
      </c>
      <c r="N302">
        <v>4.7022058823529402</v>
      </c>
      <c r="O302">
        <v>0</v>
      </c>
      <c r="P302">
        <v>0</v>
      </c>
      <c r="Q302">
        <v>1.3057487254569338</v>
      </c>
      <c r="R302">
        <v>0.30574872545693377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1</v>
      </c>
      <c r="AK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1</v>
      </c>
      <c r="BH302">
        <v>1</v>
      </c>
      <c r="BI302">
        <v>0</v>
      </c>
      <c r="BJ302">
        <v>0</v>
      </c>
      <c r="BK302">
        <v>0.76584413256850781</v>
      </c>
      <c r="BL302">
        <v>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0.23415586743149219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0.76584413256850781</v>
      </c>
      <c r="CE302">
        <v>0</v>
      </c>
    </row>
    <row r="303" spans="1:83" x14ac:dyDescent="0.25">
      <c r="A303" t="s">
        <v>128</v>
      </c>
      <c r="B303" t="s">
        <v>146</v>
      </c>
      <c r="C303" t="s">
        <v>72</v>
      </c>
      <c r="D303" s="12">
        <v>46245</v>
      </c>
      <c r="E303" t="s">
        <v>136</v>
      </c>
      <c r="F303" t="s">
        <v>73</v>
      </c>
      <c r="G303">
        <v>3.5876164620550925</v>
      </c>
      <c r="H303">
        <v>5.6999999999999993</v>
      </c>
      <c r="I303">
        <v>10</v>
      </c>
      <c r="J303">
        <v>1</v>
      </c>
      <c r="K303">
        <v>5.6999999999999993</v>
      </c>
      <c r="L303">
        <v>46245</v>
      </c>
      <c r="M303" t="s">
        <v>200</v>
      </c>
      <c r="N303">
        <v>4.7022058823529402</v>
      </c>
      <c r="O303">
        <v>1.588798596585453</v>
      </c>
      <c r="P303">
        <v>1.588798596585453</v>
      </c>
      <c r="Q303">
        <v>1.3106768608312656</v>
      </c>
      <c r="R303">
        <v>0</v>
      </c>
      <c r="S303">
        <v>0</v>
      </c>
      <c r="T303">
        <v>0.27812173575418742</v>
      </c>
      <c r="U303">
        <v>0</v>
      </c>
      <c r="V303">
        <v>6.0676860831265556E-2</v>
      </c>
      <c r="W303">
        <v>0</v>
      </c>
      <c r="X303">
        <v>0.25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0.62940639685177069</v>
      </c>
      <c r="AM303">
        <v>0.62940639685177069</v>
      </c>
      <c r="AN303">
        <v>0.8249484004127966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0.1750515995872034</v>
      </c>
      <c r="AZ303">
        <v>0</v>
      </c>
      <c r="BA303">
        <v>0</v>
      </c>
      <c r="BB303">
        <v>0</v>
      </c>
      <c r="BC303">
        <v>0.62940639685177069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1.2121970289288508</v>
      </c>
      <c r="BJ303">
        <v>1.2121970289288508</v>
      </c>
      <c r="BK303">
        <v>0.76296456425252956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0.21219702892885084</v>
      </c>
      <c r="BU303">
        <v>0</v>
      </c>
      <c r="BV303">
        <v>0</v>
      </c>
      <c r="BW303">
        <v>0</v>
      </c>
      <c r="BX303">
        <v>0.23703543574747044</v>
      </c>
      <c r="BY303">
        <v>0</v>
      </c>
      <c r="BZ303">
        <v>0.76296456425252956</v>
      </c>
      <c r="CA303">
        <v>0</v>
      </c>
      <c r="CB303">
        <v>0</v>
      </c>
      <c r="CC303">
        <v>0</v>
      </c>
      <c r="CD303">
        <v>0</v>
      </c>
      <c r="CE303">
        <v>0</v>
      </c>
    </row>
    <row r="304" spans="1:83" x14ac:dyDescent="0.25">
      <c r="A304" t="s">
        <v>128</v>
      </c>
      <c r="B304" t="s">
        <v>146</v>
      </c>
      <c r="C304" t="s">
        <v>72</v>
      </c>
      <c r="D304" s="12">
        <v>46245</v>
      </c>
      <c r="E304" t="s">
        <v>136</v>
      </c>
      <c r="F304" t="s">
        <v>74</v>
      </c>
      <c r="G304">
        <v>0</v>
      </c>
      <c r="H304">
        <v>0.95</v>
      </c>
      <c r="I304">
        <v>10</v>
      </c>
      <c r="J304">
        <v>1</v>
      </c>
      <c r="K304">
        <v>0.95</v>
      </c>
      <c r="L304">
        <v>46245</v>
      </c>
      <c r="M304" t="s">
        <v>199</v>
      </c>
      <c r="N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  <c r="AI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L304">
        <v>0</v>
      </c>
      <c r="BM304">
        <v>0</v>
      </c>
      <c r="BN304">
        <v>0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1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1</v>
      </c>
      <c r="CC304">
        <v>0</v>
      </c>
      <c r="CE304">
        <v>0</v>
      </c>
    </row>
    <row r="305" spans="1:83" x14ac:dyDescent="0.25">
      <c r="A305" t="s">
        <v>128</v>
      </c>
      <c r="B305" t="s">
        <v>145</v>
      </c>
      <c r="C305" t="s">
        <v>72</v>
      </c>
      <c r="D305" s="12">
        <v>46245</v>
      </c>
      <c r="E305" t="s">
        <v>136</v>
      </c>
      <c r="F305" t="s">
        <v>74</v>
      </c>
      <c r="G305">
        <v>0</v>
      </c>
      <c r="H305">
        <v>0</v>
      </c>
      <c r="I305">
        <v>10</v>
      </c>
      <c r="K305">
        <v>0</v>
      </c>
      <c r="L305">
        <v>46245</v>
      </c>
      <c r="M305" t="s">
        <v>199</v>
      </c>
      <c r="N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K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L305">
        <v>0</v>
      </c>
      <c r="BM305">
        <v>0</v>
      </c>
      <c r="BN305">
        <v>0</v>
      </c>
      <c r="BO305">
        <v>0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1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E305">
        <v>0</v>
      </c>
    </row>
    <row r="306" spans="1:83" x14ac:dyDescent="0.25">
      <c r="A306" t="s">
        <v>128</v>
      </c>
      <c r="B306" t="s">
        <v>145</v>
      </c>
      <c r="C306" t="s">
        <v>72</v>
      </c>
      <c r="D306" s="12">
        <v>46245</v>
      </c>
      <c r="E306" t="s">
        <v>136</v>
      </c>
      <c r="F306" t="s">
        <v>75</v>
      </c>
      <c r="G306">
        <v>3.1774912809962848</v>
      </c>
      <c r="H306">
        <v>0</v>
      </c>
      <c r="I306">
        <v>10</v>
      </c>
      <c r="K306">
        <v>0</v>
      </c>
      <c r="L306">
        <v>46245</v>
      </c>
      <c r="M306" t="s">
        <v>198</v>
      </c>
      <c r="N306">
        <v>4.6332179930795849</v>
      </c>
      <c r="O306">
        <v>0</v>
      </c>
      <c r="P306">
        <v>0</v>
      </c>
      <c r="Q306">
        <v>1.4581371224492754</v>
      </c>
      <c r="R306">
        <v>0.4581371224492754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1</v>
      </c>
      <c r="AK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1</v>
      </c>
      <c r="BH306">
        <v>1</v>
      </c>
      <c r="BI306">
        <v>0</v>
      </c>
      <c r="BJ306">
        <v>0</v>
      </c>
      <c r="BK306">
        <v>0.68580655728747297</v>
      </c>
      <c r="BL306">
        <v>0</v>
      </c>
      <c r="BM306">
        <v>0</v>
      </c>
      <c r="BN306">
        <v>0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0.31419344271252703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0.68580655728747297</v>
      </c>
      <c r="CE306">
        <v>0</v>
      </c>
    </row>
    <row r="307" spans="1:83" x14ac:dyDescent="0.25">
      <c r="A307" t="s">
        <v>128</v>
      </c>
      <c r="B307" t="s">
        <v>146</v>
      </c>
      <c r="C307" t="s">
        <v>72</v>
      </c>
      <c r="D307" s="12">
        <v>46245</v>
      </c>
      <c r="E307" t="s">
        <v>136</v>
      </c>
      <c r="F307" t="s">
        <v>75</v>
      </c>
      <c r="G307">
        <v>3.1779578349000128</v>
      </c>
      <c r="H307">
        <v>2.8499999999999996</v>
      </c>
      <c r="I307">
        <v>10</v>
      </c>
      <c r="J307">
        <v>1</v>
      </c>
      <c r="K307">
        <v>2.8499999999999996</v>
      </c>
      <c r="L307">
        <v>46245</v>
      </c>
      <c r="M307" t="s">
        <v>198</v>
      </c>
      <c r="N307">
        <v>4.6332179930795849</v>
      </c>
      <c r="O307">
        <v>0.89680233283827326</v>
      </c>
      <c r="P307">
        <v>0.89680233283827326</v>
      </c>
      <c r="Q307">
        <v>1.4579230542954509</v>
      </c>
      <c r="R307">
        <v>0.45792305429545088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0.10319766716172674</v>
      </c>
      <c r="AB307">
        <v>0</v>
      </c>
      <c r="AC307">
        <v>0</v>
      </c>
      <c r="AD307">
        <v>0</v>
      </c>
      <c r="AE307">
        <v>0</v>
      </c>
      <c r="AF307">
        <v>0.89680233283827326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1.1150729245263205</v>
      </c>
      <c r="AM307">
        <v>1.1150729245263205</v>
      </c>
      <c r="AN307">
        <v>1.6256905238875738</v>
      </c>
      <c r="AO307">
        <v>0.51061759936125339</v>
      </c>
      <c r="AP307">
        <v>0</v>
      </c>
      <c r="AQ307">
        <v>0</v>
      </c>
      <c r="AR307">
        <v>0</v>
      </c>
      <c r="AS307">
        <v>0</v>
      </c>
      <c r="AT307">
        <v>0.38492707547367955</v>
      </c>
      <c r="AU307">
        <v>0.11507292452632045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0.61512322628827476</v>
      </c>
      <c r="BJ307">
        <v>0.61512322628827476</v>
      </c>
      <c r="BK307">
        <v>0.68590725488133208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0.31409274511866792</v>
      </c>
      <c r="BW307">
        <v>0</v>
      </c>
      <c r="BX307">
        <v>0</v>
      </c>
      <c r="BY307">
        <v>0</v>
      </c>
      <c r="BZ307">
        <v>0.61512322628827476</v>
      </c>
      <c r="CA307">
        <v>0</v>
      </c>
      <c r="CB307">
        <v>0</v>
      </c>
      <c r="CC307">
        <v>0</v>
      </c>
      <c r="CD307">
        <v>0</v>
      </c>
      <c r="CE307">
        <v>0</v>
      </c>
    </row>
    <row r="308" spans="1:83" x14ac:dyDescent="0.25">
      <c r="A308" t="s">
        <v>128</v>
      </c>
      <c r="B308" t="s">
        <v>146</v>
      </c>
      <c r="C308" t="s">
        <v>72</v>
      </c>
      <c r="D308" s="12">
        <v>46246</v>
      </c>
      <c r="E308" t="s">
        <v>136</v>
      </c>
      <c r="F308" t="s">
        <v>73</v>
      </c>
      <c r="G308">
        <v>3.5876164620550925</v>
      </c>
      <c r="H308">
        <v>3.8</v>
      </c>
      <c r="I308">
        <v>10</v>
      </c>
      <c r="J308">
        <v>1</v>
      </c>
      <c r="K308">
        <v>3.8</v>
      </c>
      <c r="L308">
        <v>46246</v>
      </c>
      <c r="M308" t="s">
        <v>197</v>
      </c>
      <c r="N308">
        <v>4.7022058823529402</v>
      </c>
      <c r="O308">
        <v>1.0591990643903022</v>
      </c>
      <c r="P308">
        <v>1.0591990643903022</v>
      </c>
      <c r="Q308">
        <v>1.3106768608312656</v>
      </c>
      <c r="R308">
        <v>0.25147779644096335</v>
      </c>
      <c r="S308">
        <v>0</v>
      </c>
      <c r="T308">
        <v>0</v>
      </c>
      <c r="U308">
        <v>0</v>
      </c>
      <c r="V308">
        <v>0</v>
      </c>
      <c r="W308">
        <v>0.1908009356096978</v>
      </c>
      <c r="X308">
        <v>5.9199064390302203E-2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1</v>
      </c>
      <c r="AL308">
        <v>0.94410959527765603</v>
      </c>
      <c r="AM308">
        <v>0.94410959527765603</v>
      </c>
      <c r="AN308">
        <v>1.2374226006191948</v>
      </c>
      <c r="AO308">
        <v>0.23742260061919485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0.94410959527765603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0.80813135261923386</v>
      </c>
      <c r="BJ308">
        <v>0.80813135261923386</v>
      </c>
      <c r="BK308">
        <v>0.76296456425252956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0.19186864738076614</v>
      </c>
      <c r="BW308">
        <v>0</v>
      </c>
      <c r="BX308">
        <v>4.5166788366704291E-2</v>
      </c>
      <c r="BY308">
        <v>0</v>
      </c>
      <c r="BZ308">
        <v>0.76296456425252956</v>
      </c>
      <c r="CA308">
        <v>0</v>
      </c>
      <c r="CB308">
        <v>0</v>
      </c>
      <c r="CC308">
        <v>0</v>
      </c>
      <c r="CD308">
        <v>0</v>
      </c>
      <c r="CE308">
        <v>0</v>
      </c>
    </row>
    <row r="309" spans="1:83" x14ac:dyDescent="0.25">
      <c r="A309" t="s">
        <v>128</v>
      </c>
      <c r="B309" t="s">
        <v>145</v>
      </c>
      <c r="C309" t="s">
        <v>72</v>
      </c>
      <c r="D309" s="12">
        <v>46246</v>
      </c>
      <c r="E309" t="s">
        <v>136</v>
      </c>
      <c r="F309" t="s">
        <v>73</v>
      </c>
      <c r="G309">
        <v>3.6011567851291222</v>
      </c>
      <c r="H309">
        <v>0</v>
      </c>
      <c r="I309">
        <v>10</v>
      </c>
      <c r="K309">
        <v>0</v>
      </c>
      <c r="L309">
        <v>46246</v>
      </c>
      <c r="M309" t="s">
        <v>197</v>
      </c>
      <c r="N309">
        <v>4.7022058823529402</v>
      </c>
      <c r="O309">
        <v>0</v>
      </c>
      <c r="P309">
        <v>0</v>
      </c>
      <c r="Q309">
        <v>1.3057487254569338</v>
      </c>
      <c r="R309">
        <v>0.30574872545693377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1</v>
      </c>
      <c r="AK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1</v>
      </c>
      <c r="BH309">
        <v>1</v>
      </c>
      <c r="BI309">
        <v>0</v>
      </c>
      <c r="BJ309">
        <v>0</v>
      </c>
      <c r="BK309">
        <v>0.76584413256850781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0.23415586743149219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0.76584413256850781</v>
      </c>
      <c r="CE309">
        <v>0</v>
      </c>
    </row>
    <row r="310" spans="1:83" x14ac:dyDescent="0.25">
      <c r="A310" t="s">
        <v>128</v>
      </c>
      <c r="B310" t="s">
        <v>145</v>
      </c>
      <c r="C310" t="s">
        <v>72</v>
      </c>
      <c r="D310" s="12">
        <v>46246</v>
      </c>
      <c r="E310" t="s">
        <v>136</v>
      </c>
      <c r="F310" t="s">
        <v>74</v>
      </c>
      <c r="G310">
        <v>0</v>
      </c>
      <c r="H310">
        <v>0</v>
      </c>
      <c r="I310">
        <v>10</v>
      </c>
      <c r="K310">
        <v>0</v>
      </c>
      <c r="L310">
        <v>46246</v>
      </c>
      <c r="M310" t="s">
        <v>196</v>
      </c>
      <c r="N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1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K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1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E310">
        <v>0</v>
      </c>
    </row>
    <row r="311" spans="1:83" x14ac:dyDescent="0.25">
      <c r="A311" t="s">
        <v>128</v>
      </c>
      <c r="B311" t="s">
        <v>146</v>
      </c>
      <c r="C311" t="s">
        <v>72</v>
      </c>
      <c r="D311" s="12">
        <v>46246</v>
      </c>
      <c r="E311" t="s">
        <v>136</v>
      </c>
      <c r="F311" t="s">
        <v>74</v>
      </c>
      <c r="G311">
        <v>0</v>
      </c>
      <c r="H311">
        <v>0</v>
      </c>
      <c r="I311">
        <v>10</v>
      </c>
      <c r="J311">
        <v>1</v>
      </c>
      <c r="K311">
        <v>0</v>
      </c>
      <c r="L311">
        <v>46246</v>
      </c>
      <c r="M311" t="s">
        <v>196</v>
      </c>
      <c r="N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1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K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0</v>
      </c>
      <c r="BV311">
        <v>1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E311">
        <v>0</v>
      </c>
    </row>
    <row r="312" spans="1:83" x14ac:dyDescent="0.25">
      <c r="A312" t="s">
        <v>128</v>
      </c>
      <c r="B312" t="s">
        <v>146</v>
      </c>
      <c r="C312" t="s">
        <v>72</v>
      </c>
      <c r="D312" s="12">
        <v>46246</v>
      </c>
      <c r="E312" t="s">
        <v>136</v>
      </c>
      <c r="F312" t="s">
        <v>75</v>
      </c>
      <c r="G312">
        <v>3.1779578349000128</v>
      </c>
      <c r="H312">
        <v>2.8499999999999996</v>
      </c>
      <c r="I312">
        <v>10</v>
      </c>
      <c r="J312">
        <v>1</v>
      </c>
      <c r="K312">
        <v>2.8499999999999996</v>
      </c>
      <c r="L312">
        <v>46246</v>
      </c>
      <c r="M312" t="s">
        <v>204</v>
      </c>
      <c r="N312">
        <v>4.6332179930795849</v>
      </c>
      <c r="O312">
        <v>0.89680233283827326</v>
      </c>
      <c r="P312">
        <v>0.89680233283827326</v>
      </c>
      <c r="Q312">
        <v>1.4579230542954509</v>
      </c>
      <c r="R312">
        <v>0.45792305429545088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0.10319766716172674</v>
      </c>
      <c r="AB312">
        <v>0</v>
      </c>
      <c r="AC312">
        <v>0</v>
      </c>
      <c r="AD312">
        <v>0</v>
      </c>
      <c r="AE312">
        <v>0</v>
      </c>
      <c r="AF312">
        <v>0.89680233283827326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1.1150729245263205</v>
      </c>
      <c r="AM312">
        <v>1.1150729245263205</v>
      </c>
      <c r="AN312">
        <v>1.6256905238875738</v>
      </c>
      <c r="AO312">
        <v>0.51061759936125339</v>
      </c>
      <c r="AP312">
        <v>0</v>
      </c>
      <c r="AQ312">
        <v>0</v>
      </c>
      <c r="AR312">
        <v>0</v>
      </c>
      <c r="AS312">
        <v>0</v>
      </c>
      <c r="AT312">
        <v>0.38492707547367955</v>
      </c>
      <c r="AU312">
        <v>0.11507292452632045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0.61512322628827476</v>
      </c>
      <c r="BJ312">
        <v>0.61512322628827476</v>
      </c>
      <c r="BK312">
        <v>0.68590725488133208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0.31409274511866792</v>
      </c>
      <c r="BW312">
        <v>0</v>
      </c>
      <c r="BX312">
        <v>0</v>
      </c>
      <c r="BY312">
        <v>0</v>
      </c>
      <c r="BZ312">
        <v>0.61512322628827476</v>
      </c>
      <c r="CA312">
        <v>0</v>
      </c>
      <c r="CB312">
        <v>0</v>
      </c>
      <c r="CC312">
        <v>0</v>
      </c>
      <c r="CD312">
        <v>0</v>
      </c>
      <c r="CE312">
        <v>0</v>
      </c>
    </row>
    <row r="313" spans="1:83" x14ac:dyDescent="0.25">
      <c r="A313" t="s">
        <v>128</v>
      </c>
      <c r="B313" t="s">
        <v>145</v>
      </c>
      <c r="C313" t="s">
        <v>72</v>
      </c>
      <c r="D313" s="12">
        <v>46246</v>
      </c>
      <c r="E313" t="s">
        <v>136</v>
      </c>
      <c r="F313" t="s">
        <v>75</v>
      </c>
      <c r="G313">
        <v>3.1774912809962848</v>
      </c>
      <c r="H313">
        <v>0</v>
      </c>
      <c r="I313">
        <v>10</v>
      </c>
      <c r="K313">
        <v>0</v>
      </c>
      <c r="L313">
        <v>46246</v>
      </c>
      <c r="M313" t="s">
        <v>204</v>
      </c>
      <c r="N313">
        <v>4.6332179930795849</v>
      </c>
      <c r="O313">
        <v>0</v>
      </c>
      <c r="P313">
        <v>0</v>
      </c>
      <c r="Q313">
        <v>1.4581371224492754</v>
      </c>
      <c r="R313">
        <v>0.4581371224492754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1</v>
      </c>
      <c r="AK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1</v>
      </c>
      <c r="BH313">
        <v>1</v>
      </c>
      <c r="BI313">
        <v>0</v>
      </c>
      <c r="BJ313">
        <v>0</v>
      </c>
      <c r="BK313">
        <v>0.68580655728747297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0.31419344271252703</v>
      </c>
      <c r="BW313">
        <v>0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0.68580655728747297</v>
      </c>
      <c r="CE313">
        <v>0</v>
      </c>
    </row>
    <row r="314" spans="1:83" x14ac:dyDescent="0.25">
      <c r="A314" t="s">
        <v>128</v>
      </c>
      <c r="B314" t="s">
        <v>145</v>
      </c>
      <c r="C314" t="s">
        <v>72</v>
      </c>
      <c r="D314" s="12">
        <v>46247</v>
      </c>
      <c r="E314" t="s">
        <v>136</v>
      </c>
      <c r="F314" t="s">
        <v>73</v>
      </c>
      <c r="G314">
        <v>3.6011567851291222</v>
      </c>
      <c r="H314">
        <v>0.95</v>
      </c>
      <c r="I314">
        <v>10</v>
      </c>
      <c r="K314">
        <v>0.95</v>
      </c>
      <c r="L314">
        <v>46247</v>
      </c>
      <c r="M314" t="s">
        <v>177</v>
      </c>
      <c r="N314">
        <v>4.7022058823529411</v>
      </c>
      <c r="O314">
        <v>0.26380412092108813</v>
      </c>
      <c r="P314">
        <v>0.26380412092108813</v>
      </c>
      <c r="Q314">
        <v>1.305748725456934</v>
      </c>
      <c r="R314">
        <v>0.30574872545693399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0.73619587907891182</v>
      </c>
      <c r="AB314">
        <v>0</v>
      </c>
      <c r="AC314">
        <v>0</v>
      </c>
      <c r="AD314">
        <v>0</v>
      </c>
      <c r="AE314">
        <v>0</v>
      </c>
      <c r="AF314">
        <v>0.26380412092108813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3.7906913527674972</v>
      </c>
      <c r="AM314">
        <v>3.7906913527674972</v>
      </c>
      <c r="AN314">
        <v>4.9496904024767803</v>
      </c>
      <c r="BE314">
        <v>0</v>
      </c>
      <c r="BF314">
        <v>0</v>
      </c>
      <c r="BG314">
        <v>0</v>
      </c>
      <c r="BI314">
        <v>0.20203283815480844</v>
      </c>
      <c r="BJ314">
        <v>0.20203283815480844</v>
      </c>
      <c r="BK314">
        <v>0.76584413256850759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0.23415586743149241</v>
      </c>
      <c r="BW314">
        <v>0</v>
      </c>
      <c r="BX314">
        <v>0</v>
      </c>
      <c r="BY314">
        <v>0</v>
      </c>
      <c r="BZ314">
        <v>0.20203283815480844</v>
      </c>
      <c r="CA314">
        <v>0</v>
      </c>
      <c r="CB314">
        <v>0</v>
      </c>
      <c r="CC314">
        <v>0</v>
      </c>
      <c r="CD314">
        <v>0</v>
      </c>
      <c r="CE314">
        <v>0</v>
      </c>
    </row>
    <row r="315" spans="1:83" x14ac:dyDescent="0.25">
      <c r="A315" t="s">
        <v>128</v>
      </c>
      <c r="B315" t="s">
        <v>146</v>
      </c>
      <c r="C315" t="s">
        <v>72</v>
      </c>
      <c r="D315" s="12">
        <v>46247</v>
      </c>
      <c r="E315" t="s">
        <v>136</v>
      </c>
      <c r="F315" t="s">
        <v>73</v>
      </c>
      <c r="G315">
        <v>3.587616462055093</v>
      </c>
      <c r="H315">
        <v>3.8</v>
      </c>
      <c r="I315">
        <v>10</v>
      </c>
      <c r="J315">
        <v>1</v>
      </c>
      <c r="K315">
        <v>3.8</v>
      </c>
      <c r="L315">
        <v>46247</v>
      </c>
      <c r="M315" t="s">
        <v>177</v>
      </c>
      <c r="N315">
        <v>4.7022058823529411</v>
      </c>
      <c r="O315">
        <v>1.059199064390302</v>
      </c>
      <c r="P315">
        <v>1.059199064390302</v>
      </c>
      <c r="Q315">
        <v>1.3106768608312658</v>
      </c>
      <c r="R315">
        <v>0.2514777964409638</v>
      </c>
      <c r="S315">
        <v>0</v>
      </c>
      <c r="T315">
        <v>0</v>
      </c>
      <c r="U315">
        <v>0</v>
      </c>
      <c r="V315">
        <v>0</v>
      </c>
      <c r="W315">
        <v>0.19080093560969802</v>
      </c>
      <c r="X315">
        <v>5.9199064390301981E-2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1</v>
      </c>
      <c r="AL315">
        <v>0.94410959527765614</v>
      </c>
      <c r="AM315">
        <v>0.94410959527765614</v>
      </c>
      <c r="AN315">
        <v>1.2374226006191951</v>
      </c>
      <c r="AO315">
        <v>0.23742260061919507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0.94410959527765614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0.80813135261923374</v>
      </c>
      <c r="BJ315">
        <v>0.80813135261923374</v>
      </c>
      <c r="BK315">
        <v>0.76296456425252956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0.19186864738076626</v>
      </c>
      <c r="BW315">
        <v>0</v>
      </c>
      <c r="BX315">
        <v>4.516678836670418E-2</v>
      </c>
      <c r="BY315">
        <v>0</v>
      </c>
      <c r="BZ315">
        <v>0.76296456425252956</v>
      </c>
      <c r="CA315">
        <v>0</v>
      </c>
      <c r="CB315">
        <v>0</v>
      </c>
      <c r="CC315">
        <v>0</v>
      </c>
      <c r="CD315">
        <v>0</v>
      </c>
      <c r="CE315">
        <v>0</v>
      </c>
    </row>
    <row r="316" spans="1:83" x14ac:dyDescent="0.25">
      <c r="A316" t="s">
        <v>128</v>
      </c>
      <c r="B316" t="s">
        <v>145</v>
      </c>
      <c r="C316" t="s">
        <v>72</v>
      </c>
      <c r="D316" s="12">
        <v>46247</v>
      </c>
      <c r="E316" t="s">
        <v>136</v>
      </c>
      <c r="F316" t="s">
        <v>74</v>
      </c>
      <c r="G316">
        <v>0</v>
      </c>
      <c r="H316">
        <v>0</v>
      </c>
      <c r="I316">
        <v>10</v>
      </c>
      <c r="K316">
        <v>0</v>
      </c>
      <c r="L316">
        <v>46247</v>
      </c>
      <c r="M316" t="s">
        <v>165</v>
      </c>
      <c r="N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1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K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1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E316">
        <v>0</v>
      </c>
    </row>
    <row r="317" spans="1:83" x14ac:dyDescent="0.25">
      <c r="A317" t="s">
        <v>128</v>
      </c>
      <c r="B317" t="s">
        <v>146</v>
      </c>
      <c r="C317" t="s">
        <v>72</v>
      </c>
      <c r="D317" s="12">
        <v>46247</v>
      </c>
      <c r="E317" t="s">
        <v>136</v>
      </c>
      <c r="F317" t="s">
        <v>74</v>
      </c>
      <c r="G317">
        <v>0</v>
      </c>
      <c r="H317">
        <v>0</v>
      </c>
      <c r="I317">
        <v>10</v>
      </c>
      <c r="J317">
        <v>1</v>
      </c>
      <c r="K317">
        <v>0</v>
      </c>
      <c r="L317">
        <v>46247</v>
      </c>
      <c r="M317" t="s">
        <v>165</v>
      </c>
      <c r="N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1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K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1</v>
      </c>
      <c r="BW317">
        <v>0</v>
      </c>
      <c r="BX317">
        <v>0</v>
      </c>
      <c r="BY317">
        <v>0</v>
      </c>
      <c r="BZ317">
        <v>0</v>
      </c>
      <c r="CA317">
        <v>0</v>
      </c>
      <c r="CB317">
        <v>0</v>
      </c>
      <c r="CC317">
        <v>0</v>
      </c>
      <c r="CE317">
        <v>0</v>
      </c>
    </row>
    <row r="318" spans="1:83" x14ac:dyDescent="0.25">
      <c r="A318" t="s">
        <v>128</v>
      </c>
      <c r="B318" t="s">
        <v>145</v>
      </c>
      <c r="C318" t="s">
        <v>72</v>
      </c>
      <c r="D318" s="12">
        <v>46247</v>
      </c>
      <c r="E318" t="s">
        <v>136</v>
      </c>
      <c r="F318" t="s">
        <v>75</v>
      </c>
      <c r="G318">
        <v>3.1774912809962848</v>
      </c>
      <c r="H318">
        <v>0</v>
      </c>
      <c r="I318">
        <v>10</v>
      </c>
      <c r="K318">
        <v>0</v>
      </c>
      <c r="L318">
        <v>46247</v>
      </c>
      <c r="M318" t="s">
        <v>164</v>
      </c>
      <c r="N318">
        <v>4.6332179930795849</v>
      </c>
      <c r="O318">
        <v>0</v>
      </c>
      <c r="P318">
        <v>0</v>
      </c>
      <c r="Q318">
        <v>1.4581371224492754</v>
      </c>
      <c r="R318">
        <v>0.4581371224492754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1</v>
      </c>
      <c r="AK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1</v>
      </c>
      <c r="BH318">
        <v>1</v>
      </c>
      <c r="BI318">
        <v>0</v>
      </c>
      <c r="BJ318">
        <v>0</v>
      </c>
      <c r="BK318">
        <v>0.68580655728747297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0.31419344271252703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0.68580655728747297</v>
      </c>
      <c r="CE318">
        <v>0</v>
      </c>
    </row>
    <row r="319" spans="1:83" x14ac:dyDescent="0.25">
      <c r="A319" t="s">
        <v>128</v>
      </c>
      <c r="B319" t="s">
        <v>146</v>
      </c>
      <c r="C319" t="s">
        <v>72</v>
      </c>
      <c r="D319" s="12">
        <v>46247</v>
      </c>
      <c r="E319" t="s">
        <v>136</v>
      </c>
      <c r="F319" t="s">
        <v>75</v>
      </c>
      <c r="G319">
        <v>3.1779578349000128</v>
      </c>
      <c r="H319">
        <v>2.8499999999999996</v>
      </c>
      <c r="I319">
        <v>10</v>
      </c>
      <c r="J319">
        <v>1</v>
      </c>
      <c r="K319">
        <v>2.8499999999999996</v>
      </c>
      <c r="L319">
        <v>46247</v>
      </c>
      <c r="M319" t="s">
        <v>164</v>
      </c>
      <c r="N319">
        <v>4.6332179930795849</v>
      </c>
      <c r="O319">
        <v>0.89680233283827326</v>
      </c>
      <c r="P319">
        <v>0.89680233283827326</v>
      </c>
      <c r="Q319">
        <v>1.4579230542954509</v>
      </c>
      <c r="R319">
        <v>0.45792305429545088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0.10319766716172674</v>
      </c>
      <c r="AB319">
        <v>0</v>
      </c>
      <c r="AC319">
        <v>0</v>
      </c>
      <c r="AD319">
        <v>0</v>
      </c>
      <c r="AE319">
        <v>0</v>
      </c>
      <c r="AF319">
        <v>0.89680233283827326</v>
      </c>
      <c r="AG319">
        <v>0</v>
      </c>
      <c r="AH319">
        <v>0</v>
      </c>
      <c r="AI319">
        <v>0</v>
      </c>
      <c r="AJ319">
        <v>0</v>
      </c>
      <c r="AK319">
        <v>0</v>
      </c>
      <c r="AL319">
        <v>1.1150729245263205</v>
      </c>
      <c r="AM319">
        <v>1.1150729245263205</v>
      </c>
      <c r="AN319">
        <v>1.6256905238875738</v>
      </c>
      <c r="AO319">
        <v>0.51061759936125339</v>
      </c>
      <c r="AP319">
        <v>0</v>
      </c>
      <c r="AQ319">
        <v>0</v>
      </c>
      <c r="AR319">
        <v>0</v>
      </c>
      <c r="AS319">
        <v>0</v>
      </c>
      <c r="AT319">
        <v>0.38492707547367955</v>
      </c>
      <c r="AU319">
        <v>0.11507292452632045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0.61512322628827476</v>
      </c>
      <c r="BJ319">
        <v>0.61512322628827476</v>
      </c>
      <c r="BK319">
        <v>0.68590725488133208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0.31409274511866792</v>
      </c>
      <c r="BW319">
        <v>0</v>
      </c>
      <c r="BX319">
        <v>0</v>
      </c>
      <c r="BY319">
        <v>0</v>
      </c>
      <c r="BZ319">
        <v>0.61512322628827476</v>
      </c>
      <c r="CA319">
        <v>0</v>
      </c>
      <c r="CB319">
        <v>0</v>
      </c>
      <c r="CC319">
        <v>0</v>
      </c>
      <c r="CD319">
        <v>0</v>
      </c>
      <c r="CE319">
        <v>0</v>
      </c>
    </row>
    <row r="320" spans="1:83" x14ac:dyDescent="0.25">
      <c r="A320" t="s">
        <v>128</v>
      </c>
      <c r="B320" t="s">
        <v>145</v>
      </c>
      <c r="C320" t="s">
        <v>72</v>
      </c>
      <c r="D320" s="12">
        <v>46248</v>
      </c>
      <c r="E320" t="s">
        <v>136</v>
      </c>
      <c r="F320" t="s">
        <v>73</v>
      </c>
      <c r="G320">
        <v>3.6011567851291222</v>
      </c>
      <c r="H320">
        <v>0.95</v>
      </c>
      <c r="I320">
        <v>10</v>
      </c>
      <c r="K320">
        <v>0.95</v>
      </c>
      <c r="L320">
        <v>46248</v>
      </c>
      <c r="M320" t="s">
        <v>162</v>
      </c>
      <c r="N320">
        <v>4.7022058823529402</v>
      </c>
      <c r="O320">
        <v>0.26380412092108813</v>
      </c>
      <c r="P320">
        <v>0.26380412092108813</v>
      </c>
      <c r="Q320">
        <v>1.3057487254569338</v>
      </c>
      <c r="R320">
        <v>0.30574872545693377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0.73619587907891182</v>
      </c>
      <c r="AB320">
        <v>0</v>
      </c>
      <c r="AC320">
        <v>0</v>
      </c>
      <c r="AD320">
        <v>0</v>
      </c>
      <c r="AE320">
        <v>0</v>
      </c>
      <c r="AF320">
        <v>0.26380412092108813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3.7906913527674972</v>
      </c>
      <c r="AM320">
        <v>3.7906913527674972</v>
      </c>
      <c r="AN320">
        <v>4.9496904024767794</v>
      </c>
      <c r="BE320">
        <v>0</v>
      </c>
      <c r="BF320">
        <v>0</v>
      </c>
      <c r="BG320">
        <v>0</v>
      </c>
      <c r="BI320">
        <v>0.20203283815480846</v>
      </c>
      <c r="BJ320">
        <v>0.20203283815480846</v>
      </c>
      <c r="BK320">
        <v>0.76584413256850781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0.23415586743149219</v>
      </c>
      <c r="BW320">
        <v>0</v>
      </c>
      <c r="BX320">
        <v>0</v>
      </c>
      <c r="BY320">
        <v>0</v>
      </c>
      <c r="BZ320">
        <v>0.20203283815480846</v>
      </c>
      <c r="CA320">
        <v>0</v>
      </c>
      <c r="CB320">
        <v>0</v>
      </c>
      <c r="CC320">
        <v>0</v>
      </c>
      <c r="CD320">
        <v>0</v>
      </c>
      <c r="CE320">
        <v>0</v>
      </c>
    </row>
    <row r="321" spans="1:83" x14ac:dyDescent="0.25">
      <c r="A321" t="s">
        <v>128</v>
      </c>
      <c r="B321" t="s">
        <v>146</v>
      </c>
      <c r="C321" t="s">
        <v>72</v>
      </c>
      <c r="D321" s="12">
        <v>46248</v>
      </c>
      <c r="E321" t="s">
        <v>136</v>
      </c>
      <c r="F321" t="s">
        <v>73</v>
      </c>
      <c r="G321">
        <v>3.5876164620550925</v>
      </c>
      <c r="H321">
        <v>3.8</v>
      </c>
      <c r="I321">
        <v>10</v>
      </c>
      <c r="J321">
        <v>1</v>
      </c>
      <c r="K321">
        <v>3.8</v>
      </c>
      <c r="L321">
        <v>46248</v>
      </c>
      <c r="M321" t="s">
        <v>162</v>
      </c>
      <c r="N321">
        <v>4.7022058823529402</v>
      </c>
      <c r="O321">
        <v>1.0591990643903022</v>
      </c>
      <c r="P321">
        <v>1.0591990643903022</v>
      </c>
      <c r="Q321">
        <v>1.3106768608312656</v>
      </c>
      <c r="R321">
        <v>0.25147779644096335</v>
      </c>
      <c r="S321">
        <v>0</v>
      </c>
      <c r="T321">
        <v>0</v>
      </c>
      <c r="U321">
        <v>0</v>
      </c>
      <c r="V321">
        <v>0</v>
      </c>
      <c r="W321">
        <v>0.1908009356096978</v>
      </c>
      <c r="X321">
        <v>5.9199064390302203E-2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1</v>
      </c>
      <c r="AL321">
        <v>0.94410959527765603</v>
      </c>
      <c r="AM321">
        <v>0.94410959527765603</v>
      </c>
      <c r="AN321">
        <v>1.2374226006191948</v>
      </c>
      <c r="AO321">
        <v>0.23742260061919485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0.94410959527765603</v>
      </c>
      <c r="BD321">
        <v>0</v>
      </c>
      <c r="BE321">
        <v>0</v>
      </c>
      <c r="BF321">
        <v>0</v>
      </c>
      <c r="BG321">
        <v>0</v>
      </c>
      <c r="BH321">
        <v>0</v>
      </c>
      <c r="BI321">
        <v>0.80813135261923386</v>
      </c>
      <c r="BJ321">
        <v>0.80813135261923386</v>
      </c>
      <c r="BK321">
        <v>0.76296456425252956</v>
      </c>
      <c r="BL321">
        <v>0</v>
      </c>
      <c r="BM321">
        <v>0</v>
      </c>
      <c r="BN321">
        <v>0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0</v>
      </c>
      <c r="BV321">
        <v>0.19186864738076614</v>
      </c>
      <c r="BW321">
        <v>0</v>
      </c>
      <c r="BX321">
        <v>4.5166788366704291E-2</v>
      </c>
      <c r="BY321">
        <v>0</v>
      </c>
      <c r="BZ321">
        <v>0.76296456425252956</v>
      </c>
      <c r="CA321">
        <v>0</v>
      </c>
      <c r="CB321">
        <v>0</v>
      </c>
      <c r="CC321">
        <v>0</v>
      </c>
      <c r="CD321">
        <v>0</v>
      </c>
      <c r="CE321">
        <v>0</v>
      </c>
    </row>
    <row r="322" spans="1:83" x14ac:dyDescent="0.25">
      <c r="A322" t="s">
        <v>128</v>
      </c>
      <c r="B322" t="s">
        <v>145</v>
      </c>
      <c r="C322" t="s">
        <v>72</v>
      </c>
      <c r="D322" s="12">
        <v>46248</v>
      </c>
      <c r="E322" t="s">
        <v>136</v>
      </c>
      <c r="F322" t="s">
        <v>74</v>
      </c>
      <c r="G322">
        <v>0</v>
      </c>
      <c r="H322">
        <v>0</v>
      </c>
      <c r="I322">
        <v>10</v>
      </c>
      <c r="K322">
        <v>0</v>
      </c>
      <c r="L322">
        <v>46248</v>
      </c>
      <c r="M322" t="s">
        <v>161</v>
      </c>
      <c r="N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1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K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L322">
        <v>0</v>
      </c>
      <c r="BM322">
        <v>0</v>
      </c>
      <c r="BN322">
        <v>0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0</v>
      </c>
      <c r="BV322">
        <v>1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E322">
        <v>0</v>
      </c>
    </row>
    <row r="323" spans="1:83" x14ac:dyDescent="0.25">
      <c r="A323" t="s">
        <v>128</v>
      </c>
      <c r="B323" t="s">
        <v>146</v>
      </c>
      <c r="C323" t="s">
        <v>72</v>
      </c>
      <c r="D323" s="12">
        <v>46248</v>
      </c>
      <c r="E323" t="s">
        <v>136</v>
      </c>
      <c r="F323" t="s">
        <v>74</v>
      </c>
      <c r="G323">
        <v>0</v>
      </c>
      <c r="H323">
        <v>0</v>
      </c>
      <c r="I323">
        <v>10</v>
      </c>
      <c r="J323">
        <v>1</v>
      </c>
      <c r="K323">
        <v>0</v>
      </c>
      <c r="L323">
        <v>46248</v>
      </c>
      <c r="M323" t="s">
        <v>161</v>
      </c>
      <c r="N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1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K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L323">
        <v>0</v>
      </c>
      <c r="BM323">
        <v>0</v>
      </c>
      <c r="BN323">
        <v>0</v>
      </c>
      <c r="BO323">
        <v>0</v>
      </c>
      <c r="BP323">
        <v>0</v>
      </c>
      <c r="BQ323">
        <v>0</v>
      </c>
      <c r="BR323">
        <v>0</v>
      </c>
      <c r="BS323">
        <v>0</v>
      </c>
      <c r="BT323">
        <v>0</v>
      </c>
      <c r="BU323">
        <v>0</v>
      </c>
      <c r="BV323">
        <v>1</v>
      </c>
      <c r="BW323">
        <v>0</v>
      </c>
      <c r="BX323">
        <v>0</v>
      </c>
      <c r="BY323">
        <v>0</v>
      </c>
      <c r="BZ323">
        <v>0</v>
      </c>
      <c r="CA323">
        <v>0</v>
      </c>
      <c r="CB323">
        <v>0</v>
      </c>
      <c r="CC323">
        <v>0</v>
      </c>
      <c r="CE323">
        <v>0</v>
      </c>
    </row>
    <row r="324" spans="1:83" x14ac:dyDescent="0.25">
      <c r="A324" t="s">
        <v>128</v>
      </c>
      <c r="B324" t="s">
        <v>146</v>
      </c>
      <c r="C324" t="s">
        <v>72</v>
      </c>
      <c r="D324" s="12">
        <v>46248</v>
      </c>
      <c r="E324" t="s">
        <v>136</v>
      </c>
      <c r="F324" t="s">
        <v>75</v>
      </c>
      <c r="G324">
        <v>3.1779578349000128</v>
      </c>
      <c r="H324">
        <v>3.8</v>
      </c>
      <c r="I324">
        <v>10</v>
      </c>
      <c r="J324">
        <v>1</v>
      </c>
      <c r="K324">
        <v>3.8</v>
      </c>
      <c r="L324">
        <v>46248</v>
      </c>
      <c r="M324" t="s">
        <v>159</v>
      </c>
      <c r="N324">
        <v>4.6332179930795849</v>
      </c>
      <c r="O324">
        <v>1.1957364437843645</v>
      </c>
      <c r="P324">
        <v>1.1957364437843645</v>
      </c>
      <c r="Q324">
        <v>1.4579230542954509</v>
      </c>
      <c r="R324">
        <v>0.26218661051108638</v>
      </c>
      <c r="S324">
        <v>0</v>
      </c>
      <c r="T324">
        <v>0</v>
      </c>
      <c r="U324">
        <v>0</v>
      </c>
      <c r="V324">
        <v>0</v>
      </c>
      <c r="W324">
        <v>5.42635562156355E-2</v>
      </c>
      <c r="X324">
        <v>0.1957364437843645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1</v>
      </c>
      <c r="AL324">
        <v>0.83630469339474023</v>
      </c>
      <c r="AM324">
        <v>0.83630469339474023</v>
      </c>
      <c r="AN324">
        <v>1.2192678929156804</v>
      </c>
      <c r="AO324">
        <v>0.21926789291568038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0.83630469339474023</v>
      </c>
      <c r="BD324">
        <v>0</v>
      </c>
      <c r="BE324">
        <v>0</v>
      </c>
      <c r="BF324">
        <v>0</v>
      </c>
      <c r="BG324">
        <v>0</v>
      </c>
      <c r="BH324">
        <v>0</v>
      </c>
      <c r="BI324">
        <v>0.82016430171769972</v>
      </c>
      <c r="BJ324">
        <v>0.82016430171769972</v>
      </c>
      <c r="BK324">
        <v>0.68590725488133208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0.17983569828230028</v>
      </c>
      <c r="BW324">
        <v>0</v>
      </c>
      <c r="BX324">
        <v>0.13425704683636763</v>
      </c>
      <c r="BY324">
        <v>0</v>
      </c>
      <c r="BZ324">
        <v>0.68590725488133208</v>
      </c>
      <c r="CA324">
        <v>0</v>
      </c>
      <c r="CB324">
        <v>0</v>
      </c>
      <c r="CC324">
        <v>0</v>
      </c>
      <c r="CD324">
        <v>0</v>
      </c>
      <c r="CE324">
        <v>0</v>
      </c>
    </row>
    <row r="325" spans="1:83" x14ac:dyDescent="0.25">
      <c r="A325" t="s">
        <v>128</v>
      </c>
      <c r="B325" t="s">
        <v>145</v>
      </c>
      <c r="C325" t="s">
        <v>72</v>
      </c>
      <c r="D325" s="12">
        <v>46248</v>
      </c>
      <c r="E325" t="s">
        <v>136</v>
      </c>
      <c r="F325" t="s">
        <v>75</v>
      </c>
      <c r="G325">
        <v>3.1774912809962848</v>
      </c>
      <c r="H325">
        <v>0</v>
      </c>
      <c r="I325">
        <v>10</v>
      </c>
      <c r="K325">
        <v>0</v>
      </c>
      <c r="L325">
        <v>46248</v>
      </c>
      <c r="M325" t="s">
        <v>159</v>
      </c>
      <c r="N325">
        <v>4.6332179930795849</v>
      </c>
      <c r="O325">
        <v>0</v>
      </c>
      <c r="P325">
        <v>0</v>
      </c>
      <c r="Q325">
        <v>1.4581371224492754</v>
      </c>
      <c r="R325">
        <v>0.4581371224492754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1</v>
      </c>
      <c r="AK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1</v>
      </c>
      <c r="BH325">
        <v>1</v>
      </c>
      <c r="BI325">
        <v>0</v>
      </c>
      <c r="BJ325">
        <v>0</v>
      </c>
      <c r="BK325">
        <v>0.68580655728747297</v>
      </c>
      <c r="BL325">
        <v>0</v>
      </c>
      <c r="BM325">
        <v>0</v>
      </c>
      <c r="BN325">
        <v>0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0</v>
      </c>
      <c r="BU325">
        <v>0</v>
      </c>
      <c r="BV325">
        <v>0.31419344271252703</v>
      </c>
      <c r="BW325">
        <v>0</v>
      </c>
      <c r="BX325">
        <v>0</v>
      </c>
      <c r="BY325">
        <v>0</v>
      </c>
      <c r="BZ325">
        <v>0</v>
      </c>
      <c r="CA325">
        <v>0</v>
      </c>
      <c r="CB325">
        <v>0</v>
      </c>
      <c r="CC325">
        <v>0</v>
      </c>
      <c r="CD325">
        <v>0.68580655728747297</v>
      </c>
      <c r="CE325">
        <v>0</v>
      </c>
    </row>
    <row r="326" spans="1:83" x14ac:dyDescent="0.25">
      <c r="A326" t="s">
        <v>128</v>
      </c>
      <c r="B326" t="s">
        <v>145</v>
      </c>
      <c r="C326" t="s">
        <v>72</v>
      </c>
      <c r="D326" s="12">
        <v>46249</v>
      </c>
      <c r="E326" t="s">
        <v>136</v>
      </c>
      <c r="F326" t="s">
        <v>73</v>
      </c>
      <c r="G326">
        <v>3.6011567851291222</v>
      </c>
      <c r="H326">
        <v>0</v>
      </c>
      <c r="I326">
        <v>10</v>
      </c>
      <c r="K326">
        <v>0</v>
      </c>
      <c r="L326">
        <v>46249</v>
      </c>
      <c r="M326" t="s">
        <v>158</v>
      </c>
      <c r="N326">
        <v>4.7647058823529385</v>
      </c>
      <c r="O326">
        <v>0</v>
      </c>
      <c r="P326">
        <v>0</v>
      </c>
      <c r="Q326">
        <v>1.3231042597280573</v>
      </c>
      <c r="R326">
        <v>0.32310425972805734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1</v>
      </c>
      <c r="AK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1</v>
      </c>
      <c r="BH326">
        <v>1</v>
      </c>
      <c r="BI326">
        <v>0</v>
      </c>
      <c r="BJ326">
        <v>0</v>
      </c>
      <c r="BK326">
        <v>0.75579833761969273</v>
      </c>
      <c r="BL326">
        <v>0</v>
      </c>
      <c r="BM326">
        <v>0</v>
      </c>
      <c r="BN326">
        <v>0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0</v>
      </c>
      <c r="BV326">
        <v>0.24420166238030727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0.75579833761969273</v>
      </c>
      <c r="CE326">
        <v>0</v>
      </c>
    </row>
    <row r="327" spans="1:83" x14ac:dyDescent="0.25">
      <c r="A327" t="s">
        <v>128</v>
      </c>
      <c r="B327" t="s">
        <v>146</v>
      </c>
      <c r="C327" t="s">
        <v>72</v>
      </c>
      <c r="D327" s="12">
        <v>46249</v>
      </c>
      <c r="E327" t="s">
        <v>136</v>
      </c>
      <c r="F327" t="s">
        <v>73</v>
      </c>
      <c r="G327">
        <v>3.5876164620550925</v>
      </c>
      <c r="H327">
        <v>3.8</v>
      </c>
      <c r="I327">
        <v>10</v>
      </c>
      <c r="J327">
        <v>1</v>
      </c>
      <c r="K327">
        <v>3.8</v>
      </c>
      <c r="L327">
        <v>46249</v>
      </c>
      <c r="M327" t="s">
        <v>158</v>
      </c>
      <c r="N327">
        <v>4.7647058823529385</v>
      </c>
      <c r="O327">
        <v>1.0591990643903022</v>
      </c>
      <c r="P327">
        <v>1.0591990643903022</v>
      </c>
      <c r="Q327">
        <v>1.3280978980745268</v>
      </c>
      <c r="R327">
        <v>0.26889883368422463</v>
      </c>
      <c r="S327">
        <v>0</v>
      </c>
      <c r="T327">
        <v>0</v>
      </c>
      <c r="U327">
        <v>0</v>
      </c>
      <c r="V327">
        <v>0</v>
      </c>
      <c r="W327">
        <v>0.1908009356096978</v>
      </c>
      <c r="X327">
        <v>5.9199064390302203E-2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1</v>
      </c>
      <c r="AL327">
        <v>0.94410959527765603</v>
      </c>
      <c r="AM327">
        <v>0.94410959527765603</v>
      </c>
      <c r="AN327">
        <v>1.2538699690402471</v>
      </c>
      <c r="AO327">
        <v>0.25386996904024706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0.94410959527765603</v>
      </c>
      <c r="BD327">
        <v>0</v>
      </c>
      <c r="BE327">
        <v>0</v>
      </c>
      <c r="BF327">
        <v>0</v>
      </c>
      <c r="BG327">
        <v>0</v>
      </c>
      <c r="BH327">
        <v>0</v>
      </c>
      <c r="BI327">
        <v>0.79753086419753128</v>
      </c>
      <c r="BJ327">
        <v>0.79753086419753128</v>
      </c>
      <c r="BK327">
        <v>0.7529565414189705</v>
      </c>
      <c r="BL327">
        <v>0</v>
      </c>
      <c r="BM327">
        <v>0</v>
      </c>
      <c r="BN327">
        <v>0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0</v>
      </c>
      <c r="BV327">
        <v>0.20246913580246872</v>
      </c>
      <c r="BW327">
        <v>0</v>
      </c>
      <c r="BX327">
        <v>4.4574322778560771E-2</v>
      </c>
      <c r="BY327">
        <v>0</v>
      </c>
      <c r="BZ327">
        <v>0.7529565414189705</v>
      </c>
      <c r="CA327">
        <v>0</v>
      </c>
      <c r="CB327">
        <v>0</v>
      </c>
      <c r="CC327">
        <v>0</v>
      </c>
      <c r="CD327">
        <v>0</v>
      </c>
      <c r="CE327">
        <v>0</v>
      </c>
    </row>
    <row r="328" spans="1:83" x14ac:dyDescent="0.25">
      <c r="A328" t="s">
        <v>128</v>
      </c>
      <c r="B328" t="s">
        <v>146</v>
      </c>
      <c r="C328" t="s">
        <v>72</v>
      </c>
      <c r="D328" s="12">
        <v>46249</v>
      </c>
      <c r="E328" t="s">
        <v>136</v>
      </c>
      <c r="F328" t="s">
        <v>74</v>
      </c>
      <c r="G328">
        <v>0</v>
      </c>
      <c r="H328">
        <v>0.95</v>
      </c>
      <c r="I328">
        <v>10</v>
      </c>
      <c r="J328">
        <v>1</v>
      </c>
      <c r="K328">
        <v>0.95</v>
      </c>
      <c r="L328">
        <v>46249</v>
      </c>
      <c r="M328" t="s">
        <v>167</v>
      </c>
      <c r="N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1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L328">
        <v>0</v>
      </c>
      <c r="BM328">
        <v>0</v>
      </c>
      <c r="BN328">
        <v>0</v>
      </c>
      <c r="BO328">
        <v>0</v>
      </c>
      <c r="BP328">
        <v>0</v>
      </c>
      <c r="BQ328">
        <v>0</v>
      </c>
      <c r="BR328">
        <v>0</v>
      </c>
      <c r="BS328">
        <v>0</v>
      </c>
      <c r="BT328">
        <v>0</v>
      </c>
      <c r="BU328">
        <v>0</v>
      </c>
      <c r="BV328">
        <v>1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1</v>
      </c>
      <c r="CC328">
        <v>0</v>
      </c>
      <c r="CE328">
        <v>0</v>
      </c>
    </row>
    <row r="329" spans="1:83" x14ac:dyDescent="0.25">
      <c r="A329" t="s">
        <v>128</v>
      </c>
      <c r="B329" t="s">
        <v>145</v>
      </c>
      <c r="C329" t="s">
        <v>72</v>
      </c>
      <c r="D329" s="12">
        <v>46249</v>
      </c>
      <c r="E329" t="s">
        <v>136</v>
      </c>
      <c r="F329" t="s">
        <v>74</v>
      </c>
      <c r="G329">
        <v>0</v>
      </c>
      <c r="H329">
        <v>0</v>
      </c>
      <c r="I329">
        <v>10</v>
      </c>
      <c r="K329">
        <v>0</v>
      </c>
      <c r="L329">
        <v>46249</v>
      </c>
      <c r="M329" t="s">
        <v>167</v>
      </c>
      <c r="N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1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K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L329">
        <v>0</v>
      </c>
      <c r="BM329">
        <v>0</v>
      </c>
      <c r="BN329">
        <v>0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0</v>
      </c>
      <c r="BV329">
        <v>1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E329">
        <v>0</v>
      </c>
    </row>
    <row r="330" spans="1:83" x14ac:dyDescent="0.25">
      <c r="A330" t="s">
        <v>128</v>
      </c>
      <c r="B330" t="s">
        <v>146</v>
      </c>
      <c r="C330" t="s">
        <v>72</v>
      </c>
      <c r="D330" s="12">
        <v>46249</v>
      </c>
      <c r="E330" t="s">
        <v>136</v>
      </c>
      <c r="F330" t="s">
        <v>75</v>
      </c>
      <c r="G330">
        <v>3.2276134260703255</v>
      </c>
      <c r="H330">
        <v>2.8499999999999996</v>
      </c>
      <c r="I330">
        <v>10</v>
      </c>
      <c r="J330">
        <v>1</v>
      </c>
      <c r="K330">
        <v>2.8499999999999996</v>
      </c>
      <c r="L330">
        <v>46249</v>
      </c>
      <c r="M330" t="s">
        <v>170</v>
      </c>
      <c r="N330">
        <v>4.6920415224913494</v>
      </c>
      <c r="O330">
        <v>0.88300537387153066</v>
      </c>
      <c r="P330">
        <v>0.88300537387153066</v>
      </c>
      <c r="Q330">
        <v>1.4537185539607791</v>
      </c>
      <c r="R330">
        <v>0.45371855396077909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0.11699462612846934</v>
      </c>
      <c r="AB330">
        <v>0</v>
      </c>
      <c r="AC330">
        <v>0</v>
      </c>
      <c r="AD330">
        <v>0</v>
      </c>
      <c r="AE330">
        <v>0</v>
      </c>
      <c r="AF330">
        <v>0.88300537387153066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1.1324959389720441</v>
      </c>
      <c r="AM330">
        <v>1.1324959389720441</v>
      </c>
      <c r="AN330">
        <v>1.6463303587688947</v>
      </c>
      <c r="AO330">
        <v>0.51383441979685052</v>
      </c>
      <c r="AP330">
        <v>0</v>
      </c>
      <c r="AQ330">
        <v>0</v>
      </c>
      <c r="AR330">
        <v>0</v>
      </c>
      <c r="AS330">
        <v>0</v>
      </c>
      <c r="AT330">
        <v>0.36750406102795585</v>
      </c>
      <c r="AU330">
        <v>0.13249593897204415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>
        <v>0</v>
      </c>
      <c r="BI330">
        <v>0.60741150442477865</v>
      </c>
      <c r="BJ330">
        <v>0.60741150442477865</v>
      </c>
      <c r="BK330">
        <v>0.68789106204596173</v>
      </c>
      <c r="BL330">
        <v>0</v>
      </c>
      <c r="BM330">
        <v>0</v>
      </c>
      <c r="BN330">
        <v>0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0</v>
      </c>
      <c r="BV330">
        <v>0.31210893795403827</v>
      </c>
      <c r="BW330">
        <v>0</v>
      </c>
      <c r="BX330">
        <v>0</v>
      </c>
      <c r="BY330">
        <v>0</v>
      </c>
      <c r="BZ330">
        <v>0.60741150442477865</v>
      </c>
      <c r="CA330">
        <v>0</v>
      </c>
      <c r="CB330">
        <v>0</v>
      </c>
      <c r="CC330">
        <v>0</v>
      </c>
      <c r="CD330">
        <v>0</v>
      </c>
      <c r="CE330">
        <v>0</v>
      </c>
    </row>
    <row r="331" spans="1:83" x14ac:dyDescent="0.25">
      <c r="A331" t="s">
        <v>128</v>
      </c>
      <c r="B331" t="s">
        <v>145</v>
      </c>
      <c r="C331" t="s">
        <v>72</v>
      </c>
      <c r="D331" s="12">
        <v>46249</v>
      </c>
      <c r="E331" t="s">
        <v>136</v>
      </c>
      <c r="F331" t="s">
        <v>75</v>
      </c>
      <c r="G331">
        <v>3.2304494690128904</v>
      </c>
      <c r="H331">
        <v>0</v>
      </c>
      <c r="I331">
        <v>10</v>
      </c>
      <c r="K331">
        <v>0</v>
      </c>
      <c r="L331">
        <v>46249</v>
      </c>
      <c r="M331" t="s">
        <v>170</v>
      </c>
      <c r="N331">
        <v>4.6920415224913494</v>
      </c>
      <c r="O331">
        <v>0</v>
      </c>
      <c r="P331">
        <v>0</v>
      </c>
      <c r="Q331">
        <v>1.4524423203329255</v>
      </c>
      <c r="R331">
        <v>0.45244232033292553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1</v>
      </c>
      <c r="AK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1</v>
      </c>
      <c r="BH331">
        <v>1</v>
      </c>
      <c r="BI331">
        <v>0</v>
      </c>
      <c r="BJ331">
        <v>0</v>
      </c>
      <c r="BK331">
        <v>0.68849549892678863</v>
      </c>
      <c r="BL331">
        <v>0</v>
      </c>
      <c r="BM331">
        <v>0</v>
      </c>
      <c r="BN331">
        <v>0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0</v>
      </c>
      <c r="BV331">
        <v>0.31150450107321137</v>
      </c>
      <c r="BW331">
        <v>0</v>
      </c>
      <c r="BX331">
        <v>0</v>
      </c>
      <c r="BY331">
        <v>0</v>
      </c>
      <c r="BZ331">
        <v>0</v>
      </c>
      <c r="CA331">
        <v>0</v>
      </c>
      <c r="CB331">
        <v>0</v>
      </c>
      <c r="CC331">
        <v>0</v>
      </c>
      <c r="CD331">
        <v>0.68849549892678863</v>
      </c>
      <c r="CE331">
        <v>0</v>
      </c>
    </row>
    <row r="332" spans="1:83" x14ac:dyDescent="0.25">
      <c r="A332" t="s">
        <v>128</v>
      </c>
      <c r="B332" t="s">
        <v>145</v>
      </c>
      <c r="C332" t="s">
        <v>72</v>
      </c>
      <c r="D332" s="12">
        <v>46250</v>
      </c>
      <c r="E332" t="s">
        <v>136</v>
      </c>
      <c r="F332" t="s">
        <v>73</v>
      </c>
      <c r="G332">
        <v>3.6011567851291222</v>
      </c>
      <c r="H332">
        <v>0.95</v>
      </c>
      <c r="I332">
        <v>10</v>
      </c>
      <c r="K332">
        <v>0.95</v>
      </c>
      <c r="L332">
        <v>46250</v>
      </c>
      <c r="M332" t="s">
        <v>171</v>
      </c>
      <c r="N332">
        <v>4.7022058823529402</v>
      </c>
      <c r="O332">
        <v>0.26380412092108813</v>
      </c>
      <c r="P332">
        <v>0.26380412092108813</v>
      </c>
      <c r="Q332">
        <v>1.3057487254569338</v>
      </c>
      <c r="R332">
        <v>0.30574872545693377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0.73619587907891182</v>
      </c>
      <c r="AB332">
        <v>0</v>
      </c>
      <c r="AC332">
        <v>0</v>
      </c>
      <c r="AD332">
        <v>0</v>
      </c>
      <c r="AE332">
        <v>0</v>
      </c>
      <c r="AF332">
        <v>0.26380412092108813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3.7906913527674972</v>
      </c>
      <c r="AM332">
        <v>3.7906913527674972</v>
      </c>
      <c r="AN332">
        <v>4.9496904024767794</v>
      </c>
      <c r="BE332">
        <v>0</v>
      </c>
      <c r="BF332">
        <v>0</v>
      </c>
      <c r="BG332">
        <v>0</v>
      </c>
      <c r="BI332">
        <v>0.20203283815480846</v>
      </c>
      <c r="BJ332">
        <v>0.20203283815480846</v>
      </c>
      <c r="BK332">
        <v>0.76584413256850781</v>
      </c>
      <c r="BL332">
        <v>0</v>
      </c>
      <c r="BM332">
        <v>0</v>
      </c>
      <c r="BN332">
        <v>0</v>
      </c>
      <c r="BO332">
        <v>0</v>
      </c>
      <c r="BP332">
        <v>0</v>
      </c>
      <c r="BQ332">
        <v>0</v>
      </c>
      <c r="BR332">
        <v>0</v>
      </c>
      <c r="BS332">
        <v>0</v>
      </c>
      <c r="BT332">
        <v>0</v>
      </c>
      <c r="BU332">
        <v>0</v>
      </c>
      <c r="BV332">
        <v>0.23415586743149219</v>
      </c>
      <c r="BW332">
        <v>0</v>
      </c>
      <c r="BX332">
        <v>0</v>
      </c>
      <c r="BY332">
        <v>0</v>
      </c>
      <c r="BZ332">
        <v>0.20203283815480846</v>
      </c>
      <c r="CA332">
        <v>0</v>
      </c>
      <c r="CB332">
        <v>0</v>
      </c>
      <c r="CC332">
        <v>0</v>
      </c>
      <c r="CD332">
        <v>0</v>
      </c>
      <c r="CE332">
        <v>0</v>
      </c>
    </row>
    <row r="333" spans="1:83" x14ac:dyDescent="0.25">
      <c r="A333" t="s">
        <v>128</v>
      </c>
      <c r="B333" t="s">
        <v>146</v>
      </c>
      <c r="C333" t="s">
        <v>72</v>
      </c>
      <c r="D333" s="12">
        <v>46250</v>
      </c>
      <c r="E333" t="s">
        <v>136</v>
      </c>
      <c r="F333" t="s">
        <v>73</v>
      </c>
      <c r="G333">
        <v>3.5876164620550925</v>
      </c>
      <c r="H333">
        <v>3.8</v>
      </c>
      <c r="I333">
        <v>10</v>
      </c>
      <c r="J333">
        <v>1</v>
      </c>
      <c r="K333">
        <v>3.8</v>
      </c>
      <c r="L333">
        <v>46250</v>
      </c>
      <c r="M333" t="s">
        <v>171</v>
      </c>
      <c r="N333">
        <v>4.7022058823529402</v>
      </c>
      <c r="O333">
        <v>1.0591990643903022</v>
      </c>
      <c r="P333">
        <v>1.0591990643903022</v>
      </c>
      <c r="Q333">
        <v>1.3106768608312656</v>
      </c>
      <c r="R333">
        <v>0.25147779644096335</v>
      </c>
      <c r="S333">
        <v>0</v>
      </c>
      <c r="T333">
        <v>0</v>
      </c>
      <c r="U333">
        <v>0</v>
      </c>
      <c r="V333">
        <v>0</v>
      </c>
      <c r="W333">
        <v>0.1908009356096978</v>
      </c>
      <c r="X333">
        <v>5.9199064390302203E-2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</v>
      </c>
      <c r="AL333">
        <v>0.94410959527765603</v>
      </c>
      <c r="AM333">
        <v>0.94410959527765603</v>
      </c>
      <c r="AN333">
        <v>1.2374226006191948</v>
      </c>
      <c r="AO333">
        <v>0.23742260061919485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0.94410959527765603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0.80813135261923386</v>
      </c>
      <c r="BJ333">
        <v>0.80813135261923386</v>
      </c>
      <c r="BK333">
        <v>0.76296456425252956</v>
      </c>
      <c r="BL333">
        <v>0</v>
      </c>
      <c r="BM333">
        <v>0</v>
      </c>
      <c r="BN333">
        <v>0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0</v>
      </c>
      <c r="BV333">
        <v>0.19186864738076614</v>
      </c>
      <c r="BW333">
        <v>0</v>
      </c>
      <c r="BX333">
        <v>4.5166788366704291E-2</v>
      </c>
      <c r="BY333">
        <v>0</v>
      </c>
      <c r="BZ333">
        <v>0.76296456425252956</v>
      </c>
      <c r="CA333">
        <v>0</v>
      </c>
      <c r="CB333">
        <v>0</v>
      </c>
      <c r="CC333">
        <v>0</v>
      </c>
      <c r="CD333">
        <v>0</v>
      </c>
      <c r="CE333">
        <v>0</v>
      </c>
    </row>
    <row r="334" spans="1:83" x14ac:dyDescent="0.25">
      <c r="A334" t="s">
        <v>128</v>
      </c>
      <c r="B334" t="s">
        <v>145</v>
      </c>
      <c r="C334" t="s">
        <v>72</v>
      </c>
      <c r="D334" s="12">
        <v>46250</v>
      </c>
      <c r="E334" t="s">
        <v>136</v>
      </c>
      <c r="F334" t="s">
        <v>74</v>
      </c>
      <c r="G334">
        <v>0</v>
      </c>
      <c r="H334">
        <v>0</v>
      </c>
      <c r="I334">
        <v>10</v>
      </c>
      <c r="K334">
        <v>0</v>
      </c>
      <c r="L334">
        <v>46250</v>
      </c>
      <c r="M334" t="s">
        <v>173</v>
      </c>
      <c r="N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1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K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L334">
        <v>0</v>
      </c>
      <c r="BM334">
        <v>0</v>
      </c>
      <c r="BN334">
        <v>0</v>
      </c>
      <c r="BO334">
        <v>0</v>
      </c>
      <c r="BP334">
        <v>0</v>
      </c>
      <c r="BQ334">
        <v>0</v>
      </c>
      <c r="BR334">
        <v>0</v>
      </c>
      <c r="BS334">
        <v>0</v>
      </c>
      <c r="BT334">
        <v>0</v>
      </c>
      <c r="BU334">
        <v>0</v>
      </c>
      <c r="BV334">
        <v>1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E334">
        <v>0</v>
      </c>
    </row>
    <row r="335" spans="1:83" x14ac:dyDescent="0.25">
      <c r="A335" t="s">
        <v>128</v>
      </c>
      <c r="B335" t="s">
        <v>146</v>
      </c>
      <c r="C335" t="s">
        <v>72</v>
      </c>
      <c r="D335" s="12">
        <v>46250</v>
      </c>
      <c r="E335" t="s">
        <v>136</v>
      </c>
      <c r="F335" t="s">
        <v>74</v>
      </c>
      <c r="G335">
        <v>0</v>
      </c>
      <c r="H335">
        <v>0.95</v>
      </c>
      <c r="I335">
        <v>10</v>
      </c>
      <c r="J335">
        <v>1</v>
      </c>
      <c r="K335">
        <v>0.95</v>
      </c>
      <c r="L335">
        <v>46250</v>
      </c>
      <c r="M335" t="s">
        <v>173</v>
      </c>
      <c r="N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1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1</v>
      </c>
      <c r="AI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L335">
        <v>0</v>
      </c>
      <c r="BM335">
        <v>0</v>
      </c>
      <c r="BN335">
        <v>0</v>
      </c>
      <c r="BO335">
        <v>0</v>
      </c>
      <c r="BP335">
        <v>0</v>
      </c>
      <c r="BQ335">
        <v>0</v>
      </c>
      <c r="BR335">
        <v>0</v>
      </c>
      <c r="BS335">
        <v>0</v>
      </c>
      <c r="BT335">
        <v>0</v>
      </c>
      <c r="BU335">
        <v>0</v>
      </c>
      <c r="BV335">
        <v>1</v>
      </c>
      <c r="BW335">
        <v>0</v>
      </c>
      <c r="BX335">
        <v>0</v>
      </c>
      <c r="BY335">
        <v>0</v>
      </c>
      <c r="BZ335">
        <v>0</v>
      </c>
      <c r="CA335">
        <v>0</v>
      </c>
      <c r="CB335">
        <v>1</v>
      </c>
      <c r="CC335">
        <v>0</v>
      </c>
      <c r="CE335">
        <v>0</v>
      </c>
    </row>
    <row r="336" spans="1:83" x14ac:dyDescent="0.25">
      <c r="A336" t="s">
        <v>128</v>
      </c>
      <c r="B336" t="s">
        <v>146</v>
      </c>
      <c r="C336" t="s">
        <v>72</v>
      </c>
      <c r="D336" s="12">
        <v>46250</v>
      </c>
      <c r="E336" t="s">
        <v>136</v>
      </c>
      <c r="F336" t="s">
        <v>75</v>
      </c>
      <c r="G336">
        <v>3.1779578349000133</v>
      </c>
      <c r="H336">
        <v>2.8499999999999996</v>
      </c>
      <c r="I336">
        <v>10</v>
      </c>
      <c r="J336">
        <v>1</v>
      </c>
      <c r="K336">
        <v>2.8499999999999996</v>
      </c>
      <c r="L336">
        <v>46250</v>
      </c>
      <c r="M336" t="s">
        <v>174</v>
      </c>
      <c r="N336">
        <v>4.6332179930795849</v>
      </c>
      <c r="O336">
        <v>0.89680233283827315</v>
      </c>
      <c r="P336">
        <v>0.89680233283827315</v>
      </c>
      <c r="Q336">
        <v>1.4579230542954507</v>
      </c>
      <c r="R336">
        <v>0.45792305429545066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0.10319766716172685</v>
      </c>
      <c r="AB336">
        <v>0</v>
      </c>
      <c r="AC336">
        <v>0</v>
      </c>
      <c r="AD336">
        <v>0</v>
      </c>
      <c r="AE336">
        <v>0</v>
      </c>
      <c r="AF336">
        <v>0.89680233283827315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1.1150729245263207</v>
      </c>
      <c r="AM336">
        <v>1.1150729245263207</v>
      </c>
      <c r="AN336">
        <v>1.6256905238875738</v>
      </c>
      <c r="AO336">
        <v>0.51061759936125317</v>
      </c>
      <c r="AP336">
        <v>0</v>
      </c>
      <c r="AQ336">
        <v>0</v>
      </c>
      <c r="AR336">
        <v>0</v>
      </c>
      <c r="AS336">
        <v>0</v>
      </c>
      <c r="AT336">
        <v>0.38492707547367933</v>
      </c>
      <c r="AU336">
        <v>0.11507292452632067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0</v>
      </c>
      <c r="BH336">
        <v>0</v>
      </c>
      <c r="BI336">
        <v>0.61512322628827476</v>
      </c>
      <c r="BJ336">
        <v>0.61512322628827476</v>
      </c>
      <c r="BK336">
        <v>0.6859072548813322</v>
      </c>
      <c r="BL336">
        <v>0</v>
      </c>
      <c r="BM336">
        <v>0</v>
      </c>
      <c r="BN336">
        <v>0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0</v>
      </c>
      <c r="BV336">
        <v>0.3140927451186678</v>
      </c>
      <c r="BW336">
        <v>0</v>
      </c>
      <c r="BX336">
        <v>0</v>
      </c>
      <c r="BY336">
        <v>0</v>
      </c>
      <c r="BZ336">
        <v>0.61512322628827476</v>
      </c>
      <c r="CA336">
        <v>0</v>
      </c>
      <c r="CB336">
        <v>0</v>
      </c>
      <c r="CC336">
        <v>0</v>
      </c>
      <c r="CD336">
        <v>0</v>
      </c>
      <c r="CE336">
        <v>0</v>
      </c>
    </row>
    <row r="337" spans="1:83" x14ac:dyDescent="0.25">
      <c r="A337" t="s">
        <v>128</v>
      </c>
      <c r="B337" t="s">
        <v>145</v>
      </c>
      <c r="C337" t="s">
        <v>72</v>
      </c>
      <c r="D337" s="12">
        <v>46250</v>
      </c>
      <c r="E337" t="s">
        <v>136</v>
      </c>
      <c r="F337" t="s">
        <v>75</v>
      </c>
      <c r="G337">
        <v>3.1774912809962856</v>
      </c>
      <c r="H337">
        <v>0</v>
      </c>
      <c r="I337">
        <v>10</v>
      </c>
      <c r="K337">
        <v>0</v>
      </c>
      <c r="L337">
        <v>46250</v>
      </c>
      <c r="M337" t="s">
        <v>174</v>
      </c>
      <c r="N337">
        <v>4.6332179930795849</v>
      </c>
      <c r="O337">
        <v>0</v>
      </c>
      <c r="P337">
        <v>0</v>
      </c>
      <c r="Q337">
        <v>1.4581371224492752</v>
      </c>
      <c r="R337">
        <v>0.45813712244927518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1</v>
      </c>
      <c r="AK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1</v>
      </c>
      <c r="BH337">
        <v>1</v>
      </c>
      <c r="BI337">
        <v>0</v>
      </c>
      <c r="BJ337">
        <v>0</v>
      </c>
      <c r="BK337">
        <v>0.68580655728747308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0.31419344271252692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0.68580655728747308</v>
      </c>
      <c r="CE337">
        <v>0</v>
      </c>
    </row>
    <row r="338" spans="1:83" x14ac:dyDescent="0.25">
      <c r="A338" t="s">
        <v>128</v>
      </c>
      <c r="B338" t="s">
        <v>145</v>
      </c>
      <c r="C338" t="s">
        <v>72</v>
      </c>
      <c r="D338" s="12">
        <v>46223</v>
      </c>
      <c r="E338" t="s">
        <v>135</v>
      </c>
      <c r="F338" t="s">
        <v>73</v>
      </c>
      <c r="G338">
        <v>5.8204648795871554</v>
      </c>
      <c r="H338">
        <v>5.6999999999999993</v>
      </c>
      <c r="I338">
        <v>10</v>
      </c>
      <c r="K338">
        <v>5.6999999999999993</v>
      </c>
      <c r="L338">
        <v>46223</v>
      </c>
      <c r="M338" t="s">
        <v>176</v>
      </c>
      <c r="N338">
        <v>4.2297794117647056</v>
      </c>
      <c r="O338">
        <v>0.97930322026172922</v>
      </c>
      <c r="P338">
        <v>0.97930322026172922</v>
      </c>
      <c r="Q338">
        <v>0.72670817525227005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2.0696779738270776E-2</v>
      </c>
      <c r="AC338">
        <v>0</v>
      </c>
      <c r="AD338">
        <v>0.25259504500945917</v>
      </c>
      <c r="AE338">
        <v>0</v>
      </c>
      <c r="AF338">
        <v>0.72670817525227005</v>
      </c>
      <c r="AG338">
        <v>0</v>
      </c>
      <c r="AH338">
        <v>0</v>
      </c>
      <c r="AI338">
        <v>0</v>
      </c>
      <c r="AJ338">
        <v>0</v>
      </c>
      <c r="AK338">
        <v>0</v>
      </c>
      <c r="AL338">
        <v>1.0211341894012556</v>
      </c>
      <c r="AM338">
        <v>1.0211341894012556</v>
      </c>
      <c r="AN338">
        <v>0.74206656346749233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2.1134189401255554E-2</v>
      </c>
      <c r="AX338">
        <v>0</v>
      </c>
      <c r="AY338">
        <v>0</v>
      </c>
      <c r="AZ338">
        <v>0</v>
      </c>
      <c r="BA338">
        <v>0.25793343653250767</v>
      </c>
      <c r="BB338">
        <v>0</v>
      </c>
      <c r="BC338">
        <v>0.74206656346749233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1.3475880052151237</v>
      </c>
      <c r="BJ338">
        <v>1.3475880052151237</v>
      </c>
      <c r="BK338">
        <v>1.3760681853522003</v>
      </c>
      <c r="BL338">
        <v>2.8480180137076649E-2</v>
      </c>
      <c r="BM338">
        <v>0</v>
      </c>
      <c r="BN338">
        <v>0</v>
      </c>
      <c r="BO338">
        <v>0</v>
      </c>
      <c r="BP338">
        <v>0</v>
      </c>
      <c r="BQ338">
        <v>0</v>
      </c>
      <c r="BR338">
        <v>0.34758800521512367</v>
      </c>
      <c r="BS338">
        <v>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1</v>
      </c>
      <c r="CA338">
        <v>0</v>
      </c>
      <c r="CB338">
        <v>0</v>
      </c>
      <c r="CC338">
        <v>0</v>
      </c>
      <c r="CD338">
        <v>0</v>
      </c>
      <c r="CE338">
        <v>0</v>
      </c>
    </row>
    <row r="339" spans="1:83" x14ac:dyDescent="0.25">
      <c r="A339" t="s">
        <v>128</v>
      </c>
      <c r="B339" t="s">
        <v>146</v>
      </c>
      <c r="C339" t="s">
        <v>72</v>
      </c>
      <c r="D339" s="12">
        <v>46223</v>
      </c>
      <c r="E339" t="s">
        <v>135</v>
      </c>
      <c r="F339" t="s">
        <v>73</v>
      </c>
      <c r="G339">
        <v>5.8323914011879046</v>
      </c>
      <c r="H339">
        <v>5.6999999999999993</v>
      </c>
      <c r="I339">
        <v>10</v>
      </c>
      <c r="J339">
        <v>1</v>
      </c>
      <c r="K339">
        <v>5.6999999999999993</v>
      </c>
      <c r="L339">
        <v>46223</v>
      </c>
      <c r="M339" t="s">
        <v>176</v>
      </c>
      <c r="N339">
        <v>4.2297794117647056</v>
      </c>
      <c r="O339">
        <v>0.97730066587078834</v>
      </c>
      <c r="P339">
        <v>0.97730066587078834</v>
      </c>
      <c r="Q339">
        <v>0.72522214659722783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2.2699334129211657E-2</v>
      </c>
      <c r="AC339">
        <v>0</v>
      </c>
      <c r="AD339">
        <v>0.25207851927356051</v>
      </c>
      <c r="AE339">
        <v>0</v>
      </c>
      <c r="AF339">
        <v>0.72522214659722783</v>
      </c>
      <c r="AG339">
        <v>0</v>
      </c>
      <c r="AH339">
        <v>0</v>
      </c>
      <c r="AI339">
        <v>0</v>
      </c>
      <c r="AJ339">
        <v>0</v>
      </c>
      <c r="AK339">
        <v>0</v>
      </c>
      <c r="AL339">
        <v>1.0232265616119132</v>
      </c>
      <c r="AM339">
        <v>1.0232265616119132</v>
      </c>
      <c r="AN339">
        <v>0.74206656346749233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2.3226561611913166E-2</v>
      </c>
      <c r="AX339">
        <v>0</v>
      </c>
      <c r="AY339">
        <v>0</v>
      </c>
      <c r="AZ339">
        <v>0</v>
      </c>
      <c r="BA339">
        <v>0.25793343653250767</v>
      </c>
      <c r="BB339">
        <v>0</v>
      </c>
      <c r="BC339">
        <v>0.74206656346749233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1.3475880052151237</v>
      </c>
      <c r="BJ339">
        <v>1.3475880052151237</v>
      </c>
      <c r="BK339">
        <v>1.3788878410457281</v>
      </c>
      <c r="BL339">
        <v>3.1299835830604472E-2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0.34758800521512367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1</v>
      </c>
      <c r="CA339">
        <v>0</v>
      </c>
      <c r="CB339">
        <v>0</v>
      </c>
      <c r="CC339">
        <v>0</v>
      </c>
      <c r="CD339">
        <v>0</v>
      </c>
      <c r="CE339">
        <v>0</v>
      </c>
    </row>
    <row r="340" spans="1:83" x14ac:dyDescent="0.25">
      <c r="A340" t="s">
        <v>128</v>
      </c>
      <c r="B340" t="s">
        <v>145</v>
      </c>
      <c r="C340" t="s">
        <v>72</v>
      </c>
      <c r="D340" s="12">
        <v>46223</v>
      </c>
      <c r="E340" t="s">
        <v>135</v>
      </c>
      <c r="F340" t="s">
        <v>74</v>
      </c>
      <c r="G340">
        <v>1.2735376146788993</v>
      </c>
      <c r="H340">
        <v>0</v>
      </c>
      <c r="I340">
        <v>10</v>
      </c>
      <c r="K340">
        <v>0</v>
      </c>
      <c r="L340">
        <v>46223</v>
      </c>
      <c r="M340" t="s">
        <v>160</v>
      </c>
      <c r="N340">
        <v>0.94117647058823517</v>
      </c>
      <c r="O340">
        <v>0</v>
      </c>
      <c r="P340">
        <v>0</v>
      </c>
      <c r="Q340">
        <v>0.73902526296840998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0.73902526296840998</v>
      </c>
      <c r="AB340">
        <v>0.26097473703159002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I340">
        <v>0</v>
      </c>
      <c r="BJ340">
        <v>0</v>
      </c>
      <c r="BK340">
        <v>1.3531337155963306</v>
      </c>
      <c r="BL340">
        <v>0.35313371559633056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</row>
    <row r="341" spans="1:83" x14ac:dyDescent="0.25">
      <c r="A341" t="s">
        <v>128</v>
      </c>
      <c r="B341" t="s">
        <v>146</v>
      </c>
      <c r="C341" t="s">
        <v>72</v>
      </c>
      <c r="D341" s="12">
        <v>46223</v>
      </c>
      <c r="E341" t="s">
        <v>135</v>
      </c>
      <c r="F341" t="s">
        <v>74</v>
      </c>
      <c r="G341">
        <v>1.2742252699784016</v>
      </c>
      <c r="H341">
        <v>0</v>
      </c>
      <c r="I341">
        <v>10</v>
      </c>
      <c r="J341">
        <v>1</v>
      </c>
      <c r="K341">
        <v>0</v>
      </c>
      <c r="L341">
        <v>46223</v>
      </c>
      <c r="M341" t="s">
        <v>160</v>
      </c>
      <c r="N341">
        <v>0.94117647058823517</v>
      </c>
      <c r="O341">
        <v>0</v>
      </c>
      <c r="P341">
        <v>0</v>
      </c>
      <c r="Q341">
        <v>0.73862643659875649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0.73862643659875649</v>
      </c>
      <c r="AB341">
        <v>0.26137356340124351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I341">
        <v>0</v>
      </c>
      <c r="BJ341">
        <v>0</v>
      </c>
      <c r="BK341">
        <v>1.3538643493520519</v>
      </c>
      <c r="BL341">
        <v>0.35386434935205191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</row>
    <row r="342" spans="1:83" x14ac:dyDescent="0.25">
      <c r="A342" t="s">
        <v>128</v>
      </c>
      <c r="B342" t="s">
        <v>146</v>
      </c>
      <c r="C342" t="s">
        <v>72</v>
      </c>
      <c r="D342" s="12">
        <v>46223</v>
      </c>
      <c r="E342" t="s">
        <v>135</v>
      </c>
      <c r="F342" t="s">
        <v>75</v>
      </c>
      <c r="G342">
        <v>3.3729492440604751</v>
      </c>
      <c r="H342">
        <v>2.8499999999999996</v>
      </c>
      <c r="I342">
        <v>10</v>
      </c>
      <c r="J342">
        <v>1</v>
      </c>
      <c r="K342">
        <v>2.8499999999999996</v>
      </c>
      <c r="L342">
        <v>46223</v>
      </c>
      <c r="M342" t="s">
        <v>168</v>
      </c>
      <c r="N342">
        <v>4.4273356401384074</v>
      </c>
      <c r="O342">
        <v>0.84495786736745238</v>
      </c>
      <c r="P342">
        <v>0.84495786736745238</v>
      </c>
      <c r="Q342">
        <v>1.3126007300390399</v>
      </c>
      <c r="R342">
        <v>0.31260073003903988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0.15504213263254762</v>
      </c>
      <c r="AB342">
        <v>0</v>
      </c>
      <c r="AC342">
        <v>0</v>
      </c>
      <c r="AD342">
        <v>0</v>
      </c>
      <c r="AE342">
        <v>0</v>
      </c>
      <c r="AF342">
        <v>0.84495786736745238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1.1834909628282371</v>
      </c>
      <c r="AM342">
        <v>1.1834909628282371</v>
      </c>
      <c r="AN342">
        <v>1.5534511018029502</v>
      </c>
      <c r="AO342">
        <v>0.36996013897471314</v>
      </c>
      <c r="AP342">
        <v>0</v>
      </c>
      <c r="AQ342">
        <v>0</v>
      </c>
      <c r="AR342">
        <v>0</v>
      </c>
      <c r="AS342">
        <v>0</v>
      </c>
      <c r="AT342">
        <v>0.31650903717176293</v>
      </c>
      <c r="AU342">
        <v>0.18349096282823707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0.6437280187573271</v>
      </c>
      <c r="BJ342">
        <v>0.6437280187573271</v>
      </c>
      <c r="BK342">
        <v>0.76184629271862248</v>
      </c>
      <c r="BL342">
        <v>0</v>
      </c>
      <c r="BM342">
        <v>0</v>
      </c>
      <c r="BN342">
        <v>0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0</v>
      </c>
      <c r="BV342">
        <v>0.23815370728137752</v>
      </c>
      <c r="BW342">
        <v>0</v>
      </c>
      <c r="BX342">
        <v>0</v>
      </c>
      <c r="BY342">
        <v>0</v>
      </c>
      <c r="BZ342">
        <v>0.6437280187573271</v>
      </c>
      <c r="CA342">
        <v>0</v>
      </c>
      <c r="CB342">
        <v>0</v>
      </c>
      <c r="CC342">
        <v>0</v>
      </c>
      <c r="CD342">
        <v>0</v>
      </c>
      <c r="CE342">
        <v>0</v>
      </c>
    </row>
    <row r="343" spans="1:83" x14ac:dyDescent="0.25">
      <c r="A343" t="s">
        <v>128</v>
      </c>
      <c r="B343" t="s">
        <v>145</v>
      </c>
      <c r="C343" t="s">
        <v>72</v>
      </c>
      <c r="D343" s="12">
        <v>46223</v>
      </c>
      <c r="E343" t="s">
        <v>135</v>
      </c>
      <c r="F343" t="s">
        <v>75</v>
      </c>
      <c r="G343">
        <v>3.3711289800323798</v>
      </c>
      <c r="H343">
        <v>2.8499999999999996</v>
      </c>
      <c r="I343">
        <v>10</v>
      </c>
      <c r="K343">
        <v>2.8499999999999996</v>
      </c>
      <c r="L343">
        <v>46223</v>
      </c>
      <c r="M343" t="s">
        <v>168</v>
      </c>
      <c r="N343">
        <v>4.4273356401384074</v>
      </c>
      <c r="O343">
        <v>0.84541410811657092</v>
      </c>
      <c r="P343">
        <v>0.84541410811657092</v>
      </c>
      <c r="Q343">
        <v>1.3133094777334455</v>
      </c>
      <c r="R343">
        <v>0.31330947773344553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0.15458589188342908</v>
      </c>
      <c r="AB343">
        <v>0</v>
      </c>
      <c r="AC343">
        <v>0</v>
      </c>
      <c r="AD343">
        <v>0</v>
      </c>
      <c r="AE343">
        <v>0</v>
      </c>
      <c r="AF343">
        <v>0.84541410811657092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1.182852273695572</v>
      </c>
      <c r="AM343">
        <v>1.182852273695572</v>
      </c>
      <c r="AN343">
        <v>1.5534511018029502</v>
      </c>
      <c r="AO343">
        <v>0.37059882810737821</v>
      </c>
      <c r="AP343">
        <v>0</v>
      </c>
      <c r="AQ343">
        <v>0</v>
      </c>
      <c r="AR343">
        <v>0</v>
      </c>
      <c r="AS343">
        <v>0</v>
      </c>
      <c r="AT343">
        <v>0.317147726304428</v>
      </c>
      <c r="AU343">
        <v>0.182852273695572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0.6437280187573271</v>
      </c>
      <c r="BJ343">
        <v>0.6437280187573271</v>
      </c>
      <c r="BK343">
        <v>0.76143515062865019</v>
      </c>
      <c r="BL343">
        <v>0</v>
      </c>
      <c r="BM343">
        <v>0</v>
      </c>
      <c r="BN343">
        <v>0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0</v>
      </c>
      <c r="BV343">
        <v>0.23856484937134981</v>
      </c>
      <c r="BW343">
        <v>0</v>
      </c>
      <c r="BX343">
        <v>0</v>
      </c>
      <c r="BY343">
        <v>0</v>
      </c>
      <c r="BZ343">
        <v>0.6437280187573271</v>
      </c>
      <c r="CA343">
        <v>0</v>
      </c>
      <c r="CB343">
        <v>0</v>
      </c>
      <c r="CC343">
        <v>0</v>
      </c>
      <c r="CD343">
        <v>0</v>
      </c>
      <c r="CE343">
        <v>0</v>
      </c>
    </row>
    <row r="344" spans="1:83" x14ac:dyDescent="0.25">
      <c r="A344" t="s">
        <v>128</v>
      </c>
      <c r="B344" t="s">
        <v>145</v>
      </c>
      <c r="C344" t="s">
        <v>72</v>
      </c>
      <c r="D344" s="12">
        <v>46224</v>
      </c>
      <c r="E344" t="s">
        <v>135</v>
      </c>
      <c r="F344" t="s">
        <v>73</v>
      </c>
      <c r="G344">
        <v>5.8204648795871572</v>
      </c>
      <c r="H344">
        <v>5.6999999999999993</v>
      </c>
      <c r="I344">
        <v>10</v>
      </c>
      <c r="K344">
        <v>5.6999999999999993</v>
      </c>
      <c r="L344">
        <v>46224</v>
      </c>
      <c r="M344" t="s">
        <v>175</v>
      </c>
      <c r="N344">
        <v>4.2886029411764692</v>
      </c>
      <c r="O344">
        <v>0.97930322026172889</v>
      </c>
      <c r="P344">
        <v>0.97930322026172889</v>
      </c>
      <c r="Q344">
        <v>0.73681450363474366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2.0696779738271109E-2</v>
      </c>
      <c r="AC344">
        <v>0</v>
      </c>
      <c r="AD344">
        <v>0.24248871662698523</v>
      </c>
      <c r="AE344">
        <v>0</v>
      </c>
      <c r="AF344">
        <v>0.73681450363474366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1.0211341894012558</v>
      </c>
      <c r="AM344">
        <v>1.0211341894012558</v>
      </c>
      <c r="AN344">
        <v>0.75238648090815263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2.1134189401255776E-2</v>
      </c>
      <c r="AX344">
        <v>0</v>
      </c>
      <c r="AY344">
        <v>0</v>
      </c>
      <c r="AZ344">
        <v>0</v>
      </c>
      <c r="BA344">
        <v>0.24761351909184737</v>
      </c>
      <c r="BB344">
        <v>0</v>
      </c>
      <c r="BC344">
        <v>0.75238648090815263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1.3291041577368199</v>
      </c>
      <c r="BJ344">
        <v>1.3291041577368199</v>
      </c>
      <c r="BK344">
        <v>1.3571936967404263</v>
      </c>
      <c r="BL344">
        <v>2.8089539003606445E-2</v>
      </c>
      <c r="BM344">
        <v>0</v>
      </c>
      <c r="BN344">
        <v>0</v>
      </c>
      <c r="BO344">
        <v>0</v>
      </c>
      <c r="BP344">
        <v>0</v>
      </c>
      <c r="BQ344">
        <v>0</v>
      </c>
      <c r="BR344">
        <v>0.32910415773681989</v>
      </c>
      <c r="BS344">
        <v>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1</v>
      </c>
      <c r="CA344">
        <v>0</v>
      </c>
      <c r="CB344">
        <v>0</v>
      </c>
      <c r="CC344">
        <v>0</v>
      </c>
      <c r="CD344">
        <v>0</v>
      </c>
      <c r="CE344">
        <v>0</v>
      </c>
    </row>
    <row r="345" spans="1:83" x14ac:dyDescent="0.25">
      <c r="A345" t="s">
        <v>128</v>
      </c>
      <c r="B345" t="s">
        <v>146</v>
      </c>
      <c r="C345" t="s">
        <v>72</v>
      </c>
      <c r="D345" s="12">
        <v>46224</v>
      </c>
      <c r="E345" t="s">
        <v>135</v>
      </c>
      <c r="F345" t="s">
        <v>73</v>
      </c>
      <c r="G345">
        <v>5.8323914011879054</v>
      </c>
      <c r="H345">
        <v>5.6999999999999993</v>
      </c>
      <c r="I345">
        <v>10</v>
      </c>
      <c r="J345">
        <v>1</v>
      </c>
      <c r="K345">
        <v>5.6999999999999993</v>
      </c>
      <c r="L345">
        <v>46224</v>
      </c>
      <c r="M345" t="s">
        <v>175</v>
      </c>
      <c r="N345">
        <v>4.2886029411764692</v>
      </c>
      <c r="O345">
        <v>0.97730066587078823</v>
      </c>
      <c r="P345">
        <v>0.97730066587078823</v>
      </c>
      <c r="Q345">
        <v>0.7353078087837166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2.2699334129211768E-2</v>
      </c>
      <c r="AC345">
        <v>0</v>
      </c>
      <c r="AD345">
        <v>0.24199285708707163</v>
      </c>
      <c r="AE345">
        <v>0</v>
      </c>
      <c r="AF345">
        <v>0.7353078087837166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1.0232265616119134</v>
      </c>
      <c r="AM345">
        <v>1.0232265616119134</v>
      </c>
      <c r="AN345">
        <v>0.75238648090815263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2.3226561611913388E-2</v>
      </c>
      <c r="AX345">
        <v>0</v>
      </c>
      <c r="AY345">
        <v>0</v>
      </c>
      <c r="AZ345">
        <v>0</v>
      </c>
      <c r="BA345">
        <v>0.24761351909184737</v>
      </c>
      <c r="BB345">
        <v>0</v>
      </c>
      <c r="BC345">
        <v>0.75238648090815263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1.3291041577368199</v>
      </c>
      <c r="BJ345">
        <v>1.3291041577368199</v>
      </c>
      <c r="BK345">
        <v>1.3599746773451442</v>
      </c>
      <c r="BL345">
        <v>3.0870519608324321E-2</v>
      </c>
      <c r="BM345">
        <v>0</v>
      </c>
      <c r="BN345">
        <v>0</v>
      </c>
      <c r="BO345">
        <v>0</v>
      </c>
      <c r="BP345">
        <v>0</v>
      </c>
      <c r="BQ345">
        <v>0</v>
      </c>
      <c r="BR345">
        <v>0.32910415773681989</v>
      </c>
      <c r="BS345">
        <v>0</v>
      </c>
      <c r="BT345">
        <v>0</v>
      </c>
      <c r="BU345">
        <v>0</v>
      </c>
      <c r="BV345">
        <v>0</v>
      </c>
      <c r="BW345">
        <v>0</v>
      </c>
      <c r="BX345">
        <v>0</v>
      </c>
      <c r="BY345">
        <v>0</v>
      </c>
      <c r="BZ345">
        <v>1</v>
      </c>
      <c r="CA345">
        <v>0</v>
      </c>
      <c r="CB345">
        <v>0</v>
      </c>
      <c r="CC345">
        <v>0</v>
      </c>
      <c r="CD345">
        <v>0</v>
      </c>
      <c r="CE345">
        <v>0</v>
      </c>
    </row>
    <row r="346" spans="1:83" x14ac:dyDescent="0.25">
      <c r="A346" t="s">
        <v>128</v>
      </c>
      <c r="B346" t="s">
        <v>146</v>
      </c>
      <c r="C346" t="s">
        <v>72</v>
      </c>
      <c r="D346" s="12">
        <v>46224</v>
      </c>
      <c r="E346" t="s">
        <v>135</v>
      </c>
      <c r="F346" t="s">
        <v>74</v>
      </c>
      <c r="G346">
        <v>1.2742252699784016</v>
      </c>
      <c r="H346">
        <v>0</v>
      </c>
      <c r="I346">
        <v>10</v>
      </c>
      <c r="J346">
        <v>1</v>
      </c>
      <c r="K346">
        <v>0</v>
      </c>
      <c r="L346">
        <v>46224</v>
      </c>
      <c r="M346" t="s">
        <v>172</v>
      </c>
      <c r="N346">
        <v>0.94117647058823517</v>
      </c>
      <c r="O346">
        <v>0</v>
      </c>
      <c r="P346">
        <v>0</v>
      </c>
      <c r="Q346">
        <v>0.73862643659875649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0.73862643659875649</v>
      </c>
      <c r="AB346">
        <v>0.26137356340124351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I346">
        <v>0</v>
      </c>
      <c r="BJ346">
        <v>0</v>
      </c>
      <c r="BK346">
        <v>1.3538643493520519</v>
      </c>
      <c r="BL346">
        <v>0.35386434935205191</v>
      </c>
      <c r="BM346">
        <v>0</v>
      </c>
      <c r="BN346">
        <v>0</v>
      </c>
      <c r="BO346">
        <v>0</v>
      </c>
      <c r="BP346">
        <v>0</v>
      </c>
      <c r="BQ346">
        <v>0</v>
      </c>
      <c r="BR346">
        <v>0</v>
      </c>
      <c r="BS346">
        <v>0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0</v>
      </c>
    </row>
    <row r="347" spans="1:83" x14ac:dyDescent="0.25">
      <c r="A347" t="s">
        <v>128</v>
      </c>
      <c r="B347" t="s">
        <v>145</v>
      </c>
      <c r="C347" t="s">
        <v>72</v>
      </c>
      <c r="D347" s="12">
        <v>46224</v>
      </c>
      <c r="E347" t="s">
        <v>135</v>
      </c>
      <c r="F347" t="s">
        <v>74</v>
      </c>
      <c r="G347">
        <v>1.2735376146788993</v>
      </c>
      <c r="H347">
        <v>0</v>
      </c>
      <c r="I347">
        <v>10</v>
      </c>
      <c r="K347">
        <v>0</v>
      </c>
      <c r="L347">
        <v>46224</v>
      </c>
      <c r="M347" t="s">
        <v>172</v>
      </c>
      <c r="N347">
        <v>0.94117647058823517</v>
      </c>
      <c r="O347">
        <v>0</v>
      </c>
      <c r="P347">
        <v>0</v>
      </c>
      <c r="Q347">
        <v>0.73902526296840998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0.73902526296840998</v>
      </c>
      <c r="AB347">
        <v>0.26097473703159002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I347">
        <v>0</v>
      </c>
      <c r="BJ347">
        <v>0</v>
      </c>
      <c r="BK347">
        <v>1.3531337155963306</v>
      </c>
      <c r="BL347">
        <v>0.35313371559633056</v>
      </c>
      <c r="BM347">
        <v>0</v>
      </c>
      <c r="BN347">
        <v>0</v>
      </c>
      <c r="BO347">
        <v>0</v>
      </c>
      <c r="BP347">
        <v>0</v>
      </c>
      <c r="BQ347">
        <v>0</v>
      </c>
      <c r="BR347">
        <v>0</v>
      </c>
      <c r="BS347">
        <v>0</v>
      </c>
      <c r="BT347">
        <v>0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0</v>
      </c>
    </row>
    <row r="348" spans="1:83" x14ac:dyDescent="0.25">
      <c r="A348" t="s">
        <v>128</v>
      </c>
      <c r="B348" t="s">
        <v>146</v>
      </c>
      <c r="C348" t="s">
        <v>72</v>
      </c>
      <c r="D348" s="12">
        <v>46224</v>
      </c>
      <c r="E348" t="s">
        <v>135</v>
      </c>
      <c r="F348" t="s">
        <v>75</v>
      </c>
      <c r="G348">
        <v>3.3729492440604751</v>
      </c>
      <c r="H348">
        <v>0.95</v>
      </c>
      <c r="I348">
        <v>10</v>
      </c>
      <c r="J348">
        <v>1</v>
      </c>
      <c r="K348">
        <v>0.95</v>
      </c>
      <c r="L348">
        <v>46224</v>
      </c>
      <c r="M348" t="s">
        <v>169</v>
      </c>
      <c r="N348">
        <v>3.4861591695501715</v>
      </c>
      <c r="O348">
        <v>0.28165262245581746</v>
      </c>
      <c r="P348">
        <v>0.28165262245581746</v>
      </c>
      <c r="Q348">
        <v>1.0335640762128429</v>
      </c>
      <c r="R348">
        <v>3.3564076212842853E-2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0.71834737754418254</v>
      </c>
      <c r="AB348">
        <v>0</v>
      </c>
      <c r="AC348">
        <v>0</v>
      </c>
      <c r="AD348">
        <v>0</v>
      </c>
      <c r="AE348">
        <v>0</v>
      </c>
      <c r="AF348">
        <v>0.28165262245581746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3.5504728884847108</v>
      </c>
      <c r="AM348">
        <v>3.5504728884847108</v>
      </c>
      <c r="AN348">
        <v>3.6696412311054436</v>
      </c>
      <c r="BE348">
        <v>0</v>
      </c>
      <c r="BF348">
        <v>0</v>
      </c>
      <c r="BG348">
        <v>0</v>
      </c>
      <c r="BI348">
        <v>0.2725062034739455</v>
      </c>
      <c r="BJ348">
        <v>0.2725062034739455</v>
      </c>
      <c r="BK348">
        <v>0.96752588737814171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3.2474112621858287E-2</v>
      </c>
      <c r="BW348">
        <v>0</v>
      </c>
      <c r="BX348">
        <v>0</v>
      </c>
      <c r="BY348">
        <v>0</v>
      </c>
      <c r="BZ348">
        <v>0.2725062034739455</v>
      </c>
      <c r="CA348">
        <v>0</v>
      </c>
      <c r="CB348">
        <v>0</v>
      </c>
      <c r="CC348">
        <v>0</v>
      </c>
      <c r="CD348">
        <v>0</v>
      </c>
      <c r="CE348">
        <v>0</v>
      </c>
    </row>
    <row r="349" spans="1:83" x14ac:dyDescent="0.25">
      <c r="A349" t="s">
        <v>128</v>
      </c>
      <c r="B349" t="s">
        <v>145</v>
      </c>
      <c r="C349" t="s">
        <v>72</v>
      </c>
      <c r="D349" s="12">
        <v>46224</v>
      </c>
      <c r="E349" t="s">
        <v>135</v>
      </c>
      <c r="F349" t="s">
        <v>75</v>
      </c>
      <c r="G349">
        <v>3.3711289800323798</v>
      </c>
      <c r="H349">
        <v>0.95</v>
      </c>
      <c r="I349">
        <v>10</v>
      </c>
      <c r="K349">
        <v>0.95</v>
      </c>
      <c r="L349">
        <v>46224</v>
      </c>
      <c r="M349" t="s">
        <v>169</v>
      </c>
      <c r="N349">
        <v>3.4861591695501715</v>
      </c>
      <c r="O349">
        <v>0.28180470270552366</v>
      </c>
      <c r="P349">
        <v>0.28180470270552366</v>
      </c>
      <c r="Q349">
        <v>1.0341221561676013</v>
      </c>
      <c r="R349">
        <v>3.4122156167601281E-2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0.71819529729447629</v>
      </c>
      <c r="AB349">
        <v>0</v>
      </c>
      <c r="AC349">
        <v>0</v>
      </c>
      <c r="AD349">
        <v>0</v>
      </c>
      <c r="AE349">
        <v>0</v>
      </c>
      <c r="AF349">
        <v>0.28180470270552366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3.5485568210867156</v>
      </c>
      <c r="AM349">
        <v>3.5485568210867156</v>
      </c>
      <c r="AN349">
        <v>3.6696412311054436</v>
      </c>
      <c r="BE349">
        <v>0</v>
      </c>
      <c r="BF349">
        <v>0</v>
      </c>
      <c r="BG349">
        <v>0</v>
      </c>
      <c r="BI349">
        <v>0.2725062034739455</v>
      </c>
      <c r="BJ349">
        <v>0.2725062034739455</v>
      </c>
      <c r="BK349">
        <v>0.96700374712591386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3.299625287408614E-2</v>
      </c>
      <c r="BW349">
        <v>0</v>
      </c>
      <c r="BX349">
        <v>0</v>
      </c>
      <c r="BY349">
        <v>0</v>
      </c>
      <c r="BZ349">
        <v>0.2725062034739455</v>
      </c>
      <c r="CA349">
        <v>0</v>
      </c>
      <c r="CB349">
        <v>0</v>
      </c>
      <c r="CC349">
        <v>0</v>
      </c>
      <c r="CD349">
        <v>0</v>
      </c>
      <c r="CE349">
        <v>0</v>
      </c>
    </row>
    <row r="350" spans="1:83" x14ac:dyDescent="0.25">
      <c r="A350" t="s">
        <v>128</v>
      </c>
      <c r="B350" t="s">
        <v>145</v>
      </c>
      <c r="C350" t="s">
        <v>72</v>
      </c>
      <c r="D350" s="12">
        <v>46225</v>
      </c>
      <c r="E350" t="s">
        <v>135</v>
      </c>
      <c r="F350" t="s">
        <v>73</v>
      </c>
      <c r="G350">
        <v>4.6265233658256903</v>
      </c>
      <c r="H350">
        <v>3.8</v>
      </c>
      <c r="I350">
        <v>10</v>
      </c>
      <c r="K350">
        <v>3.8</v>
      </c>
      <c r="L350">
        <v>46225</v>
      </c>
      <c r="M350" t="s">
        <v>166</v>
      </c>
      <c r="N350">
        <v>2.7656250000000009</v>
      </c>
      <c r="O350">
        <v>0.82135108796144984</v>
      </c>
      <c r="P350">
        <v>0.82135108796144984</v>
      </c>
      <c r="Q350">
        <v>0.59777607964299628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0.17864891203855016</v>
      </c>
      <c r="AC350">
        <v>0</v>
      </c>
      <c r="AD350">
        <v>0.22357500831845356</v>
      </c>
      <c r="AE350">
        <v>0</v>
      </c>
      <c r="AF350">
        <v>0.59777607964299628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1.2175061489014976</v>
      </c>
      <c r="AM350">
        <v>1.2175061489014976</v>
      </c>
      <c r="AN350">
        <v>0.7277960526315792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0.21750614890149755</v>
      </c>
      <c r="AX350">
        <v>0</v>
      </c>
      <c r="AY350">
        <v>0</v>
      </c>
      <c r="AZ350">
        <v>0</v>
      </c>
      <c r="BA350">
        <v>0.2722039473684208</v>
      </c>
      <c r="BB350">
        <v>0</v>
      </c>
      <c r="BC350">
        <v>0.7277960526315792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1.3740112994350278</v>
      </c>
      <c r="BJ350">
        <v>1.3740112994350278</v>
      </c>
      <c r="BK350">
        <v>1.6728672057222829</v>
      </c>
      <c r="BL350">
        <v>0.29885590628725511</v>
      </c>
      <c r="BM350">
        <v>0</v>
      </c>
      <c r="BN350">
        <v>0</v>
      </c>
      <c r="BO350">
        <v>0</v>
      </c>
      <c r="BP350">
        <v>0</v>
      </c>
      <c r="BQ350">
        <v>0.12598870056497224</v>
      </c>
      <c r="BR350">
        <v>0.37401129943502776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</row>
    <row r="351" spans="1:83" x14ac:dyDescent="0.25">
      <c r="A351" t="s">
        <v>128</v>
      </c>
      <c r="B351" t="s">
        <v>146</v>
      </c>
      <c r="C351" t="s">
        <v>72</v>
      </c>
      <c r="D351" s="12">
        <v>46225</v>
      </c>
      <c r="E351" t="s">
        <v>135</v>
      </c>
      <c r="F351" t="s">
        <v>73</v>
      </c>
      <c r="G351">
        <v>4.6378052105831538</v>
      </c>
      <c r="H351">
        <v>3.8</v>
      </c>
      <c r="I351">
        <v>10</v>
      </c>
      <c r="J351">
        <v>1</v>
      </c>
      <c r="K351">
        <v>3.8</v>
      </c>
      <c r="L351">
        <v>46225</v>
      </c>
      <c r="M351" t="s">
        <v>166</v>
      </c>
      <c r="N351">
        <v>2.7656250000000009</v>
      </c>
      <c r="O351">
        <v>0.81935308350783254</v>
      </c>
      <c r="P351">
        <v>0.81935308350783254</v>
      </c>
      <c r="Q351">
        <v>0.59632193988851323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0.18064691649216746</v>
      </c>
      <c r="AC351">
        <v>0</v>
      </c>
      <c r="AD351">
        <v>0.22303114361931931</v>
      </c>
      <c r="AE351">
        <v>0</v>
      </c>
      <c r="AF351">
        <v>0.59632193988851323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1.2204750554166195</v>
      </c>
      <c r="AM351">
        <v>1.2204750554166195</v>
      </c>
      <c r="AN351">
        <v>0.7277960526315792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0.22047505541661949</v>
      </c>
      <c r="AX351">
        <v>0</v>
      </c>
      <c r="AY351">
        <v>0</v>
      </c>
      <c r="AZ351">
        <v>0</v>
      </c>
      <c r="BA351">
        <v>0.2722039473684208</v>
      </c>
      <c r="BB351">
        <v>0</v>
      </c>
      <c r="BC351">
        <v>0.7277960526315792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1.3740112994350278</v>
      </c>
      <c r="BJ351">
        <v>1.3740112994350278</v>
      </c>
      <c r="BK351">
        <v>1.6769465168210269</v>
      </c>
      <c r="BL351">
        <v>0.30293521738599916</v>
      </c>
      <c r="BM351">
        <v>0</v>
      </c>
      <c r="BN351">
        <v>0</v>
      </c>
      <c r="BO351">
        <v>0</v>
      </c>
      <c r="BP351">
        <v>0</v>
      </c>
      <c r="BQ351">
        <v>0.12598870056497224</v>
      </c>
      <c r="BR351">
        <v>0.37401129943502776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</row>
    <row r="352" spans="1:83" x14ac:dyDescent="0.25">
      <c r="A352" t="s">
        <v>128</v>
      </c>
      <c r="B352" t="s">
        <v>145</v>
      </c>
      <c r="C352" t="s">
        <v>72</v>
      </c>
      <c r="D352" s="12">
        <v>46225</v>
      </c>
      <c r="E352" t="s">
        <v>135</v>
      </c>
      <c r="F352" t="s">
        <v>74</v>
      </c>
      <c r="G352">
        <v>1.2735376146788993</v>
      </c>
      <c r="H352">
        <v>0</v>
      </c>
      <c r="I352">
        <v>10</v>
      </c>
      <c r="K352">
        <v>0</v>
      </c>
      <c r="L352">
        <v>46225</v>
      </c>
      <c r="M352" t="s">
        <v>163</v>
      </c>
      <c r="N352">
        <v>0.94117647058823517</v>
      </c>
      <c r="O352">
        <v>0</v>
      </c>
      <c r="P352">
        <v>0</v>
      </c>
      <c r="Q352">
        <v>0.73902526296840998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0.73902526296840998</v>
      </c>
      <c r="AB352">
        <v>0.26097473703159002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I352">
        <v>0</v>
      </c>
      <c r="BJ352">
        <v>0</v>
      </c>
      <c r="BK352">
        <v>1.3531337155963306</v>
      </c>
      <c r="BL352">
        <v>0.35313371559633056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</row>
    <row r="353" spans="1:83" x14ac:dyDescent="0.25">
      <c r="A353" t="s">
        <v>128</v>
      </c>
      <c r="B353" t="s">
        <v>146</v>
      </c>
      <c r="C353" t="s">
        <v>72</v>
      </c>
      <c r="D353" s="12">
        <v>46225</v>
      </c>
      <c r="E353" t="s">
        <v>135</v>
      </c>
      <c r="F353" t="s">
        <v>74</v>
      </c>
      <c r="G353">
        <v>1.2742252699784016</v>
      </c>
      <c r="H353">
        <v>0</v>
      </c>
      <c r="I353">
        <v>10</v>
      </c>
      <c r="J353">
        <v>1</v>
      </c>
      <c r="K353">
        <v>0</v>
      </c>
      <c r="L353">
        <v>46225</v>
      </c>
      <c r="M353" t="s">
        <v>163</v>
      </c>
      <c r="N353">
        <v>0.94117647058823517</v>
      </c>
      <c r="O353">
        <v>0</v>
      </c>
      <c r="P353">
        <v>0</v>
      </c>
      <c r="Q353">
        <v>0.73862643659875649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0.73862643659875649</v>
      </c>
      <c r="AB353">
        <v>0.26137356340124351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I353">
        <v>0</v>
      </c>
      <c r="BJ353">
        <v>0</v>
      </c>
      <c r="BK353">
        <v>1.3538643493520519</v>
      </c>
      <c r="BL353">
        <v>0.35386434935205191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</row>
    <row r="354" spans="1:83" x14ac:dyDescent="0.25">
      <c r="A354" t="s">
        <v>128</v>
      </c>
      <c r="B354" t="s">
        <v>145</v>
      </c>
      <c r="C354" t="s">
        <v>72</v>
      </c>
      <c r="D354" s="12">
        <v>46225</v>
      </c>
      <c r="E354" t="s">
        <v>135</v>
      </c>
      <c r="F354" t="s">
        <v>75</v>
      </c>
      <c r="G354">
        <v>3.9329838100377774</v>
      </c>
      <c r="H354">
        <v>4.75</v>
      </c>
      <c r="I354">
        <v>10</v>
      </c>
      <c r="K354">
        <v>4.75</v>
      </c>
      <c r="L354">
        <v>46225</v>
      </c>
      <c r="M354" t="s">
        <v>215</v>
      </c>
      <c r="N354">
        <v>3.8019031141868487</v>
      </c>
      <c r="O354">
        <v>1.2077344401665298</v>
      </c>
      <c r="P354">
        <v>1.2077344401665298</v>
      </c>
      <c r="Q354">
        <v>0.96667143772207142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0.20773444016652975</v>
      </c>
      <c r="AA354">
        <v>0</v>
      </c>
      <c r="AB354">
        <v>0</v>
      </c>
      <c r="AC354">
        <v>0</v>
      </c>
      <c r="AD354">
        <v>3.3328562277928575E-2</v>
      </c>
      <c r="AE354">
        <v>0</v>
      </c>
      <c r="AF354">
        <v>0.96667143772207142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0.82799659158690053</v>
      </c>
      <c r="AM354">
        <v>0.82799659158690053</v>
      </c>
      <c r="AN354">
        <v>0.80040065561828388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0.17200340841309947</v>
      </c>
      <c r="AZ354">
        <v>0</v>
      </c>
      <c r="BA354">
        <v>2.7595935968616647E-2</v>
      </c>
      <c r="BB354">
        <v>0</v>
      </c>
      <c r="BC354">
        <v>0.80040065561828388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1.2493742889647335</v>
      </c>
      <c r="BJ354">
        <v>1.2493742889647335</v>
      </c>
      <c r="BK354">
        <v>1.0344776528791066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3.4477652879106646E-2</v>
      </c>
      <c r="BS354">
        <v>0</v>
      </c>
      <c r="BT354">
        <v>0.21489663608562681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1</v>
      </c>
      <c r="CA354">
        <v>0</v>
      </c>
      <c r="CB354">
        <v>0</v>
      </c>
      <c r="CC354">
        <v>0</v>
      </c>
      <c r="CD354">
        <v>0</v>
      </c>
      <c r="CE354">
        <v>0</v>
      </c>
    </row>
    <row r="355" spans="1:83" x14ac:dyDescent="0.25">
      <c r="A355" t="s">
        <v>128</v>
      </c>
      <c r="B355" t="s">
        <v>146</v>
      </c>
      <c r="C355" t="s">
        <v>72</v>
      </c>
      <c r="D355" s="12">
        <v>46225</v>
      </c>
      <c r="E355" t="s">
        <v>135</v>
      </c>
      <c r="F355" t="s">
        <v>75</v>
      </c>
      <c r="G355">
        <v>3.902039321560157</v>
      </c>
      <c r="H355">
        <v>4.75</v>
      </c>
      <c r="I355">
        <v>10</v>
      </c>
      <c r="J355">
        <v>1</v>
      </c>
      <c r="K355">
        <v>4.75</v>
      </c>
      <c r="L355">
        <v>46225</v>
      </c>
      <c r="M355" t="s">
        <v>215</v>
      </c>
      <c r="N355">
        <v>3.8019031141868487</v>
      </c>
      <c r="O355">
        <v>1.2173121818005672</v>
      </c>
      <c r="P355">
        <v>1.2173121818005672</v>
      </c>
      <c r="Q355">
        <v>0.97433746840529767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0.21731218180056722</v>
      </c>
      <c r="AA355">
        <v>0</v>
      </c>
      <c r="AB355">
        <v>0</v>
      </c>
      <c r="AC355">
        <v>0</v>
      </c>
      <c r="AD355">
        <v>2.5662531594702331E-2</v>
      </c>
      <c r="AE355">
        <v>0</v>
      </c>
      <c r="AF355">
        <v>0.97433746840529767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0.82148196243371729</v>
      </c>
      <c r="AM355">
        <v>0.82148196243371729</v>
      </c>
      <c r="AN355">
        <v>0.80040065561828388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0.17851803756628271</v>
      </c>
      <c r="AZ355">
        <v>0</v>
      </c>
      <c r="BA355">
        <v>2.1081306815433409E-2</v>
      </c>
      <c r="BB355">
        <v>0</v>
      </c>
      <c r="BC355">
        <v>0.80040065561828388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1.2493742889647335</v>
      </c>
      <c r="BJ355">
        <v>1.2493742889647335</v>
      </c>
      <c r="BK355">
        <v>1.0263384427129794</v>
      </c>
      <c r="BL355">
        <v>0</v>
      </c>
      <c r="BM355">
        <v>0</v>
      </c>
      <c r="BN355">
        <v>0</v>
      </c>
      <c r="BO355">
        <v>0</v>
      </c>
      <c r="BP355">
        <v>0</v>
      </c>
      <c r="BQ355">
        <v>0</v>
      </c>
      <c r="BR355">
        <v>2.633844271297936E-2</v>
      </c>
      <c r="BS355">
        <v>0</v>
      </c>
      <c r="BT355">
        <v>0.2230358462517541</v>
      </c>
      <c r="BU355">
        <v>0</v>
      </c>
      <c r="BV355">
        <v>0</v>
      </c>
      <c r="BW355">
        <v>0</v>
      </c>
      <c r="BX355">
        <v>0</v>
      </c>
      <c r="BY355">
        <v>0</v>
      </c>
      <c r="BZ355">
        <v>1</v>
      </c>
      <c r="CA355">
        <v>0</v>
      </c>
      <c r="CB355">
        <v>0</v>
      </c>
      <c r="CC355">
        <v>0</v>
      </c>
      <c r="CD355">
        <v>0</v>
      </c>
      <c r="CE355">
        <v>0</v>
      </c>
    </row>
    <row r="356" spans="1:83" x14ac:dyDescent="0.25">
      <c r="A356" t="s">
        <v>128</v>
      </c>
      <c r="B356" t="s">
        <v>145</v>
      </c>
      <c r="C356" t="s">
        <v>72</v>
      </c>
      <c r="D356" s="12">
        <v>46226</v>
      </c>
      <c r="E356" t="s">
        <v>135</v>
      </c>
      <c r="F356" t="s">
        <v>73</v>
      </c>
      <c r="G356">
        <v>5.9697075688073395</v>
      </c>
      <c r="H356">
        <v>2.8499999999999996</v>
      </c>
      <c r="I356">
        <v>10</v>
      </c>
      <c r="K356">
        <v>2.8499999999999996</v>
      </c>
      <c r="L356">
        <v>46226</v>
      </c>
      <c r="M356" t="s">
        <v>232</v>
      </c>
      <c r="N356">
        <v>4.8831269349845199</v>
      </c>
      <c r="O356">
        <v>0.47741031987759291</v>
      </c>
      <c r="P356">
        <v>0.47741031987759291</v>
      </c>
      <c r="Q356">
        <v>0.81798427790661399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0.34057395802902107</v>
      </c>
      <c r="AB356">
        <v>0.18201572209338601</v>
      </c>
      <c r="AC356">
        <v>0</v>
      </c>
      <c r="AD356">
        <v>0</v>
      </c>
      <c r="AE356">
        <v>0</v>
      </c>
      <c r="AF356">
        <v>0.47741031987759291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2.0946342346692424</v>
      </c>
      <c r="AM356">
        <v>2.0946342346692424</v>
      </c>
      <c r="AN356">
        <v>1.7133778719243931</v>
      </c>
      <c r="BE356">
        <v>0</v>
      </c>
      <c r="BF356">
        <v>0</v>
      </c>
      <c r="BG356">
        <v>0</v>
      </c>
      <c r="BI356">
        <v>0.58364241559676644</v>
      </c>
      <c r="BJ356">
        <v>0.58364241559676644</v>
      </c>
      <c r="BK356">
        <v>1.2225173845140407</v>
      </c>
      <c r="BL356">
        <v>0.22251738451404068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0.52258968012240703</v>
      </c>
      <c r="BV356">
        <v>0</v>
      </c>
      <c r="BW356">
        <v>0</v>
      </c>
      <c r="BX356">
        <v>0</v>
      </c>
      <c r="BY356">
        <v>0</v>
      </c>
      <c r="BZ356">
        <v>0.58364241559676644</v>
      </c>
      <c r="CA356">
        <v>0</v>
      </c>
      <c r="CB356">
        <v>0</v>
      </c>
      <c r="CC356">
        <v>0</v>
      </c>
      <c r="CD356">
        <v>0</v>
      </c>
      <c r="CE356">
        <v>0</v>
      </c>
    </row>
    <row r="357" spans="1:83" x14ac:dyDescent="0.25">
      <c r="A357" t="s">
        <v>128</v>
      </c>
      <c r="B357" t="s">
        <v>146</v>
      </c>
      <c r="C357" t="s">
        <v>72</v>
      </c>
      <c r="D357" s="12">
        <v>46226</v>
      </c>
      <c r="E357" t="s">
        <v>135</v>
      </c>
      <c r="F357" t="s">
        <v>73</v>
      </c>
      <c r="G357">
        <v>5.9729309530237575</v>
      </c>
      <c r="H357">
        <v>2.8499999999999996</v>
      </c>
      <c r="I357">
        <v>10</v>
      </c>
      <c r="J357">
        <v>1</v>
      </c>
      <c r="K357">
        <v>2.8499999999999996</v>
      </c>
      <c r="L357">
        <v>46226</v>
      </c>
      <c r="M357" t="s">
        <v>232</v>
      </c>
      <c r="N357">
        <v>4.8831269349845199</v>
      </c>
      <c r="O357">
        <v>0.47715267804279665</v>
      </c>
      <c r="P357">
        <v>0.47715267804279665</v>
      </c>
      <c r="Q357">
        <v>0.81754284008799205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0.3403901620451954</v>
      </c>
      <c r="AB357">
        <v>0.18245715991200795</v>
      </c>
      <c r="AC357">
        <v>0</v>
      </c>
      <c r="AD357">
        <v>0</v>
      </c>
      <c r="AE357">
        <v>0</v>
      </c>
      <c r="AF357">
        <v>0.47715267804279665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2.0957652466750027</v>
      </c>
      <c r="AM357">
        <v>2.0957652466750027</v>
      </c>
      <c r="AN357">
        <v>1.7133778719243931</v>
      </c>
      <c r="BE357">
        <v>0</v>
      </c>
      <c r="BF357">
        <v>0</v>
      </c>
      <c r="BG357">
        <v>0</v>
      </c>
      <c r="BI357">
        <v>0.58364241559676644</v>
      </c>
      <c r="BJ357">
        <v>0.58364241559676644</v>
      </c>
      <c r="BK357">
        <v>1.2231774910931519</v>
      </c>
      <c r="BL357">
        <v>0.22317749109315188</v>
      </c>
      <c r="BM357">
        <v>0</v>
      </c>
      <c r="BN357">
        <v>0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0.5228473219572034</v>
      </c>
      <c r="BV357">
        <v>0</v>
      </c>
      <c r="BW357">
        <v>0</v>
      </c>
      <c r="BX357">
        <v>0</v>
      </c>
      <c r="BY357">
        <v>0</v>
      </c>
      <c r="BZ357">
        <v>0.58364241559676644</v>
      </c>
      <c r="CA357">
        <v>0</v>
      </c>
      <c r="CB357">
        <v>0</v>
      </c>
      <c r="CC357">
        <v>0</v>
      </c>
      <c r="CD357">
        <v>0</v>
      </c>
      <c r="CE357">
        <v>0</v>
      </c>
    </row>
    <row r="358" spans="1:83" x14ac:dyDescent="0.25">
      <c r="A358" t="s">
        <v>128</v>
      </c>
      <c r="B358" t="s">
        <v>145</v>
      </c>
      <c r="C358" t="s">
        <v>72</v>
      </c>
      <c r="D358" s="12">
        <v>46226</v>
      </c>
      <c r="E358" t="s">
        <v>135</v>
      </c>
      <c r="F358" t="s">
        <v>74</v>
      </c>
      <c r="G358">
        <v>1.2735376146788993</v>
      </c>
      <c r="H358">
        <v>0</v>
      </c>
      <c r="I358">
        <v>10</v>
      </c>
      <c r="K358">
        <v>0</v>
      </c>
      <c r="L358">
        <v>46226</v>
      </c>
      <c r="M358" t="s">
        <v>231</v>
      </c>
      <c r="N358">
        <v>0.94117647058823517</v>
      </c>
      <c r="O358">
        <v>0</v>
      </c>
      <c r="P358">
        <v>0</v>
      </c>
      <c r="Q358">
        <v>0.73902526296840998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0.73902526296840998</v>
      </c>
      <c r="AB358">
        <v>0.26097473703159002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I358">
        <v>0</v>
      </c>
      <c r="BJ358">
        <v>0</v>
      </c>
      <c r="BK358">
        <v>1.3531337155963306</v>
      </c>
      <c r="BL358">
        <v>0.35313371559633056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0</v>
      </c>
    </row>
    <row r="359" spans="1:83" x14ac:dyDescent="0.25">
      <c r="A359" t="s">
        <v>128</v>
      </c>
      <c r="B359" t="s">
        <v>146</v>
      </c>
      <c r="C359" t="s">
        <v>72</v>
      </c>
      <c r="D359" s="12">
        <v>46226</v>
      </c>
      <c r="E359" t="s">
        <v>135</v>
      </c>
      <c r="F359" t="s">
        <v>74</v>
      </c>
      <c r="G359">
        <v>1.2742252699784016</v>
      </c>
      <c r="H359">
        <v>0</v>
      </c>
      <c r="I359">
        <v>10</v>
      </c>
      <c r="J359">
        <v>1</v>
      </c>
      <c r="K359">
        <v>0</v>
      </c>
      <c r="L359">
        <v>46226</v>
      </c>
      <c r="M359" t="s">
        <v>231</v>
      </c>
      <c r="N359">
        <v>0.94117647058823517</v>
      </c>
      <c r="O359">
        <v>0</v>
      </c>
      <c r="P359">
        <v>0</v>
      </c>
      <c r="Q359">
        <v>0.73862643659875649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0.73862643659875649</v>
      </c>
      <c r="AB359">
        <v>0.26137356340124351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I359">
        <v>0</v>
      </c>
      <c r="BJ359">
        <v>0</v>
      </c>
      <c r="BK359">
        <v>1.3538643493520519</v>
      </c>
      <c r="BL359">
        <v>0.35386434935205191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</row>
    <row r="360" spans="1:83" x14ac:dyDescent="0.25">
      <c r="A360" t="s">
        <v>128</v>
      </c>
      <c r="B360" t="s">
        <v>146</v>
      </c>
      <c r="C360" t="s">
        <v>72</v>
      </c>
      <c r="D360" s="12">
        <v>46226</v>
      </c>
      <c r="E360" t="s">
        <v>135</v>
      </c>
      <c r="F360" t="s">
        <v>75</v>
      </c>
      <c r="G360">
        <v>3.505221763435395</v>
      </c>
      <c r="H360">
        <v>3.8</v>
      </c>
      <c r="I360">
        <v>10</v>
      </c>
      <c r="J360">
        <v>1</v>
      </c>
      <c r="K360">
        <v>3.8</v>
      </c>
      <c r="L360">
        <v>46226</v>
      </c>
      <c r="M360" t="s">
        <v>230</v>
      </c>
      <c r="N360">
        <v>3.1619012930249499</v>
      </c>
      <c r="O360">
        <v>1.0840968864337128</v>
      </c>
      <c r="P360">
        <v>1.0840968864337128</v>
      </c>
      <c r="Q360">
        <v>0.90205456499449443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8.4096886433712825E-2</v>
      </c>
      <c r="AA360">
        <v>0</v>
      </c>
      <c r="AB360">
        <v>0</v>
      </c>
      <c r="AC360">
        <v>0</v>
      </c>
      <c r="AD360">
        <v>9.7945435005505566E-2</v>
      </c>
      <c r="AE360">
        <v>0</v>
      </c>
      <c r="AF360">
        <v>0.90205456499449443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0.92242677985141974</v>
      </c>
      <c r="AM360">
        <v>0.92242677985141974</v>
      </c>
      <c r="AN360">
        <v>0.83207928763814476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7.7573220148580257E-2</v>
      </c>
      <c r="AZ360">
        <v>0</v>
      </c>
      <c r="BA360">
        <v>9.0347492213274982E-2</v>
      </c>
      <c r="BB360">
        <v>0</v>
      </c>
      <c r="BC360">
        <v>0.83207928763814476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1.201808547402373</v>
      </c>
      <c r="BJ360">
        <v>1.201808547402373</v>
      </c>
      <c r="BK360">
        <v>1.1085803883782832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0.10858038837828321</v>
      </c>
      <c r="BS360">
        <v>0</v>
      </c>
      <c r="BT360">
        <v>9.3228159024089763E-2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1</v>
      </c>
      <c r="CA360">
        <v>0</v>
      </c>
      <c r="CB360">
        <v>0</v>
      </c>
      <c r="CC360">
        <v>0</v>
      </c>
      <c r="CD360">
        <v>0</v>
      </c>
      <c r="CE360">
        <v>0</v>
      </c>
    </row>
    <row r="361" spans="1:83" x14ac:dyDescent="0.25">
      <c r="A361" t="s">
        <v>128</v>
      </c>
      <c r="B361" t="s">
        <v>145</v>
      </c>
      <c r="C361" t="s">
        <v>72</v>
      </c>
      <c r="D361" s="12">
        <v>46226</v>
      </c>
      <c r="E361" t="s">
        <v>135</v>
      </c>
      <c r="F361" t="s">
        <v>75</v>
      </c>
      <c r="G361">
        <v>3.5115926875337284</v>
      </c>
      <c r="H361">
        <v>3.8</v>
      </c>
      <c r="I361">
        <v>10</v>
      </c>
      <c r="K361">
        <v>3.8</v>
      </c>
      <c r="L361">
        <v>46226</v>
      </c>
      <c r="M361" t="s">
        <v>230</v>
      </c>
      <c r="N361">
        <v>3.1619012930249499</v>
      </c>
      <c r="O361">
        <v>1.0821300583892111</v>
      </c>
      <c r="P361">
        <v>1.0821300583892111</v>
      </c>
      <c r="Q361">
        <v>0.90041800811631867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8.2130058389211058E-2</v>
      </c>
      <c r="AA361">
        <v>0</v>
      </c>
      <c r="AB361">
        <v>0</v>
      </c>
      <c r="AC361">
        <v>0</v>
      </c>
      <c r="AD361">
        <v>9.9581991883681331E-2</v>
      </c>
      <c r="AE361">
        <v>0</v>
      </c>
      <c r="AF361">
        <v>0.90041800811631867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0.92410333882466544</v>
      </c>
      <c r="AM361">
        <v>0.92410333882466544</v>
      </c>
      <c r="AN361">
        <v>0.83207928763814476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7.5896661175334557E-2</v>
      </c>
      <c r="AZ361">
        <v>0</v>
      </c>
      <c r="BA361">
        <v>9.2024051186520683E-2</v>
      </c>
      <c r="BB361">
        <v>0</v>
      </c>
      <c r="BC361">
        <v>0.83207928763814476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1.201808547402373</v>
      </c>
      <c r="BJ361">
        <v>1.201808547402373</v>
      </c>
      <c r="BK361">
        <v>1.1105952912825541</v>
      </c>
      <c r="BL361">
        <v>0</v>
      </c>
      <c r="BM361">
        <v>0</v>
      </c>
      <c r="BN361">
        <v>0</v>
      </c>
      <c r="BO361">
        <v>0</v>
      </c>
      <c r="BP361">
        <v>0</v>
      </c>
      <c r="BQ361">
        <v>0</v>
      </c>
      <c r="BR361">
        <v>0.11059529128255408</v>
      </c>
      <c r="BS361">
        <v>0</v>
      </c>
      <c r="BT361">
        <v>9.1213256119818897E-2</v>
      </c>
      <c r="BU361">
        <v>0</v>
      </c>
      <c r="BV361">
        <v>0</v>
      </c>
      <c r="BW361">
        <v>0</v>
      </c>
      <c r="BX361">
        <v>0</v>
      </c>
      <c r="BY361">
        <v>0</v>
      </c>
      <c r="BZ361">
        <v>1</v>
      </c>
      <c r="CA361">
        <v>0</v>
      </c>
      <c r="CB361">
        <v>0</v>
      </c>
      <c r="CC361">
        <v>0</v>
      </c>
      <c r="CD361">
        <v>0</v>
      </c>
      <c r="CE361">
        <v>0</v>
      </c>
    </row>
    <row r="362" spans="1:83" x14ac:dyDescent="0.25">
      <c r="A362" t="s">
        <v>128</v>
      </c>
      <c r="B362" t="s">
        <v>145</v>
      </c>
      <c r="C362" t="s">
        <v>72</v>
      </c>
      <c r="D362" s="12">
        <v>46227</v>
      </c>
      <c r="E362" t="s">
        <v>135</v>
      </c>
      <c r="F362" t="s">
        <v>73</v>
      </c>
      <c r="G362">
        <v>4.7757660550458727</v>
      </c>
      <c r="H362">
        <v>2.8499999999999996</v>
      </c>
      <c r="I362">
        <v>10</v>
      </c>
      <c r="K362">
        <v>2.8499999999999996</v>
      </c>
      <c r="L362">
        <v>46227</v>
      </c>
      <c r="M362" t="s">
        <v>229</v>
      </c>
      <c r="N362">
        <v>1.9411764705882353</v>
      </c>
      <c r="O362">
        <v>0.59676289984699105</v>
      </c>
      <c r="P362">
        <v>0.59676289984699105</v>
      </c>
      <c r="Q362">
        <v>0.4064638946326255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0.40323710015300895</v>
      </c>
      <c r="AC362">
        <v>0</v>
      </c>
      <c r="AD362">
        <v>0.19029900521436555</v>
      </c>
      <c r="AE362">
        <v>0</v>
      </c>
      <c r="AF362">
        <v>0.4064638946326255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1.6757073877353941</v>
      </c>
      <c r="AM362">
        <v>1.6757073877353941</v>
      </c>
      <c r="AN362">
        <v>0.68111455108359142</v>
      </c>
      <c r="BE362">
        <v>0</v>
      </c>
      <c r="BF362">
        <v>0</v>
      </c>
      <c r="BG362">
        <v>0</v>
      </c>
      <c r="BI362">
        <v>1.468181818181818</v>
      </c>
      <c r="BJ362">
        <v>1.468181818181818</v>
      </c>
      <c r="BK362">
        <v>2.4602431192660554</v>
      </c>
      <c r="BL362">
        <v>0.9920613010842374</v>
      </c>
      <c r="BM362">
        <v>0</v>
      </c>
      <c r="BN362">
        <v>0</v>
      </c>
      <c r="BO362">
        <v>0</v>
      </c>
      <c r="BP362">
        <v>0</v>
      </c>
      <c r="BQ362">
        <v>3.1818181818181968E-2</v>
      </c>
      <c r="BR362">
        <v>0.46818181818181803</v>
      </c>
      <c r="BS362">
        <v>0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0</v>
      </c>
    </row>
    <row r="363" spans="1:83" x14ac:dyDescent="0.25">
      <c r="A363" t="s">
        <v>128</v>
      </c>
      <c r="B363" t="s">
        <v>146</v>
      </c>
      <c r="C363" t="s">
        <v>72</v>
      </c>
      <c r="D363" s="12">
        <v>46227</v>
      </c>
      <c r="E363" t="s">
        <v>135</v>
      </c>
      <c r="F363" t="s">
        <v>73</v>
      </c>
      <c r="G363">
        <v>4.7783447624190059</v>
      </c>
      <c r="H363">
        <v>2.8499999999999996</v>
      </c>
      <c r="I363">
        <v>10</v>
      </c>
      <c r="J363">
        <v>1</v>
      </c>
      <c r="K363">
        <v>2.8499999999999996</v>
      </c>
      <c r="L363">
        <v>46227</v>
      </c>
      <c r="M363" t="s">
        <v>229</v>
      </c>
      <c r="N363">
        <v>1.9411764705882353</v>
      </c>
      <c r="O363">
        <v>0.5964408475534958</v>
      </c>
      <c r="P363">
        <v>0.5964408475534958</v>
      </c>
      <c r="Q363">
        <v>0.4062445401293161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0.4035591524465042</v>
      </c>
      <c r="AC363">
        <v>0</v>
      </c>
      <c r="AD363">
        <v>0.1901963074241797</v>
      </c>
      <c r="AE363">
        <v>0</v>
      </c>
      <c r="AF363">
        <v>0.4062445401293161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1.6766121973400023</v>
      </c>
      <c r="AM363">
        <v>1.6766121973400023</v>
      </c>
      <c r="AN363">
        <v>0.68111455108359142</v>
      </c>
      <c r="BE363">
        <v>0</v>
      </c>
      <c r="BF363">
        <v>0</v>
      </c>
      <c r="BG363">
        <v>0</v>
      </c>
      <c r="BI363">
        <v>1.468181818181818</v>
      </c>
      <c r="BJ363">
        <v>1.468181818181818</v>
      </c>
      <c r="BK363">
        <v>2.4615715442764574</v>
      </c>
      <c r="BL363">
        <v>0.99338972609463938</v>
      </c>
      <c r="BM363">
        <v>0</v>
      </c>
      <c r="BN363">
        <v>0</v>
      </c>
      <c r="BO363">
        <v>0</v>
      </c>
      <c r="BP363">
        <v>0</v>
      </c>
      <c r="BQ363">
        <v>3.1818181818181968E-2</v>
      </c>
      <c r="BR363">
        <v>0.46818181818181803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</row>
    <row r="364" spans="1:83" x14ac:dyDescent="0.25">
      <c r="A364" t="s">
        <v>128</v>
      </c>
      <c r="B364" t="s">
        <v>145</v>
      </c>
      <c r="C364" t="s">
        <v>72</v>
      </c>
      <c r="D364" s="12">
        <v>46227</v>
      </c>
      <c r="E364" t="s">
        <v>135</v>
      </c>
      <c r="F364" t="s">
        <v>74</v>
      </c>
      <c r="G364">
        <v>1.2735376146788993</v>
      </c>
      <c r="H364">
        <v>0</v>
      </c>
      <c r="I364">
        <v>10</v>
      </c>
      <c r="K364">
        <v>0</v>
      </c>
      <c r="L364">
        <v>46227</v>
      </c>
      <c r="M364" t="s">
        <v>228</v>
      </c>
      <c r="N364">
        <v>0.94117647058823517</v>
      </c>
      <c r="O364">
        <v>0</v>
      </c>
      <c r="P364">
        <v>0</v>
      </c>
      <c r="Q364">
        <v>0.73902526296840998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0.73902526296840998</v>
      </c>
      <c r="AB364">
        <v>0.26097473703159002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I364">
        <v>0</v>
      </c>
      <c r="BJ364">
        <v>0</v>
      </c>
      <c r="BK364">
        <v>1.3531337155963306</v>
      </c>
      <c r="BL364">
        <v>0.35313371559633056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0</v>
      </c>
    </row>
    <row r="365" spans="1:83" x14ac:dyDescent="0.25">
      <c r="A365" t="s">
        <v>128</v>
      </c>
      <c r="B365" t="s">
        <v>146</v>
      </c>
      <c r="C365" t="s">
        <v>72</v>
      </c>
      <c r="D365" s="12">
        <v>46227</v>
      </c>
      <c r="E365" t="s">
        <v>135</v>
      </c>
      <c r="F365" t="s">
        <v>74</v>
      </c>
      <c r="G365">
        <v>1.2742252699784016</v>
      </c>
      <c r="H365">
        <v>0</v>
      </c>
      <c r="I365">
        <v>10</v>
      </c>
      <c r="J365">
        <v>1</v>
      </c>
      <c r="K365">
        <v>0</v>
      </c>
      <c r="L365">
        <v>46227</v>
      </c>
      <c r="M365" t="s">
        <v>228</v>
      </c>
      <c r="N365">
        <v>0.94117647058823517</v>
      </c>
      <c r="O365">
        <v>0</v>
      </c>
      <c r="P365">
        <v>0</v>
      </c>
      <c r="Q365">
        <v>0.73862643659875649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0.73862643659875649</v>
      </c>
      <c r="AB365">
        <v>0.26137356340124351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I365">
        <v>0</v>
      </c>
      <c r="BJ365">
        <v>0</v>
      </c>
      <c r="BK365">
        <v>1.3538643493520519</v>
      </c>
      <c r="BL365">
        <v>0.35386434935205191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</row>
    <row r="366" spans="1:83" x14ac:dyDescent="0.25">
      <c r="A366" t="s">
        <v>128</v>
      </c>
      <c r="B366" t="s">
        <v>145</v>
      </c>
      <c r="C366" t="s">
        <v>72</v>
      </c>
      <c r="D366" s="12">
        <v>46227</v>
      </c>
      <c r="E366" t="s">
        <v>135</v>
      </c>
      <c r="F366" t="s">
        <v>75</v>
      </c>
      <c r="G366">
        <v>2.2474193200215873</v>
      </c>
      <c r="H366">
        <v>3.8</v>
      </c>
      <c r="I366">
        <v>10</v>
      </c>
      <c r="K366">
        <v>3.8</v>
      </c>
      <c r="L366">
        <v>46227</v>
      </c>
      <c r="M366" t="s">
        <v>227</v>
      </c>
      <c r="N366">
        <v>2.9307958477508644</v>
      </c>
      <c r="O366">
        <v>1.6908282162331414</v>
      </c>
      <c r="P366">
        <v>1.6908282162331414</v>
      </c>
      <c r="Q366">
        <v>1.3040716619463399</v>
      </c>
      <c r="R366">
        <v>0</v>
      </c>
      <c r="S366">
        <v>0</v>
      </c>
      <c r="T366">
        <v>0.38675655428680145</v>
      </c>
      <c r="U366">
        <v>0</v>
      </c>
      <c r="V366">
        <v>5.4071661946339944E-2</v>
      </c>
      <c r="W366">
        <v>0</v>
      </c>
      <c r="X366">
        <v>0.25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1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0.59142613684778611</v>
      </c>
      <c r="AM366">
        <v>0.59142613684778611</v>
      </c>
      <c r="AN366">
        <v>0.77126206519759599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0.22873793480240401</v>
      </c>
      <c r="AZ366">
        <v>0</v>
      </c>
      <c r="BA366">
        <v>0</v>
      </c>
      <c r="BB366">
        <v>0</v>
      </c>
      <c r="BC366">
        <v>0.59142613684778611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1.2965761511216058</v>
      </c>
      <c r="BJ366">
        <v>1.2965761511216058</v>
      </c>
      <c r="BK366">
        <v>0.76682902418682275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0.29657615112160585</v>
      </c>
      <c r="BU366">
        <v>0</v>
      </c>
      <c r="BV366">
        <v>0</v>
      </c>
      <c r="BW366">
        <v>0</v>
      </c>
      <c r="BX366">
        <v>0.23317097581317725</v>
      </c>
      <c r="BY366">
        <v>0</v>
      </c>
      <c r="BZ366">
        <v>0.76682902418682275</v>
      </c>
      <c r="CA366">
        <v>0</v>
      </c>
      <c r="CB366">
        <v>0</v>
      </c>
      <c r="CC366">
        <v>0</v>
      </c>
      <c r="CD366">
        <v>0</v>
      </c>
      <c r="CE366">
        <v>0</v>
      </c>
    </row>
    <row r="367" spans="1:83" x14ac:dyDescent="0.25">
      <c r="A367" t="s">
        <v>128</v>
      </c>
      <c r="B367" t="s">
        <v>146</v>
      </c>
      <c r="C367" t="s">
        <v>72</v>
      </c>
      <c r="D367" s="12">
        <v>46227</v>
      </c>
      <c r="E367" t="s">
        <v>135</v>
      </c>
      <c r="F367" t="s">
        <v>75</v>
      </c>
      <c r="G367">
        <v>2.2486328293736499</v>
      </c>
      <c r="H367">
        <v>3.8</v>
      </c>
      <c r="I367">
        <v>10</v>
      </c>
      <c r="J367">
        <v>1</v>
      </c>
      <c r="K367">
        <v>3.8</v>
      </c>
      <c r="L367">
        <v>46227</v>
      </c>
      <c r="M367" t="s">
        <v>227</v>
      </c>
      <c r="N367">
        <v>2.9307958477508644</v>
      </c>
      <c r="O367">
        <v>1.689915734734905</v>
      </c>
      <c r="P367">
        <v>1.689915734734905</v>
      </c>
      <c r="Q367">
        <v>1.3033678995815554</v>
      </c>
      <c r="R367">
        <v>0</v>
      </c>
      <c r="S367">
        <v>0</v>
      </c>
      <c r="T367">
        <v>0.38654783515334956</v>
      </c>
      <c r="U367">
        <v>0</v>
      </c>
      <c r="V367">
        <v>5.3367899581555411E-2</v>
      </c>
      <c r="W367">
        <v>0</v>
      </c>
      <c r="X367">
        <v>0.25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1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0.59174548141411842</v>
      </c>
      <c r="AM367">
        <v>0.59174548141411842</v>
      </c>
      <c r="AN367">
        <v>0.77126206519759599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0.22873793480240401</v>
      </c>
      <c r="AZ367">
        <v>0</v>
      </c>
      <c r="BA367">
        <v>0</v>
      </c>
      <c r="BB367">
        <v>0</v>
      </c>
      <c r="BC367">
        <v>0.59174548141411842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1.2965761511216058</v>
      </c>
      <c r="BJ367">
        <v>1.2965761511216058</v>
      </c>
      <c r="BK367">
        <v>0.76724307873551945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0.29657615112160585</v>
      </c>
      <c r="BU367">
        <v>0</v>
      </c>
      <c r="BV367">
        <v>0</v>
      </c>
      <c r="BW367">
        <v>0</v>
      </c>
      <c r="BX367">
        <v>0.23275692126448055</v>
      </c>
      <c r="BY367">
        <v>0</v>
      </c>
      <c r="BZ367">
        <v>0.76724307873551945</v>
      </c>
      <c r="CA367">
        <v>0</v>
      </c>
      <c r="CB367">
        <v>0</v>
      </c>
      <c r="CC367">
        <v>0</v>
      </c>
      <c r="CD367">
        <v>0</v>
      </c>
      <c r="CE367">
        <v>0</v>
      </c>
    </row>
    <row r="368" spans="1:83" x14ac:dyDescent="0.25">
      <c r="A368" t="s">
        <v>128</v>
      </c>
      <c r="B368" t="s">
        <v>145</v>
      </c>
      <c r="C368" t="s">
        <v>72</v>
      </c>
      <c r="D368" s="12">
        <v>46228</v>
      </c>
      <c r="E368" t="s">
        <v>135</v>
      </c>
      <c r="F368" t="s">
        <v>73</v>
      </c>
      <c r="G368">
        <v>2.3878830275229359</v>
      </c>
      <c r="H368">
        <v>2.8499999999999996</v>
      </c>
      <c r="I368">
        <v>10</v>
      </c>
      <c r="K368">
        <v>2.8499999999999996</v>
      </c>
      <c r="L368">
        <v>46228</v>
      </c>
      <c r="M368" t="s">
        <v>226</v>
      </c>
      <c r="N368">
        <v>3.8235294117647038</v>
      </c>
      <c r="O368">
        <v>1.1935257996939823</v>
      </c>
      <c r="P368">
        <v>1.1935257996939823</v>
      </c>
      <c r="Q368">
        <v>1.6012214030982213</v>
      </c>
      <c r="R368">
        <v>0.40769560340423894</v>
      </c>
      <c r="S368">
        <v>0</v>
      </c>
      <c r="T368">
        <v>0</v>
      </c>
      <c r="U368">
        <v>0</v>
      </c>
      <c r="V368">
        <v>0</v>
      </c>
      <c r="W368">
        <v>5.6474200306017686E-2</v>
      </c>
      <c r="X368">
        <v>0.19352579969398231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</v>
      </c>
      <c r="AL368">
        <v>0.83785369386769692</v>
      </c>
      <c r="AM368">
        <v>0.83785369386769692</v>
      </c>
      <c r="AN368">
        <v>1.3415892672858611</v>
      </c>
      <c r="AO368">
        <v>0.34158926728586114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0.83785369386769692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0.74538461538461565</v>
      </c>
      <c r="BJ368">
        <v>0.74538461538461565</v>
      </c>
      <c r="BK368">
        <v>0.62452325335215275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0</v>
      </c>
      <c r="BU368">
        <v>0</v>
      </c>
      <c r="BV368">
        <v>0.25461538461538435</v>
      </c>
      <c r="BW368">
        <v>0</v>
      </c>
      <c r="BX368">
        <v>0.12086136203246289</v>
      </c>
      <c r="BY368">
        <v>0</v>
      </c>
      <c r="BZ368">
        <v>0.62452325335215275</v>
      </c>
      <c r="CA368">
        <v>0</v>
      </c>
      <c r="CB368">
        <v>0</v>
      </c>
      <c r="CC368">
        <v>0</v>
      </c>
      <c r="CD368">
        <v>0</v>
      </c>
      <c r="CE368">
        <v>0</v>
      </c>
    </row>
    <row r="369" spans="1:83" x14ac:dyDescent="0.25">
      <c r="A369" t="s">
        <v>128</v>
      </c>
      <c r="B369" t="s">
        <v>146</v>
      </c>
      <c r="C369" t="s">
        <v>72</v>
      </c>
      <c r="D369" s="12">
        <v>46228</v>
      </c>
      <c r="E369" t="s">
        <v>135</v>
      </c>
      <c r="F369" t="s">
        <v>73</v>
      </c>
      <c r="G369">
        <v>2.3891723812095034</v>
      </c>
      <c r="H369">
        <v>2.8499999999999996</v>
      </c>
      <c r="I369">
        <v>10</v>
      </c>
      <c r="J369">
        <v>1</v>
      </c>
      <c r="K369">
        <v>2.8499999999999996</v>
      </c>
      <c r="L369">
        <v>46228</v>
      </c>
      <c r="M369" t="s">
        <v>226</v>
      </c>
      <c r="N369">
        <v>3.8235294117647038</v>
      </c>
      <c r="O369">
        <v>1.1928816951069914</v>
      </c>
      <c r="P369">
        <v>1.1928816951069914</v>
      </c>
      <c r="Q369">
        <v>1.6003572792973046</v>
      </c>
      <c r="R369">
        <v>0.40747558419031327</v>
      </c>
      <c r="S369">
        <v>0</v>
      </c>
      <c r="T369">
        <v>0</v>
      </c>
      <c r="U369">
        <v>0</v>
      </c>
      <c r="V369">
        <v>0</v>
      </c>
      <c r="W369">
        <v>5.711830489300862E-2</v>
      </c>
      <c r="X369">
        <v>0.19288169510699138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1</v>
      </c>
      <c r="AL369">
        <v>0.83830609867000128</v>
      </c>
      <c r="AM369">
        <v>0.83830609867000128</v>
      </c>
      <c r="AN369">
        <v>1.3415892672858611</v>
      </c>
      <c r="AO369">
        <v>0.34158926728586114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0.83830609867000128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0.74538461538461565</v>
      </c>
      <c r="BJ369">
        <v>0.74538461538461565</v>
      </c>
      <c r="BK369">
        <v>0.62486046893171665</v>
      </c>
      <c r="BL369">
        <v>0</v>
      </c>
      <c r="BM369">
        <v>0</v>
      </c>
      <c r="BN369">
        <v>0</v>
      </c>
      <c r="BO369">
        <v>0</v>
      </c>
      <c r="BP369">
        <v>0</v>
      </c>
      <c r="BQ369">
        <v>0</v>
      </c>
      <c r="BR369">
        <v>0</v>
      </c>
      <c r="BS369">
        <v>0</v>
      </c>
      <c r="BT369">
        <v>0</v>
      </c>
      <c r="BU369">
        <v>0</v>
      </c>
      <c r="BV369">
        <v>0.25461538461538435</v>
      </c>
      <c r="BW369">
        <v>0</v>
      </c>
      <c r="BX369">
        <v>0.12052414645289899</v>
      </c>
      <c r="BY369">
        <v>0</v>
      </c>
      <c r="BZ369">
        <v>0.62486046893171665</v>
      </c>
      <c r="CA369">
        <v>0</v>
      </c>
      <c r="CB369">
        <v>0</v>
      </c>
      <c r="CC369">
        <v>0</v>
      </c>
      <c r="CD369">
        <v>0</v>
      </c>
      <c r="CE369">
        <v>0</v>
      </c>
    </row>
    <row r="370" spans="1:83" x14ac:dyDescent="0.25">
      <c r="A370" t="s">
        <v>128</v>
      </c>
      <c r="B370" t="s">
        <v>146</v>
      </c>
      <c r="C370" t="s">
        <v>72</v>
      </c>
      <c r="D370" s="12">
        <v>46228</v>
      </c>
      <c r="E370" t="s">
        <v>135</v>
      </c>
      <c r="F370" t="s">
        <v>74</v>
      </c>
      <c r="G370">
        <v>1.2742252699784016</v>
      </c>
      <c r="H370">
        <v>0</v>
      </c>
      <c r="I370">
        <v>10</v>
      </c>
      <c r="J370">
        <v>1</v>
      </c>
      <c r="K370">
        <v>0</v>
      </c>
      <c r="L370">
        <v>46228</v>
      </c>
      <c r="M370" t="s">
        <v>225</v>
      </c>
      <c r="N370">
        <v>0.94117647058823517</v>
      </c>
      <c r="O370">
        <v>0</v>
      </c>
      <c r="P370">
        <v>0</v>
      </c>
      <c r="Q370">
        <v>0.73862643659875649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0.73862643659875649</v>
      </c>
      <c r="AB370">
        <v>0.26137356340124351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I370">
        <v>0</v>
      </c>
      <c r="BJ370">
        <v>0</v>
      </c>
      <c r="BK370">
        <v>1.3538643493520519</v>
      </c>
      <c r="BL370">
        <v>0.35386434935205191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0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0</v>
      </c>
    </row>
    <row r="371" spans="1:83" x14ac:dyDescent="0.25">
      <c r="A371" t="s">
        <v>128</v>
      </c>
      <c r="B371" t="s">
        <v>145</v>
      </c>
      <c r="C371" t="s">
        <v>72</v>
      </c>
      <c r="D371" s="12">
        <v>46228</v>
      </c>
      <c r="E371" t="s">
        <v>135</v>
      </c>
      <c r="F371" t="s">
        <v>74</v>
      </c>
      <c r="G371">
        <v>1.2735376146788993</v>
      </c>
      <c r="H371">
        <v>0</v>
      </c>
      <c r="I371">
        <v>10</v>
      </c>
      <c r="K371">
        <v>0</v>
      </c>
      <c r="L371">
        <v>46228</v>
      </c>
      <c r="M371" t="s">
        <v>225</v>
      </c>
      <c r="N371">
        <v>0.94117647058823517</v>
      </c>
      <c r="O371">
        <v>0</v>
      </c>
      <c r="P371">
        <v>0</v>
      </c>
      <c r="Q371">
        <v>0.73902526296840998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0.73902526296840998</v>
      </c>
      <c r="AB371">
        <v>0.26097473703159002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I371">
        <v>0</v>
      </c>
      <c r="BJ371">
        <v>0</v>
      </c>
      <c r="BK371">
        <v>1.3531337155963306</v>
      </c>
      <c r="BL371">
        <v>0.35313371559633056</v>
      </c>
      <c r="BM371">
        <v>0</v>
      </c>
      <c r="BN371">
        <v>0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0</v>
      </c>
      <c r="BU371">
        <v>0</v>
      </c>
      <c r="BV371">
        <v>0</v>
      </c>
      <c r="BW371">
        <v>0</v>
      </c>
      <c r="BX371">
        <v>0</v>
      </c>
      <c r="BY371">
        <v>0</v>
      </c>
      <c r="BZ371">
        <v>0</v>
      </c>
      <c r="CA371">
        <v>0</v>
      </c>
      <c r="CB371">
        <v>0</v>
      </c>
      <c r="CC371">
        <v>0</v>
      </c>
      <c r="CD371">
        <v>0</v>
      </c>
      <c r="CE371">
        <v>0</v>
      </c>
    </row>
    <row r="372" spans="1:83" x14ac:dyDescent="0.25">
      <c r="A372" t="s">
        <v>128</v>
      </c>
      <c r="B372" t="s">
        <v>145</v>
      </c>
      <c r="C372" t="s">
        <v>72</v>
      </c>
      <c r="D372" s="12">
        <v>46228</v>
      </c>
      <c r="E372" t="s">
        <v>135</v>
      </c>
      <c r="F372" t="s">
        <v>75</v>
      </c>
      <c r="G372">
        <v>3.3711289800323798</v>
      </c>
      <c r="H372">
        <v>2.8499999999999996</v>
      </c>
      <c r="I372">
        <v>10</v>
      </c>
      <c r="K372">
        <v>2.8499999999999996</v>
      </c>
      <c r="L372">
        <v>46228</v>
      </c>
      <c r="M372" t="s">
        <v>224</v>
      </c>
      <c r="N372">
        <v>3.1003460207612457</v>
      </c>
      <c r="O372">
        <v>0.84541410811657092</v>
      </c>
      <c r="P372">
        <v>0.84541410811657092</v>
      </c>
      <c r="Q372">
        <v>0.91967588280513279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7.4261774688561877E-2</v>
      </c>
      <c r="AB372">
        <v>8.0324117194867206E-2</v>
      </c>
      <c r="AC372">
        <v>0</v>
      </c>
      <c r="AD372">
        <v>0</v>
      </c>
      <c r="AE372">
        <v>0</v>
      </c>
      <c r="AF372">
        <v>0.84541410811657092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1.182852273695572</v>
      </c>
      <c r="AM372">
        <v>1.182852273695572</v>
      </c>
      <c r="AN372">
        <v>1.0878407090390336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8.7840709039033626E-2</v>
      </c>
      <c r="AV372">
        <v>0</v>
      </c>
      <c r="AW372">
        <v>9.5011564656538372E-2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1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0.91925223214285701</v>
      </c>
      <c r="BJ372">
        <v>0.91925223214285701</v>
      </c>
      <c r="BK372">
        <v>1.0873395928899083</v>
      </c>
      <c r="BL372">
        <v>8.7339592889908335E-2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0.15458589188342908</v>
      </c>
      <c r="BV372">
        <v>0</v>
      </c>
      <c r="BW372">
        <v>0</v>
      </c>
      <c r="BX372">
        <v>0</v>
      </c>
      <c r="BY372">
        <v>0</v>
      </c>
      <c r="BZ372">
        <v>0.91925223214285701</v>
      </c>
      <c r="CA372">
        <v>0</v>
      </c>
      <c r="CB372">
        <v>0</v>
      </c>
      <c r="CC372">
        <v>0</v>
      </c>
      <c r="CD372">
        <v>0</v>
      </c>
      <c r="CE372">
        <v>0</v>
      </c>
    </row>
    <row r="373" spans="1:83" x14ac:dyDescent="0.25">
      <c r="A373" t="s">
        <v>128</v>
      </c>
      <c r="B373" t="s">
        <v>146</v>
      </c>
      <c r="C373" t="s">
        <v>72</v>
      </c>
      <c r="D373" s="12">
        <v>46228</v>
      </c>
      <c r="E373" t="s">
        <v>135</v>
      </c>
      <c r="F373" t="s">
        <v>75</v>
      </c>
      <c r="G373">
        <v>3.3729492440604751</v>
      </c>
      <c r="H373">
        <v>2.8499999999999996</v>
      </c>
      <c r="I373">
        <v>10</v>
      </c>
      <c r="J373">
        <v>1</v>
      </c>
      <c r="K373">
        <v>2.8499999999999996</v>
      </c>
      <c r="L373">
        <v>46228</v>
      </c>
      <c r="M373" t="s">
        <v>224</v>
      </c>
      <c r="N373">
        <v>3.1003460207612457</v>
      </c>
      <c r="O373">
        <v>0.84495786736745238</v>
      </c>
      <c r="P373">
        <v>0.84495786736745238</v>
      </c>
      <c r="Q373">
        <v>0.91917956554511915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7.4221698177666773E-2</v>
      </c>
      <c r="AB373">
        <v>8.0820434454880852E-2</v>
      </c>
      <c r="AC373">
        <v>0</v>
      </c>
      <c r="AD373">
        <v>0</v>
      </c>
      <c r="AE373">
        <v>0</v>
      </c>
      <c r="AF373">
        <v>0.84495786736745238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1.1834909628282371</v>
      </c>
      <c r="AM373">
        <v>1.1834909628282371</v>
      </c>
      <c r="AN373">
        <v>1.0878407090390336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8.7840709039033626E-2</v>
      </c>
      <c r="AV373">
        <v>0</v>
      </c>
      <c r="AW373">
        <v>9.5650253789203443E-2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1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0.91925223214285701</v>
      </c>
      <c r="BJ373">
        <v>0.91925223214285701</v>
      </c>
      <c r="BK373">
        <v>1.0879267093007559</v>
      </c>
      <c r="BL373">
        <v>8.7926709300755856E-2</v>
      </c>
      <c r="BM373">
        <v>0</v>
      </c>
      <c r="BN373">
        <v>0</v>
      </c>
      <c r="BO373">
        <v>0</v>
      </c>
      <c r="BP373">
        <v>0</v>
      </c>
      <c r="BQ373">
        <v>0</v>
      </c>
      <c r="BR373">
        <v>0</v>
      </c>
      <c r="BS373">
        <v>0</v>
      </c>
      <c r="BT373">
        <v>0</v>
      </c>
      <c r="BU373">
        <v>0.15504213263254762</v>
      </c>
      <c r="BV373">
        <v>0</v>
      </c>
      <c r="BW373">
        <v>0</v>
      </c>
      <c r="BX373">
        <v>0</v>
      </c>
      <c r="BY373">
        <v>0</v>
      </c>
      <c r="BZ373">
        <v>0.91925223214285701</v>
      </c>
      <c r="CA373">
        <v>0</v>
      </c>
      <c r="CB373">
        <v>0</v>
      </c>
      <c r="CC373">
        <v>0</v>
      </c>
      <c r="CD373">
        <v>0</v>
      </c>
      <c r="CE373">
        <v>0</v>
      </c>
    </row>
    <row r="374" spans="1:83" x14ac:dyDescent="0.25">
      <c r="A374" t="s">
        <v>128</v>
      </c>
      <c r="B374" t="s">
        <v>145</v>
      </c>
      <c r="C374" t="s">
        <v>72</v>
      </c>
      <c r="D374" s="12">
        <v>46229</v>
      </c>
      <c r="E374" t="s">
        <v>135</v>
      </c>
      <c r="F374" t="s">
        <v>73</v>
      </c>
      <c r="G374">
        <v>3.507203196674312</v>
      </c>
      <c r="H374">
        <v>4.75</v>
      </c>
      <c r="I374">
        <v>10</v>
      </c>
      <c r="K374">
        <v>4.75</v>
      </c>
      <c r="L374">
        <v>46229</v>
      </c>
      <c r="M374" t="s">
        <v>223</v>
      </c>
      <c r="N374">
        <v>3.5854779411764701</v>
      </c>
      <c r="O374">
        <v>1.3543555173832424</v>
      </c>
      <c r="P374">
        <v>1.3543555173832424</v>
      </c>
      <c r="Q374">
        <v>1.022318280439634</v>
      </c>
      <c r="R374">
        <v>0</v>
      </c>
      <c r="S374">
        <v>0</v>
      </c>
      <c r="T374">
        <v>0.10435551738324245</v>
      </c>
      <c r="U374">
        <v>0</v>
      </c>
      <c r="V374">
        <v>0</v>
      </c>
      <c r="W374">
        <v>0</v>
      </c>
      <c r="X374">
        <v>2.231828043963402E-2</v>
      </c>
      <c r="Y374">
        <v>0</v>
      </c>
      <c r="Z374">
        <v>0.22768171956036598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1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0.7383585677209078</v>
      </c>
      <c r="AM374">
        <v>0.7383585677209078</v>
      </c>
      <c r="AN374">
        <v>0.75483746130030949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0.24516253869969051</v>
      </c>
      <c r="AZ374">
        <v>0</v>
      </c>
      <c r="BA374">
        <v>0</v>
      </c>
      <c r="BB374">
        <v>0</v>
      </c>
      <c r="BC374">
        <v>0.7383585677209078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1.3247885157651886</v>
      </c>
      <c r="BJ374">
        <v>1.3247885157651886</v>
      </c>
      <c r="BK374">
        <v>0.97816895103349188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0</v>
      </c>
      <c r="BT374">
        <v>0.32478851576518863</v>
      </c>
      <c r="BU374">
        <v>0</v>
      </c>
      <c r="BV374">
        <v>0</v>
      </c>
      <c r="BW374">
        <v>0</v>
      </c>
      <c r="BX374">
        <v>2.1831048966508115E-2</v>
      </c>
      <c r="BY374">
        <v>0</v>
      </c>
      <c r="BZ374">
        <v>0.97816895103349188</v>
      </c>
      <c r="CA374">
        <v>0</v>
      </c>
      <c r="CB374">
        <v>0</v>
      </c>
      <c r="CC374">
        <v>0</v>
      </c>
      <c r="CD374">
        <v>0</v>
      </c>
      <c r="CE374">
        <v>0</v>
      </c>
    </row>
    <row r="375" spans="1:83" x14ac:dyDescent="0.25">
      <c r="A375" t="s">
        <v>128</v>
      </c>
      <c r="B375" t="s">
        <v>146</v>
      </c>
      <c r="C375" t="s">
        <v>72</v>
      </c>
      <c r="D375" s="12">
        <v>46229</v>
      </c>
      <c r="E375" t="s">
        <v>135</v>
      </c>
      <c r="F375" t="s">
        <v>73</v>
      </c>
      <c r="G375">
        <v>3.5134887958963281</v>
      </c>
      <c r="H375">
        <v>4.75</v>
      </c>
      <c r="I375">
        <v>10</v>
      </c>
      <c r="J375">
        <v>1</v>
      </c>
      <c r="K375">
        <v>4.75</v>
      </c>
      <c r="L375">
        <v>46229</v>
      </c>
      <c r="M375" t="s">
        <v>223</v>
      </c>
      <c r="N375">
        <v>3.5854779411764701</v>
      </c>
      <c r="O375">
        <v>1.351932587787924</v>
      </c>
      <c r="P375">
        <v>1.351932587787924</v>
      </c>
      <c r="Q375">
        <v>1.0204893624149944</v>
      </c>
      <c r="R375">
        <v>0</v>
      </c>
      <c r="S375">
        <v>0</v>
      </c>
      <c r="T375">
        <v>0.10193258778792402</v>
      </c>
      <c r="U375">
        <v>0</v>
      </c>
      <c r="V375">
        <v>0</v>
      </c>
      <c r="W375">
        <v>0</v>
      </c>
      <c r="X375">
        <v>2.0489362414994439E-2</v>
      </c>
      <c r="Y375">
        <v>0</v>
      </c>
      <c r="Z375">
        <v>0.22951063758500556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1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0.739681851767648</v>
      </c>
      <c r="AM375">
        <v>0.739681851767648</v>
      </c>
      <c r="AN375">
        <v>0.75483746130030949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0.24516253869969051</v>
      </c>
      <c r="AZ375">
        <v>0</v>
      </c>
      <c r="BA375">
        <v>0</v>
      </c>
      <c r="BB375">
        <v>0</v>
      </c>
      <c r="BC375">
        <v>0.739681851767648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1.3247885157651886</v>
      </c>
      <c r="BJ375">
        <v>1.3247885157651886</v>
      </c>
      <c r="BK375">
        <v>0.97992202254170868</v>
      </c>
      <c r="BL375">
        <v>0</v>
      </c>
      <c r="BM375">
        <v>0</v>
      </c>
      <c r="BN375">
        <v>0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0.32478851576518863</v>
      </c>
      <c r="BU375">
        <v>0</v>
      </c>
      <c r="BV375">
        <v>0</v>
      </c>
      <c r="BW375">
        <v>0</v>
      </c>
      <c r="BX375">
        <v>2.0077977458291318E-2</v>
      </c>
      <c r="BY375">
        <v>0</v>
      </c>
      <c r="BZ375">
        <v>0.97992202254170868</v>
      </c>
      <c r="CA375">
        <v>0</v>
      </c>
      <c r="CB375">
        <v>0</v>
      </c>
      <c r="CC375">
        <v>0</v>
      </c>
      <c r="CD375">
        <v>0</v>
      </c>
      <c r="CE375">
        <v>0</v>
      </c>
    </row>
    <row r="376" spans="1:83" x14ac:dyDescent="0.25">
      <c r="A376" t="s">
        <v>128</v>
      </c>
      <c r="B376" t="s">
        <v>146</v>
      </c>
      <c r="C376" t="s">
        <v>72</v>
      </c>
      <c r="D376" s="12">
        <v>46229</v>
      </c>
      <c r="E376" t="s">
        <v>135</v>
      </c>
      <c r="F376" t="s">
        <v>74</v>
      </c>
      <c r="G376">
        <v>1.2742252699784016</v>
      </c>
      <c r="H376">
        <v>0</v>
      </c>
      <c r="I376">
        <v>10</v>
      </c>
      <c r="J376">
        <v>1</v>
      </c>
      <c r="K376">
        <v>0</v>
      </c>
      <c r="L376">
        <v>46229</v>
      </c>
      <c r="M376" t="s">
        <v>222</v>
      </c>
      <c r="N376">
        <v>0.94117647058823517</v>
      </c>
      <c r="O376">
        <v>0</v>
      </c>
      <c r="P376">
        <v>0</v>
      </c>
      <c r="Q376">
        <v>0.73862643659875649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0.73862643659875649</v>
      </c>
      <c r="AB376">
        <v>0.26137356340124351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I376">
        <v>0</v>
      </c>
      <c r="BJ376">
        <v>0</v>
      </c>
      <c r="BK376">
        <v>1.3538643493520519</v>
      </c>
      <c r="BL376">
        <v>0.35386434935205191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0</v>
      </c>
    </row>
    <row r="377" spans="1:83" x14ac:dyDescent="0.25">
      <c r="A377" t="s">
        <v>128</v>
      </c>
      <c r="B377" t="s">
        <v>145</v>
      </c>
      <c r="C377" t="s">
        <v>72</v>
      </c>
      <c r="D377" s="12">
        <v>46229</v>
      </c>
      <c r="E377" t="s">
        <v>135</v>
      </c>
      <c r="F377" t="s">
        <v>74</v>
      </c>
      <c r="G377">
        <v>1.2735376146788993</v>
      </c>
      <c r="H377">
        <v>0</v>
      </c>
      <c r="I377">
        <v>10</v>
      </c>
      <c r="K377">
        <v>0</v>
      </c>
      <c r="L377">
        <v>46229</v>
      </c>
      <c r="M377" t="s">
        <v>222</v>
      </c>
      <c r="N377">
        <v>0.94117647058823517</v>
      </c>
      <c r="O377">
        <v>0</v>
      </c>
      <c r="P377">
        <v>0</v>
      </c>
      <c r="Q377">
        <v>0.73902526296840998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0.73902526296840998</v>
      </c>
      <c r="AB377">
        <v>0.26097473703159002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I377">
        <v>0</v>
      </c>
      <c r="BJ377">
        <v>0</v>
      </c>
      <c r="BK377">
        <v>1.3531337155963306</v>
      </c>
      <c r="BL377">
        <v>0.35313371559633056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</row>
    <row r="378" spans="1:83" x14ac:dyDescent="0.25">
      <c r="A378" t="s">
        <v>128</v>
      </c>
      <c r="B378" t="s">
        <v>146</v>
      </c>
      <c r="C378" t="s">
        <v>72</v>
      </c>
      <c r="D378" s="12">
        <v>46229</v>
      </c>
      <c r="E378" t="s">
        <v>135</v>
      </c>
      <c r="F378" t="s">
        <v>75</v>
      </c>
      <c r="G378">
        <v>3.3729492440604751</v>
      </c>
      <c r="H378">
        <v>1.9</v>
      </c>
      <c r="I378">
        <v>10</v>
      </c>
      <c r="J378">
        <v>1</v>
      </c>
      <c r="K378">
        <v>1.9</v>
      </c>
      <c r="L378">
        <v>46229</v>
      </c>
      <c r="M378" t="s">
        <v>221</v>
      </c>
      <c r="N378">
        <v>3.2655709342560537</v>
      </c>
      <c r="O378">
        <v>0.56330524491163492</v>
      </c>
      <c r="P378">
        <v>0.56330524491163492</v>
      </c>
      <c r="Q378">
        <v>0.96816486047232786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0.40485961556069294</v>
      </c>
      <c r="AB378">
        <v>3.1835139527672141E-2</v>
      </c>
      <c r="AC378">
        <v>0</v>
      </c>
      <c r="AD378">
        <v>0</v>
      </c>
      <c r="AE378">
        <v>0</v>
      </c>
      <c r="AF378">
        <v>0.56330524491163492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1.7752364442423554</v>
      </c>
      <c r="AM378">
        <v>1.7752364442423554</v>
      </c>
      <c r="AN378">
        <v>1.7187215443452915</v>
      </c>
      <c r="BE378">
        <v>0</v>
      </c>
      <c r="BF378">
        <v>0</v>
      </c>
      <c r="BG378">
        <v>0</v>
      </c>
      <c r="BI378">
        <v>0.58182781456953669</v>
      </c>
      <c r="BJ378">
        <v>0.58182781456953669</v>
      </c>
      <c r="BK378">
        <v>1.0328819406977248</v>
      </c>
      <c r="BL378">
        <v>3.2881940697724765E-2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0.43669475508836508</v>
      </c>
      <c r="BV378">
        <v>0</v>
      </c>
      <c r="BW378">
        <v>0</v>
      </c>
      <c r="BX378">
        <v>0</v>
      </c>
      <c r="BY378">
        <v>0</v>
      </c>
      <c r="BZ378">
        <v>0.58182781456953669</v>
      </c>
      <c r="CA378">
        <v>0</v>
      </c>
      <c r="CB378">
        <v>0</v>
      </c>
      <c r="CC378">
        <v>0</v>
      </c>
      <c r="CD378">
        <v>0</v>
      </c>
      <c r="CE378">
        <v>0</v>
      </c>
    </row>
    <row r="379" spans="1:83" x14ac:dyDescent="0.25">
      <c r="A379" t="s">
        <v>128</v>
      </c>
      <c r="B379" t="s">
        <v>145</v>
      </c>
      <c r="C379" t="s">
        <v>72</v>
      </c>
      <c r="D379" s="12">
        <v>46229</v>
      </c>
      <c r="E379" t="s">
        <v>135</v>
      </c>
      <c r="F379" t="s">
        <v>75</v>
      </c>
      <c r="G379">
        <v>3.3711289800323798</v>
      </c>
      <c r="H379">
        <v>1.9</v>
      </c>
      <c r="I379">
        <v>10</v>
      </c>
      <c r="K379">
        <v>1.9</v>
      </c>
      <c r="L379">
        <v>46229</v>
      </c>
      <c r="M379" t="s">
        <v>221</v>
      </c>
      <c r="N379">
        <v>3.2655709342560537</v>
      </c>
      <c r="O379">
        <v>0.56360940541104732</v>
      </c>
      <c r="P379">
        <v>0.56360940541104732</v>
      </c>
      <c r="Q379">
        <v>0.96868762767560668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0.40507822226455936</v>
      </c>
      <c r="AB379">
        <v>3.1312372324393323E-2</v>
      </c>
      <c r="AC379">
        <v>0</v>
      </c>
      <c r="AD379">
        <v>0</v>
      </c>
      <c r="AE379">
        <v>0</v>
      </c>
      <c r="AF379">
        <v>0.56360940541104732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1.7742784105433578</v>
      </c>
      <c r="AM379">
        <v>1.7742784105433578</v>
      </c>
      <c r="AN379">
        <v>1.7187215443452915</v>
      </c>
      <c r="BE379">
        <v>0</v>
      </c>
      <c r="BF379">
        <v>0</v>
      </c>
      <c r="BG379">
        <v>0</v>
      </c>
      <c r="BI379">
        <v>0.58182781456953669</v>
      </c>
      <c r="BJ379">
        <v>0.58182781456953669</v>
      </c>
      <c r="BK379">
        <v>1.0323245300443531</v>
      </c>
      <c r="BL379">
        <v>3.2324530044353095E-2</v>
      </c>
      <c r="BM379">
        <v>0</v>
      </c>
      <c r="BN379">
        <v>0</v>
      </c>
      <c r="BO379">
        <v>0</v>
      </c>
      <c r="BP379">
        <v>0</v>
      </c>
      <c r="BQ379">
        <v>0</v>
      </c>
      <c r="BR379">
        <v>0</v>
      </c>
      <c r="BS379">
        <v>0</v>
      </c>
      <c r="BT379">
        <v>0</v>
      </c>
      <c r="BU379">
        <v>0.43639059458895268</v>
      </c>
      <c r="BV379">
        <v>0</v>
      </c>
      <c r="BW379">
        <v>0</v>
      </c>
      <c r="BX379">
        <v>0</v>
      </c>
      <c r="BY379">
        <v>0</v>
      </c>
      <c r="BZ379">
        <v>0.58182781456953669</v>
      </c>
      <c r="CA379">
        <v>0</v>
      </c>
      <c r="CB379">
        <v>0</v>
      </c>
      <c r="CC379">
        <v>0</v>
      </c>
      <c r="CD379">
        <v>0</v>
      </c>
      <c r="CE379">
        <v>0</v>
      </c>
    </row>
    <row r="380" spans="1:83" x14ac:dyDescent="0.25">
      <c r="A380" t="s">
        <v>128</v>
      </c>
      <c r="B380" t="s">
        <v>145</v>
      </c>
      <c r="C380" t="s">
        <v>72</v>
      </c>
      <c r="D380" s="12">
        <v>46230</v>
      </c>
      <c r="E380" t="s">
        <v>135</v>
      </c>
      <c r="F380" t="s">
        <v>73</v>
      </c>
      <c r="G380">
        <v>3.5072031966743116</v>
      </c>
      <c r="H380">
        <v>4.75</v>
      </c>
      <c r="I380">
        <v>10</v>
      </c>
      <c r="K380">
        <v>4.75</v>
      </c>
      <c r="L380">
        <v>46230</v>
      </c>
      <c r="M380" t="s">
        <v>220</v>
      </c>
      <c r="N380">
        <v>1.703125</v>
      </c>
      <c r="O380">
        <v>1.3543555173832427</v>
      </c>
      <c r="P380">
        <v>1.3543555173832427</v>
      </c>
      <c r="Q380">
        <v>0.48560773485122849</v>
      </c>
      <c r="R380">
        <v>0</v>
      </c>
      <c r="S380">
        <v>0</v>
      </c>
      <c r="T380">
        <v>0.10435551738324267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0.25</v>
      </c>
      <c r="AA380">
        <v>0</v>
      </c>
      <c r="AB380">
        <v>0</v>
      </c>
      <c r="AC380">
        <v>0</v>
      </c>
      <c r="AD380">
        <v>0.51439226514877157</v>
      </c>
      <c r="AE380">
        <v>0</v>
      </c>
      <c r="AF380">
        <v>0.48560773485122849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0.73835856772090769</v>
      </c>
      <c r="AM380">
        <v>0.73835856772090769</v>
      </c>
      <c r="AN380">
        <v>0.35855263157894735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0.26164143227909231</v>
      </c>
      <c r="AZ380">
        <v>0</v>
      </c>
      <c r="BA380">
        <v>0.37980593614196034</v>
      </c>
      <c r="BB380">
        <v>0</v>
      </c>
      <c r="BC380">
        <v>0.35855263157894735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2.7889908256880735</v>
      </c>
      <c r="BJ380">
        <v>2.7889908256880735</v>
      </c>
      <c r="BK380">
        <v>2.0592752714417975</v>
      </c>
      <c r="CB380">
        <v>0</v>
      </c>
      <c r="CC380">
        <v>0</v>
      </c>
      <c r="CD380">
        <v>0</v>
      </c>
    </row>
    <row r="381" spans="1:83" x14ac:dyDescent="0.25">
      <c r="A381" t="s">
        <v>128</v>
      </c>
      <c r="B381" t="s">
        <v>146</v>
      </c>
      <c r="C381" t="s">
        <v>72</v>
      </c>
      <c r="D381" s="12">
        <v>46230</v>
      </c>
      <c r="E381" t="s">
        <v>135</v>
      </c>
      <c r="F381" t="s">
        <v>73</v>
      </c>
      <c r="G381">
        <v>3.5134887958963268</v>
      </c>
      <c r="H381">
        <v>4.75</v>
      </c>
      <c r="I381">
        <v>10</v>
      </c>
      <c r="J381">
        <v>1</v>
      </c>
      <c r="K381">
        <v>4.75</v>
      </c>
      <c r="L381">
        <v>46230</v>
      </c>
      <c r="M381" t="s">
        <v>220</v>
      </c>
      <c r="N381">
        <v>1.703125</v>
      </c>
      <c r="O381">
        <v>1.3519325877879245</v>
      </c>
      <c r="P381">
        <v>1.3519325877879245</v>
      </c>
      <c r="Q381">
        <v>0.48473898706869661</v>
      </c>
      <c r="R381">
        <v>0</v>
      </c>
      <c r="S381">
        <v>0</v>
      </c>
      <c r="T381">
        <v>0.10193258778792447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0.25</v>
      </c>
      <c r="AA381">
        <v>0</v>
      </c>
      <c r="AB381">
        <v>0</v>
      </c>
      <c r="AC381">
        <v>0</v>
      </c>
      <c r="AD381">
        <v>0.51526101293130333</v>
      </c>
      <c r="AE381">
        <v>0</v>
      </c>
      <c r="AF381">
        <v>0.48473898706869661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0.73968185176764778</v>
      </c>
      <c r="AM381">
        <v>0.73968185176764778</v>
      </c>
      <c r="AN381">
        <v>0.35855263157894735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0.26031814823235222</v>
      </c>
      <c r="AZ381">
        <v>0</v>
      </c>
      <c r="BA381">
        <v>0.38112922018870043</v>
      </c>
      <c r="BB381">
        <v>0</v>
      </c>
      <c r="BC381">
        <v>0.35855263157894735</v>
      </c>
      <c r="BD381">
        <v>0</v>
      </c>
      <c r="BE381">
        <v>0</v>
      </c>
      <c r="BF381">
        <v>0</v>
      </c>
      <c r="BG381">
        <v>0</v>
      </c>
      <c r="BH381">
        <v>0</v>
      </c>
      <c r="BI381">
        <v>2.7889908256880735</v>
      </c>
      <c r="BJ381">
        <v>2.7889908256880735</v>
      </c>
      <c r="BK381">
        <v>2.0629658985079349</v>
      </c>
      <c r="CB381">
        <v>0</v>
      </c>
      <c r="CC381">
        <v>0</v>
      </c>
      <c r="CD381">
        <v>0</v>
      </c>
    </row>
    <row r="382" spans="1:83" x14ac:dyDescent="0.25">
      <c r="A382" t="s">
        <v>128</v>
      </c>
      <c r="B382" t="s">
        <v>145</v>
      </c>
      <c r="C382" t="s">
        <v>72</v>
      </c>
      <c r="D382" s="12">
        <v>46230</v>
      </c>
      <c r="E382" t="s">
        <v>135</v>
      </c>
      <c r="F382" t="s">
        <v>74</v>
      </c>
      <c r="G382">
        <v>1.2735376146788993</v>
      </c>
      <c r="H382">
        <v>0</v>
      </c>
      <c r="I382">
        <v>10</v>
      </c>
      <c r="K382">
        <v>0</v>
      </c>
      <c r="L382">
        <v>46230</v>
      </c>
      <c r="M382" t="s">
        <v>219</v>
      </c>
      <c r="N382">
        <v>0.94117647058823517</v>
      </c>
      <c r="O382">
        <v>0</v>
      </c>
      <c r="P382">
        <v>0</v>
      </c>
      <c r="Q382">
        <v>0.73902526296840998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0.73902526296840998</v>
      </c>
      <c r="AB382">
        <v>0.26097473703159002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  <c r="BI382">
        <v>0</v>
      </c>
      <c r="BJ382">
        <v>0</v>
      </c>
      <c r="BK382">
        <v>1.3531337155963306</v>
      </c>
      <c r="BL382">
        <v>0.35313371559633056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0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0</v>
      </c>
    </row>
    <row r="383" spans="1:83" x14ac:dyDescent="0.25">
      <c r="A383" t="s">
        <v>128</v>
      </c>
      <c r="B383" t="s">
        <v>146</v>
      </c>
      <c r="C383" t="s">
        <v>72</v>
      </c>
      <c r="D383" s="12">
        <v>46230</v>
      </c>
      <c r="E383" t="s">
        <v>135</v>
      </c>
      <c r="F383" t="s">
        <v>74</v>
      </c>
      <c r="G383">
        <v>1.2742252699784016</v>
      </c>
      <c r="H383">
        <v>0</v>
      </c>
      <c r="I383">
        <v>10</v>
      </c>
      <c r="J383">
        <v>1</v>
      </c>
      <c r="K383">
        <v>0</v>
      </c>
      <c r="L383">
        <v>46230</v>
      </c>
      <c r="M383" t="s">
        <v>219</v>
      </c>
      <c r="N383">
        <v>0.94117647058823517</v>
      </c>
      <c r="O383">
        <v>0</v>
      </c>
      <c r="P383">
        <v>0</v>
      </c>
      <c r="Q383">
        <v>0.73862643659875649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0.73862643659875649</v>
      </c>
      <c r="AB383">
        <v>0.26137356340124351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I383">
        <v>0</v>
      </c>
      <c r="BJ383">
        <v>0</v>
      </c>
      <c r="BK383">
        <v>1.3538643493520519</v>
      </c>
      <c r="BL383">
        <v>0.35386434935205191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</row>
    <row r="384" spans="1:83" x14ac:dyDescent="0.25">
      <c r="A384" t="s">
        <v>128</v>
      </c>
      <c r="B384" t="s">
        <v>145</v>
      </c>
      <c r="C384" t="s">
        <v>72</v>
      </c>
      <c r="D384" s="12">
        <v>46230</v>
      </c>
      <c r="E384" t="s">
        <v>135</v>
      </c>
      <c r="F384" t="s">
        <v>75</v>
      </c>
      <c r="G384">
        <v>3.3711289800323798</v>
      </c>
      <c r="H384">
        <v>3.8</v>
      </c>
      <c r="I384">
        <v>10</v>
      </c>
      <c r="K384">
        <v>3.8</v>
      </c>
      <c r="L384">
        <v>46230</v>
      </c>
      <c r="M384" t="s">
        <v>218</v>
      </c>
      <c r="N384">
        <v>3.1548442906574392</v>
      </c>
      <c r="O384">
        <v>1.1272188108220946</v>
      </c>
      <c r="P384">
        <v>1.1272188108220946</v>
      </c>
      <c r="Q384">
        <v>0.93584206043256668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0.12721881082209463</v>
      </c>
      <c r="AA384">
        <v>0</v>
      </c>
      <c r="AB384">
        <v>0</v>
      </c>
      <c r="AC384">
        <v>0</v>
      </c>
      <c r="AD384">
        <v>6.415793956743332E-2</v>
      </c>
      <c r="AE384">
        <v>0</v>
      </c>
      <c r="AF384">
        <v>0.93584206043256668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0.88713920527167889</v>
      </c>
      <c r="AM384">
        <v>0.88713920527167889</v>
      </c>
      <c r="AN384">
        <v>0.83022218175195772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0.11286079472832111</v>
      </c>
      <c r="AZ384">
        <v>0</v>
      </c>
      <c r="BA384">
        <v>5.6917023519721166E-2</v>
      </c>
      <c r="BB384">
        <v>0</v>
      </c>
      <c r="BC384">
        <v>0.83022218175195772</v>
      </c>
      <c r="BD384">
        <v>0</v>
      </c>
      <c r="BE384">
        <v>0</v>
      </c>
      <c r="BF384">
        <v>0</v>
      </c>
      <c r="BG384">
        <v>0</v>
      </c>
      <c r="BH384">
        <v>0</v>
      </c>
      <c r="BI384">
        <v>1.2044968467233343</v>
      </c>
      <c r="BJ384">
        <v>1.2044968467233343</v>
      </c>
      <c r="BK384">
        <v>1.0685563753543821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6.8556375354382082E-2</v>
      </c>
      <c r="BS384">
        <v>0</v>
      </c>
      <c r="BT384">
        <v>0.13594047136895226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1</v>
      </c>
      <c r="CA384">
        <v>0</v>
      </c>
      <c r="CB384">
        <v>0</v>
      </c>
      <c r="CC384">
        <v>0</v>
      </c>
      <c r="CD384">
        <v>0</v>
      </c>
      <c r="CE384">
        <v>0</v>
      </c>
    </row>
    <row r="385" spans="1:83" x14ac:dyDescent="0.25">
      <c r="A385" t="s">
        <v>128</v>
      </c>
      <c r="B385" t="s">
        <v>146</v>
      </c>
      <c r="C385" t="s">
        <v>72</v>
      </c>
      <c r="D385" s="12">
        <v>46230</v>
      </c>
      <c r="E385" t="s">
        <v>135</v>
      </c>
      <c r="F385" t="s">
        <v>75</v>
      </c>
      <c r="G385">
        <v>3.3729492440604751</v>
      </c>
      <c r="H385">
        <v>3.8</v>
      </c>
      <c r="I385">
        <v>10</v>
      </c>
      <c r="J385">
        <v>1</v>
      </c>
      <c r="K385">
        <v>3.8</v>
      </c>
      <c r="L385">
        <v>46230</v>
      </c>
      <c r="M385" t="s">
        <v>218</v>
      </c>
      <c r="N385">
        <v>3.1548442906574392</v>
      </c>
      <c r="O385">
        <v>1.1266104898232698</v>
      </c>
      <c r="P385">
        <v>1.1266104898232698</v>
      </c>
      <c r="Q385">
        <v>0.93533701884571685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0.12661048982326983</v>
      </c>
      <c r="AA385">
        <v>0</v>
      </c>
      <c r="AB385">
        <v>0</v>
      </c>
      <c r="AC385">
        <v>0</v>
      </c>
      <c r="AD385">
        <v>6.466298115428315E-2</v>
      </c>
      <c r="AE385">
        <v>0</v>
      </c>
      <c r="AF385">
        <v>0.93533701884571685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0.88761822212117769</v>
      </c>
      <c r="AM385">
        <v>0.88761822212117769</v>
      </c>
      <c r="AN385">
        <v>0.83022218175195772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0.11238177787882231</v>
      </c>
      <c r="AZ385">
        <v>0</v>
      </c>
      <c r="BA385">
        <v>5.7396040369219969E-2</v>
      </c>
      <c r="BB385">
        <v>0</v>
      </c>
      <c r="BC385">
        <v>0.83022218175195772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1.2044968467233343</v>
      </c>
      <c r="BJ385">
        <v>1.2044968467233343</v>
      </c>
      <c r="BK385">
        <v>1.0691333496391306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6.9133349639130648E-2</v>
      </c>
      <c r="BS385">
        <v>0</v>
      </c>
      <c r="BT385">
        <v>0.1353634970842037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1</v>
      </c>
      <c r="CA385">
        <v>0</v>
      </c>
      <c r="CB385">
        <v>0</v>
      </c>
      <c r="CC385">
        <v>0</v>
      </c>
      <c r="CD385">
        <v>0</v>
      </c>
      <c r="CE385">
        <v>0</v>
      </c>
    </row>
    <row r="386" spans="1:83" x14ac:dyDescent="0.25">
      <c r="A386" t="s">
        <v>128</v>
      </c>
      <c r="B386" t="s">
        <v>145</v>
      </c>
      <c r="C386" t="s">
        <v>72</v>
      </c>
      <c r="D386" s="12">
        <v>46231</v>
      </c>
      <c r="E386" t="s">
        <v>135</v>
      </c>
      <c r="F386" t="s">
        <v>73</v>
      </c>
      <c r="G386">
        <v>7.014406393348624</v>
      </c>
      <c r="H386">
        <v>4.75</v>
      </c>
      <c r="I386">
        <v>10</v>
      </c>
      <c r="K386">
        <v>4.75</v>
      </c>
      <c r="L386">
        <v>46231</v>
      </c>
      <c r="M386" t="s">
        <v>217</v>
      </c>
      <c r="N386">
        <v>5.2297794117647047</v>
      </c>
      <c r="O386">
        <v>0.67717775869162122</v>
      </c>
      <c r="P386">
        <v>0.67717775869162122</v>
      </c>
      <c r="Q386">
        <v>0.74557690537061228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6.8399146678991052E-2</v>
      </c>
      <c r="AB386">
        <v>0.25442309462938772</v>
      </c>
      <c r="AC386">
        <v>0</v>
      </c>
      <c r="AD386">
        <v>0</v>
      </c>
      <c r="AE386">
        <v>0</v>
      </c>
      <c r="AF386">
        <v>0.67717775869162122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1.4767171354418156</v>
      </c>
      <c r="AM386">
        <v>1.4767171354418156</v>
      </c>
      <c r="AN386">
        <v>1.1010061919504641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0.10100619195046412</v>
      </c>
      <c r="AV386">
        <v>0</v>
      </c>
      <c r="AW386">
        <v>0.37571094349135148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1</v>
      </c>
      <c r="BD386">
        <v>0</v>
      </c>
      <c r="BE386">
        <v>0</v>
      </c>
      <c r="BF386">
        <v>0</v>
      </c>
      <c r="BG386">
        <v>0</v>
      </c>
      <c r="BH386">
        <v>0</v>
      </c>
      <c r="BI386">
        <v>0.90826010544815483</v>
      </c>
      <c r="BJ386">
        <v>0.90826010544815483</v>
      </c>
      <c r="BK386">
        <v>1.3412432611534806</v>
      </c>
      <c r="BL386">
        <v>0.34124326115348058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0.32282224130837878</v>
      </c>
      <c r="BV386">
        <v>0</v>
      </c>
      <c r="BW386">
        <v>0</v>
      </c>
      <c r="BX386">
        <v>0</v>
      </c>
      <c r="BY386">
        <v>0</v>
      </c>
      <c r="BZ386">
        <v>0.90826010544815483</v>
      </c>
      <c r="CA386">
        <v>0</v>
      </c>
      <c r="CB386">
        <v>0</v>
      </c>
      <c r="CC386">
        <v>0</v>
      </c>
      <c r="CD386">
        <v>0</v>
      </c>
      <c r="CE386">
        <v>0</v>
      </c>
    </row>
    <row r="387" spans="1:83" x14ac:dyDescent="0.25">
      <c r="A387" t="s">
        <v>128</v>
      </c>
      <c r="B387" t="s">
        <v>146</v>
      </c>
      <c r="C387" t="s">
        <v>72</v>
      </c>
      <c r="D387" s="12">
        <v>46231</v>
      </c>
      <c r="E387" t="s">
        <v>135</v>
      </c>
      <c r="F387" t="s">
        <v>73</v>
      </c>
      <c r="G387">
        <v>7.0269775917926545</v>
      </c>
      <c r="H387">
        <v>4.75</v>
      </c>
      <c r="I387">
        <v>10</v>
      </c>
      <c r="J387">
        <v>1</v>
      </c>
      <c r="K387">
        <v>4.75</v>
      </c>
      <c r="L387">
        <v>46231</v>
      </c>
      <c r="M387" t="s">
        <v>217</v>
      </c>
      <c r="N387">
        <v>5.2297794117647047</v>
      </c>
      <c r="O387">
        <v>0.67596629389396212</v>
      </c>
      <c r="P387">
        <v>0.67596629389396212</v>
      </c>
      <c r="Q387">
        <v>0.74424307512705956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6.8276781233097439E-2</v>
      </c>
      <c r="AB387">
        <v>0.25575692487294044</v>
      </c>
      <c r="AC387">
        <v>0</v>
      </c>
      <c r="AD387">
        <v>0</v>
      </c>
      <c r="AE387">
        <v>0</v>
      </c>
      <c r="AF387">
        <v>0.67596629389396212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1.4793637035352958</v>
      </c>
      <c r="AM387">
        <v>1.4793637035352958</v>
      </c>
      <c r="AN387">
        <v>1.1010061919504641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0.10100619195046412</v>
      </c>
      <c r="AV387">
        <v>0</v>
      </c>
      <c r="AW387">
        <v>0.37835751158483166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1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0.90826010544815483</v>
      </c>
      <c r="BJ387">
        <v>0.90826010544815483</v>
      </c>
      <c r="BK387">
        <v>1.3436470333691406</v>
      </c>
      <c r="BL387">
        <v>0.3436470333691406</v>
      </c>
      <c r="BM387">
        <v>0</v>
      </c>
      <c r="BN387">
        <v>0</v>
      </c>
      <c r="BO387">
        <v>0</v>
      </c>
      <c r="BP387">
        <v>0</v>
      </c>
      <c r="BQ387">
        <v>0</v>
      </c>
      <c r="BR387">
        <v>0</v>
      </c>
      <c r="BS387">
        <v>0</v>
      </c>
      <c r="BT387">
        <v>0</v>
      </c>
      <c r="BU387">
        <v>0.32403370610603788</v>
      </c>
      <c r="BV387">
        <v>0</v>
      </c>
      <c r="BW387">
        <v>0</v>
      </c>
      <c r="BX387">
        <v>0</v>
      </c>
      <c r="BY387">
        <v>0</v>
      </c>
      <c r="BZ387">
        <v>0.90826010544815483</v>
      </c>
      <c r="CA387">
        <v>0</v>
      </c>
      <c r="CB387">
        <v>0</v>
      </c>
      <c r="CC387">
        <v>0</v>
      </c>
      <c r="CD387">
        <v>0</v>
      </c>
      <c r="CE387">
        <v>0</v>
      </c>
    </row>
    <row r="388" spans="1:83" x14ac:dyDescent="0.25">
      <c r="A388" t="s">
        <v>128</v>
      </c>
      <c r="B388" t="s">
        <v>145</v>
      </c>
      <c r="C388" t="s">
        <v>72</v>
      </c>
      <c r="D388" s="12">
        <v>46231</v>
      </c>
      <c r="E388" t="s">
        <v>135</v>
      </c>
      <c r="F388" t="s">
        <v>74</v>
      </c>
      <c r="G388">
        <v>1.2735376146788993</v>
      </c>
      <c r="H388">
        <v>0</v>
      </c>
      <c r="I388">
        <v>10</v>
      </c>
      <c r="K388">
        <v>0</v>
      </c>
      <c r="L388">
        <v>46231</v>
      </c>
      <c r="M388" t="s">
        <v>233</v>
      </c>
      <c r="N388">
        <v>0.94117647058823517</v>
      </c>
      <c r="O388">
        <v>0</v>
      </c>
      <c r="P388">
        <v>0</v>
      </c>
      <c r="Q388">
        <v>0.73902526296840998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0.73902526296840998</v>
      </c>
      <c r="AB388">
        <v>0.26097473703159002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  <c r="BI388">
        <v>0</v>
      </c>
      <c r="BJ388">
        <v>0</v>
      </c>
      <c r="BK388">
        <v>1.3531337155963306</v>
      </c>
      <c r="BL388">
        <v>0.35313371559633056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</row>
    <row r="389" spans="1:83" x14ac:dyDescent="0.25">
      <c r="A389" t="s">
        <v>128</v>
      </c>
      <c r="B389" t="s">
        <v>146</v>
      </c>
      <c r="C389" t="s">
        <v>72</v>
      </c>
      <c r="D389" s="12">
        <v>46231</v>
      </c>
      <c r="E389" t="s">
        <v>135</v>
      </c>
      <c r="F389" t="s">
        <v>74</v>
      </c>
      <c r="G389">
        <v>1.2742252699784016</v>
      </c>
      <c r="H389">
        <v>0</v>
      </c>
      <c r="I389">
        <v>10</v>
      </c>
      <c r="J389">
        <v>1</v>
      </c>
      <c r="K389">
        <v>0</v>
      </c>
      <c r="L389">
        <v>46231</v>
      </c>
      <c r="M389" t="s">
        <v>233</v>
      </c>
      <c r="N389">
        <v>0.94117647058823517</v>
      </c>
      <c r="O389">
        <v>0</v>
      </c>
      <c r="P389">
        <v>0</v>
      </c>
      <c r="Q389">
        <v>0.73862643659875649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0.73862643659875649</v>
      </c>
      <c r="AB389">
        <v>0.26137356340124351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  <c r="BI389">
        <v>0</v>
      </c>
      <c r="BJ389">
        <v>0</v>
      </c>
      <c r="BK389">
        <v>1.3538643493520519</v>
      </c>
      <c r="BL389">
        <v>0.35386434935205191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</row>
    <row r="390" spans="1:83" x14ac:dyDescent="0.25">
      <c r="A390" t="s">
        <v>128</v>
      </c>
      <c r="B390" t="s">
        <v>145</v>
      </c>
      <c r="C390" t="s">
        <v>72</v>
      </c>
      <c r="D390" s="12">
        <v>46231</v>
      </c>
      <c r="E390" t="s">
        <v>135</v>
      </c>
      <c r="F390" t="s">
        <v>75</v>
      </c>
      <c r="G390">
        <v>3.3711289800323798</v>
      </c>
      <c r="H390">
        <v>1.9</v>
      </c>
      <c r="I390">
        <v>10</v>
      </c>
      <c r="K390">
        <v>1.9</v>
      </c>
      <c r="L390">
        <v>46231</v>
      </c>
      <c r="M390" t="s">
        <v>234</v>
      </c>
      <c r="N390">
        <v>3.5415224913494807</v>
      </c>
      <c r="O390">
        <v>0.56360940541104732</v>
      </c>
      <c r="P390">
        <v>0.56360940541104732</v>
      </c>
      <c r="Q390">
        <v>1.050544939789122</v>
      </c>
      <c r="R390">
        <v>5.0544939789122001E-2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0.43639059458895268</v>
      </c>
      <c r="AB390">
        <v>0</v>
      </c>
      <c r="AC390">
        <v>0</v>
      </c>
      <c r="AD390">
        <v>0</v>
      </c>
      <c r="AE390">
        <v>0</v>
      </c>
      <c r="AF390">
        <v>0.56360940541104732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1.7742784105433578</v>
      </c>
      <c r="AM390">
        <v>1.7742784105433578</v>
      </c>
      <c r="AN390">
        <v>1.8639592059734109</v>
      </c>
      <c r="BE390">
        <v>0</v>
      </c>
      <c r="BF390">
        <v>0</v>
      </c>
      <c r="BG390">
        <v>0</v>
      </c>
      <c r="BI390">
        <v>0.53649242794333174</v>
      </c>
      <c r="BJ390">
        <v>0.53649242794333174</v>
      </c>
      <c r="BK390">
        <v>0.95188693231984156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4.8113067680158439E-2</v>
      </c>
      <c r="BW390">
        <v>0</v>
      </c>
      <c r="BX390">
        <v>0</v>
      </c>
      <c r="BY390">
        <v>0</v>
      </c>
      <c r="BZ390">
        <v>0.53649242794333174</v>
      </c>
      <c r="CA390">
        <v>0</v>
      </c>
      <c r="CB390">
        <v>0</v>
      </c>
      <c r="CC390">
        <v>0</v>
      </c>
      <c r="CD390">
        <v>0</v>
      </c>
      <c r="CE390">
        <v>0</v>
      </c>
    </row>
    <row r="391" spans="1:83" x14ac:dyDescent="0.25">
      <c r="A391" t="s">
        <v>128</v>
      </c>
      <c r="B391" t="s">
        <v>146</v>
      </c>
      <c r="C391" t="s">
        <v>72</v>
      </c>
      <c r="D391" s="12">
        <v>46231</v>
      </c>
      <c r="E391" t="s">
        <v>135</v>
      </c>
      <c r="F391" t="s">
        <v>75</v>
      </c>
      <c r="G391">
        <v>3.3729492440604751</v>
      </c>
      <c r="H391">
        <v>1.9</v>
      </c>
      <c r="I391">
        <v>10</v>
      </c>
      <c r="J391">
        <v>1</v>
      </c>
      <c r="K391">
        <v>1.9</v>
      </c>
      <c r="L391">
        <v>46231</v>
      </c>
      <c r="M391" t="s">
        <v>234</v>
      </c>
      <c r="N391">
        <v>3.5415224913494807</v>
      </c>
      <c r="O391">
        <v>0.56330524491163492</v>
      </c>
      <c r="P391">
        <v>0.56330524491163492</v>
      </c>
      <c r="Q391">
        <v>1.0499779970261489</v>
      </c>
      <c r="R391">
        <v>4.9977997026148913E-2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0.43669475508836508</v>
      </c>
      <c r="AB391">
        <v>0</v>
      </c>
      <c r="AC391">
        <v>0</v>
      </c>
      <c r="AD391">
        <v>0</v>
      </c>
      <c r="AE391">
        <v>0</v>
      </c>
      <c r="AF391">
        <v>0.56330524491163492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1.7752364442423554</v>
      </c>
      <c r="AM391">
        <v>1.7752364442423554</v>
      </c>
      <c r="AN391">
        <v>1.8639592059734109</v>
      </c>
      <c r="BE391">
        <v>0</v>
      </c>
      <c r="BF391">
        <v>0</v>
      </c>
      <c r="BG391">
        <v>0</v>
      </c>
      <c r="BI391">
        <v>0.53649242794333174</v>
      </c>
      <c r="BJ391">
        <v>0.53649242794333174</v>
      </c>
      <c r="BK391">
        <v>0.95240091014506822</v>
      </c>
      <c r="BL391">
        <v>0</v>
      </c>
      <c r="BM391">
        <v>0</v>
      </c>
      <c r="BN391">
        <v>0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0</v>
      </c>
      <c r="BV391">
        <v>4.7599089854931775E-2</v>
      </c>
      <c r="BW391">
        <v>0</v>
      </c>
      <c r="BX391">
        <v>0</v>
      </c>
      <c r="BY391">
        <v>0</v>
      </c>
      <c r="BZ391">
        <v>0.53649242794333174</v>
      </c>
      <c r="CA391">
        <v>0</v>
      </c>
      <c r="CB391">
        <v>0</v>
      </c>
      <c r="CC391">
        <v>0</v>
      </c>
      <c r="CD391">
        <v>0</v>
      </c>
      <c r="CE391">
        <v>0</v>
      </c>
    </row>
    <row r="392" spans="1:83" x14ac:dyDescent="0.25">
      <c r="A392" t="s">
        <v>128</v>
      </c>
      <c r="B392" t="s">
        <v>146</v>
      </c>
      <c r="C392" t="s">
        <v>72</v>
      </c>
      <c r="D392" s="12">
        <v>46232</v>
      </c>
      <c r="E392" t="s">
        <v>135</v>
      </c>
      <c r="F392" t="s">
        <v>73</v>
      </c>
      <c r="G392">
        <v>5.8323914011879054</v>
      </c>
      <c r="H392">
        <v>3.8</v>
      </c>
      <c r="I392">
        <v>10</v>
      </c>
      <c r="J392">
        <v>1</v>
      </c>
      <c r="K392">
        <v>3.8</v>
      </c>
      <c r="L392">
        <v>46232</v>
      </c>
      <c r="M392" t="s">
        <v>241</v>
      </c>
      <c r="N392">
        <v>4.2886029411764683</v>
      </c>
      <c r="O392">
        <v>0.65153377724719219</v>
      </c>
      <c r="P392">
        <v>0.65153377724719219</v>
      </c>
      <c r="Q392">
        <v>0.73530780878371649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8.3774031536524296E-2</v>
      </c>
      <c r="AB392">
        <v>0.26469219121628351</v>
      </c>
      <c r="AC392">
        <v>0</v>
      </c>
      <c r="AD392">
        <v>0</v>
      </c>
      <c r="AE392">
        <v>0</v>
      </c>
      <c r="AF392">
        <v>0.65153377724719219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1.53483984241787</v>
      </c>
      <c r="AM392">
        <v>1.53483984241787</v>
      </c>
      <c r="AN392">
        <v>1.1285797213622286</v>
      </c>
      <c r="BE392">
        <v>0</v>
      </c>
      <c r="BF392">
        <v>0</v>
      </c>
      <c r="BG392">
        <v>0</v>
      </c>
      <c r="BI392">
        <v>0.88606943849121345</v>
      </c>
      <c r="BJ392">
        <v>0.88606943849121345</v>
      </c>
      <c r="BK392">
        <v>1.3599746773451447</v>
      </c>
      <c r="BL392">
        <v>0.35997467734514466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0.34846622275280781</v>
      </c>
      <c r="BV392">
        <v>0</v>
      </c>
      <c r="BW392">
        <v>0</v>
      </c>
      <c r="BX392">
        <v>0</v>
      </c>
      <c r="BY392">
        <v>0</v>
      </c>
      <c r="BZ392">
        <v>0.88606943849121345</v>
      </c>
      <c r="CA392">
        <v>0</v>
      </c>
      <c r="CB392">
        <v>0</v>
      </c>
      <c r="CC392">
        <v>0</v>
      </c>
      <c r="CD392">
        <v>0</v>
      </c>
      <c r="CE392">
        <v>0</v>
      </c>
    </row>
    <row r="393" spans="1:83" x14ac:dyDescent="0.25">
      <c r="A393" t="s">
        <v>128</v>
      </c>
      <c r="B393" t="s">
        <v>145</v>
      </c>
      <c r="C393" t="s">
        <v>72</v>
      </c>
      <c r="D393" s="12">
        <v>46232</v>
      </c>
      <c r="E393" t="s">
        <v>135</v>
      </c>
      <c r="F393" t="s">
        <v>73</v>
      </c>
      <c r="G393">
        <v>5.8204648795871572</v>
      </c>
      <c r="H393">
        <v>3.8</v>
      </c>
      <c r="I393">
        <v>10</v>
      </c>
      <c r="K393">
        <v>3.8</v>
      </c>
      <c r="L393">
        <v>46232</v>
      </c>
      <c r="M393" t="s">
        <v>241</v>
      </c>
      <c r="N393">
        <v>4.2886029411764683</v>
      </c>
      <c r="O393">
        <v>0.65286881350781933</v>
      </c>
      <c r="P393">
        <v>0.65286881350781933</v>
      </c>
      <c r="Q393">
        <v>0.73681450363474355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8.3945690126924211E-2</v>
      </c>
      <c r="AB393">
        <v>0.26318549636525645</v>
      </c>
      <c r="AC393">
        <v>0</v>
      </c>
      <c r="AD393">
        <v>0</v>
      </c>
      <c r="AE393">
        <v>0</v>
      </c>
      <c r="AF393">
        <v>0.65286881350781933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1.5317012841018836</v>
      </c>
      <c r="AM393">
        <v>1.5317012841018836</v>
      </c>
      <c r="AN393">
        <v>1.1285797213622286</v>
      </c>
      <c r="BE393">
        <v>0</v>
      </c>
      <c r="BF393">
        <v>0</v>
      </c>
      <c r="BG393">
        <v>0</v>
      </c>
      <c r="BI393">
        <v>0.88606943849121345</v>
      </c>
      <c r="BJ393">
        <v>0.88606943849121345</v>
      </c>
      <c r="BK393">
        <v>1.3571936967404266</v>
      </c>
      <c r="BL393">
        <v>0.35719369674042656</v>
      </c>
      <c r="BM393">
        <v>0</v>
      </c>
      <c r="BN393">
        <v>0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0.34713118649218067</v>
      </c>
      <c r="BV393">
        <v>0</v>
      </c>
      <c r="BW393">
        <v>0</v>
      </c>
      <c r="BX393">
        <v>0</v>
      </c>
      <c r="BY393">
        <v>0</v>
      </c>
      <c r="BZ393">
        <v>0.88606943849121345</v>
      </c>
      <c r="CA393">
        <v>0</v>
      </c>
      <c r="CB393">
        <v>0</v>
      </c>
      <c r="CC393">
        <v>0</v>
      </c>
      <c r="CD393">
        <v>0</v>
      </c>
      <c r="CE393">
        <v>0</v>
      </c>
    </row>
    <row r="394" spans="1:83" x14ac:dyDescent="0.25">
      <c r="A394" t="s">
        <v>128</v>
      </c>
      <c r="B394" t="s">
        <v>145</v>
      </c>
      <c r="C394" t="s">
        <v>72</v>
      </c>
      <c r="D394" s="12">
        <v>46232</v>
      </c>
      <c r="E394" t="s">
        <v>135</v>
      </c>
      <c r="F394" t="s">
        <v>74</v>
      </c>
      <c r="G394">
        <v>1.2735376146788993</v>
      </c>
      <c r="H394">
        <v>0</v>
      </c>
      <c r="I394">
        <v>10</v>
      </c>
      <c r="K394">
        <v>0</v>
      </c>
      <c r="L394">
        <v>46232</v>
      </c>
      <c r="M394" t="s">
        <v>240</v>
      </c>
      <c r="N394">
        <v>0.94117647058823517</v>
      </c>
      <c r="O394">
        <v>0</v>
      </c>
      <c r="P394">
        <v>0</v>
      </c>
      <c r="Q394">
        <v>0.73902526296840998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0.73902526296840998</v>
      </c>
      <c r="AB394">
        <v>0.26097473703159002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I394">
        <v>0</v>
      </c>
      <c r="BJ394">
        <v>0</v>
      </c>
      <c r="BK394">
        <v>1.3531337155963306</v>
      </c>
      <c r="BL394">
        <v>0.35313371559633056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0</v>
      </c>
    </row>
    <row r="395" spans="1:83" x14ac:dyDescent="0.25">
      <c r="A395" t="s">
        <v>128</v>
      </c>
      <c r="B395" t="s">
        <v>146</v>
      </c>
      <c r="C395" t="s">
        <v>72</v>
      </c>
      <c r="D395" s="12">
        <v>46232</v>
      </c>
      <c r="E395" t="s">
        <v>135</v>
      </c>
      <c r="F395" t="s">
        <v>74</v>
      </c>
      <c r="G395">
        <v>1.2742252699784016</v>
      </c>
      <c r="H395">
        <v>0</v>
      </c>
      <c r="I395">
        <v>10</v>
      </c>
      <c r="J395">
        <v>1</v>
      </c>
      <c r="K395">
        <v>0</v>
      </c>
      <c r="L395">
        <v>46232</v>
      </c>
      <c r="M395" t="s">
        <v>240</v>
      </c>
      <c r="N395">
        <v>0.94117647058823517</v>
      </c>
      <c r="O395">
        <v>0</v>
      </c>
      <c r="P395">
        <v>0</v>
      </c>
      <c r="Q395">
        <v>0.73862643659875649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0.73862643659875649</v>
      </c>
      <c r="AB395">
        <v>0.26137356340124351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I395">
        <v>0</v>
      </c>
      <c r="BJ395">
        <v>0</v>
      </c>
      <c r="BK395">
        <v>1.3538643493520519</v>
      </c>
      <c r="BL395">
        <v>0.35386434935205191</v>
      </c>
      <c r="BM395">
        <v>0</v>
      </c>
      <c r="BN395">
        <v>0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0</v>
      </c>
      <c r="BV395">
        <v>0</v>
      </c>
      <c r="BW395">
        <v>0</v>
      </c>
      <c r="BX395">
        <v>0</v>
      </c>
      <c r="BY395">
        <v>0</v>
      </c>
      <c r="BZ395">
        <v>0</v>
      </c>
      <c r="CA395">
        <v>0</v>
      </c>
      <c r="CB395">
        <v>0</v>
      </c>
      <c r="CC395">
        <v>0</v>
      </c>
      <c r="CD395">
        <v>0</v>
      </c>
      <c r="CE395">
        <v>0</v>
      </c>
    </row>
    <row r="396" spans="1:83" x14ac:dyDescent="0.25">
      <c r="A396" t="s">
        <v>128</v>
      </c>
      <c r="B396" t="s">
        <v>145</v>
      </c>
      <c r="C396" t="s">
        <v>72</v>
      </c>
      <c r="D396" s="12">
        <v>46232</v>
      </c>
      <c r="E396" t="s">
        <v>135</v>
      </c>
      <c r="F396" t="s">
        <v>75</v>
      </c>
      <c r="G396">
        <v>2.2474193200215873</v>
      </c>
      <c r="H396">
        <v>4.75</v>
      </c>
      <c r="I396">
        <v>10</v>
      </c>
      <c r="K396">
        <v>4.75</v>
      </c>
      <c r="L396">
        <v>46232</v>
      </c>
      <c r="M396" t="s">
        <v>239</v>
      </c>
      <c r="N396">
        <v>2.5449826989619382</v>
      </c>
      <c r="O396">
        <v>2.1135352702914267</v>
      </c>
      <c r="P396">
        <v>2.1135352702914267</v>
      </c>
      <c r="Q396">
        <v>1.1324022519026369</v>
      </c>
      <c r="R396">
        <v>0</v>
      </c>
      <c r="S396">
        <v>0</v>
      </c>
      <c r="T396">
        <v>0.86353527029142674</v>
      </c>
      <c r="U396">
        <v>0</v>
      </c>
      <c r="V396">
        <v>0</v>
      </c>
      <c r="W396">
        <v>0</v>
      </c>
      <c r="X396">
        <v>0.13240225190263688</v>
      </c>
      <c r="Y396">
        <v>0</v>
      </c>
      <c r="Z396">
        <v>0.11759774809736312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1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0.4731409094782289</v>
      </c>
      <c r="AM396">
        <v>0.4731409094782289</v>
      </c>
      <c r="AN396">
        <v>0.53578583136040803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0.46421416863959197</v>
      </c>
      <c r="AZ396">
        <v>0</v>
      </c>
      <c r="BA396">
        <v>0</v>
      </c>
      <c r="BB396">
        <v>0</v>
      </c>
      <c r="BC396">
        <v>0.4731409094782289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1.8664174031271241</v>
      </c>
      <c r="BJ396">
        <v>1.8664174031271241</v>
      </c>
      <c r="BK396">
        <v>0.88307842758156163</v>
      </c>
      <c r="CB396">
        <v>0</v>
      </c>
      <c r="CC396">
        <v>0</v>
      </c>
      <c r="CD396">
        <v>0</v>
      </c>
    </row>
    <row r="397" spans="1:83" x14ac:dyDescent="0.25">
      <c r="A397" t="s">
        <v>128</v>
      </c>
      <c r="B397" t="s">
        <v>146</v>
      </c>
      <c r="C397" t="s">
        <v>72</v>
      </c>
      <c r="D397" s="12">
        <v>46232</v>
      </c>
      <c r="E397" t="s">
        <v>135</v>
      </c>
      <c r="F397" t="s">
        <v>75</v>
      </c>
      <c r="G397">
        <v>2.2486328293736499</v>
      </c>
      <c r="H397">
        <v>4.75</v>
      </c>
      <c r="I397">
        <v>10</v>
      </c>
      <c r="J397">
        <v>1</v>
      </c>
      <c r="K397">
        <v>4.75</v>
      </c>
      <c r="L397">
        <v>46232</v>
      </c>
      <c r="M397" t="s">
        <v>239</v>
      </c>
      <c r="N397">
        <v>2.5449826989619382</v>
      </c>
      <c r="O397">
        <v>2.1123946684186312</v>
      </c>
      <c r="P397">
        <v>2.1123946684186312</v>
      </c>
      <c r="Q397">
        <v>1.1317911335799697</v>
      </c>
      <c r="R397">
        <v>0</v>
      </c>
      <c r="S397">
        <v>0</v>
      </c>
      <c r="T397">
        <v>0.86239466841863122</v>
      </c>
      <c r="U397">
        <v>0</v>
      </c>
      <c r="V397">
        <v>0</v>
      </c>
      <c r="W397">
        <v>0</v>
      </c>
      <c r="X397">
        <v>0.13179113357996974</v>
      </c>
      <c r="Y397">
        <v>0</v>
      </c>
      <c r="Z397">
        <v>0.11820886642003026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1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0.47339638513129473</v>
      </c>
      <c r="AM397">
        <v>0.47339638513129473</v>
      </c>
      <c r="AN397">
        <v>0.53578583136040803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0.46421416863959197</v>
      </c>
      <c r="AZ397">
        <v>0</v>
      </c>
      <c r="BA397">
        <v>0</v>
      </c>
      <c r="BB397">
        <v>0</v>
      </c>
      <c r="BC397">
        <v>0.47339638513129473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1.8664174031271241</v>
      </c>
      <c r="BJ397">
        <v>1.8664174031271241</v>
      </c>
      <c r="BK397">
        <v>0.88355525178651895</v>
      </c>
      <c r="CB397">
        <v>0</v>
      </c>
      <c r="CC397">
        <v>0</v>
      </c>
      <c r="CD397">
        <v>0</v>
      </c>
    </row>
    <row r="398" spans="1:83" x14ac:dyDescent="0.25">
      <c r="A398" t="s">
        <v>128</v>
      </c>
      <c r="B398" t="s">
        <v>145</v>
      </c>
      <c r="C398" t="s">
        <v>72</v>
      </c>
      <c r="D398" s="12">
        <v>46233</v>
      </c>
      <c r="E398" t="s">
        <v>135</v>
      </c>
      <c r="F398" t="s">
        <v>73</v>
      </c>
      <c r="G398">
        <v>5.7458435349770651</v>
      </c>
      <c r="H398">
        <v>2.8499999999999996</v>
      </c>
      <c r="I398">
        <v>10</v>
      </c>
      <c r="K398">
        <v>2.8499999999999996</v>
      </c>
      <c r="L398">
        <v>46233</v>
      </c>
      <c r="M398" t="s">
        <v>238</v>
      </c>
      <c r="N398">
        <v>4.1104779411764714</v>
      </c>
      <c r="O398">
        <v>0.49601072195074586</v>
      </c>
      <c r="P398">
        <v>0.49601072195074586</v>
      </c>
      <c r="Q398">
        <v>0.71538285304054638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0.21937213108980053</v>
      </c>
      <c r="AB398">
        <v>0.28461714695945362</v>
      </c>
      <c r="AC398">
        <v>0</v>
      </c>
      <c r="AD398">
        <v>0</v>
      </c>
      <c r="AE398">
        <v>0</v>
      </c>
      <c r="AF398">
        <v>0.49601072195074586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2.0160854508691459</v>
      </c>
      <c r="AM398">
        <v>2.0160854508691459</v>
      </c>
      <c r="AN398">
        <v>1.4422729618163059</v>
      </c>
      <c r="BE398">
        <v>0</v>
      </c>
      <c r="BF398">
        <v>0</v>
      </c>
      <c r="BG398">
        <v>0</v>
      </c>
      <c r="BI398">
        <v>0.69335002906846721</v>
      </c>
      <c r="BJ398">
        <v>0.69335002906846721</v>
      </c>
      <c r="BK398">
        <v>1.3978529059646361</v>
      </c>
      <c r="BL398">
        <v>0.39785290596463607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0.50398927804925409</v>
      </c>
      <c r="BV398">
        <v>0</v>
      </c>
      <c r="BW398">
        <v>0</v>
      </c>
      <c r="BX398">
        <v>0</v>
      </c>
      <c r="BY398">
        <v>0</v>
      </c>
      <c r="BZ398">
        <v>0.69335002906846721</v>
      </c>
      <c r="CA398">
        <v>0</v>
      </c>
      <c r="CB398">
        <v>0</v>
      </c>
      <c r="CC398">
        <v>0</v>
      </c>
      <c r="CD398">
        <v>0</v>
      </c>
      <c r="CE398">
        <v>0</v>
      </c>
    </row>
    <row r="399" spans="1:83" x14ac:dyDescent="0.25">
      <c r="A399" t="s">
        <v>128</v>
      </c>
      <c r="B399" t="s">
        <v>146</v>
      </c>
      <c r="C399" t="s">
        <v>72</v>
      </c>
      <c r="D399" s="12">
        <v>46233</v>
      </c>
      <c r="E399" t="s">
        <v>135</v>
      </c>
      <c r="F399" t="s">
        <v>73</v>
      </c>
      <c r="G399">
        <v>5.7621216252699776</v>
      </c>
      <c r="H399">
        <v>2.8499999999999996</v>
      </c>
      <c r="I399">
        <v>10</v>
      </c>
      <c r="J399">
        <v>1</v>
      </c>
      <c r="K399">
        <v>2.8499999999999996</v>
      </c>
      <c r="L399">
        <v>46233</v>
      </c>
      <c r="M399" t="s">
        <v>238</v>
      </c>
      <c r="N399">
        <v>4.1104779411764714</v>
      </c>
      <c r="O399">
        <v>0.49460948333704535</v>
      </c>
      <c r="P399">
        <v>0.49460948333704535</v>
      </c>
      <c r="Q399">
        <v>0.71336188447495319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0.21875240113790784</v>
      </c>
      <c r="AB399">
        <v>0.28663811552504681</v>
      </c>
      <c r="AC399">
        <v>0</v>
      </c>
      <c r="AD399">
        <v>0</v>
      </c>
      <c r="AE399">
        <v>0</v>
      </c>
      <c r="AF399">
        <v>0.49460948333704535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2.0217970614982379</v>
      </c>
      <c r="AM399">
        <v>2.0217970614982379</v>
      </c>
      <c r="AN399">
        <v>1.4422729618163059</v>
      </c>
      <c r="BE399">
        <v>0</v>
      </c>
      <c r="BF399">
        <v>0</v>
      </c>
      <c r="BG399">
        <v>0</v>
      </c>
      <c r="BI399">
        <v>0.69335002906846721</v>
      </c>
      <c r="BJ399">
        <v>0.69335002906846721</v>
      </c>
      <c r="BK399">
        <v>1.4018130513603448</v>
      </c>
      <c r="BL399">
        <v>0.40181305136034484</v>
      </c>
      <c r="BM399">
        <v>0</v>
      </c>
      <c r="BN399">
        <v>0</v>
      </c>
      <c r="BO399">
        <v>0</v>
      </c>
      <c r="BP399">
        <v>0</v>
      </c>
      <c r="BQ399">
        <v>0</v>
      </c>
      <c r="BR399">
        <v>0</v>
      </c>
      <c r="BS399">
        <v>0</v>
      </c>
      <c r="BT399">
        <v>0</v>
      </c>
      <c r="BU399">
        <v>0.50539051666295465</v>
      </c>
      <c r="BV399">
        <v>0</v>
      </c>
      <c r="BW399">
        <v>0</v>
      </c>
      <c r="BX399">
        <v>0</v>
      </c>
      <c r="BY399">
        <v>0</v>
      </c>
      <c r="BZ399">
        <v>0.69335002906846721</v>
      </c>
      <c r="CA399">
        <v>0</v>
      </c>
      <c r="CB399">
        <v>0</v>
      </c>
      <c r="CC399">
        <v>0</v>
      </c>
      <c r="CD399">
        <v>0</v>
      </c>
      <c r="CE399">
        <v>0</v>
      </c>
    </row>
    <row r="400" spans="1:83" x14ac:dyDescent="0.25">
      <c r="A400" t="s">
        <v>128</v>
      </c>
      <c r="B400" t="s">
        <v>145</v>
      </c>
      <c r="C400" t="s">
        <v>72</v>
      </c>
      <c r="D400" s="12">
        <v>46233</v>
      </c>
      <c r="E400" t="s">
        <v>135</v>
      </c>
      <c r="F400" t="s">
        <v>74</v>
      </c>
      <c r="G400">
        <v>1.2735376146788993</v>
      </c>
      <c r="H400">
        <v>0</v>
      </c>
      <c r="I400">
        <v>10</v>
      </c>
      <c r="K400">
        <v>0</v>
      </c>
      <c r="L400">
        <v>46233</v>
      </c>
      <c r="M400" t="s">
        <v>237</v>
      </c>
      <c r="N400">
        <v>0.94117647058823517</v>
      </c>
      <c r="O400">
        <v>0</v>
      </c>
      <c r="P400">
        <v>0</v>
      </c>
      <c r="Q400">
        <v>0.73902526296840998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0.73902526296840998</v>
      </c>
      <c r="AB400">
        <v>0.26097473703159002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I400">
        <v>0</v>
      </c>
      <c r="BJ400">
        <v>0</v>
      </c>
      <c r="BK400">
        <v>1.3531337155963306</v>
      </c>
      <c r="BL400">
        <v>0.35313371559633056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</row>
    <row r="401" spans="1:83" x14ac:dyDescent="0.25">
      <c r="A401" t="s">
        <v>128</v>
      </c>
      <c r="B401" t="s">
        <v>146</v>
      </c>
      <c r="C401" t="s">
        <v>72</v>
      </c>
      <c r="D401" s="12">
        <v>46233</v>
      </c>
      <c r="E401" t="s">
        <v>135</v>
      </c>
      <c r="F401" t="s">
        <v>74</v>
      </c>
      <c r="G401">
        <v>1.2742252699784016</v>
      </c>
      <c r="H401">
        <v>0</v>
      </c>
      <c r="I401">
        <v>10</v>
      </c>
      <c r="J401">
        <v>1</v>
      </c>
      <c r="K401">
        <v>0</v>
      </c>
      <c r="L401">
        <v>46233</v>
      </c>
      <c r="M401" t="s">
        <v>237</v>
      </c>
      <c r="N401">
        <v>0.94117647058823517</v>
      </c>
      <c r="O401">
        <v>0</v>
      </c>
      <c r="P401">
        <v>0</v>
      </c>
      <c r="Q401">
        <v>0.73862643659875649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0.73862643659875649</v>
      </c>
      <c r="AB401">
        <v>0.26137356340124351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I401">
        <v>0</v>
      </c>
      <c r="BJ401">
        <v>0</v>
      </c>
      <c r="BK401">
        <v>1.3538643493520519</v>
      </c>
      <c r="BL401">
        <v>0.35386434935205191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</row>
    <row r="402" spans="1:83" x14ac:dyDescent="0.25">
      <c r="A402" t="s">
        <v>128</v>
      </c>
      <c r="B402" t="s">
        <v>145</v>
      </c>
      <c r="C402" t="s">
        <v>72</v>
      </c>
      <c r="D402" s="12">
        <v>46233</v>
      </c>
      <c r="E402" t="s">
        <v>135</v>
      </c>
      <c r="F402" t="s">
        <v>75</v>
      </c>
      <c r="G402">
        <v>3.3711289800323798</v>
      </c>
      <c r="H402">
        <v>3.8</v>
      </c>
      <c r="I402">
        <v>10</v>
      </c>
      <c r="K402">
        <v>3.8</v>
      </c>
      <c r="L402">
        <v>46233</v>
      </c>
      <c r="M402" t="s">
        <v>236</v>
      </c>
      <c r="N402">
        <v>3.5949826989619371</v>
      </c>
      <c r="O402">
        <v>1.1272188108220946</v>
      </c>
      <c r="P402">
        <v>1.1272188108220946</v>
      </c>
      <c r="Q402">
        <v>1.0664031902236524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6.6403190223652375E-2</v>
      </c>
      <c r="Y402">
        <v>0</v>
      </c>
      <c r="Z402">
        <v>6.0815620598442255E-2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0.88713920527167889</v>
      </c>
      <c r="AM402">
        <v>0.88713920527167889</v>
      </c>
      <c r="AN402">
        <v>0.94604807867419405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5.3951921325805952E-2</v>
      </c>
      <c r="AZ402">
        <v>0</v>
      </c>
      <c r="BA402">
        <v>0</v>
      </c>
      <c r="BB402">
        <v>0</v>
      </c>
      <c r="BC402">
        <v>0.88713920527167889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1.0570287309302662</v>
      </c>
      <c r="BJ402">
        <v>1.0570287309302662</v>
      </c>
      <c r="BK402">
        <v>0.93773162830680779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5.7028730930266169E-2</v>
      </c>
      <c r="BU402">
        <v>0</v>
      </c>
      <c r="BV402">
        <v>0</v>
      </c>
      <c r="BW402">
        <v>0</v>
      </c>
      <c r="BX402">
        <v>6.2268371693192215E-2</v>
      </c>
      <c r="BY402">
        <v>0</v>
      </c>
      <c r="BZ402">
        <v>0.93773162830680779</v>
      </c>
      <c r="CA402">
        <v>0</v>
      </c>
      <c r="CB402">
        <v>0</v>
      </c>
      <c r="CC402">
        <v>0</v>
      </c>
      <c r="CD402">
        <v>0</v>
      </c>
      <c r="CE402">
        <v>0</v>
      </c>
    </row>
    <row r="403" spans="1:83" x14ac:dyDescent="0.25">
      <c r="A403" t="s">
        <v>128</v>
      </c>
      <c r="B403" t="s">
        <v>146</v>
      </c>
      <c r="C403" t="s">
        <v>72</v>
      </c>
      <c r="D403" s="12">
        <v>46233</v>
      </c>
      <c r="E403" t="s">
        <v>135</v>
      </c>
      <c r="F403" t="s">
        <v>75</v>
      </c>
      <c r="G403">
        <v>3.3729492440604751</v>
      </c>
      <c r="H403">
        <v>3.8</v>
      </c>
      <c r="I403">
        <v>10</v>
      </c>
      <c r="J403">
        <v>1</v>
      </c>
      <c r="K403">
        <v>3.8</v>
      </c>
      <c r="L403">
        <v>46233</v>
      </c>
      <c r="M403" t="s">
        <v>236</v>
      </c>
      <c r="N403">
        <v>3.5949826989619371</v>
      </c>
      <c r="O403">
        <v>1.1266104898232698</v>
      </c>
      <c r="P403">
        <v>1.1266104898232698</v>
      </c>
      <c r="Q403">
        <v>1.0658276893114971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6.5827689311497073E-2</v>
      </c>
      <c r="Y403">
        <v>0</v>
      </c>
      <c r="Z403">
        <v>6.0782800511772761E-2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0.88761822212117769</v>
      </c>
      <c r="AM403">
        <v>0.88761822212117769</v>
      </c>
      <c r="AN403">
        <v>0.94604807867419405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5.3951921325805952E-2</v>
      </c>
      <c r="AZ403">
        <v>0</v>
      </c>
      <c r="BA403">
        <v>0</v>
      </c>
      <c r="BB403">
        <v>0</v>
      </c>
      <c r="BC403">
        <v>0.88761822212117769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1.0570287309302662</v>
      </c>
      <c r="BJ403">
        <v>1.0570287309302662</v>
      </c>
      <c r="BK403">
        <v>0.9382379628793277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5.7028730930266169E-2</v>
      </c>
      <c r="BU403">
        <v>0</v>
      </c>
      <c r="BV403">
        <v>0</v>
      </c>
      <c r="BW403">
        <v>0</v>
      </c>
      <c r="BX403">
        <v>6.1762037120672297E-2</v>
      </c>
      <c r="BY403">
        <v>0</v>
      </c>
      <c r="BZ403">
        <v>0.9382379628793277</v>
      </c>
      <c r="CA403">
        <v>0</v>
      </c>
      <c r="CB403">
        <v>0</v>
      </c>
      <c r="CC403">
        <v>0</v>
      </c>
      <c r="CD403">
        <v>0</v>
      </c>
      <c r="CE403">
        <v>0</v>
      </c>
    </row>
    <row r="404" spans="1:83" x14ac:dyDescent="0.25">
      <c r="A404" t="s">
        <v>128</v>
      </c>
      <c r="B404" t="s">
        <v>145</v>
      </c>
      <c r="C404" t="s">
        <v>72</v>
      </c>
      <c r="D404" s="12">
        <v>46234</v>
      </c>
      <c r="E404" t="s">
        <v>135</v>
      </c>
      <c r="F404" t="s">
        <v>73</v>
      </c>
      <c r="G404">
        <v>4.5519020212155965</v>
      </c>
      <c r="H404">
        <v>3.8</v>
      </c>
      <c r="I404">
        <v>10</v>
      </c>
      <c r="K404">
        <v>3.8</v>
      </c>
      <c r="L404">
        <v>46234</v>
      </c>
      <c r="M404" t="s">
        <v>216</v>
      </c>
      <c r="N404">
        <v>3.1104779411764705</v>
      </c>
      <c r="O404">
        <v>0.83481585989524454</v>
      </c>
      <c r="P404">
        <v>0.83481585989524454</v>
      </c>
      <c r="Q404">
        <v>0.68333587293379605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0.16518414010475546</v>
      </c>
      <c r="AC404">
        <v>0</v>
      </c>
      <c r="AD404">
        <v>0.15147998696144849</v>
      </c>
      <c r="AE404">
        <v>0</v>
      </c>
      <c r="AF404">
        <v>0.68333587293379605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1.1978689529514728</v>
      </c>
      <c r="AM404">
        <v>1.1978689529514728</v>
      </c>
      <c r="AN404">
        <v>0.81854682662538703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0.19786895295147278</v>
      </c>
      <c r="AX404">
        <v>0</v>
      </c>
      <c r="AY404">
        <v>0</v>
      </c>
      <c r="AZ404">
        <v>0</v>
      </c>
      <c r="BA404">
        <v>0.18145317337461297</v>
      </c>
      <c r="BB404">
        <v>0</v>
      </c>
      <c r="BC404">
        <v>0.81854682662538703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1.2216772058388985</v>
      </c>
      <c r="BJ404">
        <v>1.2216772058388985</v>
      </c>
      <c r="BK404">
        <v>1.4634091954029222</v>
      </c>
      <c r="BL404">
        <v>0.24173198956402375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0.22167720583889849</v>
      </c>
      <c r="BS404">
        <v>0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1</v>
      </c>
      <c r="CA404">
        <v>0</v>
      </c>
      <c r="CB404">
        <v>0</v>
      </c>
      <c r="CC404">
        <v>0</v>
      </c>
      <c r="CD404">
        <v>0</v>
      </c>
      <c r="CE404">
        <v>0</v>
      </c>
    </row>
    <row r="405" spans="1:83" x14ac:dyDescent="0.25">
      <c r="A405" t="s">
        <v>128</v>
      </c>
      <c r="B405" t="s">
        <v>146</v>
      </c>
      <c r="C405" t="s">
        <v>72</v>
      </c>
      <c r="D405" s="12">
        <v>46234</v>
      </c>
      <c r="E405" t="s">
        <v>135</v>
      </c>
      <c r="F405" t="s">
        <v>73</v>
      </c>
      <c r="G405">
        <v>4.5675354346652268</v>
      </c>
      <c r="H405">
        <v>3.8</v>
      </c>
      <c r="I405">
        <v>10</v>
      </c>
      <c r="J405">
        <v>1</v>
      </c>
      <c r="K405">
        <v>3.8</v>
      </c>
      <c r="L405">
        <v>46234</v>
      </c>
      <c r="M405" t="s">
        <v>216</v>
      </c>
      <c r="N405">
        <v>3.1104779411764705</v>
      </c>
      <c r="O405">
        <v>0.83195851556179934</v>
      </c>
      <c r="P405">
        <v>0.83195851556179934</v>
      </c>
      <c r="Q405">
        <v>0.68099700279707842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0.16804148443820066</v>
      </c>
      <c r="AC405">
        <v>0</v>
      </c>
      <c r="AD405">
        <v>0.15096151276472092</v>
      </c>
      <c r="AE405">
        <v>0</v>
      </c>
      <c r="AF405">
        <v>0.68099700279707842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1.2019830091224282</v>
      </c>
      <c r="AM405">
        <v>1.2019830091224282</v>
      </c>
      <c r="AN405">
        <v>0.81854682662538703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0.20198300912242817</v>
      </c>
      <c r="AX405">
        <v>0</v>
      </c>
      <c r="AY405">
        <v>0</v>
      </c>
      <c r="AZ405">
        <v>0</v>
      </c>
      <c r="BA405">
        <v>0.18145317337461297</v>
      </c>
      <c r="BB405">
        <v>0</v>
      </c>
      <c r="BC405">
        <v>0.81854682662538703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1.2216772058388985</v>
      </c>
      <c r="BJ405">
        <v>1.2216772058388985</v>
      </c>
      <c r="BK405">
        <v>1.4684352440505191</v>
      </c>
      <c r="BL405">
        <v>0.24675803821162057</v>
      </c>
      <c r="BM405">
        <v>0</v>
      </c>
      <c r="BN405">
        <v>0</v>
      </c>
      <c r="BO405">
        <v>0</v>
      </c>
      <c r="BP405">
        <v>0</v>
      </c>
      <c r="BQ405">
        <v>0</v>
      </c>
      <c r="BR405">
        <v>0.22167720583889849</v>
      </c>
      <c r="BS405">
        <v>0</v>
      </c>
      <c r="BT405">
        <v>0</v>
      </c>
      <c r="BU405">
        <v>0</v>
      </c>
      <c r="BV405">
        <v>0</v>
      </c>
      <c r="BW405">
        <v>0</v>
      </c>
      <c r="BX405">
        <v>0</v>
      </c>
      <c r="BY405">
        <v>0</v>
      </c>
      <c r="BZ405">
        <v>1</v>
      </c>
      <c r="CA405">
        <v>0</v>
      </c>
      <c r="CB405">
        <v>0</v>
      </c>
      <c r="CC405">
        <v>0</v>
      </c>
      <c r="CD405">
        <v>0</v>
      </c>
      <c r="CE405">
        <v>0</v>
      </c>
    </row>
    <row r="406" spans="1:83" x14ac:dyDescent="0.25">
      <c r="A406" t="s">
        <v>128</v>
      </c>
      <c r="B406" t="s">
        <v>146</v>
      </c>
      <c r="C406" t="s">
        <v>72</v>
      </c>
      <c r="D406" s="12">
        <v>46234</v>
      </c>
      <c r="E406" t="s">
        <v>135</v>
      </c>
      <c r="F406" t="s">
        <v>74</v>
      </c>
      <c r="G406">
        <v>1.2742252699784016</v>
      </c>
      <c r="H406">
        <v>0</v>
      </c>
      <c r="I406">
        <v>10</v>
      </c>
      <c r="J406">
        <v>1</v>
      </c>
      <c r="K406">
        <v>0</v>
      </c>
      <c r="L406">
        <v>46234</v>
      </c>
      <c r="M406" t="s">
        <v>193</v>
      </c>
      <c r="N406">
        <v>0.94117647058823517</v>
      </c>
      <c r="O406">
        <v>0</v>
      </c>
      <c r="P406">
        <v>0</v>
      </c>
      <c r="Q406">
        <v>0.73862643659875649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0.73862643659875649</v>
      </c>
      <c r="AB406">
        <v>0.26137356340124351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  <c r="BI406">
        <v>0</v>
      </c>
      <c r="BJ406">
        <v>0</v>
      </c>
      <c r="BK406">
        <v>1.3538643493520519</v>
      </c>
      <c r="BL406">
        <v>0.35386434935205191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0</v>
      </c>
    </row>
    <row r="407" spans="1:83" x14ac:dyDescent="0.25">
      <c r="A407" t="s">
        <v>128</v>
      </c>
      <c r="B407" t="s">
        <v>145</v>
      </c>
      <c r="C407" t="s">
        <v>72</v>
      </c>
      <c r="D407" s="12">
        <v>46234</v>
      </c>
      <c r="E407" t="s">
        <v>135</v>
      </c>
      <c r="F407" t="s">
        <v>74</v>
      </c>
      <c r="G407">
        <v>1.2735376146788993</v>
      </c>
      <c r="H407">
        <v>0</v>
      </c>
      <c r="I407">
        <v>10</v>
      </c>
      <c r="K407">
        <v>0</v>
      </c>
      <c r="L407">
        <v>46234</v>
      </c>
      <c r="M407" t="s">
        <v>193</v>
      </c>
      <c r="N407">
        <v>0.94117647058823517</v>
      </c>
      <c r="O407">
        <v>0</v>
      </c>
      <c r="P407">
        <v>0</v>
      </c>
      <c r="Q407">
        <v>0.73902526296840998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0.73902526296840998</v>
      </c>
      <c r="AB407">
        <v>0.26097473703159002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  <c r="BI407">
        <v>0</v>
      </c>
      <c r="BJ407">
        <v>0</v>
      </c>
      <c r="BK407">
        <v>1.3531337155963306</v>
      </c>
      <c r="BL407">
        <v>0.35313371559633056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0</v>
      </c>
      <c r="CB407">
        <v>0</v>
      </c>
      <c r="CC407">
        <v>0</v>
      </c>
      <c r="CD407">
        <v>0</v>
      </c>
      <c r="CE407">
        <v>0</v>
      </c>
    </row>
    <row r="408" spans="1:83" x14ac:dyDescent="0.25">
      <c r="A408" t="s">
        <v>128</v>
      </c>
      <c r="B408" t="s">
        <v>145</v>
      </c>
      <c r="C408" t="s">
        <v>72</v>
      </c>
      <c r="D408" s="12">
        <v>46234</v>
      </c>
      <c r="E408" t="s">
        <v>135</v>
      </c>
      <c r="F408" t="s">
        <v>75</v>
      </c>
      <c r="G408">
        <v>2.2474193200215873</v>
      </c>
      <c r="H408">
        <v>2.8499999999999996</v>
      </c>
      <c r="I408">
        <v>10</v>
      </c>
      <c r="K408">
        <v>2.8499999999999996</v>
      </c>
      <c r="L408">
        <v>46234</v>
      </c>
      <c r="M408" t="s">
        <v>192</v>
      </c>
      <c r="N408">
        <v>2.6538062283737021</v>
      </c>
      <c r="O408">
        <v>1.2681211621748558</v>
      </c>
      <c r="P408">
        <v>1.2681211621748558</v>
      </c>
      <c r="Q408">
        <v>1.1808238029867124</v>
      </c>
      <c r="R408">
        <v>0</v>
      </c>
      <c r="S408">
        <v>0</v>
      </c>
      <c r="T408">
        <v>1.812116217485582E-2</v>
      </c>
      <c r="U408">
        <v>0</v>
      </c>
      <c r="V408">
        <v>0</v>
      </c>
      <c r="W408">
        <v>0</v>
      </c>
      <c r="X408">
        <v>0.18082380298671241</v>
      </c>
      <c r="Y408">
        <v>0</v>
      </c>
      <c r="Z408">
        <v>6.9176197013287588E-2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1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0.78856818246371496</v>
      </c>
      <c r="AM408">
        <v>0.78856818246371496</v>
      </c>
      <c r="AN408">
        <v>0.93116008013112361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6.8839919868876387E-2</v>
      </c>
      <c r="AZ408">
        <v>0</v>
      </c>
      <c r="BA408">
        <v>0</v>
      </c>
      <c r="BB408">
        <v>0</v>
      </c>
      <c r="BC408">
        <v>0.78856818246371496</v>
      </c>
      <c r="BD408">
        <v>0</v>
      </c>
      <c r="BE408">
        <v>0</v>
      </c>
      <c r="BF408">
        <v>0</v>
      </c>
      <c r="BG408">
        <v>0</v>
      </c>
      <c r="BH408">
        <v>0</v>
      </c>
      <c r="BI408">
        <v>1.0739292000782319</v>
      </c>
      <c r="BJ408">
        <v>1.0739292000782319</v>
      </c>
      <c r="BK408">
        <v>0.8468663974004027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7.3929200078231894E-2</v>
      </c>
      <c r="BU408">
        <v>0</v>
      </c>
      <c r="BV408">
        <v>0</v>
      </c>
      <c r="BW408">
        <v>0</v>
      </c>
      <c r="BX408">
        <v>0.1531336025995973</v>
      </c>
      <c r="BY408">
        <v>0</v>
      </c>
      <c r="BZ408">
        <v>0.8468663974004027</v>
      </c>
      <c r="CA408">
        <v>0</v>
      </c>
      <c r="CB408">
        <v>0</v>
      </c>
      <c r="CC408">
        <v>0</v>
      </c>
      <c r="CD408">
        <v>0</v>
      </c>
      <c r="CE408">
        <v>0</v>
      </c>
    </row>
    <row r="409" spans="1:83" x14ac:dyDescent="0.25">
      <c r="A409" t="s">
        <v>128</v>
      </c>
      <c r="B409" t="s">
        <v>146</v>
      </c>
      <c r="C409" t="s">
        <v>72</v>
      </c>
      <c r="D409" s="12">
        <v>46234</v>
      </c>
      <c r="E409" t="s">
        <v>135</v>
      </c>
      <c r="F409" t="s">
        <v>75</v>
      </c>
      <c r="G409">
        <v>2.2486328293736499</v>
      </c>
      <c r="H409">
        <v>2.8499999999999996</v>
      </c>
      <c r="I409">
        <v>10</v>
      </c>
      <c r="J409">
        <v>1</v>
      </c>
      <c r="K409">
        <v>2.8499999999999996</v>
      </c>
      <c r="L409">
        <v>46234</v>
      </c>
      <c r="M409" t="s">
        <v>192</v>
      </c>
      <c r="N409">
        <v>2.6538062283737021</v>
      </c>
      <c r="O409">
        <v>1.2674368010511787</v>
      </c>
      <c r="P409">
        <v>1.2674368010511787</v>
      </c>
      <c r="Q409">
        <v>1.1801865532279505</v>
      </c>
      <c r="R409">
        <v>0</v>
      </c>
      <c r="S409">
        <v>0</v>
      </c>
      <c r="T409">
        <v>1.743680105117873E-2</v>
      </c>
      <c r="U409">
        <v>0</v>
      </c>
      <c r="V409">
        <v>0</v>
      </c>
      <c r="W409">
        <v>0</v>
      </c>
      <c r="X409">
        <v>0.18018655322795052</v>
      </c>
      <c r="Y409">
        <v>0</v>
      </c>
      <c r="Z409">
        <v>6.9813446772049481E-2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1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0.78899397521882464</v>
      </c>
      <c r="AM409">
        <v>0.78899397521882464</v>
      </c>
      <c r="AN409">
        <v>0.93116008013112361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6.8839919868876387E-2</v>
      </c>
      <c r="AZ409">
        <v>0</v>
      </c>
      <c r="BA409">
        <v>0</v>
      </c>
      <c r="BB409">
        <v>0</v>
      </c>
      <c r="BC409">
        <v>0.78899397521882464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1.0739292000782319</v>
      </c>
      <c r="BJ409">
        <v>1.0739292000782319</v>
      </c>
      <c r="BK409">
        <v>0.84732366867329667</v>
      </c>
      <c r="BL409">
        <v>0</v>
      </c>
      <c r="BM409">
        <v>0</v>
      </c>
      <c r="BN409">
        <v>0</v>
      </c>
      <c r="BO409">
        <v>0</v>
      </c>
      <c r="BP409">
        <v>0</v>
      </c>
      <c r="BQ409">
        <v>0</v>
      </c>
      <c r="BR409">
        <v>0</v>
      </c>
      <c r="BS409">
        <v>0</v>
      </c>
      <c r="BT409">
        <v>7.3929200078231894E-2</v>
      </c>
      <c r="BU409">
        <v>0</v>
      </c>
      <c r="BV409">
        <v>0</v>
      </c>
      <c r="BW409">
        <v>0</v>
      </c>
      <c r="BX409">
        <v>0.15267633132670333</v>
      </c>
      <c r="BY409">
        <v>0</v>
      </c>
      <c r="BZ409">
        <v>0.84732366867329667</v>
      </c>
      <c r="CA409">
        <v>0</v>
      </c>
      <c r="CB409">
        <v>0</v>
      </c>
      <c r="CC409">
        <v>0</v>
      </c>
      <c r="CD409">
        <v>0</v>
      </c>
      <c r="CE409">
        <v>0</v>
      </c>
    </row>
    <row r="410" spans="1:83" x14ac:dyDescent="0.25">
      <c r="A410" t="s">
        <v>128</v>
      </c>
      <c r="B410" t="s">
        <v>146</v>
      </c>
      <c r="C410" t="s">
        <v>72</v>
      </c>
      <c r="D410" s="12">
        <v>46235</v>
      </c>
      <c r="E410" t="s">
        <v>135</v>
      </c>
      <c r="F410" t="s">
        <v>73</v>
      </c>
      <c r="G410">
        <v>5.3405029697624178</v>
      </c>
      <c r="H410">
        <v>4.75</v>
      </c>
      <c r="I410">
        <v>10</v>
      </c>
      <c r="J410">
        <v>1</v>
      </c>
      <c r="K410">
        <v>4.75</v>
      </c>
      <c r="L410">
        <v>46235</v>
      </c>
      <c r="M410" t="s">
        <v>191</v>
      </c>
      <c r="N410">
        <v>4.3235294117647047</v>
      </c>
      <c r="O410">
        <v>0.88942933407100278</v>
      </c>
      <c r="P410">
        <v>0.88942933407100278</v>
      </c>
      <c r="Q410">
        <v>0.80957344958784749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0.11057066592899722</v>
      </c>
      <c r="AC410">
        <v>0</v>
      </c>
      <c r="AD410">
        <v>7.9855884483155282E-2</v>
      </c>
      <c r="AE410">
        <v>0</v>
      </c>
      <c r="AF410">
        <v>0.80957344958784749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1.1243164146868247</v>
      </c>
      <c r="AM410">
        <v>1.1243164146868247</v>
      </c>
      <c r="AN410">
        <v>0.91021671826625361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0.12431641468682475</v>
      </c>
      <c r="AX410">
        <v>0</v>
      </c>
      <c r="AY410">
        <v>0</v>
      </c>
      <c r="AZ410">
        <v>0</v>
      </c>
      <c r="BA410">
        <v>8.978328173374639E-2</v>
      </c>
      <c r="BB410">
        <v>0</v>
      </c>
      <c r="BC410">
        <v>0.91021671826625361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1.0986394557823131</v>
      </c>
      <c r="BJ410">
        <v>1.0986394557823131</v>
      </c>
      <c r="BK410">
        <v>1.2352183739586549</v>
      </c>
      <c r="BL410">
        <v>0.13657891817634171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9.8639455782313146E-2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1</v>
      </c>
      <c r="CA410">
        <v>0</v>
      </c>
      <c r="CB410">
        <v>0</v>
      </c>
      <c r="CC410">
        <v>0</v>
      </c>
      <c r="CD410">
        <v>0</v>
      </c>
      <c r="CE410">
        <v>0</v>
      </c>
    </row>
    <row r="411" spans="1:83" x14ac:dyDescent="0.25">
      <c r="A411" t="s">
        <v>128</v>
      </c>
      <c r="B411" t="s">
        <v>145</v>
      </c>
      <c r="C411" t="s">
        <v>72</v>
      </c>
      <c r="D411" s="12">
        <v>46235</v>
      </c>
      <c r="E411" t="s">
        <v>135</v>
      </c>
      <c r="F411" t="s">
        <v>73</v>
      </c>
      <c r="G411">
        <v>5.3727368119266048</v>
      </c>
      <c r="H411">
        <v>4.75</v>
      </c>
      <c r="I411">
        <v>10</v>
      </c>
      <c r="K411">
        <v>4.75</v>
      </c>
      <c r="L411">
        <v>46235</v>
      </c>
      <c r="M411" t="s">
        <v>191</v>
      </c>
      <c r="N411">
        <v>4.3235294117647047</v>
      </c>
      <c r="O411">
        <v>0.88409318495850564</v>
      </c>
      <c r="P411">
        <v>0.88409318495850564</v>
      </c>
      <c r="Q411">
        <v>0.80471639745449108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0.11590681504149436</v>
      </c>
      <c r="AC411">
        <v>0</v>
      </c>
      <c r="AD411">
        <v>7.9376787504014557E-2</v>
      </c>
      <c r="AE411">
        <v>0</v>
      </c>
      <c r="AF411">
        <v>0.80471639745449108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1.1311024867213906</v>
      </c>
      <c r="AM411">
        <v>1.1311024867213906</v>
      </c>
      <c r="AN411">
        <v>0.91021671826625361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0.13110248672139058</v>
      </c>
      <c r="AX411">
        <v>0</v>
      </c>
      <c r="AY411">
        <v>0</v>
      </c>
      <c r="AZ411">
        <v>0</v>
      </c>
      <c r="BA411">
        <v>8.978328173374639E-2</v>
      </c>
      <c r="BB411">
        <v>0</v>
      </c>
      <c r="BC411">
        <v>0.91021671826625361</v>
      </c>
      <c r="BD411">
        <v>0</v>
      </c>
      <c r="BE411">
        <v>0</v>
      </c>
      <c r="BF411">
        <v>0</v>
      </c>
      <c r="BG411">
        <v>0</v>
      </c>
      <c r="BH411">
        <v>0</v>
      </c>
      <c r="BI411">
        <v>1.0986394557823131</v>
      </c>
      <c r="BJ411">
        <v>1.0986394557823131</v>
      </c>
      <c r="BK411">
        <v>1.2426738204456096</v>
      </c>
      <c r="BL411">
        <v>0.14403436466329644</v>
      </c>
      <c r="BM411">
        <v>0</v>
      </c>
      <c r="BN411">
        <v>0</v>
      </c>
      <c r="BO411">
        <v>0</v>
      </c>
      <c r="BP411">
        <v>0</v>
      </c>
      <c r="BQ411">
        <v>0</v>
      </c>
      <c r="BR411">
        <v>9.8639455782313146E-2</v>
      </c>
      <c r="BS411">
        <v>0</v>
      </c>
      <c r="BT411">
        <v>0</v>
      </c>
      <c r="BU411">
        <v>0</v>
      </c>
      <c r="BV411">
        <v>0</v>
      </c>
      <c r="BW411">
        <v>0</v>
      </c>
      <c r="BX411">
        <v>0</v>
      </c>
      <c r="BY411">
        <v>0</v>
      </c>
      <c r="BZ411">
        <v>1</v>
      </c>
      <c r="CA411">
        <v>0</v>
      </c>
      <c r="CB411">
        <v>0</v>
      </c>
      <c r="CC411">
        <v>0</v>
      </c>
      <c r="CD411">
        <v>0</v>
      </c>
      <c r="CE411">
        <v>0</v>
      </c>
    </row>
    <row r="412" spans="1:83" x14ac:dyDescent="0.25">
      <c r="A412" t="s">
        <v>128</v>
      </c>
      <c r="B412" t="s">
        <v>146</v>
      </c>
      <c r="C412" t="s">
        <v>72</v>
      </c>
      <c r="D412" s="12">
        <v>46235</v>
      </c>
      <c r="E412" t="s">
        <v>135</v>
      </c>
      <c r="F412" t="s">
        <v>74</v>
      </c>
      <c r="G412">
        <v>1.2742252699784016</v>
      </c>
      <c r="H412">
        <v>0</v>
      </c>
      <c r="I412">
        <v>10</v>
      </c>
      <c r="J412">
        <v>1</v>
      </c>
      <c r="K412">
        <v>0</v>
      </c>
      <c r="L412">
        <v>46235</v>
      </c>
      <c r="M412" t="s">
        <v>190</v>
      </c>
      <c r="N412">
        <v>0.94117647058823517</v>
      </c>
      <c r="O412">
        <v>0</v>
      </c>
      <c r="P412">
        <v>0</v>
      </c>
      <c r="Q412">
        <v>0.73862643659875649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0.73862643659875649</v>
      </c>
      <c r="AB412">
        <v>0.26137356340124351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I412">
        <v>0</v>
      </c>
      <c r="BJ412">
        <v>0</v>
      </c>
      <c r="BK412">
        <v>1.3538643493520519</v>
      </c>
      <c r="BL412">
        <v>0.35386434935205191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0</v>
      </c>
    </row>
    <row r="413" spans="1:83" x14ac:dyDescent="0.25">
      <c r="A413" t="s">
        <v>128</v>
      </c>
      <c r="B413" t="s">
        <v>145</v>
      </c>
      <c r="C413" t="s">
        <v>72</v>
      </c>
      <c r="D413" s="12">
        <v>46235</v>
      </c>
      <c r="E413" t="s">
        <v>135</v>
      </c>
      <c r="F413" t="s">
        <v>74</v>
      </c>
      <c r="G413">
        <v>1.2735376146788993</v>
      </c>
      <c r="H413">
        <v>0</v>
      </c>
      <c r="I413">
        <v>10</v>
      </c>
      <c r="K413">
        <v>0</v>
      </c>
      <c r="L413">
        <v>46235</v>
      </c>
      <c r="M413" t="s">
        <v>190</v>
      </c>
      <c r="N413">
        <v>0.94117647058823517</v>
      </c>
      <c r="O413">
        <v>0</v>
      </c>
      <c r="P413">
        <v>0</v>
      </c>
      <c r="Q413">
        <v>0.73902526296840998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0.73902526296840998</v>
      </c>
      <c r="AB413">
        <v>0.26097473703159002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I413">
        <v>0</v>
      </c>
      <c r="BJ413">
        <v>0</v>
      </c>
      <c r="BK413">
        <v>1.3531337155963306</v>
      </c>
      <c r="BL413">
        <v>0.35313371559633056</v>
      </c>
      <c r="BM413">
        <v>0</v>
      </c>
      <c r="BN413">
        <v>0</v>
      </c>
      <c r="BO413">
        <v>0</v>
      </c>
      <c r="BP413">
        <v>0</v>
      </c>
      <c r="BQ413">
        <v>0</v>
      </c>
      <c r="BR413">
        <v>0</v>
      </c>
      <c r="BS413">
        <v>0</v>
      </c>
      <c r="BT413">
        <v>0</v>
      </c>
      <c r="BU413">
        <v>0</v>
      </c>
      <c r="BV413">
        <v>0</v>
      </c>
      <c r="BW413">
        <v>0</v>
      </c>
      <c r="BX413">
        <v>0</v>
      </c>
      <c r="BY413">
        <v>0</v>
      </c>
      <c r="BZ413">
        <v>0</v>
      </c>
      <c r="CA413">
        <v>0</v>
      </c>
      <c r="CB413">
        <v>0</v>
      </c>
      <c r="CC413">
        <v>0</v>
      </c>
      <c r="CD413">
        <v>0</v>
      </c>
      <c r="CE413">
        <v>0</v>
      </c>
    </row>
    <row r="414" spans="1:83" x14ac:dyDescent="0.25">
      <c r="A414" t="s">
        <v>128</v>
      </c>
      <c r="B414" t="s">
        <v>146</v>
      </c>
      <c r="C414" t="s">
        <v>72</v>
      </c>
      <c r="D414" s="12">
        <v>46235</v>
      </c>
      <c r="E414" t="s">
        <v>135</v>
      </c>
      <c r="F414" t="s">
        <v>75</v>
      </c>
      <c r="G414">
        <v>2.2486328293736499</v>
      </c>
      <c r="H414">
        <v>0.95</v>
      </c>
      <c r="I414">
        <v>10</v>
      </c>
      <c r="J414">
        <v>1</v>
      </c>
      <c r="K414">
        <v>0.95</v>
      </c>
      <c r="L414">
        <v>46235</v>
      </c>
      <c r="M414" t="s">
        <v>189</v>
      </c>
      <c r="N414">
        <v>2.1591695501730106</v>
      </c>
      <c r="O414">
        <v>0.42247893368372624</v>
      </c>
      <c r="P414">
        <v>0.42247893368372624</v>
      </c>
      <c r="Q414">
        <v>0.96021436757838363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0.53773543389465739</v>
      </c>
      <c r="AB414">
        <v>3.9785632421616368E-2</v>
      </c>
      <c r="AC414">
        <v>0</v>
      </c>
      <c r="AD414">
        <v>0</v>
      </c>
      <c r="AE414">
        <v>0</v>
      </c>
      <c r="AF414">
        <v>0.42247893368372624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2.3669819256564737</v>
      </c>
      <c r="AM414">
        <v>2.3669819256564737</v>
      </c>
      <c r="AN414">
        <v>2.2728100528136954</v>
      </c>
      <c r="BE414">
        <v>0</v>
      </c>
      <c r="BF414">
        <v>0</v>
      </c>
      <c r="BG414">
        <v>0</v>
      </c>
      <c r="BI414">
        <v>0.43998397435897429</v>
      </c>
      <c r="BJ414">
        <v>0.43998397435897429</v>
      </c>
      <c r="BK414">
        <v>1.0414341148861936</v>
      </c>
      <c r="BL414">
        <v>4.143411488619364E-2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0</v>
      </c>
      <c r="BT414">
        <v>0</v>
      </c>
      <c r="BU414">
        <v>0.57752106631627376</v>
      </c>
      <c r="BV414">
        <v>0</v>
      </c>
      <c r="BW414">
        <v>0</v>
      </c>
      <c r="BX414">
        <v>0</v>
      </c>
      <c r="BY414">
        <v>0</v>
      </c>
      <c r="BZ414">
        <v>0.43998397435897429</v>
      </c>
      <c r="CA414">
        <v>0</v>
      </c>
      <c r="CB414">
        <v>0</v>
      </c>
      <c r="CC414">
        <v>0</v>
      </c>
      <c r="CD414">
        <v>0</v>
      </c>
      <c r="CE414">
        <v>0</v>
      </c>
    </row>
    <row r="415" spans="1:83" x14ac:dyDescent="0.25">
      <c r="A415" t="s">
        <v>128</v>
      </c>
      <c r="B415" t="s">
        <v>145</v>
      </c>
      <c r="C415" t="s">
        <v>72</v>
      </c>
      <c r="D415" s="12">
        <v>46235</v>
      </c>
      <c r="E415" t="s">
        <v>135</v>
      </c>
      <c r="F415" t="s">
        <v>75</v>
      </c>
      <c r="G415">
        <v>2.2474193200215873</v>
      </c>
      <c r="H415">
        <v>0.95</v>
      </c>
      <c r="I415">
        <v>10</v>
      </c>
      <c r="K415">
        <v>0.95</v>
      </c>
      <c r="L415">
        <v>46235</v>
      </c>
      <c r="M415" t="s">
        <v>189</v>
      </c>
      <c r="N415">
        <v>2.1591695501730106</v>
      </c>
      <c r="O415">
        <v>0.42270705405828535</v>
      </c>
      <c r="P415">
        <v>0.42270705405828535</v>
      </c>
      <c r="Q415">
        <v>0.96073284185893315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0.5380257878006478</v>
      </c>
      <c r="AB415">
        <v>3.9267158141066849E-2</v>
      </c>
      <c r="AC415">
        <v>0</v>
      </c>
      <c r="AD415">
        <v>0</v>
      </c>
      <c r="AE415">
        <v>0</v>
      </c>
      <c r="AF415">
        <v>0.42270705405828535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2.3657045473911444</v>
      </c>
      <c r="AM415">
        <v>2.3657045473911444</v>
      </c>
      <c r="AN415">
        <v>2.2728100528136954</v>
      </c>
      <c r="BE415">
        <v>0</v>
      </c>
      <c r="BF415">
        <v>0</v>
      </c>
      <c r="BG415">
        <v>0</v>
      </c>
      <c r="BI415">
        <v>0.43998397435897429</v>
      </c>
      <c r="BJ415">
        <v>0.43998397435897429</v>
      </c>
      <c r="BK415">
        <v>1.0408720889202543</v>
      </c>
      <c r="BL415">
        <v>4.087208892025429E-2</v>
      </c>
      <c r="BM415">
        <v>0</v>
      </c>
      <c r="BN415">
        <v>0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0.57729294594171465</v>
      </c>
      <c r="BV415">
        <v>0</v>
      </c>
      <c r="BW415">
        <v>0</v>
      </c>
      <c r="BX415">
        <v>0</v>
      </c>
      <c r="BY415">
        <v>0</v>
      </c>
      <c r="BZ415">
        <v>0.43998397435897429</v>
      </c>
      <c r="CA415">
        <v>0</v>
      </c>
      <c r="CB415">
        <v>0</v>
      </c>
      <c r="CC415">
        <v>0</v>
      </c>
      <c r="CD415">
        <v>0</v>
      </c>
      <c r="CE415">
        <v>0</v>
      </c>
    </row>
    <row r="416" spans="1:83" x14ac:dyDescent="0.25">
      <c r="A416" t="s">
        <v>128</v>
      </c>
      <c r="B416" t="s">
        <v>145</v>
      </c>
      <c r="C416" t="s">
        <v>72</v>
      </c>
      <c r="D416" s="12">
        <v>46236</v>
      </c>
      <c r="E416" t="s">
        <v>135</v>
      </c>
      <c r="F416" t="s">
        <v>73</v>
      </c>
      <c r="G416">
        <v>3.5818245412844032</v>
      </c>
      <c r="H416">
        <v>4.75</v>
      </c>
      <c r="I416">
        <v>10</v>
      </c>
      <c r="K416">
        <v>4.75</v>
      </c>
      <c r="L416">
        <v>46236</v>
      </c>
      <c r="M416" t="s">
        <v>188</v>
      </c>
      <c r="N416">
        <v>2.9411764705882346</v>
      </c>
      <c r="O416">
        <v>1.3261397774377586</v>
      </c>
      <c r="P416">
        <v>1.3261397774377586</v>
      </c>
      <c r="Q416">
        <v>0.82113918107601125</v>
      </c>
      <c r="R416">
        <v>0</v>
      </c>
      <c r="S416">
        <v>0</v>
      </c>
      <c r="T416">
        <v>7.6139777437758571E-2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0.25</v>
      </c>
      <c r="AA416">
        <v>0</v>
      </c>
      <c r="AB416">
        <v>0</v>
      </c>
      <c r="AC416">
        <v>0</v>
      </c>
      <c r="AD416">
        <v>0.17886081892398875</v>
      </c>
      <c r="AE416">
        <v>0</v>
      </c>
      <c r="AF416">
        <v>0.82113918107601125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0.75406832448092698</v>
      </c>
      <c r="AM416">
        <v>0.75406832448092698</v>
      </c>
      <c r="AN416">
        <v>0.6191950464396283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0.24593167551907302</v>
      </c>
      <c r="AZ416">
        <v>0</v>
      </c>
      <c r="BA416">
        <v>0.13487327804129867</v>
      </c>
      <c r="BB416">
        <v>0</v>
      </c>
      <c r="BC416">
        <v>0.6191950464396283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1.6150000000000004</v>
      </c>
      <c r="BJ416">
        <v>1.6150000000000004</v>
      </c>
      <c r="BK416">
        <v>1.2178203440366975</v>
      </c>
      <c r="CB416">
        <v>0</v>
      </c>
      <c r="CC416">
        <v>0</v>
      </c>
      <c r="CD416">
        <v>0</v>
      </c>
    </row>
    <row r="417" spans="1:83" x14ac:dyDescent="0.25">
      <c r="A417" t="s">
        <v>128</v>
      </c>
      <c r="B417" t="s">
        <v>146</v>
      </c>
      <c r="C417" t="s">
        <v>72</v>
      </c>
      <c r="D417" s="12">
        <v>46236</v>
      </c>
      <c r="E417" t="s">
        <v>135</v>
      </c>
      <c r="F417" t="s">
        <v>73</v>
      </c>
      <c r="G417">
        <v>3.5134887958963272</v>
      </c>
      <c r="H417">
        <v>4.75</v>
      </c>
      <c r="I417">
        <v>10</v>
      </c>
      <c r="J417">
        <v>1</v>
      </c>
      <c r="K417">
        <v>4.75</v>
      </c>
      <c r="L417">
        <v>46236</v>
      </c>
      <c r="M417" t="s">
        <v>188</v>
      </c>
      <c r="N417">
        <v>2.9411764705882346</v>
      </c>
      <c r="O417">
        <v>1.3519325877879242</v>
      </c>
      <c r="P417">
        <v>1.3519325877879242</v>
      </c>
      <c r="Q417">
        <v>0.83710996147859074</v>
      </c>
      <c r="R417">
        <v>0</v>
      </c>
      <c r="S417">
        <v>0</v>
      </c>
      <c r="T417">
        <v>0.10193258778792424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0.25</v>
      </c>
      <c r="AA417">
        <v>0</v>
      </c>
      <c r="AB417">
        <v>0</v>
      </c>
      <c r="AC417">
        <v>0</v>
      </c>
      <c r="AD417">
        <v>0.16289003852140926</v>
      </c>
      <c r="AE417">
        <v>0</v>
      </c>
      <c r="AF417">
        <v>0.83710996147859074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0.73968185176764789</v>
      </c>
      <c r="AM417">
        <v>0.73968185176764789</v>
      </c>
      <c r="AN417">
        <v>0.6191950464396283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0.26031814823235211</v>
      </c>
      <c r="AZ417">
        <v>0</v>
      </c>
      <c r="BA417">
        <v>0.12048680532801959</v>
      </c>
      <c r="BB417">
        <v>0</v>
      </c>
      <c r="BC417">
        <v>0.6191950464396283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1.6150000000000004</v>
      </c>
      <c r="BJ417">
        <v>1.6150000000000004</v>
      </c>
      <c r="BK417">
        <v>1.1945861906047515</v>
      </c>
      <c r="CB417">
        <v>0</v>
      </c>
      <c r="CC417">
        <v>0</v>
      </c>
      <c r="CD417">
        <v>0</v>
      </c>
    </row>
    <row r="418" spans="1:83" x14ac:dyDescent="0.25">
      <c r="A418" t="s">
        <v>128</v>
      </c>
      <c r="B418" t="s">
        <v>145</v>
      </c>
      <c r="C418" t="s">
        <v>72</v>
      </c>
      <c r="D418" s="12">
        <v>46236</v>
      </c>
      <c r="E418" t="s">
        <v>135</v>
      </c>
      <c r="F418" t="s">
        <v>74</v>
      </c>
      <c r="G418">
        <v>1.2735376146788993</v>
      </c>
      <c r="H418">
        <v>0</v>
      </c>
      <c r="I418">
        <v>10</v>
      </c>
      <c r="K418">
        <v>0</v>
      </c>
      <c r="L418">
        <v>46236</v>
      </c>
      <c r="M418" t="s">
        <v>187</v>
      </c>
      <c r="N418">
        <v>0.94117647058823517</v>
      </c>
      <c r="O418">
        <v>0</v>
      </c>
      <c r="P418">
        <v>0</v>
      </c>
      <c r="Q418">
        <v>0.73902526296840998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0.73902526296840998</v>
      </c>
      <c r="AB418">
        <v>0.26097473703159002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I418">
        <v>0</v>
      </c>
      <c r="BJ418">
        <v>0</v>
      </c>
      <c r="BK418">
        <v>1.3531337155963306</v>
      </c>
      <c r="BL418">
        <v>0.35313371559633056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</row>
    <row r="419" spans="1:83" x14ac:dyDescent="0.25">
      <c r="A419" t="s">
        <v>128</v>
      </c>
      <c r="B419" t="s">
        <v>146</v>
      </c>
      <c r="C419" t="s">
        <v>72</v>
      </c>
      <c r="D419" s="12">
        <v>46236</v>
      </c>
      <c r="E419" t="s">
        <v>135</v>
      </c>
      <c r="F419" t="s">
        <v>74</v>
      </c>
      <c r="G419">
        <v>1.2742252699784016</v>
      </c>
      <c r="H419">
        <v>0</v>
      </c>
      <c r="I419">
        <v>10</v>
      </c>
      <c r="J419">
        <v>1</v>
      </c>
      <c r="K419">
        <v>0</v>
      </c>
      <c r="L419">
        <v>46236</v>
      </c>
      <c r="M419" t="s">
        <v>187</v>
      </c>
      <c r="N419">
        <v>0.94117647058823517</v>
      </c>
      <c r="O419">
        <v>0</v>
      </c>
      <c r="P419">
        <v>0</v>
      </c>
      <c r="Q419">
        <v>0.73862643659875649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0.73862643659875649</v>
      </c>
      <c r="AB419">
        <v>0.26137356340124351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  <c r="BI419">
        <v>0</v>
      </c>
      <c r="BJ419">
        <v>0</v>
      </c>
      <c r="BK419">
        <v>1.3538643493520519</v>
      </c>
      <c r="BL419">
        <v>0.35386434935205191</v>
      </c>
      <c r="BM419">
        <v>0</v>
      </c>
      <c r="BN419">
        <v>0</v>
      </c>
      <c r="BO419">
        <v>0</v>
      </c>
      <c r="BP419">
        <v>0</v>
      </c>
      <c r="BQ419">
        <v>0</v>
      </c>
      <c r="BR419">
        <v>0</v>
      </c>
      <c r="BS419">
        <v>0</v>
      </c>
      <c r="BT419">
        <v>0</v>
      </c>
      <c r="BU419">
        <v>0</v>
      </c>
      <c r="BV419">
        <v>0</v>
      </c>
      <c r="BW419">
        <v>0</v>
      </c>
      <c r="BX419">
        <v>0</v>
      </c>
      <c r="BY419">
        <v>0</v>
      </c>
      <c r="BZ419">
        <v>0</v>
      </c>
      <c r="CA419">
        <v>0</v>
      </c>
      <c r="CB419">
        <v>0</v>
      </c>
      <c r="CC419">
        <v>0</v>
      </c>
      <c r="CD419">
        <v>0</v>
      </c>
      <c r="CE419">
        <v>0</v>
      </c>
    </row>
    <row r="420" spans="1:83" x14ac:dyDescent="0.25">
      <c r="A420" t="s">
        <v>128</v>
      </c>
      <c r="B420" t="s">
        <v>145</v>
      </c>
      <c r="C420" t="s">
        <v>72</v>
      </c>
      <c r="D420" s="12">
        <v>46236</v>
      </c>
      <c r="E420" t="s">
        <v>135</v>
      </c>
      <c r="F420" t="s">
        <v>75</v>
      </c>
      <c r="G420">
        <v>2.2474193200215873</v>
      </c>
      <c r="H420">
        <v>0.95</v>
      </c>
      <c r="I420">
        <v>10</v>
      </c>
      <c r="K420">
        <v>0.95</v>
      </c>
      <c r="L420">
        <v>46236</v>
      </c>
      <c r="M420" t="s">
        <v>186</v>
      </c>
      <c r="N420">
        <v>2.0484429065743952</v>
      </c>
      <c r="O420">
        <v>0.42270705405828535</v>
      </c>
      <c r="P420">
        <v>0.42270705405828535</v>
      </c>
      <c r="Q420">
        <v>0.91146449099437266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0.48875743693608731</v>
      </c>
      <c r="AB420">
        <v>8.8535509005627344E-2</v>
      </c>
      <c r="AC420">
        <v>0</v>
      </c>
      <c r="AD420">
        <v>0</v>
      </c>
      <c r="AE420">
        <v>0</v>
      </c>
      <c r="AF420">
        <v>0.42270705405828535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2.3657045473911444</v>
      </c>
      <c r="AM420">
        <v>2.3657045473911444</v>
      </c>
      <c r="AN420">
        <v>2.1562556911309425</v>
      </c>
      <c r="BE420">
        <v>0</v>
      </c>
      <c r="BF420">
        <v>0</v>
      </c>
      <c r="BG420">
        <v>0</v>
      </c>
      <c r="BI420">
        <v>0.46376689189189169</v>
      </c>
      <c r="BJ420">
        <v>0.46376689189189169</v>
      </c>
      <c r="BK420">
        <v>1.0971354450781055</v>
      </c>
      <c r="BL420">
        <v>9.7135445078105453E-2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0.57729294594171465</v>
      </c>
      <c r="BV420">
        <v>0</v>
      </c>
      <c r="BW420">
        <v>0</v>
      </c>
      <c r="BX420">
        <v>0</v>
      </c>
      <c r="BY420">
        <v>0</v>
      </c>
      <c r="BZ420">
        <v>0.46376689189189169</v>
      </c>
      <c r="CA420">
        <v>0</v>
      </c>
      <c r="CB420">
        <v>0</v>
      </c>
      <c r="CC420">
        <v>0</v>
      </c>
      <c r="CD420">
        <v>0</v>
      </c>
      <c r="CE420">
        <v>0</v>
      </c>
    </row>
    <row r="421" spans="1:83" x14ac:dyDescent="0.25">
      <c r="A421" t="s">
        <v>128</v>
      </c>
      <c r="B421" t="s">
        <v>146</v>
      </c>
      <c r="C421" t="s">
        <v>72</v>
      </c>
      <c r="D421" s="12">
        <v>46236</v>
      </c>
      <c r="E421" t="s">
        <v>135</v>
      </c>
      <c r="F421" t="s">
        <v>75</v>
      </c>
      <c r="G421">
        <v>2.2486328293736499</v>
      </c>
      <c r="H421">
        <v>0.95</v>
      </c>
      <c r="I421">
        <v>10</v>
      </c>
      <c r="J421">
        <v>1</v>
      </c>
      <c r="K421">
        <v>0.95</v>
      </c>
      <c r="L421">
        <v>46236</v>
      </c>
      <c r="M421" t="s">
        <v>186</v>
      </c>
      <c r="N421">
        <v>2.0484429065743952</v>
      </c>
      <c r="O421">
        <v>0.42247893368372624</v>
      </c>
      <c r="P421">
        <v>0.42247893368372624</v>
      </c>
      <c r="Q421">
        <v>0.91097260513846667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0.48849367145474043</v>
      </c>
      <c r="AB421">
        <v>8.9027394861533327E-2</v>
      </c>
      <c r="AC421">
        <v>0</v>
      </c>
      <c r="AD421">
        <v>0</v>
      </c>
      <c r="AE421">
        <v>0</v>
      </c>
      <c r="AF421">
        <v>0.42247893368372624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2.3669819256564737</v>
      </c>
      <c r="AM421">
        <v>2.3669819256564737</v>
      </c>
      <c r="AN421">
        <v>2.1562556911309425</v>
      </c>
      <c r="BE421">
        <v>0</v>
      </c>
      <c r="BF421">
        <v>0</v>
      </c>
      <c r="BG421">
        <v>0</v>
      </c>
      <c r="BI421">
        <v>0.46376689189189169</v>
      </c>
      <c r="BJ421">
        <v>0.46376689189189169</v>
      </c>
      <c r="BK421">
        <v>1.0977278508259876</v>
      </c>
      <c r="BL421">
        <v>9.7727850825987561E-2</v>
      </c>
      <c r="BM421">
        <v>0</v>
      </c>
      <c r="BN421">
        <v>0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0.57752106631627376</v>
      </c>
      <c r="BV421">
        <v>0</v>
      </c>
      <c r="BW421">
        <v>0</v>
      </c>
      <c r="BX421">
        <v>0</v>
      </c>
      <c r="BY421">
        <v>0</v>
      </c>
      <c r="BZ421">
        <v>0.46376689189189169</v>
      </c>
      <c r="CA421">
        <v>0</v>
      </c>
      <c r="CB421">
        <v>0</v>
      </c>
      <c r="CC421">
        <v>0</v>
      </c>
      <c r="CD421">
        <v>0</v>
      </c>
      <c r="CE421">
        <v>0</v>
      </c>
    </row>
    <row r="422" spans="1:83" x14ac:dyDescent="0.25">
      <c r="A422" t="s">
        <v>128</v>
      </c>
      <c r="B422" t="s">
        <v>145</v>
      </c>
      <c r="C422" t="s">
        <v>72</v>
      </c>
      <c r="D422" s="12">
        <v>46237</v>
      </c>
      <c r="E422" t="s">
        <v>135</v>
      </c>
      <c r="F422" t="s">
        <v>73</v>
      </c>
      <c r="G422">
        <v>5.8204648795871554</v>
      </c>
      <c r="H422">
        <v>0</v>
      </c>
      <c r="I422">
        <v>10</v>
      </c>
      <c r="K422">
        <v>0</v>
      </c>
      <c r="L422">
        <v>46237</v>
      </c>
      <c r="M422" t="s">
        <v>235</v>
      </c>
      <c r="N422">
        <v>4.2886029411764701</v>
      </c>
      <c r="O422">
        <v>0</v>
      </c>
      <c r="P422">
        <v>0</v>
      </c>
      <c r="Q422">
        <v>0.73681450363474399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0.73681450363474399</v>
      </c>
      <c r="AB422">
        <v>0.26318549636525601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1</v>
      </c>
      <c r="BI422">
        <v>0</v>
      </c>
      <c r="BJ422">
        <v>0</v>
      </c>
      <c r="BK422">
        <v>1.3571936967404257</v>
      </c>
      <c r="BL422">
        <v>0.35719369674042567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0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1</v>
      </c>
      <c r="CE422">
        <v>1</v>
      </c>
    </row>
    <row r="423" spans="1:83" x14ac:dyDescent="0.25">
      <c r="A423" t="s">
        <v>128</v>
      </c>
      <c r="B423" t="s">
        <v>146</v>
      </c>
      <c r="C423" t="s">
        <v>72</v>
      </c>
      <c r="D423" s="12">
        <v>46237</v>
      </c>
      <c r="E423" t="s">
        <v>135</v>
      </c>
      <c r="F423" t="s">
        <v>73</v>
      </c>
      <c r="G423">
        <v>5.8323914011879037</v>
      </c>
      <c r="H423">
        <v>0</v>
      </c>
      <c r="I423">
        <v>10</v>
      </c>
      <c r="J423">
        <v>1</v>
      </c>
      <c r="K423">
        <v>0</v>
      </c>
      <c r="L423">
        <v>46237</v>
      </c>
      <c r="M423" t="s">
        <v>235</v>
      </c>
      <c r="N423">
        <v>4.2886029411764701</v>
      </c>
      <c r="O423">
        <v>0</v>
      </c>
      <c r="P423">
        <v>0</v>
      </c>
      <c r="Q423">
        <v>0.73530780878371693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0.73530780878371693</v>
      </c>
      <c r="AB423">
        <v>0.26469219121628307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1</v>
      </c>
      <c r="BI423">
        <v>0</v>
      </c>
      <c r="BJ423">
        <v>0</v>
      </c>
      <c r="BK423">
        <v>1.3599746773451435</v>
      </c>
      <c r="BL423">
        <v>0.35997467734514355</v>
      </c>
      <c r="BM423">
        <v>0</v>
      </c>
      <c r="BN423">
        <v>0</v>
      </c>
      <c r="BO423">
        <v>0</v>
      </c>
      <c r="BP423">
        <v>0</v>
      </c>
      <c r="BQ423">
        <v>0</v>
      </c>
      <c r="BR423">
        <v>0</v>
      </c>
      <c r="BS423">
        <v>0</v>
      </c>
      <c r="BT423">
        <v>0</v>
      </c>
      <c r="BU423">
        <v>0</v>
      </c>
      <c r="BV423">
        <v>0</v>
      </c>
      <c r="BW423">
        <v>0</v>
      </c>
      <c r="BX423">
        <v>0</v>
      </c>
      <c r="BY423">
        <v>0</v>
      </c>
      <c r="BZ423">
        <v>0</v>
      </c>
      <c r="CA423">
        <v>0</v>
      </c>
      <c r="CB423">
        <v>0</v>
      </c>
      <c r="CC423">
        <v>0</v>
      </c>
      <c r="CD423">
        <v>1</v>
      </c>
      <c r="CE423">
        <v>1</v>
      </c>
    </row>
    <row r="424" spans="1:83" x14ac:dyDescent="0.25">
      <c r="A424" t="s">
        <v>128</v>
      </c>
      <c r="B424" t="s">
        <v>145</v>
      </c>
      <c r="C424" t="s">
        <v>72</v>
      </c>
      <c r="D424" s="12">
        <v>46237</v>
      </c>
      <c r="E424" t="s">
        <v>135</v>
      </c>
      <c r="F424" t="s">
        <v>74</v>
      </c>
      <c r="G424">
        <v>1.2735376146788993</v>
      </c>
      <c r="H424">
        <v>0</v>
      </c>
      <c r="I424">
        <v>10</v>
      </c>
      <c r="K424">
        <v>0</v>
      </c>
      <c r="L424">
        <v>46237</v>
      </c>
      <c r="M424" t="s">
        <v>185</v>
      </c>
      <c r="N424">
        <v>0.94117647058823517</v>
      </c>
      <c r="O424">
        <v>0</v>
      </c>
      <c r="P424">
        <v>0</v>
      </c>
      <c r="Q424">
        <v>0.73902526296840998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0.73902526296840998</v>
      </c>
      <c r="AB424">
        <v>0.26097473703159002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I424">
        <v>0</v>
      </c>
      <c r="BJ424">
        <v>0</v>
      </c>
      <c r="BK424">
        <v>1.3531337155963306</v>
      </c>
      <c r="BL424">
        <v>0.35313371559633056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</row>
    <row r="425" spans="1:83" x14ac:dyDescent="0.25">
      <c r="A425" t="s">
        <v>128</v>
      </c>
      <c r="B425" t="s">
        <v>146</v>
      </c>
      <c r="C425" t="s">
        <v>72</v>
      </c>
      <c r="D425" s="12">
        <v>46237</v>
      </c>
      <c r="E425" t="s">
        <v>135</v>
      </c>
      <c r="F425" t="s">
        <v>74</v>
      </c>
      <c r="G425">
        <v>1.2742252699784016</v>
      </c>
      <c r="H425">
        <v>0</v>
      </c>
      <c r="I425">
        <v>10</v>
      </c>
      <c r="J425">
        <v>1</v>
      </c>
      <c r="K425">
        <v>0</v>
      </c>
      <c r="L425">
        <v>46237</v>
      </c>
      <c r="M425" t="s">
        <v>185</v>
      </c>
      <c r="N425">
        <v>0.94117647058823517</v>
      </c>
      <c r="O425">
        <v>0</v>
      </c>
      <c r="P425">
        <v>0</v>
      </c>
      <c r="Q425">
        <v>0.73862643659875649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0.73862643659875649</v>
      </c>
      <c r="AB425">
        <v>0.26137356340124351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I425">
        <v>0</v>
      </c>
      <c r="BJ425">
        <v>0</v>
      </c>
      <c r="BK425">
        <v>1.3538643493520519</v>
      </c>
      <c r="BL425">
        <v>0.35386434935205191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</row>
    <row r="426" spans="1:83" x14ac:dyDescent="0.25">
      <c r="A426" t="s">
        <v>128</v>
      </c>
      <c r="B426" t="s">
        <v>146</v>
      </c>
      <c r="C426" t="s">
        <v>72</v>
      </c>
      <c r="D426" s="12">
        <v>46237</v>
      </c>
      <c r="E426" t="s">
        <v>135</v>
      </c>
      <c r="F426" t="s">
        <v>75</v>
      </c>
      <c r="G426">
        <v>3.3729492440604751</v>
      </c>
      <c r="H426">
        <v>0</v>
      </c>
      <c r="I426">
        <v>10</v>
      </c>
      <c r="J426">
        <v>1</v>
      </c>
      <c r="K426">
        <v>0</v>
      </c>
      <c r="L426">
        <v>46237</v>
      </c>
      <c r="M426" t="s">
        <v>184</v>
      </c>
      <c r="N426">
        <v>3.4861591695501724</v>
      </c>
      <c r="O426">
        <v>0</v>
      </c>
      <c r="P426">
        <v>0</v>
      </c>
      <c r="Q426">
        <v>1.0335640762128431</v>
      </c>
      <c r="R426">
        <v>3.3564076212843075E-2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1</v>
      </c>
      <c r="AK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1</v>
      </c>
      <c r="BH426">
        <v>1</v>
      </c>
      <c r="BI426">
        <v>0</v>
      </c>
      <c r="BJ426">
        <v>0</v>
      </c>
      <c r="BK426">
        <v>0.96752588737814149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3.2474112621858509E-2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0.96752588737814149</v>
      </c>
      <c r="CE426">
        <v>0</v>
      </c>
    </row>
    <row r="427" spans="1:83" x14ac:dyDescent="0.25">
      <c r="A427" t="s">
        <v>128</v>
      </c>
      <c r="B427" t="s">
        <v>145</v>
      </c>
      <c r="C427" t="s">
        <v>72</v>
      </c>
      <c r="D427" s="12">
        <v>46237</v>
      </c>
      <c r="E427" t="s">
        <v>135</v>
      </c>
      <c r="F427" t="s">
        <v>75</v>
      </c>
      <c r="G427">
        <v>3.3711289800323798</v>
      </c>
      <c r="H427">
        <v>0</v>
      </c>
      <c r="I427">
        <v>10</v>
      </c>
      <c r="K427">
        <v>0</v>
      </c>
      <c r="L427">
        <v>46237</v>
      </c>
      <c r="M427" t="s">
        <v>184</v>
      </c>
      <c r="N427">
        <v>3.4861591695501724</v>
      </c>
      <c r="O427">
        <v>0</v>
      </c>
      <c r="P427">
        <v>0</v>
      </c>
      <c r="Q427">
        <v>1.0341221561676017</v>
      </c>
      <c r="R427">
        <v>3.4122156167601725E-2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1</v>
      </c>
      <c r="AK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1</v>
      </c>
      <c r="BH427">
        <v>1</v>
      </c>
      <c r="BI427">
        <v>0</v>
      </c>
      <c r="BJ427">
        <v>0</v>
      </c>
      <c r="BK427">
        <v>0.96700374712591364</v>
      </c>
      <c r="BL427">
        <v>0</v>
      </c>
      <c r="BM427">
        <v>0</v>
      </c>
      <c r="BN427">
        <v>0</v>
      </c>
      <c r="BO427">
        <v>0</v>
      </c>
      <c r="BP427">
        <v>0</v>
      </c>
      <c r="BQ427">
        <v>0</v>
      </c>
      <c r="BR427">
        <v>0</v>
      </c>
      <c r="BS427">
        <v>0</v>
      </c>
      <c r="BT427">
        <v>0</v>
      </c>
      <c r="BU427">
        <v>0</v>
      </c>
      <c r="BV427">
        <v>3.2996252874086363E-2</v>
      </c>
      <c r="BW427">
        <v>0</v>
      </c>
      <c r="BX427">
        <v>0</v>
      </c>
      <c r="BY427">
        <v>0</v>
      </c>
      <c r="BZ427">
        <v>0</v>
      </c>
      <c r="CA427">
        <v>0</v>
      </c>
      <c r="CB427">
        <v>0</v>
      </c>
      <c r="CC427">
        <v>0</v>
      </c>
      <c r="CD427">
        <v>0.96700374712591364</v>
      </c>
      <c r="CE427">
        <v>0</v>
      </c>
    </row>
    <row r="428" spans="1:83" x14ac:dyDescent="0.25">
      <c r="A428" t="s">
        <v>128</v>
      </c>
      <c r="B428" t="s">
        <v>145</v>
      </c>
      <c r="C428" t="s">
        <v>72</v>
      </c>
      <c r="D428" s="12">
        <v>46238</v>
      </c>
      <c r="E428" t="s">
        <v>135</v>
      </c>
      <c r="F428" t="s">
        <v>73</v>
      </c>
      <c r="G428">
        <v>5.8204648795871554</v>
      </c>
      <c r="H428">
        <v>0</v>
      </c>
      <c r="I428">
        <v>10</v>
      </c>
      <c r="K428">
        <v>0</v>
      </c>
      <c r="L428">
        <v>46238</v>
      </c>
      <c r="M428" t="s">
        <v>183</v>
      </c>
      <c r="N428">
        <v>4.2886029411764701</v>
      </c>
      <c r="O428">
        <v>0</v>
      </c>
      <c r="P428">
        <v>0</v>
      </c>
      <c r="Q428">
        <v>0.73681450363474399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0.73681450363474399</v>
      </c>
      <c r="AB428">
        <v>0.26318549636525601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1</v>
      </c>
      <c r="BI428">
        <v>0</v>
      </c>
      <c r="BJ428">
        <v>0</v>
      </c>
      <c r="BK428">
        <v>1.3571936967404257</v>
      </c>
      <c r="BL428">
        <v>0.35719369674042567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1</v>
      </c>
      <c r="CE428">
        <v>1</v>
      </c>
    </row>
    <row r="429" spans="1:83" x14ac:dyDescent="0.25">
      <c r="A429" t="s">
        <v>128</v>
      </c>
      <c r="B429" t="s">
        <v>146</v>
      </c>
      <c r="C429" t="s">
        <v>72</v>
      </c>
      <c r="D429" s="12">
        <v>46238</v>
      </c>
      <c r="E429" t="s">
        <v>135</v>
      </c>
      <c r="F429" t="s">
        <v>73</v>
      </c>
      <c r="G429">
        <v>5.8323914011879046</v>
      </c>
      <c r="H429">
        <v>0</v>
      </c>
      <c r="I429">
        <v>10</v>
      </c>
      <c r="J429">
        <v>1</v>
      </c>
      <c r="K429">
        <v>0</v>
      </c>
      <c r="L429">
        <v>46238</v>
      </c>
      <c r="M429" t="s">
        <v>183</v>
      </c>
      <c r="N429">
        <v>4.2886029411764701</v>
      </c>
      <c r="O429">
        <v>0</v>
      </c>
      <c r="P429">
        <v>0</v>
      </c>
      <c r="Q429">
        <v>0.73530780878371682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0.73530780878371682</v>
      </c>
      <c r="AB429">
        <v>0.26469219121628318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1</v>
      </c>
      <c r="BI429">
        <v>0</v>
      </c>
      <c r="BJ429">
        <v>0</v>
      </c>
      <c r="BK429">
        <v>1.3599746773451438</v>
      </c>
      <c r="BL429">
        <v>0.35997467734514377</v>
      </c>
      <c r="BM429">
        <v>0</v>
      </c>
      <c r="BN429">
        <v>0</v>
      </c>
      <c r="BO429">
        <v>0</v>
      </c>
      <c r="BP429">
        <v>0</v>
      </c>
      <c r="BQ429">
        <v>0</v>
      </c>
      <c r="BR429">
        <v>0</v>
      </c>
      <c r="BS429">
        <v>0</v>
      </c>
      <c r="BT429">
        <v>0</v>
      </c>
      <c r="BU429">
        <v>0</v>
      </c>
      <c r="BV429">
        <v>0</v>
      </c>
      <c r="BW429">
        <v>0</v>
      </c>
      <c r="BX429">
        <v>0</v>
      </c>
      <c r="BY429">
        <v>0</v>
      </c>
      <c r="BZ429">
        <v>0</v>
      </c>
      <c r="CA429">
        <v>0</v>
      </c>
      <c r="CB429">
        <v>0</v>
      </c>
      <c r="CC429">
        <v>0</v>
      </c>
      <c r="CD429">
        <v>1</v>
      </c>
      <c r="CE429">
        <v>1</v>
      </c>
    </row>
    <row r="430" spans="1:83" x14ac:dyDescent="0.25">
      <c r="A430" t="s">
        <v>128</v>
      </c>
      <c r="B430" t="s">
        <v>145</v>
      </c>
      <c r="C430" t="s">
        <v>72</v>
      </c>
      <c r="D430" s="12">
        <v>46238</v>
      </c>
      <c r="E430" t="s">
        <v>135</v>
      </c>
      <c r="F430" t="s">
        <v>74</v>
      </c>
      <c r="G430">
        <v>1.2735376146788993</v>
      </c>
      <c r="H430">
        <v>0</v>
      </c>
      <c r="I430">
        <v>10</v>
      </c>
      <c r="K430">
        <v>0</v>
      </c>
      <c r="L430">
        <v>46238</v>
      </c>
      <c r="M430" t="s">
        <v>182</v>
      </c>
      <c r="N430">
        <v>0.94117647058823517</v>
      </c>
      <c r="O430">
        <v>0</v>
      </c>
      <c r="P430">
        <v>0</v>
      </c>
      <c r="Q430">
        <v>0.73902526296840998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0.73902526296840998</v>
      </c>
      <c r="AB430">
        <v>0.26097473703159002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I430">
        <v>0</v>
      </c>
      <c r="BJ430">
        <v>0</v>
      </c>
      <c r="BK430">
        <v>1.3531337155963306</v>
      </c>
      <c r="BL430">
        <v>0.35313371559633056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0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0</v>
      </c>
    </row>
    <row r="431" spans="1:83" x14ac:dyDescent="0.25">
      <c r="A431" t="s">
        <v>128</v>
      </c>
      <c r="B431" t="s">
        <v>146</v>
      </c>
      <c r="C431" t="s">
        <v>72</v>
      </c>
      <c r="D431" s="12">
        <v>46238</v>
      </c>
      <c r="E431" t="s">
        <v>135</v>
      </c>
      <c r="F431" t="s">
        <v>74</v>
      </c>
      <c r="G431">
        <v>1.2742252699784016</v>
      </c>
      <c r="H431">
        <v>0</v>
      </c>
      <c r="I431">
        <v>10</v>
      </c>
      <c r="J431">
        <v>1</v>
      </c>
      <c r="K431">
        <v>0</v>
      </c>
      <c r="L431">
        <v>46238</v>
      </c>
      <c r="M431" t="s">
        <v>182</v>
      </c>
      <c r="N431">
        <v>0.94117647058823517</v>
      </c>
      <c r="O431">
        <v>0</v>
      </c>
      <c r="P431">
        <v>0</v>
      </c>
      <c r="Q431">
        <v>0.73862643659875649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0.73862643659875649</v>
      </c>
      <c r="AB431">
        <v>0.26137356340124351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I431">
        <v>0</v>
      </c>
      <c r="BJ431">
        <v>0</v>
      </c>
      <c r="BK431">
        <v>1.3538643493520519</v>
      </c>
      <c r="BL431">
        <v>0.35386434935205191</v>
      </c>
      <c r="BM431">
        <v>0</v>
      </c>
      <c r="BN431">
        <v>0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0</v>
      </c>
      <c r="BV431">
        <v>0</v>
      </c>
      <c r="BW431">
        <v>0</v>
      </c>
      <c r="BX431">
        <v>0</v>
      </c>
      <c r="BY431">
        <v>0</v>
      </c>
      <c r="BZ431">
        <v>0</v>
      </c>
      <c r="CA431">
        <v>0</v>
      </c>
      <c r="CB431">
        <v>0</v>
      </c>
      <c r="CC431">
        <v>0</v>
      </c>
      <c r="CD431">
        <v>0</v>
      </c>
      <c r="CE431">
        <v>0</v>
      </c>
    </row>
    <row r="432" spans="1:83" x14ac:dyDescent="0.25">
      <c r="A432" t="s">
        <v>128</v>
      </c>
      <c r="B432" t="s">
        <v>145</v>
      </c>
      <c r="C432" t="s">
        <v>72</v>
      </c>
      <c r="D432" s="12">
        <v>46238</v>
      </c>
      <c r="E432" t="s">
        <v>135</v>
      </c>
      <c r="F432" t="s">
        <v>75</v>
      </c>
      <c r="G432">
        <v>3.3711289800323798</v>
      </c>
      <c r="H432">
        <v>0</v>
      </c>
      <c r="I432">
        <v>10</v>
      </c>
      <c r="K432">
        <v>0</v>
      </c>
      <c r="L432">
        <v>46238</v>
      </c>
      <c r="M432" t="s">
        <v>181</v>
      </c>
      <c r="N432">
        <v>3.4861591695501724</v>
      </c>
      <c r="O432">
        <v>0</v>
      </c>
      <c r="P432">
        <v>0</v>
      </c>
      <c r="Q432">
        <v>1.0341221561676017</v>
      </c>
      <c r="R432">
        <v>3.4122156167601725E-2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1</v>
      </c>
      <c r="AK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1</v>
      </c>
      <c r="BH432">
        <v>1</v>
      </c>
      <c r="BI432">
        <v>0</v>
      </c>
      <c r="BJ432">
        <v>0</v>
      </c>
      <c r="BK432">
        <v>0.96700374712591364</v>
      </c>
      <c r="BL432">
        <v>0</v>
      </c>
      <c r="BM432">
        <v>0</v>
      </c>
      <c r="BN432">
        <v>0</v>
      </c>
      <c r="BO432">
        <v>0</v>
      </c>
      <c r="BP432">
        <v>0</v>
      </c>
      <c r="BQ432">
        <v>0</v>
      </c>
      <c r="BR432">
        <v>0</v>
      </c>
      <c r="BS432">
        <v>0</v>
      </c>
      <c r="BT432">
        <v>0</v>
      </c>
      <c r="BU432">
        <v>0</v>
      </c>
      <c r="BV432">
        <v>3.2996252874086363E-2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0.96700374712591364</v>
      </c>
      <c r="CE432">
        <v>0</v>
      </c>
    </row>
    <row r="433" spans="1:83" x14ac:dyDescent="0.25">
      <c r="A433" t="s">
        <v>128</v>
      </c>
      <c r="B433" t="s">
        <v>146</v>
      </c>
      <c r="C433" t="s">
        <v>72</v>
      </c>
      <c r="D433" s="12">
        <v>46238</v>
      </c>
      <c r="E433" t="s">
        <v>135</v>
      </c>
      <c r="F433" t="s">
        <v>75</v>
      </c>
      <c r="G433">
        <v>3.3729492440604751</v>
      </c>
      <c r="H433">
        <v>0</v>
      </c>
      <c r="I433">
        <v>10</v>
      </c>
      <c r="J433">
        <v>1</v>
      </c>
      <c r="K433">
        <v>0</v>
      </c>
      <c r="L433">
        <v>46238</v>
      </c>
      <c r="M433" t="s">
        <v>181</v>
      </c>
      <c r="N433">
        <v>3.4861591695501724</v>
      </c>
      <c r="O433">
        <v>0</v>
      </c>
      <c r="P433">
        <v>0</v>
      </c>
      <c r="Q433">
        <v>1.0335640762128431</v>
      </c>
      <c r="R433">
        <v>3.3564076212843075E-2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1</v>
      </c>
      <c r="AK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1</v>
      </c>
      <c r="BH433">
        <v>1</v>
      </c>
      <c r="BI433">
        <v>0</v>
      </c>
      <c r="BJ433">
        <v>0</v>
      </c>
      <c r="BK433">
        <v>0.96752588737814149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3.2474112621858509E-2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0.96752588737814149</v>
      </c>
      <c r="CE433">
        <v>0</v>
      </c>
    </row>
    <row r="434" spans="1:83" x14ac:dyDescent="0.25">
      <c r="A434" t="s">
        <v>128</v>
      </c>
      <c r="B434" t="s">
        <v>146</v>
      </c>
      <c r="C434" t="s">
        <v>72</v>
      </c>
      <c r="D434" s="12">
        <v>46239</v>
      </c>
      <c r="E434" t="s">
        <v>135</v>
      </c>
      <c r="F434" t="s">
        <v>73</v>
      </c>
      <c r="G434">
        <v>4.6378052105831538</v>
      </c>
      <c r="H434">
        <v>0</v>
      </c>
      <c r="I434">
        <v>10</v>
      </c>
      <c r="J434">
        <v>1</v>
      </c>
      <c r="K434">
        <v>0</v>
      </c>
      <c r="L434">
        <v>46239</v>
      </c>
      <c r="M434" t="s">
        <v>180</v>
      </c>
      <c r="N434">
        <v>2.40625</v>
      </c>
      <c r="O434">
        <v>0</v>
      </c>
      <c r="P434">
        <v>0</v>
      </c>
      <c r="Q434">
        <v>0.51883377820808485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0.51883377820808485</v>
      </c>
      <c r="AB434">
        <v>0.48116622179191515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1</v>
      </c>
      <c r="BI434">
        <v>0</v>
      </c>
      <c r="BJ434">
        <v>0</v>
      </c>
      <c r="BK434">
        <v>1.9273995680345575</v>
      </c>
      <c r="BL434">
        <v>0.92739956803455748</v>
      </c>
      <c r="BM434">
        <v>0</v>
      </c>
      <c r="BN434">
        <v>0</v>
      </c>
      <c r="BO434">
        <v>0</v>
      </c>
      <c r="BP434">
        <v>0</v>
      </c>
      <c r="BQ434">
        <v>0</v>
      </c>
      <c r="BR434">
        <v>0</v>
      </c>
      <c r="BS434">
        <v>0</v>
      </c>
      <c r="BT434">
        <v>0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1</v>
      </c>
      <c r="CE434">
        <v>1</v>
      </c>
    </row>
    <row r="435" spans="1:83" x14ac:dyDescent="0.25">
      <c r="A435" t="s">
        <v>128</v>
      </c>
      <c r="B435" t="s">
        <v>145</v>
      </c>
      <c r="C435" t="s">
        <v>72</v>
      </c>
      <c r="D435" s="12">
        <v>46239</v>
      </c>
      <c r="E435" t="s">
        <v>135</v>
      </c>
      <c r="F435" t="s">
        <v>73</v>
      </c>
      <c r="G435">
        <v>4.6265233658256895</v>
      </c>
      <c r="H435">
        <v>0</v>
      </c>
      <c r="I435">
        <v>10</v>
      </c>
      <c r="K435">
        <v>0</v>
      </c>
      <c r="L435">
        <v>46239</v>
      </c>
      <c r="M435" t="s">
        <v>180</v>
      </c>
      <c r="N435">
        <v>2.40625</v>
      </c>
      <c r="O435">
        <v>0</v>
      </c>
      <c r="P435">
        <v>0</v>
      </c>
      <c r="Q435">
        <v>0.52009896194927352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0.52009896194927352</v>
      </c>
      <c r="AB435">
        <v>0.47990103805072648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1</v>
      </c>
      <c r="BI435">
        <v>0</v>
      </c>
      <c r="BJ435">
        <v>0</v>
      </c>
      <c r="BK435">
        <v>1.9227110091743125</v>
      </c>
      <c r="BL435">
        <v>0.92271100917431248</v>
      </c>
      <c r="BM435">
        <v>0</v>
      </c>
      <c r="BN435">
        <v>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0</v>
      </c>
      <c r="BV435">
        <v>0</v>
      </c>
      <c r="BW435">
        <v>0</v>
      </c>
      <c r="BX435">
        <v>0</v>
      </c>
      <c r="BY435">
        <v>0</v>
      </c>
      <c r="BZ435">
        <v>0</v>
      </c>
      <c r="CA435">
        <v>0</v>
      </c>
      <c r="CB435">
        <v>0</v>
      </c>
      <c r="CC435">
        <v>0</v>
      </c>
      <c r="CD435">
        <v>1</v>
      </c>
      <c r="CE435">
        <v>1</v>
      </c>
    </row>
    <row r="436" spans="1:83" x14ac:dyDescent="0.25">
      <c r="A436" t="s">
        <v>128</v>
      </c>
      <c r="B436" t="s">
        <v>145</v>
      </c>
      <c r="C436" t="s">
        <v>72</v>
      </c>
      <c r="D436" s="12">
        <v>46239</v>
      </c>
      <c r="E436" t="s">
        <v>135</v>
      </c>
      <c r="F436" t="s">
        <v>74</v>
      </c>
      <c r="G436">
        <v>1.2735376146788993</v>
      </c>
      <c r="H436">
        <v>0</v>
      </c>
      <c r="I436">
        <v>10</v>
      </c>
      <c r="K436">
        <v>0</v>
      </c>
      <c r="L436">
        <v>46239</v>
      </c>
      <c r="M436" t="s">
        <v>179</v>
      </c>
      <c r="N436">
        <v>0.94117647058823517</v>
      </c>
      <c r="O436">
        <v>0</v>
      </c>
      <c r="P436">
        <v>0</v>
      </c>
      <c r="Q436">
        <v>0.73902526296840998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0.73902526296840998</v>
      </c>
      <c r="AB436">
        <v>0.26097473703159002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  <c r="BI436">
        <v>0</v>
      </c>
      <c r="BJ436">
        <v>0</v>
      </c>
      <c r="BK436">
        <v>1.3531337155963306</v>
      </c>
      <c r="BL436">
        <v>0.35313371559633056</v>
      </c>
      <c r="BM436">
        <v>0</v>
      </c>
      <c r="BN436">
        <v>0</v>
      </c>
      <c r="BO436">
        <v>0</v>
      </c>
      <c r="BP436">
        <v>0</v>
      </c>
      <c r="BQ436">
        <v>0</v>
      </c>
      <c r="BR436">
        <v>0</v>
      </c>
      <c r="BS436">
        <v>0</v>
      </c>
      <c r="BT436">
        <v>0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0</v>
      </c>
    </row>
    <row r="437" spans="1:83" x14ac:dyDescent="0.25">
      <c r="A437" t="s">
        <v>128</v>
      </c>
      <c r="B437" t="s">
        <v>146</v>
      </c>
      <c r="C437" t="s">
        <v>72</v>
      </c>
      <c r="D437" s="12">
        <v>46239</v>
      </c>
      <c r="E437" t="s">
        <v>135</v>
      </c>
      <c r="F437" t="s">
        <v>74</v>
      </c>
      <c r="G437">
        <v>1.2742252699784016</v>
      </c>
      <c r="H437">
        <v>0</v>
      </c>
      <c r="I437">
        <v>10</v>
      </c>
      <c r="J437">
        <v>1</v>
      </c>
      <c r="K437">
        <v>0</v>
      </c>
      <c r="L437">
        <v>46239</v>
      </c>
      <c r="M437" t="s">
        <v>179</v>
      </c>
      <c r="N437">
        <v>0.94117647058823517</v>
      </c>
      <c r="O437">
        <v>0</v>
      </c>
      <c r="P437">
        <v>0</v>
      </c>
      <c r="Q437">
        <v>0.73862643659875649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0.73862643659875649</v>
      </c>
      <c r="AB437">
        <v>0.26137356340124351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I437">
        <v>0</v>
      </c>
      <c r="BJ437">
        <v>0</v>
      </c>
      <c r="BK437">
        <v>1.3538643493520519</v>
      </c>
      <c r="BL437">
        <v>0.35386434935205191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</row>
    <row r="438" spans="1:83" x14ac:dyDescent="0.25">
      <c r="A438" t="s">
        <v>128</v>
      </c>
      <c r="B438" t="s">
        <v>145</v>
      </c>
      <c r="C438" t="s">
        <v>72</v>
      </c>
      <c r="D438" s="12">
        <v>46239</v>
      </c>
      <c r="E438" t="s">
        <v>135</v>
      </c>
      <c r="F438" t="s">
        <v>75</v>
      </c>
      <c r="G438">
        <v>3.9329838100377774</v>
      </c>
      <c r="H438">
        <v>0</v>
      </c>
      <c r="I438">
        <v>10</v>
      </c>
      <c r="K438">
        <v>0</v>
      </c>
      <c r="L438">
        <v>46239</v>
      </c>
      <c r="M438" t="s">
        <v>178</v>
      </c>
      <c r="N438">
        <v>3.8460207612456743</v>
      </c>
      <c r="O438">
        <v>0</v>
      </c>
      <c r="P438">
        <v>0</v>
      </c>
      <c r="Q438">
        <v>0.97788878546355673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0.97788878546355673</v>
      </c>
      <c r="AB438">
        <v>2.2111214536443269E-2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1</v>
      </c>
      <c r="BI438">
        <v>0</v>
      </c>
      <c r="BJ438">
        <v>0</v>
      </c>
      <c r="BK438">
        <v>1.0226111750795481</v>
      </c>
      <c r="BL438">
        <v>2.2611175079548129E-2</v>
      </c>
      <c r="BM438">
        <v>0</v>
      </c>
      <c r="BN438">
        <v>0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1</v>
      </c>
      <c r="CE438">
        <v>1</v>
      </c>
    </row>
    <row r="439" spans="1:83" x14ac:dyDescent="0.25">
      <c r="A439" t="s">
        <v>128</v>
      </c>
      <c r="B439" t="s">
        <v>146</v>
      </c>
      <c r="C439" t="s">
        <v>72</v>
      </c>
      <c r="D439" s="12">
        <v>46239</v>
      </c>
      <c r="E439" t="s">
        <v>135</v>
      </c>
      <c r="F439" t="s">
        <v>75</v>
      </c>
      <c r="G439">
        <v>3.902039321560157</v>
      </c>
      <c r="H439">
        <v>0</v>
      </c>
      <c r="I439">
        <v>10</v>
      </c>
      <c r="J439">
        <v>1</v>
      </c>
      <c r="K439">
        <v>0</v>
      </c>
      <c r="L439">
        <v>46239</v>
      </c>
      <c r="M439" t="s">
        <v>178</v>
      </c>
      <c r="N439">
        <v>3.8460207612456743</v>
      </c>
      <c r="O439">
        <v>0</v>
      </c>
      <c r="P439">
        <v>0</v>
      </c>
      <c r="Q439">
        <v>0.98564377349942112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0.98564377349942112</v>
      </c>
      <c r="AB439">
        <v>1.4356226500578884E-2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1</v>
      </c>
      <c r="BI439">
        <v>0</v>
      </c>
      <c r="BJ439">
        <v>0</v>
      </c>
      <c r="BK439">
        <v>1.0145653296724115</v>
      </c>
      <c r="BL439">
        <v>1.4565329672411531E-2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1</v>
      </c>
      <c r="CE439">
        <v>1</v>
      </c>
    </row>
    <row r="440" spans="1:83" x14ac:dyDescent="0.25">
      <c r="A440" t="s">
        <v>128</v>
      </c>
      <c r="B440" t="s">
        <v>146</v>
      </c>
      <c r="C440" t="s">
        <v>72</v>
      </c>
      <c r="D440" s="12">
        <v>46240</v>
      </c>
      <c r="E440" t="s">
        <v>135</v>
      </c>
      <c r="F440" t="s">
        <v>73</v>
      </c>
      <c r="G440">
        <v>5.9729309530237575</v>
      </c>
      <c r="H440">
        <v>0</v>
      </c>
      <c r="I440">
        <v>10</v>
      </c>
      <c r="J440">
        <v>1</v>
      </c>
      <c r="K440">
        <v>0</v>
      </c>
      <c r="L440">
        <v>46240</v>
      </c>
      <c r="M440" t="s">
        <v>194</v>
      </c>
      <c r="N440">
        <v>3.9419504643962866</v>
      </c>
      <c r="O440">
        <v>0</v>
      </c>
      <c r="P440">
        <v>0</v>
      </c>
      <c r="Q440">
        <v>0.65996920028025763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0.65996920028025763</v>
      </c>
      <c r="AB440">
        <v>0.34003079971974237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1</v>
      </c>
      <c r="BI440">
        <v>0</v>
      </c>
      <c r="BJ440">
        <v>0</v>
      </c>
      <c r="BK440">
        <v>1.5152222248785963</v>
      </c>
      <c r="BL440">
        <v>0.51522222487859626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0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1</v>
      </c>
      <c r="CE440">
        <v>1</v>
      </c>
    </row>
    <row r="441" spans="1:83" x14ac:dyDescent="0.25">
      <c r="A441" t="s">
        <v>128</v>
      </c>
      <c r="B441" t="s">
        <v>145</v>
      </c>
      <c r="C441" t="s">
        <v>72</v>
      </c>
      <c r="D441" s="12">
        <v>46240</v>
      </c>
      <c r="E441" t="s">
        <v>135</v>
      </c>
      <c r="F441" t="s">
        <v>73</v>
      </c>
      <c r="G441">
        <v>5.9697075688073395</v>
      </c>
      <c r="H441">
        <v>0</v>
      </c>
      <c r="I441">
        <v>10</v>
      </c>
      <c r="K441">
        <v>0</v>
      </c>
      <c r="L441">
        <v>46240</v>
      </c>
      <c r="M441" t="s">
        <v>194</v>
      </c>
      <c r="N441">
        <v>3.9419504643962866</v>
      </c>
      <c r="O441">
        <v>0</v>
      </c>
      <c r="P441">
        <v>0</v>
      </c>
      <c r="Q441">
        <v>0.66032555514002012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0.66032555514002012</v>
      </c>
      <c r="AB441">
        <v>0.33967444485997988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1</v>
      </c>
      <c r="BI441">
        <v>0</v>
      </c>
      <c r="BJ441">
        <v>0</v>
      </c>
      <c r="BK441">
        <v>1.5144045118592342</v>
      </c>
      <c r="BL441">
        <v>0.51440451185923419</v>
      </c>
      <c r="BM441">
        <v>0</v>
      </c>
      <c r="BN441">
        <v>0</v>
      </c>
      <c r="BO441">
        <v>0</v>
      </c>
      <c r="BP441">
        <v>0</v>
      </c>
      <c r="BQ441">
        <v>0</v>
      </c>
      <c r="BR441">
        <v>0</v>
      </c>
      <c r="BS441">
        <v>0</v>
      </c>
      <c r="BT441">
        <v>0</v>
      </c>
      <c r="BU441">
        <v>0</v>
      </c>
      <c r="BV441">
        <v>0</v>
      </c>
      <c r="BW441">
        <v>0</v>
      </c>
      <c r="BX441">
        <v>0</v>
      </c>
      <c r="BY441">
        <v>0</v>
      </c>
      <c r="BZ441">
        <v>0</v>
      </c>
      <c r="CA441">
        <v>0</v>
      </c>
      <c r="CB441">
        <v>0</v>
      </c>
      <c r="CC441">
        <v>0</v>
      </c>
      <c r="CD441">
        <v>1</v>
      </c>
      <c r="CE441">
        <v>1</v>
      </c>
    </row>
    <row r="442" spans="1:83" x14ac:dyDescent="0.25">
      <c r="A442" t="s">
        <v>128</v>
      </c>
      <c r="B442" t="s">
        <v>145</v>
      </c>
      <c r="C442" t="s">
        <v>72</v>
      </c>
      <c r="D442" s="12">
        <v>46240</v>
      </c>
      <c r="E442" t="s">
        <v>135</v>
      </c>
      <c r="F442" t="s">
        <v>74</v>
      </c>
      <c r="G442">
        <v>1.2735376146788993</v>
      </c>
      <c r="H442">
        <v>0</v>
      </c>
      <c r="I442">
        <v>10</v>
      </c>
      <c r="K442">
        <v>0</v>
      </c>
      <c r="L442">
        <v>46240</v>
      </c>
      <c r="M442" t="s">
        <v>195</v>
      </c>
      <c r="N442">
        <v>0.94117647058823517</v>
      </c>
      <c r="O442">
        <v>0</v>
      </c>
      <c r="P442">
        <v>0</v>
      </c>
      <c r="Q442">
        <v>0.73902526296840998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0.73902526296840998</v>
      </c>
      <c r="AB442">
        <v>0.26097473703159002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I442">
        <v>0</v>
      </c>
      <c r="BJ442">
        <v>0</v>
      </c>
      <c r="BK442">
        <v>1.3531337155963306</v>
      </c>
      <c r="BL442">
        <v>0.35313371559633056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0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0</v>
      </c>
    </row>
    <row r="443" spans="1:83" x14ac:dyDescent="0.25">
      <c r="A443" t="s">
        <v>128</v>
      </c>
      <c r="B443" t="s">
        <v>146</v>
      </c>
      <c r="C443" t="s">
        <v>72</v>
      </c>
      <c r="D443" s="12">
        <v>46240</v>
      </c>
      <c r="E443" t="s">
        <v>135</v>
      </c>
      <c r="F443" t="s">
        <v>74</v>
      </c>
      <c r="G443">
        <v>1.2742252699784016</v>
      </c>
      <c r="H443">
        <v>0</v>
      </c>
      <c r="I443">
        <v>10</v>
      </c>
      <c r="J443">
        <v>1</v>
      </c>
      <c r="K443">
        <v>0</v>
      </c>
      <c r="L443">
        <v>46240</v>
      </c>
      <c r="M443" t="s">
        <v>195</v>
      </c>
      <c r="N443">
        <v>0.94117647058823517</v>
      </c>
      <c r="O443">
        <v>0</v>
      </c>
      <c r="P443">
        <v>0</v>
      </c>
      <c r="Q443">
        <v>0.73862643659875649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0.73862643659875649</v>
      </c>
      <c r="AB443">
        <v>0.26137356340124351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I443">
        <v>0</v>
      </c>
      <c r="BJ443">
        <v>0</v>
      </c>
      <c r="BK443">
        <v>1.3538643493520519</v>
      </c>
      <c r="BL443">
        <v>0.35386434935205191</v>
      </c>
      <c r="BM443">
        <v>0</v>
      </c>
      <c r="BN443">
        <v>0</v>
      </c>
      <c r="BO443">
        <v>0</v>
      </c>
      <c r="BP443">
        <v>0</v>
      </c>
      <c r="BQ443">
        <v>0</v>
      </c>
      <c r="BR443">
        <v>0</v>
      </c>
      <c r="BS443">
        <v>0</v>
      </c>
      <c r="BT443">
        <v>0</v>
      </c>
      <c r="BU443">
        <v>0</v>
      </c>
      <c r="BV443">
        <v>0</v>
      </c>
      <c r="BW443">
        <v>0</v>
      </c>
      <c r="BX443">
        <v>0</v>
      </c>
      <c r="BY443">
        <v>0</v>
      </c>
      <c r="BZ443">
        <v>0</v>
      </c>
      <c r="CA443">
        <v>0</v>
      </c>
      <c r="CB443">
        <v>0</v>
      </c>
      <c r="CC443">
        <v>0</v>
      </c>
      <c r="CD443">
        <v>0</v>
      </c>
      <c r="CE443">
        <v>0</v>
      </c>
    </row>
    <row r="444" spans="1:83" x14ac:dyDescent="0.25">
      <c r="A444" t="s">
        <v>128</v>
      </c>
      <c r="B444" t="s">
        <v>146</v>
      </c>
      <c r="C444" t="s">
        <v>72</v>
      </c>
      <c r="D444" s="12">
        <v>46240</v>
      </c>
      <c r="E444" t="s">
        <v>135</v>
      </c>
      <c r="F444" t="s">
        <v>75</v>
      </c>
      <c r="G444">
        <v>3.505221763435395</v>
      </c>
      <c r="H444">
        <v>0</v>
      </c>
      <c r="I444">
        <v>10</v>
      </c>
      <c r="J444">
        <v>1</v>
      </c>
      <c r="K444">
        <v>0</v>
      </c>
      <c r="L444">
        <v>46240</v>
      </c>
      <c r="M444" t="s">
        <v>213</v>
      </c>
      <c r="N444">
        <v>3.1065379712256411</v>
      </c>
      <c r="O444">
        <v>0</v>
      </c>
      <c r="P444">
        <v>0</v>
      </c>
      <c r="Q444">
        <v>0.88626003741942638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0.88626003741942638</v>
      </c>
      <c r="AB444">
        <v>0.11373996258057362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1</v>
      </c>
      <c r="BI444">
        <v>0</v>
      </c>
      <c r="BJ444">
        <v>0</v>
      </c>
      <c r="BK444">
        <v>1.1283370092052856</v>
      </c>
      <c r="BL444">
        <v>0.12833700920528557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0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1</v>
      </c>
      <c r="CE444">
        <v>1</v>
      </c>
    </row>
    <row r="445" spans="1:83" x14ac:dyDescent="0.25">
      <c r="A445" t="s">
        <v>128</v>
      </c>
      <c r="B445" t="s">
        <v>145</v>
      </c>
      <c r="C445" t="s">
        <v>72</v>
      </c>
      <c r="D445" s="12">
        <v>46240</v>
      </c>
      <c r="E445" t="s">
        <v>135</v>
      </c>
      <c r="F445" t="s">
        <v>75</v>
      </c>
      <c r="G445">
        <v>3.5115926875337284</v>
      </c>
      <c r="H445">
        <v>0</v>
      </c>
      <c r="I445">
        <v>10</v>
      </c>
      <c r="K445">
        <v>0</v>
      </c>
      <c r="L445">
        <v>46240</v>
      </c>
      <c r="M445" t="s">
        <v>213</v>
      </c>
      <c r="N445">
        <v>3.1065379712256411</v>
      </c>
      <c r="O445">
        <v>0</v>
      </c>
      <c r="P445">
        <v>0</v>
      </c>
      <c r="Q445">
        <v>0.88465213583965896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0.88465213583965896</v>
      </c>
      <c r="AB445">
        <v>0.11534786416034104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1</v>
      </c>
      <c r="BI445">
        <v>0</v>
      </c>
      <c r="BJ445">
        <v>0</v>
      </c>
      <c r="BK445">
        <v>1.1303878208024216</v>
      </c>
      <c r="BL445">
        <v>0.13038782080242162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1</v>
      </c>
      <c r="CE445">
        <v>1</v>
      </c>
    </row>
    <row r="446" spans="1:83" x14ac:dyDescent="0.25">
      <c r="A446" t="s">
        <v>128</v>
      </c>
      <c r="B446" t="s">
        <v>145</v>
      </c>
      <c r="C446" t="s">
        <v>72</v>
      </c>
      <c r="D446" s="12">
        <v>46241</v>
      </c>
      <c r="E446" t="s">
        <v>135</v>
      </c>
      <c r="F446" t="s">
        <v>73</v>
      </c>
      <c r="G446">
        <v>4.7757660550458718</v>
      </c>
      <c r="H446">
        <v>0</v>
      </c>
      <c r="I446">
        <v>10</v>
      </c>
      <c r="K446">
        <v>0</v>
      </c>
      <c r="L446">
        <v>46241</v>
      </c>
      <c r="M446" t="s">
        <v>212</v>
      </c>
      <c r="N446">
        <v>2.8823529411764706</v>
      </c>
      <c r="O446">
        <v>0</v>
      </c>
      <c r="P446">
        <v>0</v>
      </c>
      <c r="Q446">
        <v>0.60353729809086831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0.60353729809086831</v>
      </c>
      <c r="AB446">
        <v>0.39646270190913169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1</v>
      </c>
      <c r="BI446">
        <v>0</v>
      </c>
      <c r="BJ446">
        <v>0</v>
      </c>
      <c r="BK446">
        <v>1.6568984272608127</v>
      </c>
      <c r="BL446">
        <v>0.65689842726081271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1</v>
      </c>
      <c r="CE446">
        <v>1</v>
      </c>
    </row>
    <row r="447" spans="1:83" x14ac:dyDescent="0.25">
      <c r="A447" t="s">
        <v>128</v>
      </c>
      <c r="B447" t="s">
        <v>146</v>
      </c>
      <c r="C447" t="s">
        <v>72</v>
      </c>
      <c r="D447" s="12">
        <v>46241</v>
      </c>
      <c r="E447" t="s">
        <v>135</v>
      </c>
      <c r="F447" t="s">
        <v>73</v>
      </c>
      <c r="G447">
        <v>4.7783447624190067</v>
      </c>
      <c r="H447">
        <v>0</v>
      </c>
      <c r="I447">
        <v>10</v>
      </c>
      <c r="J447">
        <v>1</v>
      </c>
      <c r="K447">
        <v>0</v>
      </c>
      <c r="L447">
        <v>46241</v>
      </c>
      <c r="M447" t="s">
        <v>212</v>
      </c>
      <c r="N447">
        <v>2.8823529411764706</v>
      </c>
      <c r="O447">
        <v>0</v>
      </c>
      <c r="P447">
        <v>0</v>
      </c>
      <c r="Q447">
        <v>0.60321158988898438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0.60321158988898438</v>
      </c>
      <c r="AB447">
        <v>0.39678841011101562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1</v>
      </c>
      <c r="BI447">
        <v>0</v>
      </c>
      <c r="BJ447">
        <v>0</v>
      </c>
      <c r="BK447">
        <v>1.6577930808392471</v>
      </c>
      <c r="BL447">
        <v>0.65779308083924715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1</v>
      </c>
      <c r="CE447">
        <v>1</v>
      </c>
    </row>
    <row r="448" spans="1:83" x14ac:dyDescent="0.25">
      <c r="A448" t="s">
        <v>128</v>
      </c>
      <c r="B448" t="s">
        <v>145</v>
      </c>
      <c r="C448" t="s">
        <v>72</v>
      </c>
      <c r="D448" s="12">
        <v>46241</v>
      </c>
      <c r="E448" t="s">
        <v>135</v>
      </c>
      <c r="F448" t="s">
        <v>74</v>
      </c>
      <c r="G448">
        <v>1.2735376146788993</v>
      </c>
      <c r="H448">
        <v>0</v>
      </c>
      <c r="I448">
        <v>10</v>
      </c>
      <c r="K448">
        <v>0</v>
      </c>
      <c r="L448">
        <v>46241</v>
      </c>
      <c r="M448" t="s">
        <v>211</v>
      </c>
      <c r="N448">
        <v>0.94117647058823517</v>
      </c>
      <c r="O448">
        <v>0</v>
      </c>
      <c r="P448">
        <v>0</v>
      </c>
      <c r="Q448">
        <v>0.73902526296840998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0.73902526296840998</v>
      </c>
      <c r="AB448">
        <v>0.26097473703159002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I448">
        <v>0</v>
      </c>
      <c r="BJ448">
        <v>0</v>
      </c>
      <c r="BK448">
        <v>1.3531337155963306</v>
      </c>
      <c r="BL448">
        <v>0.35313371559633056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0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0</v>
      </c>
    </row>
    <row r="449" spans="1:83" x14ac:dyDescent="0.25">
      <c r="A449" t="s">
        <v>128</v>
      </c>
      <c r="B449" t="s">
        <v>146</v>
      </c>
      <c r="C449" t="s">
        <v>72</v>
      </c>
      <c r="D449" s="12">
        <v>46241</v>
      </c>
      <c r="E449" t="s">
        <v>135</v>
      </c>
      <c r="F449" t="s">
        <v>74</v>
      </c>
      <c r="G449">
        <v>1.2742252699784016</v>
      </c>
      <c r="H449">
        <v>0</v>
      </c>
      <c r="I449">
        <v>10</v>
      </c>
      <c r="J449">
        <v>1</v>
      </c>
      <c r="K449">
        <v>0</v>
      </c>
      <c r="L449">
        <v>46241</v>
      </c>
      <c r="M449" t="s">
        <v>211</v>
      </c>
      <c r="N449">
        <v>0.94117647058823517</v>
      </c>
      <c r="O449">
        <v>0</v>
      </c>
      <c r="P449">
        <v>0</v>
      </c>
      <c r="Q449">
        <v>0.73862643659875649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0.73862643659875649</v>
      </c>
      <c r="AB449">
        <v>0.26137356340124351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  <c r="BI449">
        <v>0</v>
      </c>
      <c r="BJ449">
        <v>0</v>
      </c>
      <c r="BK449">
        <v>1.3538643493520519</v>
      </c>
      <c r="BL449">
        <v>0.35386434935205191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0</v>
      </c>
      <c r="BV449">
        <v>0</v>
      </c>
      <c r="BW449">
        <v>0</v>
      </c>
      <c r="BX449">
        <v>0</v>
      </c>
      <c r="BY449">
        <v>0</v>
      </c>
      <c r="BZ449">
        <v>0</v>
      </c>
      <c r="CA449">
        <v>0</v>
      </c>
      <c r="CB449">
        <v>0</v>
      </c>
      <c r="CC449">
        <v>0</v>
      </c>
      <c r="CD449">
        <v>0</v>
      </c>
      <c r="CE449">
        <v>0</v>
      </c>
    </row>
    <row r="450" spans="1:83" x14ac:dyDescent="0.25">
      <c r="A450" t="s">
        <v>128</v>
      </c>
      <c r="B450" t="s">
        <v>145</v>
      </c>
      <c r="C450" t="s">
        <v>72</v>
      </c>
      <c r="D450" s="12">
        <v>46241</v>
      </c>
      <c r="E450" t="s">
        <v>135</v>
      </c>
      <c r="F450" t="s">
        <v>75</v>
      </c>
      <c r="G450">
        <v>2.2474193200215873</v>
      </c>
      <c r="H450">
        <v>0</v>
      </c>
      <c r="I450">
        <v>10</v>
      </c>
      <c r="K450">
        <v>0</v>
      </c>
      <c r="L450">
        <v>46241</v>
      </c>
      <c r="M450" t="s">
        <v>210</v>
      </c>
      <c r="N450">
        <v>2.1038062283737027</v>
      </c>
      <c r="O450">
        <v>0</v>
      </c>
      <c r="P450">
        <v>0</v>
      </c>
      <c r="Q450">
        <v>0.93609866642665285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0.93609866642665285</v>
      </c>
      <c r="AB450">
        <v>6.3901333573347152E-2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1</v>
      </c>
      <c r="BI450">
        <v>0</v>
      </c>
      <c r="BJ450">
        <v>0</v>
      </c>
      <c r="BK450">
        <v>1.0682634596813136</v>
      </c>
      <c r="BL450">
        <v>6.8263459681313643E-2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1</v>
      </c>
      <c r="CE450">
        <v>1</v>
      </c>
    </row>
    <row r="451" spans="1:83" x14ac:dyDescent="0.25">
      <c r="A451" t="s">
        <v>128</v>
      </c>
      <c r="B451" t="s">
        <v>146</v>
      </c>
      <c r="C451" t="s">
        <v>72</v>
      </c>
      <c r="D451" s="12">
        <v>46241</v>
      </c>
      <c r="E451" t="s">
        <v>135</v>
      </c>
      <c r="F451" t="s">
        <v>75</v>
      </c>
      <c r="G451">
        <v>2.2486328293736499</v>
      </c>
      <c r="H451">
        <v>0</v>
      </c>
      <c r="I451">
        <v>10</v>
      </c>
      <c r="J451">
        <v>1</v>
      </c>
      <c r="K451">
        <v>0</v>
      </c>
      <c r="L451">
        <v>46241</v>
      </c>
      <c r="M451" t="s">
        <v>210</v>
      </c>
      <c r="N451">
        <v>2.1038062283737027</v>
      </c>
      <c r="O451">
        <v>0</v>
      </c>
      <c r="P451">
        <v>0</v>
      </c>
      <c r="Q451">
        <v>0.9355934863584251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0.9355934863584251</v>
      </c>
      <c r="AB451">
        <v>6.4406513641574903E-2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1</v>
      </c>
      <c r="BI451">
        <v>0</v>
      </c>
      <c r="BJ451">
        <v>0</v>
      </c>
      <c r="BK451">
        <v>1.0688402758042512</v>
      </c>
      <c r="BL451">
        <v>6.8840275804251227E-2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1</v>
      </c>
      <c r="CE451">
        <v>1</v>
      </c>
    </row>
    <row r="452" spans="1:83" x14ac:dyDescent="0.25">
      <c r="A452" t="s">
        <v>128</v>
      </c>
      <c r="B452" t="s">
        <v>145</v>
      </c>
      <c r="C452" t="s">
        <v>72</v>
      </c>
      <c r="D452" s="12">
        <v>46242</v>
      </c>
      <c r="E452" t="s">
        <v>135</v>
      </c>
      <c r="F452" t="s">
        <v>73</v>
      </c>
      <c r="G452">
        <v>2.3878830275229359</v>
      </c>
      <c r="H452">
        <v>0</v>
      </c>
      <c r="I452">
        <v>10</v>
      </c>
      <c r="K452">
        <v>0</v>
      </c>
      <c r="L452">
        <v>46242</v>
      </c>
      <c r="M452" t="s">
        <v>209</v>
      </c>
      <c r="N452">
        <v>2.882352941176471</v>
      </c>
      <c r="O452">
        <v>0</v>
      </c>
      <c r="P452">
        <v>0</v>
      </c>
      <c r="Q452">
        <v>1.2070745961817368</v>
      </c>
      <c r="R452">
        <v>0.20707459618173685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1</v>
      </c>
      <c r="AK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1</v>
      </c>
      <c r="BH452">
        <v>1</v>
      </c>
      <c r="BI452">
        <v>0</v>
      </c>
      <c r="BJ452">
        <v>0</v>
      </c>
      <c r="BK452">
        <v>0.82844921363040624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0.17155078636959376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0.82844921363040624</v>
      </c>
      <c r="CE452">
        <v>0</v>
      </c>
    </row>
    <row r="453" spans="1:83" x14ac:dyDescent="0.25">
      <c r="A453" t="s">
        <v>128</v>
      </c>
      <c r="B453" t="s">
        <v>146</v>
      </c>
      <c r="C453" t="s">
        <v>72</v>
      </c>
      <c r="D453" s="12">
        <v>46242</v>
      </c>
      <c r="E453" t="s">
        <v>135</v>
      </c>
      <c r="F453" t="s">
        <v>73</v>
      </c>
      <c r="G453">
        <v>2.3891723812095034</v>
      </c>
      <c r="H453">
        <v>0</v>
      </c>
      <c r="I453">
        <v>10</v>
      </c>
      <c r="J453">
        <v>1</v>
      </c>
      <c r="K453">
        <v>0</v>
      </c>
      <c r="L453">
        <v>46242</v>
      </c>
      <c r="M453" t="s">
        <v>209</v>
      </c>
      <c r="N453">
        <v>2.882352941176471</v>
      </c>
      <c r="O453">
        <v>0</v>
      </c>
      <c r="P453">
        <v>0</v>
      </c>
      <c r="Q453">
        <v>1.206423179777969</v>
      </c>
      <c r="R453">
        <v>0.20642317977796898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1</v>
      </c>
      <c r="AK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1</v>
      </c>
      <c r="BH453">
        <v>1</v>
      </c>
      <c r="BI453">
        <v>0</v>
      </c>
      <c r="BJ453">
        <v>0</v>
      </c>
      <c r="BK453">
        <v>0.82889654041962346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0.17110345958037654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0.82889654041962346</v>
      </c>
      <c r="CE453">
        <v>0</v>
      </c>
    </row>
    <row r="454" spans="1:83" x14ac:dyDescent="0.25">
      <c r="A454" t="s">
        <v>128</v>
      </c>
      <c r="B454" t="s">
        <v>146</v>
      </c>
      <c r="C454" t="s">
        <v>72</v>
      </c>
      <c r="D454" s="12">
        <v>46242</v>
      </c>
      <c r="E454" t="s">
        <v>135</v>
      </c>
      <c r="F454" t="s">
        <v>74</v>
      </c>
      <c r="G454">
        <v>1.2742252699784016</v>
      </c>
      <c r="H454">
        <v>0</v>
      </c>
      <c r="I454">
        <v>10</v>
      </c>
      <c r="J454">
        <v>1</v>
      </c>
      <c r="K454">
        <v>0</v>
      </c>
      <c r="L454">
        <v>46242</v>
      </c>
      <c r="M454" t="s">
        <v>208</v>
      </c>
      <c r="N454">
        <v>0.94117647058823517</v>
      </c>
      <c r="O454">
        <v>0</v>
      </c>
      <c r="P454">
        <v>0</v>
      </c>
      <c r="Q454">
        <v>0.73862643659875649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0.73862643659875649</v>
      </c>
      <c r="AB454">
        <v>0.26137356340124351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I454">
        <v>0</v>
      </c>
      <c r="BJ454">
        <v>0</v>
      </c>
      <c r="BK454">
        <v>1.3538643493520519</v>
      </c>
      <c r="BL454">
        <v>0.35386434935205191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</row>
    <row r="455" spans="1:83" x14ac:dyDescent="0.25">
      <c r="A455" t="s">
        <v>128</v>
      </c>
      <c r="B455" t="s">
        <v>145</v>
      </c>
      <c r="C455" t="s">
        <v>72</v>
      </c>
      <c r="D455" s="12">
        <v>46242</v>
      </c>
      <c r="E455" t="s">
        <v>135</v>
      </c>
      <c r="F455" t="s">
        <v>74</v>
      </c>
      <c r="G455">
        <v>1.2735376146788993</v>
      </c>
      <c r="H455">
        <v>0</v>
      </c>
      <c r="I455">
        <v>10</v>
      </c>
      <c r="K455">
        <v>0</v>
      </c>
      <c r="L455">
        <v>46242</v>
      </c>
      <c r="M455" t="s">
        <v>208</v>
      </c>
      <c r="N455">
        <v>0.94117647058823517</v>
      </c>
      <c r="O455">
        <v>0</v>
      </c>
      <c r="P455">
        <v>0</v>
      </c>
      <c r="Q455">
        <v>0.73902526296840998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0.73902526296840998</v>
      </c>
      <c r="AB455">
        <v>0.26097473703159002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  <c r="BI455">
        <v>0</v>
      </c>
      <c r="BJ455">
        <v>0</v>
      </c>
      <c r="BK455">
        <v>1.3531337155963306</v>
      </c>
      <c r="BL455">
        <v>0.35313371559633056</v>
      </c>
      <c r="BM455">
        <v>0</v>
      </c>
      <c r="BN455">
        <v>0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0</v>
      </c>
      <c r="BV455">
        <v>0</v>
      </c>
      <c r="BW455">
        <v>0</v>
      </c>
      <c r="BX455">
        <v>0</v>
      </c>
      <c r="BY455">
        <v>0</v>
      </c>
      <c r="BZ455">
        <v>0</v>
      </c>
      <c r="CA455">
        <v>0</v>
      </c>
      <c r="CB455">
        <v>0</v>
      </c>
      <c r="CC455">
        <v>0</v>
      </c>
      <c r="CD455">
        <v>0</v>
      </c>
      <c r="CE455">
        <v>0</v>
      </c>
    </row>
    <row r="456" spans="1:83" x14ac:dyDescent="0.25">
      <c r="A456" t="s">
        <v>128</v>
      </c>
      <c r="B456" t="s">
        <v>145</v>
      </c>
      <c r="C456" t="s">
        <v>72</v>
      </c>
      <c r="D456" s="12">
        <v>46242</v>
      </c>
      <c r="E456" t="s">
        <v>135</v>
      </c>
      <c r="F456" t="s">
        <v>75</v>
      </c>
      <c r="G456">
        <v>3.3711289800323798</v>
      </c>
      <c r="H456">
        <v>0</v>
      </c>
      <c r="I456">
        <v>10</v>
      </c>
      <c r="K456">
        <v>0</v>
      </c>
      <c r="L456">
        <v>46242</v>
      </c>
      <c r="M456" t="s">
        <v>207</v>
      </c>
      <c r="N456">
        <v>3.0449826989619369</v>
      </c>
      <c r="O456">
        <v>0</v>
      </c>
      <c r="P456">
        <v>0</v>
      </c>
      <c r="Q456">
        <v>0.9032530991836123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0.9032530991836123</v>
      </c>
      <c r="AB456">
        <v>9.6746900816387704E-2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1</v>
      </c>
      <c r="BI456">
        <v>0</v>
      </c>
      <c r="BJ456">
        <v>0</v>
      </c>
      <c r="BK456">
        <v>1.1071094036697251</v>
      </c>
      <c r="BL456">
        <v>0.1071094036697251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1</v>
      </c>
      <c r="CE456">
        <v>1</v>
      </c>
    </row>
    <row r="457" spans="1:83" x14ac:dyDescent="0.25">
      <c r="A457" t="s">
        <v>128</v>
      </c>
      <c r="B457" t="s">
        <v>146</v>
      </c>
      <c r="C457" t="s">
        <v>72</v>
      </c>
      <c r="D457" s="12">
        <v>46242</v>
      </c>
      <c r="E457" t="s">
        <v>135</v>
      </c>
      <c r="F457" t="s">
        <v>75</v>
      </c>
      <c r="G457">
        <v>3.3729492440604751</v>
      </c>
      <c r="H457">
        <v>0</v>
      </c>
      <c r="I457">
        <v>10</v>
      </c>
      <c r="J457">
        <v>1</v>
      </c>
      <c r="K457">
        <v>0</v>
      </c>
      <c r="L457">
        <v>46242</v>
      </c>
      <c r="M457" t="s">
        <v>207</v>
      </c>
      <c r="N457">
        <v>3.0449826989619369</v>
      </c>
      <c r="O457">
        <v>0</v>
      </c>
      <c r="P457">
        <v>0</v>
      </c>
      <c r="Q457">
        <v>0.9027656447318132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0.9027656447318132</v>
      </c>
      <c r="AB457">
        <v>9.7234355268186801E-2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1</v>
      </c>
      <c r="BI457">
        <v>0</v>
      </c>
      <c r="BJ457">
        <v>0</v>
      </c>
      <c r="BK457">
        <v>1.1077071949244064</v>
      </c>
      <c r="BL457">
        <v>0.10770719492440639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1</v>
      </c>
      <c r="CE457">
        <v>1</v>
      </c>
    </row>
    <row r="458" spans="1:83" x14ac:dyDescent="0.25">
      <c r="A458" t="s">
        <v>128</v>
      </c>
      <c r="B458" t="s">
        <v>145</v>
      </c>
      <c r="C458" t="s">
        <v>72</v>
      </c>
      <c r="D458" s="12">
        <v>46243</v>
      </c>
      <c r="E458" t="s">
        <v>135</v>
      </c>
      <c r="F458" t="s">
        <v>73</v>
      </c>
      <c r="G458">
        <v>3.507203196674312</v>
      </c>
      <c r="H458">
        <v>0</v>
      </c>
      <c r="I458">
        <v>10</v>
      </c>
      <c r="K458">
        <v>0</v>
      </c>
      <c r="L458">
        <v>46243</v>
      </c>
      <c r="M458" t="s">
        <v>206</v>
      </c>
      <c r="N458">
        <v>2.882352941176471</v>
      </c>
      <c r="O458">
        <v>0</v>
      </c>
      <c r="P458">
        <v>0</v>
      </c>
      <c r="Q458">
        <v>0.82183802293224639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0.82183802293224639</v>
      </c>
      <c r="AB458">
        <v>0.17816197706775361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1</v>
      </c>
      <c r="BI458">
        <v>0</v>
      </c>
      <c r="BJ458">
        <v>0</v>
      </c>
      <c r="BK458">
        <v>1.2167847825196592</v>
      </c>
      <c r="BL458">
        <v>0.21678478251965916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1</v>
      </c>
      <c r="CE458">
        <v>1</v>
      </c>
    </row>
    <row r="459" spans="1:83" x14ac:dyDescent="0.25">
      <c r="A459" t="s">
        <v>128</v>
      </c>
      <c r="B459" t="s">
        <v>146</v>
      </c>
      <c r="C459" t="s">
        <v>72</v>
      </c>
      <c r="D459" s="12">
        <v>46243</v>
      </c>
      <c r="E459" t="s">
        <v>135</v>
      </c>
      <c r="F459" t="s">
        <v>73</v>
      </c>
      <c r="G459">
        <v>3.5134887958963272</v>
      </c>
      <c r="H459">
        <v>0</v>
      </c>
      <c r="I459">
        <v>10</v>
      </c>
      <c r="J459">
        <v>1</v>
      </c>
      <c r="K459">
        <v>0</v>
      </c>
      <c r="L459">
        <v>46243</v>
      </c>
      <c r="M459" t="s">
        <v>206</v>
      </c>
      <c r="N459">
        <v>2.882352941176471</v>
      </c>
      <c r="O459">
        <v>0</v>
      </c>
      <c r="P459">
        <v>0</v>
      </c>
      <c r="Q459">
        <v>0.82036776224901919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0.82036776224901919</v>
      </c>
      <c r="AB459">
        <v>0.17963223775098081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1</v>
      </c>
      <c r="BI459">
        <v>0</v>
      </c>
      <c r="BJ459">
        <v>0</v>
      </c>
      <c r="BK459">
        <v>1.218965500617093</v>
      </c>
      <c r="BL459">
        <v>0.21896550061709297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1</v>
      </c>
      <c r="CE459">
        <v>1</v>
      </c>
    </row>
    <row r="460" spans="1:83" x14ac:dyDescent="0.25">
      <c r="A460" t="s">
        <v>128</v>
      </c>
      <c r="B460" t="s">
        <v>146</v>
      </c>
      <c r="C460" t="s">
        <v>72</v>
      </c>
      <c r="D460" s="12">
        <v>46243</v>
      </c>
      <c r="E460" t="s">
        <v>135</v>
      </c>
      <c r="F460" t="s">
        <v>74</v>
      </c>
      <c r="G460">
        <v>1.2742252699784016</v>
      </c>
      <c r="H460">
        <v>0</v>
      </c>
      <c r="I460">
        <v>10</v>
      </c>
      <c r="J460">
        <v>1</v>
      </c>
      <c r="K460">
        <v>0</v>
      </c>
      <c r="L460">
        <v>46243</v>
      </c>
      <c r="M460" t="s">
        <v>214</v>
      </c>
      <c r="N460">
        <v>0.94117647058823517</v>
      </c>
      <c r="O460">
        <v>0</v>
      </c>
      <c r="P460">
        <v>0</v>
      </c>
      <c r="Q460">
        <v>0.73862643659875649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0.73862643659875649</v>
      </c>
      <c r="AB460">
        <v>0.26137356340124351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I460">
        <v>0</v>
      </c>
      <c r="BJ460">
        <v>0</v>
      </c>
      <c r="BK460">
        <v>1.3538643493520519</v>
      </c>
      <c r="BL460">
        <v>0.35386434935205191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</row>
    <row r="461" spans="1:83" x14ac:dyDescent="0.25">
      <c r="A461" t="s">
        <v>128</v>
      </c>
      <c r="B461" t="s">
        <v>145</v>
      </c>
      <c r="C461" t="s">
        <v>72</v>
      </c>
      <c r="D461" s="12">
        <v>46243</v>
      </c>
      <c r="E461" t="s">
        <v>135</v>
      </c>
      <c r="F461" t="s">
        <v>74</v>
      </c>
      <c r="G461">
        <v>1.2735376146788993</v>
      </c>
      <c r="H461">
        <v>0</v>
      </c>
      <c r="I461">
        <v>10</v>
      </c>
      <c r="K461">
        <v>0</v>
      </c>
      <c r="L461">
        <v>46243</v>
      </c>
      <c r="M461" t="s">
        <v>214</v>
      </c>
      <c r="N461">
        <v>0.94117647058823517</v>
      </c>
      <c r="O461">
        <v>0</v>
      </c>
      <c r="P461">
        <v>0</v>
      </c>
      <c r="Q461">
        <v>0.73902526296840998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0.73902526296840998</v>
      </c>
      <c r="AB461">
        <v>0.26097473703159002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I461">
        <v>0</v>
      </c>
      <c r="BJ461">
        <v>0</v>
      </c>
      <c r="BK461">
        <v>1.3531337155963306</v>
      </c>
      <c r="BL461">
        <v>0.35313371559633056</v>
      </c>
      <c r="BM461">
        <v>0</v>
      </c>
      <c r="BN461">
        <v>0</v>
      </c>
      <c r="BO461">
        <v>0</v>
      </c>
      <c r="BP461">
        <v>0</v>
      </c>
      <c r="BQ461">
        <v>0</v>
      </c>
      <c r="BR461">
        <v>0</v>
      </c>
      <c r="BS461">
        <v>0</v>
      </c>
      <c r="BT461">
        <v>0</v>
      </c>
      <c r="BU461">
        <v>0</v>
      </c>
      <c r="BV461">
        <v>0</v>
      </c>
      <c r="BW461">
        <v>0</v>
      </c>
      <c r="BX461">
        <v>0</v>
      </c>
      <c r="BY461">
        <v>0</v>
      </c>
      <c r="BZ461">
        <v>0</v>
      </c>
      <c r="CA461">
        <v>0</v>
      </c>
      <c r="CB461">
        <v>0</v>
      </c>
      <c r="CC461">
        <v>0</v>
      </c>
      <c r="CD461">
        <v>0</v>
      </c>
      <c r="CE461">
        <v>0</v>
      </c>
    </row>
    <row r="462" spans="1:83" x14ac:dyDescent="0.25">
      <c r="A462" t="s">
        <v>128</v>
      </c>
      <c r="B462" t="s">
        <v>145</v>
      </c>
      <c r="C462" t="s">
        <v>72</v>
      </c>
      <c r="D462" s="12">
        <v>46243</v>
      </c>
      <c r="E462" t="s">
        <v>135</v>
      </c>
      <c r="F462" t="s">
        <v>75</v>
      </c>
      <c r="G462">
        <v>3.3711289800323798</v>
      </c>
      <c r="H462">
        <v>0</v>
      </c>
      <c r="I462">
        <v>10</v>
      </c>
      <c r="K462">
        <v>0</v>
      </c>
      <c r="L462">
        <v>46243</v>
      </c>
      <c r="M462" t="s">
        <v>205</v>
      </c>
      <c r="N462">
        <v>3.0449826989619369</v>
      </c>
      <c r="O462">
        <v>0</v>
      </c>
      <c r="P462">
        <v>0</v>
      </c>
      <c r="Q462">
        <v>0.9032530991836123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0.9032530991836123</v>
      </c>
      <c r="AB462">
        <v>9.6746900816387704E-2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1</v>
      </c>
      <c r="BI462">
        <v>0</v>
      </c>
      <c r="BJ462">
        <v>0</v>
      </c>
      <c r="BK462">
        <v>1.1071094036697251</v>
      </c>
      <c r="BL462">
        <v>0.1071094036697251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1</v>
      </c>
      <c r="CE462">
        <v>1</v>
      </c>
    </row>
    <row r="463" spans="1:83" x14ac:dyDescent="0.25">
      <c r="A463" t="s">
        <v>128</v>
      </c>
      <c r="B463" t="s">
        <v>146</v>
      </c>
      <c r="C463" t="s">
        <v>72</v>
      </c>
      <c r="D463" s="12">
        <v>46243</v>
      </c>
      <c r="E463" t="s">
        <v>135</v>
      </c>
      <c r="F463" t="s">
        <v>75</v>
      </c>
      <c r="G463">
        <v>3.3729492440604751</v>
      </c>
      <c r="H463">
        <v>0</v>
      </c>
      <c r="I463">
        <v>10</v>
      </c>
      <c r="J463">
        <v>1</v>
      </c>
      <c r="K463">
        <v>0</v>
      </c>
      <c r="L463">
        <v>46243</v>
      </c>
      <c r="M463" t="s">
        <v>205</v>
      </c>
      <c r="N463">
        <v>3.0449826989619369</v>
      </c>
      <c r="O463">
        <v>0</v>
      </c>
      <c r="P463">
        <v>0</v>
      </c>
      <c r="Q463">
        <v>0.9027656447318132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0.9027656447318132</v>
      </c>
      <c r="AB463">
        <v>9.7234355268186801E-2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1</v>
      </c>
      <c r="BI463">
        <v>0</v>
      </c>
      <c r="BJ463">
        <v>0</v>
      </c>
      <c r="BK463">
        <v>1.1077071949244064</v>
      </c>
      <c r="BL463">
        <v>0.10770719492440639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1</v>
      </c>
      <c r="CE463">
        <v>1</v>
      </c>
    </row>
    <row r="464" spans="1:83" x14ac:dyDescent="0.25">
      <c r="A464" t="s">
        <v>128</v>
      </c>
      <c r="B464" t="s">
        <v>145</v>
      </c>
      <c r="C464" t="s">
        <v>72</v>
      </c>
      <c r="D464" s="12">
        <v>46244</v>
      </c>
      <c r="E464" t="s">
        <v>135</v>
      </c>
      <c r="F464" t="s">
        <v>73</v>
      </c>
      <c r="G464">
        <v>3.507203196674312</v>
      </c>
      <c r="H464">
        <v>0</v>
      </c>
      <c r="I464">
        <v>10</v>
      </c>
      <c r="K464">
        <v>0</v>
      </c>
      <c r="L464">
        <v>46244</v>
      </c>
      <c r="M464" t="s">
        <v>203</v>
      </c>
      <c r="N464">
        <v>2.6443014705882351</v>
      </c>
      <c r="O464">
        <v>0</v>
      </c>
      <c r="P464">
        <v>0</v>
      </c>
      <c r="Q464">
        <v>0.75396300764543123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0.75396300764543123</v>
      </c>
      <c r="AB464">
        <v>0.24603699235456877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1</v>
      </c>
      <c r="BI464">
        <v>0</v>
      </c>
      <c r="BJ464">
        <v>0</v>
      </c>
      <c r="BK464">
        <v>1.3263250184155897</v>
      </c>
      <c r="BL464">
        <v>0.3263250184155897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0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1</v>
      </c>
      <c r="CE464">
        <v>1</v>
      </c>
    </row>
    <row r="465" spans="1:83" x14ac:dyDescent="0.25">
      <c r="A465" t="s">
        <v>128</v>
      </c>
      <c r="B465" t="s">
        <v>146</v>
      </c>
      <c r="C465" t="s">
        <v>72</v>
      </c>
      <c r="D465" s="12">
        <v>46244</v>
      </c>
      <c r="E465" t="s">
        <v>135</v>
      </c>
      <c r="F465" t="s">
        <v>73</v>
      </c>
      <c r="G465">
        <v>3.5134887958963272</v>
      </c>
      <c r="H465">
        <v>0</v>
      </c>
      <c r="I465">
        <v>10</v>
      </c>
      <c r="J465">
        <v>1</v>
      </c>
      <c r="K465">
        <v>0</v>
      </c>
      <c r="L465">
        <v>46244</v>
      </c>
      <c r="M465" t="s">
        <v>203</v>
      </c>
      <c r="N465">
        <v>2.6443014705882351</v>
      </c>
      <c r="O465">
        <v>0</v>
      </c>
      <c r="P465">
        <v>0</v>
      </c>
      <c r="Q465">
        <v>0.75261417474184555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0.75261417474184555</v>
      </c>
      <c r="AB465">
        <v>0.24738582525815445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1</v>
      </c>
      <c r="BI465">
        <v>0</v>
      </c>
      <c r="BJ465">
        <v>0</v>
      </c>
      <c r="BK465">
        <v>1.3287020542006271</v>
      </c>
      <c r="BL465">
        <v>0.32870205420062715</v>
      </c>
      <c r="BM465">
        <v>0</v>
      </c>
      <c r="BN465">
        <v>0</v>
      </c>
      <c r="BO465">
        <v>0</v>
      </c>
      <c r="BP465">
        <v>0</v>
      </c>
      <c r="BQ465">
        <v>0</v>
      </c>
      <c r="BR465">
        <v>0</v>
      </c>
      <c r="BS465">
        <v>0</v>
      </c>
      <c r="BT465">
        <v>0</v>
      </c>
      <c r="BU465">
        <v>0</v>
      </c>
      <c r="BV465">
        <v>0</v>
      </c>
      <c r="BW465">
        <v>0</v>
      </c>
      <c r="BX465">
        <v>0</v>
      </c>
      <c r="BY465">
        <v>0</v>
      </c>
      <c r="BZ465">
        <v>0</v>
      </c>
      <c r="CA465">
        <v>0</v>
      </c>
      <c r="CB465">
        <v>0</v>
      </c>
      <c r="CC465">
        <v>0</v>
      </c>
      <c r="CD465">
        <v>1</v>
      </c>
      <c r="CE465">
        <v>1</v>
      </c>
    </row>
    <row r="466" spans="1:83" x14ac:dyDescent="0.25">
      <c r="A466" t="s">
        <v>128</v>
      </c>
      <c r="B466" t="s">
        <v>145</v>
      </c>
      <c r="C466" t="s">
        <v>72</v>
      </c>
      <c r="D466" s="12">
        <v>46244</v>
      </c>
      <c r="E466" t="s">
        <v>135</v>
      </c>
      <c r="F466" t="s">
        <v>74</v>
      </c>
      <c r="G466">
        <v>1.2735376146788993</v>
      </c>
      <c r="H466">
        <v>0</v>
      </c>
      <c r="I466">
        <v>10</v>
      </c>
      <c r="K466">
        <v>0</v>
      </c>
      <c r="L466">
        <v>46244</v>
      </c>
      <c r="M466" t="s">
        <v>202</v>
      </c>
      <c r="N466">
        <v>0.94117647058823517</v>
      </c>
      <c r="O466">
        <v>0</v>
      </c>
      <c r="P466">
        <v>0</v>
      </c>
      <c r="Q466">
        <v>0.73902526296840998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0.73902526296840998</v>
      </c>
      <c r="AB466">
        <v>0.26097473703159002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0</v>
      </c>
      <c r="BI466">
        <v>0</v>
      </c>
      <c r="BJ466">
        <v>0</v>
      </c>
      <c r="BK466">
        <v>1.3531337155963306</v>
      </c>
      <c r="BL466">
        <v>0.35313371559633056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</row>
    <row r="467" spans="1:83" x14ac:dyDescent="0.25">
      <c r="A467" t="s">
        <v>128</v>
      </c>
      <c r="B467" t="s">
        <v>146</v>
      </c>
      <c r="C467" t="s">
        <v>72</v>
      </c>
      <c r="D467" s="12">
        <v>46244</v>
      </c>
      <c r="E467" t="s">
        <v>135</v>
      </c>
      <c r="F467" t="s">
        <v>74</v>
      </c>
      <c r="G467">
        <v>1.2742252699784016</v>
      </c>
      <c r="H467">
        <v>0</v>
      </c>
      <c r="I467">
        <v>10</v>
      </c>
      <c r="J467">
        <v>1</v>
      </c>
      <c r="K467">
        <v>0</v>
      </c>
      <c r="L467">
        <v>46244</v>
      </c>
      <c r="M467" t="s">
        <v>202</v>
      </c>
      <c r="N467">
        <v>0.94117647058823517</v>
      </c>
      <c r="O467">
        <v>0</v>
      </c>
      <c r="P467">
        <v>0</v>
      </c>
      <c r="Q467">
        <v>0.73862643659875649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0.73862643659875649</v>
      </c>
      <c r="AB467">
        <v>0.26137356340124351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I467">
        <v>0</v>
      </c>
      <c r="BJ467">
        <v>0</v>
      </c>
      <c r="BK467">
        <v>1.3538643493520519</v>
      </c>
      <c r="BL467">
        <v>0.35386434935205191</v>
      </c>
      <c r="BM467">
        <v>0</v>
      </c>
      <c r="BN467">
        <v>0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0</v>
      </c>
      <c r="BV467">
        <v>0</v>
      </c>
      <c r="BW467">
        <v>0</v>
      </c>
      <c r="BX467">
        <v>0</v>
      </c>
      <c r="BY467">
        <v>0</v>
      </c>
      <c r="BZ467">
        <v>0</v>
      </c>
      <c r="CA467">
        <v>0</v>
      </c>
      <c r="CB467">
        <v>0</v>
      </c>
      <c r="CC467">
        <v>0</v>
      </c>
      <c r="CD467">
        <v>0</v>
      </c>
      <c r="CE467">
        <v>0</v>
      </c>
    </row>
    <row r="468" spans="1:83" x14ac:dyDescent="0.25">
      <c r="A468" t="s">
        <v>128</v>
      </c>
      <c r="B468" t="s">
        <v>145</v>
      </c>
      <c r="C468" t="s">
        <v>72</v>
      </c>
      <c r="D468" s="12">
        <v>46244</v>
      </c>
      <c r="E468" t="s">
        <v>135</v>
      </c>
      <c r="F468" t="s">
        <v>75</v>
      </c>
      <c r="G468">
        <v>3.3711289800323798</v>
      </c>
      <c r="H468">
        <v>0</v>
      </c>
      <c r="I468">
        <v>10</v>
      </c>
      <c r="K468">
        <v>0</v>
      </c>
      <c r="L468">
        <v>46244</v>
      </c>
      <c r="M468" t="s">
        <v>201</v>
      </c>
      <c r="N468">
        <v>3.2102076124567458</v>
      </c>
      <c r="O468">
        <v>0</v>
      </c>
      <c r="P468">
        <v>0</v>
      </c>
      <c r="Q468">
        <v>0.95226484405408651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0.95226484405408651</v>
      </c>
      <c r="AB468">
        <v>4.7735155945913488E-2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1</v>
      </c>
      <c r="BI468">
        <v>0</v>
      </c>
      <c r="BJ468">
        <v>0</v>
      </c>
      <c r="BK468">
        <v>1.0501280250383813</v>
      </c>
      <c r="BL468">
        <v>5.0128025038381319E-2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1</v>
      </c>
      <c r="CE468">
        <v>1</v>
      </c>
    </row>
    <row r="469" spans="1:83" x14ac:dyDescent="0.25">
      <c r="A469" t="s">
        <v>128</v>
      </c>
      <c r="B469" t="s">
        <v>146</v>
      </c>
      <c r="C469" t="s">
        <v>72</v>
      </c>
      <c r="D469" s="12">
        <v>46244</v>
      </c>
      <c r="E469" t="s">
        <v>135</v>
      </c>
      <c r="F469" t="s">
        <v>75</v>
      </c>
      <c r="G469">
        <v>3.3729492440604751</v>
      </c>
      <c r="H469">
        <v>0</v>
      </c>
      <c r="I469">
        <v>10</v>
      </c>
      <c r="J469">
        <v>1</v>
      </c>
      <c r="K469">
        <v>0</v>
      </c>
      <c r="L469">
        <v>46244</v>
      </c>
      <c r="M469" t="s">
        <v>201</v>
      </c>
      <c r="N469">
        <v>3.2102076124567458</v>
      </c>
      <c r="O469">
        <v>0</v>
      </c>
      <c r="P469">
        <v>0</v>
      </c>
      <c r="Q469">
        <v>0.95175093965902224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0.95175093965902224</v>
      </c>
      <c r="AB469">
        <v>4.8249060340977756E-2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1</v>
      </c>
      <c r="BI469">
        <v>0</v>
      </c>
      <c r="BJ469">
        <v>0</v>
      </c>
      <c r="BK469">
        <v>1.0506950488100004</v>
      </c>
      <c r="BL469">
        <v>5.069504881000042E-2</v>
      </c>
      <c r="BM469">
        <v>0</v>
      </c>
      <c r="BN469">
        <v>0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0</v>
      </c>
      <c r="BU469">
        <v>0</v>
      </c>
      <c r="BV469">
        <v>0</v>
      </c>
      <c r="BW469">
        <v>0</v>
      </c>
      <c r="BX469">
        <v>0</v>
      </c>
      <c r="BY469">
        <v>0</v>
      </c>
      <c r="BZ469">
        <v>0</v>
      </c>
      <c r="CA469">
        <v>0</v>
      </c>
      <c r="CB469">
        <v>0</v>
      </c>
      <c r="CC469">
        <v>0</v>
      </c>
      <c r="CD469">
        <v>1</v>
      </c>
      <c r="CE469">
        <v>1</v>
      </c>
    </row>
    <row r="470" spans="1:83" x14ac:dyDescent="0.25">
      <c r="A470" t="s">
        <v>128</v>
      </c>
      <c r="B470" t="s">
        <v>146</v>
      </c>
      <c r="C470" t="s">
        <v>72</v>
      </c>
      <c r="D470" s="12">
        <v>46245</v>
      </c>
      <c r="E470" t="s">
        <v>135</v>
      </c>
      <c r="F470" t="s">
        <v>73</v>
      </c>
      <c r="G470">
        <v>7.0269775917926545</v>
      </c>
      <c r="H470">
        <v>0</v>
      </c>
      <c r="I470">
        <v>10</v>
      </c>
      <c r="J470">
        <v>1</v>
      </c>
      <c r="K470">
        <v>0</v>
      </c>
      <c r="L470">
        <v>46245</v>
      </c>
      <c r="M470" t="s">
        <v>200</v>
      </c>
      <c r="N470">
        <v>5.2297794117647056</v>
      </c>
      <c r="O470">
        <v>0</v>
      </c>
      <c r="P470">
        <v>0</v>
      </c>
      <c r="Q470">
        <v>0.74424307512705967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0.74424307512705967</v>
      </c>
      <c r="AB470">
        <v>0.25575692487294033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1</v>
      </c>
      <c r="BI470">
        <v>0</v>
      </c>
      <c r="BJ470">
        <v>0</v>
      </c>
      <c r="BK470">
        <v>1.3436470333691404</v>
      </c>
      <c r="BL470">
        <v>0.34364703336914038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1</v>
      </c>
      <c r="CE470">
        <v>1</v>
      </c>
    </row>
    <row r="471" spans="1:83" x14ac:dyDescent="0.25">
      <c r="A471" t="s">
        <v>128</v>
      </c>
      <c r="B471" t="s">
        <v>145</v>
      </c>
      <c r="C471" t="s">
        <v>72</v>
      </c>
      <c r="D471" s="12">
        <v>46245</v>
      </c>
      <c r="E471" t="s">
        <v>135</v>
      </c>
      <c r="F471" t="s">
        <v>73</v>
      </c>
      <c r="G471">
        <v>7.014406393348624</v>
      </c>
      <c r="H471">
        <v>0</v>
      </c>
      <c r="I471">
        <v>10</v>
      </c>
      <c r="K471">
        <v>0</v>
      </c>
      <c r="L471">
        <v>46245</v>
      </c>
      <c r="M471" t="s">
        <v>200</v>
      </c>
      <c r="N471">
        <v>5.2297794117647056</v>
      </c>
      <c r="O471">
        <v>0</v>
      </c>
      <c r="P471">
        <v>0</v>
      </c>
      <c r="Q471">
        <v>0.74557690537061239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0.74557690537061239</v>
      </c>
      <c r="AB471">
        <v>0.25442309462938761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1</v>
      </c>
      <c r="BI471">
        <v>0</v>
      </c>
      <c r="BJ471">
        <v>0</v>
      </c>
      <c r="BK471">
        <v>1.3412432611534804</v>
      </c>
      <c r="BL471">
        <v>0.34124326115348036</v>
      </c>
      <c r="BM471">
        <v>0</v>
      </c>
      <c r="BN471">
        <v>0</v>
      </c>
      <c r="BO471">
        <v>0</v>
      </c>
      <c r="BP471">
        <v>0</v>
      </c>
      <c r="BQ471">
        <v>0</v>
      </c>
      <c r="BR471">
        <v>0</v>
      </c>
      <c r="BS471">
        <v>0</v>
      </c>
      <c r="BT471">
        <v>0</v>
      </c>
      <c r="BU471">
        <v>0</v>
      </c>
      <c r="BV471">
        <v>0</v>
      </c>
      <c r="BW471">
        <v>0</v>
      </c>
      <c r="BX471">
        <v>0</v>
      </c>
      <c r="BY471">
        <v>0</v>
      </c>
      <c r="BZ471">
        <v>0</v>
      </c>
      <c r="CA471">
        <v>0</v>
      </c>
      <c r="CB471">
        <v>0</v>
      </c>
      <c r="CC471">
        <v>0</v>
      </c>
      <c r="CD471">
        <v>1</v>
      </c>
      <c r="CE471">
        <v>1</v>
      </c>
    </row>
    <row r="472" spans="1:83" x14ac:dyDescent="0.25">
      <c r="A472" t="s">
        <v>128</v>
      </c>
      <c r="B472" t="s">
        <v>146</v>
      </c>
      <c r="C472" t="s">
        <v>72</v>
      </c>
      <c r="D472" s="12">
        <v>46245</v>
      </c>
      <c r="E472" t="s">
        <v>135</v>
      </c>
      <c r="F472" t="s">
        <v>74</v>
      </c>
      <c r="G472">
        <v>1.2742252699784016</v>
      </c>
      <c r="H472">
        <v>0</v>
      </c>
      <c r="I472">
        <v>10</v>
      </c>
      <c r="J472">
        <v>1</v>
      </c>
      <c r="K472">
        <v>0</v>
      </c>
      <c r="L472">
        <v>46245</v>
      </c>
      <c r="M472" t="s">
        <v>199</v>
      </c>
      <c r="N472">
        <v>0.94117647058823517</v>
      </c>
      <c r="O472">
        <v>0</v>
      </c>
      <c r="P472">
        <v>0</v>
      </c>
      <c r="Q472">
        <v>0.73862643659875649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0.73862643659875649</v>
      </c>
      <c r="AB472">
        <v>0.26137356340124351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I472">
        <v>0</v>
      </c>
      <c r="BJ472">
        <v>0</v>
      </c>
      <c r="BK472">
        <v>1.3538643493520519</v>
      </c>
      <c r="BL472">
        <v>0.35386434935205191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0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0</v>
      </c>
    </row>
    <row r="473" spans="1:83" x14ac:dyDescent="0.25">
      <c r="A473" t="s">
        <v>128</v>
      </c>
      <c r="B473" t="s">
        <v>145</v>
      </c>
      <c r="C473" t="s">
        <v>72</v>
      </c>
      <c r="D473" s="12">
        <v>46245</v>
      </c>
      <c r="E473" t="s">
        <v>135</v>
      </c>
      <c r="F473" t="s">
        <v>74</v>
      </c>
      <c r="G473">
        <v>1.2735376146788993</v>
      </c>
      <c r="H473">
        <v>0</v>
      </c>
      <c r="I473">
        <v>10</v>
      </c>
      <c r="K473">
        <v>0</v>
      </c>
      <c r="L473">
        <v>46245</v>
      </c>
      <c r="M473" t="s">
        <v>199</v>
      </c>
      <c r="N473">
        <v>0.94117647058823517</v>
      </c>
      <c r="O473">
        <v>0</v>
      </c>
      <c r="P473">
        <v>0</v>
      </c>
      <c r="Q473">
        <v>0.73902526296840998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0.73902526296840998</v>
      </c>
      <c r="AB473">
        <v>0.26097473703159002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I473">
        <v>0</v>
      </c>
      <c r="BJ473">
        <v>0</v>
      </c>
      <c r="BK473">
        <v>1.3531337155963306</v>
      </c>
      <c r="BL473">
        <v>0.35313371559633056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</row>
    <row r="474" spans="1:83" x14ac:dyDescent="0.25">
      <c r="A474" t="s">
        <v>128</v>
      </c>
      <c r="B474" t="s">
        <v>146</v>
      </c>
      <c r="C474" t="s">
        <v>72</v>
      </c>
      <c r="D474" s="12">
        <v>46245</v>
      </c>
      <c r="E474" t="s">
        <v>135</v>
      </c>
      <c r="F474" t="s">
        <v>75</v>
      </c>
      <c r="G474">
        <v>3.3729492440604751</v>
      </c>
      <c r="H474">
        <v>0</v>
      </c>
      <c r="I474">
        <v>10</v>
      </c>
      <c r="J474">
        <v>1</v>
      </c>
      <c r="K474">
        <v>0</v>
      </c>
      <c r="L474">
        <v>46245</v>
      </c>
      <c r="M474" t="s">
        <v>198</v>
      </c>
      <c r="N474">
        <v>3.5415224913494798</v>
      </c>
      <c r="O474">
        <v>0</v>
      </c>
      <c r="P474">
        <v>0</v>
      </c>
      <c r="Q474">
        <v>1.0499779970261487</v>
      </c>
      <c r="R474">
        <v>4.9977997026148691E-2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1</v>
      </c>
      <c r="AK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1</v>
      </c>
      <c r="BH474">
        <v>1</v>
      </c>
      <c r="BI474">
        <v>0</v>
      </c>
      <c r="BJ474">
        <v>0</v>
      </c>
      <c r="BK474">
        <v>0.95240091014506856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4.7599089854931442E-2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0.95240091014506856</v>
      </c>
      <c r="CE474">
        <v>0</v>
      </c>
    </row>
    <row r="475" spans="1:83" x14ac:dyDescent="0.25">
      <c r="A475" t="s">
        <v>128</v>
      </c>
      <c r="B475" t="s">
        <v>145</v>
      </c>
      <c r="C475" t="s">
        <v>72</v>
      </c>
      <c r="D475" s="12">
        <v>46245</v>
      </c>
      <c r="E475" t="s">
        <v>135</v>
      </c>
      <c r="F475" t="s">
        <v>75</v>
      </c>
      <c r="G475">
        <v>3.3711289800323798</v>
      </c>
      <c r="H475">
        <v>0</v>
      </c>
      <c r="I475">
        <v>10</v>
      </c>
      <c r="K475">
        <v>0</v>
      </c>
      <c r="L475">
        <v>46245</v>
      </c>
      <c r="M475" t="s">
        <v>198</v>
      </c>
      <c r="N475">
        <v>3.5415224913494798</v>
      </c>
      <c r="O475">
        <v>0</v>
      </c>
      <c r="P475">
        <v>0</v>
      </c>
      <c r="Q475">
        <v>1.0505449397891218</v>
      </c>
      <c r="R475">
        <v>5.0544939789121779E-2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1</v>
      </c>
      <c r="AK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1</v>
      </c>
      <c r="BH475">
        <v>1</v>
      </c>
      <c r="BI475">
        <v>0</v>
      </c>
      <c r="BJ475">
        <v>0</v>
      </c>
      <c r="BK475">
        <v>0.95188693231984178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4.8113067680158217E-2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0.95188693231984178</v>
      </c>
      <c r="CE475">
        <v>0</v>
      </c>
    </row>
    <row r="476" spans="1:83" x14ac:dyDescent="0.25">
      <c r="A476" t="s">
        <v>128</v>
      </c>
      <c r="B476" t="s">
        <v>145</v>
      </c>
      <c r="C476" t="s">
        <v>72</v>
      </c>
      <c r="D476" s="12">
        <v>46246</v>
      </c>
      <c r="E476" t="s">
        <v>135</v>
      </c>
      <c r="F476" t="s">
        <v>73</v>
      </c>
      <c r="G476">
        <v>5.8204648795871554</v>
      </c>
      <c r="H476">
        <v>0</v>
      </c>
      <c r="I476">
        <v>10</v>
      </c>
      <c r="K476">
        <v>0</v>
      </c>
      <c r="L476">
        <v>46246</v>
      </c>
      <c r="M476" t="s">
        <v>197</v>
      </c>
      <c r="N476">
        <v>4.2886029411764692</v>
      </c>
      <c r="O476">
        <v>0</v>
      </c>
      <c r="P476">
        <v>0</v>
      </c>
      <c r="Q476">
        <v>0.73681450363474388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0.73681450363474388</v>
      </c>
      <c r="AB476">
        <v>0.26318549636525612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1</v>
      </c>
      <c r="BI476">
        <v>0</v>
      </c>
      <c r="BJ476">
        <v>0</v>
      </c>
      <c r="BK476">
        <v>1.3571936967404259</v>
      </c>
      <c r="BL476">
        <v>0.35719369674042589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1</v>
      </c>
      <c r="CE476">
        <v>1</v>
      </c>
    </row>
    <row r="477" spans="1:83" x14ac:dyDescent="0.25">
      <c r="A477" t="s">
        <v>128</v>
      </c>
      <c r="B477" t="s">
        <v>146</v>
      </c>
      <c r="C477" t="s">
        <v>72</v>
      </c>
      <c r="D477" s="12">
        <v>46246</v>
      </c>
      <c r="E477" t="s">
        <v>135</v>
      </c>
      <c r="F477" t="s">
        <v>73</v>
      </c>
      <c r="G477">
        <v>5.8323914011879037</v>
      </c>
      <c r="H477">
        <v>0</v>
      </c>
      <c r="I477">
        <v>10</v>
      </c>
      <c r="J477">
        <v>1</v>
      </c>
      <c r="K477">
        <v>0</v>
      </c>
      <c r="L477">
        <v>46246</v>
      </c>
      <c r="M477" t="s">
        <v>197</v>
      </c>
      <c r="N477">
        <v>4.2886029411764692</v>
      </c>
      <c r="O477">
        <v>0</v>
      </c>
      <c r="P477">
        <v>0</v>
      </c>
      <c r="Q477">
        <v>0.73530780878371682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0.73530780878371682</v>
      </c>
      <c r="AB477">
        <v>0.26469219121628318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1</v>
      </c>
      <c r="BI477">
        <v>0</v>
      </c>
      <c r="BJ477">
        <v>0</v>
      </c>
      <c r="BK477">
        <v>1.3599746773451438</v>
      </c>
      <c r="BL477">
        <v>0.35997467734514377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1</v>
      </c>
      <c r="CE477">
        <v>1</v>
      </c>
    </row>
    <row r="478" spans="1:83" x14ac:dyDescent="0.25">
      <c r="A478" t="s">
        <v>128</v>
      </c>
      <c r="B478" t="s">
        <v>145</v>
      </c>
      <c r="C478" t="s">
        <v>72</v>
      </c>
      <c r="D478" s="12">
        <v>46246</v>
      </c>
      <c r="E478" t="s">
        <v>135</v>
      </c>
      <c r="F478" t="s">
        <v>74</v>
      </c>
      <c r="G478">
        <v>1.2735376146788993</v>
      </c>
      <c r="H478">
        <v>0</v>
      </c>
      <c r="I478">
        <v>10</v>
      </c>
      <c r="K478">
        <v>0</v>
      </c>
      <c r="L478">
        <v>46246</v>
      </c>
      <c r="M478" t="s">
        <v>196</v>
      </c>
      <c r="N478">
        <v>0.94117647058823517</v>
      </c>
      <c r="O478">
        <v>0</v>
      </c>
      <c r="P478">
        <v>0</v>
      </c>
      <c r="Q478">
        <v>0.73902526296840998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0.73902526296840998</v>
      </c>
      <c r="AB478">
        <v>0.26097473703159002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  <c r="BI478">
        <v>0</v>
      </c>
      <c r="BJ478">
        <v>0</v>
      </c>
      <c r="BK478">
        <v>1.3531337155963306</v>
      </c>
      <c r="BL478">
        <v>0.35313371559633056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0</v>
      </c>
    </row>
    <row r="479" spans="1:83" x14ac:dyDescent="0.25">
      <c r="A479" t="s">
        <v>128</v>
      </c>
      <c r="B479" t="s">
        <v>146</v>
      </c>
      <c r="C479" t="s">
        <v>72</v>
      </c>
      <c r="D479" s="12">
        <v>46246</v>
      </c>
      <c r="E479" t="s">
        <v>135</v>
      </c>
      <c r="F479" t="s">
        <v>74</v>
      </c>
      <c r="G479">
        <v>1.2742252699784016</v>
      </c>
      <c r="H479">
        <v>0</v>
      </c>
      <c r="I479">
        <v>10</v>
      </c>
      <c r="J479">
        <v>1</v>
      </c>
      <c r="K479">
        <v>0</v>
      </c>
      <c r="L479">
        <v>46246</v>
      </c>
      <c r="M479" t="s">
        <v>196</v>
      </c>
      <c r="N479">
        <v>0.94117647058823517</v>
      </c>
      <c r="O479">
        <v>0</v>
      </c>
      <c r="P479">
        <v>0</v>
      </c>
      <c r="Q479">
        <v>0.73862643659875649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0.73862643659875649</v>
      </c>
      <c r="AB479">
        <v>0.26137356340124351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I479">
        <v>0</v>
      </c>
      <c r="BJ479">
        <v>0</v>
      </c>
      <c r="BK479">
        <v>1.3538643493520519</v>
      </c>
      <c r="BL479">
        <v>0.35386434935205191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</row>
    <row r="480" spans="1:83" x14ac:dyDescent="0.25">
      <c r="A480" t="s">
        <v>128</v>
      </c>
      <c r="B480" t="s">
        <v>145</v>
      </c>
      <c r="C480" t="s">
        <v>72</v>
      </c>
      <c r="D480" s="12">
        <v>46246</v>
      </c>
      <c r="E480" t="s">
        <v>135</v>
      </c>
      <c r="F480" t="s">
        <v>75</v>
      </c>
      <c r="G480">
        <v>2.2474193200215873</v>
      </c>
      <c r="H480">
        <v>0</v>
      </c>
      <c r="I480">
        <v>10</v>
      </c>
      <c r="K480">
        <v>0</v>
      </c>
      <c r="L480">
        <v>46246</v>
      </c>
      <c r="M480" t="s">
        <v>204</v>
      </c>
      <c r="N480">
        <v>2.5449826989619373</v>
      </c>
      <c r="O480">
        <v>0</v>
      </c>
      <c r="P480">
        <v>0</v>
      </c>
      <c r="Q480">
        <v>1.1324022519026364</v>
      </c>
      <c r="R480">
        <v>0.13240225190263644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1</v>
      </c>
      <c r="AK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1</v>
      </c>
      <c r="BH480">
        <v>1</v>
      </c>
      <c r="BI480">
        <v>0</v>
      </c>
      <c r="BJ480">
        <v>0</v>
      </c>
      <c r="BK480">
        <v>0.88307842758156196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0.11692157241843804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0.88307842758156196</v>
      </c>
      <c r="CE480">
        <v>0</v>
      </c>
    </row>
    <row r="481" spans="1:83" x14ac:dyDescent="0.25">
      <c r="A481" t="s">
        <v>128</v>
      </c>
      <c r="B481" t="s">
        <v>146</v>
      </c>
      <c r="C481" t="s">
        <v>72</v>
      </c>
      <c r="D481" s="12">
        <v>46246</v>
      </c>
      <c r="E481" t="s">
        <v>135</v>
      </c>
      <c r="F481" t="s">
        <v>75</v>
      </c>
      <c r="G481">
        <v>2.2486328293736499</v>
      </c>
      <c r="H481">
        <v>0</v>
      </c>
      <c r="I481">
        <v>10</v>
      </c>
      <c r="J481">
        <v>1</v>
      </c>
      <c r="K481">
        <v>0</v>
      </c>
      <c r="L481">
        <v>46246</v>
      </c>
      <c r="M481" t="s">
        <v>204</v>
      </c>
      <c r="N481">
        <v>2.5449826989619373</v>
      </c>
      <c r="O481">
        <v>0</v>
      </c>
      <c r="P481">
        <v>0</v>
      </c>
      <c r="Q481">
        <v>1.1317911335799695</v>
      </c>
      <c r="R481">
        <v>0.13179113357996952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1</v>
      </c>
      <c r="AK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1</v>
      </c>
      <c r="BH481">
        <v>1</v>
      </c>
      <c r="BI481">
        <v>0</v>
      </c>
      <c r="BJ481">
        <v>0</v>
      </c>
      <c r="BK481">
        <v>0.88355525178651928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0.11644474821348072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0.88355525178651928</v>
      </c>
      <c r="CE481">
        <v>0</v>
      </c>
    </row>
    <row r="482" spans="1:83" x14ac:dyDescent="0.25">
      <c r="A482" t="s">
        <v>128</v>
      </c>
      <c r="B482" t="s">
        <v>145</v>
      </c>
      <c r="C482" t="s">
        <v>72</v>
      </c>
      <c r="D482" s="12">
        <v>46247</v>
      </c>
      <c r="E482" t="s">
        <v>135</v>
      </c>
      <c r="F482" t="s">
        <v>73</v>
      </c>
      <c r="G482">
        <v>5.7458435349770651</v>
      </c>
      <c r="H482">
        <v>0</v>
      </c>
      <c r="I482">
        <v>10</v>
      </c>
      <c r="K482">
        <v>0</v>
      </c>
      <c r="L482">
        <v>46247</v>
      </c>
      <c r="M482" t="s">
        <v>177</v>
      </c>
      <c r="N482">
        <v>4.1104779411764714</v>
      </c>
      <c r="O482">
        <v>0</v>
      </c>
      <c r="P482">
        <v>0</v>
      </c>
      <c r="Q482">
        <v>0.71538285304054638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0.71538285304054638</v>
      </c>
      <c r="AB482">
        <v>0.28461714695945362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1</v>
      </c>
      <c r="BI482">
        <v>0</v>
      </c>
      <c r="BJ482">
        <v>0</v>
      </c>
      <c r="BK482">
        <v>1.3978529059646361</v>
      </c>
      <c r="BL482">
        <v>0.39785290596463607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1</v>
      </c>
      <c r="CE482">
        <v>1</v>
      </c>
    </row>
    <row r="483" spans="1:83" x14ac:dyDescent="0.25">
      <c r="A483" t="s">
        <v>128</v>
      </c>
      <c r="B483" t="s">
        <v>146</v>
      </c>
      <c r="C483" t="s">
        <v>72</v>
      </c>
      <c r="D483" s="12">
        <v>46247</v>
      </c>
      <c r="E483" t="s">
        <v>135</v>
      </c>
      <c r="F483" t="s">
        <v>73</v>
      </c>
      <c r="G483">
        <v>5.7621216252699776</v>
      </c>
      <c r="H483">
        <v>0</v>
      </c>
      <c r="I483">
        <v>10</v>
      </c>
      <c r="J483">
        <v>1</v>
      </c>
      <c r="K483">
        <v>0</v>
      </c>
      <c r="L483">
        <v>46247</v>
      </c>
      <c r="M483" t="s">
        <v>177</v>
      </c>
      <c r="N483">
        <v>4.1104779411764714</v>
      </c>
      <c r="O483">
        <v>0</v>
      </c>
      <c r="P483">
        <v>0</v>
      </c>
      <c r="Q483">
        <v>0.71336188447495319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0.71336188447495319</v>
      </c>
      <c r="AB483">
        <v>0.28663811552504681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1</v>
      </c>
      <c r="BI483">
        <v>0</v>
      </c>
      <c r="BJ483">
        <v>0</v>
      </c>
      <c r="BK483">
        <v>1.4018130513603448</v>
      </c>
      <c r="BL483">
        <v>0.40181305136034484</v>
      </c>
      <c r="BM483">
        <v>0</v>
      </c>
      <c r="BN483">
        <v>0</v>
      </c>
      <c r="BO483">
        <v>0</v>
      </c>
      <c r="BP483">
        <v>0</v>
      </c>
      <c r="BQ483">
        <v>0</v>
      </c>
      <c r="BR483">
        <v>0</v>
      </c>
      <c r="BS483">
        <v>0</v>
      </c>
      <c r="BT483">
        <v>0</v>
      </c>
      <c r="BU483">
        <v>0</v>
      </c>
      <c r="BV483">
        <v>0</v>
      </c>
      <c r="BW483">
        <v>0</v>
      </c>
      <c r="BX483">
        <v>0</v>
      </c>
      <c r="BY483">
        <v>0</v>
      </c>
      <c r="BZ483">
        <v>0</v>
      </c>
      <c r="CA483">
        <v>0</v>
      </c>
      <c r="CB483">
        <v>0</v>
      </c>
      <c r="CC483">
        <v>0</v>
      </c>
      <c r="CD483">
        <v>1</v>
      </c>
      <c r="CE483">
        <v>1</v>
      </c>
    </row>
    <row r="484" spans="1:83" x14ac:dyDescent="0.25">
      <c r="A484" t="s">
        <v>128</v>
      </c>
      <c r="B484" t="s">
        <v>146</v>
      </c>
      <c r="C484" t="s">
        <v>72</v>
      </c>
      <c r="D484" s="12">
        <v>46247</v>
      </c>
      <c r="E484" t="s">
        <v>135</v>
      </c>
      <c r="F484" t="s">
        <v>74</v>
      </c>
      <c r="G484">
        <v>1.2742252699784016</v>
      </c>
      <c r="H484">
        <v>0</v>
      </c>
      <c r="I484">
        <v>10</v>
      </c>
      <c r="J484">
        <v>1</v>
      </c>
      <c r="K484">
        <v>0</v>
      </c>
      <c r="L484">
        <v>46247</v>
      </c>
      <c r="M484" t="s">
        <v>165</v>
      </c>
      <c r="N484">
        <v>0.94117647058823517</v>
      </c>
      <c r="O484">
        <v>0</v>
      </c>
      <c r="P484">
        <v>0</v>
      </c>
      <c r="Q484">
        <v>0.73862643659875649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0.73862643659875649</v>
      </c>
      <c r="AB484">
        <v>0.26137356340124351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  <c r="BI484">
        <v>0</v>
      </c>
      <c r="BJ484">
        <v>0</v>
      </c>
      <c r="BK484">
        <v>1.3538643493520519</v>
      </c>
      <c r="BL484">
        <v>0.35386434935205191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0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0</v>
      </c>
    </row>
    <row r="485" spans="1:83" x14ac:dyDescent="0.25">
      <c r="A485" t="s">
        <v>128</v>
      </c>
      <c r="B485" t="s">
        <v>145</v>
      </c>
      <c r="C485" t="s">
        <v>72</v>
      </c>
      <c r="D485" s="12">
        <v>46247</v>
      </c>
      <c r="E485" t="s">
        <v>135</v>
      </c>
      <c r="F485" t="s">
        <v>74</v>
      </c>
      <c r="G485">
        <v>1.2735376146788993</v>
      </c>
      <c r="H485">
        <v>0</v>
      </c>
      <c r="I485">
        <v>10</v>
      </c>
      <c r="K485">
        <v>0</v>
      </c>
      <c r="L485">
        <v>46247</v>
      </c>
      <c r="M485" t="s">
        <v>165</v>
      </c>
      <c r="N485">
        <v>0.94117647058823517</v>
      </c>
      <c r="O485">
        <v>0</v>
      </c>
      <c r="P485">
        <v>0</v>
      </c>
      <c r="Q485">
        <v>0.73902526296840998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0.73902526296840998</v>
      </c>
      <c r="AB485">
        <v>0.26097473703159002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  <c r="BI485">
        <v>0</v>
      </c>
      <c r="BJ485">
        <v>0</v>
      </c>
      <c r="BK485">
        <v>1.3531337155963306</v>
      </c>
      <c r="BL485">
        <v>0.35313371559633056</v>
      </c>
      <c r="BM485">
        <v>0</v>
      </c>
      <c r="BN485">
        <v>0</v>
      </c>
      <c r="BO485">
        <v>0</v>
      </c>
      <c r="BP485">
        <v>0</v>
      </c>
      <c r="BQ485">
        <v>0</v>
      </c>
      <c r="BR485">
        <v>0</v>
      </c>
      <c r="BS485">
        <v>0</v>
      </c>
      <c r="BT485">
        <v>0</v>
      </c>
      <c r="BU485">
        <v>0</v>
      </c>
      <c r="BV485">
        <v>0</v>
      </c>
      <c r="BW485">
        <v>0</v>
      </c>
      <c r="BX485">
        <v>0</v>
      </c>
      <c r="BY485">
        <v>0</v>
      </c>
      <c r="BZ485">
        <v>0</v>
      </c>
      <c r="CA485">
        <v>0</v>
      </c>
      <c r="CB485">
        <v>0</v>
      </c>
      <c r="CC485">
        <v>0</v>
      </c>
      <c r="CD485">
        <v>0</v>
      </c>
      <c r="CE485">
        <v>0</v>
      </c>
    </row>
    <row r="486" spans="1:83" x14ac:dyDescent="0.25">
      <c r="A486" t="s">
        <v>128</v>
      </c>
      <c r="B486" t="s">
        <v>145</v>
      </c>
      <c r="C486" t="s">
        <v>72</v>
      </c>
      <c r="D486" s="12">
        <v>46247</v>
      </c>
      <c r="E486" t="s">
        <v>135</v>
      </c>
      <c r="F486" t="s">
        <v>75</v>
      </c>
      <c r="G486">
        <v>3.3711289800323798</v>
      </c>
      <c r="H486">
        <v>0</v>
      </c>
      <c r="I486">
        <v>10</v>
      </c>
      <c r="K486">
        <v>0</v>
      </c>
      <c r="L486">
        <v>46247</v>
      </c>
      <c r="M486" t="s">
        <v>164</v>
      </c>
      <c r="N486">
        <v>3.5949826989619371</v>
      </c>
      <c r="O486">
        <v>0</v>
      </c>
      <c r="P486">
        <v>0</v>
      </c>
      <c r="Q486">
        <v>1.0664031902236524</v>
      </c>
      <c r="R486">
        <v>6.6403190223652375E-2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1</v>
      </c>
      <c r="AK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1</v>
      </c>
      <c r="BH486">
        <v>1</v>
      </c>
      <c r="BI486">
        <v>0</v>
      </c>
      <c r="BJ486">
        <v>0</v>
      </c>
      <c r="BK486">
        <v>0.93773162830680779</v>
      </c>
      <c r="BL486">
        <v>0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0</v>
      </c>
      <c r="BU486">
        <v>0</v>
      </c>
      <c r="BV486">
        <v>6.2268371693192215E-2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0.93773162830680779</v>
      </c>
      <c r="CE486">
        <v>0</v>
      </c>
    </row>
    <row r="487" spans="1:83" x14ac:dyDescent="0.25">
      <c r="A487" t="s">
        <v>128</v>
      </c>
      <c r="B487" t="s">
        <v>146</v>
      </c>
      <c r="C487" t="s">
        <v>72</v>
      </c>
      <c r="D487" s="12">
        <v>46247</v>
      </c>
      <c r="E487" t="s">
        <v>135</v>
      </c>
      <c r="F487" t="s">
        <v>75</v>
      </c>
      <c r="G487">
        <v>3.3729492440604751</v>
      </c>
      <c r="H487">
        <v>0</v>
      </c>
      <c r="I487">
        <v>10</v>
      </c>
      <c r="J487">
        <v>1</v>
      </c>
      <c r="K487">
        <v>0</v>
      </c>
      <c r="L487">
        <v>46247</v>
      </c>
      <c r="M487" t="s">
        <v>164</v>
      </c>
      <c r="N487">
        <v>3.5949826989619371</v>
      </c>
      <c r="O487">
        <v>0</v>
      </c>
      <c r="P487">
        <v>0</v>
      </c>
      <c r="Q487">
        <v>1.0658276893114971</v>
      </c>
      <c r="R487">
        <v>6.5827689311497073E-2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1</v>
      </c>
      <c r="AK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1</v>
      </c>
      <c r="BH487">
        <v>1</v>
      </c>
      <c r="BI487">
        <v>0</v>
      </c>
      <c r="BJ487">
        <v>0</v>
      </c>
      <c r="BK487">
        <v>0.9382379628793277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6.1762037120672297E-2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0.9382379628793277</v>
      </c>
      <c r="CE487">
        <v>0</v>
      </c>
    </row>
    <row r="488" spans="1:83" x14ac:dyDescent="0.25">
      <c r="A488" t="s">
        <v>128</v>
      </c>
      <c r="B488" t="s">
        <v>146</v>
      </c>
      <c r="C488" t="s">
        <v>72</v>
      </c>
      <c r="D488" s="12">
        <v>46248</v>
      </c>
      <c r="E488" t="s">
        <v>135</v>
      </c>
      <c r="F488" t="s">
        <v>73</v>
      </c>
      <c r="G488">
        <v>4.5675354346652259</v>
      </c>
      <c r="H488">
        <v>0</v>
      </c>
      <c r="I488">
        <v>10</v>
      </c>
      <c r="J488">
        <v>1</v>
      </c>
      <c r="K488">
        <v>0</v>
      </c>
      <c r="L488">
        <v>46248</v>
      </c>
      <c r="M488" t="s">
        <v>162</v>
      </c>
      <c r="N488">
        <v>3.1104779411764705</v>
      </c>
      <c r="O488">
        <v>0</v>
      </c>
      <c r="P488">
        <v>0</v>
      </c>
      <c r="Q488">
        <v>0.68099700279707864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0.68099700279707864</v>
      </c>
      <c r="AB488">
        <v>0.31900299720292136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1</v>
      </c>
      <c r="BI488">
        <v>0</v>
      </c>
      <c r="BJ488">
        <v>0</v>
      </c>
      <c r="BK488">
        <v>1.4684352440505188</v>
      </c>
      <c r="BL488">
        <v>0.46843524405051884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1</v>
      </c>
      <c r="CE488">
        <v>1</v>
      </c>
    </row>
    <row r="489" spans="1:83" x14ac:dyDescent="0.25">
      <c r="A489" t="s">
        <v>128</v>
      </c>
      <c r="B489" t="s">
        <v>145</v>
      </c>
      <c r="C489" t="s">
        <v>72</v>
      </c>
      <c r="D489" s="12">
        <v>46248</v>
      </c>
      <c r="E489" t="s">
        <v>135</v>
      </c>
      <c r="F489" t="s">
        <v>73</v>
      </c>
      <c r="G489">
        <v>4.5519020212155956</v>
      </c>
      <c r="H489">
        <v>0</v>
      </c>
      <c r="I489">
        <v>10</v>
      </c>
      <c r="K489">
        <v>0</v>
      </c>
      <c r="L489">
        <v>46248</v>
      </c>
      <c r="M489" t="s">
        <v>162</v>
      </c>
      <c r="N489">
        <v>3.1104779411764705</v>
      </c>
      <c r="O489">
        <v>0</v>
      </c>
      <c r="P489">
        <v>0</v>
      </c>
      <c r="Q489">
        <v>0.68333587293379627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0.68333587293379627</v>
      </c>
      <c r="AB489">
        <v>0.31666412706620373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1</v>
      </c>
      <c r="BI489">
        <v>0</v>
      </c>
      <c r="BJ489">
        <v>0</v>
      </c>
      <c r="BK489">
        <v>1.4634091954029218</v>
      </c>
      <c r="BL489">
        <v>0.4634091954029218</v>
      </c>
      <c r="BM489">
        <v>0</v>
      </c>
      <c r="BN489">
        <v>0</v>
      </c>
      <c r="BO489">
        <v>0</v>
      </c>
      <c r="BP489">
        <v>0</v>
      </c>
      <c r="BQ489">
        <v>0</v>
      </c>
      <c r="BR489">
        <v>0</v>
      </c>
      <c r="BS489">
        <v>0</v>
      </c>
      <c r="BT489">
        <v>0</v>
      </c>
      <c r="BU489">
        <v>0</v>
      </c>
      <c r="BV489">
        <v>0</v>
      </c>
      <c r="BW489">
        <v>0</v>
      </c>
      <c r="BX489">
        <v>0</v>
      </c>
      <c r="BY489">
        <v>0</v>
      </c>
      <c r="BZ489">
        <v>0</v>
      </c>
      <c r="CA489">
        <v>0</v>
      </c>
      <c r="CB489">
        <v>0</v>
      </c>
      <c r="CC489">
        <v>0</v>
      </c>
      <c r="CD489">
        <v>1</v>
      </c>
      <c r="CE489">
        <v>1</v>
      </c>
    </row>
    <row r="490" spans="1:83" x14ac:dyDescent="0.25">
      <c r="A490" t="s">
        <v>128</v>
      </c>
      <c r="B490" t="s">
        <v>146</v>
      </c>
      <c r="C490" t="s">
        <v>72</v>
      </c>
      <c r="D490" s="12">
        <v>46248</v>
      </c>
      <c r="E490" t="s">
        <v>135</v>
      </c>
      <c r="F490" t="s">
        <v>74</v>
      </c>
      <c r="G490">
        <v>1.2742252699784016</v>
      </c>
      <c r="H490">
        <v>0</v>
      </c>
      <c r="I490">
        <v>10</v>
      </c>
      <c r="J490">
        <v>1</v>
      </c>
      <c r="K490">
        <v>0</v>
      </c>
      <c r="L490">
        <v>46248</v>
      </c>
      <c r="M490" t="s">
        <v>161</v>
      </c>
      <c r="N490">
        <v>0.94117647058823517</v>
      </c>
      <c r="O490">
        <v>0</v>
      </c>
      <c r="P490">
        <v>0</v>
      </c>
      <c r="Q490">
        <v>0.73862643659875649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0.73862643659875649</v>
      </c>
      <c r="AB490">
        <v>0.26137356340124351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I490">
        <v>0</v>
      </c>
      <c r="BJ490">
        <v>0</v>
      </c>
      <c r="BK490">
        <v>1.3538643493520519</v>
      </c>
      <c r="BL490">
        <v>0.35386434935205191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0</v>
      </c>
    </row>
    <row r="491" spans="1:83" x14ac:dyDescent="0.25">
      <c r="A491" t="s">
        <v>128</v>
      </c>
      <c r="B491" t="s">
        <v>145</v>
      </c>
      <c r="C491" t="s">
        <v>72</v>
      </c>
      <c r="D491" s="12">
        <v>46248</v>
      </c>
      <c r="E491" t="s">
        <v>135</v>
      </c>
      <c r="F491" t="s">
        <v>74</v>
      </c>
      <c r="G491">
        <v>1.2735376146788993</v>
      </c>
      <c r="H491">
        <v>0</v>
      </c>
      <c r="I491">
        <v>10</v>
      </c>
      <c r="K491">
        <v>0</v>
      </c>
      <c r="L491">
        <v>46248</v>
      </c>
      <c r="M491" t="s">
        <v>161</v>
      </c>
      <c r="N491">
        <v>0.94117647058823517</v>
      </c>
      <c r="O491">
        <v>0</v>
      </c>
      <c r="P491">
        <v>0</v>
      </c>
      <c r="Q491">
        <v>0.73902526296840998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0.73902526296840998</v>
      </c>
      <c r="AB491">
        <v>0.26097473703159002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  <c r="BI491">
        <v>0</v>
      </c>
      <c r="BJ491">
        <v>0</v>
      </c>
      <c r="BK491">
        <v>1.3531337155963306</v>
      </c>
      <c r="BL491">
        <v>0.35313371559633056</v>
      </c>
      <c r="BM491">
        <v>0</v>
      </c>
      <c r="BN491">
        <v>0</v>
      </c>
      <c r="BO491">
        <v>0</v>
      </c>
      <c r="BP491">
        <v>0</v>
      </c>
      <c r="BQ491">
        <v>0</v>
      </c>
      <c r="BR491">
        <v>0</v>
      </c>
      <c r="BS491">
        <v>0</v>
      </c>
      <c r="BT491">
        <v>0</v>
      </c>
      <c r="BU491">
        <v>0</v>
      </c>
      <c r="BV491">
        <v>0</v>
      </c>
      <c r="BW491">
        <v>0</v>
      </c>
      <c r="BX491">
        <v>0</v>
      </c>
      <c r="BY491">
        <v>0</v>
      </c>
      <c r="BZ491">
        <v>0</v>
      </c>
      <c r="CA491">
        <v>0</v>
      </c>
      <c r="CB491">
        <v>0</v>
      </c>
      <c r="CC491">
        <v>0</v>
      </c>
      <c r="CD491">
        <v>0</v>
      </c>
      <c r="CE491">
        <v>0</v>
      </c>
    </row>
    <row r="492" spans="1:83" x14ac:dyDescent="0.25">
      <c r="A492" t="s">
        <v>128</v>
      </c>
      <c r="B492" t="s">
        <v>145</v>
      </c>
      <c r="C492" t="s">
        <v>72</v>
      </c>
      <c r="D492" s="12">
        <v>46248</v>
      </c>
      <c r="E492" t="s">
        <v>135</v>
      </c>
      <c r="F492" t="s">
        <v>75</v>
      </c>
      <c r="G492">
        <v>2.2474193200215873</v>
      </c>
      <c r="H492">
        <v>0</v>
      </c>
      <c r="I492">
        <v>10</v>
      </c>
      <c r="K492">
        <v>0</v>
      </c>
      <c r="L492">
        <v>46248</v>
      </c>
      <c r="M492" t="s">
        <v>159</v>
      </c>
      <c r="N492">
        <v>2.6538062283737021</v>
      </c>
      <c r="O492">
        <v>0</v>
      </c>
      <c r="P492">
        <v>0</v>
      </c>
      <c r="Q492">
        <v>1.1808238029867124</v>
      </c>
      <c r="R492">
        <v>0.18082380298671241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1</v>
      </c>
      <c r="AK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1</v>
      </c>
      <c r="BH492">
        <v>1</v>
      </c>
      <c r="BI492">
        <v>0</v>
      </c>
      <c r="BJ492">
        <v>0</v>
      </c>
      <c r="BK492">
        <v>0.8468663974004027</v>
      </c>
      <c r="BL492">
        <v>0</v>
      </c>
      <c r="BM492">
        <v>0</v>
      </c>
      <c r="BN492">
        <v>0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0</v>
      </c>
      <c r="BV492">
        <v>0.1531336025995973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0.8468663974004027</v>
      </c>
      <c r="CE492">
        <v>0</v>
      </c>
    </row>
    <row r="493" spans="1:83" x14ac:dyDescent="0.25">
      <c r="A493" t="s">
        <v>128</v>
      </c>
      <c r="B493" t="s">
        <v>146</v>
      </c>
      <c r="C493" t="s">
        <v>72</v>
      </c>
      <c r="D493" s="12">
        <v>46248</v>
      </c>
      <c r="E493" t="s">
        <v>135</v>
      </c>
      <c r="F493" t="s">
        <v>75</v>
      </c>
      <c r="G493">
        <v>2.2486328293736499</v>
      </c>
      <c r="H493">
        <v>0</v>
      </c>
      <c r="I493">
        <v>10</v>
      </c>
      <c r="J493">
        <v>1</v>
      </c>
      <c r="K493">
        <v>0</v>
      </c>
      <c r="L493">
        <v>46248</v>
      </c>
      <c r="M493" t="s">
        <v>159</v>
      </c>
      <c r="N493">
        <v>2.6538062283737021</v>
      </c>
      <c r="O493">
        <v>0</v>
      </c>
      <c r="P493">
        <v>0</v>
      </c>
      <c r="Q493">
        <v>1.1801865532279505</v>
      </c>
      <c r="R493">
        <v>0.18018655322795052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1</v>
      </c>
      <c r="AK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1</v>
      </c>
      <c r="BH493">
        <v>1</v>
      </c>
      <c r="BI493">
        <v>0</v>
      </c>
      <c r="BJ493">
        <v>0</v>
      </c>
      <c r="BK493">
        <v>0.84732366867329667</v>
      </c>
      <c r="BL493">
        <v>0</v>
      </c>
      <c r="BM493">
        <v>0</v>
      </c>
      <c r="BN493">
        <v>0</v>
      </c>
      <c r="BO493">
        <v>0</v>
      </c>
      <c r="BP493">
        <v>0</v>
      </c>
      <c r="BQ493">
        <v>0</v>
      </c>
      <c r="BR493">
        <v>0</v>
      </c>
      <c r="BS493">
        <v>0</v>
      </c>
      <c r="BT493">
        <v>0</v>
      </c>
      <c r="BU493">
        <v>0</v>
      </c>
      <c r="BV493">
        <v>0.15267633132670333</v>
      </c>
      <c r="BW493">
        <v>0</v>
      </c>
      <c r="BX493">
        <v>0</v>
      </c>
      <c r="BY493">
        <v>0</v>
      </c>
      <c r="BZ493">
        <v>0</v>
      </c>
      <c r="CA493">
        <v>0</v>
      </c>
      <c r="CB493">
        <v>0</v>
      </c>
      <c r="CC493">
        <v>0</v>
      </c>
      <c r="CD493">
        <v>0.84732366867329667</v>
      </c>
      <c r="CE493">
        <v>0</v>
      </c>
    </row>
    <row r="494" spans="1:83" x14ac:dyDescent="0.25">
      <c r="A494" t="s">
        <v>128</v>
      </c>
      <c r="B494" t="s">
        <v>145</v>
      </c>
      <c r="C494" t="s">
        <v>72</v>
      </c>
      <c r="D494" s="12">
        <v>46249</v>
      </c>
      <c r="E494" t="s">
        <v>135</v>
      </c>
      <c r="F494" t="s">
        <v>73</v>
      </c>
      <c r="G494">
        <v>5.3727368119266048</v>
      </c>
      <c r="H494">
        <v>0</v>
      </c>
      <c r="I494">
        <v>10</v>
      </c>
      <c r="K494">
        <v>0</v>
      </c>
      <c r="L494">
        <v>46249</v>
      </c>
      <c r="M494" t="s">
        <v>158</v>
      </c>
      <c r="N494">
        <v>4.3235294117647038</v>
      </c>
      <c r="O494">
        <v>0</v>
      </c>
      <c r="P494">
        <v>0</v>
      </c>
      <c r="Q494">
        <v>0.80471639745449086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0.80471639745449086</v>
      </c>
      <c r="AB494">
        <v>0.19528360254550914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1</v>
      </c>
      <c r="BI494">
        <v>0</v>
      </c>
      <c r="BJ494">
        <v>0</v>
      </c>
      <c r="BK494">
        <v>1.2426738204456098</v>
      </c>
      <c r="BL494">
        <v>0.24267382044560981</v>
      </c>
      <c r="BM494">
        <v>0</v>
      </c>
      <c r="BN494">
        <v>0</v>
      </c>
      <c r="BO494">
        <v>0</v>
      </c>
      <c r="BP494">
        <v>0</v>
      </c>
      <c r="BQ494">
        <v>0</v>
      </c>
      <c r="BR494">
        <v>0</v>
      </c>
      <c r="BS494">
        <v>0</v>
      </c>
      <c r="BT494">
        <v>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1</v>
      </c>
      <c r="CE494">
        <v>1</v>
      </c>
    </row>
    <row r="495" spans="1:83" x14ac:dyDescent="0.25">
      <c r="A495" t="s">
        <v>128</v>
      </c>
      <c r="B495" t="s">
        <v>146</v>
      </c>
      <c r="C495" t="s">
        <v>72</v>
      </c>
      <c r="D495" s="12">
        <v>46249</v>
      </c>
      <c r="E495" t="s">
        <v>135</v>
      </c>
      <c r="F495" t="s">
        <v>73</v>
      </c>
      <c r="G495">
        <v>5.3405029697624178</v>
      </c>
      <c r="H495">
        <v>0</v>
      </c>
      <c r="I495">
        <v>10</v>
      </c>
      <c r="J495">
        <v>1</v>
      </c>
      <c r="K495">
        <v>0</v>
      </c>
      <c r="L495">
        <v>46249</v>
      </c>
      <c r="M495" t="s">
        <v>158</v>
      </c>
      <c r="N495">
        <v>4.3235294117647038</v>
      </c>
      <c r="O495">
        <v>0</v>
      </c>
      <c r="P495">
        <v>0</v>
      </c>
      <c r="Q495">
        <v>0.80957344958784738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0.80957344958784738</v>
      </c>
      <c r="AB495">
        <v>0.19042655041215262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1</v>
      </c>
      <c r="BI495">
        <v>0</v>
      </c>
      <c r="BJ495">
        <v>0</v>
      </c>
      <c r="BK495">
        <v>1.2352183739586551</v>
      </c>
      <c r="BL495">
        <v>0.23521837395865508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1</v>
      </c>
      <c r="CE495">
        <v>1</v>
      </c>
    </row>
    <row r="496" spans="1:83" x14ac:dyDescent="0.25">
      <c r="A496" t="s">
        <v>128</v>
      </c>
      <c r="B496" t="s">
        <v>146</v>
      </c>
      <c r="C496" t="s">
        <v>72</v>
      </c>
      <c r="D496" s="12">
        <v>46249</v>
      </c>
      <c r="E496" t="s">
        <v>135</v>
      </c>
      <c r="F496" t="s">
        <v>74</v>
      </c>
      <c r="G496">
        <v>1.2742252699784016</v>
      </c>
      <c r="H496">
        <v>0</v>
      </c>
      <c r="I496">
        <v>10</v>
      </c>
      <c r="J496">
        <v>1</v>
      </c>
      <c r="K496">
        <v>0</v>
      </c>
      <c r="L496">
        <v>46249</v>
      </c>
      <c r="M496" t="s">
        <v>167</v>
      </c>
      <c r="N496">
        <v>0.94117647058823517</v>
      </c>
      <c r="O496">
        <v>0</v>
      </c>
      <c r="P496">
        <v>0</v>
      </c>
      <c r="Q496">
        <v>0.73862643659875649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0.73862643659875649</v>
      </c>
      <c r="AB496">
        <v>0.26137356340124351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I496">
        <v>0</v>
      </c>
      <c r="BJ496">
        <v>0</v>
      </c>
      <c r="BK496">
        <v>1.3538643493520519</v>
      </c>
      <c r="BL496">
        <v>0.35386434935205191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</row>
    <row r="497" spans="1:83" x14ac:dyDescent="0.25">
      <c r="A497" t="s">
        <v>128</v>
      </c>
      <c r="B497" t="s">
        <v>145</v>
      </c>
      <c r="C497" t="s">
        <v>72</v>
      </c>
      <c r="D497" s="12">
        <v>46249</v>
      </c>
      <c r="E497" t="s">
        <v>135</v>
      </c>
      <c r="F497" t="s">
        <v>74</v>
      </c>
      <c r="G497">
        <v>1.2735376146788993</v>
      </c>
      <c r="H497">
        <v>0</v>
      </c>
      <c r="I497">
        <v>10</v>
      </c>
      <c r="K497">
        <v>0</v>
      </c>
      <c r="L497">
        <v>46249</v>
      </c>
      <c r="M497" t="s">
        <v>167</v>
      </c>
      <c r="N497">
        <v>0.94117647058823517</v>
      </c>
      <c r="O497">
        <v>0</v>
      </c>
      <c r="P497">
        <v>0</v>
      </c>
      <c r="Q497">
        <v>0.73902526296840998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0.73902526296840998</v>
      </c>
      <c r="AB497">
        <v>0.26097473703159002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I497">
        <v>0</v>
      </c>
      <c r="BJ497">
        <v>0</v>
      </c>
      <c r="BK497">
        <v>1.3531337155963306</v>
      </c>
      <c r="BL497">
        <v>0.35313371559633056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</row>
    <row r="498" spans="1:83" x14ac:dyDescent="0.25">
      <c r="A498" t="s">
        <v>128</v>
      </c>
      <c r="B498" t="s">
        <v>145</v>
      </c>
      <c r="C498" t="s">
        <v>72</v>
      </c>
      <c r="D498" s="12">
        <v>46249</v>
      </c>
      <c r="E498" t="s">
        <v>135</v>
      </c>
      <c r="F498" t="s">
        <v>75</v>
      </c>
      <c r="G498">
        <v>2.2474193200215873</v>
      </c>
      <c r="H498">
        <v>0</v>
      </c>
      <c r="I498">
        <v>10</v>
      </c>
      <c r="K498">
        <v>0</v>
      </c>
      <c r="L498">
        <v>46249</v>
      </c>
      <c r="M498" t="s">
        <v>170</v>
      </c>
      <c r="N498">
        <v>2.1591695501730106</v>
      </c>
      <c r="O498">
        <v>0</v>
      </c>
      <c r="P498">
        <v>0</v>
      </c>
      <c r="Q498">
        <v>0.96073284185893315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0.96073284185893315</v>
      </c>
      <c r="AB498">
        <v>3.9267158141066849E-2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1</v>
      </c>
      <c r="BI498">
        <v>0</v>
      </c>
      <c r="BJ498">
        <v>0</v>
      </c>
      <c r="BK498">
        <v>1.0408720889202543</v>
      </c>
      <c r="BL498">
        <v>4.087208892025429E-2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1</v>
      </c>
      <c r="CE498">
        <v>1</v>
      </c>
    </row>
    <row r="499" spans="1:83" x14ac:dyDescent="0.25">
      <c r="A499" t="s">
        <v>128</v>
      </c>
      <c r="B499" t="s">
        <v>146</v>
      </c>
      <c r="C499" t="s">
        <v>72</v>
      </c>
      <c r="D499" s="12">
        <v>46249</v>
      </c>
      <c r="E499" t="s">
        <v>135</v>
      </c>
      <c r="F499" t="s">
        <v>75</v>
      </c>
      <c r="G499">
        <v>2.2486328293736499</v>
      </c>
      <c r="H499">
        <v>0</v>
      </c>
      <c r="I499">
        <v>10</v>
      </c>
      <c r="J499">
        <v>1</v>
      </c>
      <c r="K499">
        <v>0</v>
      </c>
      <c r="L499">
        <v>46249</v>
      </c>
      <c r="M499" t="s">
        <v>170</v>
      </c>
      <c r="N499">
        <v>2.1591695501730106</v>
      </c>
      <c r="O499">
        <v>0</v>
      </c>
      <c r="P499">
        <v>0</v>
      </c>
      <c r="Q499">
        <v>0.96021436757838363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0.96021436757838363</v>
      </c>
      <c r="AB499">
        <v>3.9785632421616368E-2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1</v>
      </c>
      <c r="BI499">
        <v>0</v>
      </c>
      <c r="BJ499">
        <v>0</v>
      </c>
      <c r="BK499">
        <v>1.0414341148861936</v>
      </c>
      <c r="BL499">
        <v>4.143411488619364E-2</v>
      </c>
      <c r="BM499">
        <v>0</v>
      </c>
      <c r="BN499">
        <v>0</v>
      </c>
      <c r="BO499">
        <v>0</v>
      </c>
      <c r="BP499">
        <v>0</v>
      </c>
      <c r="BQ499">
        <v>0</v>
      </c>
      <c r="BR499">
        <v>0</v>
      </c>
      <c r="BS499">
        <v>0</v>
      </c>
      <c r="BT499">
        <v>0</v>
      </c>
      <c r="BU499">
        <v>0</v>
      </c>
      <c r="BV499">
        <v>0</v>
      </c>
      <c r="BW499">
        <v>0</v>
      </c>
      <c r="BX499">
        <v>0</v>
      </c>
      <c r="BY499">
        <v>0</v>
      </c>
      <c r="BZ499">
        <v>0</v>
      </c>
      <c r="CA499">
        <v>0</v>
      </c>
      <c r="CB499">
        <v>0</v>
      </c>
      <c r="CC499">
        <v>0</v>
      </c>
      <c r="CD499">
        <v>1</v>
      </c>
      <c r="CE499">
        <v>1</v>
      </c>
    </row>
    <row r="500" spans="1:83" x14ac:dyDescent="0.25">
      <c r="A500" t="s">
        <v>128</v>
      </c>
      <c r="B500" t="s">
        <v>146</v>
      </c>
      <c r="C500" t="s">
        <v>72</v>
      </c>
      <c r="D500" s="12">
        <v>46250</v>
      </c>
      <c r="E500" t="s">
        <v>135</v>
      </c>
      <c r="F500" t="s">
        <v>73</v>
      </c>
      <c r="G500">
        <v>3.5134887958963272</v>
      </c>
      <c r="H500">
        <v>0</v>
      </c>
      <c r="I500">
        <v>10</v>
      </c>
      <c r="J500">
        <v>1</v>
      </c>
      <c r="K500">
        <v>0</v>
      </c>
      <c r="L500">
        <v>46250</v>
      </c>
      <c r="M500" t="s">
        <v>171</v>
      </c>
      <c r="N500">
        <v>2.9411764705882346</v>
      </c>
      <c r="O500">
        <v>0</v>
      </c>
      <c r="P500">
        <v>0</v>
      </c>
      <c r="Q500">
        <v>0.83710996147859074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0.83710996147859074</v>
      </c>
      <c r="AB500">
        <v>0.16289003852140926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1</v>
      </c>
      <c r="BI500">
        <v>0</v>
      </c>
      <c r="BJ500">
        <v>0</v>
      </c>
      <c r="BK500">
        <v>1.1945861906047515</v>
      </c>
      <c r="BL500">
        <v>0.19458619060475146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1</v>
      </c>
      <c r="CE500">
        <v>1</v>
      </c>
    </row>
    <row r="501" spans="1:83" x14ac:dyDescent="0.25">
      <c r="A501" t="s">
        <v>128</v>
      </c>
      <c r="B501" t="s">
        <v>145</v>
      </c>
      <c r="C501" t="s">
        <v>72</v>
      </c>
      <c r="D501" s="12">
        <v>46250</v>
      </c>
      <c r="E501" t="s">
        <v>135</v>
      </c>
      <c r="F501" t="s">
        <v>73</v>
      </c>
      <c r="G501">
        <v>3.5818245412844032</v>
      </c>
      <c r="H501">
        <v>0</v>
      </c>
      <c r="I501">
        <v>10</v>
      </c>
      <c r="K501">
        <v>0</v>
      </c>
      <c r="L501">
        <v>46250</v>
      </c>
      <c r="M501" t="s">
        <v>171</v>
      </c>
      <c r="N501">
        <v>2.9411764705882346</v>
      </c>
      <c r="O501">
        <v>0</v>
      </c>
      <c r="P501">
        <v>0</v>
      </c>
      <c r="Q501">
        <v>0.82113918107601125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0.82113918107601125</v>
      </c>
      <c r="AB501">
        <v>0.17886081892398875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1</v>
      </c>
      <c r="BI501">
        <v>0</v>
      </c>
      <c r="BJ501">
        <v>0</v>
      </c>
      <c r="BK501">
        <v>1.2178203440366975</v>
      </c>
      <c r="BL501">
        <v>0.21782034403669748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1</v>
      </c>
      <c r="CE501">
        <v>1</v>
      </c>
    </row>
    <row r="502" spans="1:83" x14ac:dyDescent="0.25">
      <c r="A502" t="s">
        <v>128</v>
      </c>
      <c r="B502" t="s">
        <v>145</v>
      </c>
      <c r="C502" t="s">
        <v>72</v>
      </c>
      <c r="D502" s="12">
        <v>46250</v>
      </c>
      <c r="E502" t="s">
        <v>135</v>
      </c>
      <c r="F502" t="s">
        <v>74</v>
      </c>
      <c r="G502">
        <v>1.2735376146788993</v>
      </c>
      <c r="H502">
        <v>0</v>
      </c>
      <c r="I502">
        <v>10</v>
      </c>
      <c r="K502">
        <v>0</v>
      </c>
      <c r="L502">
        <v>46250</v>
      </c>
      <c r="M502" t="s">
        <v>173</v>
      </c>
      <c r="N502">
        <v>0.94117647058823517</v>
      </c>
      <c r="O502">
        <v>0</v>
      </c>
      <c r="P502">
        <v>0</v>
      </c>
      <c r="Q502">
        <v>0.73902526296840998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0.73902526296840998</v>
      </c>
      <c r="AB502">
        <v>0.26097473703159002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I502">
        <v>0</v>
      </c>
      <c r="BJ502">
        <v>0</v>
      </c>
      <c r="BK502">
        <v>1.3531337155963306</v>
      </c>
      <c r="BL502">
        <v>0.35313371559633056</v>
      </c>
      <c r="BM502">
        <v>0</v>
      </c>
      <c r="BN502">
        <v>0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0</v>
      </c>
    </row>
    <row r="503" spans="1:83" x14ac:dyDescent="0.25">
      <c r="A503" t="s">
        <v>128</v>
      </c>
      <c r="B503" t="s">
        <v>146</v>
      </c>
      <c r="C503" t="s">
        <v>72</v>
      </c>
      <c r="D503" s="12">
        <v>46250</v>
      </c>
      <c r="E503" t="s">
        <v>135</v>
      </c>
      <c r="F503" t="s">
        <v>74</v>
      </c>
      <c r="G503">
        <v>1.2742252699784016</v>
      </c>
      <c r="H503">
        <v>0</v>
      </c>
      <c r="I503">
        <v>10</v>
      </c>
      <c r="J503">
        <v>1</v>
      </c>
      <c r="K503">
        <v>0</v>
      </c>
      <c r="L503">
        <v>46250</v>
      </c>
      <c r="M503" t="s">
        <v>173</v>
      </c>
      <c r="N503">
        <v>0.94117647058823517</v>
      </c>
      <c r="O503">
        <v>0</v>
      </c>
      <c r="P503">
        <v>0</v>
      </c>
      <c r="Q503">
        <v>0.73862643659875649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0.73862643659875649</v>
      </c>
      <c r="AB503">
        <v>0.26137356340124351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I503">
        <v>0</v>
      </c>
      <c r="BJ503">
        <v>0</v>
      </c>
      <c r="BK503">
        <v>1.3538643493520519</v>
      </c>
      <c r="BL503">
        <v>0.35386434935205191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</row>
    <row r="504" spans="1:83" x14ac:dyDescent="0.25">
      <c r="A504" t="s">
        <v>128</v>
      </c>
      <c r="B504" t="s">
        <v>145</v>
      </c>
      <c r="C504" t="s">
        <v>72</v>
      </c>
      <c r="D504" s="12">
        <v>46250</v>
      </c>
      <c r="E504" t="s">
        <v>135</v>
      </c>
      <c r="F504" t="s">
        <v>75</v>
      </c>
      <c r="G504">
        <v>2.2474193200215873</v>
      </c>
      <c r="H504">
        <v>0</v>
      </c>
      <c r="I504">
        <v>10</v>
      </c>
      <c r="K504">
        <v>0</v>
      </c>
      <c r="L504">
        <v>46250</v>
      </c>
      <c r="M504" t="s">
        <v>174</v>
      </c>
      <c r="N504">
        <v>2.0484429065743952</v>
      </c>
      <c r="O504">
        <v>0</v>
      </c>
      <c r="P504">
        <v>0</v>
      </c>
      <c r="Q504">
        <v>0.91146449099437266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0.91146449099437266</v>
      </c>
      <c r="AB504">
        <v>8.8535509005627344E-2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1</v>
      </c>
      <c r="BI504">
        <v>0</v>
      </c>
      <c r="BJ504">
        <v>0</v>
      </c>
      <c r="BK504">
        <v>1.0971354450781055</v>
      </c>
      <c r="BL504">
        <v>9.7135445078105453E-2</v>
      </c>
      <c r="BM504">
        <v>0</v>
      </c>
      <c r="BN504">
        <v>0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1</v>
      </c>
      <c r="CE504">
        <v>1</v>
      </c>
    </row>
    <row r="505" spans="1:83" x14ac:dyDescent="0.25">
      <c r="A505" t="s">
        <v>128</v>
      </c>
      <c r="B505" t="s">
        <v>146</v>
      </c>
      <c r="C505" t="s">
        <v>72</v>
      </c>
      <c r="D505" s="12">
        <v>46250</v>
      </c>
      <c r="E505" t="s">
        <v>135</v>
      </c>
      <c r="F505" t="s">
        <v>75</v>
      </c>
      <c r="G505">
        <v>2.2486328293736499</v>
      </c>
      <c r="H505">
        <v>0</v>
      </c>
      <c r="I505">
        <v>10</v>
      </c>
      <c r="J505">
        <v>1</v>
      </c>
      <c r="K505">
        <v>0</v>
      </c>
      <c r="L505">
        <v>46250</v>
      </c>
      <c r="M505" t="s">
        <v>174</v>
      </c>
      <c r="N505">
        <v>2.0484429065743952</v>
      </c>
      <c r="O505">
        <v>0</v>
      </c>
      <c r="P505">
        <v>0</v>
      </c>
      <c r="Q505">
        <v>0.91097260513846667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0.91097260513846667</v>
      </c>
      <c r="AB505">
        <v>8.9027394861533327E-2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1</v>
      </c>
      <c r="BI505">
        <v>0</v>
      </c>
      <c r="BJ505">
        <v>0</v>
      </c>
      <c r="BK505">
        <v>1.0977278508259876</v>
      </c>
      <c r="BL505">
        <v>9.7727850825987561E-2</v>
      </c>
      <c r="BM505">
        <v>0</v>
      </c>
      <c r="BN505">
        <v>0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0</v>
      </c>
      <c r="BV505">
        <v>0</v>
      </c>
      <c r="BW505">
        <v>0</v>
      </c>
      <c r="BX505">
        <v>0</v>
      </c>
      <c r="BY505">
        <v>0</v>
      </c>
      <c r="BZ505">
        <v>0</v>
      </c>
      <c r="CA505">
        <v>0</v>
      </c>
      <c r="CB505">
        <v>0</v>
      </c>
      <c r="CC505">
        <v>0</v>
      </c>
      <c r="CD505">
        <v>1</v>
      </c>
      <c r="CE505">
        <v>1</v>
      </c>
    </row>
    <row r="506" spans="1:83" x14ac:dyDescent="0.25">
      <c r="A506" t="s">
        <v>128</v>
      </c>
      <c r="B506" t="s">
        <v>145</v>
      </c>
      <c r="C506" t="s">
        <v>109</v>
      </c>
      <c r="D506" s="12">
        <v>46223</v>
      </c>
      <c r="E506" t="s">
        <v>134</v>
      </c>
      <c r="G506">
        <v>27.064943963236065</v>
      </c>
      <c r="H506">
        <v>36.1</v>
      </c>
      <c r="K506">
        <v>36.1</v>
      </c>
      <c r="N506">
        <v>25.369791666666664</v>
      </c>
      <c r="R506">
        <v>0</v>
      </c>
      <c r="S506">
        <v>0</v>
      </c>
      <c r="T506">
        <v>0.11857756972981941</v>
      </c>
      <c r="U506">
        <v>0</v>
      </c>
      <c r="V506">
        <v>0</v>
      </c>
      <c r="W506">
        <v>0</v>
      </c>
      <c r="X506">
        <v>1.726936486776761E-2</v>
      </c>
      <c r="Y506">
        <v>0</v>
      </c>
      <c r="Z506">
        <v>0.19798180153564837</v>
      </c>
      <c r="AA506">
        <v>0</v>
      </c>
      <c r="AB506">
        <v>0</v>
      </c>
      <c r="AC506">
        <v>0</v>
      </c>
      <c r="AD506">
        <v>7.9902130665177928E-2</v>
      </c>
      <c r="AE506">
        <v>0</v>
      </c>
      <c r="AF506">
        <v>0.92009786933482218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83" x14ac:dyDescent="0.25">
      <c r="A507" t="s">
        <v>128</v>
      </c>
      <c r="B507" t="s">
        <v>146</v>
      </c>
      <c r="C507" t="s">
        <v>109</v>
      </c>
      <c r="D507" s="12">
        <v>46223</v>
      </c>
      <c r="E507" t="s">
        <v>134</v>
      </c>
      <c r="G507">
        <v>27.065400662268566</v>
      </c>
      <c r="H507">
        <v>4.75</v>
      </c>
      <c r="K507">
        <v>4.75</v>
      </c>
      <c r="N507">
        <v>25.369791666666664</v>
      </c>
      <c r="R507">
        <v>1.7246179221508555E-2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0.58865899919514642</v>
      </c>
      <c r="AB507">
        <v>7.9894762065719716E-2</v>
      </c>
      <c r="AC507">
        <v>0</v>
      </c>
      <c r="AD507">
        <v>0</v>
      </c>
      <c r="AE507">
        <v>0</v>
      </c>
      <c r="AF507">
        <v>0.17550081963582004</v>
      </c>
      <c r="AG507">
        <v>0</v>
      </c>
      <c r="AH507">
        <v>0</v>
      </c>
      <c r="AI507">
        <v>0</v>
      </c>
      <c r="AJ507">
        <v>0.15594541910331386</v>
      </c>
      <c r="AK507">
        <v>0</v>
      </c>
    </row>
    <row r="508" spans="1:83" x14ac:dyDescent="0.25">
      <c r="A508" t="s">
        <v>128</v>
      </c>
      <c r="B508" t="s">
        <v>145</v>
      </c>
      <c r="C508" t="s">
        <v>109</v>
      </c>
      <c r="D508" s="12">
        <v>46223</v>
      </c>
      <c r="E508" t="s">
        <v>136</v>
      </c>
      <c r="G508">
        <v>6.7786480661254069</v>
      </c>
      <c r="H508">
        <v>0</v>
      </c>
      <c r="K508">
        <v>0</v>
      </c>
      <c r="N508">
        <v>6.6332179930795858</v>
      </c>
      <c r="R508">
        <v>2.4127096675975131E-2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0.42316876208123466</v>
      </c>
      <c r="AB508">
        <v>4.5581237918765394E-2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K508">
        <v>0</v>
      </c>
    </row>
    <row r="509" spans="1:83" x14ac:dyDescent="0.25">
      <c r="A509" t="s">
        <v>128</v>
      </c>
      <c r="B509" t="s">
        <v>146</v>
      </c>
      <c r="C509" t="s">
        <v>109</v>
      </c>
      <c r="D509" s="12">
        <v>46223</v>
      </c>
      <c r="E509" t="s">
        <v>136</v>
      </c>
      <c r="G509">
        <v>6.7655742969551049</v>
      </c>
      <c r="H509">
        <v>9.5</v>
      </c>
      <c r="K509">
        <v>9.5</v>
      </c>
      <c r="N509">
        <v>6.6332179930795858</v>
      </c>
      <c r="R509">
        <v>0</v>
      </c>
      <c r="S509">
        <v>0</v>
      </c>
      <c r="T509">
        <v>0.32007326021173443</v>
      </c>
      <c r="U509">
        <v>0</v>
      </c>
      <c r="V509">
        <v>0</v>
      </c>
      <c r="W509">
        <v>0</v>
      </c>
      <c r="X509">
        <v>2.6175075836141475E-2</v>
      </c>
      <c r="Y509">
        <v>0</v>
      </c>
      <c r="Z509">
        <v>0.10639373150330808</v>
      </c>
      <c r="AA509">
        <v>2.7362216294004554E-3</v>
      </c>
      <c r="AB509">
        <v>4.5738278908951921E-2</v>
      </c>
      <c r="AC509">
        <v>0</v>
      </c>
      <c r="AD509">
        <v>0</v>
      </c>
      <c r="AE509">
        <v>0</v>
      </c>
      <c r="AF509">
        <v>0.95152549946164766</v>
      </c>
      <c r="AG509">
        <v>0</v>
      </c>
      <c r="AH509">
        <v>0</v>
      </c>
      <c r="AI509">
        <v>0</v>
      </c>
      <c r="AK509">
        <v>0</v>
      </c>
    </row>
    <row r="510" spans="1:83" x14ac:dyDescent="0.25">
      <c r="A510" t="s">
        <v>128</v>
      </c>
      <c r="B510" t="s">
        <v>145</v>
      </c>
      <c r="C510" t="s">
        <v>109</v>
      </c>
      <c r="D510" s="12">
        <v>46223</v>
      </c>
      <c r="E510" t="s">
        <v>135</v>
      </c>
      <c r="G510">
        <v>10.465131474298435</v>
      </c>
      <c r="H510">
        <v>8.5499999999999989</v>
      </c>
      <c r="K510">
        <v>8.5499999999999989</v>
      </c>
      <c r="N510">
        <v>9.5982915224913476</v>
      </c>
      <c r="R510">
        <v>0.10092626764412763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0.13973120683786208</v>
      </c>
      <c r="AB510">
        <v>4.3269979435033988E-2</v>
      </c>
      <c r="AC510">
        <v>0</v>
      </c>
      <c r="AD510">
        <v>0.14048754111174269</v>
      </c>
      <c r="AE510">
        <v>0</v>
      </c>
      <c r="AF510">
        <v>0.67651127261536115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83" x14ac:dyDescent="0.25">
      <c r="A511" t="s">
        <v>128</v>
      </c>
      <c r="B511" t="s">
        <v>146</v>
      </c>
      <c r="C511" t="s">
        <v>109</v>
      </c>
      <c r="D511" s="12">
        <v>46223</v>
      </c>
      <c r="E511" t="s">
        <v>135</v>
      </c>
      <c r="G511">
        <v>10.479565915226782</v>
      </c>
      <c r="H511">
        <v>8.5499999999999989</v>
      </c>
      <c r="K511">
        <v>8.5499999999999989</v>
      </c>
      <c r="N511">
        <v>9.5982915224913476</v>
      </c>
      <c r="R511">
        <v>0.10061355638270394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0.13971243909266695</v>
      </c>
      <c r="AB511">
        <v>4.441407252391897E-2</v>
      </c>
      <c r="AC511">
        <v>0</v>
      </c>
      <c r="AD511">
        <v>0.14029403508966598</v>
      </c>
      <c r="AE511">
        <v>0</v>
      </c>
      <c r="AF511">
        <v>0.67557945329374802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83" x14ac:dyDescent="0.25">
      <c r="A512" t="s">
        <v>128</v>
      </c>
      <c r="B512" t="s">
        <v>145</v>
      </c>
      <c r="C512" t="s">
        <v>109</v>
      </c>
      <c r="D512" s="12">
        <v>46224</v>
      </c>
      <c r="E512" t="s">
        <v>134</v>
      </c>
      <c r="G512">
        <v>28.218439495972738</v>
      </c>
      <c r="H512">
        <v>37.049999999999997</v>
      </c>
      <c r="K512">
        <v>37.049999999999997</v>
      </c>
      <c r="N512">
        <v>27.625</v>
      </c>
      <c r="R512">
        <v>0</v>
      </c>
      <c r="S512">
        <v>0</v>
      </c>
      <c r="T512">
        <v>8.1580791872956346E-2</v>
      </c>
      <c r="U512">
        <v>0</v>
      </c>
      <c r="V512">
        <v>0</v>
      </c>
      <c r="W512">
        <v>0</v>
      </c>
      <c r="X512">
        <v>2.6405422342467021E-2</v>
      </c>
      <c r="Y512">
        <v>0</v>
      </c>
      <c r="Z512">
        <v>0.20498504364905473</v>
      </c>
      <c r="AA512">
        <v>0</v>
      </c>
      <c r="AB512">
        <v>0</v>
      </c>
      <c r="AC512">
        <v>0</v>
      </c>
      <c r="AD512">
        <v>4.7435624811935036E-2</v>
      </c>
      <c r="AE512">
        <v>0</v>
      </c>
      <c r="AF512">
        <v>0.95256437518806503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128</v>
      </c>
      <c r="B513" t="s">
        <v>146</v>
      </c>
      <c r="C513" t="s">
        <v>109</v>
      </c>
      <c r="D513" s="12">
        <v>46224</v>
      </c>
      <c r="E513" t="s">
        <v>134</v>
      </c>
      <c r="G513">
        <v>28.199720573065399</v>
      </c>
      <c r="H513">
        <v>4.75</v>
      </c>
      <c r="K513">
        <v>4.75</v>
      </c>
      <c r="N513">
        <v>27.625</v>
      </c>
      <c r="R513">
        <v>2.6343846207961173E-2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0.63516181311906095</v>
      </c>
      <c r="AB513">
        <v>4.6724210317467089E-2</v>
      </c>
      <c r="AC513">
        <v>0</v>
      </c>
      <c r="AD513">
        <v>0</v>
      </c>
      <c r="AE513">
        <v>0</v>
      </c>
      <c r="AF513">
        <v>0.16844138535673653</v>
      </c>
      <c r="AG513">
        <v>0</v>
      </c>
      <c r="AH513">
        <v>0</v>
      </c>
      <c r="AI513">
        <v>0</v>
      </c>
      <c r="AJ513">
        <v>0.14967259120673526</v>
      </c>
      <c r="AK513">
        <v>0</v>
      </c>
    </row>
    <row r="514" spans="1:37" x14ac:dyDescent="0.25">
      <c r="A514" t="s">
        <v>128</v>
      </c>
      <c r="B514" t="s">
        <v>145</v>
      </c>
      <c r="C514" t="s">
        <v>109</v>
      </c>
      <c r="D514" s="12">
        <v>46224</v>
      </c>
      <c r="E514" t="s">
        <v>136</v>
      </c>
      <c r="G514">
        <v>6.8316062541420139</v>
      </c>
      <c r="H514">
        <v>0</v>
      </c>
      <c r="K514">
        <v>0</v>
      </c>
      <c r="N514">
        <v>9.224604547701432</v>
      </c>
      <c r="R514">
        <v>0.35028340401037289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K514">
        <v>0</v>
      </c>
    </row>
    <row r="515" spans="1:37" x14ac:dyDescent="0.25">
      <c r="A515" t="s">
        <v>128</v>
      </c>
      <c r="B515" t="s">
        <v>146</v>
      </c>
      <c r="C515" t="s">
        <v>109</v>
      </c>
      <c r="D515" s="12">
        <v>46224</v>
      </c>
      <c r="E515" t="s">
        <v>136</v>
      </c>
      <c r="G515">
        <v>6.815229888125419</v>
      </c>
      <c r="H515">
        <v>9.5</v>
      </c>
      <c r="K515">
        <v>9.5</v>
      </c>
      <c r="N515">
        <v>9.224604547701432</v>
      </c>
      <c r="R515">
        <v>9.8984855797283486E-2</v>
      </c>
      <c r="S515">
        <v>0</v>
      </c>
      <c r="T515">
        <v>0</v>
      </c>
      <c r="U515">
        <v>0</v>
      </c>
      <c r="V515">
        <v>3.8953847014565793E-2</v>
      </c>
      <c r="W515">
        <v>3.4410692880150674E-2</v>
      </c>
      <c r="X515">
        <v>0.2155893071198493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0.5264116575591985</v>
      </c>
      <c r="AG515">
        <v>0</v>
      </c>
      <c r="AH515">
        <v>0</v>
      </c>
      <c r="AI515">
        <v>0</v>
      </c>
      <c r="AK515">
        <v>0.47358834244080139</v>
      </c>
    </row>
    <row r="516" spans="1:37" x14ac:dyDescent="0.25">
      <c r="A516" t="s">
        <v>128</v>
      </c>
      <c r="B516" t="s">
        <v>145</v>
      </c>
      <c r="C516" t="s">
        <v>109</v>
      </c>
      <c r="D516" s="12">
        <v>46224</v>
      </c>
      <c r="E516" t="s">
        <v>135</v>
      </c>
      <c r="G516">
        <v>10.465131474298436</v>
      </c>
      <c r="H516">
        <v>6.6499999999999995</v>
      </c>
      <c r="K516">
        <v>6.6499999999999995</v>
      </c>
      <c r="N516">
        <v>8.7159385813148766</v>
      </c>
      <c r="R516">
        <v>1.0991757705127418E-2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0.32128649877721843</v>
      </c>
      <c r="AB516">
        <v>4.3269979435034175E-2</v>
      </c>
      <c r="AC516">
        <v>0</v>
      </c>
      <c r="AD516">
        <v>0.13486663424055523</v>
      </c>
      <c r="AE516">
        <v>0</v>
      </c>
      <c r="AF516">
        <v>0.5005768875471921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128</v>
      </c>
      <c r="B517" t="s">
        <v>146</v>
      </c>
      <c r="C517" t="s">
        <v>109</v>
      </c>
      <c r="D517" s="12">
        <v>46224</v>
      </c>
      <c r="E517" t="s">
        <v>135</v>
      </c>
      <c r="G517">
        <v>10.479565915226782</v>
      </c>
      <c r="H517">
        <v>6.6499999999999995</v>
      </c>
      <c r="K517">
        <v>6.6499999999999995</v>
      </c>
      <c r="N517">
        <v>8.7159385813148766</v>
      </c>
      <c r="R517">
        <v>1.0802921266538602E-2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0.32101765873342564</v>
      </c>
      <c r="AB517">
        <v>4.4414072523919032E-2</v>
      </c>
      <c r="AC517">
        <v>0</v>
      </c>
      <c r="AD517">
        <v>0.13468087039490576</v>
      </c>
      <c r="AE517">
        <v>0</v>
      </c>
      <c r="AF517">
        <v>0.49988739834774959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128</v>
      </c>
      <c r="B518" t="s">
        <v>145</v>
      </c>
      <c r="C518" t="s">
        <v>109</v>
      </c>
      <c r="D518" s="12">
        <v>46225</v>
      </c>
      <c r="E518" t="s">
        <v>134</v>
      </c>
      <c r="G518">
        <v>27.599490673528674</v>
      </c>
      <c r="H518">
        <v>31.349999999999998</v>
      </c>
      <c r="K518">
        <v>31.349999999999998</v>
      </c>
      <c r="N518">
        <v>27.245535714285715</v>
      </c>
      <c r="R518">
        <v>1.0303040788134189E-2</v>
      </c>
      <c r="S518">
        <v>0</v>
      </c>
      <c r="T518">
        <v>1.5583860473279865E-2</v>
      </c>
      <c r="U518">
        <v>0</v>
      </c>
      <c r="V518">
        <v>0</v>
      </c>
      <c r="W518">
        <v>0</v>
      </c>
      <c r="X518">
        <v>1.5988611854911312E-2</v>
      </c>
      <c r="Y518">
        <v>0</v>
      </c>
      <c r="Z518">
        <v>0.11953955301235798</v>
      </c>
      <c r="AA518">
        <v>1.5221498561063095E-2</v>
      </c>
      <c r="AB518">
        <v>0</v>
      </c>
      <c r="AC518">
        <v>0</v>
      </c>
      <c r="AD518">
        <v>3.9116344353115465E-2</v>
      </c>
      <c r="AE518">
        <v>0</v>
      </c>
      <c r="AF518">
        <v>0.94566215708582146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128</v>
      </c>
      <c r="B519" t="s">
        <v>146</v>
      </c>
      <c r="C519" t="s">
        <v>109</v>
      </c>
      <c r="D519" s="12">
        <v>46225</v>
      </c>
      <c r="E519" t="s">
        <v>134</v>
      </c>
      <c r="G519">
        <v>27.619370851262371</v>
      </c>
      <c r="H519">
        <v>6.6499999999999995</v>
      </c>
      <c r="K519">
        <v>6.6499999999999995</v>
      </c>
      <c r="N519">
        <v>27.245535714285715</v>
      </c>
      <c r="R519">
        <v>2.5810815440100915E-2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0.71988088858886246</v>
      </c>
      <c r="AB519">
        <v>3.9346067165777626E-2</v>
      </c>
      <c r="AC519">
        <v>0</v>
      </c>
      <c r="AD519">
        <v>0</v>
      </c>
      <c r="AE519">
        <v>0</v>
      </c>
      <c r="AF519">
        <v>0.24077304424535995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128</v>
      </c>
      <c r="B520" t="s">
        <v>145</v>
      </c>
      <c r="C520" t="s">
        <v>109</v>
      </c>
      <c r="D520" s="12">
        <v>46225</v>
      </c>
      <c r="E520" t="s">
        <v>136</v>
      </c>
      <c r="G520">
        <v>6.7786480661254069</v>
      </c>
      <c r="H520">
        <v>0</v>
      </c>
      <c r="K520">
        <v>0</v>
      </c>
      <c r="N520">
        <v>9.3354238754325252</v>
      </c>
      <c r="R520">
        <v>0.37718078654709392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K520">
        <v>0</v>
      </c>
    </row>
    <row r="521" spans="1:37" x14ac:dyDescent="0.25">
      <c r="A521" t="s">
        <v>128</v>
      </c>
      <c r="B521" t="s">
        <v>146</v>
      </c>
      <c r="C521" t="s">
        <v>109</v>
      </c>
      <c r="D521" s="12">
        <v>46225</v>
      </c>
      <c r="E521" t="s">
        <v>136</v>
      </c>
      <c r="G521">
        <v>6.7655742969551058</v>
      </c>
      <c r="H521">
        <v>6.6499999999999995</v>
      </c>
      <c r="K521">
        <v>6.6499999999999995</v>
      </c>
      <c r="N521">
        <v>9.3354238754325252</v>
      </c>
      <c r="R521">
        <v>0.34845024783683287</v>
      </c>
      <c r="S521">
        <v>0</v>
      </c>
      <c r="T521">
        <v>0</v>
      </c>
      <c r="U521">
        <v>0</v>
      </c>
      <c r="V521">
        <v>0</v>
      </c>
      <c r="W521">
        <v>0.1011770098921151</v>
      </c>
      <c r="X521">
        <v>3.1391797447334446E-2</v>
      </c>
      <c r="Y521">
        <v>0</v>
      </c>
      <c r="Z521">
        <v>0</v>
      </c>
      <c r="AA521">
        <v>4.8474500538352373E-2</v>
      </c>
      <c r="AB521">
        <v>0</v>
      </c>
      <c r="AC521">
        <v>0</v>
      </c>
      <c r="AD521">
        <v>0</v>
      </c>
      <c r="AE521">
        <v>0</v>
      </c>
      <c r="AF521">
        <v>0.42125027010384947</v>
      </c>
      <c r="AG521">
        <v>0</v>
      </c>
      <c r="AH521">
        <v>0</v>
      </c>
      <c r="AI521">
        <v>0</v>
      </c>
      <c r="AK521">
        <v>0.53027522935779814</v>
      </c>
    </row>
    <row r="522" spans="1:37" x14ac:dyDescent="0.25">
      <c r="A522" t="s">
        <v>128</v>
      </c>
      <c r="B522" t="s">
        <v>145</v>
      </c>
      <c r="C522" t="s">
        <v>109</v>
      </c>
      <c r="D522" s="12">
        <v>46225</v>
      </c>
      <c r="E522" t="s">
        <v>135</v>
      </c>
      <c r="G522">
        <v>9.8330447905423668</v>
      </c>
      <c r="H522">
        <v>8.5500000000000007</v>
      </c>
      <c r="K522">
        <v>8.5500000000000007</v>
      </c>
      <c r="N522">
        <v>7.5087045847750851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8.3088830302903385E-2</v>
      </c>
      <c r="AA522">
        <v>9.5715670032692088E-2</v>
      </c>
      <c r="AB522">
        <v>0.11785612031697393</v>
      </c>
      <c r="AC522">
        <v>0</v>
      </c>
      <c r="AD522">
        <v>0.11852439612315076</v>
      </c>
      <c r="AE522">
        <v>0</v>
      </c>
      <c r="AF522">
        <v>0.6679038135271832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128</v>
      </c>
      <c r="B523" t="s">
        <v>146</v>
      </c>
      <c r="C523" t="s">
        <v>109</v>
      </c>
      <c r="D523" s="12">
        <v>46225</v>
      </c>
      <c r="E523" t="s">
        <v>135</v>
      </c>
      <c r="G523">
        <v>9.8140698021217112</v>
      </c>
      <c r="H523">
        <v>8.5500000000000007</v>
      </c>
      <c r="K523">
        <v>8.5500000000000007</v>
      </c>
      <c r="N523">
        <v>7.5087045847750851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8.6402552206885821E-2</v>
      </c>
      <c r="AA523">
        <v>9.5900731252671706E-2</v>
      </c>
      <c r="AB523">
        <v>0.11930361548072468</v>
      </c>
      <c r="AC523">
        <v>0</v>
      </c>
      <c r="AD523">
        <v>0.11560048280154235</v>
      </c>
      <c r="AE523">
        <v>0</v>
      </c>
      <c r="AF523">
        <v>0.66919517046506138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128</v>
      </c>
      <c r="B524" t="s">
        <v>145</v>
      </c>
      <c r="C524" t="s">
        <v>109</v>
      </c>
      <c r="D524" s="12">
        <v>46226</v>
      </c>
      <c r="E524" t="s">
        <v>134</v>
      </c>
      <c r="G524">
        <v>26.924273776316959</v>
      </c>
      <c r="H524">
        <v>38</v>
      </c>
      <c r="K524">
        <v>38</v>
      </c>
      <c r="N524">
        <v>23.71875</v>
      </c>
      <c r="R524">
        <v>0</v>
      </c>
      <c r="S524">
        <v>0</v>
      </c>
      <c r="T524">
        <v>0.23158035999350471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0.19538869873624851</v>
      </c>
      <c r="AA524">
        <v>0</v>
      </c>
      <c r="AB524">
        <v>1.5603228932500457E-2</v>
      </c>
      <c r="AC524">
        <v>0</v>
      </c>
      <c r="AD524">
        <v>0.10345379013319449</v>
      </c>
      <c r="AE524">
        <v>0</v>
      </c>
      <c r="AF524">
        <v>0.88094298093430501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128</v>
      </c>
      <c r="B525" t="s">
        <v>146</v>
      </c>
      <c r="C525" t="s">
        <v>109</v>
      </c>
      <c r="D525" s="12">
        <v>46226</v>
      </c>
      <c r="E525" t="s">
        <v>134</v>
      </c>
      <c r="G525">
        <v>26.933502998222423</v>
      </c>
      <c r="H525">
        <v>6.6499999999999995</v>
      </c>
      <c r="K525">
        <v>6.6499999999999995</v>
      </c>
      <c r="N525">
        <v>23.71875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0.63373672563596783</v>
      </c>
      <c r="AB525">
        <v>0.11935888912907436</v>
      </c>
      <c r="AC525">
        <v>0</v>
      </c>
      <c r="AD525">
        <v>0</v>
      </c>
      <c r="AE525">
        <v>0</v>
      </c>
      <c r="AF525">
        <v>0.24690438523495778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128</v>
      </c>
      <c r="B526" t="s">
        <v>145</v>
      </c>
      <c r="C526" t="s">
        <v>109</v>
      </c>
      <c r="D526" s="12">
        <v>46226</v>
      </c>
      <c r="E526" t="s">
        <v>136</v>
      </c>
      <c r="G526">
        <v>6.7786480661254078</v>
      </c>
      <c r="H526">
        <v>0.95</v>
      </c>
      <c r="K526">
        <v>0.95</v>
      </c>
      <c r="N526">
        <v>9.3354238754325252</v>
      </c>
      <c r="R526">
        <v>0.37718078654709392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0.39110406076067183</v>
      </c>
      <c r="AB526">
        <v>0</v>
      </c>
      <c r="AC526">
        <v>0</v>
      </c>
      <c r="AD526">
        <v>0</v>
      </c>
      <c r="AE526">
        <v>0</v>
      </c>
      <c r="AF526">
        <v>0.14014593923932805</v>
      </c>
      <c r="AG526">
        <v>0</v>
      </c>
      <c r="AH526">
        <v>0</v>
      </c>
      <c r="AI526">
        <v>0</v>
      </c>
      <c r="AK526">
        <v>0</v>
      </c>
    </row>
    <row r="527" spans="1:37" x14ac:dyDescent="0.25">
      <c r="A527" t="s">
        <v>128</v>
      </c>
      <c r="B527" t="s">
        <v>146</v>
      </c>
      <c r="C527" t="s">
        <v>109</v>
      </c>
      <c r="D527" s="12">
        <v>46226</v>
      </c>
      <c r="E527" t="s">
        <v>136</v>
      </c>
      <c r="G527">
        <v>6.7655742969551058</v>
      </c>
      <c r="H527">
        <v>6.6499999999999995</v>
      </c>
      <c r="K527">
        <v>6.6499999999999995</v>
      </c>
      <c r="N527">
        <v>9.3354238754325252</v>
      </c>
      <c r="R527">
        <v>0.34845024783683287</v>
      </c>
      <c r="S527">
        <v>0</v>
      </c>
      <c r="T527">
        <v>0</v>
      </c>
      <c r="U527">
        <v>0</v>
      </c>
      <c r="V527">
        <v>0</v>
      </c>
      <c r="W527">
        <v>0.10117700989211498</v>
      </c>
      <c r="X527">
        <v>3.1391797447334564E-2</v>
      </c>
      <c r="Y527">
        <v>0</v>
      </c>
      <c r="Z527">
        <v>0</v>
      </c>
      <c r="AA527">
        <v>4.8474500538352429E-2</v>
      </c>
      <c r="AB527">
        <v>0</v>
      </c>
      <c r="AC527">
        <v>0</v>
      </c>
      <c r="AD527">
        <v>0</v>
      </c>
      <c r="AE527">
        <v>0</v>
      </c>
      <c r="AF527">
        <v>0.42125027010384947</v>
      </c>
      <c r="AG527">
        <v>0</v>
      </c>
      <c r="AH527">
        <v>0</v>
      </c>
      <c r="AI527">
        <v>0</v>
      </c>
      <c r="AK527">
        <v>0.53027522935779814</v>
      </c>
    </row>
    <row r="528" spans="1:37" x14ac:dyDescent="0.25">
      <c r="A528" t="s">
        <v>128</v>
      </c>
      <c r="B528" t="s">
        <v>145</v>
      </c>
      <c r="C528" t="s">
        <v>109</v>
      </c>
      <c r="D528" s="12">
        <v>46226</v>
      </c>
      <c r="E528" t="s">
        <v>135</v>
      </c>
      <c r="G528">
        <v>10.754837871019967</v>
      </c>
      <c r="H528">
        <v>6.6499999999999995</v>
      </c>
      <c r="K528">
        <v>6.6499999999999995</v>
      </c>
      <c r="N528">
        <v>8.9862046985977049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2.6816518847152061E-2</v>
      </c>
      <c r="AA528">
        <v>0.27655492730274678</v>
      </c>
      <c r="AB528">
        <v>0.13193520859454055</v>
      </c>
      <c r="AC528">
        <v>0</v>
      </c>
      <c r="AD528">
        <v>3.2514799265459721E-2</v>
      </c>
      <c r="AE528">
        <v>0</v>
      </c>
      <c r="AF528">
        <v>0.55899506483725292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128</v>
      </c>
      <c r="B529" t="s">
        <v>146</v>
      </c>
      <c r="C529" t="s">
        <v>109</v>
      </c>
      <c r="D529" s="12">
        <v>46226</v>
      </c>
      <c r="E529" t="s">
        <v>135</v>
      </c>
      <c r="G529">
        <v>10.752377986437555</v>
      </c>
      <c r="H529">
        <v>6.6499999999999995</v>
      </c>
      <c r="K529">
        <v>6.6499999999999995</v>
      </c>
      <c r="N529">
        <v>8.9862046985977049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2.741516685299026E-2</v>
      </c>
      <c r="AA529">
        <v>0.27661819639566004</v>
      </c>
      <c r="AB529">
        <v>0.13232912935390764</v>
      </c>
      <c r="AC529">
        <v>0</v>
      </c>
      <c r="AD529">
        <v>3.1929724833287133E-2</v>
      </c>
      <c r="AE529">
        <v>0</v>
      </c>
      <c r="AF529">
        <v>0.55912294941714513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128</v>
      </c>
      <c r="B530" t="s">
        <v>145</v>
      </c>
      <c r="C530" t="s">
        <v>109</v>
      </c>
      <c r="D530" s="12">
        <v>46227</v>
      </c>
      <c r="E530" t="s">
        <v>134</v>
      </c>
      <c r="G530">
        <v>26.220922841721425</v>
      </c>
      <c r="H530">
        <v>34.200000000000003</v>
      </c>
      <c r="K530">
        <v>34.200000000000003</v>
      </c>
      <c r="N530">
        <v>26.375000000000004</v>
      </c>
      <c r="R530">
        <v>1.782524571115069E-2</v>
      </c>
      <c r="S530">
        <v>0</v>
      </c>
      <c r="T530">
        <v>0.16531289922756034</v>
      </c>
      <c r="U530">
        <v>0</v>
      </c>
      <c r="V530">
        <v>0</v>
      </c>
      <c r="W530">
        <v>0</v>
      </c>
      <c r="X530">
        <v>5.8636003445345104E-3</v>
      </c>
      <c r="Y530">
        <v>0</v>
      </c>
      <c r="Z530">
        <v>0.14914719065620644</v>
      </c>
      <c r="AA530">
        <v>1.6021770481119031E-2</v>
      </c>
      <c r="AB530">
        <v>0</v>
      </c>
      <c r="AC530">
        <v>0</v>
      </c>
      <c r="AD530">
        <v>1.7812731045979382E-2</v>
      </c>
      <c r="AE530">
        <v>0</v>
      </c>
      <c r="AF530">
        <v>0.96616549847290178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128</v>
      </c>
      <c r="B531" t="s">
        <v>146</v>
      </c>
      <c r="C531" t="s">
        <v>109</v>
      </c>
      <c r="D531" s="12">
        <v>46227</v>
      </c>
      <c r="E531" t="s">
        <v>134</v>
      </c>
      <c r="G531">
        <v>26.221255612373248</v>
      </c>
      <c r="H531">
        <v>5.6999999999999993</v>
      </c>
      <c r="K531">
        <v>5.6999999999999993</v>
      </c>
      <c r="N531">
        <v>26.375000000000004</v>
      </c>
      <c r="R531">
        <v>2.373729588444335E-2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0.76474515917556196</v>
      </c>
      <c r="AB531">
        <v>1.787394632180055E-2</v>
      </c>
      <c r="AC531">
        <v>0</v>
      </c>
      <c r="AD531">
        <v>0</v>
      </c>
      <c r="AE531">
        <v>0</v>
      </c>
      <c r="AF531">
        <v>0.21738089450263745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128</v>
      </c>
      <c r="B532" t="s">
        <v>145</v>
      </c>
      <c r="C532" t="s">
        <v>109</v>
      </c>
      <c r="D532" s="12">
        <v>46227</v>
      </c>
      <c r="E532" t="s">
        <v>136</v>
      </c>
      <c r="G532">
        <v>6.7786480661254069</v>
      </c>
      <c r="H532">
        <v>0.95</v>
      </c>
      <c r="K532">
        <v>0.95</v>
      </c>
      <c r="N532">
        <v>7.5707179930795858</v>
      </c>
      <c r="R532">
        <v>0.16242901039899629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0.8142728228419065</v>
      </c>
      <c r="AB532">
        <v>4.5581237918765394E-2</v>
      </c>
      <c r="AC532">
        <v>0</v>
      </c>
      <c r="AD532">
        <v>0</v>
      </c>
      <c r="AE532">
        <v>0</v>
      </c>
      <c r="AF532">
        <v>0.14014593923932805</v>
      </c>
      <c r="AG532">
        <v>0</v>
      </c>
      <c r="AH532">
        <v>0</v>
      </c>
      <c r="AI532">
        <v>0</v>
      </c>
      <c r="AK532">
        <v>0</v>
      </c>
    </row>
    <row r="533" spans="1:37" x14ac:dyDescent="0.25">
      <c r="A533" t="s">
        <v>128</v>
      </c>
      <c r="B533" t="s">
        <v>146</v>
      </c>
      <c r="C533" t="s">
        <v>109</v>
      </c>
      <c r="D533" s="12">
        <v>46227</v>
      </c>
      <c r="E533" t="s">
        <v>136</v>
      </c>
      <c r="G533">
        <v>6.7655742969551049</v>
      </c>
      <c r="H533">
        <v>6.6499999999999995</v>
      </c>
      <c r="K533">
        <v>6.6499999999999995</v>
      </c>
      <c r="N533">
        <v>7.5707179930795858</v>
      </c>
      <c r="R533">
        <v>0.13335244618612588</v>
      </c>
      <c r="S533">
        <v>0</v>
      </c>
      <c r="T533">
        <v>0</v>
      </c>
      <c r="U533">
        <v>0</v>
      </c>
      <c r="V533">
        <v>0</v>
      </c>
      <c r="W533">
        <v>0.10117700989211498</v>
      </c>
      <c r="X533">
        <v>3.1391797447334564E-2</v>
      </c>
      <c r="Y533">
        <v>0</v>
      </c>
      <c r="Z533">
        <v>0</v>
      </c>
      <c r="AA533">
        <v>2.7362216294004554E-3</v>
      </c>
      <c r="AB533">
        <v>4.5738278908951921E-2</v>
      </c>
      <c r="AC533">
        <v>0</v>
      </c>
      <c r="AD533">
        <v>0</v>
      </c>
      <c r="AE533">
        <v>0</v>
      </c>
      <c r="AF533">
        <v>0.42125027010384952</v>
      </c>
      <c r="AG533">
        <v>0</v>
      </c>
      <c r="AH533">
        <v>0</v>
      </c>
      <c r="AI533">
        <v>0</v>
      </c>
      <c r="AK533">
        <v>0.53027522935779825</v>
      </c>
    </row>
    <row r="534" spans="1:37" x14ac:dyDescent="0.25">
      <c r="A534" t="s">
        <v>128</v>
      </c>
      <c r="B534" t="s">
        <v>145</v>
      </c>
      <c r="C534" t="s">
        <v>109</v>
      </c>
      <c r="D534" s="12">
        <v>46227</v>
      </c>
      <c r="E534" t="s">
        <v>135</v>
      </c>
      <c r="G534">
        <v>8.2967229897463586</v>
      </c>
      <c r="H534">
        <v>6.6499999999999995</v>
      </c>
      <c r="K534">
        <v>6.6499999999999995</v>
      </c>
      <c r="N534">
        <v>5.813148788927335</v>
      </c>
      <c r="R534">
        <v>0</v>
      </c>
      <c r="S534">
        <v>0</v>
      </c>
      <c r="T534">
        <v>0.10476475511154894</v>
      </c>
      <c r="U534">
        <v>0</v>
      </c>
      <c r="V534">
        <v>1.4646951317292989E-2</v>
      </c>
      <c r="W534">
        <v>0</v>
      </c>
      <c r="X534">
        <v>6.772009029345373E-2</v>
      </c>
      <c r="Y534">
        <v>0</v>
      </c>
      <c r="Z534">
        <v>0</v>
      </c>
      <c r="AA534">
        <v>0.11343954375135863</v>
      </c>
      <c r="AB534">
        <v>0.27217097665274359</v>
      </c>
      <c r="AC534">
        <v>0</v>
      </c>
      <c r="AD534">
        <v>0.10954005943490568</v>
      </c>
      <c r="AE534">
        <v>0</v>
      </c>
      <c r="AF534">
        <v>0.5048494201609921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128</v>
      </c>
      <c r="B535" t="s">
        <v>146</v>
      </c>
      <c r="C535" t="s">
        <v>109</v>
      </c>
      <c r="D535" s="12">
        <v>46227</v>
      </c>
      <c r="E535" t="s">
        <v>135</v>
      </c>
      <c r="G535">
        <v>8.301202861771058</v>
      </c>
      <c r="H535">
        <v>6.6499999999999995</v>
      </c>
      <c r="K535">
        <v>6.6499999999999995</v>
      </c>
      <c r="N535">
        <v>5.813148788927335</v>
      </c>
      <c r="R535">
        <v>0</v>
      </c>
      <c r="S535">
        <v>0</v>
      </c>
      <c r="T535">
        <v>0.10470821719729559</v>
      </c>
      <c r="U535">
        <v>0</v>
      </c>
      <c r="V535">
        <v>1.4456315913739614E-2</v>
      </c>
      <c r="W535">
        <v>0</v>
      </c>
      <c r="X535">
        <v>6.7720090293453716E-2</v>
      </c>
      <c r="Y535">
        <v>0</v>
      </c>
      <c r="Z535">
        <v>0</v>
      </c>
      <c r="AA535">
        <v>0.11337832435375944</v>
      </c>
      <c r="AB535">
        <v>0.27241757603869782</v>
      </c>
      <c r="AC535">
        <v>0</v>
      </c>
      <c r="AD535">
        <v>0.10948094445409891</v>
      </c>
      <c r="AE535">
        <v>0</v>
      </c>
      <c r="AF535">
        <v>0.50472315515344379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128</v>
      </c>
      <c r="B536" t="s">
        <v>145</v>
      </c>
      <c r="C536" t="s">
        <v>109</v>
      </c>
      <c r="D536" s="12">
        <v>46228</v>
      </c>
      <c r="E536" t="s">
        <v>134</v>
      </c>
      <c r="G536">
        <v>26.220922841721425</v>
      </c>
      <c r="H536">
        <v>30.4</v>
      </c>
      <c r="K536">
        <v>30.4</v>
      </c>
      <c r="N536">
        <v>27.25</v>
      </c>
      <c r="R536">
        <v>1.2835129859959337E-2</v>
      </c>
      <c r="S536">
        <v>0</v>
      </c>
      <c r="T536">
        <v>5.3938669148485434E-2</v>
      </c>
      <c r="U536">
        <v>0</v>
      </c>
      <c r="V536">
        <v>0</v>
      </c>
      <c r="W536">
        <v>0</v>
      </c>
      <c r="X536">
        <v>2.641128280409679E-2</v>
      </c>
      <c r="Y536">
        <v>0</v>
      </c>
      <c r="Z536">
        <v>9.8947770188925033E-2</v>
      </c>
      <c r="AA536">
        <v>1.9918237921789705E-2</v>
      </c>
      <c r="AB536">
        <v>0</v>
      </c>
      <c r="AC536">
        <v>0</v>
      </c>
      <c r="AD536">
        <v>0</v>
      </c>
      <c r="AE536">
        <v>0</v>
      </c>
      <c r="AF536">
        <v>0.98008176207821029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128</v>
      </c>
      <c r="B537" t="s">
        <v>146</v>
      </c>
      <c r="C537" t="s">
        <v>109</v>
      </c>
      <c r="D537" s="12">
        <v>46228</v>
      </c>
      <c r="E537" t="s">
        <v>134</v>
      </c>
      <c r="G537">
        <v>26.221255612373248</v>
      </c>
      <c r="H537">
        <v>7.6</v>
      </c>
      <c r="K537">
        <v>7.6</v>
      </c>
      <c r="N537">
        <v>27.25</v>
      </c>
      <c r="R537">
        <v>3.9233223718749273E-2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0.54919301256120512</v>
      </c>
      <c r="AB537">
        <v>0</v>
      </c>
      <c r="AC537">
        <v>0</v>
      </c>
      <c r="AD537">
        <v>0</v>
      </c>
      <c r="AE537">
        <v>0</v>
      </c>
      <c r="AF537">
        <v>0.28984119267018327</v>
      </c>
      <c r="AG537">
        <v>0</v>
      </c>
      <c r="AH537">
        <v>0</v>
      </c>
      <c r="AI537">
        <v>0</v>
      </c>
      <c r="AJ537">
        <v>0.1609657947686117</v>
      </c>
      <c r="AK537">
        <v>0</v>
      </c>
    </row>
    <row r="538" spans="1:37" x14ac:dyDescent="0.25">
      <c r="A538" t="s">
        <v>128</v>
      </c>
      <c r="B538" t="s">
        <v>145</v>
      </c>
      <c r="C538" t="s">
        <v>109</v>
      </c>
      <c r="D538" s="12">
        <v>46228</v>
      </c>
      <c r="E538" t="s">
        <v>136</v>
      </c>
      <c r="G538">
        <v>6.7786480661254078</v>
      </c>
      <c r="H538">
        <v>0</v>
      </c>
      <c r="K538">
        <v>0</v>
      </c>
      <c r="N538">
        <v>8.4011678200692028</v>
      </c>
      <c r="R538">
        <v>0.23935742615875436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K538">
        <v>0</v>
      </c>
    </row>
    <row r="539" spans="1:37" x14ac:dyDescent="0.25">
      <c r="A539" t="s">
        <v>128</v>
      </c>
      <c r="B539" t="s">
        <v>146</v>
      </c>
      <c r="C539" t="s">
        <v>109</v>
      </c>
      <c r="D539" s="12">
        <v>46228</v>
      </c>
      <c r="E539" t="s">
        <v>136</v>
      </c>
      <c r="G539">
        <v>6.7655742969551067</v>
      </c>
      <c r="H539">
        <v>8.5499999999999989</v>
      </c>
      <c r="K539">
        <v>8.5499999999999989</v>
      </c>
      <c r="N539">
        <v>8.4011678200692028</v>
      </c>
      <c r="R539">
        <v>0.20742615222248179</v>
      </c>
      <c r="S539">
        <v>0</v>
      </c>
      <c r="T539">
        <v>3.9239746809168106E-2</v>
      </c>
      <c r="U539">
        <v>0</v>
      </c>
      <c r="V539">
        <v>0</v>
      </c>
      <c r="W539">
        <v>0</v>
      </c>
      <c r="X539">
        <v>3.4326203353630458E-2</v>
      </c>
      <c r="Y539">
        <v>0</v>
      </c>
      <c r="Z539">
        <v>9.8242603985819063E-2</v>
      </c>
      <c r="AA539">
        <v>4.8474500538352422E-2</v>
      </c>
      <c r="AB539">
        <v>0</v>
      </c>
      <c r="AC539">
        <v>0</v>
      </c>
      <c r="AD539">
        <v>0</v>
      </c>
      <c r="AE539">
        <v>0</v>
      </c>
      <c r="AF539">
        <v>0.95152549946164755</v>
      </c>
      <c r="AG539">
        <v>0</v>
      </c>
      <c r="AH539">
        <v>0</v>
      </c>
      <c r="AI539">
        <v>0</v>
      </c>
      <c r="AK539">
        <v>0</v>
      </c>
    </row>
    <row r="540" spans="1:37" x14ac:dyDescent="0.25">
      <c r="A540" t="s">
        <v>128</v>
      </c>
      <c r="B540" t="s">
        <v>145</v>
      </c>
      <c r="C540" t="s">
        <v>109</v>
      </c>
      <c r="D540" s="12">
        <v>46228</v>
      </c>
      <c r="E540" t="s">
        <v>135</v>
      </c>
      <c r="G540">
        <v>7.0325496222342148</v>
      </c>
      <c r="H540">
        <v>5.6999999999999993</v>
      </c>
      <c r="K540">
        <v>5.6999999999999993</v>
      </c>
      <c r="N540">
        <v>7.8650519031141854</v>
      </c>
      <c r="R540">
        <v>0.13843192925177222</v>
      </c>
      <c r="S540">
        <v>0</v>
      </c>
      <c r="T540">
        <v>0</v>
      </c>
      <c r="U540">
        <v>0</v>
      </c>
      <c r="V540">
        <v>0</v>
      </c>
      <c r="W540">
        <v>1.9175660556637164E-2</v>
      </c>
      <c r="X540">
        <v>6.5711157019927413E-2</v>
      </c>
      <c r="Y540">
        <v>0</v>
      </c>
      <c r="Z540">
        <v>0</v>
      </c>
      <c r="AA540">
        <v>0.16942965998879633</v>
      </c>
      <c r="AB540">
        <v>8.5764642378759567E-2</v>
      </c>
      <c r="AC540">
        <v>0</v>
      </c>
      <c r="AD540">
        <v>0</v>
      </c>
      <c r="AE540">
        <v>0</v>
      </c>
      <c r="AF540">
        <v>0.40525842732618578</v>
      </c>
      <c r="AG540">
        <v>0</v>
      </c>
      <c r="AH540">
        <v>0</v>
      </c>
      <c r="AI540">
        <v>0</v>
      </c>
      <c r="AJ540">
        <v>0</v>
      </c>
      <c r="AK540">
        <v>0.33954727030625836</v>
      </c>
    </row>
    <row r="541" spans="1:37" x14ac:dyDescent="0.25">
      <c r="A541" t="s">
        <v>128</v>
      </c>
      <c r="B541" t="s">
        <v>146</v>
      </c>
      <c r="C541" t="s">
        <v>109</v>
      </c>
      <c r="D541" s="12">
        <v>46228</v>
      </c>
      <c r="E541" t="s">
        <v>135</v>
      </c>
      <c r="G541">
        <v>7.0363468952483803</v>
      </c>
      <c r="H541">
        <v>5.6999999999999993</v>
      </c>
      <c r="K541">
        <v>5.6999999999999993</v>
      </c>
      <c r="N541">
        <v>7.8650519031141854</v>
      </c>
      <c r="R541">
        <v>0.13835722232826883</v>
      </c>
      <c r="S541">
        <v>0</v>
      </c>
      <c r="T541">
        <v>0</v>
      </c>
      <c r="U541">
        <v>0</v>
      </c>
      <c r="V541">
        <v>0</v>
      </c>
      <c r="W541">
        <v>1.9394364510941679E-2</v>
      </c>
      <c r="X541">
        <v>6.5492453065622902E-2</v>
      </c>
      <c r="Y541">
        <v>0</v>
      </c>
      <c r="Z541">
        <v>0</v>
      </c>
      <c r="AA541">
        <v>0.1693382246623048</v>
      </c>
      <c r="AB541">
        <v>8.6074781659555538E-2</v>
      </c>
      <c r="AC541">
        <v>0</v>
      </c>
      <c r="AD541">
        <v>0</v>
      </c>
      <c r="AE541">
        <v>0</v>
      </c>
      <c r="AF541">
        <v>0.40503972337188127</v>
      </c>
      <c r="AG541">
        <v>0</v>
      </c>
      <c r="AH541">
        <v>0</v>
      </c>
      <c r="AI541">
        <v>0</v>
      </c>
      <c r="AJ541">
        <v>0</v>
      </c>
      <c r="AK541">
        <v>0.33954727030625831</v>
      </c>
    </row>
    <row r="542" spans="1:37" x14ac:dyDescent="0.25">
      <c r="A542" t="s">
        <v>128</v>
      </c>
      <c r="B542" t="s">
        <v>145</v>
      </c>
      <c r="C542" t="s">
        <v>109</v>
      </c>
      <c r="D542" s="12">
        <v>46229</v>
      </c>
      <c r="E542" t="s">
        <v>134</v>
      </c>
      <c r="G542">
        <v>27.008675888468424</v>
      </c>
      <c r="H542">
        <v>26.6</v>
      </c>
      <c r="K542">
        <v>26.6</v>
      </c>
      <c r="N542">
        <v>27.682291666666664</v>
      </c>
      <c r="R542">
        <v>7.6353756334823835E-3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1.7305342711242126E-2</v>
      </c>
      <c r="Y542">
        <v>0</v>
      </c>
      <c r="Z542">
        <v>2.3140712361498926E-3</v>
      </c>
      <c r="AA542">
        <v>3.4750695841996623E-2</v>
      </c>
      <c r="AB542">
        <v>0</v>
      </c>
      <c r="AC542">
        <v>0</v>
      </c>
      <c r="AD542">
        <v>0</v>
      </c>
      <c r="AE542">
        <v>0</v>
      </c>
      <c r="AF542">
        <v>0.96524930415800336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128</v>
      </c>
      <c r="B543" t="s">
        <v>146</v>
      </c>
      <c r="C543" t="s">
        <v>109</v>
      </c>
      <c r="D543" s="12">
        <v>46229</v>
      </c>
      <c r="E543" t="s">
        <v>134</v>
      </c>
      <c r="G543">
        <v>27.012641596650109</v>
      </c>
      <c r="H543">
        <v>8.5499999999999989</v>
      </c>
      <c r="K543">
        <v>8.5499999999999989</v>
      </c>
      <c r="N543">
        <v>27.682291666666664</v>
      </c>
      <c r="R543">
        <v>2.4790247470636125E-2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0.68348152958649167</v>
      </c>
      <c r="AB543">
        <v>0</v>
      </c>
      <c r="AC543">
        <v>0</v>
      </c>
      <c r="AD543">
        <v>0</v>
      </c>
      <c r="AE543">
        <v>0</v>
      </c>
      <c r="AF543">
        <v>0.31651847041350822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128</v>
      </c>
      <c r="B544" t="s">
        <v>145</v>
      </c>
      <c r="C544" t="s">
        <v>109</v>
      </c>
      <c r="D544" s="12">
        <v>46229</v>
      </c>
      <c r="E544" t="s">
        <v>136</v>
      </c>
      <c r="G544">
        <v>6.7786480661254069</v>
      </c>
      <c r="H544">
        <v>0.95</v>
      </c>
      <c r="K544">
        <v>0.95</v>
      </c>
      <c r="N544">
        <v>9.3977076124567454</v>
      </c>
      <c r="R544">
        <v>0.38636901057298317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0.39110406076067189</v>
      </c>
      <c r="AB544">
        <v>0</v>
      </c>
      <c r="AC544">
        <v>0</v>
      </c>
      <c r="AD544">
        <v>0</v>
      </c>
      <c r="AE544">
        <v>0</v>
      </c>
      <c r="AF544">
        <v>0.14014593923932805</v>
      </c>
      <c r="AG544">
        <v>0</v>
      </c>
      <c r="AH544">
        <v>0</v>
      </c>
      <c r="AI544">
        <v>0</v>
      </c>
      <c r="AK544">
        <v>0</v>
      </c>
    </row>
    <row r="545" spans="1:37" x14ac:dyDescent="0.25">
      <c r="A545" t="s">
        <v>128</v>
      </c>
      <c r="B545" t="s">
        <v>146</v>
      </c>
      <c r="C545" t="s">
        <v>109</v>
      </c>
      <c r="D545" s="12">
        <v>46229</v>
      </c>
      <c r="E545" t="s">
        <v>136</v>
      </c>
      <c r="G545">
        <v>6.7655742969551058</v>
      </c>
      <c r="H545">
        <v>8.5500000000000007</v>
      </c>
      <c r="K545">
        <v>8.5500000000000007</v>
      </c>
      <c r="N545">
        <v>9.3977076124567454</v>
      </c>
      <c r="R545">
        <v>0.21723947044941982</v>
      </c>
      <c r="S545">
        <v>0</v>
      </c>
      <c r="T545">
        <v>0</v>
      </c>
      <c r="U545">
        <v>0</v>
      </c>
      <c r="V545">
        <v>3.9239746809168113E-2</v>
      </c>
      <c r="W545">
        <v>0</v>
      </c>
      <c r="X545">
        <v>0.13256880733944953</v>
      </c>
      <c r="Y545">
        <v>0</v>
      </c>
      <c r="Z545">
        <v>0</v>
      </c>
      <c r="AA545">
        <v>4.8474500538352373E-2</v>
      </c>
      <c r="AB545">
        <v>0</v>
      </c>
      <c r="AC545">
        <v>0</v>
      </c>
      <c r="AD545">
        <v>0</v>
      </c>
      <c r="AE545">
        <v>0</v>
      </c>
      <c r="AF545">
        <v>0.95152549946164766</v>
      </c>
      <c r="AG545">
        <v>0</v>
      </c>
      <c r="AH545">
        <v>0</v>
      </c>
      <c r="AI545">
        <v>0</v>
      </c>
      <c r="AK545">
        <v>0</v>
      </c>
    </row>
    <row r="546" spans="1:37" x14ac:dyDescent="0.25">
      <c r="A546" t="s">
        <v>128</v>
      </c>
      <c r="B546" t="s">
        <v>145</v>
      </c>
      <c r="C546" t="s">
        <v>109</v>
      </c>
      <c r="D546" s="12">
        <v>46229</v>
      </c>
      <c r="E546" t="s">
        <v>135</v>
      </c>
      <c r="G546">
        <v>8.1518697913855913</v>
      </c>
      <c r="H546">
        <v>6.65</v>
      </c>
      <c r="K546">
        <v>6.65</v>
      </c>
      <c r="N546">
        <v>7.7922253460207589</v>
      </c>
      <c r="R546">
        <v>0</v>
      </c>
      <c r="S546">
        <v>0</v>
      </c>
      <c r="T546">
        <v>4.4897184759240434E-2</v>
      </c>
      <c r="U546">
        <v>0</v>
      </c>
      <c r="V546">
        <v>0</v>
      </c>
      <c r="W546">
        <v>0</v>
      </c>
      <c r="X546">
        <v>9.6020602027861463E-3</v>
      </c>
      <c r="Y546">
        <v>0</v>
      </c>
      <c r="Z546">
        <v>9.7956183685644044E-2</v>
      </c>
      <c r="AA546">
        <v>0.28297157141566726</v>
      </c>
      <c r="AB546">
        <v>5.3720091350055309E-2</v>
      </c>
      <c r="AC546">
        <v>0</v>
      </c>
      <c r="AD546">
        <v>0</v>
      </c>
      <c r="AE546">
        <v>0</v>
      </c>
      <c r="AF546">
        <v>0.66330833723427729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128</v>
      </c>
      <c r="B547" t="s">
        <v>146</v>
      </c>
      <c r="C547" t="s">
        <v>109</v>
      </c>
      <c r="D547" s="12">
        <v>46229</v>
      </c>
      <c r="E547" t="s">
        <v>135</v>
      </c>
      <c r="G547">
        <v>8.1606633099352059</v>
      </c>
      <c r="H547">
        <v>6.65</v>
      </c>
      <c r="K547">
        <v>6.65</v>
      </c>
      <c r="N547">
        <v>7.7922253460207589</v>
      </c>
      <c r="R547">
        <v>0</v>
      </c>
      <c r="S547">
        <v>0</v>
      </c>
      <c r="T547">
        <v>4.3886016556224462E-2</v>
      </c>
      <c r="U547">
        <v>0</v>
      </c>
      <c r="V547">
        <v>0</v>
      </c>
      <c r="W547">
        <v>0</v>
      </c>
      <c r="X547">
        <v>8.8214820960079363E-3</v>
      </c>
      <c r="Y547">
        <v>0</v>
      </c>
      <c r="Z547">
        <v>9.8813420315013861E-2</v>
      </c>
      <c r="AA547">
        <v>0.28266665554452386</v>
      </c>
      <c r="AB547">
        <v>5.3969523366855426E-2</v>
      </c>
      <c r="AC547">
        <v>0</v>
      </c>
      <c r="AD547">
        <v>0</v>
      </c>
      <c r="AE547">
        <v>0</v>
      </c>
      <c r="AF547">
        <v>0.66336382108862046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128</v>
      </c>
      <c r="B548" t="s">
        <v>145</v>
      </c>
      <c r="C548" t="s">
        <v>109</v>
      </c>
      <c r="D548" s="12">
        <v>46230</v>
      </c>
      <c r="E548" t="s">
        <v>134</v>
      </c>
      <c r="G548">
        <v>27.064943963236065</v>
      </c>
      <c r="H548">
        <v>33.25</v>
      </c>
      <c r="K548">
        <v>33.25</v>
      </c>
      <c r="N548">
        <v>27.609375</v>
      </c>
      <c r="R548">
        <v>0</v>
      </c>
      <c r="S548">
        <v>0</v>
      </c>
      <c r="T548">
        <v>0.11857756972981941</v>
      </c>
      <c r="U548">
        <v>0</v>
      </c>
      <c r="V548">
        <v>0</v>
      </c>
      <c r="W548">
        <v>0</v>
      </c>
      <c r="X548">
        <v>2.0746293947019309E-2</v>
      </c>
      <c r="Y548">
        <v>0</v>
      </c>
      <c r="Z548">
        <v>0.10849969086534694</v>
      </c>
      <c r="AA548">
        <v>1.8666520574348422E-2</v>
      </c>
      <c r="AB548">
        <v>6.3056647669939973E-4</v>
      </c>
      <c r="AC548">
        <v>0</v>
      </c>
      <c r="AD548">
        <v>0</v>
      </c>
      <c r="AE548">
        <v>0</v>
      </c>
      <c r="AF548">
        <v>0.98070291294895218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128</v>
      </c>
      <c r="B549" t="s">
        <v>146</v>
      </c>
      <c r="C549" t="s">
        <v>109</v>
      </c>
      <c r="D549" s="12">
        <v>46230</v>
      </c>
      <c r="E549" t="s">
        <v>134</v>
      </c>
      <c r="G549">
        <v>27.065400662268566</v>
      </c>
      <c r="H549">
        <v>5.7</v>
      </c>
      <c r="K549">
        <v>5.7</v>
      </c>
      <c r="N549">
        <v>27.609375</v>
      </c>
      <c r="R549">
        <v>2.0788595005785195E-2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0.63276351646112095</v>
      </c>
      <c r="AB549">
        <v>6.9008087258106397E-4</v>
      </c>
      <c r="AC549">
        <v>0</v>
      </c>
      <c r="AD549">
        <v>0</v>
      </c>
      <c r="AE549">
        <v>0</v>
      </c>
      <c r="AF549">
        <v>0.21060098356298407</v>
      </c>
      <c r="AG549">
        <v>0</v>
      </c>
      <c r="AH549">
        <v>0</v>
      </c>
      <c r="AI549">
        <v>0</v>
      </c>
      <c r="AJ549">
        <v>0.15594541910331386</v>
      </c>
      <c r="AK549">
        <v>0</v>
      </c>
    </row>
    <row r="550" spans="1:37" x14ac:dyDescent="0.25">
      <c r="A550" t="s">
        <v>128</v>
      </c>
      <c r="B550" t="s">
        <v>145</v>
      </c>
      <c r="C550" t="s">
        <v>109</v>
      </c>
      <c r="D550" s="12">
        <v>46230</v>
      </c>
      <c r="E550" t="s">
        <v>136</v>
      </c>
      <c r="G550">
        <v>6.7786480661254069</v>
      </c>
      <c r="H550">
        <v>0</v>
      </c>
      <c r="K550">
        <v>0</v>
      </c>
      <c r="N550">
        <v>8.512110726643602</v>
      </c>
      <c r="R550">
        <v>0.25572395020487043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K550">
        <v>0</v>
      </c>
    </row>
    <row r="551" spans="1:37" x14ac:dyDescent="0.25">
      <c r="A551" t="s">
        <v>128</v>
      </c>
      <c r="B551" t="s">
        <v>146</v>
      </c>
      <c r="C551" t="s">
        <v>109</v>
      </c>
      <c r="D551" s="12">
        <v>46230</v>
      </c>
      <c r="E551" t="s">
        <v>136</v>
      </c>
      <c r="G551">
        <v>6.7655742969551049</v>
      </c>
      <c r="H551">
        <v>8.5500000000000007</v>
      </c>
      <c r="K551">
        <v>8.5500000000000007</v>
      </c>
      <c r="N551">
        <v>8.512110726643602</v>
      </c>
      <c r="R551">
        <v>9.2059793138708171E-4</v>
      </c>
      <c r="S551">
        <v>0</v>
      </c>
      <c r="T551">
        <v>6.5209020139909797E-3</v>
      </c>
      <c r="U551">
        <v>0</v>
      </c>
      <c r="V551">
        <v>3.2718844795177254E-2</v>
      </c>
      <c r="W551">
        <v>0</v>
      </c>
      <c r="X551">
        <v>0.2245110635023804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1</v>
      </c>
      <c r="AG551">
        <v>0</v>
      </c>
      <c r="AH551">
        <v>0</v>
      </c>
      <c r="AI551">
        <v>0</v>
      </c>
      <c r="AK551">
        <v>0</v>
      </c>
    </row>
    <row r="552" spans="1:37" x14ac:dyDescent="0.25">
      <c r="A552" t="s">
        <v>128</v>
      </c>
      <c r="B552" t="s">
        <v>145</v>
      </c>
      <c r="C552" t="s">
        <v>109</v>
      </c>
      <c r="D552" s="12">
        <v>46230</v>
      </c>
      <c r="E552" t="s">
        <v>135</v>
      </c>
      <c r="G552">
        <v>8.1518697913855913</v>
      </c>
      <c r="H552">
        <v>8.5500000000000007</v>
      </c>
      <c r="K552">
        <v>8.5500000000000007</v>
      </c>
      <c r="N552">
        <v>5.7991457612456747</v>
      </c>
      <c r="R552">
        <v>0</v>
      </c>
      <c r="S552">
        <v>0</v>
      </c>
      <c r="T552">
        <v>4.4897184759240517E-2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0.16016838499014716</v>
      </c>
      <c r="AA552">
        <v>0.11545528751978032</v>
      </c>
      <c r="AB552">
        <v>4.0771154667102696E-2</v>
      </c>
      <c r="AC552">
        <v>0</v>
      </c>
      <c r="AD552">
        <v>0.24784042652205399</v>
      </c>
      <c r="AE552">
        <v>0</v>
      </c>
      <c r="AF552">
        <v>0.59593313129106296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128</v>
      </c>
      <c r="B553" t="s">
        <v>146</v>
      </c>
      <c r="C553" t="s">
        <v>109</v>
      </c>
      <c r="D553" s="12">
        <v>46230</v>
      </c>
      <c r="E553" t="s">
        <v>135</v>
      </c>
      <c r="G553">
        <v>8.1606633099352042</v>
      </c>
      <c r="H553">
        <v>8.5500000000000007</v>
      </c>
      <c r="K553">
        <v>8.5500000000000007</v>
      </c>
      <c r="N553">
        <v>5.7991457612456747</v>
      </c>
      <c r="R553">
        <v>0</v>
      </c>
      <c r="S553">
        <v>0</v>
      </c>
      <c r="T553">
        <v>4.3886016556224643E-2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0.15996530004176476</v>
      </c>
      <c r="AA553">
        <v>0.1153308787341342</v>
      </c>
      <c r="AB553">
        <v>4.0811486363454781E-2</v>
      </c>
      <c r="AC553">
        <v>0</v>
      </c>
      <c r="AD553">
        <v>0.24856665105026479</v>
      </c>
      <c r="AE553">
        <v>0</v>
      </c>
      <c r="AF553">
        <v>0.59529098385214618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128</v>
      </c>
      <c r="B554" t="s">
        <v>145</v>
      </c>
      <c r="C554" t="s">
        <v>109</v>
      </c>
      <c r="D554" s="12">
        <v>46231</v>
      </c>
      <c r="E554" t="s">
        <v>134</v>
      </c>
      <c r="G554">
        <v>26.924273776316959</v>
      </c>
      <c r="H554">
        <v>31.349999999999998</v>
      </c>
      <c r="K554">
        <v>31.349999999999998</v>
      </c>
      <c r="N554">
        <v>25.46875</v>
      </c>
      <c r="R554">
        <v>2.8138913570360684E-2</v>
      </c>
      <c r="S554">
        <v>0</v>
      </c>
      <c r="T554">
        <v>9.0443777013779453E-2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0.10893416927899686</v>
      </c>
      <c r="AA554">
        <v>3.5001136710042777E-2</v>
      </c>
      <c r="AB554">
        <v>0</v>
      </c>
      <c r="AC554">
        <v>0</v>
      </c>
      <c r="AD554">
        <v>8.2198822053287379E-2</v>
      </c>
      <c r="AE554">
        <v>0</v>
      </c>
      <c r="AF554">
        <v>0.88280004123666989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128</v>
      </c>
      <c r="B555" t="s">
        <v>146</v>
      </c>
      <c r="C555" t="s">
        <v>109</v>
      </c>
      <c r="D555" s="12">
        <v>46231</v>
      </c>
      <c r="E555" t="s">
        <v>134</v>
      </c>
      <c r="G555">
        <v>26.933502998222423</v>
      </c>
      <c r="H555">
        <v>4.75</v>
      </c>
      <c r="K555">
        <v>4.75</v>
      </c>
      <c r="N555">
        <v>25.46875</v>
      </c>
      <c r="R555">
        <v>2.8046448393072632E-2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0.58450011681280756</v>
      </c>
      <c r="AB555">
        <v>8.2430499302421273E-2</v>
      </c>
      <c r="AC555">
        <v>0</v>
      </c>
      <c r="AD555">
        <v>0</v>
      </c>
      <c r="AE555">
        <v>0</v>
      </c>
      <c r="AF555">
        <v>0.17636027516782701</v>
      </c>
      <c r="AG555">
        <v>0</v>
      </c>
      <c r="AH555">
        <v>0</v>
      </c>
      <c r="AI555">
        <v>0</v>
      </c>
      <c r="AJ555">
        <v>0.15670910871694418</v>
      </c>
      <c r="AK555">
        <v>0</v>
      </c>
    </row>
    <row r="556" spans="1:37" x14ac:dyDescent="0.25">
      <c r="A556" t="s">
        <v>128</v>
      </c>
      <c r="B556" t="s">
        <v>145</v>
      </c>
      <c r="C556" t="s">
        <v>109</v>
      </c>
      <c r="D556" s="12">
        <v>46231</v>
      </c>
      <c r="E556" t="s">
        <v>136</v>
      </c>
      <c r="G556">
        <v>6.7786480661254069</v>
      </c>
      <c r="H556">
        <v>0</v>
      </c>
      <c r="K556">
        <v>0</v>
      </c>
      <c r="N556">
        <v>9.3944636678200695</v>
      </c>
      <c r="R556">
        <v>0.38589045723830151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K556">
        <v>0</v>
      </c>
    </row>
    <row r="557" spans="1:37" x14ac:dyDescent="0.25">
      <c r="A557" t="s">
        <v>128</v>
      </c>
      <c r="B557" t="s">
        <v>146</v>
      </c>
      <c r="C557" t="s">
        <v>109</v>
      </c>
      <c r="D557" s="12">
        <v>46231</v>
      </c>
      <c r="E557" t="s">
        <v>136</v>
      </c>
      <c r="G557">
        <v>6.7655742969551049</v>
      </c>
      <c r="H557">
        <v>9.5</v>
      </c>
      <c r="K557">
        <v>9.5</v>
      </c>
      <c r="N557">
        <v>9.3944636678200695</v>
      </c>
      <c r="R557">
        <v>0.22328089437414761</v>
      </c>
      <c r="S557">
        <v>0</v>
      </c>
      <c r="T557">
        <v>6.5209020139918054E-3</v>
      </c>
      <c r="U557">
        <v>0</v>
      </c>
      <c r="V557">
        <v>3.2718844795176429E-2</v>
      </c>
      <c r="W557">
        <v>0</v>
      </c>
      <c r="X557">
        <v>0.13256880733944956</v>
      </c>
      <c r="Y557">
        <v>0</v>
      </c>
      <c r="Z557">
        <v>0</v>
      </c>
      <c r="AA557">
        <v>4.8474500538352373E-2</v>
      </c>
      <c r="AB557">
        <v>0</v>
      </c>
      <c r="AC557">
        <v>0</v>
      </c>
      <c r="AD557">
        <v>0</v>
      </c>
      <c r="AE557">
        <v>0</v>
      </c>
      <c r="AF557">
        <v>0.95152549946164766</v>
      </c>
      <c r="AG557">
        <v>0</v>
      </c>
      <c r="AH557">
        <v>0</v>
      </c>
      <c r="AI557">
        <v>0</v>
      </c>
      <c r="AK557">
        <v>0</v>
      </c>
    </row>
    <row r="558" spans="1:37" x14ac:dyDescent="0.25">
      <c r="A558" t="s">
        <v>128</v>
      </c>
      <c r="B558" t="s">
        <v>145</v>
      </c>
      <c r="C558" t="s">
        <v>109</v>
      </c>
      <c r="D558" s="12">
        <v>46231</v>
      </c>
      <c r="E558" t="s">
        <v>135</v>
      </c>
      <c r="G558">
        <v>11.659072988059904</v>
      </c>
      <c r="H558">
        <v>6.65</v>
      </c>
      <c r="K558">
        <v>6.65</v>
      </c>
      <c r="N558">
        <v>9.712478373702421</v>
      </c>
      <c r="R558">
        <v>1.4614670608169403E-2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0.24805444355199713</v>
      </c>
      <c r="AB558">
        <v>0.18157430936769997</v>
      </c>
      <c r="AC558">
        <v>0</v>
      </c>
      <c r="AD558">
        <v>0</v>
      </c>
      <c r="AE558">
        <v>0</v>
      </c>
      <c r="AF558">
        <v>0.57037124708030285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128</v>
      </c>
      <c r="B559" t="s">
        <v>146</v>
      </c>
      <c r="C559" t="s">
        <v>109</v>
      </c>
      <c r="D559" s="12">
        <v>46231</v>
      </c>
      <c r="E559" t="s">
        <v>135</v>
      </c>
      <c r="G559">
        <v>11.674152105831531</v>
      </c>
      <c r="H559">
        <v>6.65</v>
      </c>
      <c r="K559">
        <v>6.65</v>
      </c>
      <c r="N559">
        <v>9.712478373702421</v>
      </c>
      <c r="R559">
        <v>1.4439870729866463E-2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0.24788996238689034</v>
      </c>
      <c r="AB559">
        <v>0.18247552028673711</v>
      </c>
      <c r="AC559">
        <v>0</v>
      </c>
      <c r="AD559">
        <v>0</v>
      </c>
      <c r="AE559">
        <v>0</v>
      </c>
      <c r="AF559">
        <v>0.5696345173263726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128</v>
      </c>
      <c r="B560" t="s">
        <v>145</v>
      </c>
      <c r="C560" t="s">
        <v>109</v>
      </c>
      <c r="D560" s="12">
        <v>46232</v>
      </c>
      <c r="E560" t="s">
        <v>134</v>
      </c>
      <c r="G560">
        <v>27.59949067352867</v>
      </c>
      <c r="H560">
        <v>32.299999999999997</v>
      </c>
      <c r="K560">
        <v>32.299999999999997</v>
      </c>
      <c r="N560">
        <v>28.59375</v>
      </c>
      <c r="R560">
        <v>3.3247008739468002E-2</v>
      </c>
      <c r="S560">
        <v>0</v>
      </c>
      <c r="T560">
        <v>8.4425710581127675E-2</v>
      </c>
      <c r="U560">
        <v>0</v>
      </c>
      <c r="V560">
        <v>0</v>
      </c>
      <c r="W560">
        <v>0</v>
      </c>
      <c r="X560">
        <v>2.7775446927787027E-3</v>
      </c>
      <c r="Y560">
        <v>0</v>
      </c>
      <c r="Z560">
        <v>0.11113682839590631</v>
      </c>
      <c r="AA560">
        <v>2.8028631836402616E-2</v>
      </c>
      <c r="AB560">
        <v>0</v>
      </c>
      <c r="AC560">
        <v>0</v>
      </c>
      <c r="AD560">
        <v>0</v>
      </c>
      <c r="AE560">
        <v>0</v>
      </c>
      <c r="AF560">
        <v>0.97197136816359753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128</v>
      </c>
      <c r="B561" t="s">
        <v>146</v>
      </c>
      <c r="C561" t="s">
        <v>109</v>
      </c>
      <c r="D561" s="12">
        <v>46232</v>
      </c>
      <c r="E561" t="s">
        <v>134</v>
      </c>
      <c r="G561">
        <v>27.619370851262371</v>
      </c>
      <c r="H561">
        <v>6.6499999999999995</v>
      </c>
      <c r="K561">
        <v>6.6499999999999995</v>
      </c>
      <c r="N561">
        <v>28.59375</v>
      </c>
      <c r="R561">
        <v>3.5278832164024283E-2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0.75922695575463994</v>
      </c>
      <c r="AB561">
        <v>0</v>
      </c>
      <c r="AC561">
        <v>0</v>
      </c>
      <c r="AD561">
        <v>0</v>
      </c>
      <c r="AE561">
        <v>0</v>
      </c>
      <c r="AF561">
        <v>0.24077304424535995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128</v>
      </c>
      <c r="B562" t="s">
        <v>145</v>
      </c>
      <c r="C562" t="s">
        <v>109</v>
      </c>
      <c r="D562" s="12">
        <v>46232</v>
      </c>
      <c r="E562" t="s">
        <v>136</v>
      </c>
      <c r="G562">
        <v>6.7786480661254078</v>
      </c>
      <c r="H562">
        <v>0</v>
      </c>
      <c r="K562">
        <v>0</v>
      </c>
      <c r="N562">
        <v>9.3354238754325234</v>
      </c>
      <c r="R562">
        <v>0.37718078654709336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K562">
        <v>0</v>
      </c>
    </row>
    <row r="563" spans="1:37" x14ac:dyDescent="0.25">
      <c r="A563" t="s">
        <v>128</v>
      </c>
      <c r="B563" t="s">
        <v>146</v>
      </c>
      <c r="C563" t="s">
        <v>109</v>
      </c>
      <c r="D563" s="12">
        <v>46232</v>
      </c>
      <c r="E563" t="s">
        <v>136</v>
      </c>
      <c r="G563">
        <v>6.7655742969551058</v>
      </c>
      <c r="H563">
        <v>6.6499999999999995</v>
      </c>
      <c r="K563">
        <v>6.6499999999999995</v>
      </c>
      <c r="N563">
        <v>9.3354238754325234</v>
      </c>
      <c r="R563">
        <v>0.34845024783683259</v>
      </c>
      <c r="S563">
        <v>0</v>
      </c>
      <c r="T563">
        <v>0</v>
      </c>
      <c r="U563">
        <v>0</v>
      </c>
      <c r="V563">
        <v>0</v>
      </c>
      <c r="W563">
        <v>0.1011770098921151</v>
      </c>
      <c r="X563">
        <v>3.1391797447334446E-2</v>
      </c>
      <c r="Y563">
        <v>0</v>
      </c>
      <c r="Z563">
        <v>0</v>
      </c>
      <c r="AA563">
        <v>4.8474500538352373E-2</v>
      </c>
      <c r="AB563">
        <v>0</v>
      </c>
      <c r="AC563">
        <v>0</v>
      </c>
      <c r="AD563">
        <v>0</v>
      </c>
      <c r="AE563">
        <v>0</v>
      </c>
      <c r="AF563">
        <v>0.42125027010384947</v>
      </c>
      <c r="AG563">
        <v>0</v>
      </c>
      <c r="AH563">
        <v>0</v>
      </c>
      <c r="AI563">
        <v>0</v>
      </c>
      <c r="AK563">
        <v>0.53027522935779814</v>
      </c>
    </row>
    <row r="564" spans="1:37" x14ac:dyDescent="0.25">
      <c r="A564" t="s">
        <v>128</v>
      </c>
      <c r="B564" t="s">
        <v>145</v>
      </c>
      <c r="C564" t="s">
        <v>109</v>
      </c>
      <c r="D564" s="12">
        <v>46232</v>
      </c>
      <c r="E564" t="s">
        <v>135</v>
      </c>
      <c r="G564">
        <v>9.341421814287644</v>
      </c>
      <c r="H564">
        <v>8.5500000000000007</v>
      </c>
      <c r="K564">
        <v>8.5500000000000007</v>
      </c>
      <c r="N564">
        <v>7.774762110726642</v>
      </c>
      <c r="R564">
        <v>0</v>
      </c>
      <c r="S564">
        <v>0</v>
      </c>
      <c r="T564">
        <v>0.20775486735913029</v>
      </c>
      <c r="U564">
        <v>0</v>
      </c>
      <c r="V564">
        <v>0</v>
      </c>
      <c r="W564">
        <v>0</v>
      </c>
      <c r="X564">
        <v>3.1854185032649932E-2</v>
      </c>
      <c r="Y564">
        <v>0</v>
      </c>
      <c r="Z564">
        <v>2.8292422322778926E-2</v>
      </c>
      <c r="AA564">
        <v>0.15305800767693259</v>
      </c>
      <c r="AB564">
        <v>0.19956523959233227</v>
      </c>
      <c r="AC564">
        <v>0</v>
      </c>
      <c r="AD564">
        <v>0</v>
      </c>
      <c r="AE564">
        <v>0</v>
      </c>
      <c r="AF564">
        <v>0.64737675273073514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128</v>
      </c>
      <c r="B565" t="s">
        <v>146</v>
      </c>
      <c r="C565" t="s">
        <v>109</v>
      </c>
      <c r="D565" s="12">
        <v>46232</v>
      </c>
      <c r="E565" t="s">
        <v>135</v>
      </c>
      <c r="G565">
        <v>9.3552495005399567</v>
      </c>
      <c r="H565">
        <v>8.5500000000000007</v>
      </c>
      <c r="K565">
        <v>8.5500000000000007</v>
      </c>
      <c r="N565">
        <v>7.7747621107266411</v>
      </c>
      <c r="R565">
        <v>0</v>
      </c>
      <c r="S565">
        <v>0</v>
      </c>
      <c r="T565">
        <v>0.20728564889381221</v>
      </c>
      <c r="U565">
        <v>0</v>
      </c>
      <c r="V565">
        <v>0</v>
      </c>
      <c r="W565">
        <v>0</v>
      </c>
      <c r="X565">
        <v>3.1677388141404847E-2</v>
      </c>
      <c r="Y565">
        <v>0</v>
      </c>
      <c r="Z565">
        <v>2.8412747061399356E-2</v>
      </c>
      <c r="AA565">
        <v>0.15283177767543041</v>
      </c>
      <c r="AB565">
        <v>0.20061862158708624</v>
      </c>
      <c r="AC565">
        <v>0</v>
      </c>
      <c r="AD565">
        <v>0</v>
      </c>
      <c r="AE565">
        <v>0</v>
      </c>
      <c r="AF565">
        <v>0.64654960073748347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128</v>
      </c>
      <c r="B566" t="s">
        <v>145</v>
      </c>
      <c r="C566" t="s">
        <v>109</v>
      </c>
      <c r="D566" s="12">
        <v>46233</v>
      </c>
      <c r="E566" t="s">
        <v>134</v>
      </c>
      <c r="G566">
        <v>26.080252654802322</v>
      </c>
      <c r="H566">
        <v>34.200000000000003</v>
      </c>
      <c r="K566">
        <v>34.200000000000003</v>
      </c>
      <c r="N566">
        <v>27.09375</v>
      </c>
      <c r="R566">
        <v>0</v>
      </c>
      <c r="S566">
        <v>0</v>
      </c>
      <c r="T566">
        <v>0.1702498620065655</v>
      </c>
      <c r="U566">
        <v>0</v>
      </c>
      <c r="V566">
        <v>0</v>
      </c>
      <c r="W566">
        <v>0</v>
      </c>
      <c r="X566">
        <v>3.8860718054088923E-2</v>
      </c>
      <c r="Y566">
        <v>0</v>
      </c>
      <c r="Z566">
        <v>0.10222640937232708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1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128</v>
      </c>
      <c r="B567" t="s">
        <v>146</v>
      </c>
      <c r="C567" t="s">
        <v>109</v>
      </c>
      <c r="D567" s="12">
        <v>46233</v>
      </c>
      <c r="E567" t="s">
        <v>134</v>
      </c>
      <c r="G567">
        <v>26.089357948327105</v>
      </c>
      <c r="H567">
        <v>5.6999999999999993</v>
      </c>
      <c r="K567">
        <v>5.6999999999999993</v>
      </c>
      <c r="N567">
        <v>27.09375</v>
      </c>
      <c r="R567">
        <v>3.8498151378895763E-2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0.2021470079518487</v>
      </c>
      <c r="AB567">
        <v>0</v>
      </c>
      <c r="AC567">
        <v>0</v>
      </c>
      <c r="AD567">
        <v>0</v>
      </c>
      <c r="AE567">
        <v>0</v>
      </c>
      <c r="AF567">
        <v>0.21847988790254969</v>
      </c>
      <c r="AG567">
        <v>0</v>
      </c>
      <c r="AH567">
        <v>0</v>
      </c>
      <c r="AI567">
        <v>0</v>
      </c>
      <c r="AJ567">
        <v>0.57937310414560161</v>
      </c>
      <c r="AK567">
        <v>0</v>
      </c>
    </row>
    <row r="568" spans="1:37" x14ac:dyDescent="0.25">
      <c r="A568" t="s">
        <v>128</v>
      </c>
      <c r="B568" t="s">
        <v>145</v>
      </c>
      <c r="C568" t="s">
        <v>109</v>
      </c>
      <c r="D568" s="12">
        <v>46233</v>
      </c>
      <c r="E568" t="s">
        <v>136</v>
      </c>
      <c r="G568">
        <v>6.7786480661254069</v>
      </c>
      <c r="H568">
        <v>0.95</v>
      </c>
      <c r="K568">
        <v>0.95</v>
      </c>
      <c r="N568">
        <v>10.331963667820069</v>
      </c>
      <c r="R568">
        <v>0.52419237096132276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0.39110406076067189</v>
      </c>
      <c r="AB568">
        <v>0</v>
      </c>
      <c r="AC568">
        <v>0</v>
      </c>
      <c r="AD568">
        <v>0</v>
      </c>
      <c r="AE568">
        <v>0</v>
      </c>
      <c r="AF568">
        <v>0.14014593923932805</v>
      </c>
      <c r="AG568">
        <v>0</v>
      </c>
      <c r="AH568">
        <v>0</v>
      </c>
      <c r="AI568">
        <v>0</v>
      </c>
      <c r="AK568">
        <v>0</v>
      </c>
    </row>
    <row r="569" spans="1:37" x14ac:dyDescent="0.25">
      <c r="A569" t="s">
        <v>128</v>
      </c>
      <c r="B569" t="s">
        <v>146</v>
      </c>
      <c r="C569" t="s">
        <v>109</v>
      </c>
      <c r="D569" s="12">
        <v>46233</v>
      </c>
      <c r="E569" t="s">
        <v>136</v>
      </c>
      <c r="G569">
        <v>6.7655742969551058</v>
      </c>
      <c r="H569">
        <v>6.6499999999999995</v>
      </c>
      <c r="K569">
        <v>6.6499999999999995</v>
      </c>
      <c r="N569">
        <v>10.331963667820069</v>
      </c>
      <c r="R569">
        <v>0.49574591685875818</v>
      </c>
      <c r="S569">
        <v>0</v>
      </c>
      <c r="T569">
        <v>0</v>
      </c>
      <c r="U569">
        <v>0</v>
      </c>
      <c r="V569">
        <v>0</v>
      </c>
      <c r="W569">
        <v>0.1011770098921151</v>
      </c>
      <c r="X569">
        <v>3.1391797447334446E-2</v>
      </c>
      <c r="Y569">
        <v>0</v>
      </c>
      <c r="Z569">
        <v>0</v>
      </c>
      <c r="AA569">
        <v>4.8474500538352373E-2</v>
      </c>
      <c r="AB569">
        <v>0</v>
      </c>
      <c r="AC569">
        <v>0</v>
      </c>
      <c r="AD569">
        <v>0</v>
      </c>
      <c r="AE569">
        <v>0</v>
      </c>
      <c r="AF569">
        <v>0.42125027010384947</v>
      </c>
      <c r="AG569">
        <v>0</v>
      </c>
      <c r="AH569">
        <v>0</v>
      </c>
      <c r="AI569">
        <v>0</v>
      </c>
      <c r="AK569">
        <v>0.53027522935779814</v>
      </c>
    </row>
    <row r="570" spans="1:37" x14ac:dyDescent="0.25">
      <c r="A570" t="s">
        <v>128</v>
      </c>
      <c r="B570" t="s">
        <v>145</v>
      </c>
      <c r="C570" t="s">
        <v>109</v>
      </c>
      <c r="D570" s="12">
        <v>46233</v>
      </c>
      <c r="E570" t="s">
        <v>135</v>
      </c>
      <c r="G570">
        <v>10.390510129688344</v>
      </c>
      <c r="H570">
        <v>6.6499999999999995</v>
      </c>
      <c r="K570">
        <v>6.6499999999999995</v>
      </c>
      <c r="N570">
        <v>8.646637110726644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2.1544054732207038E-2</v>
      </c>
      <c r="Y570">
        <v>0</v>
      </c>
      <c r="Z570">
        <v>1.9731206502775638E-2</v>
      </c>
      <c r="AA570">
        <v>0.21189088738521286</v>
      </c>
      <c r="AB570">
        <v>0.18937729845130119</v>
      </c>
      <c r="AC570">
        <v>0</v>
      </c>
      <c r="AD570">
        <v>0</v>
      </c>
      <c r="AE570">
        <v>0</v>
      </c>
      <c r="AF570">
        <v>0.59873181416348586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25">
      <c r="A571" t="s">
        <v>128</v>
      </c>
      <c r="B571" t="s">
        <v>146</v>
      </c>
      <c r="C571" t="s">
        <v>109</v>
      </c>
      <c r="D571" s="12">
        <v>46233</v>
      </c>
      <c r="E571" t="s">
        <v>135</v>
      </c>
      <c r="G571">
        <v>10.409296139308854</v>
      </c>
      <c r="H571">
        <v>6.6499999999999995</v>
      </c>
      <c r="K571">
        <v>6.6499999999999995</v>
      </c>
      <c r="N571">
        <v>8.646637110726644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2.1330304367361792E-2</v>
      </c>
      <c r="Y571">
        <v>0</v>
      </c>
      <c r="Z571">
        <v>1.9695596925506927E-2</v>
      </c>
      <c r="AA571">
        <v>0.21150848071759154</v>
      </c>
      <c r="AB571">
        <v>0.19066538764218982</v>
      </c>
      <c r="AC571">
        <v>0</v>
      </c>
      <c r="AD571">
        <v>0</v>
      </c>
      <c r="AE571">
        <v>0</v>
      </c>
      <c r="AF571">
        <v>0.59782613164021869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25">
      <c r="A572" t="s">
        <v>128</v>
      </c>
      <c r="B572" t="s">
        <v>145</v>
      </c>
      <c r="C572" t="s">
        <v>109</v>
      </c>
      <c r="D572" s="12">
        <v>46234</v>
      </c>
      <c r="E572" t="s">
        <v>134</v>
      </c>
      <c r="G572">
        <v>26.220922841721428</v>
      </c>
      <c r="H572">
        <v>34.200000000000003</v>
      </c>
      <c r="K572">
        <v>34.200000000000003</v>
      </c>
      <c r="N572">
        <v>27.625</v>
      </c>
      <c r="R572">
        <v>1.7825245711150687E-2</v>
      </c>
      <c r="S572">
        <v>0</v>
      </c>
      <c r="T572">
        <v>0.20154350810942645</v>
      </c>
      <c r="U572">
        <v>0</v>
      </c>
      <c r="V572">
        <v>0</v>
      </c>
      <c r="W572">
        <v>0</v>
      </c>
      <c r="X572">
        <v>3.5722723090484076E-2</v>
      </c>
      <c r="Y572">
        <v>0</v>
      </c>
      <c r="Z572">
        <v>8.3057459028390693E-2</v>
      </c>
      <c r="AA572">
        <v>1.6021770481119031E-2</v>
      </c>
      <c r="AB572">
        <v>0</v>
      </c>
      <c r="AC572">
        <v>0</v>
      </c>
      <c r="AD572">
        <v>0</v>
      </c>
      <c r="AE572">
        <v>0</v>
      </c>
      <c r="AF572">
        <v>0.98397822951888092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25">
      <c r="A573" t="s">
        <v>128</v>
      </c>
      <c r="B573" t="s">
        <v>146</v>
      </c>
      <c r="C573" t="s">
        <v>109</v>
      </c>
      <c r="D573" s="12">
        <v>46234</v>
      </c>
      <c r="E573" t="s">
        <v>134</v>
      </c>
      <c r="G573">
        <v>26.221255612373252</v>
      </c>
      <c r="H573">
        <v>6.6499999999999995</v>
      </c>
      <c r="K573">
        <v>6.6499999999999995</v>
      </c>
      <c r="N573">
        <v>27.625</v>
      </c>
      <c r="R573">
        <v>5.3534598357080493E-2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0.7463889564135896</v>
      </c>
      <c r="AB573">
        <v>0</v>
      </c>
      <c r="AC573">
        <v>0</v>
      </c>
      <c r="AD573">
        <v>0</v>
      </c>
      <c r="AE573">
        <v>0</v>
      </c>
      <c r="AF573">
        <v>0.25361104358641035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25">
      <c r="A574" t="s">
        <v>128</v>
      </c>
      <c r="B574" t="s">
        <v>145</v>
      </c>
      <c r="C574" t="s">
        <v>109</v>
      </c>
      <c r="D574" s="12">
        <v>46234</v>
      </c>
      <c r="E574" t="s">
        <v>136</v>
      </c>
      <c r="G574">
        <v>6.7786480661254078</v>
      </c>
      <c r="H574">
        <v>0.95</v>
      </c>
      <c r="K574">
        <v>0.95</v>
      </c>
      <c r="N574">
        <v>9.3977076124567454</v>
      </c>
      <c r="R574">
        <v>0.38636901057298301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0.39110406076067206</v>
      </c>
      <c r="AB574">
        <v>0</v>
      </c>
      <c r="AC574">
        <v>0</v>
      </c>
      <c r="AD574">
        <v>0</v>
      </c>
      <c r="AE574">
        <v>0</v>
      </c>
      <c r="AF574">
        <v>0.14014593923932803</v>
      </c>
      <c r="AG574">
        <v>0</v>
      </c>
      <c r="AH574">
        <v>0</v>
      </c>
      <c r="AI574">
        <v>0</v>
      </c>
      <c r="AK574">
        <v>0</v>
      </c>
    </row>
    <row r="575" spans="1:37" x14ac:dyDescent="0.25">
      <c r="A575" t="s">
        <v>128</v>
      </c>
      <c r="B575" t="s">
        <v>146</v>
      </c>
      <c r="C575" t="s">
        <v>109</v>
      </c>
      <c r="D575" s="12">
        <v>46234</v>
      </c>
      <c r="E575" t="s">
        <v>136</v>
      </c>
      <c r="G575">
        <v>6.7655742969551058</v>
      </c>
      <c r="H575">
        <v>7.6</v>
      </c>
      <c r="K575">
        <v>7.6</v>
      </c>
      <c r="N575">
        <v>9.3977076124567454</v>
      </c>
      <c r="R575">
        <v>0.21723947044941982</v>
      </c>
      <c r="S575">
        <v>0</v>
      </c>
      <c r="T575">
        <v>0</v>
      </c>
      <c r="U575">
        <v>0</v>
      </c>
      <c r="V575">
        <v>3.9239746809168113E-2</v>
      </c>
      <c r="W575">
        <v>0</v>
      </c>
      <c r="X575">
        <v>0.13256880733944953</v>
      </c>
      <c r="Y575">
        <v>0</v>
      </c>
      <c r="Z575">
        <v>0</v>
      </c>
      <c r="AA575">
        <v>4.8474500538352373E-2</v>
      </c>
      <c r="AB575">
        <v>0</v>
      </c>
      <c r="AC575">
        <v>0</v>
      </c>
      <c r="AD575">
        <v>0</v>
      </c>
      <c r="AE575">
        <v>0</v>
      </c>
      <c r="AF575">
        <v>0.95152549946164766</v>
      </c>
      <c r="AG575">
        <v>0</v>
      </c>
      <c r="AH575">
        <v>0</v>
      </c>
      <c r="AI575">
        <v>0</v>
      </c>
      <c r="AK575">
        <v>0</v>
      </c>
    </row>
    <row r="576" spans="1:37" x14ac:dyDescent="0.25">
      <c r="A576" t="s">
        <v>128</v>
      </c>
      <c r="B576" t="s">
        <v>145</v>
      </c>
      <c r="C576" t="s">
        <v>109</v>
      </c>
      <c r="D576" s="12">
        <v>46234</v>
      </c>
      <c r="E576" t="s">
        <v>135</v>
      </c>
      <c r="G576">
        <v>8.0728589559160824</v>
      </c>
      <c r="H576">
        <v>6.6499999999999995</v>
      </c>
      <c r="K576">
        <v>6.6499999999999995</v>
      </c>
      <c r="N576">
        <v>6.7054606401384085</v>
      </c>
      <c r="R576">
        <v>0</v>
      </c>
      <c r="S576">
        <v>0</v>
      </c>
      <c r="T576">
        <v>5.0447865118676454E-3</v>
      </c>
      <c r="U576">
        <v>0</v>
      </c>
      <c r="V576">
        <v>0</v>
      </c>
      <c r="W576">
        <v>0</v>
      </c>
      <c r="X576">
        <v>5.0339899479390715E-2</v>
      </c>
      <c r="Y576">
        <v>0</v>
      </c>
      <c r="Z576">
        <v>1.9258099578136401E-2</v>
      </c>
      <c r="AA576">
        <v>0.11658527365927866</v>
      </c>
      <c r="AB576">
        <v>0.13430968771127527</v>
      </c>
      <c r="AC576">
        <v>0</v>
      </c>
      <c r="AD576">
        <v>8.5412375292178599E-2</v>
      </c>
      <c r="AE576">
        <v>0</v>
      </c>
      <c r="AF576">
        <v>0.66369266333726762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25">
      <c r="A577" t="s">
        <v>128</v>
      </c>
      <c r="B577" t="s">
        <v>146</v>
      </c>
      <c r="C577" t="s">
        <v>109</v>
      </c>
      <c r="D577" s="12">
        <v>46234</v>
      </c>
      <c r="E577" t="s">
        <v>135</v>
      </c>
      <c r="G577">
        <v>8.090393534017279</v>
      </c>
      <c r="H577">
        <v>6.6499999999999995</v>
      </c>
      <c r="K577">
        <v>6.6499999999999995</v>
      </c>
      <c r="N577">
        <v>6.7054606401384085</v>
      </c>
      <c r="R577">
        <v>0</v>
      </c>
      <c r="S577">
        <v>0</v>
      </c>
      <c r="T577">
        <v>4.8463604542940296E-3</v>
      </c>
      <c r="U577">
        <v>0</v>
      </c>
      <c r="V577">
        <v>0</v>
      </c>
      <c r="W577">
        <v>0</v>
      </c>
      <c r="X577">
        <v>5.0080802286865227E-2</v>
      </c>
      <c r="Y577">
        <v>0</v>
      </c>
      <c r="Z577">
        <v>1.940385318505139E-2</v>
      </c>
      <c r="AA577">
        <v>0.1163325945308985</v>
      </c>
      <c r="AB577">
        <v>0.13603593316293217</v>
      </c>
      <c r="AC577">
        <v>0</v>
      </c>
      <c r="AD577">
        <v>8.52272582198048E-2</v>
      </c>
      <c r="AE577">
        <v>0</v>
      </c>
      <c r="AF577">
        <v>0.66240421408636452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25">
      <c r="A578" t="s">
        <v>128</v>
      </c>
      <c r="B578" t="s">
        <v>145</v>
      </c>
      <c r="C578" t="s">
        <v>109</v>
      </c>
      <c r="D578" s="12">
        <v>46235</v>
      </c>
      <c r="E578" t="s">
        <v>134</v>
      </c>
      <c r="G578">
        <v>26.220922841721428</v>
      </c>
      <c r="H578">
        <v>29.449999999999996</v>
      </c>
      <c r="K578">
        <v>29.449999999999996</v>
      </c>
      <c r="N578">
        <v>27.0625</v>
      </c>
      <c r="R578">
        <v>1.0591748505045046E-2</v>
      </c>
      <c r="S578">
        <v>0</v>
      </c>
      <c r="T578">
        <v>9.0169278030351602E-2</v>
      </c>
      <c r="U578">
        <v>0</v>
      </c>
      <c r="V578">
        <v>0</v>
      </c>
      <c r="W578">
        <v>0</v>
      </c>
      <c r="X578">
        <v>2.1503886090221705E-2</v>
      </c>
      <c r="Y578">
        <v>0</v>
      </c>
      <c r="Z578">
        <v>0.1038551669028001</v>
      </c>
      <c r="AA578">
        <v>9.2379455685522055E-2</v>
      </c>
      <c r="AB578">
        <v>0</v>
      </c>
      <c r="AC578">
        <v>0</v>
      </c>
      <c r="AD578">
        <v>0</v>
      </c>
      <c r="AE578">
        <v>0</v>
      </c>
      <c r="AF578">
        <v>0.90762054431447792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25">
      <c r="A579" t="s">
        <v>128</v>
      </c>
      <c r="B579" t="s">
        <v>146</v>
      </c>
      <c r="C579" t="s">
        <v>109</v>
      </c>
      <c r="D579" s="12">
        <v>46235</v>
      </c>
      <c r="E579" t="s">
        <v>134</v>
      </c>
      <c r="G579">
        <v>26.221255612373248</v>
      </c>
      <c r="H579">
        <v>7.6</v>
      </c>
      <c r="K579">
        <v>7.6</v>
      </c>
      <c r="N579">
        <v>27.0625</v>
      </c>
      <c r="R579">
        <v>3.2082536399583556E-2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0.54919301256120512</v>
      </c>
      <c r="AB579">
        <v>0</v>
      </c>
      <c r="AC579">
        <v>0</v>
      </c>
      <c r="AD579">
        <v>0</v>
      </c>
      <c r="AE579">
        <v>0</v>
      </c>
      <c r="AF579">
        <v>0.28984119267018327</v>
      </c>
      <c r="AG579">
        <v>0</v>
      </c>
      <c r="AH579">
        <v>0</v>
      </c>
      <c r="AI579">
        <v>0</v>
      </c>
      <c r="AJ579">
        <v>0.1609657947686117</v>
      </c>
      <c r="AK579">
        <v>0</v>
      </c>
    </row>
    <row r="580" spans="1:37" x14ac:dyDescent="0.25">
      <c r="A580" t="s">
        <v>128</v>
      </c>
      <c r="B580" t="s">
        <v>145</v>
      </c>
      <c r="C580" t="s">
        <v>109</v>
      </c>
      <c r="D580" s="12">
        <v>46235</v>
      </c>
      <c r="E580" t="s">
        <v>136</v>
      </c>
      <c r="G580">
        <v>6.8316062541420131</v>
      </c>
      <c r="H580">
        <v>0</v>
      </c>
      <c r="K580">
        <v>0</v>
      </c>
      <c r="N580">
        <v>8.5121107266435985</v>
      </c>
      <c r="R580">
        <v>0.24598965601723499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K580">
        <v>0</v>
      </c>
    </row>
    <row r="581" spans="1:37" x14ac:dyDescent="0.25">
      <c r="A581" t="s">
        <v>128</v>
      </c>
      <c r="B581" t="s">
        <v>146</v>
      </c>
      <c r="C581" t="s">
        <v>109</v>
      </c>
      <c r="D581" s="12">
        <v>46235</v>
      </c>
      <c r="E581" t="s">
        <v>136</v>
      </c>
      <c r="G581">
        <v>6.8152298881254181</v>
      </c>
      <c r="H581">
        <v>8.5500000000000007</v>
      </c>
      <c r="K581">
        <v>8.5500000000000007</v>
      </c>
      <c r="N581">
        <v>8.5121107266435985</v>
      </c>
      <c r="R581">
        <v>0.21782057611289099</v>
      </c>
      <c r="S581">
        <v>0</v>
      </c>
      <c r="T581">
        <v>0</v>
      </c>
      <c r="U581">
        <v>0</v>
      </c>
      <c r="V581">
        <v>0</v>
      </c>
      <c r="W581">
        <v>0.10043983677814693</v>
      </c>
      <c r="X581">
        <v>3.1163077611652708E-2</v>
      </c>
      <c r="Y581">
        <v>0</v>
      </c>
      <c r="Z581">
        <v>0</v>
      </c>
      <c r="AA581">
        <v>5.5407291062663074E-2</v>
      </c>
      <c r="AB581">
        <v>0</v>
      </c>
      <c r="AC581">
        <v>0</v>
      </c>
      <c r="AD581">
        <v>0</v>
      </c>
      <c r="AE581">
        <v>0</v>
      </c>
      <c r="AF581">
        <v>0.41818105137813838</v>
      </c>
      <c r="AG581">
        <v>0</v>
      </c>
      <c r="AH581">
        <v>0</v>
      </c>
      <c r="AI581">
        <v>0</v>
      </c>
      <c r="AK581">
        <v>0.5264116575591985</v>
      </c>
    </row>
    <row r="582" spans="1:37" x14ac:dyDescent="0.25">
      <c r="A582" t="s">
        <v>128</v>
      </c>
      <c r="B582" t="s">
        <v>145</v>
      </c>
      <c r="C582" t="s">
        <v>109</v>
      </c>
      <c r="D582" s="12">
        <v>46235</v>
      </c>
      <c r="E582" t="s">
        <v>135</v>
      </c>
      <c r="G582">
        <v>8.8936937466270916</v>
      </c>
      <c r="H582">
        <v>5.7</v>
      </c>
      <c r="K582">
        <v>5.7</v>
      </c>
      <c r="N582">
        <v>7.4238754325259508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0.24178323225676154</v>
      </c>
      <c r="AB582">
        <v>0.11731320591756744</v>
      </c>
      <c r="AC582">
        <v>0</v>
      </c>
      <c r="AD582">
        <v>4.7952020879629735E-2</v>
      </c>
      <c r="AE582">
        <v>0</v>
      </c>
      <c r="AF582">
        <v>0.5929515409460413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25">
      <c r="A583" t="s">
        <v>128</v>
      </c>
      <c r="B583" t="s">
        <v>146</v>
      </c>
      <c r="C583" t="s">
        <v>109</v>
      </c>
      <c r="D583" s="12">
        <v>46235</v>
      </c>
      <c r="E583" t="s">
        <v>135</v>
      </c>
      <c r="G583">
        <v>8.86336106911447</v>
      </c>
      <c r="H583">
        <v>5.7</v>
      </c>
      <c r="K583">
        <v>5.7</v>
      </c>
      <c r="N583">
        <v>7.4238754325259508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0.24261067601707045</v>
      </c>
      <c r="AB583">
        <v>0.11429242704364212</v>
      </c>
      <c r="AC583">
        <v>0</v>
      </c>
      <c r="AD583">
        <v>4.8116124899998419E-2</v>
      </c>
      <c r="AE583">
        <v>0</v>
      </c>
      <c r="AF583">
        <v>0.59498077203928901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25">
      <c r="A584" t="s">
        <v>128</v>
      </c>
      <c r="B584" t="s">
        <v>145</v>
      </c>
      <c r="C584" t="s">
        <v>109</v>
      </c>
      <c r="D584" s="12">
        <v>46236</v>
      </c>
      <c r="E584" t="s">
        <v>134</v>
      </c>
      <c r="G584">
        <v>26.164654766953785</v>
      </c>
      <c r="H584">
        <v>35.15</v>
      </c>
      <c r="K584">
        <v>35.15</v>
      </c>
      <c r="N584">
        <v>27.1875</v>
      </c>
      <c r="R584">
        <v>1.0614526458819336E-2</v>
      </c>
      <c r="S584">
        <v>0</v>
      </c>
      <c r="T584">
        <v>0.21821517680148506</v>
      </c>
      <c r="U584">
        <v>0</v>
      </c>
      <c r="V584">
        <v>0</v>
      </c>
      <c r="W584">
        <v>0</v>
      </c>
      <c r="X584">
        <v>2.8478106031714433E-2</v>
      </c>
      <c r="Y584">
        <v>0</v>
      </c>
      <c r="Z584">
        <v>0.1166831842908662</v>
      </c>
      <c r="AA584">
        <v>1.9961072842051616E-2</v>
      </c>
      <c r="AB584">
        <v>0</v>
      </c>
      <c r="AC584">
        <v>0</v>
      </c>
      <c r="AD584">
        <v>0</v>
      </c>
      <c r="AE584">
        <v>0</v>
      </c>
      <c r="AF584">
        <v>0.98003892715794838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25">
      <c r="A585" t="s">
        <v>128</v>
      </c>
      <c r="B585" t="s">
        <v>146</v>
      </c>
      <c r="C585" t="s">
        <v>109</v>
      </c>
      <c r="D585" s="12">
        <v>46236</v>
      </c>
      <c r="E585" t="s">
        <v>134</v>
      </c>
      <c r="G585">
        <v>26.168496546754792</v>
      </c>
      <c r="H585">
        <v>5.6999999999999993</v>
      </c>
      <c r="K585">
        <v>5.6999999999999993</v>
      </c>
      <c r="N585">
        <v>27.1875</v>
      </c>
      <c r="R585">
        <v>3.8940083983218965E-2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0.62089051498425241</v>
      </c>
      <c r="AB585">
        <v>0</v>
      </c>
      <c r="AC585">
        <v>0</v>
      </c>
      <c r="AD585">
        <v>0</v>
      </c>
      <c r="AE585">
        <v>0</v>
      </c>
      <c r="AF585">
        <v>0.21781916243510244</v>
      </c>
      <c r="AG585">
        <v>0</v>
      </c>
      <c r="AH585">
        <v>0</v>
      </c>
      <c r="AI585">
        <v>0</v>
      </c>
      <c r="AJ585">
        <v>0.16129032258064518</v>
      </c>
      <c r="AK585">
        <v>0</v>
      </c>
    </row>
    <row r="586" spans="1:37" x14ac:dyDescent="0.25">
      <c r="A586" t="s">
        <v>128</v>
      </c>
      <c r="B586" t="s">
        <v>145</v>
      </c>
      <c r="C586" t="s">
        <v>109</v>
      </c>
      <c r="D586" s="12">
        <v>46236</v>
      </c>
      <c r="E586" t="s">
        <v>136</v>
      </c>
      <c r="G586">
        <v>6.7786480661254078</v>
      </c>
      <c r="H586">
        <v>0.95</v>
      </c>
      <c r="K586">
        <v>0.95</v>
      </c>
      <c r="N586">
        <v>8.5153546712802761</v>
      </c>
      <c r="R586">
        <v>0.25620250353955148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0.39110406076067183</v>
      </c>
      <c r="AB586">
        <v>0</v>
      </c>
      <c r="AC586">
        <v>0</v>
      </c>
      <c r="AD586">
        <v>0</v>
      </c>
      <c r="AE586">
        <v>0</v>
      </c>
      <c r="AF586">
        <v>0.14014593923932805</v>
      </c>
      <c r="AG586">
        <v>0</v>
      </c>
      <c r="AH586">
        <v>0</v>
      </c>
      <c r="AI586">
        <v>0</v>
      </c>
      <c r="AK586">
        <v>0</v>
      </c>
    </row>
    <row r="587" spans="1:37" x14ac:dyDescent="0.25">
      <c r="A587" t="s">
        <v>128</v>
      </c>
      <c r="B587" t="s">
        <v>146</v>
      </c>
      <c r="C587" t="s">
        <v>109</v>
      </c>
      <c r="D587" s="12">
        <v>46236</v>
      </c>
      <c r="E587" t="s">
        <v>136</v>
      </c>
      <c r="G587">
        <v>6.7655742969551058</v>
      </c>
      <c r="H587">
        <v>6.6499999999999995</v>
      </c>
      <c r="K587">
        <v>6.6499999999999995</v>
      </c>
      <c r="N587">
        <v>8.5153546712802761</v>
      </c>
      <c r="R587">
        <v>0.22723818687087352</v>
      </c>
      <c r="S587">
        <v>0</v>
      </c>
      <c r="T587">
        <v>0</v>
      </c>
      <c r="U587">
        <v>0</v>
      </c>
      <c r="V587">
        <v>0</v>
      </c>
      <c r="W587">
        <v>0.10117700989211498</v>
      </c>
      <c r="X587">
        <v>3.1391797447334564E-2</v>
      </c>
      <c r="Y587">
        <v>0</v>
      </c>
      <c r="Z587">
        <v>0</v>
      </c>
      <c r="AA587">
        <v>4.8474500538352429E-2</v>
      </c>
      <c r="AB587">
        <v>0</v>
      </c>
      <c r="AC587">
        <v>0</v>
      </c>
      <c r="AD587">
        <v>0</v>
      </c>
      <c r="AE587">
        <v>0</v>
      </c>
      <c r="AF587">
        <v>0.42125027010384947</v>
      </c>
      <c r="AG587">
        <v>0</v>
      </c>
      <c r="AH587">
        <v>0</v>
      </c>
      <c r="AI587">
        <v>0</v>
      </c>
      <c r="AK587">
        <v>0.53027522935779814</v>
      </c>
    </row>
    <row r="588" spans="1:37" x14ac:dyDescent="0.25">
      <c r="A588" t="s">
        <v>128</v>
      </c>
      <c r="B588" t="s">
        <v>145</v>
      </c>
      <c r="C588" t="s">
        <v>109</v>
      </c>
      <c r="D588" s="12">
        <v>46236</v>
      </c>
      <c r="E588" t="s">
        <v>135</v>
      </c>
      <c r="G588">
        <v>7.10278147598489</v>
      </c>
      <c r="H588">
        <v>5.7</v>
      </c>
      <c r="K588">
        <v>5.7</v>
      </c>
      <c r="N588">
        <v>5.9307958477508649</v>
      </c>
      <c r="R588">
        <v>0</v>
      </c>
      <c r="S588">
        <v>0</v>
      </c>
      <c r="T588">
        <v>3.8396130349298153E-2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0.12607119314436385</v>
      </c>
      <c r="AA588">
        <v>0.28715783866626859</v>
      </c>
      <c r="AB588">
        <v>7.4806969542052487E-2</v>
      </c>
      <c r="AC588">
        <v>0</v>
      </c>
      <c r="AD588">
        <v>9.0196787394101099E-2</v>
      </c>
      <c r="AE588">
        <v>0</v>
      </c>
      <c r="AF588">
        <v>0.54783840439757781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25">
      <c r="A589" t="s">
        <v>128</v>
      </c>
      <c r="B589" t="s">
        <v>146</v>
      </c>
      <c r="C589" t="s">
        <v>109</v>
      </c>
      <c r="D589" s="12">
        <v>46236</v>
      </c>
      <c r="E589" t="s">
        <v>135</v>
      </c>
      <c r="G589">
        <v>7.0363468952483785</v>
      </c>
      <c r="H589">
        <v>5.7</v>
      </c>
      <c r="K589">
        <v>5.7</v>
      </c>
      <c r="N589">
        <v>5.9307958477508649</v>
      </c>
      <c r="R589">
        <v>0</v>
      </c>
      <c r="S589">
        <v>0</v>
      </c>
      <c r="T589">
        <v>5.0898429321533406E-2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0.12483355525965378</v>
      </c>
      <c r="AA589">
        <v>0.28986907659995825</v>
      </c>
      <c r="AB589">
        <v>7.5783461237466196E-2</v>
      </c>
      <c r="AC589">
        <v>0</v>
      </c>
      <c r="AD589">
        <v>8.1336570500037911E-2</v>
      </c>
      <c r="AE589">
        <v>0</v>
      </c>
      <c r="AF589">
        <v>0.5530108916625377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25">
      <c r="A590" t="s">
        <v>128</v>
      </c>
      <c r="B590" t="s">
        <v>145</v>
      </c>
      <c r="C590" t="s">
        <v>109</v>
      </c>
      <c r="D590" s="12">
        <v>46237</v>
      </c>
      <c r="E590" t="s">
        <v>134</v>
      </c>
      <c r="G590">
        <v>27.064943963236065</v>
      </c>
      <c r="H590">
        <v>25.650000000000002</v>
      </c>
      <c r="K590">
        <v>25.650000000000002</v>
      </c>
      <c r="N590">
        <v>28.125</v>
      </c>
      <c r="R590">
        <v>3.9167124757541444E-2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5.2279582221122278E-2</v>
      </c>
      <c r="AB590">
        <v>0</v>
      </c>
      <c r="AC590">
        <v>0</v>
      </c>
      <c r="AD590">
        <v>0</v>
      </c>
      <c r="AE590">
        <v>0</v>
      </c>
      <c r="AF590">
        <v>0.94772041777887772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25">
      <c r="A591" t="s">
        <v>128</v>
      </c>
      <c r="B591" t="s">
        <v>146</v>
      </c>
      <c r="C591" t="s">
        <v>109</v>
      </c>
      <c r="D591" s="12">
        <v>46237</v>
      </c>
      <c r="E591" t="s">
        <v>134</v>
      </c>
      <c r="G591">
        <v>27.065400662268566</v>
      </c>
      <c r="H591">
        <v>4.75</v>
      </c>
      <c r="K591">
        <v>4.75</v>
      </c>
      <c r="N591">
        <v>28.125</v>
      </c>
      <c r="R591">
        <v>3.9149589948934554E-2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0.26309567159225006</v>
      </c>
      <c r="AB591">
        <v>0</v>
      </c>
      <c r="AC591">
        <v>0</v>
      </c>
      <c r="AD591">
        <v>0</v>
      </c>
      <c r="AE591">
        <v>0</v>
      </c>
      <c r="AF591">
        <v>0.17550081963582004</v>
      </c>
      <c r="AG591">
        <v>0</v>
      </c>
      <c r="AH591">
        <v>0</v>
      </c>
      <c r="AI591">
        <v>0</v>
      </c>
      <c r="AJ591">
        <v>0.56140350877192979</v>
      </c>
      <c r="AK591">
        <v>0</v>
      </c>
    </row>
    <row r="592" spans="1:37" x14ac:dyDescent="0.25">
      <c r="A592" t="s">
        <v>128</v>
      </c>
      <c r="B592" t="s">
        <v>145</v>
      </c>
      <c r="C592" t="s">
        <v>109</v>
      </c>
      <c r="D592" s="12">
        <v>46237</v>
      </c>
      <c r="E592" t="s">
        <v>136</v>
      </c>
      <c r="G592">
        <v>6.7786480661254069</v>
      </c>
      <c r="H592">
        <v>0</v>
      </c>
      <c r="K592">
        <v>0</v>
      </c>
      <c r="N592">
        <v>9.3944636678200695</v>
      </c>
      <c r="R592">
        <v>0.38589045723830168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K592">
        <v>0</v>
      </c>
    </row>
    <row r="593" spans="1:37" x14ac:dyDescent="0.25">
      <c r="A593" t="s">
        <v>128</v>
      </c>
      <c r="B593" t="s">
        <v>146</v>
      </c>
      <c r="C593" t="s">
        <v>109</v>
      </c>
      <c r="D593" s="12">
        <v>46237</v>
      </c>
      <c r="E593" t="s">
        <v>136</v>
      </c>
      <c r="G593">
        <v>6.7655742969551049</v>
      </c>
      <c r="H593">
        <v>6.6499999999999995</v>
      </c>
      <c r="K593">
        <v>6.6499999999999995</v>
      </c>
      <c r="N593">
        <v>9.3944636678200695</v>
      </c>
      <c r="R593">
        <v>0.35717674906143915</v>
      </c>
      <c r="S593">
        <v>0</v>
      </c>
      <c r="T593">
        <v>0</v>
      </c>
      <c r="U593">
        <v>0</v>
      </c>
      <c r="V593">
        <v>0</v>
      </c>
      <c r="W593">
        <v>0.10117700989211498</v>
      </c>
      <c r="X593">
        <v>3.1391797447334564E-2</v>
      </c>
      <c r="Y593">
        <v>0</v>
      </c>
      <c r="Z593">
        <v>0</v>
      </c>
      <c r="AA593">
        <v>4.8474500538352373E-2</v>
      </c>
      <c r="AB593">
        <v>0</v>
      </c>
      <c r="AC593">
        <v>0</v>
      </c>
      <c r="AD593">
        <v>0</v>
      </c>
      <c r="AE593">
        <v>0</v>
      </c>
      <c r="AF593">
        <v>0.42125027010384952</v>
      </c>
      <c r="AG593">
        <v>0</v>
      </c>
      <c r="AH593">
        <v>0</v>
      </c>
      <c r="AI593">
        <v>0</v>
      </c>
      <c r="AK593">
        <v>0.53027522935779825</v>
      </c>
    </row>
    <row r="594" spans="1:37" x14ac:dyDescent="0.25">
      <c r="A594" t="s">
        <v>128</v>
      </c>
      <c r="B594" t="s">
        <v>145</v>
      </c>
      <c r="C594" t="s">
        <v>109</v>
      </c>
      <c r="D594" s="12">
        <v>46237</v>
      </c>
      <c r="E594" t="s">
        <v>135</v>
      </c>
      <c r="G594">
        <v>10.465131474298435</v>
      </c>
      <c r="H594">
        <v>0</v>
      </c>
      <c r="K594">
        <v>0</v>
      </c>
      <c r="N594">
        <v>8.7159385813148784</v>
      </c>
      <c r="R594">
        <v>1.0991757705127562E-2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0.49973375151651411</v>
      </c>
      <c r="AB594">
        <v>0.17813661367558922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0.32212963480789664</v>
      </c>
      <c r="AK594">
        <v>0</v>
      </c>
    </row>
    <row r="595" spans="1:37" x14ac:dyDescent="0.25">
      <c r="A595" t="s">
        <v>128</v>
      </c>
      <c r="B595" t="s">
        <v>146</v>
      </c>
      <c r="C595" t="s">
        <v>109</v>
      </c>
      <c r="D595" s="12">
        <v>46237</v>
      </c>
      <c r="E595" t="s">
        <v>135</v>
      </c>
      <c r="G595">
        <v>10.479565915226781</v>
      </c>
      <c r="H595">
        <v>0</v>
      </c>
      <c r="K595">
        <v>0</v>
      </c>
      <c r="N595">
        <v>8.7159385813148784</v>
      </c>
      <c r="R595">
        <v>1.0802921266538677E-2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0.49904542364353571</v>
      </c>
      <c r="AB595">
        <v>0.17909494291882458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0.32185963343763974</v>
      </c>
      <c r="AK595">
        <v>0</v>
      </c>
    </row>
    <row r="596" spans="1:37" x14ac:dyDescent="0.25">
      <c r="A596" t="s">
        <v>128</v>
      </c>
      <c r="B596" t="s">
        <v>145</v>
      </c>
      <c r="C596" t="s">
        <v>109</v>
      </c>
      <c r="D596" s="12">
        <v>46238</v>
      </c>
      <c r="E596" t="s">
        <v>134</v>
      </c>
      <c r="G596">
        <v>28.218439495972738</v>
      </c>
      <c r="H596">
        <v>37.049999999999997</v>
      </c>
      <c r="K596">
        <v>37.049999999999997</v>
      </c>
      <c r="N596">
        <v>29.90625</v>
      </c>
      <c r="R596">
        <v>7.1429357399004322E-3</v>
      </c>
      <c r="S596">
        <v>0</v>
      </c>
      <c r="T596">
        <v>0.1636315099838325</v>
      </c>
      <c r="U596">
        <v>0</v>
      </c>
      <c r="V596">
        <v>0</v>
      </c>
      <c r="W596">
        <v>0</v>
      </c>
      <c r="X596">
        <v>5.2669390319736678E-2</v>
      </c>
      <c r="Y596">
        <v>0</v>
      </c>
      <c r="Z596">
        <v>9.6670357560908998E-2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1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25">
      <c r="A597" t="s">
        <v>128</v>
      </c>
      <c r="B597" t="s">
        <v>146</v>
      </c>
      <c r="C597" t="s">
        <v>109</v>
      </c>
      <c r="D597" s="12">
        <v>46238</v>
      </c>
      <c r="E597" t="s">
        <v>134</v>
      </c>
      <c r="G597">
        <v>28.199720573065392</v>
      </c>
      <c r="H597">
        <v>4.75</v>
      </c>
      <c r="K597">
        <v>4.75</v>
      </c>
      <c r="N597">
        <v>29.90625</v>
      </c>
      <c r="R597">
        <v>6.0515827542084899E-2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0.68188602343652815</v>
      </c>
      <c r="AB597">
        <v>0</v>
      </c>
      <c r="AC597">
        <v>0</v>
      </c>
      <c r="AD597">
        <v>0</v>
      </c>
      <c r="AE597">
        <v>0</v>
      </c>
      <c r="AF597">
        <v>0.16844138535673658</v>
      </c>
      <c r="AG597">
        <v>0</v>
      </c>
      <c r="AH597">
        <v>0</v>
      </c>
      <c r="AI597">
        <v>0</v>
      </c>
      <c r="AJ597">
        <v>0.14967259120673529</v>
      </c>
      <c r="AK597">
        <v>0</v>
      </c>
    </row>
    <row r="598" spans="1:37" x14ac:dyDescent="0.25">
      <c r="A598" t="s">
        <v>128</v>
      </c>
      <c r="B598" t="s">
        <v>145</v>
      </c>
      <c r="C598" t="s">
        <v>109</v>
      </c>
      <c r="D598" s="12">
        <v>46238</v>
      </c>
      <c r="E598" t="s">
        <v>136</v>
      </c>
      <c r="G598">
        <v>6.8316062541420131</v>
      </c>
      <c r="H598">
        <v>0</v>
      </c>
      <c r="K598">
        <v>0</v>
      </c>
      <c r="N598">
        <v>9.4600153787005006</v>
      </c>
      <c r="R598">
        <v>0.38474247882258705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K598">
        <v>0</v>
      </c>
    </row>
    <row r="599" spans="1:37" x14ac:dyDescent="0.25">
      <c r="A599" t="s">
        <v>128</v>
      </c>
      <c r="B599" t="s">
        <v>146</v>
      </c>
      <c r="C599" t="s">
        <v>109</v>
      </c>
      <c r="D599" s="12">
        <v>46238</v>
      </c>
      <c r="E599" t="s">
        <v>136</v>
      </c>
      <c r="G599">
        <v>6.8152298881254181</v>
      </c>
      <c r="H599">
        <v>7.6</v>
      </c>
      <c r="K599">
        <v>7.6</v>
      </c>
      <c r="N599">
        <v>9.4600153787005006</v>
      </c>
      <c r="R599">
        <v>0.35690680909653444</v>
      </c>
      <c r="S599">
        <v>0</v>
      </c>
      <c r="T599">
        <v>0</v>
      </c>
      <c r="U599">
        <v>0</v>
      </c>
      <c r="V599">
        <v>0</v>
      </c>
      <c r="W599">
        <v>0.10043983677814693</v>
      </c>
      <c r="X599">
        <v>3.1163077611652708E-2</v>
      </c>
      <c r="Y599">
        <v>0</v>
      </c>
      <c r="Z599">
        <v>0</v>
      </c>
      <c r="AA599">
        <v>5.5407291062663074E-2</v>
      </c>
      <c r="AB599">
        <v>0</v>
      </c>
      <c r="AC599">
        <v>0</v>
      </c>
      <c r="AD599">
        <v>0</v>
      </c>
      <c r="AE599">
        <v>0</v>
      </c>
      <c r="AF599">
        <v>0.41818105137813838</v>
      </c>
      <c r="AG599">
        <v>0</v>
      </c>
      <c r="AH599">
        <v>0</v>
      </c>
      <c r="AI599">
        <v>0</v>
      </c>
      <c r="AK599">
        <v>0.5264116575591985</v>
      </c>
    </row>
    <row r="600" spans="1:37" x14ac:dyDescent="0.25">
      <c r="A600" t="s">
        <v>128</v>
      </c>
      <c r="B600" t="s">
        <v>145</v>
      </c>
      <c r="C600" t="s">
        <v>109</v>
      </c>
      <c r="D600" s="12">
        <v>46238</v>
      </c>
      <c r="E600" t="s">
        <v>135</v>
      </c>
      <c r="G600">
        <v>10.465131474298435</v>
      </c>
      <c r="H600">
        <v>0</v>
      </c>
      <c r="K600">
        <v>0</v>
      </c>
      <c r="N600">
        <v>8.7159385813148766</v>
      </c>
      <c r="R600">
        <v>1.0991757705127562E-2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0.49973375151651411</v>
      </c>
      <c r="AB600">
        <v>0.17813661367558922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0.32212963480789664</v>
      </c>
      <c r="AK600">
        <v>0</v>
      </c>
    </row>
    <row r="601" spans="1:37" x14ac:dyDescent="0.25">
      <c r="A601" t="s">
        <v>128</v>
      </c>
      <c r="B601" t="s">
        <v>146</v>
      </c>
      <c r="C601" t="s">
        <v>109</v>
      </c>
      <c r="D601" s="12">
        <v>46238</v>
      </c>
      <c r="E601" t="s">
        <v>135</v>
      </c>
      <c r="G601">
        <v>10.479565915226782</v>
      </c>
      <c r="H601">
        <v>0</v>
      </c>
      <c r="K601">
        <v>0</v>
      </c>
      <c r="N601">
        <v>8.7159385813148784</v>
      </c>
      <c r="R601">
        <v>1.0802921266538673E-2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0.4990454236435356</v>
      </c>
      <c r="AB601">
        <v>0.17909494291882463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0.32185963343763968</v>
      </c>
      <c r="AK601">
        <v>0</v>
      </c>
    </row>
    <row r="602" spans="1:37" x14ac:dyDescent="0.25">
      <c r="A602" t="s">
        <v>128</v>
      </c>
      <c r="B602" t="s">
        <v>145</v>
      </c>
      <c r="C602" t="s">
        <v>109</v>
      </c>
      <c r="D602" s="12">
        <v>46239</v>
      </c>
      <c r="E602" t="s">
        <v>134</v>
      </c>
      <c r="G602">
        <v>27.599490673528674</v>
      </c>
      <c r="H602">
        <v>30.4</v>
      </c>
      <c r="K602">
        <v>30.4</v>
      </c>
      <c r="N602">
        <v>28.78125</v>
      </c>
      <c r="R602">
        <v>3.6926877371877539E-2</v>
      </c>
      <c r="S602">
        <v>0</v>
      </c>
      <c r="T602">
        <v>8.4425710581127758E-2</v>
      </c>
      <c r="U602">
        <v>0</v>
      </c>
      <c r="V602">
        <v>0</v>
      </c>
      <c r="W602">
        <v>0</v>
      </c>
      <c r="X602">
        <v>5.8912796894330386E-3</v>
      </c>
      <c r="Y602">
        <v>0</v>
      </c>
      <c r="Z602">
        <v>0.10802309339925195</v>
      </c>
      <c r="AA602">
        <v>9.6870481944250325E-2</v>
      </c>
      <c r="AB602">
        <v>0</v>
      </c>
      <c r="AC602">
        <v>0</v>
      </c>
      <c r="AD602">
        <v>0</v>
      </c>
      <c r="AE602">
        <v>0</v>
      </c>
      <c r="AF602">
        <v>0.90312951805574959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25">
      <c r="A603" t="s">
        <v>128</v>
      </c>
      <c r="B603" t="s">
        <v>146</v>
      </c>
      <c r="C603" t="s">
        <v>109</v>
      </c>
      <c r="D603" s="12">
        <v>46239</v>
      </c>
      <c r="E603" t="s">
        <v>134</v>
      </c>
      <c r="G603">
        <v>27.619370851262367</v>
      </c>
      <c r="H603">
        <v>6.6499999999999995</v>
      </c>
      <c r="K603">
        <v>6.6499999999999995</v>
      </c>
      <c r="N603">
        <v>28.78125</v>
      </c>
      <c r="R603">
        <v>4.2067545817558859E-2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0.75922695575464005</v>
      </c>
      <c r="AB603">
        <v>0</v>
      </c>
      <c r="AC603">
        <v>0</v>
      </c>
      <c r="AD603">
        <v>0</v>
      </c>
      <c r="AE603">
        <v>0</v>
      </c>
      <c r="AF603">
        <v>0.24077304424535997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25">
      <c r="A604" t="s">
        <v>128</v>
      </c>
      <c r="B604" t="s">
        <v>145</v>
      </c>
      <c r="C604" t="s">
        <v>109</v>
      </c>
      <c r="D604" s="12">
        <v>46239</v>
      </c>
      <c r="E604" t="s">
        <v>136</v>
      </c>
      <c r="G604">
        <v>6.7786480661254069</v>
      </c>
      <c r="H604">
        <v>0</v>
      </c>
      <c r="K604">
        <v>0</v>
      </c>
      <c r="N604">
        <v>9.3354238754325252</v>
      </c>
      <c r="R604">
        <v>0.37718078654709392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K604">
        <v>0</v>
      </c>
    </row>
    <row r="605" spans="1:37" x14ac:dyDescent="0.25">
      <c r="A605" t="s">
        <v>128</v>
      </c>
      <c r="B605" t="s">
        <v>146</v>
      </c>
      <c r="C605" t="s">
        <v>109</v>
      </c>
      <c r="D605" s="12">
        <v>46239</v>
      </c>
      <c r="E605" t="s">
        <v>136</v>
      </c>
      <c r="G605">
        <v>6.7655742969551049</v>
      </c>
      <c r="H605">
        <v>7.6</v>
      </c>
      <c r="K605">
        <v>7.6</v>
      </c>
      <c r="N605">
        <v>9.3354238754325252</v>
      </c>
      <c r="R605">
        <v>0.3484502478368327</v>
      </c>
      <c r="S605">
        <v>0</v>
      </c>
      <c r="T605">
        <v>0</v>
      </c>
      <c r="U605">
        <v>0</v>
      </c>
      <c r="V605">
        <v>0</v>
      </c>
      <c r="W605">
        <v>0.10117700989211498</v>
      </c>
      <c r="X605">
        <v>3.1391797447334564E-2</v>
      </c>
      <c r="Y605">
        <v>0</v>
      </c>
      <c r="Z605">
        <v>0</v>
      </c>
      <c r="AA605">
        <v>4.8474500538352373E-2</v>
      </c>
      <c r="AB605">
        <v>0</v>
      </c>
      <c r="AC605">
        <v>0</v>
      </c>
      <c r="AD605">
        <v>0</v>
      </c>
      <c r="AE605">
        <v>0</v>
      </c>
      <c r="AF605">
        <v>0.42125027010384952</v>
      </c>
      <c r="AG605">
        <v>0</v>
      </c>
      <c r="AH605">
        <v>0</v>
      </c>
      <c r="AI605">
        <v>0</v>
      </c>
      <c r="AK605">
        <v>0.53027522935779825</v>
      </c>
    </row>
    <row r="606" spans="1:37" x14ac:dyDescent="0.25">
      <c r="A606" t="s">
        <v>128</v>
      </c>
      <c r="B606" t="s">
        <v>145</v>
      </c>
      <c r="C606" t="s">
        <v>109</v>
      </c>
      <c r="D606" s="12">
        <v>46239</v>
      </c>
      <c r="E606" t="s">
        <v>135</v>
      </c>
      <c r="G606">
        <v>9.8330447905423668</v>
      </c>
      <c r="H606">
        <v>0</v>
      </c>
      <c r="K606">
        <v>0</v>
      </c>
      <c r="N606">
        <v>7.1934472318339093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0.73155847299228427</v>
      </c>
      <c r="AB606">
        <v>0.26844152700771573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25">
      <c r="A607" t="s">
        <v>128</v>
      </c>
      <c r="B607" t="s">
        <v>146</v>
      </c>
      <c r="C607" t="s">
        <v>109</v>
      </c>
      <c r="D607" s="12">
        <v>46239</v>
      </c>
      <c r="E607" t="s">
        <v>135</v>
      </c>
      <c r="G607">
        <v>9.8140698021217112</v>
      </c>
      <c r="H607">
        <v>0</v>
      </c>
      <c r="K607">
        <v>0</v>
      </c>
      <c r="N607">
        <v>7.1934472318339093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0.73297290287040273</v>
      </c>
      <c r="AB607">
        <v>0.26702709712959732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25">
      <c r="A608" t="s">
        <v>128</v>
      </c>
      <c r="B608" t="s">
        <v>145</v>
      </c>
      <c r="C608" t="s">
        <v>109</v>
      </c>
      <c r="D608" s="12">
        <v>46240</v>
      </c>
      <c r="E608" t="s">
        <v>134</v>
      </c>
      <c r="G608">
        <v>26.924273776316959</v>
      </c>
      <c r="H608">
        <v>34.200000000000003</v>
      </c>
      <c r="K608">
        <v>34.200000000000003</v>
      </c>
      <c r="N608">
        <v>28.03125</v>
      </c>
      <c r="R608">
        <v>4.0732103745772047E-2</v>
      </c>
      <c r="S608">
        <v>0</v>
      </c>
      <c r="T608">
        <v>0.19629621424857349</v>
      </c>
      <c r="U608">
        <v>0</v>
      </c>
      <c r="V608">
        <v>0</v>
      </c>
      <c r="W608">
        <v>0</v>
      </c>
      <c r="X608">
        <v>3.8232826749759707E-4</v>
      </c>
      <c r="Y608">
        <v>0</v>
      </c>
      <c r="Z608">
        <v>0.10855184101149927</v>
      </c>
      <c r="AA608">
        <v>3.5001136710042777E-2</v>
      </c>
      <c r="AB608">
        <v>0</v>
      </c>
      <c r="AC608">
        <v>0</v>
      </c>
      <c r="AD608">
        <v>0</v>
      </c>
      <c r="AE608">
        <v>0</v>
      </c>
      <c r="AF608">
        <v>0.96499886328995732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25">
      <c r="A609" t="s">
        <v>128</v>
      </c>
      <c r="B609" t="s">
        <v>146</v>
      </c>
      <c r="C609" t="s">
        <v>109</v>
      </c>
      <c r="D609" s="12">
        <v>46240</v>
      </c>
      <c r="E609" t="s">
        <v>134</v>
      </c>
      <c r="G609">
        <v>26.933502998222423</v>
      </c>
      <c r="H609">
        <v>6.65</v>
      </c>
      <c r="K609">
        <v>6.65</v>
      </c>
      <c r="N609">
        <v>28.03125</v>
      </c>
      <c r="R609">
        <v>4.0757676483821316E-2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0.75309561476504228</v>
      </c>
      <c r="AB609">
        <v>0</v>
      </c>
      <c r="AC609">
        <v>0</v>
      </c>
      <c r="AD609">
        <v>0</v>
      </c>
      <c r="AE609">
        <v>0</v>
      </c>
      <c r="AF609">
        <v>0.24690438523495781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25">
      <c r="A610" t="s">
        <v>128</v>
      </c>
      <c r="B610" t="s">
        <v>145</v>
      </c>
      <c r="C610" t="s">
        <v>109</v>
      </c>
      <c r="D610" s="12">
        <v>46240</v>
      </c>
      <c r="E610" t="s">
        <v>136</v>
      </c>
      <c r="G610">
        <v>6.7786480661254069</v>
      </c>
      <c r="H610">
        <v>0.95</v>
      </c>
      <c r="K610">
        <v>0.95</v>
      </c>
      <c r="N610">
        <v>9.3354238754325252</v>
      </c>
      <c r="R610">
        <v>0.37718078654709408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0.39110406076067189</v>
      </c>
      <c r="AB610">
        <v>0</v>
      </c>
      <c r="AC610">
        <v>0</v>
      </c>
      <c r="AD610">
        <v>0</v>
      </c>
      <c r="AE610">
        <v>0</v>
      </c>
      <c r="AF610">
        <v>0.14014593923932805</v>
      </c>
      <c r="AG610">
        <v>0</v>
      </c>
      <c r="AH610">
        <v>0</v>
      </c>
      <c r="AI610">
        <v>0</v>
      </c>
      <c r="AK610">
        <v>0</v>
      </c>
    </row>
    <row r="611" spans="1:37" x14ac:dyDescent="0.25">
      <c r="A611" t="s">
        <v>128</v>
      </c>
      <c r="B611" t="s">
        <v>146</v>
      </c>
      <c r="C611" t="s">
        <v>109</v>
      </c>
      <c r="D611" s="12">
        <v>46240</v>
      </c>
      <c r="E611" t="s">
        <v>136</v>
      </c>
      <c r="G611">
        <v>6.7655742969551049</v>
      </c>
      <c r="H611">
        <v>6.6499999999999995</v>
      </c>
      <c r="K611">
        <v>6.6499999999999995</v>
      </c>
      <c r="N611">
        <v>9.3354238754325252</v>
      </c>
      <c r="R611">
        <v>0.34845024783683298</v>
      </c>
      <c r="S611">
        <v>0</v>
      </c>
      <c r="T611">
        <v>0</v>
      </c>
      <c r="U611">
        <v>0</v>
      </c>
      <c r="V611">
        <v>0</v>
      </c>
      <c r="W611">
        <v>0.10117700989211498</v>
      </c>
      <c r="X611">
        <v>3.1391797447334564E-2</v>
      </c>
      <c r="Y611">
        <v>0</v>
      </c>
      <c r="Z611">
        <v>0</v>
      </c>
      <c r="AA611">
        <v>4.8474500538352373E-2</v>
      </c>
      <c r="AB611">
        <v>0</v>
      </c>
      <c r="AC611">
        <v>0</v>
      </c>
      <c r="AD611">
        <v>0</v>
      </c>
      <c r="AE611">
        <v>0</v>
      </c>
      <c r="AF611">
        <v>0.42125027010384952</v>
      </c>
      <c r="AG611">
        <v>0</v>
      </c>
      <c r="AH611">
        <v>0</v>
      </c>
      <c r="AI611">
        <v>0</v>
      </c>
      <c r="AK611">
        <v>0.53027522935779825</v>
      </c>
    </row>
    <row r="612" spans="1:37" x14ac:dyDescent="0.25">
      <c r="A612" t="s">
        <v>128</v>
      </c>
      <c r="B612" t="s">
        <v>145</v>
      </c>
      <c r="C612" t="s">
        <v>109</v>
      </c>
      <c r="D612" s="12">
        <v>46240</v>
      </c>
      <c r="E612" t="s">
        <v>135</v>
      </c>
      <c r="G612">
        <v>10.754837871019967</v>
      </c>
      <c r="H612">
        <v>0</v>
      </c>
      <c r="K612">
        <v>0</v>
      </c>
      <c r="N612">
        <v>7.9896649062101623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0.74289031615615031</v>
      </c>
      <c r="AB612">
        <v>0.25710968384384963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25">
      <c r="A613" t="s">
        <v>128</v>
      </c>
      <c r="B613" t="s">
        <v>146</v>
      </c>
      <c r="C613" t="s">
        <v>109</v>
      </c>
      <c r="D613" s="12">
        <v>46240</v>
      </c>
      <c r="E613" t="s">
        <v>135</v>
      </c>
      <c r="G613">
        <v>10.752377986437555</v>
      </c>
      <c r="H613">
        <v>0</v>
      </c>
      <c r="K613">
        <v>0</v>
      </c>
      <c r="N613">
        <v>7.9896649062101623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0.74306027153136511</v>
      </c>
      <c r="AB613">
        <v>0.25693972846863483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25">
      <c r="A614" t="s">
        <v>128</v>
      </c>
      <c r="B614" t="s">
        <v>145</v>
      </c>
      <c r="C614" t="s">
        <v>109</v>
      </c>
      <c r="D614" s="12">
        <v>46241</v>
      </c>
      <c r="E614" t="s">
        <v>134</v>
      </c>
      <c r="G614">
        <v>26.220922841721428</v>
      </c>
      <c r="H614">
        <v>33.25</v>
      </c>
      <c r="K614">
        <v>33.25</v>
      </c>
      <c r="N614">
        <v>27.25</v>
      </c>
      <c r="R614">
        <v>2.6411282804096787E-2</v>
      </c>
      <c r="S614">
        <v>0</v>
      </c>
      <c r="T614">
        <v>0.20154350810942651</v>
      </c>
      <c r="U614">
        <v>0</v>
      </c>
      <c r="V614">
        <v>0</v>
      </c>
      <c r="W614">
        <v>0</v>
      </c>
      <c r="X614">
        <v>1.2835129859959335E-2</v>
      </c>
      <c r="Y614">
        <v>0</v>
      </c>
      <c r="Z614">
        <v>9.1778604045620049E-2</v>
      </c>
      <c r="AA614">
        <v>3.8085931149689813E-2</v>
      </c>
      <c r="AB614">
        <v>0</v>
      </c>
      <c r="AC614">
        <v>0</v>
      </c>
      <c r="AD614">
        <v>0</v>
      </c>
      <c r="AE614">
        <v>0</v>
      </c>
      <c r="AF614">
        <v>0.96191406885031017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25">
      <c r="A615" t="s">
        <v>128</v>
      </c>
      <c r="B615" t="s">
        <v>146</v>
      </c>
      <c r="C615" t="s">
        <v>109</v>
      </c>
      <c r="D615" s="12">
        <v>46241</v>
      </c>
      <c r="E615" t="s">
        <v>134</v>
      </c>
      <c r="G615">
        <v>26.221255612373252</v>
      </c>
      <c r="H615">
        <v>6.6499999999999995</v>
      </c>
      <c r="K615">
        <v>6.6499999999999995</v>
      </c>
      <c r="N615">
        <v>27.25</v>
      </c>
      <c r="R615">
        <v>3.9233223718749176E-2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0.32787789001519935</v>
      </c>
      <c r="AB615">
        <v>0</v>
      </c>
      <c r="AC615">
        <v>0</v>
      </c>
      <c r="AD615">
        <v>0</v>
      </c>
      <c r="AE615">
        <v>0</v>
      </c>
      <c r="AF615">
        <v>0.25361104358641035</v>
      </c>
      <c r="AG615">
        <v>0</v>
      </c>
      <c r="AH615">
        <v>0</v>
      </c>
      <c r="AI615">
        <v>0</v>
      </c>
      <c r="AJ615">
        <v>0.41851106639839036</v>
      </c>
      <c r="AK615">
        <v>0</v>
      </c>
    </row>
    <row r="616" spans="1:37" x14ac:dyDescent="0.25">
      <c r="A616" t="s">
        <v>128</v>
      </c>
      <c r="B616" t="s">
        <v>145</v>
      </c>
      <c r="C616" t="s">
        <v>109</v>
      </c>
      <c r="D616" s="12">
        <v>46241</v>
      </c>
      <c r="E616" t="s">
        <v>136</v>
      </c>
      <c r="G616">
        <v>6.7786480661254078</v>
      </c>
      <c r="H616">
        <v>0.95</v>
      </c>
      <c r="K616">
        <v>0.95</v>
      </c>
      <c r="N616">
        <v>9.3354238754325252</v>
      </c>
      <c r="R616">
        <v>0.37718078654709369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0.39110406076067183</v>
      </c>
      <c r="AB616">
        <v>0</v>
      </c>
      <c r="AC616">
        <v>0</v>
      </c>
      <c r="AD616">
        <v>0</v>
      </c>
      <c r="AE616">
        <v>0</v>
      </c>
      <c r="AF616">
        <v>0.14014593923932805</v>
      </c>
      <c r="AG616">
        <v>0</v>
      </c>
      <c r="AH616">
        <v>0</v>
      </c>
      <c r="AI616">
        <v>0</v>
      </c>
      <c r="AK616">
        <v>0</v>
      </c>
    </row>
    <row r="617" spans="1:37" x14ac:dyDescent="0.25">
      <c r="A617" t="s">
        <v>128</v>
      </c>
      <c r="B617" t="s">
        <v>146</v>
      </c>
      <c r="C617" t="s">
        <v>109</v>
      </c>
      <c r="D617" s="12">
        <v>46241</v>
      </c>
      <c r="E617" t="s">
        <v>136</v>
      </c>
      <c r="G617">
        <v>6.7655742969551067</v>
      </c>
      <c r="H617">
        <v>7.6</v>
      </c>
      <c r="K617">
        <v>7.6</v>
      </c>
      <c r="N617">
        <v>9.3354238754325252</v>
      </c>
      <c r="R617">
        <v>0.25650799167390187</v>
      </c>
      <c r="S617">
        <v>0</v>
      </c>
      <c r="T617">
        <v>0</v>
      </c>
      <c r="U617">
        <v>0</v>
      </c>
      <c r="V617">
        <v>0</v>
      </c>
      <c r="W617">
        <v>0.1266659463897348</v>
      </c>
      <c r="X617">
        <v>0.12333405361026518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K617">
        <v>1</v>
      </c>
    </row>
    <row r="618" spans="1:37" x14ac:dyDescent="0.25">
      <c r="A618" t="s">
        <v>128</v>
      </c>
      <c r="B618" t="s">
        <v>145</v>
      </c>
      <c r="C618" t="s">
        <v>109</v>
      </c>
      <c r="D618" s="12">
        <v>46241</v>
      </c>
      <c r="E618" t="s">
        <v>135</v>
      </c>
      <c r="G618">
        <v>8.2967229897463586</v>
      </c>
      <c r="H618">
        <v>0</v>
      </c>
      <c r="K618">
        <v>0</v>
      </c>
      <c r="N618">
        <v>5.9273356401384083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0.71441889134587278</v>
      </c>
      <c r="AB618">
        <v>0.28558110865412717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25">
      <c r="A619" t="s">
        <v>128</v>
      </c>
      <c r="B619" t="s">
        <v>146</v>
      </c>
      <c r="C619" t="s">
        <v>109</v>
      </c>
      <c r="D619" s="12">
        <v>46241</v>
      </c>
      <c r="E619" t="s">
        <v>135</v>
      </c>
      <c r="G619">
        <v>8.301202861771058</v>
      </c>
      <c r="H619">
        <v>0</v>
      </c>
      <c r="K619">
        <v>0</v>
      </c>
      <c r="N619">
        <v>5.9273356401384092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0.71403334418378672</v>
      </c>
      <c r="AB619">
        <v>0.28596665581621339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25">
      <c r="A620" t="s">
        <v>128</v>
      </c>
      <c r="B620" t="s">
        <v>145</v>
      </c>
      <c r="C620" t="s">
        <v>109</v>
      </c>
      <c r="D620" s="12">
        <v>46242</v>
      </c>
      <c r="E620" t="s">
        <v>134</v>
      </c>
      <c r="G620">
        <v>26.220922841721425</v>
      </c>
      <c r="H620">
        <v>29.45</v>
      </c>
      <c r="K620">
        <v>29.45</v>
      </c>
      <c r="N620">
        <v>27.25</v>
      </c>
      <c r="R620">
        <v>3.0660375571110027E-2</v>
      </c>
      <c r="S620">
        <v>0</v>
      </c>
      <c r="T620">
        <v>5.3938669148485434E-2</v>
      </c>
      <c r="U620">
        <v>0</v>
      </c>
      <c r="V620">
        <v>0</v>
      </c>
      <c r="W620">
        <v>0</v>
      </c>
      <c r="X620">
        <v>8.5860370929461E-3</v>
      </c>
      <c r="Y620">
        <v>0</v>
      </c>
      <c r="Z620">
        <v>9.6564177499328566E-2</v>
      </c>
      <c r="AA620">
        <v>3.5940008402908737E-2</v>
      </c>
      <c r="AB620">
        <v>0</v>
      </c>
      <c r="AC620">
        <v>0</v>
      </c>
      <c r="AD620">
        <v>0</v>
      </c>
      <c r="AE620">
        <v>0</v>
      </c>
      <c r="AF620">
        <v>0.96405999159709133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25">
      <c r="A621" t="s">
        <v>128</v>
      </c>
      <c r="B621" t="s">
        <v>146</v>
      </c>
      <c r="C621" t="s">
        <v>109</v>
      </c>
      <c r="D621" s="12">
        <v>46242</v>
      </c>
      <c r="E621" t="s">
        <v>134</v>
      </c>
      <c r="G621">
        <v>26.221255612373248</v>
      </c>
      <c r="H621">
        <v>7.6000000000000005</v>
      </c>
      <c r="K621">
        <v>7.6000000000000005</v>
      </c>
      <c r="N621">
        <v>27.25</v>
      </c>
      <c r="R621">
        <v>3.9233223718749273E-2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0.71015880732981673</v>
      </c>
      <c r="AB621">
        <v>0</v>
      </c>
      <c r="AC621">
        <v>0</v>
      </c>
      <c r="AD621">
        <v>0</v>
      </c>
      <c r="AE621">
        <v>0</v>
      </c>
      <c r="AF621">
        <v>0.28984119267018332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25">
      <c r="A622" t="s">
        <v>128</v>
      </c>
      <c r="B622" t="s">
        <v>145</v>
      </c>
      <c r="C622" t="s">
        <v>109</v>
      </c>
      <c r="D622" s="12">
        <v>46242</v>
      </c>
      <c r="E622" t="s">
        <v>136</v>
      </c>
      <c r="G622">
        <v>6.7786480661254078</v>
      </c>
      <c r="H622">
        <v>0</v>
      </c>
      <c r="K622">
        <v>0</v>
      </c>
      <c r="N622">
        <v>9.3354238754325269</v>
      </c>
      <c r="R622">
        <v>0.37718078654709403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K622">
        <v>0</v>
      </c>
    </row>
    <row r="623" spans="1:37" x14ac:dyDescent="0.25">
      <c r="A623" t="s">
        <v>128</v>
      </c>
      <c r="B623" t="s">
        <v>146</v>
      </c>
      <c r="C623" t="s">
        <v>109</v>
      </c>
      <c r="D623" s="12">
        <v>46242</v>
      </c>
      <c r="E623" t="s">
        <v>136</v>
      </c>
      <c r="G623">
        <v>6.7655742969551058</v>
      </c>
      <c r="H623">
        <v>7.6</v>
      </c>
      <c r="K623">
        <v>7.6</v>
      </c>
      <c r="N623">
        <v>9.3354238754325269</v>
      </c>
      <c r="R623">
        <v>0.34845024783683298</v>
      </c>
      <c r="S623">
        <v>0</v>
      </c>
      <c r="T623">
        <v>0</v>
      </c>
      <c r="U623">
        <v>0</v>
      </c>
      <c r="V623">
        <v>0</v>
      </c>
      <c r="W623">
        <v>0.10117700989211498</v>
      </c>
      <c r="X623">
        <v>3.1391797447334564E-2</v>
      </c>
      <c r="Y623">
        <v>0</v>
      </c>
      <c r="Z623">
        <v>0</v>
      </c>
      <c r="AA623">
        <v>4.8474500538352429E-2</v>
      </c>
      <c r="AB623">
        <v>0</v>
      </c>
      <c r="AC623">
        <v>0</v>
      </c>
      <c r="AD623">
        <v>0</v>
      </c>
      <c r="AE623">
        <v>0</v>
      </c>
      <c r="AF623">
        <v>0.42125027010384947</v>
      </c>
      <c r="AG623">
        <v>0</v>
      </c>
      <c r="AH623">
        <v>0</v>
      </c>
      <c r="AI623">
        <v>0</v>
      </c>
      <c r="AK623">
        <v>0.53027522935779814</v>
      </c>
    </row>
    <row r="624" spans="1:37" x14ac:dyDescent="0.25">
      <c r="A624" t="s">
        <v>128</v>
      </c>
      <c r="B624" t="s">
        <v>145</v>
      </c>
      <c r="C624" t="s">
        <v>109</v>
      </c>
      <c r="D624" s="12">
        <v>46242</v>
      </c>
      <c r="E624" t="s">
        <v>135</v>
      </c>
      <c r="G624">
        <v>7.0325496222342156</v>
      </c>
      <c r="H624">
        <v>0</v>
      </c>
      <c r="K624">
        <v>0</v>
      </c>
      <c r="N624">
        <v>6.8685121107266429</v>
      </c>
      <c r="R624">
        <v>7.0311613883279486E-2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0.56681564776272186</v>
      </c>
      <c r="AB624">
        <v>9.3637081931019717E-2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0.33954727030625831</v>
      </c>
      <c r="AK624">
        <v>0</v>
      </c>
    </row>
    <row r="625" spans="1:37" x14ac:dyDescent="0.25">
      <c r="A625" t="s">
        <v>128</v>
      </c>
      <c r="B625" t="s">
        <v>146</v>
      </c>
      <c r="C625" t="s">
        <v>109</v>
      </c>
      <c r="D625" s="12">
        <v>46242</v>
      </c>
      <c r="E625" t="s">
        <v>135</v>
      </c>
      <c r="G625">
        <v>7.0363468952483803</v>
      </c>
      <c r="H625">
        <v>0</v>
      </c>
      <c r="K625">
        <v>0</v>
      </c>
      <c r="N625">
        <v>6.8685121107266429</v>
      </c>
      <c r="R625">
        <v>7.0090427221547388E-2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0.56650975696522454</v>
      </c>
      <c r="AB625">
        <v>9.3942972728517121E-2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0.33954727030625831</v>
      </c>
      <c r="AK625">
        <v>0</v>
      </c>
    </row>
    <row r="626" spans="1:37" x14ac:dyDescent="0.25">
      <c r="A626" t="s">
        <v>128</v>
      </c>
      <c r="B626" t="s">
        <v>145</v>
      </c>
      <c r="C626" t="s">
        <v>109</v>
      </c>
      <c r="D626" s="12">
        <v>46243</v>
      </c>
      <c r="E626" t="s">
        <v>134</v>
      </c>
      <c r="G626">
        <v>27.008675888468424</v>
      </c>
      <c r="H626">
        <v>36.1</v>
      </c>
      <c r="K626">
        <v>36.1</v>
      </c>
      <c r="N626">
        <v>28.125</v>
      </c>
      <c r="R626">
        <v>2.7588165218223357E-2</v>
      </c>
      <c r="S626">
        <v>0</v>
      </c>
      <c r="T626">
        <v>0.26212430415800336</v>
      </c>
      <c r="U626">
        <v>0</v>
      </c>
      <c r="V626">
        <v>0</v>
      </c>
      <c r="W626">
        <v>0</v>
      </c>
      <c r="X626">
        <v>1.3743891049229613E-2</v>
      </c>
      <c r="Y626">
        <v>0</v>
      </c>
      <c r="Z626">
        <v>9.5631108950770372E-2</v>
      </c>
      <c r="AA626">
        <v>3.4891758157823895E-2</v>
      </c>
      <c r="AB626">
        <v>0</v>
      </c>
      <c r="AC626">
        <v>0</v>
      </c>
      <c r="AD626">
        <v>0</v>
      </c>
      <c r="AE626">
        <v>0</v>
      </c>
      <c r="AF626">
        <v>0.96510824184217614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25">
      <c r="A627" t="s">
        <v>128</v>
      </c>
      <c r="B627" t="s">
        <v>146</v>
      </c>
      <c r="C627" t="s">
        <v>109</v>
      </c>
      <c r="D627" s="12">
        <v>46243</v>
      </c>
      <c r="E627" t="s">
        <v>134</v>
      </c>
      <c r="G627">
        <v>27.012641596650106</v>
      </c>
      <c r="H627">
        <v>8.5499999999999989</v>
      </c>
      <c r="K627">
        <v>8.5499999999999989</v>
      </c>
      <c r="N627">
        <v>28.125</v>
      </c>
      <c r="R627">
        <v>4.1179178991803504E-2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0.68348152958649189</v>
      </c>
      <c r="AB627">
        <v>0</v>
      </c>
      <c r="AC627">
        <v>0</v>
      </c>
      <c r="AD627">
        <v>0</v>
      </c>
      <c r="AE627">
        <v>0</v>
      </c>
      <c r="AF627">
        <v>0.31651847041350828</v>
      </c>
      <c r="AG627">
        <v>0</v>
      </c>
      <c r="AH627">
        <v>0</v>
      </c>
      <c r="AI627">
        <v>0</v>
      </c>
      <c r="AJ627">
        <v>0</v>
      </c>
      <c r="AK627">
        <v>0</v>
      </c>
    </row>
    <row r="628" spans="1:37" x14ac:dyDescent="0.25">
      <c r="A628" t="s">
        <v>128</v>
      </c>
      <c r="B628" t="s">
        <v>145</v>
      </c>
      <c r="C628" t="s">
        <v>109</v>
      </c>
      <c r="D628" s="12">
        <v>46243</v>
      </c>
      <c r="E628" t="s">
        <v>136</v>
      </c>
      <c r="G628">
        <v>6.7786480661254078</v>
      </c>
      <c r="H628">
        <v>0.95</v>
      </c>
      <c r="K628">
        <v>0.95</v>
      </c>
      <c r="N628">
        <v>9.3354238754325269</v>
      </c>
      <c r="R628">
        <v>0.37718078654709403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0.39110406076067183</v>
      </c>
      <c r="AB628">
        <v>0</v>
      </c>
      <c r="AC628">
        <v>0</v>
      </c>
      <c r="AD628">
        <v>0</v>
      </c>
      <c r="AE628">
        <v>0</v>
      </c>
      <c r="AF628">
        <v>0.14014593923932805</v>
      </c>
      <c r="AG628">
        <v>0</v>
      </c>
      <c r="AH628">
        <v>0</v>
      </c>
      <c r="AI628">
        <v>0</v>
      </c>
      <c r="AK628">
        <v>0</v>
      </c>
    </row>
    <row r="629" spans="1:37" x14ac:dyDescent="0.25">
      <c r="A629" t="s">
        <v>128</v>
      </c>
      <c r="B629" t="s">
        <v>146</v>
      </c>
      <c r="C629" t="s">
        <v>109</v>
      </c>
      <c r="D629" s="12">
        <v>46243</v>
      </c>
      <c r="E629" t="s">
        <v>136</v>
      </c>
      <c r="G629">
        <v>6.7655742969551058</v>
      </c>
      <c r="H629">
        <v>7.6</v>
      </c>
      <c r="K629">
        <v>7.6</v>
      </c>
      <c r="N629">
        <v>9.3354238754325269</v>
      </c>
      <c r="R629">
        <v>0.34845024783683298</v>
      </c>
      <c r="S629">
        <v>0</v>
      </c>
      <c r="T629">
        <v>0</v>
      </c>
      <c r="U629">
        <v>0</v>
      </c>
      <c r="V629">
        <v>0</v>
      </c>
      <c r="W629">
        <v>0.10117700989211498</v>
      </c>
      <c r="X629">
        <v>3.1391797447334564E-2</v>
      </c>
      <c r="Y629">
        <v>0</v>
      </c>
      <c r="Z629">
        <v>0</v>
      </c>
      <c r="AA629">
        <v>4.8474500538352429E-2</v>
      </c>
      <c r="AB629">
        <v>0</v>
      </c>
      <c r="AC629">
        <v>0</v>
      </c>
      <c r="AD629">
        <v>0</v>
      </c>
      <c r="AE629">
        <v>0</v>
      </c>
      <c r="AF629">
        <v>0.42125027010384947</v>
      </c>
      <c r="AG629">
        <v>0</v>
      </c>
      <c r="AH629">
        <v>0</v>
      </c>
      <c r="AI629">
        <v>0</v>
      </c>
      <c r="AK629">
        <v>0.53027522935779814</v>
      </c>
    </row>
    <row r="630" spans="1:37" x14ac:dyDescent="0.25">
      <c r="A630" t="s">
        <v>128</v>
      </c>
      <c r="B630" t="s">
        <v>145</v>
      </c>
      <c r="C630" t="s">
        <v>109</v>
      </c>
      <c r="D630" s="12">
        <v>46243</v>
      </c>
      <c r="E630" t="s">
        <v>135</v>
      </c>
      <c r="G630">
        <v>8.1518697913855913</v>
      </c>
      <c r="H630">
        <v>0</v>
      </c>
      <c r="K630">
        <v>0</v>
      </c>
      <c r="N630">
        <v>6.8685121107266429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0.84256891811310286</v>
      </c>
      <c r="AB630">
        <v>0.15743108188689711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25">
      <c r="A631" t="s">
        <v>128</v>
      </c>
      <c r="B631" t="s">
        <v>146</v>
      </c>
      <c r="C631" t="s">
        <v>109</v>
      </c>
      <c r="D631" s="12">
        <v>46243</v>
      </c>
      <c r="E631" t="s">
        <v>135</v>
      </c>
      <c r="G631">
        <v>8.1606633099352042</v>
      </c>
      <c r="H631">
        <v>0</v>
      </c>
      <c r="K631">
        <v>0</v>
      </c>
      <c r="N631">
        <v>6.8685121107266429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0.8416610084090308</v>
      </c>
      <c r="AB631">
        <v>0.15833899159096917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25">
      <c r="A632" t="s">
        <v>128</v>
      </c>
      <c r="B632" t="s">
        <v>145</v>
      </c>
      <c r="C632" t="s">
        <v>109</v>
      </c>
      <c r="D632" s="12">
        <v>46244</v>
      </c>
      <c r="E632" t="s">
        <v>134</v>
      </c>
      <c r="G632">
        <v>27.064943963236065</v>
      </c>
      <c r="H632">
        <v>25.65</v>
      </c>
      <c r="K632">
        <v>25.65</v>
      </c>
      <c r="N632">
        <v>28.1875</v>
      </c>
      <c r="R632">
        <v>4.2693819862249446E-2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5.1062147393653272E-2</v>
      </c>
      <c r="AB632">
        <v>1.2174348274690047E-3</v>
      </c>
      <c r="AC632">
        <v>0</v>
      </c>
      <c r="AD632">
        <v>0</v>
      </c>
      <c r="AE632">
        <v>0</v>
      </c>
      <c r="AF632">
        <v>0.94772041777887772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25">
      <c r="A633" t="s">
        <v>128</v>
      </c>
      <c r="B633" t="s">
        <v>146</v>
      </c>
      <c r="C633" t="s">
        <v>109</v>
      </c>
      <c r="D633" s="12">
        <v>46244</v>
      </c>
      <c r="E633" t="s">
        <v>134</v>
      </c>
      <c r="G633">
        <v>27.065400662268566</v>
      </c>
      <c r="H633">
        <v>6.6499999999999995</v>
      </c>
      <c r="K633">
        <v>6.6499999999999995</v>
      </c>
      <c r="N633">
        <v>28.1875</v>
      </c>
      <c r="R633">
        <v>4.2610680170119909E-2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0.34768889393104818</v>
      </c>
      <c r="AB633">
        <v>1.1518689101877731E-3</v>
      </c>
      <c r="AC633">
        <v>0</v>
      </c>
      <c r="AD633">
        <v>0</v>
      </c>
      <c r="AE633">
        <v>0</v>
      </c>
      <c r="AF633">
        <v>0.24570114749014804</v>
      </c>
      <c r="AG633">
        <v>0</v>
      </c>
      <c r="AH633">
        <v>0</v>
      </c>
      <c r="AI633">
        <v>0</v>
      </c>
      <c r="AJ633">
        <v>0.40545808966861596</v>
      </c>
      <c r="AK633">
        <v>0</v>
      </c>
    </row>
    <row r="634" spans="1:37" x14ac:dyDescent="0.25">
      <c r="A634" t="s">
        <v>128</v>
      </c>
      <c r="B634" t="s">
        <v>145</v>
      </c>
      <c r="C634" t="s">
        <v>109</v>
      </c>
      <c r="D634" s="12">
        <v>46244</v>
      </c>
      <c r="E634" t="s">
        <v>136</v>
      </c>
      <c r="G634">
        <v>6.7786480661254069</v>
      </c>
      <c r="H634">
        <v>0</v>
      </c>
      <c r="K634">
        <v>0</v>
      </c>
      <c r="N634">
        <v>9.3354238754325252</v>
      </c>
      <c r="R634">
        <v>0.37718078654709408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K634">
        <v>0</v>
      </c>
    </row>
    <row r="635" spans="1:37" x14ac:dyDescent="0.25">
      <c r="A635" t="s">
        <v>128</v>
      </c>
      <c r="B635" t="s">
        <v>146</v>
      </c>
      <c r="C635" t="s">
        <v>109</v>
      </c>
      <c r="D635" s="12">
        <v>46244</v>
      </c>
      <c r="E635" t="s">
        <v>136</v>
      </c>
      <c r="G635">
        <v>6.7655742969551049</v>
      </c>
      <c r="H635">
        <v>6.6499999999999995</v>
      </c>
      <c r="K635">
        <v>6.6499999999999995</v>
      </c>
      <c r="N635">
        <v>9.3354238754325252</v>
      </c>
      <c r="R635">
        <v>0.34845024783683298</v>
      </c>
      <c r="S635">
        <v>0</v>
      </c>
      <c r="T635">
        <v>0</v>
      </c>
      <c r="U635">
        <v>0</v>
      </c>
      <c r="V635">
        <v>0</v>
      </c>
      <c r="W635">
        <v>0.10117700989211498</v>
      </c>
      <c r="X635">
        <v>3.1391797447334564E-2</v>
      </c>
      <c r="Y635">
        <v>0</v>
      </c>
      <c r="Z635">
        <v>0</v>
      </c>
      <c r="AA635">
        <v>4.8474500538352373E-2</v>
      </c>
      <c r="AB635">
        <v>0</v>
      </c>
      <c r="AC635">
        <v>0</v>
      </c>
      <c r="AD635">
        <v>0</v>
      </c>
      <c r="AE635">
        <v>0</v>
      </c>
      <c r="AF635">
        <v>0.42125027010384952</v>
      </c>
      <c r="AG635">
        <v>0</v>
      </c>
      <c r="AH635">
        <v>0</v>
      </c>
      <c r="AI635">
        <v>0</v>
      </c>
      <c r="AK635">
        <v>0.53027522935779825</v>
      </c>
    </row>
    <row r="636" spans="1:37" x14ac:dyDescent="0.25">
      <c r="A636" t="s">
        <v>128</v>
      </c>
      <c r="B636" t="s">
        <v>145</v>
      </c>
      <c r="C636" t="s">
        <v>109</v>
      </c>
      <c r="D636" s="12">
        <v>46244</v>
      </c>
      <c r="E636" t="s">
        <v>135</v>
      </c>
      <c r="G636">
        <v>8.1518697913855913</v>
      </c>
      <c r="H636">
        <v>0</v>
      </c>
      <c r="K636">
        <v>0</v>
      </c>
      <c r="N636">
        <v>6.7956855536332164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0.83363519383178697</v>
      </c>
      <c r="AB636">
        <v>0.166364806168213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25">
      <c r="A637" t="s">
        <v>128</v>
      </c>
      <c r="B637" t="s">
        <v>146</v>
      </c>
      <c r="C637" t="s">
        <v>109</v>
      </c>
      <c r="D637" s="12">
        <v>46244</v>
      </c>
      <c r="E637" t="s">
        <v>135</v>
      </c>
      <c r="G637">
        <v>8.1606633099352042</v>
      </c>
      <c r="H637">
        <v>0</v>
      </c>
      <c r="K637">
        <v>0</v>
      </c>
      <c r="N637">
        <v>6.7956855536332164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0.83273691065771638</v>
      </c>
      <c r="AB637">
        <v>0.16726308934228359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25">
      <c r="A638" t="s">
        <v>128</v>
      </c>
      <c r="B638" t="s">
        <v>145</v>
      </c>
      <c r="C638" t="s">
        <v>109</v>
      </c>
      <c r="D638" s="12">
        <v>46245</v>
      </c>
      <c r="E638" t="s">
        <v>134</v>
      </c>
      <c r="G638">
        <v>26.924273776316959</v>
      </c>
      <c r="H638">
        <v>36.1</v>
      </c>
      <c r="K638">
        <v>36.1</v>
      </c>
      <c r="N638">
        <v>28.03125</v>
      </c>
      <c r="R638">
        <v>4.0732103745772047E-2</v>
      </c>
      <c r="S638">
        <v>0</v>
      </c>
      <c r="T638">
        <v>0.26686450573843601</v>
      </c>
      <c r="U638">
        <v>0</v>
      </c>
      <c r="V638">
        <v>0</v>
      </c>
      <c r="W638">
        <v>0</v>
      </c>
      <c r="X638">
        <v>3.8232826749759707E-4</v>
      </c>
      <c r="Y638">
        <v>0</v>
      </c>
      <c r="Z638">
        <v>0.10855184101149927</v>
      </c>
      <c r="AA638">
        <v>3.5001136710042777E-2</v>
      </c>
      <c r="AB638">
        <v>0</v>
      </c>
      <c r="AC638">
        <v>0</v>
      </c>
      <c r="AD638">
        <v>0</v>
      </c>
      <c r="AE638">
        <v>0</v>
      </c>
      <c r="AF638">
        <v>0.96499886328995732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25">
      <c r="A639" t="s">
        <v>128</v>
      </c>
      <c r="B639" t="s">
        <v>146</v>
      </c>
      <c r="C639" t="s">
        <v>109</v>
      </c>
      <c r="D639" s="12">
        <v>46245</v>
      </c>
      <c r="E639" t="s">
        <v>134</v>
      </c>
      <c r="G639">
        <v>26.933502998222423</v>
      </c>
      <c r="H639">
        <v>4.75</v>
      </c>
      <c r="K639">
        <v>4.75</v>
      </c>
      <c r="N639">
        <v>28.03125</v>
      </c>
      <c r="R639">
        <v>4.0757676483821219E-2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0.66693061611522886</v>
      </c>
      <c r="AB639">
        <v>0</v>
      </c>
      <c r="AC639">
        <v>0</v>
      </c>
      <c r="AD639">
        <v>0</v>
      </c>
      <c r="AE639">
        <v>0</v>
      </c>
      <c r="AF639">
        <v>0.17636027516782701</v>
      </c>
      <c r="AG639">
        <v>0</v>
      </c>
      <c r="AH639">
        <v>0</v>
      </c>
      <c r="AI639">
        <v>0</v>
      </c>
      <c r="AJ639">
        <v>0.15670910871694418</v>
      </c>
      <c r="AK639">
        <v>0</v>
      </c>
    </row>
    <row r="640" spans="1:37" x14ac:dyDescent="0.25">
      <c r="A640" t="s">
        <v>128</v>
      </c>
      <c r="B640" t="s">
        <v>145</v>
      </c>
      <c r="C640" t="s">
        <v>109</v>
      </c>
      <c r="D640" s="12">
        <v>46245</v>
      </c>
      <c r="E640" t="s">
        <v>136</v>
      </c>
      <c r="G640">
        <v>6.7786480661254069</v>
      </c>
      <c r="H640">
        <v>0</v>
      </c>
      <c r="K640">
        <v>0</v>
      </c>
      <c r="N640">
        <v>9.3354238754325252</v>
      </c>
      <c r="R640">
        <v>0.37718078654709392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K640">
        <v>0</v>
      </c>
    </row>
    <row r="641" spans="1:37" x14ac:dyDescent="0.25">
      <c r="A641" t="s">
        <v>128</v>
      </c>
      <c r="B641" t="s">
        <v>146</v>
      </c>
      <c r="C641" t="s">
        <v>109</v>
      </c>
      <c r="D641" s="12">
        <v>46245</v>
      </c>
      <c r="E641" t="s">
        <v>136</v>
      </c>
      <c r="G641">
        <v>6.7655742969551049</v>
      </c>
      <c r="H641">
        <v>9.5</v>
      </c>
      <c r="K641">
        <v>9.5</v>
      </c>
      <c r="N641">
        <v>9.3354238754325252</v>
      </c>
      <c r="R641">
        <v>0.21509780165070722</v>
      </c>
      <c r="S641">
        <v>0</v>
      </c>
      <c r="T641">
        <v>0.14748106721644066</v>
      </c>
      <c r="U641">
        <v>0</v>
      </c>
      <c r="V641">
        <v>3.2175436294010547E-2</v>
      </c>
      <c r="W641">
        <v>0</v>
      </c>
      <c r="X641">
        <v>0.13256880733944956</v>
      </c>
      <c r="Y641">
        <v>0</v>
      </c>
      <c r="Z641">
        <v>0</v>
      </c>
      <c r="AA641">
        <v>4.8474500538352373E-2</v>
      </c>
      <c r="AB641">
        <v>0</v>
      </c>
      <c r="AC641">
        <v>0</v>
      </c>
      <c r="AD641">
        <v>0</v>
      </c>
      <c r="AE641">
        <v>0</v>
      </c>
      <c r="AF641">
        <v>0.95152549946164766</v>
      </c>
      <c r="AG641">
        <v>0</v>
      </c>
      <c r="AH641">
        <v>0</v>
      </c>
      <c r="AI641">
        <v>0</v>
      </c>
      <c r="AK641">
        <v>0</v>
      </c>
    </row>
    <row r="642" spans="1:37" x14ac:dyDescent="0.25">
      <c r="A642" t="s">
        <v>128</v>
      </c>
      <c r="B642" t="s">
        <v>145</v>
      </c>
      <c r="C642" t="s">
        <v>109</v>
      </c>
      <c r="D642" s="12">
        <v>46245</v>
      </c>
      <c r="E642" t="s">
        <v>135</v>
      </c>
      <c r="G642">
        <v>11.659072988059904</v>
      </c>
      <c r="H642">
        <v>0</v>
      </c>
      <c r="K642">
        <v>0</v>
      </c>
      <c r="N642">
        <v>9.712478373702421</v>
      </c>
      <c r="R642">
        <v>1.4614670608169339E-2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0.5292835792925078</v>
      </c>
      <c r="AB642">
        <v>0.18157430936769992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0.28914211133979212</v>
      </c>
      <c r="AK642">
        <v>0</v>
      </c>
    </row>
    <row r="643" spans="1:37" x14ac:dyDescent="0.25">
      <c r="A643" t="s">
        <v>128</v>
      </c>
      <c r="B643" t="s">
        <v>146</v>
      </c>
      <c r="C643" t="s">
        <v>109</v>
      </c>
      <c r="D643" s="12">
        <v>46245</v>
      </c>
      <c r="E643" t="s">
        <v>135</v>
      </c>
      <c r="G643">
        <v>11.674152105831531</v>
      </c>
      <c r="H643">
        <v>0</v>
      </c>
      <c r="K643">
        <v>0</v>
      </c>
      <c r="N643">
        <v>9.712478373702421</v>
      </c>
      <c r="R643">
        <v>1.4439870729866399E-2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0.52859992112578302</v>
      </c>
      <c r="AB643">
        <v>0.18247552028673705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0.28892455858748001</v>
      </c>
      <c r="AK643">
        <v>0</v>
      </c>
    </row>
    <row r="644" spans="1:37" x14ac:dyDescent="0.25">
      <c r="A644" t="s">
        <v>128</v>
      </c>
      <c r="B644" t="s">
        <v>145</v>
      </c>
      <c r="C644" t="s">
        <v>109</v>
      </c>
      <c r="D644" s="12">
        <v>46246</v>
      </c>
      <c r="E644" t="s">
        <v>134</v>
      </c>
      <c r="G644">
        <v>27.59949067352867</v>
      </c>
      <c r="H644">
        <v>30.4</v>
      </c>
      <c r="K644">
        <v>30.4</v>
      </c>
      <c r="N644">
        <v>27.84375</v>
      </c>
      <c r="R644">
        <v>3.6926877371877546E-2</v>
      </c>
      <c r="S644">
        <v>0</v>
      </c>
      <c r="T644">
        <v>1.5583860473279965E-2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0.113914373088685</v>
      </c>
      <c r="AA644">
        <v>2.8028631836402616E-2</v>
      </c>
      <c r="AB644">
        <v>0</v>
      </c>
      <c r="AC644">
        <v>0</v>
      </c>
      <c r="AD644">
        <v>2.8076738455886548E-2</v>
      </c>
      <c r="AE644">
        <v>0</v>
      </c>
      <c r="AF644">
        <v>0.94389462970771087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25">
      <c r="A645" t="s">
        <v>128</v>
      </c>
      <c r="B645" t="s">
        <v>146</v>
      </c>
      <c r="C645" t="s">
        <v>109</v>
      </c>
      <c r="D645" s="12">
        <v>46246</v>
      </c>
      <c r="E645" t="s">
        <v>134</v>
      </c>
      <c r="G645">
        <v>27.619370851262367</v>
      </c>
      <c r="H645">
        <v>5.6999999999999993</v>
      </c>
      <c r="K645">
        <v>5.6999999999999993</v>
      </c>
      <c r="N645">
        <v>27.84375</v>
      </c>
      <c r="R645">
        <v>3.6438385028669792E-2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0.76530869745376473</v>
      </c>
      <c r="AB645">
        <v>2.8314407478783884E-2</v>
      </c>
      <c r="AC645">
        <v>0</v>
      </c>
      <c r="AD645">
        <v>0</v>
      </c>
      <c r="AE645">
        <v>0</v>
      </c>
      <c r="AF645">
        <v>0.20637689506745138</v>
      </c>
      <c r="AG645">
        <v>0</v>
      </c>
      <c r="AH645">
        <v>0</v>
      </c>
      <c r="AI645">
        <v>0</v>
      </c>
      <c r="AJ645">
        <v>0</v>
      </c>
      <c r="AK645">
        <v>0</v>
      </c>
    </row>
    <row r="646" spans="1:37" x14ac:dyDescent="0.25">
      <c r="A646" t="s">
        <v>128</v>
      </c>
      <c r="B646" t="s">
        <v>145</v>
      </c>
      <c r="C646" t="s">
        <v>109</v>
      </c>
      <c r="D646" s="12">
        <v>46246</v>
      </c>
      <c r="E646" t="s">
        <v>136</v>
      </c>
      <c r="G646">
        <v>6.7786480661254069</v>
      </c>
      <c r="H646">
        <v>0</v>
      </c>
      <c r="K646">
        <v>0</v>
      </c>
      <c r="N646">
        <v>9.3354238754325252</v>
      </c>
      <c r="R646">
        <v>0.37718078654709392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K646">
        <v>0</v>
      </c>
    </row>
    <row r="647" spans="1:37" x14ac:dyDescent="0.25">
      <c r="A647" t="s">
        <v>128</v>
      </c>
      <c r="B647" t="s">
        <v>146</v>
      </c>
      <c r="C647" t="s">
        <v>109</v>
      </c>
      <c r="D647" s="12">
        <v>46246</v>
      </c>
      <c r="E647" t="s">
        <v>136</v>
      </c>
      <c r="G647">
        <v>6.7655742969551049</v>
      </c>
      <c r="H647">
        <v>6.6499999999999995</v>
      </c>
      <c r="K647">
        <v>6.6499999999999995</v>
      </c>
      <c r="N647">
        <v>9.3354238754325252</v>
      </c>
      <c r="R647">
        <v>0.3484502478368327</v>
      </c>
      <c r="S647">
        <v>0</v>
      </c>
      <c r="T647">
        <v>0</v>
      </c>
      <c r="U647">
        <v>0</v>
      </c>
      <c r="V647">
        <v>0</v>
      </c>
      <c r="W647">
        <v>0.10117700989211498</v>
      </c>
      <c r="X647">
        <v>3.1391797447334564E-2</v>
      </c>
      <c r="Y647">
        <v>0</v>
      </c>
      <c r="Z647">
        <v>0</v>
      </c>
      <c r="AA647">
        <v>4.8474500538352373E-2</v>
      </c>
      <c r="AB647">
        <v>0</v>
      </c>
      <c r="AC647">
        <v>0</v>
      </c>
      <c r="AD647">
        <v>0</v>
      </c>
      <c r="AE647">
        <v>0</v>
      </c>
      <c r="AF647">
        <v>0.42125027010384952</v>
      </c>
      <c r="AG647">
        <v>0</v>
      </c>
      <c r="AH647">
        <v>0</v>
      </c>
      <c r="AI647">
        <v>0</v>
      </c>
      <c r="AK647">
        <v>0.53027522935779825</v>
      </c>
    </row>
    <row r="648" spans="1:37" x14ac:dyDescent="0.25">
      <c r="A648" t="s">
        <v>128</v>
      </c>
      <c r="B648" t="s">
        <v>145</v>
      </c>
      <c r="C648" t="s">
        <v>109</v>
      </c>
      <c r="D648" s="12">
        <v>46246</v>
      </c>
      <c r="E648" t="s">
        <v>135</v>
      </c>
      <c r="G648">
        <v>9.3414218142876422</v>
      </c>
      <c r="H648">
        <v>0</v>
      </c>
      <c r="K648">
        <v>0</v>
      </c>
      <c r="N648">
        <v>7.774762110726642</v>
      </c>
      <c r="R648">
        <v>3.1854185032649834E-2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0.55984833098595255</v>
      </c>
      <c r="AB648">
        <v>0.19956523959233205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0.24058642942171549</v>
      </c>
      <c r="AK648">
        <v>0</v>
      </c>
    </row>
    <row r="649" spans="1:37" x14ac:dyDescent="0.25">
      <c r="A649" t="s">
        <v>128</v>
      </c>
      <c r="B649" t="s">
        <v>146</v>
      </c>
      <c r="C649" t="s">
        <v>109</v>
      </c>
      <c r="D649" s="12">
        <v>46246</v>
      </c>
      <c r="E649" t="s">
        <v>135</v>
      </c>
      <c r="G649">
        <v>9.355249500539955</v>
      </c>
      <c r="H649">
        <v>0</v>
      </c>
      <c r="K649">
        <v>0</v>
      </c>
      <c r="N649">
        <v>7.774762110726642</v>
      </c>
      <c r="R649">
        <v>3.1677388141404798E-2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0.55902083760169718</v>
      </c>
      <c r="AB649">
        <v>0.20061862158708602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0.24036054081121686</v>
      </c>
      <c r="AK649">
        <v>0</v>
      </c>
    </row>
    <row r="650" spans="1:37" x14ac:dyDescent="0.25">
      <c r="A650" t="s">
        <v>128</v>
      </c>
      <c r="B650" t="s">
        <v>145</v>
      </c>
      <c r="C650" t="s">
        <v>109</v>
      </c>
      <c r="D650" s="12">
        <v>46247</v>
      </c>
      <c r="E650" t="s">
        <v>134</v>
      </c>
      <c r="G650">
        <v>26.080252654802322</v>
      </c>
      <c r="H650">
        <v>37.049999999999997</v>
      </c>
      <c r="K650">
        <v>37.049999999999997</v>
      </c>
      <c r="N650">
        <v>27.09375</v>
      </c>
      <c r="R650">
        <v>0</v>
      </c>
      <c r="S650">
        <v>0</v>
      </c>
      <c r="T650">
        <v>0.27952794445931384</v>
      </c>
      <c r="U650">
        <v>0</v>
      </c>
      <c r="V650">
        <v>0</v>
      </c>
      <c r="W650">
        <v>0</v>
      </c>
      <c r="X650">
        <v>3.8860718054088923E-2</v>
      </c>
      <c r="Y650">
        <v>0</v>
      </c>
      <c r="Z650">
        <v>0.10222640937232708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1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25">
      <c r="A651" t="s">
        <v>128</v>
      </c>
      <c r="B651" t="s">
        <v>146</v>
      </c>
      <c r="C651" t="s">
        <v>109</v>
      </c>
      <c r="D651" s="12">
        <v>46247</v>
      </c>
      <c r="E651" t="s">
        <v>134</v>
      </c>
      <c r="G651">
        <v>26.089357948327105</v>
      </c>
      <c r="H651">
        <v>5.6999999999999993</v>
      </c>
      <c r="K651">
        <v>5.6999999999999993</v>
      </c>
      <c r="N651">
        <v>27.09375</v>
      </c>
      <c r="R651">
        <v>3.8498151378895763E-2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0.2021470079518487</v>
      </c>
      <c r="AB651">
        <v>0</v>
      </c>
      <c r="AC651">
        <v>0</v>
      </c>
      <c r="AD651">
        <v>0</v>
      </c>
      <c r="AE651">
        <v>0</v>
      </c>
      <c r="AF651">
        <v>0.21847988790254969</v>
      </c>
      <c r="AG651">
        <v>0</v>
      </c>
      <c r="AH651">
        <v>0</v>
      </c>
      <c r="AI651">
        <v>0</v>
      </c>
      <c r="AJ651">
        <v>0.57937310414560161</v>
      </c>
      <c r="AK651">
        <v>0</v>
      </c>
    </row>
    <row r="652" spans="1:37" x14ac:dyDescent="0.25">
      <c r="A652" t="s">
        <v>128</v>
      </c>
      <c r="B652" t="s">
        <v>145</v>
      </c>
      <c r="C652" t="s">
        <v>109</v>
      </c>
      <c r="D652" s="12">
        <v>46247</v>
      </c>
      <c r="E652" t="s">
        <v>136</v>
      </c>
      <c r="G652">
        <v>6.7786480661254069</v>
      </c>
      <c r="H652">
        <v>0.95</v>
      </c>
      <c r="K652">
        <v>0.95</v>
      </c>
      <c r="N652">
        <v>9.3354238754325252</v>
      </c>
      <c r="R652">
        <v>0.37718078654709408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0.39110406076067189</v>
      </c>
      <c r="AB652">
        <v>0</v>
      </c>
      <c r="AC652">
        <v>0</v>
      </c>
      <c r="AD652">
        <v>0</v>
      </c>
      <c r="AE652">
        <v>0</v>
      </c>
      <c r="AF652">
        <v>0.14014593923932805</v>
      </c>
      <c r="AG652">
        <v>0</v>
      </c>
      <c r="AH652">
        <v>0</v>
      </c>
      <c r="AI652">
        <v>0</v>
      </c>
      <c r="AK652">
        <v>0</v>
      </c>
    </row>
    <row r="653" spans="1:37" x14ac:dyDescent="0.25">
      <c r="A653" t="s">
        <v>128</v>
      </c>
      <c r="B653" t="s">
        <v>146</v>
      </c>
      <c r="C653" t="s">
        <v>109</v>
      </c>
      <c r="D653" s="12">
        <v>46247</v>
      </c>
      <c r="E653" t="s">
        <v>136</v>
      </c>
      <c r="G653">
        <v>6.7655742969551058</v>
      </c>
      <c r="H653">
        <v>6.6499999999999995</v>
      </c>
      <c r="K653">
        <v>6.6499999999999995</v>
      </c>
      <c r="N653">
        <v>9.3354238754325252</v>
      </c>
      <c r="R653">
        <v>0.34845024783683293</v>
      </c>
      <c r="S653">
        <v>0</v>
      </c>
      <c r="T653">
        <v>0</v>
      </c>
      <c r="U653">
        <v>0</v>
      </c>
      <c r="V653">
        <v>0</v>
      </c>
      <c r="W653">
        <v>0.1011770098921151</v>
      </c>
      <c r="X653">
        <v>3.1391797447334446E-2</v>
      </c>
      <c r="Y653">
        <v>0</v>
      </c>
      <c r="Z653">
        <v>0</v>
      </c>
      <c r="AA653">
        <v>4.8474500538352373E-2</v>
      </c>
      <c r="AB653">
        <v>0</v>
      </c>
      <c r="AC653">
        <v>0</v>
      </c>
      <c r="AD653">
        <v>0</v>
      </c>
      <c r="AE653">
        <v>0</v>
      </c>
      <c r="AF653">
        <v>0.42125027010384947</v>
      </c>
      <c r="AG653">
        <v>0</v>
      </c>
      <c r="AH653">
        <v>0</v>
      </c>
      <c r="AI653">
        <v>0</v>
      </c>
      <c r="AK653">
        <v>0.53027522935779814</v>
      </c>
    </row>
    <row r="654" spans="1:37" x14ac:dyDescent="0.25">
      <c r="A654" t="s">
        <v>128</v>
      </c>
      <c r="B654" t="s">
        <v>145</v>
      </c>
      <c r="C654" t="s">
        <v>109</v>
      </c>
      <c r="D654" s="12">
        <v>46247</v>
      </c>
      <c r="E654" t="s">
        <v>135</v>
      </c>
      <c r="G654">
        <v>10.390510129688344</v>
      </c>
      <c r="H654">
        <v>0</v>
      </c>
      <c r="K654">
        <v>0</v>
      </c>
      <c r="N654">
        <v>8.646637110726644</v>
      </c>
      <c r="R654">
        <v>2.1544054732207038E-2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0.4861796339845566</v>
      </c>
      <c r="AB654">
        <v>0.18937729845130119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0.32444306756414221</v>
      </c>
      <c r="AK654">
        <v>0</v>
      </c>
    </row>
    <row r="655" spans="1:37" x14ac:dyDescent="0.25">
      <c r="A655" t="s">
        <v>128</v>
      </c>
      <c r="B655" t="s">
        <v>146</v>
      </c>
      <c r="C655" t="s">
        <v>109</v>
      </c>
      <c r="D655" s="12">
        <v>46247</v>
      </c>
      <c r="E655" t="s">
        <v>135</v>
      </c>
      <c r="G655">
        <v>10.409296139308854</v>
      </c>
      <c r="H655">
        <v>0</v>
      </c>
      <c r="K655">
        <v>0</v>
      </c>
      <c r="N655">
        <v>8.646637110726644</v>
      </c>
      <c r="R655">
        <v>2.1330304367361792E-2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0.48530220911748617</v>
      </c>
      <c r="AB655">
        <v>0.19066538764218982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0.32403240324032406</v>
      </c>
      <c r="AK655">
        <v>0</v>
      </c>
    </row>
    <row r="656" spans="1:37" x14ac:dyDescent="0.25">
      <c r="A656" t="s">
        <v>128</v>
      </c>
      <c r="B656" t="s">
        <v>145</v>
      </c>
      <c r="C656" t="s">
        <v>109</v>
      </c>
      <c r="D656" s="12">
        <v>46248</v>
      </c>
      <c r="E656" t="s">
        <v>134</v>
      </c>
      <c r="G656">
        <v>26.220922841721425</v>
      </c>
      <c r="H656">
        <v>36.1</v>
      </c>
      <c r="K656">
        <v>36.1</v>
      </c>
      <c r="N656">
        <v>24.4375</v>
      </c>
      <c r="R656">
        <v>0</v>
      </c>
      <c r="S656">
        <v>0</v>
      </c>
      <c r="T656">
        <v>0.2177469038898939</v>
      </c>
      <c r="U656">
        <v>0</v>
      </c>
      <c r="V656">
        <v>0</v>
      </c>
      <c r="W656">
        <v>0</v>
      </c>
      <c r="X656">
        <v>8.5860370929461E-3</v>
      </c>
      <c r="Y656">
        <v>0</v>
      </c>
      <c r="Z656">
        <v>0.1504301965280746</v>
      </c>
      <c r="AA656">
        <v>0</v>
      </c>
      <c r="AB656">
        <v>0</v>
      </c>
      <c r="AC656">
        <v>0</v>
      </c>
      <c r="AD656">
        <v>7.6601295460730648E-2</v>
      </c>
      <c r="AE656">
        <v>0</v>
      </c>
      <c r="AF656">
        <v>0.92339870453926953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25">
      <c r="A657" t="s">
        <v>128</v>
      </c>
      <c r="B657" t="s">
        <v>146</v>
      </c>
      <c r="C657" t="s">
        <v>109</v>
      </c>
      <c r="D657" s="12">
        <v>46248</v>
      </c>
      <c r="E657" t="s">
        <v>134</v>
      </c>
      <c r="G657">
        <v>26.221255612373248</v>
      </c>
      <c r="H657">
        <v>5.7</v>
      </c>
      <c r="K657">
        <v>5.7</v>
      </c>
      <c r="N657">
        <v>24.4375</v>
      </c>
      <c r="R657">
        <v>8.6583098722221273E-3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0.70593370955640422</v>
      </c>
      <c r="AB657">
        <v>7.6685395940958481E-2</v>
      </c>
      <c r="AC657">
        <v>0</v>
      </c>
      <c r="AD657">
        <v>0</v>
      </c>
      <c r="AE657">
        <v>0</v>
      </c>
      <c r="AF657">
        <v>0.21738089450263748</v>
      </c>
      <c r="AG657">
        <v>0</v>
      </c>
      <c r="AH657">
        <v>0</v>
      </c>
      <c r="AI657">
        <v>0</v>
      </c>
      <c r="AJ657">
        <v>0</v>
      </c>
      <c r="AK657">
        <v>0</v>
      </c>
    </row>
    <row r="658" spans="1:37" x14ac:dyDescent="0.25">
      <c r="A658" t="s">
        <v>128</v>
      </c>
      <c r="B658" t="s">
        <v>145</v>
      </c>
      <c r="C658" t="s">
        <v>109</v>
      </c>
      <c r="D658" s="12">
        <v>46248</v>
      </c>
      <c r="E658" t="s">
        <v>136</v>
      </c>
      <c r="G658">
        <v>6.7786480661254069</v>
      </c>
      <c r="H658">
        <v>0.95</v>
      </c>
      <c r="K658">
        <v>0.95</v>
      </c>
      <c r="N658">
        <v>9.3354238754325252</v>
      </c>
      <c r="R658">
        <v>0.37718078654709392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0.39110406076067189</v>
      </c>
      <c r="AB658">
        <v>0</v>
      </c>
      <c r="AC658">
        <v>0</v>
      </c>
      <c r="AD658">
        <v>0</v>
      </c>
      <c r="AE658">
        <v>0</v>
      </c>
      <c r="AF658">
        <v>0.14014593923932805</v>
      </c>
      <c r="AG658">
        <v>0</v>
      </c>
      <c r="AH658">
        <v>0</v>
      </c>
      <c r="AI658">
        <v>0</v>
      </c>
      <c r="AK658">
        <v>0</v>
      </c>
    </row>
    <row r="659" spans="1:37" x14ac:dyDescent="0.25">
      <c r="A659" t="s">
        <v>128</v>
      </c>
      <c r="B659" t="s">
        <v>146</v>
      </c>
      <c r="C659" t="s">
        <v>109</v>
      </c>
      <c r="D659" s="12">
        <v>46248</v>
      </c>
      <c r="E659" t="s">
        <v>136</v>
      </c>
      <c r="G659">
        <v>6.7655742969551049</v>
      </c>
      <c r="H659">
        <v>7.6</v>
      </c>
      <c r="K659">
        <v>7.6</v>
      </c>
      <c r="N659">
        <v>9.3354238754325252</v>
      </c>
      <c r="R659">
        <v>0.25650799167390187</v>
      </c>
      <c r="S659">
        <v>0</v>
      </c>
      <c r="T659">
        <v>0</v>
      </c>
      <c r="U659">
        <v>0</v>
      </c>
      <c r="V659">
        <v>0</v>
      </c>
      <c r="W659">
        <v>0.12666594638973458</v>
      </c>
      <c r="X659">
        <v>0.12333405361026542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K659">
        <v>1</v>
      </c>
    </row>
    <row r="660" spans="1:37" x14ac:dyDescent="0.25">
      <c r="A660" t="s">
        <v>128</v>
      </c>
      <c r="B660" t="s">
        <v>145</v>
      </c>
      <c r="C660" t="s">
        <v>109</v>
      </c>
      <c r="D660" s="12">
        <v>46248</v>
      </c>
      <c r="E660" t="s">
        <v>135</v>
      </c>
      <c r="G660">
        <v>8.0728589559160824</v>
      </c>
      <c r="H660">
        <v>0</v>
      </c>
      <c r="K660">
        <v>0</v>
      </c>
      <c r="N660">
        <v>6.7054606401384076</v>
      </c>
      <c r="R660">
        <v>5.0339899479390715E-2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0.50188594076643767</v>
      </c>
      <c r="AB660">
        <v>0.21972206300345373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0.27839199623010846</v>
      </c>
      <c r="AK660">
        <v>0</v>
      </c>
    </row>
    <row r="661" spans="1:37" x14ac:dyDescent="0.25">
      <c r="A661" t="s">
        <v>128</v>
      </c>
      <c r="B661" t="s">
        <v>146</v>
      </c>
      <c r="C661" t="s">
        <v>109</v>
      </c>
      <c r="D661" s="12">
        <v>46248</v>
      </c>
      <c r="E661" t="s">
        <v>135</v>
      </c>
      <c r="G661">
        <v>8.0903935340172772</v>
      </c>
      <c r="H661">
        <v>0</v>
      </c>
      <c r="K661">
        <v>0</v>
      </c>
      <c r="N661">
        <v>6.7054606401384085</v>
      </c>
      <c r="R661">
        <v>5.0080802286865234E-2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0.50079818672959664</v>
      </c>
      <c r="AB661">
        <v>0.22126319138273684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0.27793862188766649</v>
      </c>
      <c r="AK661">
        <v>0</v>
      </c>
    </row>
    <row r="662" spans="1:37" x14ac:dyDescent="0.25">
      <c r="A662" t="s">
        <v>128</v>
      </c>
      <c r="B662" t="s">
        <v>145</v>
      </c>
      <c r="C662" t="s">
        <v>109</v>
      </c>
      <c r="D662" s="12">
        <v>46249</v>
      </c>
      <c r="E662" t="s">
        <v>134</v>
      </c>
      <c r="G662">
        <v>26.220922841721425</v>
      </c>
      <c r="H662">
        <v>28.5</v>
      </c>
      <c r="K662">
        <v>28.5</v>
      </c>
      <c r="N662">
        <v>27.1875</v>
      </c>
      <c r="R662">
        <v>1.0591748505045047E-2</v>
      </c>
      <c r="S662">
        <v>0</v>
      </c>
      <c r="T662">
        <v>1.7708060266619332E-2</v>
      </c>
      <c r="U662">
        <v>0</v>
      </c>
      <c r="V662">
        <v>0</v>
      </c>
      <c r="W662">
        <v>0</v>
      </c>
      <c r="X662">
        <v>2.6271071469414691E-2</v>
      </c>
      <c r="Y662">
        <v>0</v>
      </c>
      <c r="Z662">
        <v>9.9087981523607108E-2</v>
      </c>
      <c r="AA662">
        <v>5.6148846803655846E-2</v>
      </c>
      <c r="AB662">
        <v>0</v>
      </c>
      <c r="AC662">
        <v>0</v>
      </c>
      <c r="AD662">
        <v>0</v>
      </c>
      <c r="AE662">
        <v>0</v>
      </c>
      <c r="AF662">
        <v>0.94385115319634416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25">
      <c r="A663" t="s">
        <v>128</v>
      </c>
      <c r="B663" t="s">
        <v>146</v>
      </c>
      <c r="C663" t="s">
        <v>109</v>
      </c>
      <c r="D663" s="12">
        <v>46249</v>
      </c>
      <c r="E663" t="s">
        <v>134</v>
      </c>
      <c r="G663">
        <v>26.221255612373248</v>
      </c>
      <c r="H663">
        <v>6.6499999999999995</v>
      </c>
      <c r="K663">
        <v>6.6499999999999995</v>
      </c>
      <c r="N663">
        <v>27.1875</v>
      </c>
      <c r="R663">
        <v>3.6849661279027356E-2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0.74638895641358982</v>
      </c>
      <c r="AB663">
        <v>0</v>
      </c>
      <c r="AC663">
        <v>0</v>
      </c>
      <c r="AD663">
        <v>0</v>
      </c>
      <c r="AE663">
        <v>0</v>
      </c>
      <c r="AF663">
        <v>0.25361104358641035</v>
      </c>
      <c r="AG663">
        <v>0</v>
      </c>
      <c r="AH663">
        <v>0</v>
      </c>
      <c r="AI663">
        <v>0</v>
      </c>
      <c r="AJ663">
        <v>0</v>
      </c>
      <c r="AK663">
        <v>0</v>
      </c>
    </row>
    <row r="664" spans="1:37" x14ac:dyDescent="0.25">
      <c r="A664" t="s">
        <v>128</v>
      </c>
      <c r="B664" t="s">
        <v>145</v>
      </c>
      <c r="C664" t="s">
        <v>109</v>
      </c>
      <c r="D664" s="12">
        <v>46249</v>
      </c>
      <c r="E664" t="s">
        <v>136</v>
      </c>
      <c r="G664">
        <v>6.8316062541420131</v>
      </c>
      <c r="H664">
        <v>0</v>
      </c>
      <c r="K664">
        <v>0</v>
      </c>
      <c r="N664">
        <v>9.4567474048442879</v>
      </c>
      <c r="R664">
        <v>0.38426411784353764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K664">
        <v>0</v>
      </c>
    </row>
    <row r="665" spans="1:37" x14ac:dyDescent="0.25">
      <c r="A665" t="s">
        <v>128</v>
      </c>
      <c r="B665" t="s">
        <v>146</v>
      </c>
      <c r="C665" t="s">
        <v>109</v>
      </c>
      <c r="D665" s="12">
        <v>46249</v>
      </c>
      <c r="E665" t="s">
        <v>136</v>
      </c>
      <c r="G665">
        <v>6.8152298881254181</v>
      </c>
      <c r="H665">
        <v>7.6</v>
      </c>
      <c r="K665">
        <v>7.6</v>
      </c>
      <c r="N665">
        <v>9.4567474048442879</v>
      </c>
      <c r="R665">
        <v>0.35642729866037065</v>
      </c>
      <c r="S665">
        <v>0</v>
      </c>
      <c r="T665">
        <v>0</v>
      </c>
      <c r="U665">
        <v>0</v>
      </c>
      <c r="V665">
        <v>0</v>
      </c>
      <c r="W665">
        <v>0.10043983677814693</v>
      </c>
      <c r="X665">
        <v>3.1163077611652708E-2</v>
      </c>
      <c r="Y665">
        <v>0</v>
      </c>
      <c r="Z665">
        <v>0</v>
      </c>
      <c r="AA665">
        <v>5.5407291062663074E-2</v>
      </c>
      <c r="AB665">
        <v>0</v>
      </c>
      <c r="AC665">
        <v>0</v>
      </c>
      <c r="AD665">
        <v>0</v>
      </c>
      <c r="AE665">
        <v>0</v>
      </c>
      <c r="AF665">
        <v>0.41818105137813838</v>
      </c>
      <c r="AG665">
        <v>0</v>
      </c>
      <c r="AH665">
        <v>0</v>
      </c>
      <c r="AI665">
        <v>0</v>
      </c>
      <c r="AK665">
        <v>0.5264116575591985</v>
      </c>
    </row>
    <row r="666" spans="1:37" x14ac:dyDescent="0.25">
      <c r="A666" t="s">
        <v>128</v>
      </c>
      <c r="B666" t="s">
        <v>145</v>
      </c>
      <c r="C666" t="s">
        <v>109</v>
      </c>
      <c r="D666" s="12">
        <v>46249</v>
      </c>
      <c r="E666" t="s">
        <v>135</v>
      </c>
      <c r="G666">
        <v>8.8936937466270916</v>
      </c>
      <c r="H666">
        <v>0</v>
      </c>
      <c r="K666">
        <v>0</v>
      </c>
      <c r="N666">
        <v>7.4238754325259499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0.83473477320280276</v>
      </c>
      <c r="AB666">
        <v>0.16526522679719732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25">
      <c r="A667" t="s">
        <v>128</v>
      </c>
      <c r="B667" t="s">
        <v>146</v>
      </c>
      <c r="C667" t="s">
        <v>109</v>
      </c>
      <c r="D667" s="12">
        <v>46249</v>
      </c>
      <c r="E667" t="s">
        <v>135</v>
      </c>
      <c r="G667">
        <v>8.8633610691144682</v>
      </c>
      <c r="H667">
        <v>0</v>
      </c>
      <c r="K667">
        <v>0</v>
      </c>
      <c r="N667">
        <v>7.4238754325259499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0.83759144805635943</v>
      </c>
      <c r="AB667">
        <v>0.16240855194364065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</row>
    <row r="668" spans="1:37" x14ac:dyDescent="0.25">
      <c r="A668" t="s">
        <v>128</v>
      </c>
      <c r="B668" t="s">
        <v>145</v>
      </c>
      <c r="C668" t="s">
        <v>109</v>
      </c>
      <c r="D668" s="12">
        <v>46250</v>
      </c>
      <c r="E668" t="s">
        <v>134</v>
      </c>
      <c r="G668">
        <v>26.164654766953785</v>
      </c>
      <c r="H668">
        <v>23.75</v>
      </c>
      <c r="K668">
        <v>23.75</v>
      </c>
      <c r="N668">
        <v>27.1875</v>
      </c>
      <c r="R668">
        <v>2.1229052917638672E-2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1.7863579572895097E-2</v>
      </c>
      <c r="Y668">
        <v>0</v>
      </c>
      <c r="Z668">
        <v>2.3887186953805341E-3</v>
      </c>
      <c r="AA668">
        <v>0.11253919402367157</v>
      </c>
      <c r="AB668">
        <v>0</v>
      </c>
      <c r="AC668">
        <v>0</v>
      </c>
      <c r="AD668">
        <v>0</v>
      </c>
      <c r="AE668">
        <v>0</v>
      </c>
      <c r="AF668">
        <v>0.88746080597632837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25">
      <c r="A669" t="s">
        <v>128</v>
      </c>
      <c r="B669" t="s">
        <v>146</v>
      </c>
      <c r="C669" t="s">
        <v>109</v>
      </c>
      <c r="D669" s="12">
        <v>46250</v>
      </c>
      <c r="E669" t="s">
        <v>134</v>
      </c>
      <c r="G669">
        <v>26.168496546754792</v>
      </c>
      <c r="H669">
        <v>6.6499999999999995</v>
      </c>
      <c r="K669">
        <v>6.6499999999999995</v>
      </c>
      <c r="N669">
        <v>27.1875</v>
      </c>
      <c r="R669">
        <v>3.8940083983218965E-2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0.58458732124506863</v>
      </c>
      <c r="AB669">
        <v>0</v>
      </c>
      <c r="AC669">
        <v>0</v>
      </c>
      <c r="AD669">
        <v>0</v>
      </c>
      <c r="AE669">
        <v>0</v>
      </c>
      <c r="AF669">
        <v>0.25412235617428619</v>
      </c>
      <c r="AG669">
        <v>0</v>
      </c>
      <c r="AH669">
        <v>0</v>
      </c>
      <c r="AI669">
        <v>0</v>
      </c>
      <c r="AJ669">
        <v>0.16129032258064518</v>
      </c>
      <c r="AK669">
        <v>0</v>
      </c>
    </row>
    <row r="670" spans="1:37" x14ac:dyDescent="0.25">
      <c r="A670" t="s">
        <v>128</v>
      </c>
      <c r="B670" t="s">
        <v>145</v>
      </c>
      <c r="C670" t="s">
        <v>109</v>
      </c>
      <c r="D670" s="12">
        <v>46250</v>
      </c>
      <c r="E670" t="s">
        <v>136</v>
      </c>
      <c r="G670">
        <v>6.7786480661254078</v>
      </c>
      <c r="H670">
        <v>0.95</v>
      </c>
      <c r="K670">
        <v>0.95</v>
      </c>
      <c r="N670">
        <v>9.3354238754325252</v>
      </c>
      <c r="R670">
        <v>0.3771807865470938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0.39110406076067183</v>
      </c>
      <c r="AB670">
        <v>0</v>
      </c>
      <c r="AC670">
        <v>0</v>
      </c>
      <c r="AD670">
        <v>0</v>
      </c>
      <c r="AE670">
        <v>0</v>
      </c>
      <c r="AF670">
        <v>0.14014593923932805</v>
      </c>
      <c r="AG670">
        <v>0</v>
      </c>
      <c r="AH670">
        <v>0</v>
      </c>
      <c r="AI670">
        <v>0</v>
      </c>
      <c r="AK670">
        <v>0</v>
      </c>
    </row>
    <row r="671" spans="1:37" x14ac:dyDescent="0.25">
      <c r="A671" t="s">
        <v>128</v>
      </c>
      <c r="B671" t="s">
        <v>146</v>
      </c>
      <c r="C671" t="s">
        <v>109</v>
      </c>
      <c r="D671" s="12">
        <v>46250</v>
      </c>
      <c r="E671" t="s">
        <v>136</v>
      </c>
      <c r="G671">
        <v>6.7655742969551058</v>
      </c>
      <c r="H671">
        <v>7.6</v>
      </c>
      <c r="K671">
        <v>7.6</v>
      </c>
      <c r="N671">
        <v>9.3354238754325252</v>
      </c>
      <c r="R671">
        <v>0.34845024783683259</v>
      </c>
      <c r="S671">
        <v>0</v>
      </c>
      <c r="T671">
        <v>0</v>
      </c>
      <c r="U671">
        <v>0</v>
      </c>
      <c r="V671">
        <v>0</v>
      </c>
      <c r="W671">
        <v>0.10117700989211498</v>
      </c>
      <c r="X671">
        <v>3.1391797447334564E-2</v>
      </c>
      <c r="Y671">
        <v>0</v>
      </c>
      <c r="Z671">
        <v>0</v>
      </c>
      <c r="AA671">
        <v>4.8474500538352429E-2</v>
      </c>
      <c r="AB671">
        <v>0</v>
      </c>
      <c r="AC671">
        <v>0</v>
      </c>
      <c r="AD671">
        <v>0</v>
      </c>
      <c r="AE671">
        <v>0</v>
      </c>
      <c r="AF671">
        <v>0.42125027010384947</v>
      </c>
      <c r="AG671">
        <v>0</v>
      </c>
      <c r="AH671">
        <v>0</v>
      </c>
      <c r="AI671">
        <v>0</v>
      </c>
      <c r="AK671">
        <v>0.53027522935779814</v>
      </c>
    </row>
    <row r="672" spans="1:37" x14ac:dyDescent="0.25">
      <c r="A672" t="s">
        <v>128</v>
      </c>
      <c r="B672" t="s">
        <v>145</v>
      </c>
      <c r="C672" t="s">
        <v>109</v>
      </c>
      <c r="D672" s="12">
        <v>46250</v>
      </c>
      <c r="E672" t="s">
        <v>135</v>
      </c>
      <c r="G672">
        <v>7.1027814759848891</v>
      </c>
      <c r="H672">
        <v>0</v>
      </c>
      <c r="K672">
        <v>0</v>
      </c>
      <c r="N672">
        <v>5.9307958477508649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0.83499624306384646</v>
      </c>
      <c r="AB672">
        <v>0.1650037569361536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25">
      <c r="A673" t="s">
        <v>128</v>
      </c>
      <c r="B673" t="s">
        <v>146</v>
      </c>
      <c r="C673" t="s">
        <v>109</v>
      </c>
      <c r="D673" s="12">
        <v>46250</v>
      </c>
      <c r="E673" t="s">
        <v>135</v>
      </c>
      <c r="G673">
        <v>7.0363468952483785</v>
      </c>
      <c r="H673">
        <v>0</v>
      </c>
      <c r="K673">
        <v>0</v>
      </c>
      <c r="N673">
        <v>5.9307958477508649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0.84287996826249589</v>
      </c>
      <c r="AB673">
        <v>0.15712003173750411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0</v>
      </c>
    </row>
    <row r="674" spans="1:37" x14ac:dyDescent="0.25">
      <c r="A674" t="s">
        <v>128</v>
      </c>
      <c r="C674" t="s">
        <v>110</v>
      </c>
      <c r="D674" s="12">
        <v>46223</v>
      </c>
      <c r="G674">
        <v>88.619264378110358</v>
      </c>
      <c r="H674">
        <v>67.45</v>
      </c>
      <c r="K674">
        <v>67.45</v>
      </c>
      <c r="N674">
        <v>83.202602364475197</v>
      </c>
      <c r="R674">
        <v>3.0929131754429538E-2</v>
      </c>
      <c r="S674">
        <v>0</v>
      </c>
      <c r="T674">
        <v>6.065018413527954E-2</v>
      </c>
      <c r="U674">
        <v>0</v>
      </c>
      <c r="V674">
        <v>0</v>
      </c>
      <c r="W674">
        <v>0</v>
      </c>
      <c r="X674">
        <v>7.27250239829174E-3</v>
      </c>
      <c r="Y674">
        <v>0</v>
      </c>
      <c r="Z674">
        <v>6.8587581968465622E-2</v>
      </c>
      <c r="AA674">
        <v>0.24538397160020484</v>
      </c>
      <c r="AB674">
        <v>4.1741204813452747E-2</v>
      </c>
      <c r="AC674">
        <v>0</v>
      </c>
      <c r="AD674">
        <v>5.7583279451451544E-2</v>
      </c>
      <c r="AE674">
        <v>0</v>
      </c>
      <c r="AF674">
        <v>0.56702764249345761</v>
      </c>
      <c r="AG674">
        <v>0</v>
      </c>
      <c r="AH674">
        <v>0</v>
      </c>
      <c r="AI674">
        <v>0</v>
      </c>
      <c r="AK674">
        <v>0</v>
      </c>
    </row>
    <row r="675" spans="1:37" x14ac:dyDescent="0.25">
      <c r="A675" t="s">
        <v>128</v>
      </c>
      <c r="C675" t="s">
        <v>110</v>
      </c>
      <c r="D675" s="12">
        <v>46224</v>
      </c>
      <c r="G675">
        <v>91.009693600830786</v>
      </c>
      <c r="H675">
        <v>64.600000000000009</v>
      </c>
      <c r="K675">
        <v>64.600000000000009</v>
      </c>
      <c r="N675">
        <v>91.13108625803261</v>
      </c>
      <c r="R675">
        <v>4.4376943799707302E-2</v>
      </c>
      <c r="S675">
        <v>0</v>
      </c>
      <c r="T675">
        <v>2.5294916930470233E-2</v>
      </c>
      <c r="U675">
        <v>0</v>
      </c>
      <c r="V675">
        <v>2.9170455577570528E-3</v>
      </c>
      <c r="W675">
        <v>2.5768330087616803E-3</v>
      </c>
      <c r="X675">
        <v>2.4331589466638371E-2</v>
      </c>
      <c r="Y675">
        <v>0</v>
      </c>
      <c r="Z675">
        <v>6.3557603843392999E-2</v>
      </c>
      <c r="AA675">
        <v>0.27071640216667558</v>
      </c>
      <c r="AB675">
        <v>2.4567447826076363E-2</v>
      </c>
      <c r="AC675">
        <v>0</v>
      </c>
      <c r="AD675">
        <v>4.5724287839139864E-2</v>
      </c>
      <c r="AE675">
        <v>0</v>
      </c>
      <c r="AF675">
        <v>0.50208610449881141</v>
      </c>
      <c r="AG675">
        <v>0</v>
      </c>
      <c r="AH675">
        <v>0</v>
      </c>
      <c r="AI675">
        <v>0</v>
      </c>
      <c r="AK675">
        <v>3.5464501619208416E-2</v>
      </c>
    </row>
    <row r="676" spans="1:37" x14ac:dyDescent="0.25">
      <c r="A676" t="s">
        <v>128</v>
      </c>
      <c r="C676" t="s">
        <v>110</v>
      </c>
      <c r="D676" s="12">
        <v>46225</v>
      </c>
      <c r="G676">
        <v>88.410198480535641</v>
      </c>
      <c r="H676">
        <v>61.749999999999993</v>
      </c>
      <c r="K676">
        <v>61.749999999999993</v>
      </c>
      <c r="N676">
        <v>88.179328348986616</v>
      </c>
      <c r="R676">
        <v>6.6864220567221438E-2</v>
      </c>
      <c r="S676">
        <v>0</v>
      </c>
      <c r="T676">
        <v>4.8648981586049923E-3</v>
      </c>
      <c r="U676">
        <v>0</v>
      </c>
      <c r="V676">
        <v>0</v>
      </c>
      <c r="W676">
        <v>7.7425522092857899E-3</v>
      </c>
      <c r="X676">
        <v>7.3935031585876535E-3</v>
      </c>
      <c r="Y676">
        <v>0</v>
      </c>
      <c r="Z676">
        <v>5.6149717252103493E-2</v>
      </c>
      <c r="AA676">
        <v>0.25464340088862286</v>
      </c>
      <c r="AB676">
        <v>3.8643190482511247E-2</v>
      </c>
      <c r="AC676">
        <v>0</v>
      </c>
      <c r="AD676">
        <v>3.8225885050180305E-2</v>
      </c>
      <c r="AE676">
        <v>0</v>
      </c>
      <c r="AF676">
        <v>0.5512356147905525</v>
      </c>
      <c r="AG676">
        <v>0</v>
      </c>
      <c r="AH676">
        <v>0</v>
      </c>
      <c r="AI676">
        <v>0</v>
      </c>
      <c r="AK676">
        <v>4.057921510995071E-2</v>
      </c>
    </row>
    <row r="677" spans="1:37" x14ac:dyDescent="0.25">
      <c r="A677" t="s">
        <v>128</v>
      </c>
      <c r="C677" t="s">
        <v>110</v>
      </c>
      <c r="D677" s="12">
        <v>46226</v>
      </c>
      <c r="G677">
        <v>88.909214995077434</v>
      </c>
      <c r="H677">
        <v>65.55</v>
      </c>
      <c r="K677">
        <v>65.55</v>
      </c>
      <c r="N677">
        <v>84.080757148060457</v>
      </c>
      <c r="R677">
        <v>5.5272581701589808E-2</v>
      </c>
      <c r="S677">
        <v>0</v>
      </c>
      <c r="T677">
        <v>7.0129210049018828E-2</v>
      </c>
      <c r="U677">
        <v>0</v>
      </c>
      <c r="V677">
        <v>0</v>
      </c>
      <c r="W677">
        <v>7.6990959554278466E-3</v>
      </c>
      <c r="X677">
        <v>2.3887685652906336E-3</v>
      </c>
      <c r="Y677">
        <v>0</v>
      </c>
      <c r="Z677">
        <v>6.5728669035346909E-2</v>
      </c>
      <c r="AA677">
        <v>0.29239344237393133</v>
      </c>
      <c r="AB677">
        <v>7.284569098374212E-2</v>
      </c>
      <c r="AC677">
        <v>0</v>
      </c>
      <c r="AD677">
        <v>3.9123391583826016E-2</v>
      </c>
      <c r="AE677">
        <v>0</v>
      </c>
      <c r="AF677">
        <v>0.5195474123644821</v>
      </c>
      <c r="AG677">
        <v>0</v>
      </c>
      <c r="AH677">
        <v>0</v>
      </c>
      <c r="AI677">
        <v>0</v>
      </c>
      <c r="AK677">
        <v>4.0351458082873923E-2</v>
      </c>
    </row>
    <row r="678" spans="1:37" x14ac:dyDescent="0.25">
      <c r="A678" t="s">
        <v>128</v>
      </c>
      <c r="C678" t="s">
        <v>110</v>
      </c>
      <c r="D678" s="12">
        <v>46227</v>
      </c>
      <c r="G678">
        <v>82.584326668692611</v>
      </c>
      <c r="H678">
        <v>60.8</v>
      </c>
      <c r="K678">
        <v>60.8</v>
      </c>
      <c r="N678">
        <v>79.517733564013824</v>
      </c>
      <c r="R678">
        <v>3.7453487843337539E-2</v>
      </c>
      <c r="S678">
        <v>0</v>
      </c>
      <c r="T678">
        <v>7.3537744083680662E-2</v>
      </c>
      <c r="U678">
        <v>0</v>
      </c>
      <c r="V678">
        <v>2.9246046859063872E-3</v>
      </c>
      <c r="W678">
        <v>8.2887468504161642E-3</v>
      </c>
      <c r="X678">
        <v>1.8043927311783191E-2</v>
      </c>
      <c r="Y678">
        <v>0</v>
      </c>
      <c r="Z678">
        <v>4.7354953851533474E-2</v>
      </c>
      <c r="AA678">
        <v>0.33775437758668264</v>
      </c>
      <c r="AB678">
        <v>6.7889673462942196E-2</v>
      </c>
      <c r="AC678">
        <v>0</v>
      </c>
      <c r="AD678">
        <v>2.7665216843701837E-2</v>
      </c>
      <c r="AE678">
        <v>0</v>
      </c>
      <c r="AF678">
        <v>0.52324887568217615</v>
      </c>
      <c r="AG678">
        <v>0</v>
      </c>
      <c r="AH678">
        <v>0</v>
      </c>
      <c r="AI678">
        <v>0</v>
      </c>
      <c r="AK678">
        <v>4.3441856424496876E-2</v>
      </c>
    </row>
    <row r="679" spans="1:37" x14ac:dyDescent="0.25">
      <c r="A679" t="s">
        <v>128</v>
      </c>
      <c r="C679" t="s">
        <v>110</v>
      </c>
      <c r="D679" s="12">
        <v>46228</v>
      </c>
      <c r="G679">
        <v>80.05529733465778</v>
      </c>
      <c r="H679">
        <v>57.95</v>
      </c>
      <c r="K679">
        <v>57.95</v>
      </c>
      <c r="N679">
        <v>87.032439446366794</v>
      </c>
      <c r="R679">
        <v>7.9173136192577431E-2</v>
      </c>
      <c r="S679">
        <v>0</v>
      </c>
      <c r="T679">
        <v>2.0983009997909103E-2</v>
      </c>
      <c r="U679">
        <v>0</v>
      </c>
      <c r="V679">
        <v>0</v>
      </c>
      <c r="W679">
        <v>3.3891481257179675E-3</v>
      </c>
      <c r="X679">
        <v>2.3080412420704684E-2</v>
      </c>
      <c r="Y679">
        <v>0</v>
      </c>
      <c r="Z679">
        <v>4.0711478095598976E-2</v>
      </c>
      <c r="AA679">
        <v>0.2202703424667922</v>
      </c>
      <c r="AB679">
        <v>1.5099514539281815E-2</v>
      </c>
      <c r="AC679">
        <v>0</v>
      </c>
      <c r="AD679">
        <v>0</v>
      </c>
      <c r="AE679">
        <v>0</v>
      </c>
      <c r="AF679">
        <v>0.56756100141815136</v>
      </c>
      <c r="AG679">
        <v>0</v>
      </c>
      <c r="AH679">
        <v>0</v>
      </c>
      <c r="AI679">
        <v>0</v>
      </c>
      <c r="AK679">
        <v>5.9671946364308136E-2</v>
      </c>
    </row>
    <row r="680" spans="1:37" x14ac:dyDescent="0.25">
      <c r="A680" t="s">
        <v>128</v>
      </c>
      <c r="C680" t="s">
        <v>110</v>
      </c>
      <c r="D680" s="12">
        <v>46229</v>
      </c>
      <c r="G680">
        <v>83.878072949519833</v>
      </c>
      <c r="H680">
        <v>57.95</v>
      </c>
      <c r="K680">
        <v>57.95</v>
      </c>
      <c r="N680">
        <v>89.744449250288312</v>
      </c>
      <c r="R680">
        <v>5.9189256561293993E-2</v>
      </c>
      <c r="S680">
        <v>0</v>
      </c>
      <c r="T680">
        <v>8.6331860499764251E-3</v>
      </c>
      <c r="U680">
        <v>0</v>
      </c>
      <c r="V680">
        <v>3.1650634438264557E-3</v>
      </c>
      <c r="W680">
        <v>0</v>
      </c>
      <c r="X680">
        <v>1.805671428138779E-2</v>
      </c>
      <c r="Y680">
        <v>0</v>
      </c>
      <c r="Z680">
        <v>1.9878962996251151E-2</v>
      </c>
      <c r="AA680">
        <v>0.32182214442991186</v>
      </c>
      <c r="AB680">
        <v>1.0471703368652633E-2</v>
      </c>
      <c r="AC680">
        <v>0</v>
      </c>
      <c r="AD680">
        <v>0</v>
      </c>
      <c r="AE680">
        <v>0</v>
      </c>
      <c r="AF680">
        <v>0.62982388846716275</v>
      </c>
      <c r="AG680">
        <v>0</v>
      </c>
      <c r="AH680">
        <v>0</v>
      </c>
      <c r="AI680">
        <v>0</v>
      </c>
      <c r="AK680">
        <v>0</v>
      </c>
    </row>
    <row r="681" spans="1:37" x14ac:dyDescent="0.25">
      <c r="A681" t="s">
        <v>128</v>
      </c>
      <c r="C681" t="s">
        <v>110</v>
      </c>
      <c r="D681" s="12">
        <v>46230</v>
      </c>
      <c r="G681">
        <v>83.987100089905937</v>
      </c>
      <c r="H681">
        <v>64.599999999999994</v>
      </c>
      <c r="K681">
        <v>64.599999999999994</v>
      </c>
      <c r="N681">
        <v>83.841262975778548</v>
      </c>
      <c r="R681">
        <v>2.7413051347090597E-2</v>
      </c>
      <c r="S681">
        <v>0</v>
      </c>
      <c r="T681">
        <v>4.735903409121095E-2</v>
      </c>
      <c r="U681">
        <v>0</v>
      </c>
      <c r="V681">
        <v>2.6356639904860707E-3</v>
      </c>
      <c r="W681">
        <v>0</v>
      </c>
      <c r="X681">
        <v>2.4770989372267915E-2</v>
      </c>
      <c r="Y681">
        <v>0</v>
      </c>
      <c r="Z681">
        <v>6.6053391787670529E-2</v>
      </c>
      <c r="AA681">
        <v>0.23233995876875463</v>
      </c>
      <c r="AB681">
        <v>8.3483475961546871E-3</v>
      </c>
      <c r="AC681">
        <v>0</v>
      </c>
      <c r="AD681">
        <v>4.820777989732291E-2</v>
      </c>
      <c r="AE681">
        <v>0</v>
      </c>
      <c r="AF681">
        <v>0.580138880966932</v>
      </c>
      <c r="AG681">
        <v>0</v>
      </c>
      <c r="AH681">
        <v>0</v>
      </c>
      <c r="AI681">
        <v>0</v>
      </c>
      <c r="AK681">
        <v>0</v>
      </c>
    </row>
    <row r="682" spans="1:37" x14ac:dyDescent="0.25">
      <c r="A682" t="s">
        <v>128</v>
      </c>
      <c r="C682" t="s">
        <v>110</v>
      </c>
      <c r="D682" s="12">
        <v>46231</v>
      </c>
      <c r="G682">
        <v>90.735224231511324</v>
      </c>
      <c r="H682">
        <v>58.899999999999991</v>
      </c>
      <c r="K682">
        <v>58.899999999999991</v>
      </c>
      <c r="N682">
        <v>89.151384083044988</v>
      </c>
      <c r="R682">
        <v>6.5888576410485525E-2</v>
      </c>
      <c r="S682">
        <v>0</v>
      </c>
      <c r="T682">
        <v>2.7324015361621497E-2</v>
      </c>
      <c r="U682">
        <v>0</v>
      </c>
      <c r="V682">
        <v>2.43964543259962E-3</v>
      </c>
      <c r="W682">
        <v>0</v>
      </c>
      <c r="X682">
        <v>9.8848503776804292E-3</v>
      </c>
      <c r="Y682">
        <v>0</v>
      </c>
      <c r="Z682">
        <v>3.2324529113190628E-2</v>
      </c>
      <c r="AA682">
        <v>0.25126916093169827</v>
      </c>
      <c r="AB682">
        <v>7.1277469802663321E-2</v>
      </c>
      <c r="AC682">
        <v>0</v>
      </c>
      <c r="AD682">
        <v>2.4391228520101785E-2</v>
      </c>
      <c r="AE682">
        <v>0</v>
      </c>
      <c r="AF682">
        <v>0.53183718749544018</v>
      </c>
      <c r="AG682">
        <v>0</v>
      </c>
      <c r="AH682">
        <v>0</v>
      </c>
      <c r="AI682">
        <v>0</v>
      </c>
      <c r="AK682">
        <v>0</v>
      </c>
    </row>
    <row r="683" spans="1:37" x14ac:dyDescent="0.25">
      <c r="A683" t="s">
        <v>128</v>
      </c>
      <c r="C683" t="s">
        <v>110</v>
      </c>
      <c r="D683" s="12">
        <v>46232</v>
      </c>
      <c r="G683">
        <v>87.459755202699171</v>
      </c>
      <c r="H683">
        <v>62.699999999999996</v>
      </c>
      <c r="K683">
        <v>62.699999999999996</v>
      </c>
      <c r="N683">
        <v>91.407871972318333</v>
      </c>
      <c r="R683">
        <v>7.7821181758748803E-2</v>
      </c>
      <c r="S683">
        <v>0</v>
      </c>
      <c r="T683">
        <v>7.1004559876176793E-2</v>
      </c>
      <c r="U683">
        <v>0</v>
      </c>
      <c r="V683">
        <v>0</v>
      </c>
      <c r="W683">
        <v>7.8266921280811096E-3</v>
      </c>
      <c r="X683">
        <v>1.0095564563047749E-2</v>
      </c>
      <c r="Y683">
        <v>0</v>
      </c>
      <c r="Z683">
        <v>4.1132285807124233E-2</v>
      </c>
      <c r="AA683">
        <v>0.28505068891254975</v>
      </c>
      <c r="AB683">
        <v>4.2774649131278382E-2</v>
      </c>
      <c r="AC683">
        <v>0</v>
      </c>
      <c r="AD683">
        <v>0</v>
      </c>
      <c r="AE683">
        <v>0</v>
      </c>
      <c r="AF683">
        <v>0.55364855238548549</v>
      </c>
      <c r="AG683">
        <v>0</v>
      </c>
      <c r="AH683">
        <v>0</v>
      </c>
      <c r="AI683">
        <v>0</v>
      </c>
      <c r="AK683">
        <v>4.1020197846887783E-2</v>
      </c>
    </row>
    <row r="684" spans="1:37" x14ac:dyDescent="0.25">
      <c r="A684" t="s">
        <v>128</v>
      </c>
      <c r="C684" t="s">
        <v>110</v>
      </c>
      <c r="D684" s="12">
        <v>46233</v>
      </c>
      <c r="G684">
        <v>86.513639235207151</v>
      </c>
      <c r="H684">
        <v>60.800000000000004</v>
      </c>
      <c r="K684">
        <v>60.800000000000004</v>
      </c>
      <c r="N684">
        <v>92.144701557093427</v>
      </c>
      <c r="R684">
        <v>9.1450475973826606E-2</v>
      </c>
      <c r="S684">
        <v>0</v>
      </c>
      <c r="T684">
        <v>5.1323230126811198E-2</v>
      </c>
      <c r="U684">
        <v>0</v>
      </c>
      <c r="V684">
        <v>0</v>
      </c>
      <c r="W684">
        <v>7.9122850873009788E-3</v>
      </c>
      <c r="X684">
        <v>1.9323751396337852E-2</v>
      </c>
      <c r="Y684">
        <v>0</v>
      </c>
      <c r="Z684">
        <v>3.5556534364905357E-2</v>
      </c>
      <c r="AA684">
        <v>0.14629264476770629</v>
      </c>
      <c r="AB684">
        <v>4.5685504116054737E-2</v>
      </c>
      <c r="AC684">
        <v>0</v>
      </c>
      <c r="AD684">
        <v>0</v>
      </c>
      <c r="AE684">
        <v>0</v>
      </c>
      <c r="AF684">
        <v>0.55510704789946508</v>
      </c>
      <c r="AG684">
        <v>0</v>
      </c>
      <c r="AH684">
        <v>0</v>
      </c>
      <c r="AI684">
        <v>0</v>
      </c>
      <c r="AK684">
        <v>4.1468796062333425E-2</v>
      </c>
    </row>
    <row r="685" spans="1:37" x14ac:dyDescent="0.25">
      <c r="A685" t="s">
        <v>128</v>
      </c>
      <c r="C685" t="s">
        <v>110</v>
      </c>
      <c r="D685" s="12">
        <v>46234</v>
      </c>
      <c r="G685">
        <v>82.149653307108565</v>
      </c>
      <c r="H685">
        <v>62.7</v>
      </c>
      <c r="K685">
        <v>62.7</v>
      </c>
      <c r="N685">
        <v>87.456336505190293</v>
      </c>
      <c r="R685">
        <v>7.2549887479876909E-2</v>
      </c>
      <c r="S685">
        <v>0</v>
      </c>
      <c r="T685">
        <v>6.5302668638029082E-2</v>
      </c>
      <c r="U685">
        <v>0</v>
      </c>
      <c r="V685">
        <v>3.2316560294985627E-3</v>
      </c>
      <c r="W685">
        <v>0</v>
      </c>
      <c r="X685">
        <v>3.2199127838422825E-2</v>
      </c>
      <c r="Y685">
        <v>0</v>
      </c>
      <c r="Z685">
        <v>3.0314138336041199E-2</v>
      </c>
      <c r="AA685">
        <v>0.30253114627571392</v>
      </c>
      <c r="AB685">
        <v>2.6595941813580302E-2</v>
      </c>
      <c r="AC685">
        <v>0</v>
      </c>
      <c r="AD685">
        <v>1.6786974285717748E-2</v>
      </c>
      <c r="AE685">
        <v>0</v>
      </c>
      <c r="AF685">
        <v>0.61540663524111117</v>
      </c>
      <c r="AG685">
        <v>0</v>
      </c>
      <c r="AH685">
        <v>0</v>
      </c>
      <c r="AI685">
        <v>0</v>
      </c>
      <c r="AK685">
        <v>0</v>
      </c>
    </row>
    <row r="686" spans="1:37" x14ac:dyDescent="0.25">
      <c r="A686" t="s">
        <v>128</v>
      </c>
      <c r="C686" t="s">
        <v>110</v>
      </c>
      <c r="D686" s="12">
        <v>46235</v>
      </c>
      <c r="G686">
        <v>83.84606941210366</v>
      </c>
      <c r="H686">
        <v>56.999999999999993</v>
      </c>
      <c r="K686">
        <v>56.999999999999993</v>
      </c>
      <c r="N686">
        <v>85.99697231833909</v>
      </c>
      <c r="R686">
        <v>5.1093290491121039E-2</v>
      </c>
      <c r="S686">
        <v>0</v>
      </c>
      <c r="T686">
        <v>2.819836038236842E-2</v>
      </c>
      <c r="U686">
        <v>0</v>
      </c>
      <c r="V686">
        <v>0</v>
      </c>
      <c r="W686">
        <v>8.1640151096939919E-3</v>
      </c>
      <c r="X686">
        <v>9.2578612373417184E-3</v>
      </c>
      <c r="Y686">
        <v>0</v>
      </c>
      <c r="Z686">
        <v>3.2478306224326313E-2</v>
      </c>
      <c r="AA686">
        <v>0.2564355200063318</v>
      </c>
      <c r="AB686">
        <v>2.4525452279844397E-2</v>
      </c>
      <c r="AC686">
        <v>0</v>
      </c>
      <c r="AD686">
        <v>1.0172703174413364E-2</v>
      </c>
      <c r="AE686">
        <v>0</v>
      </c>
      <c r="AF686">
        <v>0.53426126471581525</v>
      </c>
      <c r="AG686">
        <v>0</v>
      </c>
      <c r="AH686">
        <v>0</v>
      </c>
      <c r="AI686">
        <v>0</v>
      </c>
      <c r="AK686">
        <v>4.2788129332836676E-2</v>
      </c>
    </row>
    <row r="687" spans="1:37" x14ac:dyDescent="0.25">
      <c r="A687" t="s">
        <v>128</v>
      </c>
      <c r="C687" t="s">
        <v>110</v>
      </c>
      <c r="D687" s="12">
        <v>46236</v>
      </c>
      <c r="G687">
        <v>80.01650204802236</v>
      </c>
      <c r="H687">
        <v>59.85</v>
      </c>
      <c r="K687">
        <v>59.85</v>
      </c>
      <c r="N687">
        <v>83.267301038062271</v>
      </c>
      <c r="R687">
        <v>5.7123620729469429E-2</v>
      </c>
      <c r="S687">
        <v>0</v>
      </c>
      <c r="T687">
        <v>7.923844372301489E-2</v>
      </c>
      <c r="U687">
        <v>0</v>
      </c>
      <c r="V687">
        <v>0</v>
      </c>
      <c r="W687">
        <v>8.5547425849488729E-3</v>
      </c>
      <c r="X687">
        <v>1.1966323522949915E-2</v>
      </c>
      <c r="Y687">
        <v>0</v>
      </c>
      <c r="Z687">
        <v>6.0322601523842022E-2</v>
      </c>
      <c r="AA687">
        <v>0.29779356309554944</v>
      </c>
      <c r="AB687">
        <v>1.3304459111301391E-2</v>
      </c>
      <c r="AC687">
        <v>0</v>
      </c>
      <c r="AD687">
        <v>1.5158878043385301E-2</v>
      </c>
      <c r="AE687">
        <v>0</v>
      </c>
      <c r="AF687">
        <v>0.53644850786752007</v>
      </c>
      <c r="AG687">
        <v>0</v>
      </c>
      <c r="AH687">
        <v>0</v>
      </c>
      <c r="AI687">
        <v>0</v>
      </c>
      <c r="AK687">
        <v>4.4835957211700708E-2</v>
      </c>
    </row>
    <row r="688" spans="1:37" x14ac:dyDescent="0.25">
      <c r="A688" t="s">
        <v>128</v>
      </c>
      <c r="C688" t="s">
        <v>110</v>
      </c>
      <c r="D688" s="12">
        <v>46237</v>
      </c>
      <c r="G688">
        <v>88.619264378110358</v>
      </c>
      <c r="H688">
        <v>37.050000000000004</v>
      </c>
      <c r="K688">
        <v>37.050000000000004</v>
      </c>
      <c r="N688">
        <v>92.470804498269871</v>
      </c>
      <c r="R688">
        <v>8.3280051757465848E-2</v>
      </c>
      <c r="S688">
        <v>0</v>
      </c>
      <c r="T688">
        <v>0</v>
      </c>
      <c r="U688">
        <v>0</v>
      </c>
      <c r="V688">
        <v>0</v>
      </c>
      <c r="W688">
        <v>7.7242863882082437E-3</v>
      </c>
      <c r="X688">
        <v>2.3965843029201219E-3</v>
      </c>
      <c r="Y688">
        <v>0</v>
      </c>
      <c r="Z688">
        <v>0</v>
      </c>
      <c r="AA688">
        <v>0.21804796644860619</v>
      </c>
      <c r="AB688">
        <v>4.2214978516872233E-2</v>
      </c>
      <c r="AC688">
        <v>0</v>
      </c>
      <c r="AD688">
        <v>0</v>
      </c>
      <c r="AE688">
        <v>0</v>
      </c>
      <c r="AF688">
        <v>0.37520058684004387</v>
      </c>
      <c r="AG688">
        <v>0</v>
      </c>
      <c r="AH688">
        <v>0</v>
      </c>
      <c r="AI688">
        <v>0</v>
      </c>
      <c r="AK688">
        <v>4.0483482764513461E-2</v>
      </c>
    </row>
    <row r="689" spans="1:37" x14ac:dyDescent="0.25">
      <c r="A689" t="s">
        <v>128</v>
      </c>
      <c r="C689" t="s">
        <v>110</v>
      </c>
      <c r="D689" s="12">
        <v>46238</v>
      </c>
      <c r="G689">
        <v>91.009693600830772</v>
      </c>
      <c r="H689">
        <v>49.4</v>
      </c>
      <c r="K689">
        <v>49.4</v>
      </c>
      <c r="N689">
        <v>96.164407920030754</v>
      </c>
      <c r="R689">
        <v>7.9081060866960914E-2</v>
      </c>
      <c r="S689">
        <v>0</v>
      </c>
      <c r="T689">
        <v>5.0735539055493391E-2</v>
      </c>
      <c r="U689">
        <v>0</v>
      </c>
      <c r="V689">
        <v>0</v>
      </c>
      <c r="W689">
        <v>7.5214029460551543E-3</v>
      </c>
      <c r="X689">
        <v>1.8664292502976444E-2</v>
      </c>
      <c r="Y689">
        <v>0</v>
      </c>
      <c r="Z689">
        <v>2.9973583339936223E-2</v>
      </c>
      <c r="AA689">
        <v>0.33036225465233404</v>
      </c>
      <c r="AB689">
        <v>4.1106174451166384E-2</v>
      </c>
      <c r="AC689">
        <v>0</v>
      </c>
      <c r="AD689">
        <v>0</v>
      </c>
      <c r="AE689">
        <v>0</v>
      </c>
      <c r="AF689">
        <v>0.39356730122697364</v>
      </c>
      <c r="AG689">
        <v>0</v>
      </c>
      <c r="AH689">
        <v>0</v>
      </c>
      <c r="AI689">
        <v>0</v>
      </c>
      <c r="AK689">
        <v>3.9420157569043213E-2</v>
      </c>
    </row>
    <row r="690" spans="1:37" x14ac:dyDescent="0.25">
      <c r="A690" t="s">
        <v>128</v>
      </c>
      <c r="C690" t="s">
        <v>110</v>
      </c>
      <c r="D690" s="12">
        <v>46239</v>
      </c>
      <c r="G690">
        <v>88.410198480535627</v>
      </c>
      <c r="H690">
        <v>44.65</v>
      </c>
      <c r="K690">
        <v>44.65</v>
      </c>
      <c r="N690">
        <v>90.620242214532851</v>
      </c>
      <c r="R690">
        <v>8.0254135022296405E-2</v>
      </c>
      <c r="S690">
        <v>0</v>
      </c>
      <c r="T690">
        <v>2.6355631497681373E-2</v>
      </c>
      <c r="U690">
        <v>0</v>
      </c>
      <c r="V690">
        <v>0</v>
      </c>
      <c r="W690">
        <v>7.7425522092857812E-3</v>
      </c>
      <c r="X690">
        <v>4.2413642682989699E-3</v>
      </c>
      <c r="Y690">
        <v>0</v>
      </c>
      <c r="Z690">
        <v>3.3722154344611628E-2</v>
      </c>
      <c r="AA690">
        <v>0.4338617011614968</v>
      </c>
      <c r="AB690">
        <v>5.9497888472157978E-2</v>
      </c>
      <c r="AC690">
        <v>0</v>
      </c>
      <c r="AD690">
        <v>0</v>
      </c>
      <c r="AE690">
        <v>0</v>
      </c>
      <c r="AF690">
        <v>0.38938850157821231</v>
      </c>
      <c r="AG690">
        <v>0</v>
      </c>
      <c r="AH690">
        <v>0</v>
      </c>
      <c r="AI690">
        <v>0</v>
      </c>
      <c r="AK690">
        <v>4.057921510995071E-2</v>
      </c>
    </row>
    <row r="691" spans="1:37" x14ac:dyDescent="0.25">
      <c r="A691" t="s">
        <v>128</v>
      </c>
      <c r="C691" t="s">
        <v>110</v>
      </c>
      <c r="D691" s="12">
        <v>46240</v>
      </c>
      <c r="G691">
        <v>88.909214995077434</v>
      </c>
      <c r="H691">
        <v>48.45000000000001</v>
      </c>
      <c r="K691">
        <v>48.45000000000001</v>
      </c>
      <c r="N691">
        <v>90.712677563285354</v>
      </c>
      <c r="R691">
        <v>7.9954267560986864E-2</v>
      </c>
      <c r="S691">
        <v>0</v>
      </c>
      <c r="T691">
        <v>5.9444153386977713E-2</v>
      </c>
      <c r="U691">
        <v>0</v>
      </c>
      <c r="V691">
        <v>0</v>
      </c>
      <c r="W691">
        <v>7.6990959554278466E-3</v>
      </c>
      <c r="X691">
        <v>2.5045485881724032E-3</v>
      </c>
      <c r="Y691">
        <v>0</v>
      </c>
      <c r="Z691">
        <v>3.2872627280295469E-2</v>
      </c>
      <c r="AA691">
        <v>0.45197033423543576</v>
      </c>
      <c r="AB691">
        <v>6.2174500644767296E-2</v>
      </c>
      <c r="AC691">
        <v>0</v>
      </c>
      <c r="AD691">
        <v>0</v>
      </c>
      <c r="AE691">
        <v>0</v>
      </c>
      <c r="AF691">
        <v>0.40976510242577857</v>
      </c>
      <c r="AG691">
        <v>0</v>
      </c>
      <c r="AH691">
        <v>0</v>
      </c>
      <c r="AI691">
        <v>0</v>
      </c>
      <c r="AK691">
        <v>4.0351458082873923E-2</v>
      </c>
    </row>
    <row r="692" spans="1:37" x14ac:dyDescent="0.25">
      <c r="A692" t="s">
        <v>128</v>
      </c>
      <c r="C692" t="s">
        <v>110</v>
      </c>
      <c r="D692" s="12">
        <v>46241</v>
      </c>
      <c r="G692">
        <v>82.584326668692611</v>
      </c>
      <c r="H692">
        <v>48.449999999999996</v>
      </c>
      <c r="K692">
        <v>48.449999999999996</v>
      </c>
      <c r="N692">
        <v>85.02551903114184</v>
      </c>
      <c r="R692">
        <v>7.2816144703195571E-2</v>
      </c>
      <c r="S692">
        <v>0</v>
      </c>
      <c r="T692">
        <v>6.3991037870755232E-2</v>
      </c>
      <c r="U692">
        <v>0</v>
      </c>
      <c r="V692">
        <v>0</v>
      </c>
      <c r="W692">
        <v>1.0376882705986345E-2</v>
      </c>
      <c r="X692">
        <v>1.4179139069136149E-2</v>
      </c>
      <c r="Y692">
        <v>0</v>
      </c>
      <c r="Z692">
        <v>2.9140150344210622E-2</v>
      </c>
      <c r="AA692">
        <v>0.29184528424941591</v>
      </c>
      <c r="AB692">
        <v>5.7435287815196884E-2</v>
      </c>
      <c r="AC692">
        <v>0</v>
      </c>
      <c r="AD692">
        <v>0</v>
      </c>
      <c r="AE692">
        <v>0</v>
      </c>
      <c r="AF692">
        <v>0.39743951308539383</v>
      </c>
      <c r="AG692">
        <v>0</v>
      </c>
      <c r="AH692">
        <v>0</v>
      </c>
      <c r="AI692">
        <v>0</v>
      </c>
      <c r="AK692">
        <v>8.1923224053116958E-2</v>
      </c>
    </row>
    <row r="693" spans="1:37" x14ac:dyDescent="0.25">
      <c r="A693" t="s">
        <v>128</v>
      </c>
      <c r="C693" t="s">
        <v>110</v>
      </c>
      <c r="D693" s="12">
        <v>46242</v>
      </c>
      <c r="G693">
        <v>80.05529733465778</v>
      </c>
      <c r="H693">
        <v>44.65</v>
      </c>
      <c r="K693">
        <v>44.65</v>
      </c>
      <c r="N693">
        <v>86.907871972318333</v>
      </c>
      <c r="R693">
        <v>9.6615468441795221E-2</v>
      </c>
      <c r="S693">
        <v>0</v>
      </c>
      <c r="T693">
        <v>1.7666809430676913E-2</v>
      </c>
      <c r="U693">
        <v>0</v>
      </c>
      <c r="V693">
        <v>0</v>
      </c>
      <c r="W693">
        <v>8.5505969043790046E-3</v>
      </c>
      <c r="X693">
        <v>5.465189295921759E-3</v>
      </c>
      <c r="Y693">
        <v>0</v>
      </c>
      <c r="Z693">
        <v>3.1628161180884462E-2</v>
      </c>
      <c r="AA693">
        <v>0.34805831595574094</v>
      </c>
      <c r="AB693">
        <v>1.6482641543803998E-2</v>
      </c>
      <c r="AC693">
        <v>0</v>
      </c>
      <c r="AD693">
        <v>0</v>
      </c>
      <c r="AE693">
        <v>0</v>
      </c>
      <c r="AF693">
        <v>0.44629829435397317</v>
      </c>
      <c r="AG693">
        <v>0</v>
      </c>
      <c r="AH693">
        <v>0</v>
      </c>
      <c r="AI693">
        <v>0</v>
      </c>
      <c r="AK693">
        <v>4.4814229432659052E-2</v>
      </c>
    </row>
    <row r="694" spans="1:37" x14ac:dyDescent="0.25">
      <c r="A694" t="s">
        <v>128</v>
      </c>
      <c r="C694" t="s">
        <v>110</v>
      </c>
      <c r="D694" s="12">
        <v>46243</v>
      </c>
      <c r="G694">
        <v>83.878072949519833</v>
      </c>
      <c r="H694">
        <v>53.2</v>
      </c>
      <c r="K694">
        <v>53.2</v>
      </c>
      <c r="N694">
        <v>88.657871972318318</v>
      </c>
      <c r="R694">
        <v>8.0732899884352935E-2</v>
      </c>
      <c r="S694">
        <v>0</v>
      </c>
      <c r="T694">
        <v>8.4403827180847948E-2</v>
      </c>
      <c r="U694">
        <v>0</v>
      </c>
      <c r="V694">
        <v>0</v>
      </c>
      <c r="W694">
        <v>8.1609001434836143E-3</v>
      </c>
      <c r="X694">
        <v>6.9575732514884072E-3</v>
      </c>
      <c r="Y694">
        <v>0</v>
      </c>
      <c r="Z694">
        <v>3.0793144569029523E-2</v>
      </c>
      <c r="AA694">
        <v>0.43063889471011985</v>
      </c>
      <c r="AB694">
        <v>3.0705389254919124E-2</v>
      </c>
      <c r="AC694">
        <v>0</v>
      </c>
      <c r="AD694">
        <v>0</v>
      </c>
      <c r="AE694">
        <v>0</v>
      </c>
      <c r="AF694">
        <v>0.45800164870650922</v>
      </c>
      <c r="AG694">
        <v>0</v>
      </c>
      <c r="AH694">
        <v>0</v>
      </c>
      <c r="AI694">
        <v>0</v>
      </c>
      <c r="AK694">
        <v>4.2771803594179141E-2</v>
      </c>
    </row>
    <row r="695" spans="1:37" x14ac:dyDescent="0.25">
      <c r="A695" t="s">
        <v>128</v>
      </c>
      <c r="C695" t="s">
        <v>110</v>
      </c>
      <c r="D695" s="12">
        <v>46244</v>
      </c>
      <c r="G695">
        <v>83.987100089905937</v>
      </c>
      <c r="H695">
        <v>38.949999999999996</v>
      </c>
      <c r="K695">
        <v>38.949999999999996</v>
      </c>
      <c r="N695">
        <v>88.637218858131462</v>
      </c>
      <c r="R695">
        <v>8.6001574236423614E-2</v>
      </c>
      <c r="S695">
        <v>0</v>
      </c>
      <c r="T695">
        <v>0</v>
      </c>
      <c r="U695">
        <v>0</v>
      </c>
      <c r="V695">
        <v>0</v>
      </c>
      <c r="W695">
        <v>8.1503061403013638E-3</v>
      </c>
      <c r="X695">
        <v>2.5287637948870332E-3</v>
      </c>
      <c r="Y695">
        <v>0</v>
      </c>
      <c r="Z695">
        <v>0</v>
      </c>
      <c r="AA695">
        <v>0.29423164145005387</v>
      </c>
      <c r="AB695">
        <v>3.3163278527556857E-2</v>
      </c>
      <c r="AC695">
        <v>0</v>
      </c>
      <c r="AD695">
        <v>0</v>
      </c>
      <c r="AE695">
        <v>0</v>
      </c>
      <c r="AF695">
        <v>0.4185166527046757</v>
      </c>
      <c r="AG695">
        <v>0</v>
      </c>
      <c r="AH695">
        <v>0</v>
      </c>
      <c r="AI695">
        <v>0</v>
      </c>
      <c r="AK695">
        <v>4.2716279740753586E-2</v>
      </c>
    </row>
    <row r="696" spans="1:37" x14ac:dyDescent="0.25">
      <c r="A696" t="s">
        <v>128</v>
      </c>
      <c r="C696" t="s">
        <v>110</v>
      </c>
      <c r="D696" s="12">
        <v>46245</v>
      </c>
      <c r="G696">
        <v>90.735224231511339</v>
      </c>
      <c r="H696">
        <v>50.350000000000009</v>
      </c>
      <c r="K696">
        <v>50.350000000000009</v>
      </c>
      <c r="N696">
        <v>94.158304498269899</v>
      </c>
      <c r="R696">
        <v>7.21377182460715E-2</v>
      </c>
      <c r="S696">
        <v>0</v>
      </c>
      <c r="T696">
        <v>9.0184679661466899E-2</v>
      </c>
      <c r="U696">
        <v>0</v>
      </c>
      <c r="V696">
        <v>2.3991267628175922E-3</v>
      </c>
      <c r="W696">
        <v>0</v>
      </c>
      <c r="X696">
        <v>9.998300375007433E-3</v>
      </c>
      <c r="Y696">
        <v>0</v>
      </c>
      <c r="Z696">
        <v>3.2211079115863621E-2</v>
      </c>
      <c r="AA696">
        <v>0.34799084702817729</v>
      </c>
      <c r="AB696">
        <v>4.6809110145094902E-2</v>
      </c>
      <c r="AC696">
        <v>0</v>
      </c>
      <c r="AD696">
        <v>0</v>
      </c>
      <c r="AE696">
        <v>0</v>
      </c>
      <c r="AF696">
        <v>0.40964807621206062</v>
      </c>
      <c r="AG696">
        <v>0</v>
      </c>
      <c r="AH696">
        <v>0</v>
      </c>
      <c r="AI696">
        <v>0</v>
      </c>
      <c r="AK696">
        <v>0</v>
      </c>
    </row>
    <row r="697" spans="1:37" x14ac:dyDescent="0.25">
      <c r="A697" t="s">
        <v>128</v>
      </c>
      <c r="C697" t="s">
        <v>110</v>
      </c>
      <c r="D697" s="12">
        <v>46246</v>
      </c>
      <c r="G697">
        <v>87.459755202699142</v>
      </c>
      <c r="H697">
        <v>42.749999999999993</v>
      </c>
      <c r="K697">
        <v>42.749999999999993</v>
      </c>
      <c r="N697">
        <v>89.907871972318304</v>
      </c>
      <c r="R697">
        <v>8.6139314680946599E-2</v>
      </c>
      <c r="S697">
        <v>0</v>
      </c>
      <c r="T697">
        <v>4.917766014700539E-3</v>
      </c>
      <c r="U697">
        <v>0</v>
      </c>
      <c r="V697">
        <v>0</v>
      </c>
      <c r="W697">
        <v>7.826692128081101E-3</v>
      </c>
      <c r="X697">
        <v>2.4283573336408462E-3</v>
      </c>
      <c r="Y697">
        <v>0</v>
      </c>
      <c r="Z697">
        <v>3.5947718700509224E-2</v>
      </c>
      <c r="AA697">
        <v>0.37386838410740181</v>
      </c>
      <c r="AB697">
        <v>5.1716203092615674E-2</v>
      </c>
      <c r="AC697">
        <v>0</v>
      </c>
      <c r="AD697">
        <v>8.8601171974516321E-3</v>
      </c>
      <c r="AE697">
        <v>0</v>
      </c>
      <c r="AF697">
        <v>0.395622088687757</v>
      </c>
      <c r="AG697">
        <v>0</v>
      </c>
      <c r="AH697">
        <v>0</v>
      </c>
      <c r="AI697">
        <v>0</v>
      </c>
      <c r="AK697">
        <v>4.102019784688779E-2</v>
      </c>
    </row>
    <row r="698" spans="1:37" x14ac:dyDescent="0.25">
      <c r="A698" t="s">
        <v>128</v>
      </c>
      <c r="C698" t="s">
        <v>110</v>
      </c>
      <c r="D698" s="12">
        <v>46247</v>
      </c>
      <c r="G698">
        <v>86.513639235207151</v>
      </c>
      <c r="H698">
        <v>50.35</v>
      </c>
      <c r="K698">
        <v>50.35</v>
      </c>
      <c r="N698">
        <v>90.151621972318338</v>
      </c>
      <c r="R698">
        <v>7.3566678405934782E-2</v>
      </c>
      <c r="S698">
        <v>0</v>
      </c>
      <c r="T698">
        <v>8.4266012619773012E-2</v>
      </c>
      <c r="U698">
        <v>0</v>
      </c>
      <c r="V698">
        <v>0</v>
      </c>
      <c r="W698">
        <v>7.9122850873009788E-3</v>
      </c>
      <c r="X698">
        <v>1.4169799051103908E-2</v>
      </c>
      <c r="Y698">
        <v>0</v>
      </c>
      <c r="Z698">
        <v>3.0816997273402914E-2</v>
      </c>
      <c r="AA698">
        <v>0.21217820975362997</v>
      </c>
      <c r="AB698">
        <v>4.5685504116054737E-2</v>
      </c>
      <c r="AC698">
        <v>0</v>
      </c>
      <c r="AD698">
        <v>0</v>
      </c>
      <c r="AE698">
        <v>0</v>
      </c>
      <c r="AF698">
        <v>0.41126755236904616</v>
      </c>
      <c r="AG698">
        <v>0</v>
      </c>
      <c r="AH698">
        <v>0</v>
      </c>
      <c r="AI698">
        <v>0</v>
      </c>
      <c r="AK698">
        <v>4.1468796062333425E-2</v>
      </c>
    </row>
    <row r="699" spans="1:37" x14ac:dyDescent="0.25">
      <c r="A699" t="s">
        <v>128</v>
      </c>
      <c r="C699" t="s">
        <v>110</v>
      </c>
      <c r="D699" s="12">
        <v>46248</v>
      </c>
      <c r="G699">
        <v>82.149653307108551</v>
      </c>
      <c r="H699">
        <v>50.35</v>
      </c>
      <c r="K699">
        <v>50.35</v>
      </c>
      <c r="N699">
        <v>80.956769031141846</v>
      </c>
      <c r="R699">
        <v>6.4891226363352136E-2</v>
      </c>
      <c r="S699">
        <v>0</v>
      </c>
      <c r="T699">
        <v>6.9501507749230931E-2</v>
      </c>
      <c r="U699">
        <v>0</v>
      </c>
      <c r="V699">
        <v>0</v>
      </c>
      <c r="W699">
        <v>1.0431789261364134E-2</v>
      </c>
      <c r="X699">
        <v>1.2897918329784442E-2</v>
      </c>
      <c r="Y699">
        <v>0</v>
      </c>
      <c r="Z699">
        <v>4.8015036186236919E-2</v>
      </c>
      <c r="AA699">
        <v>0.35623928615892914</v>
      </c>
      <c r="AB699">
        <v>6.7860041537512447E-2</v>
      </c>
      <c r="AC699">
        <v>0</v>
      </c>
      <c r="AD699">
        <v>2.4449971204904889E-2</v>
      </c>
      <c r="AE699">
        <v>0</v>
      </c>
      <c r="AF699">
        <v>0.37568467962358559</v>
      </c>
      <c r="AG699">
        <v>0</v>
      </c>
      <c r="AH699">
        <v>0</v>
      </c>
      <c r="AI699">
        <v>0</v>
      </c>
      <c r="AK699">
        <v>8.2356699323643617E-2</v>
      </c>
    </row>
    <row r="700" spans="1:37" x14ac:dyDescent="0.25">
      <c r="A700" t="s">
        <v>128</v>
      </c>
      <c r="C700" t="s">
        <v>110</v>
      </c>
      <c r="D700" s="12">
        <v>46249</v>
      </c>
      <c r="G700">
        <v>83.84606941210366</v>
      </c>
      <c r="H700">
        <v>42.75</v>
      </c>
      <c r="K700">
        <v>42.75</v>
      </c>
      <c r="N700">
        <v>88.136245674740479</v>
      </c>
      <c r="R700">
        <v>7.5116758383232021E-2</v>
      </c>
      <c r="S700">
        <v>0</v>
      </c>
      <c r="T700">
        <v>5.5377871041925189E-3</v>
      </c>
      <c r="U700">
        <v>0</v>
      </c>
      <c r="V700">
        <v>0</v>
      </c>
      <c r="W700">
        <v>8.1640151096939919E-3</v>
      </c>
      <c r="X700">
        <v>1.0748688426695418E-2</v>
      </c>
      <c r="Y700">
        <v>0</v>
      </c>
      <c r="Z700">
        <v>3.098747903497261E-2</v>
      </c>
      <c r="AA700">
        <v>0.43256523218666409</v>
      </c>
      <c r="AB700">
        <v>3.4698155454257779E-2</v>
      </c>
      <c r="AC700">
        <v>0</v>
      </c>
      <c r="AD700">
        <v>0</v>
      </c>
      <c r="AE700">
        <v>0</v>
      </c>
      <c r="AF700">
        <v>0.40847052822117308</v>
      </c>
      <c r="AG700">
        <v>0</v>
      </c>
      <c r="AH700">
        <v>0</v>
      </c>
      <c r="AI700">
        <v>0</v>
      </c>
      <c r="AK700">
        <v>4.2788129332836676E-2</v>
      </c>
    </row>
    <row r="701" spans="1:37" x14ac:dyDescent="0.25">
      <c r="A701" t="s">
        <v>128</v>
      </c>
      <c r="C701" t="s">
        <v>110</v>
      </c>
      <c r="D701" s="12">
        <v>46250</v>
      </c>
      <c r="G701">
        <v>80.01650204802236</v>
      </c>
      <c r="H701">
        <v>38.950000000000003</v>
      </c>
      <c r="K701">
        <v>38.950000000000003</v>
      </c>
      <c r="N701">
        <v>84.907439446366766</v>
      </c>
      <c r="R701">
        <v>8.1091974500585098E-2</v>
      </c>
      <c r="S701">
        <v>0</v>
      </c>
      <c r="T701">
        <v>0</v>
      </c>
      <c r="U701">
        <v>0</v>
      </c>
      <c r="V701">
        <v>0</v>
      </c>
      <c r="W701">
        <v>8.5547425849488729E-3</v>
      </c>
      <c r="X701">
        <v>8.4954717211175122E-3</v>
      </c>
      <c r="Y701">
        <v>0</v>
      </c>
      <c r="Z701">
        <v>7.8108888042231826E-4</v>
      </c>
      <c r="AA701">
        <v>0.41345254947953997</v>
      </c>
      <c r="AB701">
        <v>2.8463337154686692E-2</v>
      </c>
      <c r="AC701">
        <v>0</v>
      </c>
      <c r="AD701">
        <v>0</v>
      </c>
      <c r="AE701">
        <v>0</v>
      </c>
      <c r="AF701">
        <v>0.42078952148352944</v>
      </c>
      <c r="AG701">
        <v>0</v>
      </c>
      <c r="AH701">
        <v>0</v>
      </c>
      <c r="AI701">
        <v>0</v>
      </c>
      <c r="AK701">
        <v>4.4835957211700708E-2</v>
      </c>
    </row>
    <row r="702" spans="1:37" x14ac:dyDescent="0.25">
      <c r="A702" t="s">
        <v>128</v>
      </c>
      <c r="C702" t="s">
        <v>115</v>
      </c>
      <c r="D702" s="12"/>
      <c r="G702">
        <v>2396.3480238679699</v>
      </c>
      <c r="H702">
        <v>1502.8999999999969</v>
      </c>
      <c r="K702">
        <v>1502.8999999999969</v>
      </c>
      <c r="N702">
        <v>2463.5690934552463</v>
      </c>
      <c r="R702">
        <v>6.881317454192655E-2</v>
      </c>
      <c r="S702">
        <v>0</v>
      </c>
      <c r="T702">
        <v>4.2599700408246483E-2</v>
      </c>
      <c r="U702">
        <v>0</v>
      </c>
      <c r="V702">
        <v>7.0873412987752056E-4</v>
      </c>
      <c r="W702">
        <v>6.0680427205476581E-3</v>
      </c>
      <c r="X702">
        <v>1.1846144221531615E-2</v>
      </c>
      <c r="Y702">
        <v>0</v>
      </c>
      <c r="Z702">
        <v>3.6803335746532578E-2</v>
      </c>
      <c r="AA702">
        <v>0.30858303447333035</v>
      </c>
      <c r="AB702">
        <v>4.0423042995534821E-2</v>
      </c>
      <c r="AC702">
        <v>0</v>
      </c>
      <c r="AD702">
        <v>1.289354620482353E-2</v>
      </c>
      <c r="AE702">
        <v>0</v>
      </c>
      <c r="AF702">
        <v>0.48082602531162111</v>
      </c>
      <c r="AG702">
        <v>0</v>
      </c>
      <c r="AH702">
        <v>0</v>
      </c>
      <c r="AI702">
        <v>0</v>
      </c>
      <c r="AK702">
        <v>3.5935061555336573E-2</v>
      </c>
    </row>
    <row r="703" spans="1:37" x14ac:dyDescent="0.25">
      <c r="A703" t="s">
        <v>128</v>
      </c>
      <c r="B703" t="s">
        <v>145</v>
      </c>
      <c r="C703" t="s">
        <v>116</v>
      </c>
      <c r="D703" s="12"/>
      <c r="G703">
        <v>1198.3032344330186</v>
      </c>
      <c r="H703">
        <v>1016.5000000000005</v>
      </c>
      <c r="K703">
        <v>1016.5000000000005</v>
      </c>
      <c r="N703">
        <v>1231.7845467276202</v>
      </c>
      <c r="R703">
        <v>6.9561964179533947E-2</v>
      </c>
      <c r="S703">
        <v>0</v>
      </c>
      <c r="T703">
        <v>7.8982245745685339E-2</v>
      </c>
      <c r="U703">
        <v>0</v>
      </c>
      <c r="V703">
        <v>1.0141147435138058E-4</v>
      </c>
      <c r="W703">
        <v>1.1253727815186676E-4</v>
      </c>
      <c r="X703">
        <v>1.1593074090934755E-2</v>
      </c>
      <c r="Y703">
        <v>0</v>
      </c>
      <c r="Z703">
        <v>6.8470474441674437E-2</v>
      </c>
      <c r="AA703">
        <v>0.14163469803989967</v>
      </c>
      <c r="AB703">
        <v>3.5029678343785044E-2</v>
      </c>
      <c r="AC703">
        <v>0</v>
      </c>
      <c r="AD703">
        <v>1.8286170614424262E-2</v>
      </c>
      <c r="AE703">
        <v>0</v>
      </c>
      <c r="AF703">
        <v>0.66885668430551781</v>
      </c>
      <c r="AG703">
        <v>0</v>
      </c>
      <c r="AH703">
        <v>0</v>
      </c>
      <c r="AI703">
        <v>0</v>
      </c>
      <c r="AK703">
        <v>1.9927201720796248E-3</v>
      </c>
    </row>
    <row r="704" spans="1:37" x14ac:dyDescent="0.25">
      <c r="A704" t="s">
        <v>128</v>
      </c>
      <c r="B704" t="s">
        <v>146</v>
      </c>
      <c r="C704" t="s">
        <v>116</v>
      </c>
      <c r="D704" s="12"/>
      <c r="G704">
        <v>1198.0447894349427</v>
      </c>
      <c r="H704">
        <v>486.40000000000055</v>
      </c>
      <c r="K704">
        <v>486.40000000000055</v>
      </c>
      <c r="N704">
        <v>1231.7845467276202</v>
      </c>
      <c r="R704">
        <v>6.806422337368398E-2</v>
      </c>
      <c r="S704">
        <v>0</v>
      </c>
      <c r="T704">
        <v>6.2093065438224302E-3</v>
      </c>
      <c r="U704">
        <v>0</v>
      </c>
      <c r="V704">
        <v>1.3161877984541985E-3</v>
      </c>
      <c r="W704">
        <v>1.2024832898377571E-2</v>
      </c>
      <c r="X704">
        <v>1.2099268945003534E-2</v>
      </c>
      <c r="Y704">
        <v>0</v>
      </c>
      <c r="Z704">
        <v>5.1293657428528438E-3</v>
      </c>
      <c r="AA704">
        <v>0.47556738538874771</v>
      </c>
      <c r="AB704">
        <v>4.5817571116404991E-2</v>
      </c>
      <c r="AC704">
        <v>0</v>
      </c>
      <c r="AD704">
        <v>7.4997584857895115E-3</v>
      </c>
      <c r="AE704">
        <v>0</v>
      </c>
      <c r="AF704">
        <v>0.29275480390826603</v>
      </c>
      <c r="AG704">
        <v>0</v>
      </c>
      <c r="AH704">
        <v>0</v>
      </c>
      <c r="AI704">
        <v>0</v>
      </c>
      <c r="AK704">
        <v>6.9884725059127878E-2</v>
      </c>
    </row>
    <row r="705" spans="1:37" x14ac:dyDescent="0.25">
      <c r="A705" t="s">
        <v>128</v>
      </c>
      <c r="B705" t="s">
        <v>145</v>
      </c>
      <c r="C705" t="s">
        <v>117</v>
      </c>
      <c r="D705" s="12">
        <v>46223</v>
      </c>
      <c r="G705">
        <v>44.308723503659913</v>
      </c>
      <c r="H705">
        <v>44.650000000000006</v>
      </c>
      <c r="K705">
        <v>44.650000000000006</v>
      </c>
      <c r="N705">
        <v>41.601301182237599</v>
      </c>
      <c r="R705">
        <v>2.7528569114140589E-2</v>
      </c>
      <c r="S705">
        <v>0</v>
      </c>
      <c r="T705">
        <v>7.2430325819907465E-2</v>
      </c>
      <c r="U705">
        <v>0</v>
      </c>
      <c r="V705">
        <v>0</v>
      </c>
      <c r="W705">
        <v>0</v>
      </c>
      <c r="X705">
        <v>1.0548586270787084E-2</v>
      </c>
      <c r="Y705">
        <v>0</v>
      </c>
      <c r="Z705">
        <v>0.1209325374462716</v>
      </c>
      <c r="AA705">
        <v>9.7741871552438936E-2</v>
      </c>
      <c r="AB705">
        <v>1.7193119857865823E-2</v>
      </c>
      <c r="AC705">
        <v>0</v>
      </c>
      <c r="AD705">
        <v>8.1987631102291458E-2</v>
      </c>
      <c r="AE705">
        <v>0</v>
      </c>
      <c r="AF705">
        <v>0.72180316102680842</v>
      </c>
      <c r="AG705">
        <v>0</v>
      </c>
      <c r="AH705">
        <v>0</v>
      </c>
      <c r="AI705">
        <v>0</v>
      </c>
      <c r="AK705">
        <v>0</v>
      </c>
    </row>
    <row r="706" spans="1:37" x14ac:dyDescent="0.25">
      <c r="A706" t="s">
        <v>128</v>
      </c>
      <c r="B706" t="s">
        <v>146</v>
      </c>
      <c r="C706" t="s">
        <v>117</v>
      </c>
      <c r="D706" s="12">
        <v>46223</v>
      </c>
      <c r="G706">
        <v>44.310540874450453</v>
      </c>
      <c r="H706">
        <v>22.8</v>
      </c>
      <c r="K706">
        <v>22.8</v>
      </c>
      <c r="N706">
        <v>41.601301182237599</v>
      </c>
      <c r="R706">
        <v>3.4329554922640469E-2</v>
      </c>
      <c r="S706">
        <v>0</v>
      </c>
      <c r="T706">
        <v>4.8870525606239064E-2</v>
      </c>
      <c r="U706">
        <v>0</v>
      </c>
      <c r="V706">
        <v>0</v>
      </c>
      <c r="W706">
        <v>0</v>
      </c>
      <c r="X706">
        <v>3.996552892450914E-3</v>
      </c>
      <c r="Y706">
        <v>0</v>
      </c>
      <c r="Z706">
        <v>1.6244773388242942E-2</v>
      </c>
      <c r="AA706">
        <v>0.39302001619401367</v>
      </c>
      <c r="AB706">
        <v>6.6288282943763294E-2</v>
      </c>
      <c r="AC706">
        <v>0</v>
      </c>
      <c r="AD706">
        <v>3.3179928730750964E-2</v>
      </c>
      <c r="AE706">
        <v>0</v>
      </c>
      <c r="AF706">
        <v>0.41225847198703042</v>
      </c>
      <c r="AG706">
        <v>0</v>
      </c>
      <c r="AH706">
        <v>0</v>
      </c>
      <c r="AI706">
        <v>0</v>
      </c>
      <c r="AK706">
        <v>0</v>
      </c>
    </row>
    <row r="707" spans="1:37" x14ac:dyDescent="0.25">
      <c r="A707" t="s">
        <v>128</v>
      </c>
      <c r="B707" t="s">
        <v>145</v>
      </c>
      <c r="C707" t="s">
        <v>117</v>
      </c>
      <c r="D707" s="12">
        <v>46224</v>
      </c>
      <c r="G707">
        <v>45.515177224413193</v>
      </c>
      <c r="H707">
        <v>43.7</v>
      </c>
      <c r="K707">
        <v>43.7</v>
      </c>
      <c r="N707">
        <v>45.565543129016305</v>
      </c>
      <c r="R707">
        <v>5.5103124628326505E-2</v>
      </c>
      <c r="S707">
        <v>0</v>
      </c>
      <c r="T707">
        <v>5.0578351659494016E-2</v>
      </c>
      <c r="U707">
        <v>0</v>
      </c>
      <c r="V707">
        <v>0</v>
      </c>
      <c r="W707">
        <v>0</v>
      </c>
      <c r="X707">
        <v>1.6370798888965962E-2</v>
      </c>
      <c r="Y707">
        <v>0</v>
      </c>
      <c r="Z707">
        <v>0.12708635678315228</v>
      </c>
      <c r="AA707">
        <v>7.3872181888751581E-2</v>
      </c>
      <c r="AB707">
        <v>9.9489016915205539E-3</v>
      </c>
      <c r="AC707">
        <v>0</v>
      </c>
      <c r="AD707">
        <v>6.0418447982177138E-2</v>
      </c>
      <c r="AE707">
        <v>0</v>
      </c>
      <c r="AF707">
        <v>0.70566534257527658</v>
      </c>
      <c r="AG707">
        <v>0</v>
      </c>
      <c r="AH707">
        <v>0</v>
      </c>
      <c r="AI707">
        <v>0</v>
      </c>
      <c r="AK707">
        <v>0</v>
      </c>
    </row>
    <row r="708" spans="1:37" x14ac:dyDescent="0.25">
      <c r="A708" t="s">
        <v>128</v>
      </c>
      <c r="B708" t="s">
        <v>146</v>
      </c>
      <c r="C708" t="s">
        <v>117</v>
      </c>
      <c r="D708" s="12">
        <v>46224</v>
      </c>
      <c r="G708">
        <v>45.494516376417607</v>
      </c>
      <c r="H708">
        <v>20.9</v>
      </c>
      <c r="K708">
        <v>20.9</v>
      </c>
      <c r="N708">
        <v>45.565543129016305</v>
      </c>
      <c r="R708">
        <v>3.3645891790793754E-2</v>
      </c>
      <c r="S708">
        <v>0</v>
      </c>
      <c r="T708">
        <v>0</v>
      </c>
      <c r="U708">
        <v>0</v>
      </c>
      <c r="V708">
        <v>5.8354158605529657E-3</v>
      </c>
      <c r="W708">
        <v>5.1548362586720624E-3</v>
      </c>
      <c r="X708">
        <v>3.2295995352201699E-2</v>
      </c>
      <c r="Y708">
        <v>0</v>
      </c>
      <c r="Z708">
        <v>0</v>
      </c>
      <c r="AA708">
        <v>0.46765001714176091</v>
      </c>
      <c r="AB708">
        <v>3.9192632816996809E-2</v>
      </c>
      <c r="AC708">
        <v>0</v>
      </c>
      <c r="AD708">
        <v>3.1023454500444751E-2</v>
      </c>
      <c r="AE708">
        <v>0</v>
      </c>
      <c r="AF708">
        <v>0.29841441308889016</v>
      </c>
      <c r="AG708">
        <v>0</v>
      </c>
      <c r="AH708">
        <v>0</v>
      </c>
      <c r="AI708">
        <v>0</v>
      </c>
      <c r="AK708">
        <v>7.09451090624931E-2</v>
      </c>
    </row>
    <row r="709" spans="1:37" x14ac:dyDescent="0.25">
      <c r="A709" t="s">
        <v>128</v>
      </c>
      <c r="B709" t="s">
        <v>145</v>
      </c>
      <c r="C709" t="s">
        <v>117</v>
      </c>
      <c r="D709" s="12">
        <v>46225</v>
      </c>
      <c r="G709">
        <v>44.21118353019645</v>
      </c>
      <c r="H709">
        <v>39.899999999999991</v>
      </c>
      <c r="K709">
        <v>39.899999999999991</v>
      </c>
      <c r="N709">
        <v>44.089664174493322</v>
      </c>
      <c r="R709">
        <v>6.4262800960931191E-2</v>
      </c>
      <c r="S709">
        <v>0</v>
      </c>
      <c r="T709">
        <v>9.7284573143375571E-3</v>
      </c>
      <c r="U709">
        <v>0</v>
      </c>
      <c r="V709">
        <v>0</v>
      </c>
      <c r="W709">
        <v>0</v>
      </c>
      <c r="X709">
        <v>9.981129400684333E-3</v>
      </c>
      <c r="Y709">
        <v>0</v>
      </c>
      <c r="Z709">
        <v>9.3104202144535825E-2</v>
      </c>
      <c r="AA709">
        <v>3.0790446431538391E-2</v>
      </c>
      <c r="AB709">
        <v>2.6212474251561965E-2</v>
      </c>
      <c r="AC709">
        <v>0</v>
      </c>
      <c r="AD709">
        <v>5.0780067343682303E-2</v>
      </c>
      <c r="AE709">
        <v>0</v>
      </c>
      <c r="AF709">
        <v>0.73889272782471549</v>
      </c>
      <c r="AG709">
        <v>0</v>
      </c>
      <c r="AH709">
        <v>0</v>
      </c>
      <c r="AI709">
        <v>0</v>
      </c>
      <c r="AK709">
        <v>0</v>
      </c>
    </row>
    <row r="710" spans="1:37" x14ac:dyDescent="0.25">
      <c r="A710" t="s">
        <v>128</v>
      </c>
      <c r="B710" t="s">
        <v>146</v>
      </c>
      <c r="C710" t="s">
        <v>117</v>
      </c>
      <c r="D710" s="12">
        <v>46225</v>
      </c>
      <c r="G710">
        <v>44.19901495033919</v>
      </c>
      <c r="H710">
        <v>21.849999999999998</v>
      </c>
      <c r="K710">
        <v>21.849999999999998</v>
      </c>
      <c r="N710">
        <v>44.089664174493322</v>
      </c>
      <c r="R710">
        <v>6.9466356379116231E-2</v>
      </c>
      <c r="S710">
        <v>0</v>
      </c>
      <c r="T710">
        <v>0</v>
      </c>
      <c r="U710">
        <v>0</v>
      </c>
      <c r="V710">
        <v>0</v>
      </c>
      <c r="W710">
        <v>1.5487236046730342E-2</v>
      </c>
      <c r="X710">
        <v>4.8051645083840716E-3</v>
      </c>
      <c r="Y710">
        <v>0</v>
      </c>
      <c r="Z710">
        <v>1.91850582958147E-2</v>
      </c>
      <c r="AA710">
        <v>0.47855798505749292</v>
      </c>
      <c r="AB710">
        <v>5.1077329055865886E-2</v>
      </c>
      <c r="AC710">
        <v>0</v>
      </c>
      <c r="AD710">
        <v>2.5668246422414911E-2</v>
      </c>
      <c r="AE710">
        <v>0</v>
      </c>
      <c r="AF710">
        <v>0.36352683724376861</v>
      </c>
      <c r="AG710">
        <v>0</v>
      </c>
      <c r="AH710">
        <v>0</v>
      </c>
      <c r="AI710">
        <v>0</v>
      </c>
      <c r="AK710">
        <v>8.1169602220457659E-2</v>
      </c>
    </row>
    <row r="711" spans="1:37" x14ac:dyDescent="0.25">
      <c r="A711" t="s">
        <v>128</v>
      </c>
      <c r="B711" t="s">
        <v>145</v>
      </c>
      <c r="C711" t="s">
        <v>117</v>
      </c>
      <c r="D711" s="12">
        <v>46226</v>
      </c>
      <c r="G711">
        <v>44.45775971346233</v>
      </c>
      <c r="H711">
        <v>45.6</v>
      </c>
      <c r="K711">
        <v>45.6</v>
      </c>
      <c r="N711">
        <v>42.040378574030221</v>
      </c>
      <c r="R711">
        <v>5.7510226016469664E-2</v>
      </c>
      <c r="S711">
        <v>0</v>
      </c>
      <c r="T711">
        <v>0.14024847526887615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0.12481749340957024</v>
      </c>
      <c r="AA711">
        <v>0.12653494523698239</v>
      </c>
      <c r="AB711">
        <v>4.1366173134670815E-2</v>
      </c>
      <c r="AC711">
        <v>0</v>
      </c>
      <c r="AD711">
        <v>7.0518838183904198E-2</v>
      </c>
      <c r="AE711">
        <v>0</v>
      </c>
      <c r="AF711">
        <v>0.69010790221475082</v>
      </c>
      <c r="AG711">
        <v>0</v>
      </c>
      <c r="AH711">
        <v>0</v>
      </c>
      <c r="AI711">
        <v>0</v>
      </c>
      <c r="AK711">
        <v>0</v>
      </c>
    </row>
    <row r="712" spans="1:37" x14ac:dyDescent="0.25">
      <c r="A712" t="s">
        <v>128</v>
      </c>
      <c r="B712" t="s">
        <v>146</v>
      </c>
      <c r="C712" t="s">
        <v>117</v>
      </c>
      <c r="D712" s="12">
        <v>46226</v>
      </c>
      <c r="G712">
        <v>44.451455281615083</v>
      </c>
      <c r="H712">
        <v>19.950000000000003</v>
      </c>
      <c r="K712">
        <v>19.950000000000003</v>
      </c>
      <c r="N712">
        <v>42.040378574030221</v>
      </c>
      <c r="R712">
        <v>5.3034620027559591E-2</v>
      </c>
      <c r="S712">
        <v>0</v>
      </c>
      <c r="T712">
        <v>0</v>
      </c>
      <c r="U712">
        <v>0</v>
      </c>
      <c r="V712">
        <v>0</v>
      </c>
      <c r="W712">
        <v>1.5399283853187593E-2</v>
      </c>
      <c r="X712">
        <v>4.7778759232827289E-3</v>
      </c>
      <c r="Y712">
        <v>0</v>
      </c>
      <c r="Z712">
        <v>6.631464250092256E-3</v>
      </c>
      <c r="AA712">
        <v>0.45827546278103803</v>
      </c>
      <c r="AB712">
        <v>0.10432967348922585</v>
      </c>
      <c r="AC712">
        <v>0</v>
      </c>
      <c r="AD712">
        <v>7.7234922509374151E-3</v>
      </c>
      <c r="AE712">
        <v>0</v>
      </c>
      <c r="AF712">
        <v>0.34896273237291742</v>
      </c>
      <c r="AG712">
        <v>0</v>
      </c>
      <c r="AH712">
        <v>0</v>
      </c>
      <c r="AI712">
        <v>0</v>
      </c>
      <c r="AK712">
        <v>8.0708639105881289E-2</v>
      </c>
    </row>
    <row r="713" spans="1:37" x14ac:dyDescent="0.25">
      <c r="A713" t="s">
        <v>128</v>
      </c>
      <c r="B713" t="s">
        <v>145</v>
      </c>
      <c r="C713" t="s">
        <v>117</v>
      </c>
      <c r="D713" s="12">
        <v>46227</v>
      </c>
      <c r="G713">
        <v>41.296293897593188</v>
      </c>
      <c r="H713">
        <v>41.800000000000004</v>
      </c>
      <c r="K713">
        <v>41.800000000000004</v>
      </c>
      <c r="N713">
        <v>39.758866782006919</v>
      </c>
      <c r="R713">
        <v>3.7980248143818035E-2</v>
      </c>
      <c r="S713">
        <v>0</v>
      </c>
      <c r="T713">
        <v>0.12601278314564576</v>
      </c>
      <c r="U713">
        <v>0</v>
      </c>
      <c r="V713">
        <v>2.9426780530289408E-3</v>
      </c>
      <c r="W713">
        <v>0</v>
      </c>
      <c r="X713">
        <v>1.7328524539966861E-2</v>
      </c>
      <c r="Y713">
        <v>0</v>
      </c>
      <c r="Z713">
        <v>9.4700434570566386E-2</v>
      </c>
      <c r="AA713">
        <v>0.16662393460974048</v>
      </c>
      <c r="AB713">
        <v>6.2163117488753465E-2</v>
      </c>
      <c r="AC713">
        <v>0</v>
      </c>
      <c r="AD713">
        <v>3.3317512200505592E-2</v>
      </c>
      <c r="AE713">
        <v>0</v>
      </c>
      <c r="AF713">
        <v>0.73789543570100069</v>
      </c>
      <c r="AG713">
        <v>0</v>
      </c>
      <c r="AH713">
        <v>0</v>
      </c>
      <c r="AI713">
        <v>0</v>
      </c>
      <c r="AK713">
        <v>0</v>
      </c>
    </row>
    <row r="714" spans="1:37" x14ac:dyDescent="0.25">
      <c r="A714" t="s">
        <v>128</v>
      </c>
      <c r="B714" t="s">
        <v>146</v>
      </c>
      <c r="C714" t="s">
        <v>117</v>
      </c>
      <c r="D714" s="12">
        <v>46227</v>
      </c>
      <c r="G714">
        <v>41.288032771099402</v>
      </c>
      <c r="H714">
        <v>19</v>
      </c>
      <c r="K714">
        <v>19</v>
      </c>
      <c r="N714">
        <v>39.758866782006919</v>
      </c>
      <c r="R714">
        <v>3.6926622145888918E-2</v>
      </c>
      <c r="S714">
        <v>0</v>
      </c>
      <c r="T714">
        <v>2.105220554023482E-2</v>
      </c>
      <c r="U714">
        <v>0</v>
      </c>
      <c r="V714">
        <v>2.906527702569597E-3</v>
      </c>
      <c r="W714">
        <v>1.6579152156845141E-2</v>
      </c>
      <c r="X714">
        <v>1.8759473225144312E-2</v>
      </c>
      <c r="Y714">
        <v>0</v>
      </c>
      <c r="Z714">
        <v>0</v>
      </c>
      <c r="AA714">
        <v>0.50891906124164921</v>
      </c>
      <c r="AB714">
        <v>7.3617375236533389E-2</v>
      </c>
      <c r="AC714">
        <v>0</v>
      </c>
      <c r="AD714">
        <v>2.2011790545950111E-2</v>
      </c>
      <c r="AE714">
        <v>0</v>
      </c>
      <c r="AF714">
        <v>0.30855936805202872</v>
      </c>
      <c r="AG714">
        <v>0</v>
      </c>
      <c r="AH714">
        <v>0</v>
      </c>
      <c r="AI714">
        <v>0</v>
      </c>
      <c r="AK714">
        <v>8.6892404923838734E-2</v>
      </c>
    </row>
    <row r="715" spans="1:37" x14ac:dyDescent="0.25">
      <c r="A715" t="s">
        <v>128</v>
      </c>
      <c r="B715" t="s">
        <v>145</v>
      </c>
      <c r="C715" t="s">
        <v>117</v>
      </c>
      <c r="D715" s="12">
        <v>46228</v>
      </c>
      <c r="G715">
        <v>40.032120530081052</v>
      </c>
      <c r="H715">
        <v>36.1</v>
      </c>
      <c r="K715">
        <v>36.1</v>
      </c>
      <c r="N715">
        <v>43.516219723183383</v>
      </c>
      <c r="R715">
        <v>7.325612724477952E-2</v>
      </c>
      <c r="S715">
        <v>0</v>
      </c>
      <c r="T715">
        <v>3.5329671853501304E-2</v>
      </c>
      <c r="U715">
        <v>0</v>
      </c>
      <c r="V715">
        <v>0</v>
      </c>
      <c r="W715">
        <v>3.3686395478934972E-3</v>
      </c>
      <c r="X715">
        <v>2.8842968240129642E-2</v>
      </c>
      <c r="Y715">
        <v>0</v>
      </c>
      <c r="Z715">
        <v>6.4810502494730915E-2</v>
      </c>
      <c r="AA715">
        <v>4.2810549337549887E-2</v>
      </c>
      <c r="AB715">
        <v>1.5066503981685953E-2</v>
      </c>
      <c r="AC715">
        <v>0</v>
      </c>
      <c r="AD715">
        <v>0</v>
      </c>
      <c r="AE715">
        <v>0</v>
      </c>
      <c r="AF715">
        <v>0.71314354283528447</v>
      </c>
      <c r="AG715">
        <v>0</v>
      </c>
      <c r="AH715">
        <v>0</v>
      </c>
      <c r="AI715">
        <v>0</v>
      </c>
      <c r="AK715">
        <v>5.9649176608784084E-2</v>
      </c>
    </row>
    <row r="716" spans="1:37" x14ac:dyDescent="0.25">
      <c r="A716" t="s">
        <v>128</v>
      </c>
      <c r="B716" t="s">
        <v>146</v>
      </c>
      <c r="C716" t="s">
        <v>117</v>
      </c>
      <c r="D716" s="12">
        <v>46228</v>
      </c>
      <c r="G716">
        <v>40.023176804576735</v>
      </c>
      <c r="H716">
        <v>21.85</v>
      </c>
      <c r="K716">
        <v>21.85</v>
      </c>
      <c r="N716">
        <v>43.516219723183383</v>
      </c>
      <c r="R716">
        <v>8.5091467376840826E-2</v>
      </c>
      <c r="S716">
        <v>0</v>
      </c>
      <c r="T716">
        <v>6.6331421847746928E-3</v>
      </c>
      <c r="U716">
        <v>0</v>
      </c>
      <c r="V716">
        <v>0</v>
      </c>
      <c r="W716">
        <v>3.4096612864642651E-3</v>
      </c>
      <c r="X716">
        <v>1.731656887947533E-2</v>
      </c>
      <c r="Y716">
        <v>0</v>
      </c>
      <c r="Z716">
        <v>1.6607068440314079E-2</v>
      </c>
      <c r="AA716">
        <v>0.39776979141060287</v>
      </c>
      <c r="AB716">
        <v>1.513253247353764E-2</v>
      </c>
      <c r="AC716">
        <v>0</v>
      </c>
      <c r="AD716">
        <v>0</v>
      </c>
      <c r="AE716">
        <v>0</v>
      </c>
      <c r="AF716">
        <v>0.42194592759373256</v>
      </c>
      <c r="AG716">
        <v>0</v>
      </c>
      <c r="AH716">
        <v>0</v>
      </c>
      <c r="AI716">
        <v>0</v>
      </c>
      <c r="AK716">
        <v>5.9694721208045046E-2</v>
      </c>
    </row>
    <row r="717" spans="1:37" x14ac:dyDescent="0.25">
      <c r="A717" t="s">
        <v>128</v>
      </c>
      <c r="B717" t="s">
        <v>145</v>
      </c>
      <c r="C717" t="s">
        <v>117</v>
      </c>
      <c r="D717" s="12">
        <v>46229</v>
      </c>
      <c r="G717">
        <v>41.939193745979424</v>
      </c>
      <c r="H717">
        <v>34.199999999999996</v>
      </c>
      <c r="K717">
        <v>34.199999999999996</v>
      </c>
      <c r="N717">
        <v>44.872224625144163</v>
      </c>
      <c r="R717">
        <v>6.7366124137129488E-2</v>
      </c>
      <c r="S717">
        <v>0</v>
      </c>
      <c r="T717">
        <v>8.7268249927240551E-3</v>
      </c>
      <c r="U717">
        <v>0</v>
      </c>
      <c r="V717">
        <v>0</v>
      </c>
      <c r="W717">
        <v>0</v>
      </c>
      <c r="X717">
        <v>1.301095915753692E-2</v>
      </c>
      <c r="Y717">
        <v>0</v>
      </c>
      <c r="Z717">
        <v>2.0530343522613938E-2</v>
      </c>
      <c r="AA717">
        <v>0.14059579939907454</v>
      </c>
      <c r="AB717">
        <v>1.0441764629988201E-2</v>
      </c>
      <c r="AC717">
        <v>0</v>
      </c>
      <c r="AD717">
        <v>0</v>
      </c>
      <c r="AE717">
        <v>0</v>
      </c>
      <c r="AF717">
        <v>0.77319819261800193</v>
      </c>
      <c r="AG717">
        <v>0</v>
      </c>
      <c r="AH717">
        <v>0</v>
      </c>
      <c r="AI717">
        <v>0</v>
      </c>
      <c r="AK717">
        <v>0</v>
      </c>
    </row>
    <row r="718" spans="1:37" x14ac:dyDescent="0.25">
      <c r="A718" t="s">
        <v>128</v>
      </c>
      <c r="B718" t="s">
        <v>146</v>
      </c>
      <c r="C718" t="s">
        <v>117</v>
      </c>
      <c r="D718" s="12">
        <v>46229</v>
      </c>
      <c r="G718">
        <v>41.938879203540424</v>
      </c>
      <c r="H718">
        <v>23.749999999999996</v>
      </c>
      <c r="K718">
        <v>23.749999999999996</v>
      </c>
      <c r="N718">
        <v>44.872224625144163</v>
      </c>
      <c r="R718">
        <v>5.1012327658786917E-2</v>
      </c>
      <c r="S718">
        <v>0</v>
      </c>
      <c r="T718">
        <v>8.539546404934836E-3</v>
      </c>
      <c r="U718">
        <v>0</v>
      </c>
      <c r="V718">
        <v>6.3301506256925079E-3</v>
      </c>
      <c r="W718">
        <v>0</v>
      </c>
      <c r="X718">
        <v>2.3102507248503743E-2</v>
      </c>
      <c r="Y718">
        <v>0</v>
      </c>
      <c r="Z718">
        <v>1.9227577584521285E-2</v>
      </c>
      <c r="AA718">
        <v>0.5030498486619881</v>
      </c>
      <c r="AB718">
        <v>1.0501642331858204E-2</v>
      </c>
      <c r="AC718">
        <v>0</v>
      </c>
      <c r="AD718">
        <v>0</v>
      </c>
      <c r="AE718">
        <v>0</v>
      </c>
      <c r="AF718">
        <v>0.4864485090061535</v>
      </c>
      <c r="AG718">
        <v>0</v>
      </c>
      <c r="AH718">
        <v>0</v>
      </c>
      <c r="AI718">
        <v>0</v>
      </c>
      <c r="AK718">
        <v>0</v>
      </c>
    </row>
    <row r="719" spans="1:37" x14ac:dyDescent="0.25">
      <c r="A719" t="s">
        <v>128</v>
      </c>
      <c r="B719" t="s">
        <v>145</v>
      </c>
      <c r="C719" t="s">
        <v>117</v>
      </c>
      <c r="D719" s="12">
        <v>46230</v>
      </c>
      <c r="G719">
        <v>41.995461820747067</v>
      </c>
      <c r="H719">
        <v>41.8</v>
      </c>
      <c r="K719">
        <v>41.8</v>
      </c>
      <c r="N719">
        <v>41.920631487889274</v>
      </c>
      <c r="R719">
        <v>4.1277380587390278E-2</v>
      </c>
      <c r="S719">
        <v>0</v>
      </c>
      <c r="T719">
        <v>8.5135181973998067E-2</v>
      </c>
      <c r="U719">
        <v>0</v>
      </c>
      <c r="V719">
        <v>0</v>
      </c>
      <c r="W719">
        <v>0</v>
      </c>
      <c r="X719">
        <v>1.3370427631385257E-2</v>
      </c>
      <c r="Y719">
        <v>0</v>
      </c>
      <c r="Z719">
        <v>0.10101591192264173</v>
      </c>
      <c r="AA719">
        <v>3.4441454890895111E-2</v>
      </c>
      <c r="AB719">
        <v>8.3205988289668138E-3</v>
      </c>
      <c r="AC719">
        <v>0</v>
      </c>
      <c r="AD719">
        <v>4.8109076515766042E-2</v>
      </c>
      <c r="AE719">
        <v>0</v>
      </c>
      <c r="AF719">
        <v>0.74771504616935336</v>
      </c>
      <c r="AG719">
        <v>0</v>
      </c>
      <c r="AH719">
        <v>0</v>
      </c>
      <c r="AI719">
        <v>0</v>
      </c>
      <c r="AK719">
        <v>0</v>
      </c>
    </row>
    <row r="720" spans="1:37" x14ac:dyDescent="0.25">
      <c r="A720" t="s">
        <v>128</v>
      </c>
      <c r="B720" t="s">
        <v>146</v>
      </c>
      <c r="C720" t="s">
        <v>117</v>
      </c>
      <c r="D720" s="12">
        <v>46230</v>
      </c>
      <c r="G720">
        <v>41.991638269158877</v>
      </c>
      <c r="H720">
        <v>22.8</v>
      </c>
      <c r="K720">
        <v>22.8</v>
      </c>
      <c r="N720">
        <v>41.920631487889274</v>
      </c>
      <c r="R720">
        <v>1.3547459689312789E-2</v>
      </c>
      <c r="S720">
        <v>0</v>
      </c>
      <c r="T720">
        <v>9.5794464986104725E-3</v>
      </c>
      <c r="U720">
        <v>0</v>
      </c>
      <c r="V720">
        <v>5.2715679715429342E-3</v>
      </c>
      <c r="W720">
        <v>0</v>
      </c>
      <c r="X720">
        <v>3.6172589192105024E-2</v>
      </c>
      <c r="Y720">
        <v>0</v>
      </c>
      <c r="Z720">
        <v>3.108768813795925E-2</v>
      </c>
      <c r="AA720">
        <v>0.43025648230886099</v>
      </c>
      <c r="AB720">
        <v>8.376098890008515E-3</v>
      </c>
      <c r="AC720">
        <v>0</v>
      </c>
      <c r="AD720">
        <v>4.8306492266323157E-2</v>
      </c>
      <c r="AE720">
        <v>0</v>
      </c>
      <c r="AF720">
        <v>0.4125474571049535</v>
      </c>
      <c r="AG720">
        <v>0</v>
      </c>
      <c r="AH720">
        <v>0</v>
      </c>
      <c r="AI720">
        <v>0</v>
      </c>
      <c r="AK720">
        <v>0</v>
      </c>
    </row>
    <row r="721" spans="1:37" x14ac:dyDescent="0.25">
      <c r="A721" t="s">
        <v>128</v>
      </c>
      <c r="B721" t="s">
        <v>145</v>
      </c>
      <c r="C721" t="s">
        <v>117</v>
      </c>
      <c r="D721" s="12">
        <v>46231</v>
      </c>
      <c r="G721">
        <v>45.361994830502269</v>
      </c>
      <c r="H721">
        <v>38</v>
      </c>
      <c r="K721">
        <v>38</v>
      </c>
      <c r="N721">
        <v>44.575692041522487</v>
      </c>
      <c r="R721">
        <v>7.8123304298895968E-2</v>
      </c>
      <c r="S721">
        <v>0</v>
      </c>
      <c r="T721">
        <v>5.3682229425363166E-2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6.4657063875224033E-2</v>
      </c>
      <c r="AA721">
        <v>8.4530344487197082E-2</v>
      </c>
      <c r="AB721">
        <v>4.6668761671192646E-2</v>
      </c>
      <c r="AC721">
        <v>0</v>
      </c>
      <c r="AD721">
        <v>4.8788497889544084E-2</v>
      </c>
      <c r="AE721">
        <v>0</v>
      </c>
      <c r="AF721">
        <v>0.67057787281316505</v>
      </c>
      <c r="AG721">
        <v>0</v>
      </c>
      <c r="AH721">
        <v>0</v>
      </c>
      <c r="AI721">
        <v>0</v>
      </c>
      <c r="AK721">
        <v>0</v>
      </c>
    </row>
    <row r="722" spans="1:37" x14ac:dyDescent="0.25">
      <c r="A722" t="s">
        <v>128</v>
      </c>
      <c r="B722" t="s">
        <v>146</v>
      </c>
      <c r="C722" t="s">
        <v>117</v>
      </c>
      <c r="D722" s="12">
        <v>46231</v>
      </c>
      <c r="G722">
        <v>45.37322940100907</v>
      </c>
      <c r="H722">
        <v>20.9</v>
      </c>
      <c r="K722">
        <v>20.9</v>
      </c>
      <c r="N722">
        <v>44.575692041522487</v>
      </c>
      <c r="R722">
        <v>5.3656877883548997E-2</v>
      </c>
      <c r="S722">
        <v>0</v>
      </c>
      <c r="T722">
        <v>9.7232768399431121E-4</v>
      </c>
      <c r="U722">
        <v>0</v>
      </c>
      <c r="V722">
        <v>4.8786868004459484E-3</v>
      </c>
      <c r="W722">
        <v>0</v>
      </c>
      <c r="X722">
        <v>1.9767253231788403E-2</v>
      </c>
      <c r="Y722">
        <v>0</v>
      </c>
      <c r="Z722">
        <v>0</v>
      </c>
      <c r="AA722">
        <v>0.41796669226129146</v>
      </c>
      <c r="AB722">
        <v>9.5880084731815474E-2</v>
      </c>
      <c r="AC722">
        <v>0</v>
      </c>
      <c r="AD722">
        <v>0</v>
      </c>
      <c r="AE722">
        <v>0</v>
      </c>
      <c r="AF722">
        <v>0.39313085485730048</v>
      </c>
      <c r="AG722">
        <v>0</v>
      </c>
      <c r="AH722">
        <v>0</v>
      </c>
      <c r="AI722">
        <v>0</v>
      </c>
      <c r="AK722">
        <v>0</v>
      </c>
    </row>
    <row r="723" spans="1:37" x14ac:dyDescent="0.25">
      <c r="A723" t="s">
        <v>128</v>
      </c>
      <c r="B723" t="s">
        <v>145</v>
      </c>
      <c r="C723" t="s">
        <v>117</v>
      </c>
      <c r="D723" s="12">
        <v>46232</v>
      </c>
      <c r="G723">
        <v>43.719560553941719</v>
      </c>
      <c r="H723">
        <v>40.849999999999994</v>
      </c>
      <c r="K723">
        <v>40.849999999999994</v>
      </c>
      <c r="N723">
        <v>45.703935986159166</v>
      </c>
      <c r="R723">
        <v>7.9469607491778449E-2</v>
      </c>
      <c r="S723">
        <v>0</v>
      </c>
      <c r="T723">
        <v>9.7686994280134068E-2</v>
      </c>
      <c r="U723">
        <v>0</v>
      </c>
      <c r="V723">
        <v>0</v>
      </c>
      <c r="W723">
        <v>0</v>
      </c>
      <c r="X723">
        <v>8.5596056557404338E-3</v>
      </c>
      <c r="Y723">
        <v>0</v>
      </c>
      <c r="Z723">
        <v>7.6204135349275448E-2</v>
      </c>
      <c r="AA723">
        <v>5.0397473048859678E-2</v>
      </c>
      <c r="AB723">
        <v>4.2640480802666164E-2</v>
      </c>
      <c r="AC723">
        <v>0</v>
      </c>
      <c r="AD723">
        <v>0</v>
      </c>
      <c r="AE723">
        <v>0</v>
      </c>
      <c r="AF723">
        <v>0.7519136426366908</v>
      </c>
      <c r="AG723">
        <v>0</v>
      </c>
      <c r="AH723">
        <v>0</v>
      </c>
      <c r="AI723">
        <v>0</v>
      </c>
      <c r="AK723">
        <v>0</v>
      </c>
    </row>
    <row r="724" spans="1:37" x14ac:dyDescent="0.25">
      <c r="A724" t="s">
        <v>128</v>
      </c>
      <c r="B724" t="s">
        <v>146</v>
      </c>
      <c r="C724" t="s">
        <v>117</v>
      </c>
      <c r="D724" s="12">
        <v>46232</v>
      </c>
      <c r="G724">
        <v>43.740194648757431</v>
      </c>
      <c r="H724">
        <v>21.85</v>
      </c>
      <c r="K724">
        <v>21.85</v>
      </c>
      <c r="N724">
        <v>45.703935986159166</v>
      </c>
      <c r="R724">
        <v>7.6173533657669532E-2</v>
      </c>
      <c r="S724">
        <v>0</v>
      </c>
      <c r="T724">
        <v>4.4334712702016436E-2</v>
      </c>
      <c r="U724">
        <v>0</v>
      </c>
      <c r="V724">
        <v>0</v>
      </c>
      <c r="W724">
        <v>1.5649692075348647E-2</v>
      </c>
      <c r="X724">
        <v>1.1630798893750394E-2</v>
      </c>
      <c r="Y724">
        <v>0</v>
      </c>
      <c r="Z724">
        <v>6.0769811357635449E-3</v>
      </c>
      <c r="AA724">
        <v>0.5195932089564379</v>
      </c>
      <c r="AB724">
        <v>4.2908754167030674E-2</v>
      </c>
      <c r="AC724">
        <v>0</v>
      </c>
      <c r="AD724">
        <v>0</v>
      </c>
      <c r="AE724">
        <v>0</v>
      </c>
      <c r="AF724">
        <v>0.35547699214034828</v>
      </c>
      <c r="AG724">
        <v>0</v>
      </c>
      <c r="AH724">
        <v>0</v>
      </c>
      <c r="AI724">
        <v>0</v>
      </c>
      <c r="AK724">
        <v>8.2021044736183171E-2</v>
      </c>
    </row>
    <row r="725" spans="1:37" x14ac:dyDescent="0.25">
      <c r="A725" t="s">
        <v>128</v>
      </c>
      <c r="B725" t="s">
        <v>145</v>
      </c>
      <c r="C725" t="s">
        <v>117</v>
      </c>
      <c r="D725" s="12">
        <v>46233</v>
      </c>
      <c r="G725">
        <v>43.249410850616073</v>
      </c>
      <c r="H725">
        <v>41.800000000000004</v>
      </c>
      <c r="K725">
        <v>41.800000000000004</v>
      </c>
      <c r="N725">
        <v>46.072350778546706</v>
      </c>
      <c r="R725">
        <v>8.2158705328214815E-2</v>
      </c>
      <c r="S725">
        <v>0</v>
      </c>
      <c r="T725">
        <v>0.10266404393143798</v>
      </c>
      <c r="U725">
        <v>0</v>
      </c>
      <c r="V725">
        <v>0</v>
      </c>
      <c r="W725">
        <v>0</v>
      </c>
      <c r="X725">
        <v>2.8609662878439159E-2</v>
      </c>
      <c r="Y725">
        <v>0</v>
      </c>
      <c r="Z725">
        <v>6.6384901643595617E-2</v>
      </c>
      <c r="AA725">
        <v>0.11220525555031235</v>
      </c>
      <c r="AB725">
        <v>4.5497191734884139E-2</v>
      </c>
      <c r="AC725">
        <v>0</v>
      </c>
      <c r="AD725">
        <v>0</v>
      </c>
      <c r="AE725">
        <v>0</v>
      </c>
      <c r="AF725">
        <v>0.76882854542655688</v>
      </c>
      <c r="AG725">
        <v>0</v>
      </c>
      <c r="AH725">
        <v>0</v>
      </c>
      <c r="AI725">
        <v>0</v>
      </c>
      <c r="AK725">
        <v>0</v>
      </c>
    </row>
    <row r="726" spans="1:37" x14ac:dyDescent="0.25">
      <c r="A726" t="s">
        <v>128</v>
      </c>
      <c r="B726" t="s">
        <v>146</v>
      </c>
      <c r="C726" t="s">
        <v>117</v>
      </c>
      <c r="D726" s="12">
        <v>46233</v>
      </c>
      <c r="G726">
        <v>43.264228384591071</v>
      </c>
      <c r="H726">
        <v>19</v>
      </c>
      <c r="K726">
        <v>19</v>
      </c>
      <c r="N726">
        <v>46.072350778546706</v>
      </c>
      <c r="R726">
        <v>0.10073906428769762</v>
      </c>
      <c r="S726">
        <v>0</v>
      </c>
      <c r="T726">
        <v>0</v>
      </c>
      <c r="U726">
        <v>0</v>
      </c>
      <c r="V726">
        <v>0</v>
      </c>
      <c r="W726">
        <v>1.582186030186232E-2</v>
      </c>
      <c r="X726">
        <v>1.0041020239276706E-2</v>
      </c>
      <c r="Y726">
        <v>0</v>
      </c>
      <c r="Z726">
        <v>4.7387254712043187E-3</v>
      </c>
      <c r="AA726">
        <v>0.18036835942006793</v>
      </c>
      <c r="AB726">
        <v>4.587375200225547E-2</v>
      </c>
      <c r="AC726">
        <v>0</v>
      </c>
      <c r="AD726">
        <v>0</v>
      </c>
      <c r="AE726">
        <v>0</v>
      </c>
      <c r="AF726">
        <v>0.34145874769193818</v>
      </c>
      <c r="AG726">
        <v>0</v>
      </c>
      <c r="AH726">
        <v>0</v>
      </c>
      <c r="AI726">
        <v>0</v>
      </c>
      <c r="AK726">
        <v>8.2923389506996348E-2</v>
      </c>
    </row>
    <row r="727" spans="1:37" x14ac:dyDescent="0.25">
      <c r="A727" t="s">
        <v>128</v>
      </c>
      <c r="B727" t="s">
        <v>145</v>
      </c>
      <c r="C727" t="s">
        <v>117</v>
      </c>
      <c r="D727" s="12">
        <v>46234</v>
      </c>
      <c r="G727">
        <v>41.07242986376292</v>
      </c>
      <c r="H727">
        <v>41.800000000000004</v>
      </c>
      <c r="K727">
        <v>41.800000000000004</v>
      </c>
      <c r="N727">
        <v>43.728168252595147</v>
      </c>
      <c r="R727">
        <v>7.5146611705124378E-2</v>
      </c>
      <c r="S727">
        <v>0</v>
      </c>
      <c r="T727">
        <v>0.12965832903055446</v>
      </c>
      <c r="U727">
        <v>0</v>
      </c>
      <c r="V727">
        <v>0</v>
      </c>
      <c r="W727">
        <v>0</v>
      </c>
      <c r="X727">
        <v>3.2700029646622671E-2</v>
      </c>
      <c r="Y727">
        <v>0</v>
      </c>
      <c r="Z727">
        <v>5.6809669016557734E-2</v>
      </c>
      <c r="AA727">
        <v>9.7691781971502412E-2</v>
      </c>
      <c r="AB727">
        <v>2.6398807397145903E-2</v>
      </c>
      <c r="AC727">
        <v>0</v>
      </c>
      <c r="AD727">
        <v>1.6787953892931862E-2</v>
      </c>
      <c r="AE727">
        <v>0</v>
      </c>
      <c r="AF727">
        <v>0.78175833769394132</v>
      </c>
      <c r="AG727">
        <v>0</v>
      </c>
      <c r="AH727">
        <v>0</v>
      </c>
      <c r="AI727">
        <v>0</v>
      </c>
      <c r="AK727">
        <v>0</v>
      </c>
    </row>
    <row r="728" spans="1:37" x14ac:dyDescent="0.25">
      <c r="A728" t="s">
        <v>128</v>
      </c>
      <c r="B728" t="s">
        <v>146</v>
      </c>
      <c r="C728" t="s">
        <v>117</v>
      </c>
      <c r="D728" s="12">
        <v>46234</v>
      </c>
      <c r="G728">
        <v>41.07722344334563</v>
      </c>
      <c r="H728">
        <v>20.9</v>
      </c>
      <c r="K728">
        <v>20.9</v>
      </c>
      <c r="N728">
        <v>43.728168252595147</v>
      </c>
      <c r="R728">
        <v>6.9953466283977223E-2</v>
      </c>
      <c r="S728">
        <v>0</v>
      </c>
      <c r="T728">
        <v>9.5451834365132041E-4</v>
      </c>
      <c r="U728">
        <v>0</v>
      </c>
      <c r="V728">
        <v>6.4629349351542085E-3</v>
      </c>
      <c r="W728">
        <v>0</v>
      </c>
      <c r="X728">
        <v>3.1698284483849593E-2</v>
      </c>
      <c r="Y728">
        <v>0</v>
      </c>
      <c r="Z728">
        <v>3.8216995985591948E-3</v>
      </c>
      <c r="AA728">
        <v>0.50734660648631469</v>
      </c>
      <c r="AB728">
        <v>2.679305322506368E-2</v>
      </c>
      <c r="AC728">
        <v>0</v>
      </c>
      <c r="AD728">
        <v>1.6785994792820644E-2</v>
      </c>
      <c r="AE728">
        <v>0</v>
      </c>
      <c r="AF728">
        <v>0.449074345495801</v>
      </c>
      <c r="AG728">
        <v>0</v>
      </c>
      <c r="AH728">
        <v>0</v>
      </c>
      <c r="AI728">
        <v>0</v>
      </c>
      <c r="AK728">
        <v>0</v>
      </c>
    </row>
    <row r="729" spans="1:37" x14ac:dyDescent="0.25">
      <c r="A729" t="s">
        <v>128</v>
      </c>
      <c r="B729" t="s">
        <v>145</v>
      </c>
      <c r="C729" t="s">
        <v>117</v>
      </c>
      <c r="D729" s="12">
        <v>46235</v>
      </c>
      <c r="G729">
        <v>41.946222842490535</v>
      </c>
      <c r="H729">
        <v>35.15</v>
      </c>
      <c r="K729">
        <v>35.15</v>
      </c>
      <c r="N729">
        <v>42.998486159169545</v>
      </c>
      <c r="R729">
        <v>4.6684296227684385E-2</v>
      </c>
      <c r="S729">
        <v>0</v>
      </c>
      <c r="T729">
        <v>5.6365544301943071E-2</v>
      </c>
      <c r="U729">
        <v>0</v>
      </c>
      <c r="V729">
        <v>0</v>
      </c>
      <c r="W729">
        <v>0</v>
      </c>
      <c r="X729">
        <v>1.3442252955317386E-2</v>
      </c>
      <c r="Y729">
        <v>0</v>
      </c>
      <c r="Z729">
        <v>6.4920704023769857E-2</v>
      </c>
      <c r="AA729">
        <v>0.10901149830872463</v>
      </c>
      <c r="AB729">
        <v>2.4873460711436438E-2</v>
      </c>
      <c r="AC729">
        <v>0</v>
      </c>
      <c r="AD729">
        <v>1.016707963996439E-2</v>
      </c>
      <c r="AE729">
        <v>0</v>
      </c>
      <c r="AF729">
        <v>0.69308213478393099</v>
      </c>
      <c r="AG729">
        <v>0</v>
      </c>
      <c r="AH729">
        <v>0</v>
      </c>
      <c r="AI729">
        <v>0</v>
      </c>
      <c r="AK729">
        <v>0</v>
      </c>
    </row>
    <row r="730" spans="1:37" x14ac:dyDescent="0.25">
      <c r="A730" t="s">
        <v>128</v>
      </c>
      <c r="B730" t="s">
        <v>146</v>
      </c>
      <c r="C730" t="s">
        <v>117</v>
      </c>
      <c r="D730" s="12">
        <v>46235</v>
      </c>
      <c r="G730">
        <v>41.899846569613139</v>
      </c>
      <c r="H730">
        <v>21.849999999999998</v>
      </c>
      <c r="K730">
        <v>21.849999999999998</v>
      </c>
      <c r="N730">
        <v>42.998486159169545</v>
      </c>
      <c r="R730">
        <v>5.5507164789636958E-2</v>
      </c>
      <c r="S730">
        <v>0</v>
      </c>
      <c r="T730">
        <v>0</v>
      </c>
      <c r="U730">
        <v>0</v>
      </c>
      <c r="V730">
        <v>0</v>
      </c>
      <c r="W730">
        <v>1.6337066448002167E-2</v>
      </c>
      <c r="X730">
        <v>5.0688380825464332E-3</v>
      </c>
      <c r="Y730">
        <v>0</v>
      </c>
      <c r="Z730">
        <v>0</v>
      </c>
      <c r="AA730">
        <v>0.40402271596873163</v>
      </c>
      <c r="AB730">
        <v>2.4177058659873192E-2</v>
      </c>
      <c r="AC730">
        <v>0</v>
      </c>
      <c r="AD730">
        <v>1.0178332933194627E-2</v>
      </c>
      <c r="AE730">
        <v>0</v>
      </c>
      <c r="AF730">
        <v>0.37526460593695388</v>
      </c>
      <c r="AG730">
        <v>0</v>
      </c>
      <c r="AH730">
        <v>0</v>
      </c>
      <c r="AI730">
        <v>0</v>
      </c>
      <c r="AK730">
        <v>8.5623618122194406E-2</v>
      </c>
    </row>
    <row r="731" spans="1:37" x14ac:dyDescent="0.25">
      <c r="A731" t="s">
        <v>128</v>
      </c>
      <c r="B731" t="s">
        <v>145</v>
      </c>
      <c r="C731" t="s">
        <v>117</v>
      </c>
      <c r="D731" s="12">
        <v>46236</v>
      </c>
      <c r="G731">
        <v>40.046084309064085</v>
      </c>
      <c r="H731">
        <v>41.800000000000004</v>
      </c>
      <c r="K731">
        <v>41.800000000000004</v>
      </c>
      <c r="N731">
        <v>41.633650519031136</v>
      </c>
      <c r="R731">
        <v>5.0302846338677452E-2</v>
      </c>
      <c r="S731">
        <v>0</v>
      </c>
      <c r="T731">
        <v>0.14938399577711287</v>
      </c>
      <c r="U731">
        <v>0</v>
      </c>
      <c r="V731">
        <v>0</v>
      </c>
      <c r="W731">
        <v>0</v>
      </c>
      <c r="X731">
        <v>1.8606558558532049E-2</v>
      </c>
      <c r="Y731">
        <v>0</v>
      </c>
      <c r="Z731">
        <v>9.8597189650993344E-2</v>
      </c>
      <c r="AA731">
        <v>0.13017629143836471</v>
      </c>
      <c r="AB731">
        <v>1.3268152597321297E-2</v>
      </c>
      <c r="AC731">
        <v>0</v>
      </c>
      <c r="AD731">
        <v>1.5997770612273407E-2</v>
      </c>
      <c r="AE731">
        <v>0</v>
      </c>
      <c r="AF731">
        <v>0.76121191831362234</v>
      </c>
      <c r="AG731">
        <v>0</v>
      </c>
      <c r="AH731">
        <v>0</v>
      </c>
      <c r="AI731">
        <v>0</v>
      </c>
      <c r="AK731">
        <v>0</v>
      </c>
    </row>
    <row r="732" spans="1:37" x14ac:dyDescent="0.25">
      <c r="A732" t="s">
        <v>128</v>
      </c>
      <c r="B732" t="s">
        <v>146</v>
      </c>
      <c r="C732" t="s">
        <v>117</v>
      </c>
      <c r="D732" s="12">
        <v>46236</v>
      </c>
      <c r="G732">
        <v>39.970417738958275</v>
      </c>
      <c r="H732">
        <v>18.049999999999997</v>
      </c>
      <c r="K732">
        <v>18.049999999999997</v>
      </c>
      <c r="N732">
        <v>41.633650519031136</v>
      </c>
      <c r="R732">
        <v>6.3957307284627243E-2</v>
      </c>
      <c r="S732">
        <v>0</v>
      </c>
      <c r="T732">
        <v>8.9601016298741492E-3</v>
      </c>
      <c r="U732">
        <v>0</v>
      </c>
      <c r="V732">
        <v>0</v>
      </c>
      <c r="W732">
        <v>1.7125679847515795E-2</v>
      </c>
      <c r="X732">
        <v>5.3135180956065441E-3</v>
      </c>
      <c r="Y732">
        <v>0</v>
      </c>
      <c r="Z732">
        <v>2.1975557141049141E-2</v>
      </c>
      <c r="AA732">
        <v>0.46572814502253473</v>
      </c>
      <c r="AB732">
        <v>1.3340834355846255E-2</v>
      </c>
      <c r="AC732">
        <v>0</v>
      </c>
      <c r="AD732">
        <v>1.4318397396939702E-2</v>
      </c>
      <c r="AE732">
        <v>0</v>
      </c>
      <c r="AF732">
        <v>0.31125960583749651</v>
      </c>
      <c r="AG732">
        <v>0</v>
      </c>
      <c r="AH732">
        <v>0</v>
      </c>
      <c r="AI732">
        <v>0</v>
      </c>
      <c r="AK732">
        <v>8.9756791772489353E-2</v>
      </c>
    </row>
    <row r="733" spans="1:37" x14ac:dyDescent="0.25">
      <c r="A733" t="s">
        <v>128</v>
      </c>
      <c r="B733" t="s">
        <v>145</v>
      </c>
      <c r="C733" t="s">
        <v>117</v>
      </c>
      <c r="D733" s="12">
        <v>46237</v>
      </c>
      <c r="G733">
        <v>44.308723503659913</v>
      </c>
      <c r="H733">
        <v>25.650000000000002</v>
      </c>
      <c r="K733">
        <v>25.650000000000002</v>
      </c>
      <c r="N733">
        <v>46.235402249134943</v>
      </c>
      <c r="R733">
        <v>8.5556556998606842E-2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0.1499642248653793</v>
      </c>
      <c r="AB733">
        <v>4.2073500094114973E-2</v>
      </c>
      <c r="AC733">
        <v>0</v>
      </c>
      <c r="AD733">
        <v>0</v>
      </c>
      <c r="AE733">
        <v>0</v>
      </c>
      <c r="AF733">
        <v>0.57889277712731446</v>
      </c>
      <c r="AG733">
        <v>0</v>
      </c>
      <c r="AH733">
        <v>0</v>
      </c>
      <c r="AI733">
        <v>0</v>
      </c>
      <c r="AK733">
        <v>0</v>
      </c>
    </row>
    <row r="734" spans="1:37" x14ac:dyDescent="0.25">
      <c r="A734" t="s">
        <v>128</v>
      </c>
      <c r="B734" t="s">
        <v>146</v>
      </c>
      <c r="C734" t="s">
        <v>117</v>
      </c>
      <c r="D734" s="12">
        <v>46237</v>
      </c>
      <c r="G734">
        <v>44.310540874450453</v>
      </c>
      <c r="H734">
        <v>11.4</v>
      </c>
      <c r="K734">
        <v>11.4</v>
      </c>
      <c r="N734">
        <v>46.235402249134943</v>
      </c>
      <c r="R734">
        <v>8.1003639885849271E-2</v>
      </c>
      <c r="S734">
        <v>0</v>
      </c>
      <c r="T734">
        <v>0</v>
      </c>
      <c r="U734">
        <v>0</v>
      </c>
      <c r="V734">
        <v>0</v>
      </c>
      <c r="W734">
        <v>1.5448255969350207E-2</v>
      </c>
      <c r="X734">
        <v>4.7930703113436461E-3</v>
      </c>
      <c r="Y734">
        <v>0</v>
      </c>
      <c r="Z734">
        <v>0</v>
      </c>
      <c r="AA734">
        <v>0.28612891561718806</v>
      </c>
      <c r="AB734">
        <v>4.2356451136975136E-2</v>
      </c>
      <c r="AC734">
        <v>0</v>
      </c>
      <c r="AD734">
        <v>0</v>
      </c>
      <c r="AE734">
        <v>0</v>
      </c>
      <c r="AF734">
        <v>0.17151675086823812</v>
      </c>
      <c r="AG734">
        <v>0</v>
      </c>
      <c r="AH734">
        <v>0</v>
      </c>
      <c r="AI734">
        <v>0</v>
      </c>
      <c r="AK734">
        <v>8.0965305122775416E-2</v>
      </c>
    </row>
    <row r="735" spans="1:37" x14ac:dyDescent="0.25">
      <c r="A735" t="s">
        <v>128</v>
      </c>
      <c r="B735" t="s">
        <v>145</v>
      </c>
      <c r="C735" t="s">
        <v>117</v>
      </c>
      <c r="D735" s="12">
        <v>46238</v>
      </c>
      <c r="G735">
        <v>45.515177224413186</v>
      </c>
      <c r="H735">
        <v>37.049999999999997</v>
      </c>
      <c r="K735">
        <v>37.049999999999997</v>
      </c>
      <c r="N735">
        <v>48.082203960015377</v>
      </c>
      <c r="R735">
        <v>6.4703731670776782E-2</v>
      </c>
      <c r="S735">
        <v>0</v>
      </c>
      <c r="T735">
        <v>0.10144804756767523</v>
      </c>
      <c r="U735">
        <v>0</v>
      </c>
      <c r="V735">
        <v>0</v>
      </c>
      <c r="W735">
        <v>0</v>
      </c>
      <c r="X735">
        <v>3.2653899087315336E-2</v>
      </c>
      <c r="Y735">
        <v>0</v>
      </c>
      <c r="Z735">
        <v>5.9933560676621783E-2</v>
      </c>
      <c r="AA735">
        <v>0.1149018795638037</v>
      </c>
      <c r="AB735">
        <v>4.0958273617386416E-2</v>
      </c>
      <c r="AC735">
        <v>0</v>
      </c>
      <c r="AD735">
        <v>0</v>
      </c>
      <c r="AE735">
        <v>0</v>
      </c>
      <c r="AF735">
        <v>0.6199786800091176</v>
      </c>
      <c r="AG735">
        <v>0</v>
      </c>
      <c r="AH735">
        <v>0</v>
      </c>
      <c r="AI735">
        <v>0</v>
      </c>
      <c r="AK735">
        <v>0</v>
      </c>
    </row>
    <row r="736" spans="1:37" x14ac:dyDescent="0.25">
      <c r="A736" t="s">
        <v>128</v>
      </c>
      <c r="B736" t="s">
        <v>146</v>
      </c>
      <c r="C736" t="s">
        <v>117</v>
      </c>
      <c r="D736" s="12">
        <v>46238</v>
      </c>
      <c r="G736">
        <v>45.494516376417593</v>
      </c>
      <c r="H736">
        <v>12.349999999999998</v>
      </c>
      <c r="K736">
        <v>12.349999999999998</v>
      </c>
      <c r="N736">
        <v>48.082203960015377</v>
      </c>
      <c r="R736">
        <v>9.3464919373417235E-2</v>
      </c>
      <c r="S736">
        <v>0</v>
      </c>
      <c r="T736">
        <v>0</v>
      </c>
      <c r="U736">
        <v>0</v>
      </c>
      <c r="V736">
        <v>0</v>
      </c>
      <c r="W736">
        <v>1.5046221656808108E-2</v>
      </c>
      <c r="X736">
        <v>4.6683326884423837E-3</v>
      </c>
      <c r="Y736">
        <v>0</v>
      </c>
      <c r="Z736">
        <v>0</v>
      </c>
      <c r="AA736">
        <v>0.54592047876561145</v>
      </c>
      <c r="AB736">
        <v>4.1254142452528036E-2</v>
      </c>
      <c r="AC736">
        <v>0</v>
      </c>
      <c r="AD736">
        <v>0</v>
      </c>
      <c r="AE736">
        <v>0</v>
      </c>
      <c r="AF736">
        <v>0.16705310013888869</v>
      </c>
      <c r="AG736">
        <v>0</v>
      </c>
      <c r="AH736">
        <v>0</v>
      </c>
      <c r="AI736">
        <v>0</v>
      </c>
      <c r="AK736">
        <v>7.8858217381001974E-2</v>
      </c>
    </row>
    <row r="737" spans="1:37" x14ac:dyDescent="0.25">
      <c r="A737" t="s">
        <v>128</v>
      </c>
      <c r="B737" t="s">
        <v>145</v>
      </c>
      <c r="C737" t="s">
        <v>117</v>
      </c>
      <c r="D737" s="12">
        <v>46239</v>
      </c>
      <c r="G737">
        <v>44.21118353019645</v>
      </c>
      <c r="H737">
        <v>30.4</v>
      </c>
      <c r="K737">
        <v>30.4</v>
      </c>
      <c r="N737">
        <v>45.310121107266433</v>
      </c>
      <c r="R737">
        <v>8.0883128009735517E-2</v>
      </c>
      <c r="S737">
        <v>0</v>
      </c>
      <c r="T737">
        <v>5.2704008934716544E-2</v>
      </c>
      <c r="U737">
        <v>0</v>
      </c>
      <c r="V737">
        <v>0</v>
      </c>
      <c r="W737">
        <v>0</v>
      </c>
      <c r="X737">
        <v>3.6777192072363768E-3</v>
      </c>
      <c r="Y737">
        <v>0</v>
      </c>
      <c r="Z737">
        <v>6.7435027084540106E-2</v>
      </c>
      <c r="AA737">
        <v>0.22317934981440271</v>
      </c>
      <c r="AB737">
        <v>5.9704295337526969E-2</v>
      </c>
      <c r="AC737">
        <v>0</v>
      </c>
      <c r="AD737">
        <v>0</v>
      </c>
      <c r="AE737">
        <v>0</v>
      </c>
      <c r="AF737">
        <v>0.56379207069956838</v>
      </c>
      <c r="AG737">
        <v>0</v>
      </c>
      <c r="AH737">
        <v>0</v>
      </c>
      <c r="AI737">
        <v>0</v>
      </c>
      <c r="AK737">
        <v>0</v>
      </c>
    </row>
    <row r="738" spans="1:37" x14ac:dyDescent="0.25">
      <c r="A738" t="s">
        <v>128</v>
      </c>
      <c r="B738" t="s">
        <v>146</v>
      </c>
      <c r="C738" t="s">
        <v>117</v>
      </c>
      <c r="D738" s="12">
        <v>46239</v>
      </c>
      <c r="G738">
        <v>44.199014950339183</v>
      </c>
      <c r="H738">
        <v>14.249999999999998</v>
      </c>
      <c r="K738">
        <v>14.249999999999998</v>
      </c>
      <c r="N738">
        <v>45.310121107266433</v>
      </c>
      <c r="R738">
        <v>7.9624968864676779E-2</v>
      </c>
      <c r="S738">
        <v>0</v>
      </c>
      <c r="T738">
        <v>0</v>
      </c>
      <c r="U738">
        <v>0</v>
      </c>
      <c r="V738">
        <v>0</v>
      </c>
      <c r="W738">
        <v>1.5487236046730324E-2</v>
      </c>
      <c r="X738">
        <v>4.8051645083840898E-3</v>
      </c>
      <c r="Y738">
        <v>0</v>
      </c>
      <c r="Z738">
        <v>0</v>
      </c>
      <c r="AA738">
        <v>0.64460205617721922</v>
      </c>
      <c r="AB738">
        <v>5.9291424780218809E-2</v>
      </c>
      <c r="AC738">
        <v>0</v>
      </c>
      <c r="AD738">
        <v>0</v>
      </c>
      <c r="AE738">
        <v>0</v>
      </c>
      <c r="AF738">
        <v>0.21493691682210436</v>
      </c>
      <c r="AG738">
        <v>0</v>
      </c>
      <c r="AH738">
        <v>0</v>
      </c>
      <c r="AI738">
        <v>0</v>
      </c>
      <c r="AK738">
        <v>8.1169602220457659E-2</v>
      </c>
    </row>
    <row r="739" spans="1:37" x14ac:dyDescent="0.25">
      <c r="A739" t="s">
        <v>128</v>
      </c>
      <c r="B739" t="s">
        <v>145</v>
      </c>
      <c r="C739" t="s">
        <v>117</v>
      </c>
      <c r="D739" s="12">
        <v>46240</v>
      </c>
      <c r="G739">
        <v>44.45775971346233</v>
      </c>
      <c r="H739">
        <v>35.150000000000006</v>
      </c>
      <c r="K739">
        <v>35.150000000000006</v>
      </c>
      <c r="N739">
        <v>45.356338781642684</v>
      </c>
      <c r="R739">
        <v>8.2178187690760338E-2</v>
      </c>
      <c r="S739">
        <v>0</v>
      </c>
      <c r="T739">
        <v>0.11887987716310325</v>
      </c>
      <c r="U739">
        <v>0</v>
      </c>
      <c r="V739">
        <v>0</v>
      </c>
      <c r="W739">
        <v>0</v>
      </c>
      <c r="X739">
        <v>2.3154362731897017E-4</v>
      </c>
      <c r="Y739">
        <v>0</v>
      </c>
      <c r="Z739">
        <v>6.5740592984306762E-2</v>
      </c>
      <c r="AA739">
        <v>0.26054398497041781</v>
      </c>
      <c r="AB739">
        <v>6.2197757661020377E-2</v>
      </c>
      <c r="AC739">
        <v>0</v>
      </c>
      <c r="AD739">
        <v>0</v>
      </c>
      <c r="AE739">
        <v>0</v>
      </c>
      <c r="AF739">
        <v>0.60578611613887001</v>
      </c>
      <c r="AG739">
        <v>0</v>
      </c>
      <c r="AH739">
        <v>0</v>
      </c>
      <c r="AI739">
        <v>0</v>
      </c>
      <c r="AK739">
        <v>0</v>
      </c>
    </row>
    <row r="740" spans="1:37" x14ac:dyDescent="0.25">
      <c r="A740" t="s">
        <v>128</v>
      </c>
      <c r="B740" t="s">
        <v>146</v>
      </c>
      <c r="C740" t="s">
        <v>117</v>
      </c>
      <c r="D740" s="12">
        <v>46240</v>
      </c>
      <c r="G740">
        <v>44.451455281615075</v>
      </c>
      <c r="H740">
        <v>13.299999999999999</v>
      </c>
      <c r="K740">
        <v>13.299999999999999</v>
      </c>
      <c r="N740">
        <v>45.356338781642684</v>
      </c>
      <c r="R740">
        <v>7.7730032018527753E-2</v>
      </c>
      <c r="S740">
        <v>0</v>
      </c>
      <c r="T740">
        <v>0</v>
      </c>
      <c r="U740">
        <v>0</v>
      </c>
      <c r="V740">
        <v>0</v>
      </c>
      <c r="W740">
        <v>1.5399283853187597E-2</v>
      </c>
      <c r="X740">
        <v>4.7778759232827298E-3</v>
      </c>
      <c r="Y740">
        <v>0</v>
      </c>
      <c r="Z740">
        <v>0</v>
      </c>
      <c r="AA740">
        <v>0.64342383299117534</v>
      </c>
      <c r="AB740">
        <v>6.2151240330033414E-2</v>
      </c>
      <c r="AC740">
        <v>0</v>
      </c>
      <c r="AD740">
        <v>0</v>
      </c>
      <c r="AE740">
        <v>0</v>
      </c>
      <c r="AF740">
        <v>0.21371628757291009</v>
      </c>
      <c r="AG740">
        <v>0</v>
      </c>
      <c r="AH740">
        <v>0</v>
      </c>
      <c r="AI740">
        <v>0</v>
      </c>
      <c r="AK740">
        <v>8.0708639105881302E-2</v>
      </c>
    </row>
    <row r="741" spans="1:37" x14ac:dyDescent="0.25">
      <c r="A741" t="s">
        <v>128</v>
      </c>
      <c r="B741" t="s">
        <v>145</v>
      </c>
      <c r="C741" t="s">
        <v>117</v>
      </c>
      <c r="D741" s="12">
        <v>46241</v>
      </c>
      <c r="G741">
        <v>41.296293897593195</v>
      </c>
      <c r="H741">
        <v>34.200000000000003</v>
      </c>
      <c r="K741">
        <v>34.200000000000003</v>
      </c>
      <c r="N741">
        <v>42.512759515570927</v>
      </c>
      <c r="R741">
        <v>7.8682702760733608E-2</v>
      </c>
      <c r="S741">
        <v>0</v>
      </c>
      <c r="T741">
        <v>0.12796927463980312</v>
      </c>
      <c r="U741">
        <v>0</v>
      </c>
      <c r="V741">
        <v>0</v>
      </c>
      <c r="W741">
        <v>0</v>
      </c>
      <c r="X741">
        <v>8.1496162962236916E-3</v>
      </c>
      <c r="Y741">
        <v>0</v>
      </c>
      <c r="Z741">
        <v>5.8274471340426043E-2</v>
      </c>
      <c r="AA741">
        <v>0.23191283728869508</v>
      </c>
      <c r="AB741">
        <v>5.7375302381457556E-2</v>
      </c>
      <c r="AC741">
        <v>0</v>
      </c>
      <c r="AD741">
        <v>0</v>
      </c>
      <c r="AE741">
        <v>0</v>
      </c>
      <c r="AF741">
        <v>0.63376812080504041</v>
      </c>
      <c r="AG741">
        <v>0</v>
      </c>
      <c r="AH741">
        <v>0</v>
      </c>
      <c r="AI741">
        <v>0</v>
      </c>
      <c r="AK741">
        <v>0</v>
      </c>
    </row>
    <row r="742" spans="1:37" x14ac:dyDescent="0.25">
      <c r="A742" t="s">
        <v>128</v>
      </c>
      <c r="B742" t="s">
        <v>146</v>
      </c>
      <c r="C742" t="s">
        <v>117</v>
      </c>
      <c r="D742" s="12">
        <v>46241</v>
      </c>
      <c r="G742">
        <v>41.28803277109941</v>
      </c>
      <c r="H742">
        <v>14.25</v>
      </c>
      <c r="K742">
        <v>14.25</v>
      </c>
      <c r="N742">
        <v>42.512759515570927</v>
      </c>
      <c r="R742">
        <v>6.6948412833902821E-2</v>
      </c>
      <c r="S742">
        <v>0</v>
      </c>
      <c r="T742">
        <v>0</v>
      </c>
      <c r="U742">
        <v>0</v>
      </c>
      <c r="V742">
        <v>0</v>
      </c>
      <c r="W742">
        <v>2.0755841673177011E-2</v>
      </c>
      <c r="X742">
        <v>2.0209868260639689E-2</v>
      </c>
      <c r="Y742">
        <v>0</v>
      </c>
      <c r="Z742">
        <v>0</v>
      </c>
      <c r="AA742">
        <v>0.35178972280896575</v>
      </c>
      <c r="AB742">
        <v>5.7495285251136924E-2</v>
      </c>
      <c r="AC742">
        <v>0</v>
      </c>
      <c r="AD742">
        <v>0</v>
      </c>
      <c r="AE742">
        <v>0</v>
      </c>
      <c r="AF742">
        <v>0.16106361949641818</v>
      </c>
      <c r="AG742">
        <v>0</v>
      </c>
      <c r="AH742">
        <v>0</v>
      </c>
      <c r="AI742">
        <v>0</v>
      </c>
      <c r="AK742">
        <v>0.1638628397352668</v>
      </c>
    </row>
    <row r="743" spans="1:37" x14ac:dyDescent="0.25">
      <c r="A743" t="s">
        <v>128</v>
      </c>
      <c r="B743" t="s">
        <v>145</v>
      </c>
      <c r="C743" t="s">
        <v>117</v>
      </c>
      <c r="D743" s="12">
        <v>46242</v>
      </c>
      <c r="G743">
        <v>40.032120530081052</v>
      </c>
      <c r="H743">
        <v>29.45</v>
      </c>
      <c r="K743">
        <v>29.45</v>
      </c>
      <c r="N743">
        <v>43.453935986159166</v>
      </c>
      <c r="R743">
        <v>9.6302394528714849E-2</v>
      </c>
      <c r="S743">
        <v>0</v>
      </c>
      <c r="T743">
        <v>3.5329671853501304E-2</v>
      </c>
      <c r="U743">
        <v>0</v>
      </c>
      <c r="V743">
        <v>0</v>
      </c>
      <c r="W743">
        <v>0</v>
      </c>
      <c r="X743">
        <v>5.6238293937271476E-3</v>
      </c>
      <c r="Y743">
        <v>0</v>
      </c>
      <c r="Z743">
        <v>6.3249256196198311E-2</v>
      </c>
      <c r="AA743">
        <v>0.12311462124796124</v>
      </c>
      <c r="AB743">
        <v>1.6449476481424197E-2</v>
      </c>
      <c r="AC743">
        <v>0</v>
      </c>
      <c r="AD743">
        <v>0</v>
      </c>
      <c r="AE743">
        <v>0</v>
      </c>
      <c r="AF743">
        <v>0.63145649842513496</v>
      </c>
      <c r="AG743">
        <v>0</v>
      </c>
      <c r="AH743">
        <v>0</v>
      </c>
      <c r="AI743">
        <v>0</v>
      </c>
      <c r="AK743">
        <v>0</v>
      </c>
    </row>
    <row r="744" spans="1:37" x14ac:dyDescent="0.25">
      <c r="A744" t="s">
        <v>128</v>
      </c>
      <c r="B744" t="s">
        <v>146</v>
      </c>
      <c r="C744" t="s">
        <v>117</v>
      </c>
      <c r="D744" s="12">
        <v>46242</v>
      </c>
      <c r="G744">
        <v>40.023176804576735</v>
      </c>
      <c r="H744">
        <v>15.2</v>
      </c>
      <c r="K744">
        <v>15.2</v>
      </c>
      <c r="N744">
        <v>43.453935986159166</v>
      </c>
      <c r="R744">
        <v>9.6928612315517512E-2</v>
      </c>
      <c r="S744">
        <v>0</v>
      </c>
      <c r="T744">
        <v>0</v>
      </c>
      <c r="U744">
        <v>0</v>
      </c>
      <c r="V744">
        <v>0</v>
      </c>
      <c r="W744">
        <v>1.7103104556422645E-2</v>
      </c>
      <c r="X744">
        <v>5.3065137478197659E-3</v>
      </c>
      <c r="Y744">
        <v>0</v>
      </c>
      <c r="Z744">
        <v>0</v>
      </c>
      <c r="AA744">
        <v>0.57305227740444464</v>
      </c>
      <c r="AB744">
        <v>1.651581401736996E-2</v>
      </c>
      <c r="AC744">
        <v>0</v>
      </c>
      <c r="AD744">
        <v>0</v>
      </c>
      <c r="AE744">
        <v>0</v>
      </c>
      <c r="AF744">
        <v>0.26109871415317087</v>
      </c>
      <c r="AG744">
        <v>0</v>
      </c>
      <c r="AH744">
        <v>0</v>
      </c>
      <c r="AI744">
        <v>0</v>
      </c>
      <c r="AK744">
        <v>8.9638473216969647E-2</v>
      </c>
    </row>
    <row r="745" spans="1:37" x14ac:dyDescent="0.25">
      <c r="A745" t="s">
        <v>128</v>
      </c>
      <c r="B745" t="s">
        <v>145</v>
      </c>
      <c r="C745" t="s">
        <v>117</v>
      </c>
      <c r="D745" s="12">
        <v>46243</v>
      </c>
      <c r="G745">
        <v>41.939193745979424</v>
      </c>
      <c r="H745">
        <v>37.050000000000004</v>
      </c>
      <c r="K745">
        <v>37.050000000000004</v>
      </c>
      <c r="N745">
        <v>44.328935986159166</v>
      </c>
      <c r="R745">
        <v>7.873054599100808E-2</v>
      </c>
      <c r="S745">
        <v>0</v>
      </c>
      <c r="T745">
        <v>0.16880702133603917</v>
      </c>
      <c r="U745">
        <v>0</v>
      </c>
      <c r="V745">
        <v>0</v>
      </c>
      <c r="W745">
        <v>0</v>
      </c>
      <c r="X745">
        <v>8.851011801595518E-3</v>
      </c>
      <c r="Y745">
        <v>0</v>
      </c>
      <c r="Z745">
        <v>6.1586058190586469E-2</v>
      </c>
      <c r="AA745">
        <v>0.24945756340683628</v>
      </c>
      <c r="AB745">
        <v>3.0600437586666276E-2</v>
      </c>
      <c r="AC745">
        <v>0</v>
      </c>
      <c r="AD745">
        <v>0</v>
      </c>
      <c r="AE745">
        <v>0</v>
      </c>
      <c r="AF745">
        <v>0.64417775565356217</v>
      </c>
      <c r="AG745">
        <v>0</v>
      </c>
      <c r="AH745">
        <v>0</v>
      </c>
      <c r="AI745">
        <v>0</v>
      </c>
      <c r="AK745">
        <v>0</v>
      </c>
    </row>
    <row r="746" spans="1:37" x14ac:dyDescent="0.25">
      <c r="A746" t="s">
        <v>128</v>
      </c>
      <c r="B746" t="s">
        <v>146</v>
      </c>
      <c r="C746" t="s">
        <v>117</v>
      </c>
      <c r="D746" s="12">
        <v>46243</v>
      </c>
      <c r="G746">
        <v>41.938879203540409</v>
      </c>
      <c r="H746">
        <v>16.149999999999999</v>
      </c>
      <c r="K746">
        <v>16.149999999999999</v>
      </c>
      <c r="N746">
        <v>44.328935986159166</v>
      </c>
      <c r="R746">
        <v>8.2735268795392322E-2</v>
      </c>
      <c r="S746">
        <v>0</v>
      </c>
      <c r="T746">
        <v>0</v>
      </c>
      <c r="U746">
        <v>0</v>
      </c>
      <c r="V746">
        <v>0</v>
      </c>
      <c r="W746">
        <v>1.6321861493882733E-2</v>
      </c>
      <c r="X746">
        <v>5.0641205005540193E-3</v>
      </c>
      <c r="Y746">
        <v>0</v>
      </c>
      <c r="Z746">
        <v>0</v>
      </c>
      <c r="AA746">
        <v>0.61182158487703875</v>
      </c>
      <c r="AB746">
        <v>3.0810341710311606E-2</v>
      </c>
      <c r="AC746">
        <v>0</v>
      </c>
      <c r="AD746">
        <v>0</v>
      </c>
      <c r="AE746">
        <v>0</v>
      </c>
      <c r="AF746">
        <v>0.27182414543490302</v>
      </c>
      <c r="AG746">
        <v>0</v>
      </c>
      <c r="AH746">
        <v>0</v>
      </c>
      <c r="AI746">
        <v>0</v>
      </c>
      <c r="AK746">
        <v>8.5543927977747E-2</v>
      </c>
    </row>
    <row r="747" spans="1:37" x14ac:dyDescent="0.25">
      <c r="A747" t="s">
        <v>128</v>
      </c>
      <c r="B747" t="s">
        <v>145</v>
      </c>
      <c r="C747" t="s">
        <v>117</v>
      </c>
      <c r="D747" s="12">
        <v>46244</v>
      </c>
      <c r="G747">
        <v>41.995461820747067</v>
      </c>
      <c r="H747">
        <v>25.65</v>
      </c>
      <c r="K747">
        <v>25.65</v>
      </c>
      <c r="N747">
        <v>44.318609429065738</v>
      </c>
      <c r="R747">
        <v>8.8397209853313549E-2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0.19472770049274499</v>
      </c>
      <c r="AB747">
        <v>3.3078194235988616E-2</v>
      </c>
      <c r="AC747">
        <v>0</v>
      </c>
      <c r="AD747">
        <v>0</v>
      </c>
      <c r="AE747">
        <v>0</v>
      </c>
      <c r="AF747">
        <v>0.61078028167624765</v>
      </c>
      <c r="AG747">
        <v>0</v>
      </c>
      <c r="AH747">
        <v>0</v>
      </c>
      <c r="AI747">
        <v>0</v>
      </c>
      <c r="AK747">
        <v>0</v>
      </c>
    </row>
    <row r="748" spans="1:37" x14ac:dyDescent="0.25">
      <c r="A748" t="s">
        <v>128</v>
      </c>
      <c r="B748" t="s">
        <v>146</v>
      </c>
      <c r="C748" t="s">
        <v>117</v>
      </c>
      <c r="D748" s="12">
        <v>46244</v>
      </c>
      <c r="G748">
        <v>41.991638269158884</v>
      </c>
      <c r="H748">
        <v>13.3</v>
      </c>
      <c r="K748">
        <v>13.3</v>
      </c>
      <c r="N748">
        <v>44.318609429065738</v>
      </c>
      <c r="R748">
        <v>8.3605720484763377E-2</v>
      </c>
      <c r="S748">
        <v>0</v>
      </c>
      <c r="T748">
        <v>0</v>
      </c>
      <c r="U748">
        <v>0</v>
      </c>
      <c r="V748">
        <v>0</v>
      </c>
      <c r="W748">
        <v>1.6301354407303931E-2</v>
      </c>
      <c r="X748">
        <v>5.0577578465399982E-3</v>
      </c>
      <c r="Y748">
        <v>0</v>
      </c>
      <c r="Z748">
        <v>0</v>
      </c>
      <c r="AA748">
        <v>0.39374464274573379</v>
      </c>
      <c r="AB748">
        <v>3.3248370566481264E-2</v>
      </c>
      <c r="AC748">
        <v>0</v>
      </c>
      <c r="AD748">
        <v>0</v>
      </c>
      <c r="AE748">
        <v>0</v>
      </c>
      <c r="AF748">
        <v>0.22623551715478926</v>
      </c>
      <c r="AG748">
        <v>0</v>
      </c>
      <c r="AH748">
        <v>0</v>
      </c>
      <c r="AI748">
        <v>0</v>
      </c>
      <c r="AK748">
        <v>8.5436449015375712E-2</v>
      </c>
    </row>
    <row r="749" spans="1:37" x14ac:dyDescent="0.25">
      <c r="A749" t="s">
        <v>128</v>
      </c>
      <c r="B749" t="s">
        <v>145</v>
      </c>
      <c r="C749" t="s">
        <v>117</v>
      </c>
      <c r="D749" s="12">
        <v>46245</v>
      </c>
      <c r="G749">
        <v>45.361994830502269</v>
      </c>
      <c r="H749">
        <v>36.1</v>
      </c>
      <c r="K749">
        <v>36.1</v>
      </c>
      <c r="N749">
        <v>47.079152249134943</v>
      </c>
      <c r="R749">
        <v>8.4296372936172093E-2</v>
      </c>
      <c r="S749">
        <v>0</v>
      </c>
      <c r="T749">
        <v>0.15839543742577517</v>
      </c>
      <c r="U749">
        <v>0</v>
      </c>
      <c r="V749">
        <v>0</v>
      </c>
      <c r="W749">
        <v>0</v>
      </c>
      <c r="X749">
        <v>2.269280922277348E-4</v>
      </c>
      <c r="Y749">
        <v>0</v>
      </c>
      <c r="Z749">
        <v>6.4430135782996306E-2</v>
      </c>
      <c r="AA749">
        <v>0.15681268198622711</v>
      </c>
      <c r="AB749">
        <v>4.6668761671192625E-2</v>
      </c>
      <c r="AC749">
        <v>0</v>
      </c>
      <c r="AD749">
        <v>0</v>
      </c>
      <c r="AE749">
        <v>0</v>
      </c>
      <c r="AF749">
        <v>0.57276787950213226</v>
      </c>
      <c r="AG749">
        <v>0</v>
      </c>
      <c r="AH749">
        <v>0</v>
      </c>
      <c r="AI749">
        <v>0</v>
      </c>
      <c r="AK749">
        <v>0</v>
      </c>
    </row>
    <row r="750" spans="1:37" x14ac:dyDescent="0.25">
      <c r="A750" t="s">
        <v>128</v>
      </c>
      <c r="B750" t="s">
        <v>146</v>
      </c>
      <c r="C750" t="s">
        <v>117</v>
      </c>
      <c r="D750" s="12">
        <v>46245</v>
      </c>
      <c r="G750">
        <v>45.37322940100907</v>
      </c>
      <c r="H750">
        <v>14.249999999999998</v>
      </c>
      <c r="K750">
        <v>14.249999999999998</v>
      </c>
      <c r="N750">
        <v>47.079152249134943</v>
      </c>
      <c r="R750">
        <v>5.9982074081454499E-2</v>
      </c>
      <c r="S750">
        <v>0</v>
      </c>
      <c r="T750">
        <v>2.1990811119670245E-2</v>
      </c>
      <c r="U750">
        <v>0</v>
      </c>
      <c r="V750">
        <v>4.7976594934464375E-3</v>
      </c>
      <c r="W750">
        <v>0</v>
      </c>
      <c r="X750">
        <v>1.9767253231788403E-2</v>
      </c>
      <c r="Y750">
        <v>0</v>
      </c>
      <c r="Z750">
        <v>0</v>
      </c>
      <c r="AA750">
        <v>0.53912167568691471</v>
      </c>
      <c r="AB750">
        <v>4.6949423868223504E-2</v>
      </c>
      <c r="AC750">
        <v>0</v>
      </c>
      <c r="AD750">
        <v>0</v>
      </c>
      <c r="AE750">
        <v>0</v>
      </c>
      <c r="AF750">
        <v>0.24656866195656527</v>
      </c>
      <c r="AG750">
        <v>0</v>
      </c>
      <c r="AH750">
        <v>0</v>
      </c>
      <c r="AI750">
        <v>0</v>
      </c>
      <c r="AK750">
        <v>0</v>
      </c>
    </row>
    <row r="751" spans="1:37" x14ac:dyDescent="0.25">
      <c r="A751" t="s">
        <v>128</v>
      </c>
      <c r="B751" t="s">
        <v>145</v>
      </c>
      <c r="C751" t="s">
        <v>117</v>
      </c>
      <c r="D751" s="12">
        <v>46246</v>
      </c>
      <c r="G751">
        <v>43.719560553941719</v>
      </c>
      <c r="H751">
        <v>30.4</v>
      </c>
      <c r="K751">
        <v>30.4</v>
      </c>
      <c r="N751">
        <v>44.953935986159166</v>
      </c>
      <c r="R751">
        <v>8.8598836465795819E-2</v>
      </c>
      <c r="S751">
        <v>0</v>
      </c>
      <c r="T751">
        <v>9.8378530419854469E-3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7.191240345984147E-2</v>
      </c>
      <c r="AA751">
        <v>0.1373150895997286</v>
      </c>
      <c r="AB751">
        <v>4.2640480802666109E-2</v>
      </c>
      <c r="AC751">
        <v>0</v>
      </c>
      <c r="AD751">
        <v>1.7724416058579981E-2</v>
      </c>
      <c r="AE751">
        <v>0</v>
      </c>
      <c r="AF751">
        <v>0.59586625984654429</v>
      </c>
      <c r="AG751">
        <v>0</v>
      </c>
      <c r="AH751">
        <v>0</v>
      </c>
      <c r="AI751">
        <v>0</v>
      </c>
      <c r="AK751">
        <v>0</v>
      </c>
    </row>
    <row r="752" spans="1:37" x14ac:dyDescent="0.25">
      <c r="A752" t="s">
        <v>128</v>
      </c>
      <c r="B752" t="s">
        <v>146</v>
      </c>
      <c r="C752" t="s">
        <v>117</v>
      </c>
      <c r="D752" s="12">
        <v>46246</v>
      </c>
      <c r="G752">
        <v>43.740194648757424</v>
      </c>
      <c r="H752">
        <v>12.35</v>
      </c>
      <c r="K752">
        <v>12.35</v>
      </c>
      <c r="N752">
        <v>44.953935986159166</v>
      </c>
      <c r="R752">
        <v>8.3680953156268056E-2</v>
      </c>
      <c r="S752">
        <v>0</v>
      </c>
      <c r="T752">
        <v>0</v>
      </c>
      <c r="U752">
        <v>0</v>
      </c>
      <c r="V752">
        <v>0</v>
      </c>
      <c r="W752">
        <v>1.564969207534863E-2</v>
      </c>
      <c r="X752">
        <v>4.8555691086971655E-3</v>
      </c>
      <c r="Y752">
        <v>0</v>
      </c>
      <c r="Z752">
        <v>0</v>
      </c>
      <c r="AA752">
        <v>0.61031008644802986</v>
      </c>
      <c r="AB752">
        <v>6.0787643981539137E-2</v>
      </c>
      <c r="AC752">
        <v>0</v>
      </c>
      <c r="AD752">
        <v>0</v>
      </c>
      <c r="AE752">
        <v>0</v>
      </c>
      <c r="AF752">
        <v>0.19547238115098073</v>
      </c>
      <c r="AG752">
        <v>0</v>
      </c>
      <c r="AH752">
        <v>0</v>
      </c>
      <c r="AI752">
        <v>0</v>
      </c>
      <c r="AK752">
        <v>8.2021044736183171E-2</v>
      </c>
    </row>
    <row r="753" spans="1:37" x14ac:dyDescent="0.25">
      <c r="A753" t="s">
        <v>128</v>
      </c>
      <c r="B753" t="s">
        <v>145</v>
      </c>
      <c r="C753" t="s">
        <v>117</v>
      </c>
      <c r="D753" s="12">
        <v>46247</v>
      </c>
      <c r="G753">
        <v>43.249410850616073</v>
      </c>
      <c r="H753">
        <v>38</v>
      </c>
      <c r="K753">
        <v>38</v>
      </c>
      <c r="N753">
        <v>45.075810986159162</v>
      </c>
      <c r="R753">
        <v>6.4292888008139593E-2</v>
      </c>
      <c r="S753">
        <v>0</v>
      </c>
      <c r="T753">
        <v>0.16856089533234903</v>
      </c>
      <c r="U753">
        <v>0</v>
      </c>
      <c r="V753">
        <v>0</v>
      </c>
      <c r="W753">
        <v>0</v>
      </c>
      <c r="X753">
        <v>2.3433783842704999E-2</v>
      </c>
      <c r="Y753">
        <v>0</v>
      </c>
      <c r="Z753">
        <v>6.164455265372857E-2</v>
      </c>
      <c r="AA753">
        <v>0.17810210695122344</v>
      </c>
      <c r="AB753">
        <v>4.5497191734884139E-2</v>
      </c>
      <c r="AC753">
        <v>0</v>
      </c>
      <c r="AD753">
        <v>0</v>
      </c>
      <c r="AE753">
        <v>0</v>
      </c>
      <c r="AF753">
        <v>0.62498545351669887</v>
      </c>
      <c r="AG753">
        <v>0</v>
      </c>
      <c r="AH753">
        <v>0</v>
      </c>
      <c r="AI753">
        <v>0</v>
      </c>
      <c r="AK753">
        <v>0</v>
      </c>
    </row>
    <row r="754" spans="1:37" x14ac:dyDescent="0.25">
      <c r="A754" t="s">
        <v>128</v>
      </c>
      <c r="B754" t="s">
        <v>146</v>
      </c>
      <c r="C754" t="s">
        <v>117</v>
      </c>
      <c r="D754" s="12">
        <v>46247</v>
      </c>
      <c r="G754">
        <v>43.264228384591071</v>
      </c>
      <c r="H754">
        <v>12.349999999999998</v>
      </c>
      <c r="K754">
        <v>12.349999999999998</v>
      </c>
      <c r="N754">
        <v>45.075810986159162</v>
      </c>
      <c r="R754">
        <v>8.2837292630031131E-2</v>
      </c>
      <c r="S754">
        <v>0</v>
      </c>
      <c r="T754">
        <v>0</v>
      </c>
      <c r="U754">
        <v>0</v>
      </c>
      <c r="V754">
        <v>0</v>
      </c>
      <c r="W754">
        <v>1.582186030186232E-2</v>
      </c>
      <c r="X754">
        <v>4.9089870748867687E-3</v>
      </c>
      <c r="Y754">
        <v>0</v>
      </c>
      <c r="Z754">
        <v>0</v>
      </c>
      <c r="AA754">
        <v>0.24624264185648029</v>
      </c>
      <c r="AB754">
        <v>4.587375200225547E-2</v>
      </c>
      <c r="AC754">
        <v>0</v>
      </c>
      <c r="AD754">
        <v>0</v>
      </c>
      <c r="AE754">
        <v>0</v>
      </c>
      <c r="AF754">
        <v>0.19762284730923702</v>
      </c>
      <c r="AG754">
        <v>0</v>
      </c>
      <c r="AH754">
        <v>0</v>
      </c>
      <c r="AI754">
        <v>0</v>
      </c>
      <c r="AK754">
        <v>8.2923389506996348E-2</v>
      </c>
    </row>
    <row r="755" spans="1:37" x14ac:dyDescent="0.25">
      <c r="A755" t="s">
        <v>128</v>
      </c>
      <c r="B755" t="s">
        <v>145</v>
      </c>
      <c r="C755" t="s">
        <v>117</v>
      </c>
      <c r="D755" s="12">
        <v>46248</v>
      </c>
      <c r="G755">
        <v>41.072429863762913</v>
      </c>
      <c r="H755">
        <v>37.050000000000004</v>
      </c>
      <c r="K755">
        <v>37.050000000000004</v>
      </c>
      <c r="N755">
        <v>40.47838451557093</v>
      </c>
      <c r="R755">
        <v>7.2144811677517795E-2</v>
      </c>
      <c r="S755">
        <v>0</v>
      </c>
      <c r="T755">
        <v>0.13901112704700233</v>
      </c>
      <c r="U755">
        <v>0</v>
      </c>
      <c r="V755">
        <v>0</v>
      </c>
      <c r="W755">
        <v>0</v>
      </c>
      <c r="X755">
        <v>5.4813853691409488E-3</v>
      </c>
      <c r="Y755">
        <v>0</v>
      </c>
      <c r="Z755">
        <v>9.603567622639457E-2</v>
      </c>
      <c r="AA755">
        <v>0.16319490273955123</v>
      </c>
      <c r="AB755">
        <v>4.3186761290077737E-2</v>
      </c>
      <c r="AC755">
        <v>0</v>
      </c>
      <c r="AD755">
        <v>4.8902795975648339E-2</v>
      </c>
      <c r="AE755">
        <v>0</v>
      </c>
      <c r="AF755">
        <v>0.61263398019871662</v>
      </c>
      <c r="AG755">
        <v>0</v>
      </c>
      <c r="AH755">
        <v>0</v>
      </c>
      <c r="AI755">
        <v>0</v>
      </c>
      <c r="AK755">
        <v>0</v>
      </c>
    </row>
    <row r="756" spans="1:37" x14ac:dyDescent="0.25">
      <c r="A756" t="s">
        <v>128</v>
      </c>
      <c r="B756" t="s">
        <v>146</v>
      </c>
      <c r="C756" t="s">
        <v>117</v>
      </c>
      <c r="D756" s="12">
        <v>46248</v>
      </c>
      <c r="G756">
        <v>41.07722344334563</v>
      </c>
      <c r="H756">
        <v>13.3</v>
      </c>
      <c r="K756">
        <v>13.3</v>
      </c>
      <c r="N756">
        <v>40.47838451557093</v>
      </c>
      <c r="R756">
        <v>5.7638487519214146E-2</v>
      </c>
      <c r="S756">
        <v>0</v>
      </c>
      <c r="T756">
        <v>0</v>
      </c>
      <c r="U756">
        <v>0</v>
      </c>
      <c r="V756">
        <v>0</v>
      </c>
      <c r="W756">
        <v>2.0862361166543438E-2</v>
      </c>
      <c r="X756">
        <v>2.0313585804935138E-2</v>
      </c>
      <c r="Y756">
        <v>0</v>
      </c>
      <c r="Z756">
        <v>0</v>
      </c>
      <c r="AA756">
        <v>0.54926114192094988</v>
      </c>
      <c r="AB756">
        <v>9.253044249266501E-2</v>
      </c>
      <c r="AC756">
        <v>0</v>
      </c>
      <c r="AD756">
        <v>0</v>
      </c>
      <c r="AE756">
        <v>0</v>
      </c>
      <c r="AF756">
        <v>0.13876303026813708</v>
      </c>
      <c r="AG756">
        <v>0</v>
      </c>
      <c r="AH756">
        <v>0</v>
      </c>
      <c r="AI756">
        <v>0</v>
      </c>
      <c r="AK756">
        <v>0.1647037878859143</v>
      </c>
    </row>
    <row r="757" spans="1:37" x14ac:dyDescent="0.25">
      <c r="A757" t="s">
        <v>128</v>
      </c>
      <c r="B757" t="s">
        <v>145</v>
      </c>
      <c r="C757" t="s">
        <v>117</v>
      </c>
      <c r="D757" s="12">
        <v>46249</v>
      </c>
      <c r="G757">
        <v>41.946222842490528</v>
      </c>
      <c r="H757">
        <v>28.5</v>
      </c>
      <c r="K757">
        <v>28.5</v>
      </c>
      <c r="N757">
        <v>44.06812283737024</v>
      </c>
      <c r="R757">
        <v>6.9204480744603405E-2</v>
      </c>
      <c r="S757">
        <v>0</v>
      </c>
      <c r="T757">
        <v>1.1069451561136314E-2</v>
      </c>
      <c r="U757">
        <v>0</v>
      </c>
      <c r="V757">
        <v>0</v>
      </c>
      <c r="W757">
        <v>0</v>
      </c>
      <c r="X757">
        <v>1.6422259056686296E-2</v>
      </c>
      <c r="Y757">
        <v>0</v>
      </c>
      <c r="Z757">
        <v>6.194069792240095E-2</v>
      </c>
      <c r="AA757">
        <v>0.21208465052077721</v>
      </c>
      <c r="AB757">
        <v>3.5040540351400862E-2</v>
      </c>
      <c r="AC757">
        <v>0</v>
      </c>
      <c r="AD757">
        <v>0</v>
      </c>
      <c r="AE757">
        <v>0</v>
      </c>
      <c r="AF757">
        <v>0.59000898257187862</v>
      </c>
      <c r="AG757">
        <v>0</v>
      </c>
      <c r="AH757">
        <v>0</v>
      </c>
      <c r="AI757">
        <v>0</v>
      </c>
      <c r="AK757">
        <v>0</v>
      </c>
    </row>
    <row r="758" spans="1:37" x14ac:dyDescent="0.25">
      <c r="A758" t="s">
        <v>128</v>
      </c>
      <c r="B758" t="s">
        <v>146</v>
      </c>
      <c r="C758" t="s">
        <v>117</v>
      </c>
      <c r="D758" s="12">
        <v>46249</v>
      </c>
      <c r="G758">
        <v>41.899846569613139</v>
      </c>
      <c r="H758">
        <v>14.25</v>
      </c>
      <c r="K758">
        <v>14.25</v>
      </c>
      <c r="N758">
        <v>44.06812283737024</v>
      </c>
      <c r="R758">
        <v>8.1035579945610794E-2</v>
      </c>
      <c r="S758">
        <v>0</v>
      </c>
      <c r="T758">
        <v>0</v>
      </c>
      <c r="U758">
        <v>0</v>
      </c>
      <c r="V758">
        <v>0</v>
      </c>
      <c r="W758">
        <v>1.6337066448002167E-2</v>
      </c>
      <c r="X758">
        <v>5.0688380825464332E-3</v>
      </c>
      <c r="Y758">
        <v>0</v>
      </c>
      <c r="Z758">
        <v>0</v>
      </c>
      <c r="AA758">
        <v>0.65328984977288573</v>
      </c>
      <c r="AB758">
        <v>3.4355391593067837E-2</v>
      </c>
      <c r="AC758">
        <v>0</v>
      </c>
      <c r="AD758">
        <v>0</v>
      </c>
      <c r="AE758">
        <v>0</v>
      </c>
      <c r="AF758">
        <v>0.22673114051185209</v>
      </c>
      <c r="AG758">
        <v>0</v>
      </c>
      <c r="AH758">
        <v>0</v>
      </c>
      <c r="AI758">
        <v>0</v>
      </c>
      <c r="AK758">
        <v>8.5623618122194406E-2</v>
      </c>
    </row>
    <row r="759" spans="1:37" x14ac:dyDescent="0.25">
      <c r="A759" t="s">
        <v>128</v>
      </c>
      <c r="B759" t="s">
        <v>145</v>
      </c>
      <c r="C759" t="s">
        <v>117</v>
      </c>
      <c r="D759" s="12">
        <v>46250</v>
      </c>
      <c r="G759">
        <v>40.046084309064085</v>
      </c>
      <c r="H759">
        <v>24.7</v>
      </c>
      <c r="K759">
        <v>24.7</v>
      </c>
      <c r="N759">
        <v>42.453719723183383</v>
      </c>
      <c r="R759">
        <v>7.7716128895580952E-2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1.1671413085474059E-2</v>
      </c>
      <c r="Y759">
        <v>0</v>
      </c>
      <c r="Z759">
        <v>1.5607019032783085E-3</v>
      </c>
      <c r="AA759">
        <v>0.28783093256515119</v>
      </c>
      <c r="AB759">
        <v>2.9265923209594702E-2</v>
      </c>
      <c r="AC759">
        <v>0</v>
      </c>
      <c r="AD759">
        <v>0</v>
      </c>
      <c r="AE759">
        <v>0</v>
      </c>
      <c r="AF759">
        <v>0.60355727718683583</v>
      </c>
      <c r="AG759">
        <v>0</v>
      </c>
      <c r="AH759">
        <v>0</v>
      </c>
      <c r="AI759">
        <v>0</v>
      </c>
      <c r="AK759">
        <v>0</v>
      </c>
    </row>
    <row r="760" spans="1:37" x14ac:dyDescent="0.25">
      <c r="A760" t="s">
        <v>128</v>
      </c>
      <c r="B760" t="s">
        <v>146</v>
      </c>
      <c r="C760" t="s">
        <v>117</v>
      </c>
      <c r="D760" s="12">
        <v>46250</v>
      </c>
      <c r="G760">
        <v>39.970417738958275</v>
      </c>
      <c r="H760">
        <v>14.249999999999998</v>
      </c>
      <c r="K760">
        <v>14.249999999999998</v>
      </c>
      <c r="N760">
        <v>42.453719723183383</v>
      </c>
      <c r="R760">
        <v>8.4474210798321195E-2</v>
      </c>
      <c r="S760">
        <v>0</v>
      </c>
      <c r="T760">
        <v>0</v>
      </c>
      <c r="U760">
        <v>0</v>
      </c>
      <c r="V760">
        <v>0</v>
      </c>
      <c r="W760">
        <v>1.7125679847515795E-2</v>
      </c>
      <c r="X760">
        <v>5.3135180956065441E-3</v>
      </c>
      <c r="Y760">
        <v>0</v>
      </c>
      <c r="Z760">
        <v>0</v>
      </c>
      <c r="AA760">
        <v>0.53931197618979165</v>
      </c>
      <c r="AB760">
        <v>2.7659231752785955E-2</v>
      </c>
      <c r="AC760">
        <v>0</v>
      </c>
      <c r="AD760">
        <v>0</v>
      </c>
      <c r="AE760">
        <v>0</v>
      </c>
      <c r="AF760">
        <v>0.23767577467023973</v>
      </c>
      <c r="AG760">
        <v>0</v>
      </c>
      <c r="AH760">
        <v>0</v>
      </c>
      <c r="AI760">
        <v>0</v>
      </c>
      <c r="AK760">
        <v>8.9756791772489353E-2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430B266-53C0-41AB-B031-A9D00437F9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30DA8C-6012-47E1-B59D-5757DA4D5C55}">
  <ds:schemaRefs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a6ef9c2c-1ad1-4c09-9d1c-8c71a768c11f"/>
    <ds:schemaRef ds:uri="f574b478-68e4-495d-9b17-0f93d51a8ef7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05AE2428-9785-4577-8B6E-315F42DC8E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CDFC47C-1447-4337-BA3D-135A6AAD4B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Unit1Path</vt:lpstr>
      <vt:lpstr>FILEPATH</vt:lpstr>
      <vt:lpstr>DateAlignment!!</vt:lpstr>
      <vt:lpstr>Masterlist</vt:lpstr>
      <vt:lpstr>IMPORT Table_Masterlist</vt:lpstr>
      <vt:lpstr>InefficienciesAGL2Day32</vt:lpstr>
      <vt:lpstr>IMPORT InefficienciesAGL2Day321</vt:lpstr>
      <vt:lpstr>FILEPATH!Client</vt:lpstr>
      <vt:lpstr>Unit1Path!Client</vt:lpstr>
      <vt:lpstr>FILEPATH!Location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2023-01-07T08:03:22Z</dcterms:created>
  <dcterms:modified xsi:type="dcterms:W3CDTF">2026-09-19T01:41:55Z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0x010100ABD36E94C2999741AC3D1AE3220151AC</vt:lpwstr>
  </property>
  <property fmtid="{D5CDD505-2E9C-101B-9397-08002B2CF9AE}" pid="3" name="MediaServiceImageTags">
    <vt:lpwstr/>
  </property>
</Properties>
</file>