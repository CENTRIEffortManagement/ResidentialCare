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Change\"/>
    </mc:Choice>
  </mc:AlternateContent>
  <xr:revisionPtr revIDLastSave="0" documentId="13_ncr:1_{800DF0C1-A508-4239-A3D1-0147F150CB79}" xr6:coauthVersionLast="47" xr6:coauthVersionMax="47" xr10:uidLastSave="{00000000-0000-0000-0000-000000000000}"/>
  <bookViews>
    <workbookView xWindow="-120" yWindow="-120" windowWidth="38640" windowHeight="21120" xr2:uid="{E8C360A6-1311-47E5-9888-4E0F24033B76}"/>
  </bookViews>
  <sheets>
    <sheet name="FILEPATH" sheetId="4" r:id="rId1"/>
    <sheet name="RevisedAllocated" sheetId="3" r:id="rId2"/>
    <sheet name="Sheet1" sheetId="1" r:id="rId3"/>
  </sheets>
  <externalReferences>
    <externalReference r:id="rId4"/>
  </externalReferences>
  <definedNames>
    <definedName name="Client">FILEPATH!$B$30</definedName>
    <definedName name="Date">FILEPATH!$B$33</definedName>
    <definedName name="Directory" localSheetId="0">#REF!</definedName>
    <definedName name="Directory">#REF!</definedName>
    <definedName name="ExternalData_2" localSheetId="1" hidden="1">RevisedAllocated!$A$1:$E$88</definedName>
    <definedName name="FTE">FILEPATH!$K$3</definedName>
    <definedName name="HRS">FILEPATH!$K$2</definedName>
    <definedName name="Location">FILEPATH!#REF!</definedName>
    <definedName name="MAIT_date_adjusted_for_example">FILEPATH!$C$1</definedName>
    <definedName name="Max_HRS">#REF!</definedName>
    <definedName name="Type">FILEPATH!$B$31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 a="1"/>
  <c r="B20" i="4" s="1"/>
  <c r="E7" i="4"/>
  <c r="B6" i="4" a="1"/>
  <c r="B6" i="4" s="1"/>
  <c r="B4" i="4" a="1"/>
  <c r="B4" i="4" s="1"/>
  <c r="C1" i="4"/>
  <c r="C6" i="4" l="1"/>
  <c r="E6" i="4"/>
  <c r="C7" i="4"/>
  <c r="C8" i="4"/>
  <c r="C11" i="4"/>
  <c r="C20" i="4"/>
  <c r="C23" i="4" s="1"/>
  <c r="B26" i="4"/>
  <c r="C9" i="4" l="1"/>
  <c r="B13" i="4" s="1"/>
  <c r="B14" i="4" s="1"/>
  <c r="B3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066B7-4B49-4F5B-B440-FA08B865D031}" keepAlive="1" name="Query - Allocation" description="Connection to the 'Allocation' query in the workbook." type="5" refreshedVersion="0" background="1">
    <dbPr connection="Provider=Microsoft.Mashup.OleDb.1;Data Source=$Workbook$;Location=Allocation;Extended Properties=&quot;&quot;" command="SELECT * FROM [Allocation]"/>
  </connection>
  <connection id="2" xr16:uid="{BCB6268A-B09D-4535-9E99-E5AEC5F291EA}" keepAlive="1" name="Query - Changed Allocation" description="Connection to the 'Changed Allocation' query in the workbook." type="5" refreshedVersion="8" background="1" saveData="1">
    <dbPr connection="Provider=Microsoft.Mashup.OleDb.1;Data Source=$Workbook$;Location=&quot;Changed Allocation&quot;;Extended Properties=&quot;&quot;" command="SELECT * FROM [Changed Allocation]"/>
  </connection>
  <connection id="3" xr16:uid="{027DACC7-8D67-457E-852F-8360CDA10837}" keepAlive="1" name="Query - DateSHIFT" description="Connection to the 'DateSHIFT' query in the workbook." type="5" refreshedVersion="0" background="1">
    <dbPr connection="Provider=Microsoft.Mashup.OleDb.1;Data Source=$Workbook$;Location=DateSHIFT;Extended Properties=&quot;&quot;" command="SELECT * FROM [DateSHIFT]"/>
  </connection>
  <connection id="4" xr16:uid="{C39F8C92-C31E-4F78-9BCA-D31474083039}" keepAlive="1" name="Query - RevisedAllocated" description="Connection to the 'RevisedAllocated' query in the workbook." type="5" refreshedVersion="8" background="1" saveData="1">
    <dbPr connection="Provider=Microsoft.Mashup.OleDb.1;Data Source=$Workbook$;Location=RevisedAllocated;Extended Properties=&quot;&quot;" command="SELECT * FROM [RevisedAllocated]"/>
  </connection>
  <connection id="5" xr16:uid="{06FF705B-764F-4E9C-96F7-C8B28F4F821E}" keepAlive="1" name="Query - ShiftDuration" description="Connection to the 'ShiftDuration' query in the workbook." type="5" refreshedVersion="0" background="1">
    <dbPr connection="Provider=Microsoft.Mashup.OleDb.1;Data Source=$Workbook$;Location=ShiftDuration;Extended Properties=&quot;&quot;" command="SELECT * FROM [ShiftDuration]"/>
  </connection>
  <connection id="6" xr16:uid="{17B563FF-374A-499B-B4B0-FCD292ACC378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7" xr16:uid="{633C8C4C-0BB3-4D4F-860D-EA00D5275773}" keepAlive="1" name="Query - Table_ChangesAllRoles" description="Connection to the 'Table_ChangesAllRoles' query in the workbook." type="5" refreshedVersion="0" background="1">
    <dbPr connection="Provider=Microsoft.Mashup.OleDb.1;Data Source=$Workbook$;Location=Table_ChangesAllRoles;Extended Properties=&quot;&quot;" command="SELECT * FROM [Table_ChangesAllRo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<sst xmlns="http://schemas.openxmlformats.org/spreadsheetml/2006/main" count="297" uniqueCount="36">
  <si>
    <t>Role</t>
  </si>
  <si>
    <t>MAIT</t>
  </si>
  <si>
    <t>Carer</t>
  </si>
  <si>
    <t>AM</t>
  </si>
  <si>
    <t>PM</t>
  </si>
  <si>
    <t>NIGHT</t>
  </si>
  <si>
    <t>Registered Nurse</t>
  </si>
  <si>
    <t>ShiftPeriod</t>
  </si>
  <si>
    <t>RevisedAllocation</t>
  </si>
  <si>
    <t>MAIT date adjusted for example</t>
  </si>
  <si>
    <t>UNITS</t>
  </si>
  <si>
    <t>HRS/FTE</t>
  </si>
  <si>
    <t>HRS</t>
  </si>
  <si>
    <t>FTE</t>
  </si>
  <si>
    <t>SharedPath</t>
  </si>
  <si>
    <t>Client</t>
  </si>
  <si>
    <t>ROLE</t>
  </si>
  <si>
    <t>FACILITY</t>
  </si>
  <si>
    <t>Type</t>
  </si>
  <si>
    <t>04 Analysis</t>
  </si>
  <si>
    <t>Berry</t>
  </si>
  <si>
    <t>Settings Directory</t>
  </si>
  <si>
    <t>2. Calculations</t>
  </si>
  <si>
    <t xml:space="preserve">This file </t>
  </si>
  <si>
    <t>ResidualAllocation-ALL-loaded.xlsx</t>
  </si>
  <si>
    <t>Facility</t>
  </si>
  <si>
    <t>not required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</si>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</sst>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4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16" fontId="3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2" fillId="0" borderId="1" xfId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9" fillId="0" borderId="0" xfId="1" applyFont="1" applyAlignment="1">
      <alignment horizontal="left" vertical="top"/>
    </xf>
  </cellXfs>
  <cellStyles count="2">
    <cellStyle name="Normal" xfId="0" builtinId="0"/>
    <cellStyle name="Normal 2" xfId="1" xr:uid="{65C9DFDF-C391-48AA-B704-E2BFAB445186}"/>
  </cellStyles>
  <dxfs count="9">
    <dxf>
      <numFmt numFmtId="0" formatCode="General"/>
    </dxf>
    <dxf>
      <numFmt numFmtId="19" formatCode="d/mm/yyyy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</sheetNames>
    <definedNames>
      <definedName name="Client" refersTo="='Computerpath'!$B$14"/>
      <definedName name="Computerpath" refersTo="='Computerpath'!$B$15"/>
    </definedNames>
    <sheetDataSet>
      <sheetData sheetId="0">
        <row r="14">
          <cell r="B14" t="str">
            <v>04.1 PoC</v>
          </cell>
        </row>
        <row r="15">
          <cell r="B15" t="str">
            <v>C:\Users\Alex\Centri\2. Accounts - 2.0 RFBI\04.1 PoC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4BB6891-ECC3-49BC-8484-521EEAF04A54}" autoFormatId="16" applyNumberFormats="0" applyBorderFormats="0" applyFontFormats="0" applyPatternFormats="0" applyAlignmentFormats="0" applyWidthHeightFormats="0">
  <queryTableRefresh nextId="23">
    <queryTableFields count="5">
      <queryTableField id="6" name="RevisedAllocation" tableColumnId="6"/>
      <queryTableField id="3" name="Role" tableColumnId="3"/>
      <queryTableField id="13" name="Date" tableColumnId="1"/>
      <queryTableField id="2" name="ShiftPeriod" tableColumnId="2"/>
      <queryTableField id="17" name="Facility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86B0B-47CB-4D3B-B8DB-9933FA2013D6}" name="Folder" displayName="Folder" ref="B35:B36" totalsRowShown="0" dataDxfId="8" dataCellStyle="Normal 2">
  <autoFilter ref="B35:B36" xr:uid="{56272DB7-7BB8-46CC-B188-5BD9424345D9}"/>
  <tableColumns count="1">
    <tableColumn id="1" xr3:uid="{D9A41F07-B23B-43EE-8CA3-F3A7B3A0CCF0}" name="Folder" dataDxfId="7" dataCellStyle="Normal 2">
      <calculatedColumnFormula>B20&amp;"\"&amp;B7&amp;"\"&amp;B14&amp;"\"&amp;B15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3B3D2B-959C-44C6-84F6-9AE6651E06D2}" name="Table5" displayName="Table5" ref="J1:K3" totalsRowShown="0" headerRowDxfId="6" dataDxfId="5" headerRowCellStyle="Normal 2" dataCellStyle="Normal 2">
  <autoFilter ref="J1:K3" xr:uid="{13CB6996-BCA1-4642-84EA-9E443151A681}"/>
  <tableColumns count="2">
    <tableColumn id="1" xr3:uid="{2EF32471-AB61-4933-A273-E9720200C541}" name="UNITS" dataDxfId="4" dataCellStyle="Normal 2"/>
    <tableColumn id="2" xr3:uid="{1281B368-1B8B-4046-AF66-C9EAF9E72318}" name="HRS/FTE" dataDxfId="3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47E3E-3252-46E5-825E-D91A549BF242}" name="Table_RevisedAllocated" displayName="Table_RevisedAllocated" ref="A1:E88" tableType="queryTable" totalsRowShown="0">
  <autoFilter ref="A1:E88" xr:uid="{78547E3E-3252-46E5-825E-D91A549BF242}"/>
  <tableColumns count="5">
    <tableColumn id="6" xr3:uid="{D71A1767-9B52-484D-B66A-A8A6D70D40D7}" uniqueName="6" name="RevisedAllocation" queryTableFieldId="6"/>
    <tableColumn id="3" xr3:uid="{76E29D61-343B-4025-A94F-C9FCAAF62585}" uniqueName="3" name="Role" queryTableFieldId="3" dataDxfId="2"/>
    <tableColumn id="1" xr3:uid="{0B1EFBE5-DF2D-4888-8F1B-3B10A3E040B0}" uniqueName="1" name="Date" queryTableFieldId="13" dataDxfId="1"/>
    <tableColumn id="2" xr3:uid="{9E7CE535-7630-43E6-A5F4-3552E918E7C2}" uniqueName="2" name="ShiftPeriod" queryTableFieldId="2" dataDxfId="0"/>
    <tableColumn id="4" xr3:uid="{B242DED2-47FA-488A-950A-2A6727A02233}" uniqueName="4" name="Facilit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C1AE-5258-407E-8EB1-B6AB289BF9ED}">
  <sheetPr codeName="Sheet3"/>
  <dimension ref="A1:R49"/>
  <sheetViews>
    <sheetView tabSelected="1" workbookViewId="0">
      <selection activeCell="M28" sqref="M28:M32"/>
    </sheetView>
  </sheetViews>
  <sheetFormatPr defaultColWidth="9.140625" defaultRowHeight="12.75" x14ac:dyDescent="0.25"/>
  <cols>
    <col min="1" max="1" width="18.5703125" style="2" customWidth="1"/>
    <col min="2" max="2" width="91.42578125" style="2" customWidth="1"/>
    <col min="3" max="3" width="12.85546875" style="2" customWidth="1"/>
    <col min="4" max="4" width="9.140625" style="2"/>
    <col min="5" max="5" width="9.42578125" style="2" bestFit="1" customWidth="1"/>
    <col min="6" max="6" width="9.28515625" style="2" bestFit="1" customWidth="1"/>
    <col min="7" max="10" width="9.140625" style="2"/>
    <col min="11" max="11" width="10.5703125" style="2" customWidth="1"/>
    <col min="12" max="16384" width="9.140625" style="2"/>
  </cols>
  <sheetData>
    <row r="1" spans="1:12" ht="26.25" customHeight="1" x14ac:dyDescent="0.25">
      <c r="B1" s="3" t="s">
        <v>9</v>
      </c>
      <c r="C1" s="3">
        <f>F1-E1</f>
        <v>28</v>
      </c>
      <c r="D1" s="3"/>
      <c r="E1" s="4">
        <v>45068</v>
      </c>
      <c r="F1" s="4">
        <v>45096</v>
      </c>
      <c r="J1" s="2" t="s">
        <v>10</v>
      </c>
      <c r="K1" s="2" t="s">
        <v>11</v>
      </c>
    </row>
    <row r="2" spans="1:12" x14ac:dyDescent="0.25">
      <c r="J2" s="2" t="s">
        <v>12</v>
      </c>
      <c r="K2" s="2">
        <v>1</v>
      </c>
    </row>
    <row r="3" spans="1:12" x14ac:dyDescent="0.25">
      <c r="J3" s="2" t="s">
        <v>13</v>
      </c>
      <c r="K3" s="2">
        <v>7.6</v>
      </c>
    </row>
    <row r="4" spans="1:12" x14ac:dyDescent="0.25">
      <c r="A4" s="5" t="s">
        <v>14</v>
      </c>
      <c r="B4" s="5" t="str" cm="1">
        <f t="array" aca="1" ref="B4" ca="1">CELL("filename",E19)</f>
        <v>C:\Users\Alex\CentriNOTSYNC\ResidentialCare\CLIENT\DATExx-Whiddon\2. Calculations\Change\[AllocationChange.xlsx]FILEPATH</v>
      </c>
    </row>
    <row r="5" spans="1:12" x14ac:dyDescent="0.25">
      <c r="A5" s="5"/>
      <c r="B5" s="5"/>
    </row>
    <row r="6" spans="1:12" x14ac:dyDescent="0.25">
      <c r="A6" s="6" t="s">
        <v>15</v>
      </c>
      <c r="B6" s="6" t="str" cm="1">
        <f t="array" ref="B6">[1]!Client</f>
        <v>04.1 PoC</v>
      </c>
      <c r="C6" s="2" t="e">
        <f ca="1">FIND(B6,B4)</f>
        <v>#VALUE!</v>
      </c>
      <c r="E6" s="2">
        <f>LEN(B6)</f>
        <v>8</v>
      </c>
      <c r="J6" s="2" t="s">
        <v>16</v>
      </c>
      <c r="L6" s="2" t="s">
        <v>17</v>
      </c>
    </row>
    <row r="7" spans="1:12" x14ac:dyDescent="0.25">
      <c r="A7" s="7" t="s">
        <v>18</v>
      </c>
      <c r="B7" s="7" t="s">
        <v>19</v>
      </c>
      <c r="C7" s="2" t="e">
        <f ca="1">FIND(B7,B4)</f>
        <v>#VALUE!</v>
      </c>
      <c r="E7" s="2">
        <f>LEN(B7)</f>
        <v>11</v>
      </c>
      <c r="J7" s="2" t="s">
        <v>2</v>
      </c>
      <c r="L7" s="2" t="s">
        <v>20</v>
      </c>
    </row>
    <row r="8" spans="1:12" x14ac:dyDescent="0.25">
      <c r="A8" s="2" t="s">
        <v>21</v>
      </c>
      <c r="B8" s="2" t="s">
        <v>22</v>
      </c>
      <c r="C8" s="8">
        <f ca="1">FIND(B8,B4)</f>
        <v>67</v>
      </c>
      <c r="D8" s="7"/>
      <c r="J8" s="2" t="s">
        <v>6</v>
      </c>
      <c r="L8" s="2" t="s">
        <v>1</v>
      </c>
    </row>
    <row r="9" spans="1:12" x14ac:dyDescent="0.25">
      <c r="C9" s="2" t="e">
        <f ca="1">C8-C7</f>
        <v>#VALUE!</v>
      </c>
      <c r="D9" s="7"/>
    </row>
    <row r="10" spans="1:12" x14ac:dyDescent="0.25">
      <c r="D10" s="7"/>
    </row>
    <row r="11" spans="1:12" x14ac:dyDescent="0.25">
      <c r="A11" s="5" t="s">
        <v>23</v>
      </c>
      <c r="B11" s="7" t="s">
        <v>24</v>
      </c>
      <c r="C11" s="8" t="e">
        <f ca="1">FIND(B11,B4)</f>
        <v>#VALUE!</v>
      </c>
    </row>
    <row r="12" spans="1:12" x14ac:dyDescent="0.25">
      <c r="J12" s="2" t="s">
        <v>13</v>
      </c>
    </row>
    <row r="13" spans="1:12" x14ac:dyDescent="0.25">
      <c r="B13" s="9" t="e">
        <f ca="1">MID(B4,C6+2+E6+E7,C9-E7-2)</f>
        <v>#VALUE!</v>
      </c>
    </row>
    <row r="14" spans="1:12" x14ac:dyDescent="0.25">
      <c r="A14" s="7"/>
      <c r="B14" s="7" t="e">
        <f ca="1">LEFT(B13,6)</f>
        <v>#VALUE!</v>
      </c>
    </row>
    <row r="15" spans="1:12" x14ac:dyDescent="0.25">
      <c r="A15" s="5" t="s">
        <v>25</v>
      </c>
      <c r="C15" s="2" t="s">
        <v>26</v>
      </c>
    </row>
    <row r="16" spans="1:12" x14ac:dyDescent="0.25">
      <c r="A16" s="5"/>
    </row>
    <row r="17" spans="1:18" x14ac:dyDescent="0.25">
      <c r="A17" s="5"/>
    </row>
    <row r="19" spans="1:18" x14ac:dyDescent="0.25">
      <c r="A19" s="10" t="s">
        <v>27</v>
      </c>
    </row>
    <row r="20" spans="1:18" x14ac:dyDescent="0.25">
      <c r="A20" s="6" t="s">
        <v>28</v>
      </c>
      <c r="B20" s="6" t="str" cm="1">
        <f t="array" ref="B20">[1]!Computerpath</f>
        <v>C:\Users\Alex\Centri\2. Accounts - 2.0 RFBI\04.1 PoC</v>
      </c>
      <c r="C20" s="2">
        <f>LEN(B20)</f>
        <v>52</v>
      </c>
    </row>
    <row r="23" spans="1:18" x14ac:dyDescent="0.25">
      <c r="A23" s="5"/>
      <c r="B23" s="5"/>
      <c r="C23" s="2">
        <f>SUM(C20:C22)</f>
        <v>52</v>
      </c>
    </row>
    <row r="24" spans="1:18" x14ac:dyDescent="0.25">
      <c r="A24" s="5"/>
      <c r="B24" s="5"/>
    </row>
    <row r="25" spans="1:18" x14ac:dyDescent="0.25">
      <c r="A25" s="5"/>
      <c r="B25" s="5"/>
    </row>
    <row r="26" spans="1:18" x14ac:dyDescent="0.25">
      <c r="A26" s="5"/>
      <c r="B26" s="2" t="str">
        <f>B20&amp;"\"</f>
        <v>C:\Users\Alex\Centri\2. Accounts - 2.0 RFBI\04.1 PoC\</v>
      </c>
    </row>
    <row r="27" spans="1:18" x14ac:dyDescent="0.25">
      <c r="A27" s="5"/>
      <c r="B27" s="5"/>
    </row>
    <row r="28" spans="1:18" ht="15" x14ac:dyDescent="0.25">
      <c r="A28" s="11"/>
      <c r="B28" s="11"/>
      <c r="M28" s="12" t="s">
        <v>29</v>
      </c>
      <c r="N28" s="12"/>
      <c r="O28" s="12"/>
      <c r="P28" s="12"/>
      <c r="Q28" s="12"/>
      <c r="R28" s="12"/>
    </row>
    <row r="29" spans="1:18" x14ac:dyDescent="0.25">
      <c r="A29" s="2" t="s">
        <v>30</v>
      </c>
      <c r="M29" s="12" t="s">
        <v>31</v>
      </c>
      <c r="N29" s="12"/>
      <c r="O29" s="12"/>
      <c r="P29" s="12"/>
      <c r="Q29" s="12"/>
      <c r="R29" s="12"/>
    </row>
    <row r="30" spans="1:18" x14ac:dyDescent="0.25">
      <c r="A30" s="13"/>
      <c r="B30" s="13"/>
      <c r="M30" s="12" t="s">
        <v>32</v>
      </c>
      <c r="N30" s="12"/>
      <c r="O30" s="12"/>
      <c r="P30" s="12"/>
      <c r="Q30" s="12"/>
      <c r="R30" s="12"/>
    </row>
    <row r="31" spans="1:18" x14ac:dyDescent="0.25">
      <c r="A31" s="7"/>
      <c r="B31" s="7"/>
      <c r="M31" s="12" t="s">
        <v>32</v>
      </c>
      <c r="N31" s="12"/>
      <c r="O31" s="12"/>
      <c r="P31" s="12"/>
      <c r="Q31" s="12"/>
      <c r="R31" s="12"/>
    </row>
    <row r="32" spans="1:18" x14ac:dyDescent="0.25">
      <c r="M32" s="12" t="s">
        <v>33</v>
      </c>
      <c r="N32" s="12"/>
      <c r="O32" s="12"/>
      <c r="P32" s="12"/>
      <c r="Q32" s="12"/>
      <c r="R32" s="12"/>
    </row>
    <row r="33" spans="2:2" x14ac:dyDescent="0.25">
      <c r="B33" s="9"/>
    </row>
    <row r="35" spans="2:2" x14ac:dyDescent="0.25">
      <c r="B35" s="2" t="s">
        <v>34</v>
      </c>
    </row>
    <row r="36" spans="2:2" x14ac:dyDescent="0.25">
      <c r="B36" s="2" t="e">
        <f ca="1">B20&amp;"\"&amp;B7&amp;"\"&amp;B14&amp;"\"&amp;B15</f>
        <v>#VALUE!</v>
      </c>
    </row>
    <row r="49" spans="2:2" x14ac:dyDescent="0.25">
      <c r="B49" s="5"/>
    </row>
  </sheetData>
  <dataValidations count="1">
    <dataValidation type="list" allowBlank="1" showInputMessage="1" showErrorMessage="1" sqref="J12" xr:uid="{4983C16B-AE61-48A6-9A26-126BEC3A9C4D}">
      <formula1>$J$2:$J$3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8926-628D-49B9-A9E0-ECD53E6126BF}">
  <dimension ref="A1:E88"/>
  <sheetViews>
    <sheetView workbookViewId="0">
      <selection activeCell="C30" sqref="C30"/>
    </sheetView>
  </sheetViews>
  <sheetFormatPr defaultRowHeight="15" x14ac:dyDescent="0.25"/>
  <cols>
    <col min="1" max="1" width="19.5703125" bestFit="1" customWidth="1"/>
    <col min="2" max="2" width="16.42578125" bestFit="1" customWidth="1"/>
    <col min="3" max="3" width="10.7109375" bestFit="1" customWidth="1"/>
    <col min="4" max="4" width="13.28515625" bestFit="1" customWidth="1"/>
    <col min="5" max="5" width="9.5703125" bestFit="1" customWidth="1"/>
    <col min="6" max="6" width="16.42578125" bestFit="1" customWidth="1"/>
    <col min="7" max="7" width="10.7109375" bestFit="1" customWidth="1"/>
    <col min="8" max="8" width="18.5703125" bestFit="1" customWidth="1"/>
    <col min="9" max="9" width="19.5703125" bestFit="1" customWidth="1"/>
    <col min="10" max="10" width="18" bestFit="1" customWidth="1"/>
    <col min="11" max="11" width="19.5703125" bestFit="1" customWidth="1"/>
  </cols>
  <sheetData>
    <row r="1" spans="1:5" x14ac:dyDescent="0.25">
      <c r="A1" t="s">
        <v>8</v>
      </c>
      <c r="B1" t="s">
        <v>0</v>
      </c>
      <c r="C1" t="s">
        <v>35</v>
      </c>
      <c r="D1" t="s">
        <v>7</v>
      </c>
      <c r="E1" t="s">
        <v>25</v>
      </c>
    </row>
    <row r="2" spans="1:5" x14ac:dyDescent="0.25">
      <c r="A2">
        <v>11.073529411764701</v>
      </c>
      <c r="B2" t="s">
        <v>2</v>
      </c>
      <c r="C2" s="1">
        <v>45096</v>
      </c>
      <c r="D2" t="s">
        <v>3</v>
      </c>
      <c r="E2" t="s">
        <v>1</v>
      </c>
    </row>
    <row r="3" spans="1:5" x14ac:dyDescent="0.25">
      <c r="A3">
        <v>4.7174862132352944</v>
      </c>
      <c r="B3" t="s">
        <v>2</v>
      </c>
      <c r="C3" s="1">
        <v>45096</v>
      </c>
      <c r="D3" t="s">
        <v>5</v>
      </c>
      <c r="E3" t="s">
        <v>1</v>
      </c>
    </row>
    <row r="4" spans="1:5" x14ac:dyDescent="0.25">
      <c r="A4">
        <v>9.0197368421052531</v>
      </c>
      <c r="B4" t="s">
        <v>2</v>
      </c>
      <c r="C4" s="1">
        <v>45096</v>
      </c>
      <c r="D4" t="s">
        <v>4</v>
      </c>
      <c r="E4" t="s">
        <v>1</v>
      </c>
    </row>
    <row r="5" spans="1:5" x14ac:dyDescent="0.25">
      <c r="A5">
        <v>11.516888786764705</v>
      </c>
      <c r="B5" t="s">
        <v>2</v>
      </c>
      <c r="C5" s="1">
        <v>45097</v>
      </c>
      <c r="D5" t="s">
        <v>3</v>
      </c>
      <c r="E5" t="s">
        <v>1</v>
      </c>
    </row>
    <row r="6" spans="1:5" x14ac:dyDescent="0.25">
      <c r="A6">
        <v>9.5156249999999929</v>
      </c>
      <c r="B6" t="s">
        <v>2</v>
      </c>
      <c r="C6" s="1">
        <v>45097</v>
      </c>
      <c r="D6" t="s">
        <v>4</v>
      </c>
      <c r="E6" t="s">
        <v>1</v>
      </c>
    </row>
    <row r="7" spans="1:5" x14ac:dyDescent="0.25">
      <c r="A7">
        <v>4.7174862132352944</v>
      </c>
      <c r="B7" t="s">
        <v>2</v>
      </c>
      <c r="C7" s="1">
        <v>45097</v>
      </c>
      <c r="D7" t="s">
        <v>5</v>
      </c>
      <c r="E7" t="s">
        <v>1</v>
      </c>
    </row>
    <row r="8" spans="1:5" x14ac:dyDescent="0.25">
      <c r="A8">
        <v>4.8092830882352944</v>
      </c>
      <c r="B8" t="s">
        <v>2</v>
      </c>
      <c r="C8" s="1">
        <v>45098</v>
      </c>
      <c r="D8" t="s">
        <v>5</v>
      </c>
      <c r="E8" t="s">
        <v>1</v>
      </c>
    </row>
    <row r="9" spans="1:5" x14ac:dyDescent="0.25">
      <c r="A9">
        <v>11.513599313080496</v>
      </c>
      <c r="B9" t="s">
        <v>2</v>
      </c>
      <c r="C9" s="1">
        <v>45098</v>
      </c>
      <c r="D9" t="s">
        <v>3</v>
      </c>
      <c r="E9" t="s">
        <v>1</v>
      </c>
    </row>
    <row r="10" spans="1:5" x14ac:dyDescent="0.25">
      <c r="A10">
        <v>9.5156249999999929</v>
      </c>
      <c r="B10" t="s">
        <v>2</v>
      </c>
      <c r="C10" s="1">
        <v>45098</v>
      </c>
      <c r="D10" t="s">
        <v>4</v>
      </c>
      <c r="E10" t="s">
        <v>1</v>
      </c>
    </row>
    <row r="11" spans="1:5" x14ac:dyDescent="0.25">
      <c r="A11">
        <v>11.487591911764707</v>
      </c>
      <c r="B11" t="s">
        <v>2</v>
      </c>
      <c r="C11" s="1">
        <v>45099</v>
      </c>
      <c r="D11" t="s">
        <v>3</v>
      </c>
      <c r="E11" t="s">
        <v>1</v>
      </c>
    </row>
    <row r="12" spans="1:5" x14ac:dyDescent="0.25">
      <c r="A12">
        <v>4.5326589106037156</v>
      </c>
      <c r="B12" t="s">
        <v>2</v>
      </c>
      <c r="C12" s="1">
        <v>45099</v>
      </c>
      <c r="D12" t="s">
        <v>5</v>
      </c>
      <c r="E12" t="s">
        <v>1</v>
      </c>
    </row>
    <row r="13" spans="1:5" x14ac:dyDescent="0.25">
      <c r="A13">
        <v>9.0156249999999929</v>
      </c>
      <c r="B13" t="s">
        <v>2</v>
      </c>
      <c r="C13" s="1">
        <v>45099</v>
      </c>
      <c r="D13" t="s">
        <v>4</v>
      </c>
      <c r="E13" t="s">
        <v>1</v>
      </c>
    </row>
    <row r="14" spans="1:5" x14ac:dyDescent="0.25">
      <c r="A14">
        <v>4.8619146671826625</v>
      </c>
      <c r="B14" t="s">
        <v>2</v>
      </c>
      <c r="C14" s="1">
        <v>45100</v>
      </c>
      <c r="D14" t="s">
        <v>5</v>
      </c>
      <c r="E14" t="s">
        <v>1</v>
      </c>
    </row>
    <row r="15" spans="1:5" x14ac:dyDescent="0.25">
      <c r="A15">
        <v>8.8026315789473646</v>
      </c>
      <c r="B15" t="s">
        <v>2</v>
      </c>
      <c r="C15" s="1">
        <v>45100</v>
      </c>
      <c r="D15" t="s">
        <v>4</v>
      </c>
      <c r="E15" t="s">
        <v>1</v>
      </c>
    </row>
    <row r="16" spans="1:5" x14ac:dyDescent="0.25">
      <c r="A16">
        <v>11.464051615712071</v>
      </c>
      <c r="B16" t="s">
        <v>2</v>
      </c>
      <c r="C16" s="1">
        <v>45100</v>
      </c>
      <c r="D16" t="s">
        <v>3</v>
      </c>
      <c r="E16" t="s">
        <v>1</v>
      </c>
    </row>
    <row r="17" spans="1:5" x14ac:dyDescent="0.25">
      <c r="A17">
        <v>4.0066515092879262</v>
      </c>
      <c r="B17" t="s">
        <v>2</v>
      </c>
      <c r="C17" s="1">
        <v>45101</v>
      </c>
      <c r="D17" t="s">
        <v>5</v>
      </c>
      <c r="E17" t="s">
        <v>1</v>
      </c>
    </row>
    <row r="18" spans="1:5" x14ac:dyDescent="0.25">
      <c r="A18">
        <v>8.6249999999999929</v>
      </c>
      <c r="B18" t="s">
        <v>2</v>
      </c>
      <c r="C18" s="1">
        <v>45101</v>
      </c>
      <c r="D18" t="s">
        <v>4</v>
      </c>
      <c r="E18" t="s">
        <v>1</v>
      </c>
    </row>
    <row r="19" spans="1:5" x14ac:dyDescent="0.25">
      <c r="A19">
        <v>11.516374806501545</v>
      </c>
      <c r="B19" t="s">
        <v>2</v>
      </c>
      <c r="C19" s="1">
        <v>45101</v>
      </c>
      <c r="D19" t="s">
        <v>3</v>
      </c>
      <c r="E19" t="s">
        <v>1</v>
      </c>
    </row>
    <row r="20" spans="1:5" x14ac:dyDescent="0.25">
      <c r="A20">
        <v>8.6249999999999929</v>
      </c>
      <c r="B20" t="s">
        <v>2</v>
      </c>
      <c r="C20" s="1">
        <v>45102</v>
      </c>
      <c r="D20" t="s">
        <v>4</v>
      </c>
      <c r="E20" t="s">
        <v>1</v>
      </c>
    </row>
    <row r="21" spans="1:5" x14ac:dyDescent="0.25">
      <c r="A21">
        <v>11.503216911764703</v>
      </c>
      <c r="B21" t="s">
        <v>2</v>
      </c>
      <c r="C21" s="1">
        <v>45102</v>
      </c>
      <c r="D21" t="s">
        <v>3</v>
      </c>
      <c r="E21" t="s">
        <v>1</v>
      </c>
    </row>
    <row r="22" spans="1:5" x14ac:dyDescent="0.25">
      <c r="A22">
        <v>4.8619146671826625</v>
      </c>
      <c r="B22" t="s">
        <v>2</v>
      </c>
      <c r="C22" s="1">
        <v>45102</v>
      </c>
      <c r="D22" t="s">
        <v>5</v>
      </c>
      <c r="E22" t="s">
        <v>1</v>
      </c>
    </row>
    <row r="23" spans="1:5" x14ac:dyDescent="0.25">
      <c r="A23">
        <v>11.519664280185754</v>
      </c>
      <c r="B23" t="s">
        <v>2</v>
      </c>
      <c r="C23" s="1">
        <v>45103</v>
      </c>
      <c r="D23" t="s">
        <v>3</v>
      </c>
      <c r="E23" t="s">
        <v>1</v>
      </c>
    </row>
    <row r="24" spans="1:5" x14ac:dyDescent="0.25">
      <c r="A24">
        <v>4.7174862132352944</v>
      </c>
      <c r="B24" t="s">
        <v>2</v>
      </c>
      <c r="C24" s="1">
        <v>45103</v>
      </c>
      <c r="D24" t="s">
        <v>5</v>
      </c>
      <c r="E24" t="s">
        <v>1</v>
      </c>
    </row>
    <row r="25" spans="1:5" x14ac:dyDescent="0.25">
      <c r="A25">
        <v>8.9539473684210424</v>
      </c>
      <c r="B25" t="s">
        <v>2</v>
      </c>
      <c r="C25" s="1">
        <v>45103</v>
      </c>
      <c r="D25" t="s">
        <v>4</v>
      </c>
      <c r="E25" t="s">
        <v>1</v>
      </c>
    </row>
    <row r="26" spans="1:5" x14ac:dyDescent="0.25">
      <c r="A26">
        <v>11.516888786764705</v>
      </c>
      <c r="B26" t="s">
        <v>2</v>
      </c>
      <c r="C26" s="1">
        <v>45104</v>
      </c>
      <c r="D26" t="s">
        <v>3</v>
      </c>
      <c r="E26" t="s">
        <v>1</v>
      </c>
    </row>
    <row r="27" spans="1:5" x14ac:dyDescent="0.25">
      <c r="A27">
        <v>9.2524671052631504</v>
      </c>
      <c r="B27" t="s">
        <v>2</v>
      </c>
      <c r="C27" s="1">
        <v>45104</v>
      </c>
      <c r="D27" t="s">
        <v>4</v>
      </c>
      <c r="E27" t="s">
        <v>1</v>
      </c>
    </row>
    <row r="28" spans="1:5" x14ac:dyDescent="0.25">
      <c r="A28">
        <v>4.7174862132352944</v>
      </c>
      <c r="B28" t="s">
        <v>2</v>
      </c>
      <c r="C28" s="1">
        <v>45104</v>
      </c>
      <c r="D28" t="s">
        <v>5</v>
      </c>
      <c r="E28" t="s">
        <v>1</v>
      </c>
    </row>
    <row r="29" spans="1:5" x14ac:dyDescent="0.25">
      <c r="A29">
        <v>9.4568014705882284</v>
      </c>
      <c r="B29" t="s">
        <v>2</v>
      </c>
      <c r="C29" s="1">
        <v>45105</v>
      </c>
      <c r="D29" t="s">
        <v>4</v>
      </c>
      <c r="E29" t="s">
        <v>1</v>
      </c>
    </row>
    <row r="30" spans="1:5" x14ac:dyDescent="0.25">
      <c r="A30">
        <v>3.9537115421826625</v>
      </c>
      <c r="B30" t="s">
        <v>2</v>
      </c>
      <c r="C30" s="1">
        <v>45105</v>
      </c>
      <c r="D30" t="s">
        <v>5</v>
      </c>
      <c r="E30" t="s">
        <v>1</v>
      </c>
    </row>
    <row r="31" spans="1:5" x14ac:dyDescent="0.25">
      <c r="A31">
        <v>11.602028105650156</v>
      </c>
      <c r="B31" t="s">
        <v>2</v>
      </c>
      <c r="C31" s="1">
        <v>45105</v>
      </c>
      <c r="D31" t="s">
        <v>3</v>
      </c>
      <c r="E31" t="s">
        <v>1</v>
      </c>
    </row>
    <row r="32" spans="1:5" x14ac:dyDescent="0.25">
      <c r="A32">
        <v>11.458295036764707</v>
      </c>
      <c r="B32" t="s">
        <v>2</v>
      </c>
      <c r="C32" s="1">
        <v>45106</v>
      </c>
      <c r="D32" t="s">
        <v>3</v>
      </c>
      <c r="E32" t="s">
        <v>1</v>
      </c>
    </row>
    <row r="33" spans="1:5" x14ac:dyDescent="0.25">
      <c r="A33">
        <v>4.6880744485294121</v>
      </c>
      <c r="B33" t="s">
        <v>2</v>
      </c>
      <c r="C33" s="1">
        <v>45106</v>
      </c>
      <c r="D33" t="s">
        <v>5</v>
      </c>
      <c r="E33" t="s">
        <v>1</v>
      </c>
    </row>
    <row r="34" spans="1:5" x14ac:dyDescent="0.25">
      <c r="A34">
        <v>8.7226683436532468</v>
      </c>
      <c r="B34" t="s">
        <v>2</v>
      </c>
      <c r="C34" s="1">
        <v>45106</v>
      </c>
      <c r="D34" t="s">
        <v>4</v>
      </c>
      <c r="E34" t="s">
        <v>1</v>
      </c>
    </row>
    <row r="35" spans="1:5" x14ac:dyDescent="0.25">
      <c r="A35">
        <v>11.450276944659439</v>
      </c>
      <c r="B35" t="s">
        <v>2</v>
      </c>
      <c r="C35" s="1">
        <v>45107</v>
      </c>
      <c r="D35" t="s">
        <v>3</v>
      </c>
      <c r="E35" t="s">
        <v>1</v>
      </c>
    </row>
    <row r="36" spans="1:5" x14ac:dyDescent="0.25">
      <c r="A36">
        <v>4.7174862132352944</v>
      </c>
      <c r="B36" t="s">
        <v>2</v>
      </c>
      <c r="C36" s="1">
        <v>45107</v>
      </c>
      <c r="D36" t="s">
        <v>5</v>
      </c>
      <c r="E36" t="s">
        <v>1</v>
      </c>
    </row>
    <row r="37" spans="1:5" x14ac:dyDescent="0.25">
      <c r="A37">
        <v>8.8026315789473646</v>
      </c>
      <c r="B37" t="s">
        <v>2</v>
      </c>
      <c r="C37" s="1">
        <v>45107</v>
      </c>
      <c r="D37" t="s">
        <v>4</v>
      </c>
      <c r="E37" t="s">
        <v>1</v>
      </c>
    </row>
    <row r="38" spans="1:5" x14ac:dyDescent="0.25">
      <c r="A38">
        <v>11.397645365712071</v>
      </c>
      <c r="B38" t="s">
        <v>2</v>
      </c>
      <c r="C38" s="1">
        <v>45108</v>
      </c>
      <c r="D38" t="s">
        <v>3</v>
      </c>
      <c r="E38" t="s">
        <v>1</v>
      </c>
    </row>
    <row r="39" spans="1:5" x14ac:dyDescent="0.25">
      <c r="A39">
        <v>8.8026315789473646</v>
      </c>
      <c r="B39" t="s">
        <v>2</v>
      </c>
      <c r="C39" s="1">
        <v>45108</v>
      </c>
      <c r="D39" t="s">
        <v>4</v>
      </c>
      <c r="E39" t="s">
        <v>1</v>
      </c>
    </row>
    <row r="40" spans="1:5" x14ac:dyDescent="0.25">
      <c r="A40">
        <v>4.7174862132352944</v>
      </c>
      <c r="B40" t="s">
        <v>2</v>
      </c>
      <c r="C40" s="1">
        <v>45108</v>
      </c>
      <c r="D40" t="s">
        <v>5</v>
      </c>
      <c r="E40" t="s">
        <v>1</v>
      </c>
    </row>
    <row r="41" spans="1:5" x14ac:dyDescent="0.25">
      <c r="A41">
        <v>4.7416432856037147</v>
      </c>
      <c r="B41" t="s">
        <v>2</v>
      </c>
      <c r="C41" s="1">
        <v>45109</v>
      </c>
      <c r="D41" t="s">
        <v>5</v>
      </c>
      <c r="E41" t="s">
        <v>1</v>
      </c>
    </row>
    <row r="42" spans="1:5" x14ac:dyDescent="0.25">
      <c r="A42">
        <v>8.6249999999999929</v>
      </c>
      <c r="B42" t="s">
        <v>2</v>
      </c>
      <c r="C42" s="1">
        <v>45109</v>
      </c>
      <c r="D42" t="s">
        <v>4</v>
      </c>
      <c r="E42" t="s">
        <v>1</v>
      </c>
    </row>
    <row r="43" spans="1:5" x14ac:dyDescent="0.25">
      <c r="A43">
        <v>11.647645365712071</v>
      </c>
      <c r="B43" t="s">
        <v>2</v>
      </c>
      <c r="C43" s="1">
        <v>45109</v>
      </c>
      <c r="D43" t="s">
        <v>3</v>
      </c>
      <c r="E43" t="s">
        <v>1</v>
      </c>
    </row>
    <row r="44" spans="1:5" x14ac:dyDescent="0.25">
      <c r="A44">
        <v>1.8164062499999996</v>
      </c>
      <c r="B44" t="s">
        <v>2</v>
      </c>
      <c r="C44" s="1">
        <v>45110</v>
      </c>
      <c r="D44" t="s">
        <v>5</v>
      </c>
      <c r="E44" t="s">
        <v>1</v>
      </c>
    </row>
    <row r="45" spans="1:5" x14ac:dyDescent="0.25">
      <c r="A45">
        <v>0.93944964349376126</v>
      </c>
      <c r="B45" t="s">
        <v>6</v>
      </c>
      <c r="C45" s="1">
        <v>45096</v>
      </c>
      <c r="D45" t="s">
        <v>5</v>
      </c>
      <c r="E45" t="s">
        <v>1</v>
      </c>
    </row>
    <row r="46" spans="1:5" x14ac:dyDescent="0.25">
      <c r="A46">
        <v>2.526884191176471</v>
      </c>
      <c r="B46" t="s">
        <v>6</v>
      </c>
      <c r="C46" s="1">
        <v>45096</v>
      </c>
      <c r="D46" t="s">
        <v>3</v>
      </c>
      <c r="E46" t="s">
        <v>1</v>
      </c>
    </row>
    <row r="47" spans="1:5" x14ac:dyDescent="0.25">
      <c r="A47">
        <v>1.407519833591331</v>
      </c>
      <c r="B47" t="s">
        <v>6</v>
      </c>
      <c r="C47" s="1">
        <v>45096</v>
      </c>
      <c r="D47" t="s">
        <v>4</v>
      </c>
      <c r="E47" t="s">
        <v>1</v>
      </c>
    </row>
    <row r="48" spans="1:5" x14ac:dyDescent="0.25">
      <c r="A48">
        <v>0.93944964349376126</v>
      </c>
      <c r="B48" t="s">
        <v>6</v>
      </c>
      <c r="C48" s="1">
        <v>45097</v>
      </c>
      <c r="D48" t="s">
        <v>5</v>
      </c>
      <c r="E48" t="s">
        <v>1</v>
      </c>
    </row>
    <row r="49" spans="1:5" x14ac:dyDescent="0.25">
      <c r="A49">
        <v>1.9410650623885917</v>
      </c>
      <c r="B49" t="s">
        <v>6</v>
      </c>
      <c r="C49" s="1">
        <v>45097</v>
      </c>
      <c r="D49" t="s">
        <v>3</v>
      </c>
      <c r="E49" t="s">
        <v>1</v>
      </c>
    </row>
    <row r="50" spans="1:5" x14ac:dyDescent="0.25">
      <c r="A50">
        <v>1.0882352941176467</v>
      </c>
      <c r="B50" t="s">
        <v>6</v>
      </c>
      <c r="C50" s="1">
        <v>45097</v>
      </c>
      <c r="D50" t="s">
        <v>4</v>
      </c>
      <c r="E50" t="s">
        <v>1</v>
      </c>
    </row>
    <row r="51" spans="1:5" x14ac:dyDescent="0.25">
      <c r="A51">
        <v>0.9100378787878789</v>
      </c>
      <c r="B51" t="s">
        <v>6</v>
      </c>
      <c r="C51" s="1">
        <v>45098</v>
      </c>
      <c r="D51" t="s">
        <v>5</v>
      </c>
      <c r="E51" t="s">
        <v>1</v>
      </c>
    </row>
    <row r="52" spans="1:5" x14ac:dyDescent="0.25">
      <c r="A52">
        <v>0.11764705882352941</v>
      </c>
      <c r="B52" t="s">
        <v>6</v>
      </c>
      <c r="C52" s="1">
        <v>45098</v>
      </c>
      <c r="D52" t="s">
        <v>4</v>
      </c>
      <c r="E52" t="s">
        <v>1</v>
      </c>
    </row>
    <row r="53" spans="1:5" x14ac:dyDescent="0.25">
      <c r="A53">
        <v>1.9410650623885917</v>
      </c>
      <c r="B53" t="s">
        <v>6</v>
      </c>
      <c r="C53" s="1">
        <v>45098</v>
      </c>
      <c r="D53" t="s">
        <v>3</v>
      </c>
      <c r="E53" t="s">
        <v>1</v>
      </c>
    </row>
    <row r="54" spans="1:5" x14ac:dyDescent="0.25">
      <c r="A54">
        <v>0.97058823529411753</v>
      </c>
      <c r="B54" t="s">
        <v>6</v>
      </c>
      <c r="C54" s="1">
        <v>45099</v>
      </c>
      <c r="D54" t="s">
        <v>4</v>
      </c>
      <c r="E54" t="s">
        <v>1</v>
      </c>
    </row>
    <row r="55" spans="1:5" x14ac:dyDescent="0.25">
      <c r="A55">
        <v>1.9402910685805426</v>
      </c>
      <c r="B55" t="s">
        <v>6</v>
      </c>
      <c r="C55" s="1">
        <v>45099</v>
      </c>
      <c r="D55" t="s">
        <v>3</v>
      </c>
      <c r="E55" t="s">
        <v>1</v>
      </c>
    </row>
    <row r="56" spans="1:5" x14ac:dyDescent="0.25">
      <c r="A56">
        <v>0.93944964349376126</v>
      </c>
      <c r="B56" t="s">
        <v>6</v>
      </c>
      <c r="C56" s="1">
        <v>45099</v>
      </c>
      <c r="D56" t="s">
        <v>5</v>
      </c>
      <c r="E56" t="s">
        <v>1</v>
      </c>
    </row>
    <row r="57" spans="1:5" x14ac:dyDescent="0.25">
      <c r="A57">
        <v>1.9604149075898312</v>
      </c>
      <c r="B57" t="s">
        <v>6</v>
      </c>
      <c r="C57" s="1">
        <v>45100</v>
      </c>
      <c r="D57" t="s">
        <v>3</v>
      </c>
      <c r="E57" t="s">
        <v>1</v>
      </c>
    </row>
    <row r="58" spans="1:5" x14ac:dyDescent="0.25">
      <c r="A58">
        <v>1.9999999999999989</v>
      </c>
      <c r="B58" t="s">
        <v>6</v>
      </c>
      <c r="C58" s="1">
        <v>45100</v>
      </c>
      <c r="D58" t="s">
        <v>4</v>
      </c>
      <c r="E58" t="s">
        <v>1</v>
      </c>
    </row>
    <row r="59" spans="1:5" x14ac:dyDescent="0.25">
      <c r="A59">
        <v>0.9688614081996435</v>
      </c>
      <c r="B59" t="s">
        <v>6</v>
      </c>
      <c r="C59" s="1">
        <v>45100</v>
      </c>
      <c r="D59" t="s">
        <v>5</v>
      </c>
      <c r="E59" t="s">
        <v>1</v>
      </c>
    </row>
    <row r="60" spans="1:5" x14ac:dyDescent="0.25">
      <c r="A60">
        <v>1.947257012852988</v>
      </c>
      <c r="B60" t="s">
        <v>6</v>
      </c>
      <c r="C60" s="1">
        <v>45101</v>
      </c>
      <c r="D60" t="s">
        <v>3</v>
      </c>
      <c r="E60" t="s">
        <v>1</v>
      </c>
    </row>
    <row r="61" spans="1:5" x14ac:dyDescent="0.25">
      <c r="A61">
        <v>0.9688614081996435</v>
      </c>
      <c r="B61" t="s">
        <v>6</v>
      </c>
      <c r="C61" s="1">
        <v>45101</v>
      </c>
      <c r="D61" t="s">
        <v>5</v>
      </c>
      <c r="E61" t="s">
        <v>1</v>
      </c>
    </row>
    <row r="62" spans="1:5" x14ac:dyDescent="0.25">
      <c r="A62">
        <v>1.9999999999999989</v>
      </c>
      <c r="B62" t="s">
        <v>6</v>
      </c>
      <c r="C62" s="1">
        <v>45101</v>
      </c>
      <c r="D62" t="s">
        <v>4</v>
      </c>
      <c r="E62" t="s">
        <v>1</v>
      </c>
    </row>
    <row r="63" spans="1:5" x14ac:dyDescent="0.25">
      <c r="A63">
        <v>1.993034055727553</v>
      </c>
      <c r="B63" t="s">
        <v>6</v>
      </c>
      <c r="C63" s="1">
        <v>45102</v>
      </c>
      <c r="D63" t="s">
        <v>4</v>
      </c>
      <c r="E63" t="s">
        <v>1</v>
      </c>
    </row>
    <row r="64" spans="1:5" x14ac:dyDescent="0.25">
      <c r="A64">
        <v>0.9688614081996435</v>
      </c>
      <c r="B64" t="s">
        <v>6</v>
      </c>
      <c r="C64" s="1">
        <v>45102</v>
      </c>
      <c r="D64" t="s">
        <v>5</v>
      </c>
      <c r="E64" t="s">
        <v>1</v>
      </c>
    </row>
    <row r="65" spans="1:5" x14ac:dyDescent="0.25">
      <c r="A65">
        <v>1.9410650623885917</v>
      </c>
      <c r="B65" t="s">
        <v>6</v>
      </c>
      <c r="C65" s="1">
        <v>45102</v>
      </c>
      <c r="D65" t="s">
        <v>3</v>
      </c>
      <c r="E65" t="s">
        <v>1</v>
      </c>
    </row>
    <row r="66" spans="1:5" x14ac:dyDescent="0.25">
      <c r="A66">
        <v>2.5855963123885926</v>
      </c>
      <c r="B66" t="s">
        <v>6</v>
      </c>
      <c r="C66" s="1">
        <v>45103</v>
      </c>
      <c r="D66" t="s">
        <v>3</v>
      </c>
      <c r="E66" t="s">
        <v>1</v>
      </c>
    </row>
    <row r="67" spans="1:5" x14ac:dyDescent="0.25">
      <c r="A67">
        <v>1.3812040441176467</v>
      </c>
      <c r="B67" t="s">
        <v>6</v>
      </c>
      <c r="C67" s="1">
        <v>45103</v>
      </c>
      <c r="D67" t="s">
        <v>4</v>
      </c>
      <c r="E67" t="s">
        <v>1</v>
      </c>
    </row>
    <row r="68" spans="1:5" x14ac:dyDescent="0.25">
      <c r="A68">
        <v>0.93944964349376126</v>
      </c>
      <c r="B68" t="s">
        <v>6</v>
      </c>
      <c r="C68" s="1">
        <v>45103</v>
      </c>
      <c r="D68" t="s">
        <v>5</v>
      </c>
      <c r="E68" t="s">
        <v>1</v>
      </c>
    </row>
    <row r="69" spans="1:5" x14ac:dyDescent="0.25">
      <c r="A69">
        <v>1.0882352941176467</v>
      </c>
      <c r="B69" t="s">
        <v>6</v>
      </c>
      <c r="C69" s="1">
        <v>45104</v>
      </c>
      <c r="D69" t="s">
        <v>4</v>
      </c>
      <c r="E69" t="s">
        <v>1</v>
      </c>
    </row>
    <row r="70" spans="1:5" x14ac:dyDescent="0.25">
      <c r="A70">
        <v>0.93944964349376126</v>
      </c>
      <c r="B70" t="s">
        <v>6</v>
      </c>
      <c r="C70" s="1">
        <v>45104</v>
      </c>
      <c r="D70" t="s">
        <v>5</v>
      </c>
      <c r="E70" t="s">
        <v>1</v>
      </c>
    </row>
    <row r="71" spans="1:5" x14ac:dyDescent="0.25">
      <c r="A71">
        <v>1.9410650623885917</v>
      </c>
      <c r="B71" t="s">
        <v>6</v>
      </c>
      <c r="C71" s="1">
        <v>45104</v>
      </c>
      <c r="D71" t="s">
        <v>3</v>
      </c>
      <c r="E71" t="s">
        <v>1</v>
      </c>
    </row>
    <row r="72" spans="1:5" x14ac:dyDescent="0.25">
      <c r="A72">
        <v>0.11764705882352941</v>
      </c>
      <c r="B72" t="s">
        <v>6</v>
      </c>
      <c r="C72" s="1">
        <v>45105</v>
      </c>
      <c r="D72" t="s">
        <v>4</v>
      </c>
      <c r="E72" t="s">
        <v>1</v>
      </c>
    </row>
    <row r="73" spans="1:5" x14ac:dyDescent="0.25">
      <c r="A73">
        <v>1.9410650623885917</v>
      </c>
      <c r="B73" t="s">
        <v>6</v>
      </c>
      <c r="C73" s="1">
        <v>45105</v>
      </c>
      <c r="D73" t="s">
        <v>3</v>
      </c>
      <c r="E73" t="s">
        <v>1</v>
      </c>
    </row>
    <row r="74" spans="1:5" x14ac:dyDescent="0.25">
      <c r="A74">
        <v>1.0021431419457736</v>
      </c>
      <c r="B74" t="s">
        <v>6</v>
      </c>
      <c r="C74" s="1">
        <v>45105</v>
      </c>
      <c r="D74" t="s">
        <v>5</v>
      </c>
      <c r="E74" t="s">
        <v>1</v>
      </c>
    </row>
    <row r="75" spans="1:5" x14ac:dyDescent="0.25">
      <c r="A75">
        <v>0.9100378787878789</v>
      </c>
      <c r="B75" t="s">
        <v>6</v>
      </c>
      <c r="C75" s="1">
        <v>45106</v>
      </c>
      <c r="D75" t="s">
        <v>5</v>
      </c>
      <c r="E75" t="s">
        <v>1</v>
      </c>
    </row>
    <row r="76" spans="1:5" x14ac:dyDescent="0.25">
      <c r="A76">
        <v>1.8087121212121215</v>
      </c>
      <c r="B76" t="s">
        <v>6</v>
      </c>
      <c r="C76" s="1">
        <v>45106</v>
      </c>
      <c r="D76" t="s">
        <v>3</v>
      </c>
      <c r="E76" t="s">
        <v>1</v>
      </c>
    </row>
    <row r="77" spans="1:5" x14ac:dyDescent="0.25">
      <c r="A77">
        <v>0</v>
      </c>
      <c r="B77" t="s">
        <v>6</v>
      </c>
      <c r="C77" s="1">
        <v>45106</v>
      </c>
      <c r="D77" t="s">
        <v>4</v>
      </c>
      <c r="E77" t="s">
        <v>1</v>
      </c>
    </row>
    <row r="78" spans="1:5" x14ac:dyDescent="0.25">
      <c r="A78">
        <v>1.9805387465991162</v>
      </c>
      <c r="B78" t="s">
        <v>6</v>
      </c>
      <c r="C78" s="1">
        <v>45107</v>
      </c>
      <c r="D78" t="s">
        <v>3</v>
      </c>
      <c r="E78" t="s">
        <v>1</v>
      </c>
    </row>
    <row r="79" spans="1:5" x14ac:dyDescent="0.25">
      <c r="A79">
        <v>1.9272445820433426</v>
      </c>
      <c r="B79" t="s">
        <v>6</v>
      </c>
      <c r="C79" s="1">
        <v>45107</v>
      </c>
      <c r="D79" t="s">
        <v>4</v>
      </c>
      <c r="E79" t="s">
        <v>1</v>
      </c>
    </row>
    <row r="80" spans="1:5" x14ac:dyDescent="0.25">
      <c r="A80">
        <v>0.9688614081996435</v>
      </c>
      <c r="B80" t="s">
        <v>6</v>
      </c>
      <c r="C80" s="1">
        <v>45107</v>
      </c>
      <c r="D80" t="s">
        <v>5</v>
      </c>
      <c r="E80" t="s">
        <v>1</v>
      </c>
    </row>
    <row r="81" spans="1:5" x14ac:dyDescent="0.25">
      <c r="A81">
        <v>1.947257012852988</v>
      </c>
      <c r="B81" t="s">
        <v>6</v>
      </c>
      <c r="C81" s="1">
        <v>45108</v>
      </c>
      <c r="D81" t="s">
        <v>3</v>
      </c>
      <c r="E81" t="s">
        <v>1</v>
      </c>
    </row>
    <row r="82" spans="1:5" x14ac:dyDescent="0.25">
      <c r="A82">
        <v>1.9999999999999989</v>
      </c>
      <c r="B82" t="s">
        <v>6</v>
      </c>
      <c r="C82" s="1">
        <v>45108</v>
      </c>
      <c r="D82" t="s">
        <v>4</v>
      </c>
      <c r="E82" t="s">
        <v>1</v>
      </c>
    </row>
    <row r="83" spans="1:5" x14ac:dyDescent="0.25">
      <c r="A83">
        <v>0.9688614081996435</v>
      </c>
      <c r="B83" t="s">
        <v>6</v>
      </c>
      <c r="C83" s="1">
        <v>45108</v>
      </c>
      <c r="D83" t="s">
        <v>5</v>
      </c>
      <c r="E83" t="s">
        <v>1</v>
      </c>
    </row>
    <row r="84" spans="1:5" x14ac:dyDescent="0.25">
      <c r="A84">
        <v>1.0037248452012384</v>
      </c>
      <c r="B84" t="s">
        <v>6</v>
      </c>
      <c r="C84" s="1">
        <v>45109</v>
      </c>
      <c r="D84" t="s">
        <v>5</v>
      </c>
      <c r="E84" t="s">
        <v>1</v>
      </c>
    </row>
    <row r="85" spans="1:5" x14ac:dyDescent="0.25">
      <c r="A85">
        <v>1.9735728023266725</v>
      </c>
      <c r="B85" t="s">
        <v>6</v>
      </c>
      <c r="C85" s="1">
        <v>45109</v>
      </c>
      <c r="D85" t="s">
        <v>3</v>
      </c>
      <c r="E85" t="s">
        <v>1</v>
      </c>
    </row>
    <row r="86" spans="1:5" x14ac:dyDescent="0.25">
      <c r="A86">
        <v>1.9999999999999989</v>
      </c>
      <c r="B86" t="s">
        <v>6</v>
      </c>
      <c r="C86" s="1">
        <v>45109</v>
      </c>
      <c r="D86" t="s">
        <v>4</v>
      </c>
      <c r="E86" t="s">
        <v>1</v>
      </c>
    </row>
    <row r="87" spans="1:5" x14ac:dyDescent="0.25">
      <c r="A87">
        <v>2.9356060606060608E-2</v>
      </c>
      <c r="B87" t="s">
        <v>6</v>
      </c>
      <c r="C87" s="1">
        <v>45110</v>
      </c>
      <c r="D87" t="s">
        <v>3</v>
      </c>
      <c r="E87" t="s">
        <v>1</v>
      </c>
    </row>
    <row r="88" spans="1:5" x14ac:dyDescent="0.25">
      <c r="A88">
        <v>0.45501893939393934</v>
      </c>
      <c r="B88" t="s">
        <v>6</v>
      </c>
      <c r="C88" s="1">
        <v>45110</v>
      </c>
      <c r="D88" t="s">
        <v>5</v>
      </c>
      <c r="E88" t="s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08A9-4B9B-453A-8988-44CDB36582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6F85D8-5EC6-4E09-BB7D-F94EFD54C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882673-1967-4ABB-9CAE-EC43B44180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F8BF6A-931C-4E98-A294-35D6A27C377E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72BAA4F9-CE9D-485F-8A0B-08E9A6BFF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FILEPATH</vt:lpstr>
      <vt:lpstr>RevisedAllocated</vt:lpstr>
      <vt:lpstr>Sheet1</vt:lpstr>
      <vt:lpstr>Client</vt:lpstr>
      <vt:lpstr>Date</vt:lpstr>
      <vt:lpstr>FTE</vt:lpstr>
      <vt:lpstr>HRS</vt:lpstr>
      <vt:lpstr>MAIT_date_adjusted_for_example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2023-07-27T11:20:04Z</dcterms:created>
  <dcterms:modified xsi:type="dcterms:W3CDTF">2026-09-25T02:26:20Z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0x0101008BBE42521EE0684FB91080D193FD289B</vt:lpwstr>
  </property>
</Properties>
</file>