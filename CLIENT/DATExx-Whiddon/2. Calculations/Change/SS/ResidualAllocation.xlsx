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Change\SS\"/>
    </mc:Choice>
  </mc:AlternateContent>
  <xr:revisionPtr revIDLastSave="0" documentId="13_ncr:1_{CBF19B0C-C554-4C89-8B25-740D39D65728}" xr6:coauthVersionLast="47" xr6:coauthVersionMax="47" xr10:uidLastSave="{00000000-0000-0000-0000-000000000000}"/>
  <bookViews>
    <workbookView xWindow="-120" yWindow="-120" windowWidth="38640" windowHeight="21120" activeTab="5" xr2:uid="{6DD06AAA-E611-4F71-AE50-7014826DEE87}"/>
  </bookViews>
  <sheets>
    <sheet name="CARER (2)" sheetId="15" r:id="rId1"/>
    <sheet name="FILEPATH" sheetId="8" r:id="rId2"/>
    <sheet name="Header" sheetId="9" r:id="rId3"/>
    <sheet name="Sheet2" sheetId="12" r:id="rId4"/>
    <sheet name="Residual-Rostered" sheetId="11" r:id="rId5"/>
    <sheet name="RN" sheetId="10" r:id="rId6"/>
  </sheets>
  <externalReferences>
    <externalReference r:id="rId7"/>
  </externalReferences>
  <definedNames>
    <definedName name="Client">FILEPATH!$B$30</definedName>
    <definedName name="Date">FILEPATH!$B$33</definedName>
    <definedName name="Directory" localSheetId="1">#REF!</definedName>
    <definedName name="Directory">#REF!</definedName>
    <definedName name="ExternalData_1" localSheetId="2" hidden="1">Header!$B$10:$AT$13</definedName>
    <definedName name="ExternalData_1" localSheetId="4" hidden="1">'Residual-Rostered'!$A$1:$AT$10</definedName>
    <definedName name="FTE">FILEPATH!$K$3</definedName>
    <definedName name="HRS">FILEPATH!$K$2</definedName>
    <definedName name="Location">FILEPATH!#REF!</definedName>
    <definedName name="MAIT_date_adjusted_for_example">FILEPATH!$C$1</definedName>
    <definedName name="Max_HRS">RN!$P$2</definedName>
    <definedName name="Type">FILEPATH!$B$31</definedName>
    <definedName name="UNIT" localSheetId="0">'CARER (2)'!$F$1</definedName>
    <definedName name="UNIT">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0" l="1"/>
  <c r="K16" i="10"/>
  <c r="K17" i="10"/>
  <c r="H19" i="10"/>
  <c r="N19" i="10"/>
  <c r="A7" i="10"/>
  <c r="B7" i="10"/>
  <c r="C7" i="10"/>
  <c r="C16" i="10"/>
  <c r="D16" i="10"/>
  <c r="C15" i="10"/>
  <c r="D15" i="10"/>
  <c r="C20" i="10"/>
  <c r="D20" i="10"/>
  <c r="C19" i="10"/>
  <c r="D19" i="10"/>
  <c r="C13" i="10"/>
  <c r="D13" i="10"/>
  <c r="C18" i="10"/>
  <c r="D18" i="10"/>
  <c r="C14" i="10"/>
  <c r="D14" i="10"/>
  <c r="D17" i="10"/>
  <c r="E9" i="10" l="1"/>
  <c r="W14" i="10"/>
  <c r="T14" i="10"/>
  <c r="I17" i="10"/>
  <c r="E16" i="10"/>
  <c r="E15" i="10"/>
  <c r="E20" i="10"/>
  <c r="E19" i="10"/>
  <c r="E13" i="10"/>
  <c r="E18" i="10"/>
  <c r="E14" i="10"/>
  <c r="E17" i="10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I64" i="15" s="1"/>
  <c r="H21" i="15"/>
  <c r="G21" i="15"/>
  <c r="F21" i="15"/>
  <c r="E21" i="15"/>
  <c r="D21" i="15"/>
  <c r="C21" i="15"/>
  <c r="B21" i="15"/>
  <c r="A21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AS9" i="15"/>
  <c r="AP9" i="15"/>
  <c r="AO9" i="15"/>
  <c r="AI9" i="15"/>
  <c r="AG9" i="15"/>
  <c r="AD9" i="15"/>
  <c r="AC9" i="15"/>
  <c r="W9" i="15"/>
  <c r="U9" i="15"/>
  <c r="R9" i="15"/>
  <c r="E9" i="15"/>
  <c r="AO8" i="15"/>
  <c r="AM8" i="15"/>
  <c r="AJ8" i="15"/>
  <c r="AI8" i="15"/>
  <c r="AC8" i="15"/>
  <c r="AA8" i="15"/>
  <c r="X8" i="15"/>
  <c r="W8" i="15"/>
  <c r="Q8" i="15"/>
  <c r="O8" i="15"/>
  <c r="L8" i="15"/>
  <c r="K8" i="15"/>
  <c r="E8" i="15"/>
  <c r="AS7" i="15"/>
  <c r="AP7" i="15"/>
  <c r="AO7" i="15"/>
  <c r="AI7" i="15"/>
  <c r="AG7" i="15"/>
  <c r="AD7" i="15"/>
  <c r="AC7" i="15"/>
  <c r="W7" i="15"/>
  <c r="U7" i="15"/>
  <c r="R7" i="15"/>
  <c r="Q7" i="15"/>
  <c r="K7" i="15"/>
  <c r="I7" i="15"/>
  <c r="F7" i="15"/>
  <c r="AI6" i="15"/>
  <c r="AC6" i="15"/>
  <c r="AA6" i="15"/>
  <c r="X6" i="15"/>
  <c r="W6" i="15"/>
  <c r="Q6" i="15"/>
  <c r="O6" i="15"/>
  <c r="L6" i="15"/>
  <c r="K6" i="15"/>
  <c r="E6" i="15"/>
  <c r="C6" i="15"/>
  <c r="B6" i="15"/>
  <c r="A6" i="15"/>
  <c r="AS5" i="15"/>
  <c r="AR5" i="15"/>
  <c r="AL5" i="15"/>
  <c r="AJ5" i="15"/>
  <c r="AG5" i="15"/>
  <c r="AF5" i="15"/>
  <c r="Z5" i="15"/>
  <c r="X5" i="15"/>
  <c r="U5" i="15"/>
  <c r="T5" i="15"/>
  <c r="N5" i="15"/>
  <c r="L5" i="15"/>
  <c r="I5" i="15"/>
  <c r="H5" i="15"/>
  <c r="C5" i="15"/>
  <c r="B5" i="15"/>
  <c r="A5" i="15"/>
  <c r="AO4" i="15"/>
  <c r="AI4" i="15"/>
  <c r="AG4" i="15"/>
  <c r="AD4" i="15"/>
  <c r="AC4" i="15"/>
  <c r="W4" i="15"/>
  <c r="U4" i="15"/>
  <c r="R4" i="15"/>
  <c r="Q4" i="15"/>
  <c r="K4" i="15"/>
  <c r="I4" i="15"/>
  <c r="F4" i="15"/>
  <c r="E4" i="15"/>
  <c r="C4" i="15"/>
  <c r="B4" i="15"/>
  <c r="A4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F1" i="15"/>
  <c r="AN9" i="15" s="1"/>
  <c r="H17" i="10"/>
  <c r="H16" i="10"/>
  <c r="H15" i="10"/>
  <c r="H20" i="10"/>
  <c r="H13" i="10"/>
  <c r="H18" i="10"/>
  <c r="H14" i="10"/>
  <c r="M2" i="10"/>
  <c r="A13" i="10"/>
  <c r="A14" i="10"/>
  <c r="A15" i="10"/>
  <c r="A16" i="10"/>
  <c r="A17" i="10"/>
  <c r="A18" i="10"/>
  <c r="A19" i="10"/>
  <c r="A20" i="10"/>
  <c r="I16" i="10"/>
  <c r="J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I19" i="10"/>
  <c r="J19" i="10"/>
  <c r="K19" i="10"/>
  <c r="L19" i="10"/>
  <c r="M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I14" i="10"/>
  <c r="J14" i="10"/>
  <c r="K14" i="10"/>
  <c r="L14" i="10"/>
  <c r="M14" i="10"/>
  <c r="N14" i="10"/>
  <c r="O14" i="10"/>
  <c r="P14" i="10"/>
  <c r="Q14" i="10"/>
  <c r="R14" i="10"/>
  <c r="S14" i="10"/>
  <c r="U14" i="10"/>
  <c r="V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J17" i="10"/>
  <c r="L17" i="10"/>
  <c r="M17" i="10"/>
  <c r="N17" i="10"/>
  <c r="O17" i="10"/>
  <c r="P17" i="10"/>
  <c r="Q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B16" i="10"/>
  <c r="B15" i="10"/>
  <c r="B20" i="10"/>
  <c r="B19" i="10"/>
  <c r="B13" i="10"/>
  <c r="B18" i="10"/>
  <c r="B14" i="10"/>
  <c r="C17" i="10"/>
  <c r="B17" i="10"/>
  <c r="C6" i="10"/>
  <c r="B6" i="10"/>
  <c r="A6" i="10"/>
  <c r="C5" i="10"/>
  <c r="B5" i="10"/>
  <c r="A5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C4" i="10"/>
  <c r="B4" i="10"/>
  <c r="C1" i="8"/>
  <c r="AP4" i="15" l="1"/>
  <c r="AJ6" i="15"/>
  <c r="F9" i="15"/>
  <c r="AS4" i="15"/>
  <c r="AM6" i="15"/>
  <c r="I9" i="15"/>
  <c r="AO6" i="15"/>
  <c r="K9" i="15"/>
  <c r="E7" i="15"/>
  <c r="Q9" i="15"/>
  <c r="H9" i="10"/>
  <c r="H5" i="10"/>
  <c r="I7" i="10"/>
  <c r="U7" i="10"/>
  <c r="AG7" i="10"/>
  <c r="AS7" i="10"/>
  <c r="J7" i="10"/>
  <c r="V7" i="10"/>
  <c r="AH7" i="10"/>
  <c r="AT7" i="10"/>
  <c r="K7" i="10"/>
  <c r="W7" i="10"/>
  <c r="AI7" i="10"/>
  <c r="AU7" i="10"/>
  <c r="L7" i="10"/>
  <c r="X7" i="10"/>
  <c r="AJ7" i="10"/>
  <c r="AV7" i="10"/>
  <c r="M7" i="10"/>
  <c r="Y7" i="10"/>
  <c r="AK7" i="10"/>
  <c r="AW7" i="10"/>
  <c r="P7" i="10"/>
  <c r="AN7" i="10"/>
  <c r="N7" i="10"/>
  <c r="Z7" i="10"/>
  <c r="AL7" i="10"/>
  <c r="O7" i="10"/>
  <c r="AA7" i="10"/>
  <c r="AM7" i="10"/>
  <c r="AB7" i="10"/>
  <c r="Q7" i="10"/>
  <c r="AC7" i="10"/>
  <c r="AO7" i="10"/>
  <c r="AF7" i="10"/>
  <c r="R7" i="10"/>
  <c r="AD7" i="10"/>
  <c r="AP7" i="10"/>
  <c r="S7" i="10"/>
  <c r="AE7" i="10"/>
  <c r="AQ7" i="10"/>
  <c r="H7" i="10"/>
  <c r="T7" i="10"/>
  <c r="AR7" i="10"/>
  <c r="I9" i="10"/>
  <c r="AC9" i="10"/>
  <c r="AN9" i="10"/>
  <c r="AB9" i="10"/>
  <c r="P9" i="10"/>
  <c r="AO9" i="10"/>
  <c r="AM9" i="10"/>
  <c r="AA9" i="10"/>
  <c r="O9" i="10"/>
  <c r="Q9" i="10"/>
  <c r="AL9" i="10"/>
  <c r="Z9" i="10"/>
  <c r="N9" i="10"/>
  <c r="AW9" i="10"/>
  <c r="AK9" i="10"/>
  <c r="Y9" i="10"/>
  <c r="L9" i="10"/>
  <c r="AV9" i="10"/>
  <c r="AJ9" i="10"/>
  <c r="X9" i="10"/>
  <c r="J9" i="10"/>
  <c r="AT9" i="10"/>
  <c r="AH9" i="10"/>
  <c r="V9" i="10"/>
  <c r="AI9" i="10"/>
  <c r="AS9" i="10"/>
  <c r="AG9" i="10"/>
  <c r="U9" i="10"/>
  <c r="W9" i="10"/>
  <c r="AR9" i="10"/>
  <c r="AF9" i="10"/>
  <c r="T9" i="10"/>
  <c r="K9" i="10"/>
  <c r="AQ9" i="10"/>
  <c r="AE9" i="10"/>
  <c r="S9" i="10"/>
  <c r="AU9" i="10"/>
  <c r="AP9" i="10"/>
  <c r="AD9" i="10"/>
  <c r="R9" i="10"/>
  <c r="M9" i="10"/>
  <c r="F14" i="10"/>
  <c r="G14" i="10" s="1"/>
  <c r="F18" i="10"/>
  <c r="G18" i="10" s="1"/>
  <c r="F13" i="10"/>
  <c r="G13" i="10" s="1"/>
  <c r="F19" i="10"/>
  <c r="G19" i="10" s="1"/>
  <c r="F20" i="10"/>
  <c r="G20" i="10" s="1"/>
  <c r="F15" i="10"/>
  <c r="G15" i="10" s="1"/>
  <c r="F16" i="10"/>
  <c r="G16" i="10" s="1"/>
  <c r="F17" i="10"/>
  <c r="G17" i="10" s="1"/>
  <c r="G4" i="15"/>
  <c r="S4" i="15"/>
  <c r="AE4" i="15"/>
  <c r="AQ4" i="15"/>
  <c r="J5" i="15"/>
  <c r="V5" i="15"/>
  <c r="AH5" i="15"/>
  <c r="M6" i="15"/>
  <c r="Y6" i="15"/>
  <c r="AK6" i="15"/>
  <c r="G7" i="15"/>
  <c r="S7" i="15"/>
  <c r="AE7" i="15"/>
  <c r="AQ7" i="15"/>
  <c r="M8" i="15"/>
  <c r="Y8" i="15"/>
  <c r="AK8" i="15"/>
  <c r="G9" i="15"/>
  <c r="S9" i="15"/>
  <c r="AE9" i="15"/>
  <c r="AQ9" i="15"/>
  <c r="H4" i="15"/>
  <c r="T4" i="15"/>
  <c r="AF4" i="15"/>
  <c r="AR4" i="15"/>
  <c r="K5" i="15"/>
  <c r="W5" i="15"/>
  <c r="AI5" i="15"/>
  <c r="N6" i="15"/>
  <c r="Z6" i="15"/>
  <c r="AL6" i="15"/>
  <c r="H7" i="15"/>
  <c r="T7" i="15"/>
  <c r="AF7" i="15"/>
  <c r="AR7" i="15"/>
  <c r="N8" i="15"/>
  <c r="Z8" i="15"/>
  <c r="AL8" i="15"/>
  <c r="H9" i="15"/>
  <c r="T9" i="15"/>
  <c r="AF9" i="15"/>
  <c r="AR9" i="15"/>
  <c r="J4" i="15"/>
  <c r="V4" i="15"/>
  <c r="AH4" i="15"/>
  <c r="M5" i="15"/>
  <c r="Y5" i="15"/>
  <c r="AK5" i="15"/>
  <c r="D6" i="15"/>
  <c r="P6" i="15"/>
  <c r="AB6" i="15"/>
  <c r="AN6" i="15"/>
  <c r="J7" i="15"/>
  <c r="V7" i="15"/>
  <c r="AH7" i="15"/>
  <c r="D8" i="15"/>
  <c r="P8" i="15"/>
  <c r="AB8" i="15"/>
  <c r="AN8" i="15"/>
  <c r="J9" i="15"/>
  <c r="V9" i="15"/>
  <c r="AH9" i="15"/>
  <c r="L4" i="15"/>
  <c r="X4" i="15"/>
  <c r="AJ4" i="15"/>
  <c r="O5" i="15"/>
  <c r="AA5" i="15"/>
  <c r="AM5" i="15"/>
  <c r="F6" i="15"/>
  <c r="R6" i="15"/>
  <c r="AD6" i="15"/>
  <c r="AP6" i="15"/>
  <c r="L7" i="15"/>
  <c r="X7" i="15"/>
  <c r="AJ7" i="15"/>
  <c r="F8" i="15"/>
  <c r="R8" i="15"/>
  <c r="AD8" i="15"/>
  <c r="AP8" i="15"/>
  <c r="L9" i="15"/>
  <c r="X9" i="15"/>
  <c r="AJ9" i="15"/>
  <c r="M4" i="15"/>
  <c r="Y4" i="15"/>
  <c r="AK4" i="15"/>
  <c r="D5" i="15"/>
  <c r="P5" i="15"/>
  <c r="AB5" i="15"/>
  <c r="AN5" i="15"/>
  <c r="G6" i="15"/>
  <c r="S6" i="15"/>
  <c r="AE6" i="15"/>
  <c r="AQ6" i="15"/>
  <c r="M7" i="15"/>
  <c r="Y7" i="15"/>
  <c r="AK7" i="15"/>
  <c r="G8" i="15"/>
  <c r="S8" i="15"/>
  <c r="AE8" i="15"/>
  <c r="AQ8" i="15"/>
  <c r="M9" i="15"/>
  <c r="Y9" i="15"/>
  <c r="AK9" i="15"/>
  <c r="N4" i="15"/>
  <c r="Z4" i="15"/>
  <c r="AL4" i="15"/>
  <c r="E5" i="15"/>
  <c r="Q5" i="15"/>
  <c r="AC5" i="15"/>
  <c r="AO5" i="15"/>
  <c r="H6" i="15"/>
  <c r="T6" i="15"/>
  <c r="AF6" i="15"/>
  <c r="AR6" i="15"/>
  <c r="N7" i="15"/>
  <c r="Z7" i="15"/>
  <c r="AL7" i="15"/>
  <c r="H8" i="15"/>
  <c r="T8" i="15"/>
  <c r="AF8" i="15"/>
  <c r="AR8" i="15"/>
  <c r="N9" i="15"/>
  <c r="Z9" i="15"/>
  <c r="AL9" i="15"/>
  <c r="O4" i="15"/>
  <c r="AA4" i="15"/>
  <c r="AM4" i="15"/>
  <c r="F5" i="15"/>
  <c r="R5" i="15"/>
  <c r="AD5" i="15"/>
  <c r="AP5" i="15"/>
  <c r="I6" i="15"/>
  <c r="U6" i="15"/>
  <c r="AG6" i="15"/>
  <c r="AS6" i="15"/>
  <c r="O7" i="15"/>
  <c r="AA7" i="15"/>
  <c r="AM7" i="15"/>
  <c r="I8" i="15"/>
  <c r="U8" i="15"/>
  <c r="AG8" i="15"/>
  <c r="AS8" i="15"/>
  <c r="O9" i="15"/>
  <c r="AA9" i="15"/>
  <c r="AM9" i="15"/>
  <c r="D4" i="15"/>
  <c r="P4" i="15"/>
  <c r="AB4" i="15"/>
  <c r="AN4" i="15"/>
  <c r="G5" i="15"/>
  <c r="S5" i="15"/>
  <c r="AE5" i="15"/>
  <c r="AQ5" i="15"/>
  <c r="J6" i="15"/>
  <c r="V6" i="15"/>
  <c r="AH6" i="15"/>
  <c r="D7" i="15"/>
  <c r="P7" i="15"/>
  <c r="AB7" i="15"/>
  <c r="AN7" i="15"/>
  <c r="J8" i="15"/>
  <c r="V8" i="15"/>
  <c r="AH8" i="15"/>
  <c r="D9" i="15"/>
  <c r="P9" i="15"/>
  <c r="AB9" i="15"/>
  <c r="T5" i="10"/>
  <c r="AR5" i="10"/>
  <c r="Z6" i="10"/>
  <c r="AL6" i="10"/>
  <c r="AF5" i="10"/>
  <c r="N6" i="10"/>
  <c r="I5" i="10"/>
  <c r="U5" i="10"/>
  <c r="AG5" i="10"/>
  <c r="AS5" i="10"/>
  <c r="O6" i="10"/>
  <c r="AA6" i="10"/>
  <c r="AM6" i="10"/>
  <c r="J5" i="10"/>
  <c r="V5" i="10"/>
  <c r="AH5" i="10"/>
  <c r="AT5" i="10"/>
  <c r="P6" i="10"/>
  <c r="AB6" i="10"/>
  <c r="AN6" i="10"/>
  <c r="K5" i="10"/>
  <c r="W5" i="10"/>
  <c r="AI5" i="10"/>
  <c r="AU5" i="10"/>
  <c r="Q6" i="10"/>
  <c r="AC6" i="10"/>
  <c r="AO6" i="10"/>
  <c r="L5" i="10"/>
  <c r="X5" i="10"/>
  <c r="AJ5" i="10"/>
  <c r="AV5" i="10"/>
  <c r="R6" i="10"/>
  <c r="AD6" i="10"/>
  <c r="AP6" i="10"/>
  <c r="M5" i="10"/>
  <c r="Y5" i="10"/>
  <c r="AK5" i="10"/>
  <c r="AW5" i="10"/>
  <c r="S6" i="10"/>
  <c r="AE6" i="10"/>
  <c r="AQ6" i="10"/>
  <c r="N5" i="10"/>
  <c r="Z5" i="10"/>
  <c r="AL5" i="10"/>
  <c r="H6" i="10"/>
  <c r="T6" i="10"/>
  <c r="AF6" i="10"/>
  <c r="AR6" i="10"/>
  <c r="O5" i="10"/>
  <c r="AA5" i="10"/>
  <c r="AM5" i="10"/>
  <c r="I6" i="10"/>
  <c r="U6" i="10"/>
  <c r="AG6" i="10"/>
  <c r="AS6" i="10"/>
  <c r="P5" i="10"/>
  <c r="AB5" i="10"/>
  <c r="AN5" i="10"/>
  <c r="J6" i="10"/>
  <c r="V6" i="10"/>
  <c r="AH6" i="10"/>
  <c r="AT6" i="10"/>
  <c r="Q5" i="10"/>
  <c r="AC5" i="10"/>
  <c r="AO5" i="10"/>
  <c r="K6" i="10"/>
  <c r="W6" i="10"/>
  <c r="AI6" i="10"/>
  <c r="AU6" i="10"/>
  <c r="R5" i="10"/>
  <c r="AD5" i="10"/>
  <c r="AP5" i="10"/>
  <c r="L6" i="10"/>
  <c r="X6" i="10"/>
  <c r="AJ6" i="10"/>
  <c r="AV6" i="10"/>
  <c r="S5" i="10"/>
  <c r="AE5" i="10"/>
  <c r="AQ5" i="10"/>
  <c r="M6" i="10"/>
  <c r="Y6" i="10"/>
  <c r="AK6" i="10"/>
  <c r="AW6" i="10"/>
  <c r="A4" i="10"/>
  <c r="B20" i="8" a="1"/>
  <c r="B20" i="8" s="1"/>
  <c r="E7" i="8"/>
  <c r="B6" i="8" a="1"/>
  <c r="B6" i="8" s="1"/>
  <c r="B4" i="8" a="1"/>
  <c r="B4" i="8" s="1"/>
  <c r="D7" i="10" l="1"/>
  <c r="D5" i="10"/>
  <c r="D6" i="10"/>
  <c r="S10" i="10"/>
  <c r="Z10" i="10"/>
  <c r="M10" i="10"/>
  <c r="AR10" i="10"/>
  <c r="AV10" i="10"/>
  <c r="R10" i="10"/>
  <c r="Y10" i="10"/>
  <c r="AB10" i="10"/>
  <c r="AL10" i="10"/>
  <c r="I10" i="10"/>
  <c r="V10" i="10"/>
  <c r="U10" i="10"/>
  <c r="AD10" i="10"/>
  <c r="AK10" i="10"/>
  <c r="AQ10" i="10"/>
  <c r="AT10" i="10"/>
  <c r="Q10" i="10"/>
  <c r="AH10" i="10"/>
  <c r="K10" i="10"/>
  <c r="J10" i="10"/>
  <c r="O10" i="10"/>
  <c r="AG10" i="10"/>
  <c r="AE10" i="10"/>
  <c r="T10" i="10"/>
  <c r="X10" i="10"/>
  <c r="AA10" i="10"/>
  <c r="AN10" i="10"/>
  <c r="AF10" i="10"/>
  <c r="AJ10" i="10"/>
  <c r="AM10" i="10"/>
  <c r="AO10" i="10"/>
  <c r="H10" i="10"/>
  <c r="W10" i="10"/>
  <c r="L10" i="10"/>
  <c r="P10" i="10"/>
  <c r="AP10" i="10"/>
  <c r="AS10" i="10"/>
  <c r="AW10" i="10"/>
  <c r="AC10" i="10"/>
  <c r="AU10" i="10"/>
  <c r="AI10" i="10"/>
  <c r="N10" i="10"/>
  <c r="C6" i="8"/>
  <c r="E6" i="8"/>
  <c r="B26" i="8"/>
  <c r="C20" i="8"/>
  <c r="C23" i="8" s="1"/>
  <c r="C7" i="8"/>
  <c r="C8" i="8"/>
  <c r="C11" i="8"/>
  <c r="C9" i="8" l="1"/>
  <c r="B13" i="8" s="1"/>
  <c r="B14" i="8" s="1"/>
  <c r="B36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A3A3B3-887B-4523-81DD-A4307AB7D48D}" keepAlive="1" name="Query - DateADJUSTEDShiftRole" description="Connection to the 'DateADJUSTEDShiftRole' query in the workbook." type="5" refreshedVersion="0" background="1">
    <dbPr connection="Provider=Microsoft.Mashup.OleDb.1;Data Source=$Workbook$;Location=DateADJUSTEDShiftRole;Extended Properties=&quot;&quot;" command="SELECT * FROM [DateADJUSTEDShiftRole]"/>
  </connection>
  <connection id="2" xr16:uid="{DB9529BF-415E-4230-B013-63C9431288D7}" keepAlive="1" name="Query - EffortAllMatrixAG1_1D1" description="Connection to the 'EffortAllMatrixAG1_1D1' query in the workbook." type="5" refreshedVersion="0" background="1">
    <dbPr connection="Provider=Microsoft.Mashup.OleDb.1;Data Source=$Workbook$;Location=EffortAllMatrixAG1_1D1;Extended Properties=&quot;&quot;" command="SELECT * FROM [EffortAllMatrixAG1_1D1]"/>
  </connection>
  <connection id="3" xr16:uid="{676009FB-1D67-4772-83B0-51A9D9A27A17}" keepAlive="1" name="Query - EffortTypeOrder" description="Connection to the 'EffortTypeOrder' query in the workbook." type="5" refreshedVersion="0" background="1">
    <dbPr connection="Provider=Microsoft.Mashup.OleDb.1;Data Source=$Workbook$;Location=EffortTypeOrder;Extended Properties=&quot;&quot;" command="SELECT * FROM [EffortTypeOrder]"/>
  </connection>
  <connection id="4" xr16:uid="{FDAFC695-4712-48E7-918B-336B562FF492}" keepAlive="1" name="Query - FACILITY" description="Connection to the 'FACILITY' query in the workbook." type="5" refreshedVersion="0" background="1">
    <dbPr connection="Provider=Microsoft.Mashup.OleDb.1;Data Source=$Workbook$;Location=FACILITY;Extended Properties=&quot;&quot;" command="SELECT * FROM [FACILITY]"/>
  </connection>
  <connection id="5" xr16:uid="{CF339FE3-6E66-4748-B132-0D39BC2C7374}" keepAlive="1" name="Query - Header" description="Connection to the 'Header' query in the workbook." type="5" refreshedVersion="8" background="1" saveData="1">
    <dbPr connection="Provider=Microsoft.Mashup.OleDb.1;Data Source=$Workbook$;Location=Header;Extended Properties=&quot;&quot;" command="SELECT * FROM [Header]"/>
  </connection>
  <connection id="6" xr16:uid="{30EC7B35-23A3-43B8-A055-55DBEF0266F7}" keepAlive="1" name="Query - MAIT_date_adjusted_for_example" description="Connection to the 'MAIT_date_adjusted_for_example' query in the workbook." type="5" refreshedVersion="0" background="1">
    <dbPr connection="Provider=Microsoft.Mashup.OleDb.1;Data Source=$Workbook$;Location=MAIT_date_adjusted_for_example;Extended Properties=&quot;&quot;" command="SELECT * FROM [MAIT_date_adjusted_for_example]"/>
  </connection>
  <connection id="7" xr16:uid="{0580CDB6-2B78-4A1E-B30C-893A819B0EC2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8" xr16:uid="{742772F7-F339-4F9E-83F4-AEABCCA91E06}" keepAlive="1" name="Query - Residual-RosteredLIST" description="Connection to the 'Residual-RosteredLIST' query in the workbook." type="5" refreshedVersion="0" background="1">
    <dbPr connection="Provider=Microsoft.Mashup.OleDb.1;Data Source=$Workbook$;Location=Residual-RosteredLIST;Extended Properties=&quot;&quot;" command="SELECT * FROM [Residual-RosteredLIST]"/>
  </connection>
  <connection id="9" xr16:uid="{71153073-9607-4106-BBE7-7F39AE8A5212}" keepAlive="1" name="Query - Residual-RosteredMATRIX" description="Connection to the 'Residual-RosteredMATRIX' query in the workbook." type="5" refreshedVersion="8" background="1" saveData="1">
    <dbPr connection="Provider=Microsoft.Mashup.OleDb.1;Data Source=$Workbook$;Location=Residual-RosteredMATRIX;Extended Properties=&quot;&quot;" command="SELECT * FROM [Residual-RosteredMATRIX]"/>
  </connection>
  <connection id="10" xr16:uid="{B60E00B3-8AC3-48BD-B8C8-151E24BC9E09}" keepAlive="1" name="Query - ResRosteredHRS" description="Connection to the 'ResRosteredHRS' query in the workbook." type="5" refreshedVersion="0" background="1" saveData="1">
    <dbPr connection="Provider=Microsoft.Mashup.OleDb.1;Data Source=$Workbook$;Location=ResRosteredHRS;Extended Properties=&quot;&quot;" command="SELECT * FROM [ResRosteredHRS]"/>
  </connection>
  <connection id="11" xr16:uid="{DA11A729-14C6-4D22-9E8C-C66D6C1F0CD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12" xr16:uid="{552C17D5-19A0-4A3F-BB37-63C6FBDD7713}" keepAlive="1" name="Query - ShiftDuration" description="Connection to the 'ShiftDuration' query in the workbook." type="5" refreshedVersion="0" background="1">
    <dbPr connection="Provider=Microsoft.Mashup.OleDb.1;Data Source=$Workbook$;Location=ShiftDuration;Extended Properties=&quot;&quot;" command="SELECT * FROM [ShiftDuration]"/>
  </connection>
  <connection id="13" xr16:uid="{733203CD-E87E-4587-AB7A-095012AB409D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4" xr16:uid="{68D004C4-275E-4CC3-BFA4-67B5C9290CA5}" keepAlive="1" name="Query - Table_MinResidualHRSResDayShiftMAIT" description="Connection to the 'Table_MinResidualHRSResDayShiftMAIT' query in the workbook." type="5" refreshedVersion="0" background="1">
    <dbPr connection="Provider=Microsoft.Mashup.OleDb.1;Data Source=$Workbook$;Location=Table_MinResidualHRSResDayShiftMAIT;Extended Properties=&quot;&quot;" command="SELECT * FROM [Table_MinResidualHRSResDayShiftMAIT]"/>
  </connection>
  <connection id="15" xr16:uid="{FB152C02-A303-4229-8B66-DABD2938B13C}" keepAlive="1" name="Query - Table_MinResidualHRSResDayShiftMAITRaw" description="Connection to the 'Table_MinResidualHRSResDayShiftMAITRaw' query in the workbook." type="5" refreshedVersion="0" background="1">
    <dbPr connection="Provider=Microsoft.Mashup.OleDb.1;Data Source=$Workbook$;Location=Table_MinResidualHRSResDayShiftMAITRaw;Extended Properties=&quot;&quot;" command="SELECT * FROM [Table_MinResidualHRSResDayShiftMAIT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<sst xmlns="http://schemas.openxmlformats.org/spreadsheetml/2006/main" count="336" uniqueCount="150">
  <si>
    <t>Role</t>
  </si>
  <si>
    <t>Name</t>
  </si>
  <si>
    <t>Carer</t>
  </si>
  <si>
    <t>Attukaran, Raphel</t>
  </si>
  <si>
    <t>Registered Nurse</t>
  </si>
  <si>
    <t>Bhandari, Manisha</t>
  </si>
  <si>
    <t>Enzo, Joanna</t>
  </si>
  <si>
    <t>Goke, Adele</t>
  </si>
  <si>
    <t>Gould, Diana</t>
  </si>
  <si>
    <t>Hughes, Emily</t>
  </si>
  <si>
    <t>Kochukanjirathinkal, Mathew</t>
  </si>
  <si>
    <t>Mathew, Christeena</t>
  </si>
  <si>
    <t>Sebastian, Sintu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</si>
  <si>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</si>
  <si>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</si>
  <si>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</si>
  <si>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</si>
  <si>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</si>
  <si>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</si>
  <si>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</si>
  <si>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</si>
  <si>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</si>
  <si>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</si>
  <si>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</si>
  <si>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</si>
  <si>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</si>
  <si>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</si>
  <si>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</si>
  <si>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</si>
  <si>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not required</t>
  </si>
  <si>
    <t>Facility</t>
  </si>
  <si>
    <t>MAIT</t>
  </si>
  <si>
    <t>EffortType</t>
  </si>
  <si>
    <t>Berry</t>
  </si>
  <si>
    <t>Allocation</t>
  </si>
  <si>
    <t>Demand</t>
  </si>
  <si>
    <t>Initial DA Gap</t>
  </si>
  <si>
    <t>1/07 AM</t>
  </si>
  <si>
    <t>1/07 PM</t>
  </si>
  <si>
    <t>1/07 NIGHT</t>
  </si>
  <si>
    <t>19/06 AM</t>
  </si>
  <si>
    <t>19/06 PM</t>
  </si>
  <si>
    <t>19/06 NIGHT</t>
  </si>
  <si>
    <t>2/07 AM</t>
  </si>
  <si>
    <t>2/07 PM</t>
  </si>
  <si>
    <t>2/07 NIGHT</t>
  </si>
  <si>
    <t>20/06 AM</t>
  </si>
  <si>
    <t>20/06 PM</t>
  </si>
  <si>
    <t>20/06 NIGHT</t>
  </si>
  <si>
    <t>21/06 AM</t>
  </si>
  <si>
    <t>21/06 PM</t>
  </si>
  <si>
    <t>21/06 NIGHT</t>
  </si>
  <si>
    <t>22/06 AM</t>
  </si>
  <si>
    <t>22/06 PM</t>
  </si>
  <si>
    <t>22/06 NIGHT</t>
  </si>
  <si>
    <t>23/06 AM</t>
  </si>
  <si>
    <t>23/06 PM</t>
  </si>
  <si>
    <t>23/06 NIGHT</t>
  </si>
  <si>
    <t>24/06 AM</t>
  </si>
  <si>
    <t>24/06 PM</t>
  </si>
  <si>
    <t>24/06 NIGHT</t>
  </si>
  <si>
    <t>25/06 AM</t>
  </si>
  <si>
    <t>25/06 PM</t>
  </si>
  <si>
    <t>25/06 NIGHT</t>
  </si>
  <si>
    <t>26/06 AM</t>
  </si>
  <si>
    <t>26/06 PM</t>
  </si>
  <si>
    <t>26/06 NIGHT</t>
  </si>
  <si>
    <t>27/06 AM</t>
  </si>
  <si>
    <t>27/06 PM</t>
  </si>
  <si>
    <t>27/06 NIGHT</t>
  </si>
  <si>
    <t>28/06 AM</t>
  </si>
  <si>
    <t>28/06 PM</t>
  </si>
  <si>
    <t>28/06 NIGHT</t>
  </si>
  <si>
    <t>29/06 AM</t>
  </si>
  <si>
    <t>29/06 PM</t>
  </si>
  <si>
    <t>29/06 NIGHT</t>
  </si>
  <si>
    <t>30/06 AM</t>
  </si>
  <si>
    <t>30/06 PM</t>
  </si>
  <si>
    <t>30/06 NIGHT</t>
  </si>
  <si>
    <t>Column1</t>
  </si>
  <si>
    <t>Column2</t>
  </si>
  <si>
    <t>NAME</t>
  </si>
  <si>
    <t>MAIT date adjusted for example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</si>
  <si>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</si>
  <si>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</si>
  <si>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</si>
  <si>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</si>
  <si>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</si>
  <si>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</si>
  <si>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</si>
  <si>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</si>
  <si>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</si>
  <si>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</si>
  <si>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</si>
  <si>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</si>
  <si>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</si>
  <si>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</si>
  <si>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</si>
  <si>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</si>
  <si>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</si>
  <si>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</si>
  <si>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</si>
  <si>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</si>
  <si>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</si>
  <si>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</si>
  <si>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</si>
  <si>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</si>
  <si>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</si>
  <si>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</si>
  <si>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</si>
  <si>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</si>
  <si>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</si>
  <si>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</si>
  <si>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</si>
  <si>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</si>
  <si>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</si>
  <si>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</si>
  <si>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</si>
  <si>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</si>
  <si>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</si>
  <si>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</si>
  <si>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</si>
  <si>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</si>
  <si>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</si>
  <si>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</si>
  <si>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HeadCount</t>
  </si>
  <si>
    <t>Change</t>
  </si>
  <si>
    <t>Remaining GAP</t>
  </si>
  <si>
    <t>0/ 0</t>
  </si>
  <si>
    <t>7.6/ 7.4</t>
  </si>
  <si>
    <t>7.6/ 7.2</t>
  </si>
  <si>
    <t>6.6/ 0</t>
  </si>
  <si>
    <t>6.9/ 6.9</t>
  </si>
  <si>
    <t>7.4/ 6.9</t>
  </si>
  <si>
    <t>7.6/ 0.4</t>
  </si>
  <si>
    <t>UNITS</t>
  </si>
  <si>
    <t>HRS</t>
  </si>
  <si>
    <t>FTE</t>
  </si>
  <si>
    <t>HRS/FTE</t>
  </si>
  <si>
    <t>CHOOSE UNITS:</t>
  </si>
  <si>
    <t>Rostered HRS</t>
  </si>
  <si>
    <t>Max HRS:</t>
  </si>
  <si>
    <t>ROSTERED TIME</t>
  </si>
  <si>
    <t>RESIDUAL TIME</t>
  </si>
  <si>
    <t>CHANGE TIME</t>
  </si>
  <si>
    <t>CHANGED TOTAL</t>
  </si>
  <si>
    <t>ROLE</t>
  </si>
  <si>
    <t>FACILITY</t>
  </si>
  <si>
    <t>FACILITY:</t>
  </si>
  <si>
    <t>ROLE: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</si>
</sst>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2" fillId="0" borderId="1" xfId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8" fillId="0" borderId="0" xfId="1" applyFont="1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1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2" fillId="0" borderId="0" xfId="1" applyFont="1" applyAlignment="1">
      <alignment horizontal="left" vertical="top"/>
    </xf>
    <xf numFmtId="16" fontId="12" fillId="0" borderId="0" xfId="1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center" vertical="top" wrapText="1"/>
    </xf>
    <xf numFmtId="164" fontId="0" fillId="0" borderId="0" xfId="0" applyNumberFormat="1" applyAlignment="1">
      <alignment horizontal="center" wrapText="1"/>
    </xf>
    <xf numFmtId="2" fontId="11" fillId="0" borderId="0" xfId="0" applyNumberFormat="1" applyFont="1" applyAlignment="1">
      <alignment horizontal="center" wrapText="1"/>
    </xf>
    <xf numFmtId="0" fontId="15" fillId="0" borderId="0" xfId="0" applyFont="1"/>
    <xf numFmtId="164" fontId="16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8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0" fillId="0" borderId="0" xfId="0" applyFont="1" applyAlignment="1">
      <alignment horizontal="right"/>
    </xf>
    <xf numFmtId="0" fontId="9" fillId="3" borderId="0" xfId="0" applyFont="1" applyFill="1" applyAlignment="1">
      <alignment horizontal="center" wrapText="1"/>
    </xf>
    <xf numFmtId="2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wrapText="1"/>
    </xf>
  </cellXfs>
  <cellStyles count="2">
    <cellStyle name="Normal" xfId="0" builtinId="0"/>
    <cellStyle name="Normal 2" xfId="1" xr:uid="{F709095D-589A-42C6-AAC3-E45699A4FA9C}"/>
  </cellStyles>
  <dxfs count="2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rgb="FFFFCC99"/>
        </patternFill>
      </fill>
    </dxf>
    <dxf>
      <font>
        <b/>
        <i val="0"/>
        <color rgb="FF006100"/>
      </font>
      <fill>
        <patternFill>
          <bgColor rgb="FFFFCC99"/>
        </patternFill>
      </fill>
    </dxf>
    <dxf>
      <font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CFFCC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color rgb="FF006100"/>
      </font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font>
        <sz val="10"/>
      </font>
      <numFmt numFmtId="164" formatCode="0.0"/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sz val="10"/>
      </font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CCFFCC"/>
      <color rgb="FFFFCC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</sheetNames>
    <definedNames>
      <definedName name="Client" refersTo="='Computerpath'!$B$14"/>
      <definedName name="Computerpath" refersTo="='Computerpath'!$B$15"/>
    </definedNames>
    <sheetDataSet>
      <sheetData sheetId="0">
        <row r="14">
          <cell r="B14" t="str">
            <v>04.1 PoC</v>
          </cell>
        </row>
        <row r="15">
          <cell r="B15" t="str">
            <v>C:\Users\Alex\Centri\2. Accounts - 2.0 RFBI\04.1 PoC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C1118F-2259-4511-B5C9-7ADC7A178A64}" autoFormatId="16" applyNumberFormats="0" applyBorderFormats="0" applyFontFormats="0" applyPatternFormats="0" applyAlignmentFormats="0" applyWidthHeightFormats="0">
  <queryTableRefresh nextId="125">
    <queryTableFields count="45">
      <queryTableField id="1" name="Facility" tableColumnId="1"/>
      <queryTableField id="3" name="EffortType" tableColumnId="3"/>
      <queryTableField id="2" name="Role" tableColumnId="2"/>
      <queryTableField id="49" name="19/06 AM" tableColumnId="49"/>
      <queryTableField id="50" name="19/06 PM" tableColumnId="50"/>
      <queryTableField id="51" name="19/06 NIGHT" tableColumnId="51"/>
      <queryTableField id="55" name="20/06 AM" tableColumnId="55"/>
      <queryTableField id="56" name="20/06 PM" tableColumnId="56"/>
      <queryTableField id="57" name="20/06 NIGHT" tableColumnId="57"/>
      <queryTableField id="58" name="21/06 AM" tableColumnId="58"/>
      <queryTableField id="59" name="21/06 PM" tableColumnId="59"/>
      <queryTableField id="60" name="21/06 NIGHT" tableColumnId="60"/>
      <queryTableField id="61" name="22/06 AM" tableColumnId="61"/>
      <queryTableField id="62" name="22/06 PM" tableColumnId="62"/>
      <queryTableField id="63" name="22/06 NIGHT" tableColumnId="63"/>
      <queryTableField id="64" name="23/06 AM" tableColumnId="64"/>
      <queryTableField id="65" name="23/06 PM" tableColumnId="65"/>
      <queryTableField id="66" name="23/06 NIGHT" tableColumnId="66"/>
      <queryTableField id="67" name="24/06 AM" tableColumnId="67"/>
      <queryTableField id="68" name="24/06 PM" tableColumnId="68"/>
      <queryTableField id="69" name="24/06 NIGHT" tableColumnId="69"/>
      <queryTableField id="70" name="25/06 AM" tableColumnId="70"/>
      <queryTableField id="71" name="25/06 PM" tableColumnId="71"/>
      <queryTableField id="72" name="25/06 NIGHT" tableColumnId="72"/>
      <queryTableField id="73" name="26/06 AM" tableColumnId="73"/>
      <queryTableField id="74" name="26/06 PM" tableColumnId="74"/>
      <queryTableField id="75" name="26/06 NIGHT" tableColumnId="75"/>
      <queryTableField id="76" name="27/06 AM" tableColumnId="76"/>
      <queryTableField id="77" name="27/06 PM" tableColumnId="77"/>
      <queryTableField id="78" name="27/06 NIGHT" tableColumnId="78"/>
      <queryTableField id="79" name="28/06 AM" tableColumnId="79"/>
      <queryTableField id="80" name="28/06 PM" tableColumnId="80"/>
      <queryTableField id="81" name="28/06 NIGHT" tableColumnId="81"/>
      <queryTableField id="82" name="29/06 AM" tableColumnId="82"/>
      <queryTableField id="83" name="29/06 PM" tableColumnId="83"/>
      <queryTableField id="84" name="29/06 NIGHT" tableColumnId="84"/>
      <queryTableField id="85" name="30/06 AM" tableColumnId="85"/>
      <queryTableField id="86" name="30/06 PM" tableColumnId="86"/>
      <queryTableField id="87" name="30/06 NIGHT" tableColumnId="87"/>
      <queryTableField id="46" name="1/07 AM" tableColumnId="46"/>
      <queryTableField id="47" name="1/07 PM" tableColumnId="47"/>
      <queryTableField id="48" name="1/07 NIGHT" tableColumnId="48"/>
      <queryTableField id="52" name="2/07 AM" tableColumnId="52"/>
      <queryTableField id="53" name="2/07 PM" tableColumnId="53"/>
      <queryTableField id="54" name="2/07 NIGHT" tableColumnId="5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595B395-B04C-4D92-934F-7DE87FEE1EA2}" autoFormatId="16" applyNumberFormats="0" applyBorderFormats="0" applyFontFormats="0" applyPatternFormats="0" applyAlignmentFormats="0" applyWidthHeightFormats="0">
  <queryTableRefresh nextId="102">
    <queryTableFields count="46">
      <queryTableField id="1" name="Facility" tableColumnId="1"/>
      <queryTableField id="2" name="Name" tableColumnId="2"/>
      <queryTableField id="3" name="Role" tableColumnId="3"/>
      <queryTableField id="100" name="Rostered HRS" tableColumnId="89"/>
      <queryTableField id="58" name="19/06 AM" tableColumnId="47"/>
      <queryTableField id="59" name="19/06 PM" tableColumnId="48"/>
      <queryTableField id="60" name="19/06 NIGHT" tableColumnId="49"/>
      <queryTableField id="61" name="20/06 AM" tableColumnId="50"/>
      <queryTableField id="62" name="20/06 PM" tableColumnId="51"/>
      <queryTableField id="63" name="20/06 NIGHT" tableColumnId="52"/>
      <queryTableField id="64" name="21/06 AM" tableColumnId="53"/>
      <queryTableField id="65" name="21/06 PM" tableColumnId="54"/>
      <queryTableField id="66" name="21/06 NIGHT" tableColumnId="55"/>
      <queryTableField id="67" name="22/06 AM" tableColumnId="56"/>
      <queryTableField id="68" name="22/06 PM" tableColumnId="57"/>
      <queryTableField id="69" name="22/06 NIGHT" tableColumnId="58"/>
      <queryTableField id="70" name="23/06 AM" tableColumnId="59"/>
      <queryTableField id="71" name="23/06 PM" tableColumnId="60"/>
      <queryTableField id="72" name="23/06 NIGHT" tableColumnId="61"/>
      <queryTableField id="73" name="24/06 AM" tableColumnId="62"/>
      <queryTableField id="74" name="24/06 PM" tableColumnId="63"/>
      <queryTableField id="75" name="24/06 NIGHT" tableColumnId="64"/>
      <queryTableField id="76" name="25/06 AM" tableColumnId="65"/>
      <queryTableField id="77" name="25/06 PM" tableColumnId="66"/>
      <queryTableField id="78" name="25/06 NIGHT" tableColumnId="67"/>
      <queryTableField id="79" name="26/06 AM" tableColumnId="68"/>
      <queryTableField id="80" name="26/06 PM" tableColumnId="69"/>
      <queryTableField id="81" name="26/06 NIGHT" tableColumnId="70"/>
      <queryTableField id="82" name="27/06 AM" tableColumnId="71"/>
      <queryTableField id="83" name="27/06 PM" tableColumnId="72"/>
      <queryTableField id="84" name="27/06 NIGHT" tableColumnId="73"/>
      <queryTableField id="85" name="28/06 AM" tableColumnId="74"/>
      <queryTableField id="86" name="28/06 PM" tableColumnId="75"/>
      <queryTableField id="87" name="28/06 NIGHT" tableColumnId="76"/>
      <queryTableField id="88" name="29/06 AM" tableColumnId="77"/>
      <queryTableField id="89" name="29/06 PM" tableColumnId="78"/>
      <queryTableField id="90" name="29/06 NIGHT" tableColumnId="79"/>
      <queryTableField id="91" name="30/06 AM" tableColumnId="80"/>
      <queryTableField id="92" name="30/06 PM" tableColumnId="81"/>
      <queryTableField id="93" name="30/06 NIGHT" tableColumnId="82"/>
      <queryTableField id="94" name="1/07 AM" tableColumnId="83"/>
      <queryTableField id="95" name="1/07 PM" tableColumnId="84"/>
      <queryTableField id="96" name="1/07 NIGHT" tableColumnId="85"/>
      <queryTableField id="97" name="2/07 AM" tableColumnId="86"/>
      <queryTableField id="98" name="2/07 PM" tableColumnId="87"/>
      <queryTableField id="99" name="2/07 NIGHT" tableColumnId="8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28EF48-D6BD-4AA0-91B2-1B97FAEFC55B}" name="Table39" displayName="Table39" ref="B12:AS62" totalsRowShown="0" headerRowDxfId="163" dataDxfId="162">
  <autoFilter ref="B12:AS62" xr:uid="{261324DE-253C-4CBC-B0F9-8E50C05E42DE}">
    <filterColumn colId="1">
      <filters>
        <filter val="Carer"/>
      </filters>
    </filterColumn>
  </autoFilter>
  <sortState xmlns:xlrd2="http://schemas.microsoft.com/office/spreadsheetml/2017/richdata2" ref="B13:AS62">
    <sortCondition ref="B12:B62"/>
  </sortState>
  <tableColumns count="44">
    <tableColumn id="1" xr3:uid="{A6C2E26B-75EE-4EF3-BF5F-D43321438D58}" name="NAME" dataDxfId="161">
      <calculatedColumnFormula>'Residual-Rostered'!B2</calculatedColumnFormula>
    </tableColumn>
    <tableColumn id="2" xr3:uid="{771D6473-754C-43E2-BA6F-2B62C6243AB7}" name="Column1" dataDxfId="160">
      <calculatedColumnFormula>'Residual-Rostered'!C2</calculatedColumnFormula>
    </tableColumn>
    <tableColumn id="3" xr3:uid="{DF63F9C1-59E3-4936-938C-89D6855D71D8}" name="1" dataDxfId="159">
      <calculatedColumnFormula>IF('Residual-Rostered'!E2=0,"-",'Residual-Rostered'!E2)</calculatedColumnFormula>
    </tableColumn>
    <tableColumn id="4" xr3:uid="{54440106-2AA5-4E7D-9C08-DE8E71F8C694}" name="2" dataDxfId="158">
      <calculatedColumnFormula>IF('Residual-Rostered'!F2=0,"-",'Residual-Rostered'!F2)</calculatedColumnFormula>
    </tableColumn>
    <tableColumn id="5" xr3:uid="{9ABE9D56-9774-4FF7-A5BF-EBE119D214D8}" name="3" dataDxfId="157">
      <calculatedColumnFormula>IF('Residual-Rostered'!G2=0,"-",'Residual-Rostered'!G2)</calculatedColumnFormula>
    </tableColumn>
    <tableColumn id="6" xr3:uid="{CC96F90D-AE37-48B3-B3BF-7AF3BCE004BE}" name="4" dataDxfId="156">
      <calculatedColumnFormula>IF('Residual-Rostered'!H2=0,"-",'Residual-Rostered'!H2)</calculatedColumnFormula>
    </tableColumn>
    <tableColumn id="7" xr3:uid="{B3FDB5AD-B729-40CE-8F47-52F29790A4A3}" name="5" dataDxfId="155">
      <calculatedColumnFormula>IF('Residual-Rostered'!I2=0,"-",'Residual-Rostered'!I2)</calculatedColumnFormula>
    </tableColumn>
    <tableColumn id="8" xr3:uid="{CE3529F0-0953-4817-B8D9-B0B4B629E96E}" name="6" dataDxfId="154">
      <calculatedColumnFormula>IF('Residual-Rostered'!J2=0,"-",'Residual-Rostered'!J2)</calculatedColumnFormula>
    </tableColumn>
    <tableColumn id="9" xr3:uid="{A568A6A8-9EDF-4A89-BEF3-074EC77C45F2}" name="7" dataDxfId="153">
      <calculatedColumnFormula>IF('Residual-Rostered'!K2=0,"-",'Residual-Rostered'!K2)</calculatedColumnFormula>
    </tableColumn>
    <tableColumn id="10" xr3:uid="{EC6D3444-59FF-4710-B472-605B19EC2190}" name="8" dataDxfId="152">
      <calculatedColumnFormula>IF('Residual-Rostered'!L2=0,"-",'Residual-Rostered'!L2)</calculatedColumnFormula>
    </tableColumn>
    <tableColumn id="11" xr3:uid="{F4E3D620-38B3-463F-B6CA-4F1339EABF1F}" name="9" dataDxfId="151">
      <calculatedColumnFormula>IF('Residual-Rostered'!M2=0,"-",'Residual-Rostered'!M2)</calculatedColumnFormula>
    </tableColumn>
    <tableColumn id="12" xr3:uid="{F9B3DA65-C6C1-424E-841A-14C3D2C8EE52}" name="10" dataDxfId="150">
      <calculatedColumnFormula>IF('Residual-Rostered'!N2=0,"-",'Residual-Rostered'!N2)</calculatedColumnFormula>
    </tableColumn>
    <tableColumn id="13" xr3:uid="{5A8B08FD-4F39-4A76-AB86-FC4189F0A211}" name="11" dataDxfId="149">
      <calculatedColumnFormula>IF('Residual-Rostered'!O2=0,"-",'Residual-Rostered'!O2)</calculatedColumnFormula>
    </tableColumn>
    <tableColumn id="14" xr3:uid="{098FF7D6-5A8F-479E-8137-2915422CE398}" name="12" dataDxfId="148">
      <calculatedColumnFormula>IF('Residual-Rostered'!P2=0,"-",'Residual-Rostered'!P2)</calculatedColumnFormula>
    </tableColumn>
    <tableColumn id="15" xr3:uid="{0190D24D-0911-4911-AF90-B59632FC4738}" name="13" dataDxfId="147">
      <calculatedColumnFormula>IF('Residual-Rostered'!Q2=0,"-",'Residual-Rostered'!Q2)</calculatedColumnFormula>
    </tableColumn>
    <tableColumn id="16" xr3:uid="{4E7AE8C5-34AE-45CE-A7DB-E03715F664FD}" name="14" dataDxfId="146">
      <calculatedColumnFormula>IF('Residual-Rostered'!R2=0,"-",'Residual-Rostered'!R2)</calculatedColumnFormula>
    </tableColumn>
    <tableColumn id="17" xr3:uid="{13E5611A-F192-4794-A3E3-138BBE93161F}" name="15" dataDxfId="145">
      <calculatedColumnFormula>IF('Residual-Rostered'!S2=0,"-",'Residual-Rostered'!S2)</calculatedColumnFormula>
    </tableColumn>
    <tableColumn id="18" xr3:uid="{0F51159A-4AEF-42BB-B39E-1F548C5085B5}" name="16" dataDxfId="144">
      <calculatedColumnFormula>IF('Residual-Rostered'!T2=0,"-",'Residual-Rostered'!T2)</calculatedColumnFormula>
    </tableColumn>
    <tableColumn id="19" xr3:uid="{45947F21-527F-4629-949C-B16156CD63E6}" name="17" dataDxfId="143">
      <calculatedColumnFormula>IF('Residual-Rostered'!U2=0,"-",'Residual-Rostered'!U2)</calculatedColumnFormula>
    </tableColumn>
    <tableColumn id="20" xr3:uid="{A041CB8E-E51C-4BF6-A0EE-E0F31D08EC2F}" name="18" dataDxfId="142">
      <calculatedColumnFormula>IF('Residual-Rostered'!V2=0,"-",'Residual-Rostered'!V2)</calculatedColumnFormula>
    </tableColumn>
    <tableColumn id="21" xr3:uid="{160ABA84-38E4-4B58-85FB-85D7DC551B25}" name="19" dataDxfId="141">
      <calculatedColumnFormula>IF('Residual-Rostered'!W2=0,"-",'Residual-Rostered'!W2)</calculatedColumnFormula>
    </tableColumn>
    <tableColumn id="22" xr3:uid="{47266F32-FEE4-4FB2-AF5A-53073D02D759}" name="20" dataDxfId="140">
      <calculatedColumnFormula>IF('Residual-Rostered'!X2=0,"-",'Residual-Rostered'!X2)</calculatedColumnFormula>
    </tableColumn>
    <tableColumn id="23" xr3:uid="{AB170FF5-5C9C-466B-9A17-29A8B41FCA96}" name="21" dataDxfId="139">
      <calculatedColumnFormula>IF('Residual-Rostered'!Y2=0,"-",'Residual-Rostered'!Y2)</calculatedColumnFormula>
    </tableColumn>
    <tableColumn id="24" xr3:uid="{02F8BFF0-F572-444D-A745-FC729E96519F}" name="22" dataDxfId="138">
      <calculatedColumnFormula>IF('Residual-Rostered'!Z2=0,"-",'Residual-Rostered'!Z2)</calculatedColumnFormula>
    </tableColumn>
    <tableColumn id="25" xr3:uid="{66EE30FC-BAF3-404E-9909-C1532E99B27F}" name="23" dataDxfId="137">
      <calculatedColumnFormula>IF('Residual-Rostered'!AA2=0,"-",'Residual-Rostered'!AA2)</calculatedColumnFormula>
    </tableColumn>
    <tableColumn id="26" xr3:uid="{46DFCB61-3290-4904-B51B-26910E4AAA93}" name="24" dataDxfId="136">
      <calculatedColumnFormula>IF('Residual-Rostered'!AB2=0,"-",'Residual-Rostered'!AB2)</calculatedColumnFormula>
    </tableColumn>
    <tableColumn id="27" xr3:uid="{FDB19066-299B-4529-9893-8151BE34A8FD}" name="25" dataDxfId="135">
      <calculatedColumnFormula>IF('Residual-Rostered'!AC2=0,"-",'Residual-Rostered'!AC2)</calculatedColumnFormula>
    </tableColumn>
    <tableColumn id="28" xr3:uid="{E2CFB88F-7590-4987-BC9E-05C69BD21626}" name="26" dataDxfId="134">
      <calculatedColumnFormula>IF('Residual-Rostered'!AD2=0,"-",'Residual-Rostered'!AD2)</calculatedColumnFormula>
    </tableColumn>
    <tableColumn id="29" xr3:uid="{6B6D634C-4115-475F-85AA-43D2FAEF93B8}" name="27" dataDxfId="133">
      <calculatedColumnFormula>IF('Residual-Rostered'!AE2=0,"-",'Residual-Rostered'!AE2)</calculatedColumnFormula>
    </tableColumn>
    <tableColumn id="30" xr3:uid="{FB1BC438-9924-40BF-9DCF-276DD31003E5}" name="28" dataDxfId="132">
      <calculatedColumnFormula>IF('Residual-Rostered'!AF2=0,"-",'Residual-Rostered'!AF2)</calculatedColumnFormula>
    </tableColumn>
    <tableColumn id="31" xr3:uid="{54634EF3-CDA5-4D89-A5D8-32657FD9B5DB}" name="29" dataDxfId="131">
      <calculatedColumnFormula>IF('Residual-Rostered'!AG2=0,"-",'Residual-Rostered'!AG2)</calculatedColumnFormula>
    </tableColumn>
    <tableColumn id="32" xr3:uid="{5F6D6F05-DF3B-44C2-9DDD-19C218190BA3}" name="30" dataDxfId="130">
      <calculatedColumnFormula>IF('Residual-Rostered'!AH2=0,"-",'Residual-Rostered'!AH2)</calculatedColumnFormula>
    </tableColumn>
    <tableColumn id="33" xr3:uid="{A0FFBA99-FEBE-412C-ACE3-A18C8CF6B083}" name="31" dataDxfId="129">
      <calculatedColumnFormula>IF('Residual-Rostered'!AI2=0,"-",'Residual-Rostered'!AI2)</calculatedColumnFormula>
    </tableColumn>
    <tableColumn id="34" xr3:uid="{65C7F2EA-1AD5-4D27-8014-2F5B2D6B641E}" name="32" dataDxfId="128">
      <calculatedColumnFormula>IF('Residual-Rostered'!AJ2=0,"-",'Residual-Rostered'!AJ2)</calculatedColumnFormula>
    </tableColumn>
    <tableColumn id="35" xr3:uid="{FC2D5DE1-148C-4208-B8F9-9AEA3A2C5BD2}" name="33" dataDxfId="127">
      <calculatedColumnFormula>IF('Residual-Rostered'!AK2=0,"-",'Residual-Rostered'!AK2)</calculatedColumnFormula>
    </tableColumn>
    <tableColumn id="36" xr3:uid="{BEC8E857-28CF-401F-83F9-A1829DAE5AF5}" name="34" dataDxfId="126">
      <calculatedColumnFormula>IF('Residual-Rostered'!AL2=0,"-",'Residual-Rostered'!AL2)</calculatedColumnFormula>
    </tableColumn>
    <tableColumn id="37" xr3:uid="{34B56021-9757-4F47-9553-1D273E57B882}" name="35" dataDxfId="125">
      <calculatedColumnFormula>IF('Residual-Rostered'!AM2=0,"-",'Residual-Rostered'!AM2)</calculatedColumnFormula>
    </tableColumn>
    <tableColumn id="38" xr3:uid="{B6E607E6-31DC-4FDC-A08F-C8AE74004E63}" name="36" dataDxfId="124">
      <calculatedColumnFormula>IF('Residual-Rostered'!AN2=0,"-",'Residual-Rostered'!AN2)</calculatedColumnFormula>
    </tableColumn>
    <tableColumn id="39" xr3:uid="{A96F9BAB-6399-494E-8DA9-8B9D3B03522E}" name="37" dataDxfId="123">
      <calculatedColumnFormula>IF('Residual-Rostered'!AO2=0,"-",'Residual-Rostered'!AO2)</calculatedColumnFormula>
    </tableColumn>
    <tableColumn id="40" xr3:uid="{5A63FAE5-84F0-4A6E-97E3-2DD4C493EB42}" name="38" dataDxfId="122">
      <calculatedColumnFormula>IF('Residual-Rostered'!AP2=0,"-",'Residual-Rostered'!AP2)</calculatedColumnFormula>
    </tableColumn>
    <tableColumn id="41" xr3:uid="{ECF5DF7A-A938-4737-B2AF-183B5A6E778D}" name="39" dataDxfId="121">
      <calculatedColumnFormula>IF('Residual-Rostered'!AQ2=0,"-",'Residual-Rostered'!AQ2)</calculatedColumnFormula>
    </tableColumn>
    <tableColumn id="42" xr3:uid="{E5F2AE5D-CC06-45B2-8BAA-6844733D40BB}" name="40" dataDxfId="120">
      <calculatedColumnFormula>IF('Residual-Rostered'!AR2=0,"-",'Residual-Rostered'!AR2)</calculatedColumnFormula>
    </tableColumn>
    <tableColumn id="43" xr3:uid="{89F160D0-06E5-4459-B4A4-CF573ACF0E68}" name="41" dataDxfId="119">
      <calculatedColumnFormula>IF('Residual-Rostered'!AS2=0,"-",'Residual-Rostered'!AS2)</calculatedColumnFormula>
    </tableColumn>
    <tableColumn id="44" xr3:uid="{33FAEFBC-270C-4798-A1D0-894101E4B8AA}" name="42" dataDxfId="118">
      <calculatedColumnFormula>IF('Residual-Rostered'!AT2=0,"-",'Residual-Rostered'!AT2)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60EC48-A517-412E-B1CB-20C4AF925392}" name="Folder" displayName="Folder" ref="B35:B36" totalsRowShown="0" dataDxfId="117" dataCellStyle="Normal 2">
  <autoFilter ref="B35:B36" xr:uid="{56272DB7-7BB8-46CC-B188-5BD9424345D9}"/>
  <tableColumns count="1">
    <tableColumn id="1" xr3:uid="{D8465287-A2B3-4C4E-AA1C-5EFD83E5A728}" name="Folder" dataDxfId="116" dataCellStyle="Normal 2">
      <calculatedColumnFormula>B20&amp;"\"&amp;B7&amp;"\"&amp;B14&amp;"\"&amp;B15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CB6996-BCA1-4642-84EA-9E443151A681}" name="Table5" displayName="Table5" ref="J1:K3" totalsRowShown="0" headerRowDxfId="115" dataDxfId="114" headerRowCellStyle="Normal 2" dataCellStyle="Normal 2">
  <autoFilter ref="J1:K3" xr:uid="{13CB6996-BCA1-4642-84EA-9E443151A681}"/>
  <tableColumns count="2">
    <tableColumn id="1" xr3:uid="{43DD7ADD-D531-4238-97F5-CE77FE1E5A1F}" name="UNITS" dataDxfId="113" dataCellStyle="Normal 2"/>
    <tableColumn id="2" xr3:uid="{50B3CA64-923C-48CB-B5E1-6356A9A8BBE3}" name="HRS/FTE" dataDxfId="112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356D3-550E-4618-A9BF-A3D88273FEBE}" name="Table_Header" displayName="Table_Header" ref="B10:AT13" tableType="queryTable" totalsRowShown="0" headerRowDxfId="111">
  <autoFilter ref="B10:AT13" xr:uid="{273356D3-550E-4618-A9BF-A3D88273FEBE}"/>
  <tableColumns count="45">
    <tableColumn id="1" xr3:uid="{A2121313-D5DA-4E29-8BF4-9721F97EC8A6}" uniqueName="1" name="Facility" queryTableFieldId="1" dataDxfId="110"/>
    <tableColumn id="3" xr3:uid="{1B2C00BE-AF4A-4EB3-9A79-2D8E8A174FF6}" uniqueName="3" name="EffortType" queryTableFieldId="3" dataDxfId="109"/>
    <tableColumn id="2" xr3:uid="{BD613F6E-A34F-446D-8E50-EAFB014C6286}" uniqueName="2" name="Role" queryTableFieldId="2" dataDxfId="108"/>
    <tableColumn id="49" xr3:uid="{167E6A07-9FCA-4785-A0BD-52FAE95262B0}" uniqueName="49" name="19/06 AM" queryTableFieldId="49" dataDxfId="107"/>
    <tableColumn id="50" xr3:uid="{BEFEE142-C1BD-451E-8493-71FA0756EEE1}" uniqueName="50" name="19/06 PM" queryTableFieldId="50" dataDxfId="106"/>
    <tableColumn id="51" xr3:uid="{A99EFF4C-36D3-474E-B6B2-4E4509CB9CB4}" uniqueName="51" name="19/06 NIGHT" queryTableFieldId="51" dataDxfId="105"/>
    <tableColumn id="55" xr3:uid="{AE99EFFB-A9C4-47C3-9C74-380F39C33E18}" uniqueName="55" name="20/06 AM" queryTableFieldId="55" dataDxfId="104"/>
    <tableColumn id="56" xr3:uid="{9A3FCC93-894D-42C3-8B1D-B1056D762414}" uniqueName="56" name="20/06 PM" queryTableFieldId="56" dataDxfId="103"/>
    <tableColumn id="57" xr3:uid="{9EF716E7-DF49-45C7-A655-1D4BECAA5F7C}" uniqueName="57" name="20/06 NIGHT" queryTableFieldId="57" dataDxfId="102"/>
    <tableColumn id="58" xr3:uid="{98592E63-D54F-4711-A69B-9461195F18F3}" uniqueName="58" name="21/06 AM" queryTableFieldId="58" dataDxfId="101"/>
    <tableColumn id="59" xr3:uid="{2B8D62DB-876D-44F4-AEA6-B29294E50918}" uniqueName="59" name="21/06 PM" queryTableFieldId="59" dataDxfId="100"/>
    <tableColumn id="60" xr3:uid="{7FC7D32B-051A-4C19-9EE0-E7A3471E24E7}" uniqueName="60" name="21/06 NIGHT" queryTableFieldId="60" dataDxfId="99"/>
    <tableColumn id="61" xr3:uid="{6C584629-15EB-4795-8B33-C1945FF46055}" uniqueName="61" name="22/06 AM" queryTableFieldId="61" dataDxfId="98"/>
    <tableColumn id="62" xr3:uid="{058D14D6-85A6-4A30-B752-2D9972BD2C21}" uniqueName="62" name="22/06 PM" queryTableFieldId="62" dataDxfId="97"/>
    <tableColumn id="63" xr3:uid="{2466F4BE-B2EE-4C90-B6EF-B8FF6037CB7C}" uniqueName="63" name="22/06 NIGHT" queryTableFieldId="63" dataDxfId="96"/>
    <tableColumn id="64" xr3:uid="{2726E5F2-4A61-4D20-9375-F3812D70BF05}" uniqueName="64" name="23/06 AM" queryTableFieldId="64" dataDxfId="95"/>
    <tableColumn id="65" xr3:uid="{59D38C70-F64A-4C06-BCEB-44D18E9986DD}" uniqueName="65" name="23/06 PM" queryTableFieldId="65" dataDxfId="94"/>
    <tableColumn id="66" xr3:uid="{3276F23B-3145-4DC4-91B7-0C8D8FC6CBA2}" uniqueName="66" name="23/06 NIGHT" queryTableFieldId="66" dataDxfId="93"/>
    <tableColumn id="67" xr3:uid="{987BE6EA-4531-4251-B48A-D8D45D02AFD5}" uniqueName="67" name="24/06 AM" queryTableFieldId="67" dataDxfId="92"/>
    <tableColumn id="68" xr3:uid="{61B2E02E-7815-4523-9AB9-00691DE49A2B}" uniqueName="68" name="24/06 PM" queryTableFieldId="68" dataDxfId="91"/>
    <tableColumn id="69" xr3:uid="{40966D45-A8FC-4824-8889-92FA9C6A39B7}" uniqueName="69" name="24/06 NIGHT" queryTableFieldId="69" dataDxfId="90"/>
    <tableColumn id="70" xr3:uid="{6E31D288-F73A-4C57-845E-D90BFB371C5C}" uniqueName="70" name="25/06 AM" queryTableFieldId="70" dataDxfId="89"/>
    <tableColumn id="71" xr3:uid="{D9944EDB-E450-4272-AF15-700A39D3740F}" uniqueName="71" name="25/06 PM" queryTableFieldId="71" dataDxfId="88"/>
    <tableColumn id="72" xr3:uid="{58E3B2A1-400E-4019-AFDA-0DA50813B033}" uniqueName="72" name="25/06 NIGHT" queryTableFieldId="72" dataDxfId="87"/>
    <tableColumn id="73" xr3:uid="{EEB21346-D460-42AB-BB21-960CA33D5D45}" uniqueName="73" name="26/06 AM" queryTableFieldId="73" dataDxfId="86"/>
    <tableColumn id="74" xr3:uid="{36486F78-7238-4086-9E16-54FB98A72526}" uniqueName="74" name="26/06 PM" queryTableFieldId="74" dataDxfId="85"/>
    <tableColumn id="75" xr3:uid="{B49CA531-D3BA-44AF-A075-1F936A2DE5FE}" uniqueName="75" name="26/06 NIGHT" queryTableFieldId="75" dataDxfId="84"/>
    <tableColumn id="76" xr3:uid="{59715EF1-C030-4B07-9C59-AF0FF3D3184C}" uniqueName="76" name="27/06 AM" queryTableFieldId="76" dataDxfId="83"/>
    <tableColumn id="77" xr3:uid="{B594FB66-1E9D-4510-B44A-7FE4DFB650AD}" uniqueName="77" name="27/06 PM" queryTableFieldId="77" dataDxfId="82"/>
    <tableColumn id="78" xr3:uid="{71432481-63F1-4512-898D-89F39C13DECB}" uniqueName="78" name="27/06 NIGHT" queryTableFieldId="78" dataDxfId="81"/>
    <tableColumn id="79" xr3:uid="{D5D91437-DC52-47D7-A3D0-CAC1ECC8A52C}" uniqueName="79" name="28/06 AM" queryTableFieldId="79" dataDxfId="80"/>
    <tableColumn id="80" xr3:uid="{A38AF1B4-3594-46ED-ACA4-C6F523DDB306}" uniqueName="80" name="28/06 PM" queryTableFieldId="80" dataDxfId="79"/>
    <tableColumn id="81" xr3:uid="{9D120666-0688-428B-B62C-3E61E4B8BF4D}" uniqueName="81" name="28/06 NIGHT" queryTableFieldId="81" dataDxfId="78"/>
    <tableColumn id="82" xr3:uid="{B307D923-A585-4EF9-873D-0C2A7705781C}" uniqueName="82" name="29/06 AM" queryTableFieldId="82" dataDxfId="77"/>
    <tableColumn id="83" xr3:uid="{AAA4D5BF-4E47-4336-8008-8D1758A8E11F}" uniqueName="83" name="29/06 PM" queryTableFieldId="83" dataDxfId="76"/>
    <tableColumn id="84" xr3:uid="{461A3443-D010-4CB7-998E-1CAED65278DC}" uniqueName="84" name="29/06 NIGHT" queryTableFieldId="84" dataDxfId="75"/>
    <tableColumn id="85" xr3:uid="{EA96BD90-DC88-470A-A9FC-E7B8DB7A2E84}" uniqueName="85" name="30/06 AM" queryTableFieldId="85" dataDxfId="74"/>
    <tableColumn id="86" xr3:uid="{943D13B8-A778-41CF-94A1-EF115BFB9183}" uniqueName="86" name="30/06 PM" queryTableFieldId="86" dataDxfId="73"/>
    <tableColumn id="87" xr3:uid="{0F74262A-2515-4A7E-84A9-7FF69110C19A}" uniqueName="87" name="30/06 NIGHT" queryTableFieldId="87" dataDxfId="72"/>
    <tableColumn id="46" xr3:uid="{DAFCA283-08A2-401A-B2A2-7B462A2380FA}" uniqueName="46" name="1/07 AM" queryTableFieldId="46" dataDxfId="71"/>
    <tableColumn id="47" xr3:uid="{F9A0B707-B73A-4A23-9F81-4EFC77C5685A}" uniqueName="47" name="1/07 PM" queryTableFieldId="47" dataDxfId="70"/>
    <tableColumn id="48" xr3:uid="{ACB8607B-0704-4444-A122-2B2A6B5B8280}" uniqueName="48" name="1/07 NIGHT" queryTableFieldId="48" dataDxfId="69"/>
    <tableColumn id="52" xr3:uid="{9CF6DAEA-3D0A-4F32-A738-B9B5F1566F0A}" uniqueName="52" name="2/07 AM" queryTableFieldId="52" dataDxfId="68"/>
    <tableColumn id="53" xr3:uid="{D66CEED5-EEC3-4881-BD91-36DB8024DC39}" uniqueName="53" name="2/07 PM" queryTableFieldId="53" dataDxfId="67"/>
    <tableColumn id="54" xr3:uid="{A57AA7F0-6595-4772-A379-9509A6D53246}" uniqueName="54" name="2/07 NIGHT" queryTableFieldId="54" dataDxfId="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A21D5-1AEE-4EAE-B10B-87863F372846}" name="Table_Residual_RosteredMATRIX" displayName="Table_Residual_RosteredMATRIX" ref="A1:AT10" tableType="queryTable" totalsRowShown="0" headerRowDxfId="65">
  <autoFilter ref="A1:AT10" xr:uid="{422A21D5-1AEE-4EAE-B10B-87863F372846}"/>
  <sortState xmlns:xlrd2="http://schemas.microsoft.com/office/spreadsheetml/2017/richdata2" ref="A2:AT10">
    <sortCondition ref="B1:B10"/>
  </sortState>
  <tableColumns count="46">
    <tableColumn id="1" xr3:uid="{C7C93679-0CD7-4C1D-8B6F-9716B394CBBF}" uniqueName="1" name="Facility" queryTableFieldId="1"/>
    <tableColumn id="2" xr3:uid="{07501B83-88B4-44A8-9C12-9AEAE7B46B5F}" uniqueName="2" name="Name" queryTableFieldId="2" dataDxfId="64"/>
    <tableColumn id="3" xr3:uid="{B5115617-CA88-4BD2-AC70-97EC994199B7}" uniqueName="3" name="Role" queryTableFieldId="3" dataDxfId="63"/>
    <tableColumn id="89" xr3:uid="{6E74BEE2-9136-45D0-B3B1-DF7A08A30987}" uniqueName="89" name="Rostered HRS" queryTableFieldId="100"/>
    <tableColumn id="47" xr3:uid="{1C5BC0A7-DCBB-45C0-8E39-975F4715EF33}" uniqueName="47" name="19/06 AM" queryTableFieldId="58" dataDxfId="62"/>
    <tableColumn id="48" xr3:uid="{844E35A1-279F-47F6-89EF-7D7BD7EA3FC6}" uniqueName="48" name="19/06 PM" queryTableFieldId="59" dataDxfId="61"/>
    <tableColumn id="49" xr3:uid="{488AF005-ACCB-4215-AEDB-A53F0C2DF218}" uniqueName="49" name="19/06 NIGHT" queryTableFieldId="60" dataDxfId="60"/>
    <tableColumn id="50" xr3:uid="{5125FC19-FE2E-4B87-B4E2-6BD92E416CCF}" uniqueName="50" name="20/06 AM" queryTableFieldId="61" dataDxfId="59"/>
    <tableColumn id="51" xr3:uid="{E6E4CF2A-2F27-4B77-AA82-8938949F7499}" uniqueName="51" name="20/06 PM" queryTableFieldId="62" dataDxfId="58"/>
    <tableColumn id="52" xr3:uid="{1EBF2243-4486-4C0B-9557-8056A269FA55}" uniqueName="52" name="20/06 NIGHT" queryTableFieldId="63" dataDxfId="57"/>
    <tableColumn id="53" xr3:uid="{492727A9-3CBF-4A4C-82D0-79B141E3EAB0}" uniqueName="53" name="21/06 AM" queryTableFieldId="64" dataDxfId="56"/>
    <tableColumn id="54" xr3:uid="{844DDEA4-B1F5-41C2-BC7D-2A0AF49712FB}" uniqueName="54" name="21/06 PM" queryTableFieldId="65" dataDxfId="55"/>
    <tableColumn id="55" xr3:uid="{8323F363-CE5D-4C5D-9E26-BF06786D6A25}" uniqueName="55" name="21/06 NIGHT" queryTableFieldId="66" dataDxfId="54"/>
    <tableColumn id="56" xr3:uid="{5CD57C9A-8893-434F-B268-59EA33EA6056}" uniqueName="56" name="22/06 AM" queryTableFieldId="67" dataDxfId="53"/>
    <tableColumn id="57" xr3:uid="{875A9030-A065-4530-8CE3-F9AE873F18EF}" uniqueName="57" name="22/06 PM" queryTableFieldId="68" dataDxfId="52"/>
    <tableColumn id="58" xr3:uid="{58D69998-AF30-468F-84E2-E5AD96ED9A8D}" uniqueName="58" name="22/06 NIGHT" queryTableFieldId="69" dataDxfId="51"/>
    <tableColumn id="59" xr3:uid="{FC0C7F65-D4F1-4B9D-BF9F-9E3118B52646}" uniqueName="59" name="23/06 AM" queryTableFieldId="70" dataDxfId="50"/>
    <tableColumn id="60" xr3:uid="{37164A98-3CA9-47BB-AAA6-71E3A9897878}" uniqueName="60" name="23/06 PM" queryTableFieldId="71" dataDxfId="49"/>
    <tableColumn id="61" xr3:uid="{917E3444-3F99-4D82-BA3D-11EBDB1EE73A}" uniqueName="61" name="23/06 NIGHT" queryTableFieldId="72" dataDxfId="48"/>
    <tableColumn id="62" xr3:uid="{F7584078-29FE-4812-951E-D84F0CCD99FB}" uniqueName="62" name="24/06 AM" queryTableFieldId="73" dataDxfId="47"/>
    <tableColumn id="63" xr3:uid="{BAB6A0AC-E507-4790-B12E-267349917AD8}" uniqueName="63" name="24/06 PM" queryTableFieldId="74" dataDxfId="46"/>
    <tableColumn id="64" xr3:uid="{C21087DB-061C-40CE-BDB4-83BA7595D152}" uniqueName="64" name="24/06 NIGHT" queryTableFieldId="75" dataDxfId="45"/>
    <tableColumn id="65" xr3:uid="{A6F25A9E-EABC-4BF2-8159-8F6D38600307}" uniqueName="65" name="25/06 AM" queryTableFieldId="76" dataDxfId="44"/>
    <tableColumn id="66" xr3:uid="{BFC2CF19-8380-4864-A8E4-038A625872C8}" uniqueName="66" name="25/06 PM" queryTableFieldId="77" dataDxfId="43"/>
    <tableColumn id="67" xr3:uid="{C582BC65-609D-4AD5-A5D8-849E5A49EE56}" uniqueName="67" name="25/06 NIGHT" queryTableFieldId="78" dataDxfId="42"/>
    <tableColumn id="68" xr3:uid="{F519879C-DDBA-4073-B6CB-E414B7C2B8C2}" uniqueName="68" name="26/06 AM" queryTableFieldId="79" dataDxfId="41"/>
    <tableColumn id="69" xr3:uid="{60DFA016-F79A-45DA-A850-8A0BAF9EC862}" uniqueName="69" name="26/06 PM" queryTableFieldId="80" dataDxfId="40"/>
    <tableColumn id="70" xr3:uid="{4291FC32-F83D-4112-ABF9-ADA3B3B46660}" uniqueName="70" name="26/06 NIGHT" queryTableFieldId="81" dataDxfId="39"/>
    <tableColumn id="71" xr3:uid="{6521C130-73D4-4B33-9C4F-69E2931EFFA9}" uniqueName="71" name="27/06 AM" queryTableFieldId="82" dataDxfId="38"/>
    <tableColumn id="72" xr3:uid="{632E5B27-9B05-4C05-956B-9E5E26B6950C}" uniqueName="72" name="27/06 PM" queryTableFieldId="83" dataDxfId="37"/>
    <tableColumn id="73" xr3:uid="{EED36C85-43E7-4DC4-B80D-B8DFAF0779E1}" uniqueName="73" name="27/06 NIGHT" queryTableFieldId="84" dataDxfId="36"/>
    <tableColumn id="74" xr3:uid="{6A68C620-56D0-432A-AE68-02FE389FE064}" uniqueName="74" name="28/06 AM" queryTableFieldId="85" dataDxfId="35"/>
    <tableColumn id="75" xr3:uid="{D08FC7AA-FDD8-4B13-B123-C61F272854D3}" uniqueName="75" name="28/06 PM" queryTableFieldId="86" dataDxfId="34"/>
    <tableColumn id="76" xr3:uid="{D7D3676C-F464-4C24-A8B0-EC2AA308452D}" uniqueName="76" name="28/06 NIGHT" queryTableFieldId="87" dataDxfId="33"/>
    <tableColumn id="77" xr3:uid="{93394C68-0D40-4CF3-A688-2E62A50624DC}" uniqueName="77" name="29/06 AM" queryTableFieldId="88" dataDxfId="32"/>
    <tableColumn id="78" xr3:uid="{74EE771B-452C-410E-8397-C0026558B713}" uniqueName="78" name="29/06 PM" queryTableFieldId="89" dataDxfId="31"/>
    <tableColumn id="79" xr3:uid="{D0DD36F5-9B2E-4305-AC44-2846649032D2}" uniqueName="79" name="29/06 NIGHT" queryTableFieldId="90" dataDxfId="30"/>
    <tableColumn id="80" xr3:uid="{823273F6-F905-4528-BDA3-C55A3FB666AD}" uniqueName="80" name="30/06 AM" queryTableFieldId="91" dataDxfId="29"/>
    <tableColumn id="81" xr3:uid="{45D1AA49-5A89-4904-A288-C687C1AFEF97}" uniqueName="81" name="30/06 PM" queryTableFieldId="92" dataDxfId="28"/>
    <tableColumn id="82" xr3:uid="{21B77953-E8FC-4076-A10E-8948F71A8D62}" uniqueName="82" name="30/06 NIGHT" queryTableFieldId="93" dataDxfId="27"/>
    <tableColumn id="83" xr3:uid="{A4A699D6-FF28-4C6A-A865-B7AF6A2C945C}" uniqueName="83" name="1/07 AM" queryTableFieldId="94" dataDxfId="26"/>
    <tableColumn id="84" xr3:uid="{868C8555-EBB2-4F13-9456-E02F189755AC}" uniqueName="84" name="1/07 PM" queryTableFieldId="95" dataDxfId="25"/>
    <tableColumn id="85" xr3:uid="{B6CB1538-5A2E-408C-A1C2-0AF1B10F9EA2}" uniqueName="85" name="1/07 NIGHT" queryTableFieldId="96" dataDxfId="24"/>
    <tableColumn id="86" xr3:uid="{CB7D1144-419D-452D-A30C-BE8BE6D0E02F}" uniqueName="86" name="2/07 AM" queryTableFieldId="97" dataDxfId="23"/>
    <tableColumn id="87" xr3:uid="{1543C24A-646A-4B37-BB6C-F0075692A18D}" uniqueName="87" name="2/07 PM" queryTableFieldId="98" dataDxfId="22"/>
    <tableColumn id="88" xr3:uid="{E3D8A4FE-F6C2-4D48-94F0-A0C039E33DF0}" uniqueName="88" name="2/07 NIGHT" queryTableFieldId="99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1324DE-253C-4CBC-B0F9-8E50C05E42DE}" name="Table3" displayName="Table3" ref="B12:AW20" totalsRowShown="0" headerRowDxfId="216" dataDxfId="215">
  <autoFilter ref="B12:AW20" xr:uid="{261324DE-253C-4CBC-B0F9-8E50C05E42DE}"/>
  <sortState xmlns:xlrd2="http://schemas.microsoft.com/office/spreadsheetml/2017/richdata2" ref="B13:AW20">
    <sortCondition descending="1" ref="E12:E20"/>
  </sortState>
  <tableColumns count="48">
    <tableColumn id="1" xr3:uid="{9BA3E99E-4587-40C7-8A1E-32321FFE7A5E}" name="NAME" dataDxfId="214">
      <calculatedColumnFormula>'Residual-Rostered'!B2</calculatedColumnFormula>
    </tableColumn>
    <tableColumn id="2" xr3:uid="{3F57ADE9-C8D4-46FA-ADA4-CE90843A62E0}" name="Column1" dataDxfId="213">
      <calculatedColumnFormula>'Residual-Rostered'!C2</calculatedColumnFormula>
    </tableColumn>
    <tableColumn id="45" xr3:uid="{856AB1AA-FC9B-46B4-80B1-3915960C2258}" name="ROSTERED TIME" dataDxfId="212">
      <calculatedColumnFormula>'Residual-Rostered'!D2</calculatedColumnFormula>
    </tableColumn>
    <tableColumn id="46" xr3:uid="{78ADA96D-F547-4847-A034-03A4E819D696}" name="RESIDUAL TIME" dataDxfId="211">
      <calculatedColumnFormula>Max_HRS-Table3[[#This Row],[ROSTERED TIME]]</calculatedColumnFormula>
    </tableColumn>
    <tableColumn id="47" xr3:uid="{8AE50666-C78F-4D4B-B86B-B3BD3205A8A7}" name="CHANGE TIME" dataDxfId="210">
      <calculatedColumnFormula>SUM(Table3[[#This Row],[1]:[42]])</calculatedColumnFormula>
    </tableColumn>
    <tableColumn id="48" xr3:uid="{1AC165FA-B57A-48D2-8AAB-5D74BD476823}" name="CHANGED TOTAL" dataDxfId="209">
      <calculatedColumnFormula>Table3[[#This Row],[ROSTERED TIME]]+Table3[[#This Row],[CHANGE TIME]]</calculatedColumnFormula>
    </tableColumn>
    <tableColumn id="3" xr3:uid="{B369B314-85FB-46D5-A1C9-302234A24058}" name="1" dataDxfId="208">
      <calculatedColumnFormula>IF('Residual-Rostered'!E2=0,"-",'Residual-Rostered'!E2)</calculatedColumnFormula>
    </tableColumn>
    <tableColumn id="4" xr3:uid="{E0D6F3FA-F44E-497D-BE2C-00DE1566508C}" name="2" dataDxfId="207">
      <calculatedColumnFormula>IF('Residual-Rostered'!F2=0,"-",'Residual-Rostered'!F2)</calculatedColumnFormula>
    </tableColumn>
    <tableColumn id="5" xr3:uid="{2E2DB928-F9BF-418E-BA36-EB7F57E3CD4E}" name="3" dataDxfId="206">
      <calculatedColumnFormula>IF('Residual-Rostered'!G2=0,"-",'Residual-Rostered'!G2)</calculatedColumnFormula>
    </tableColumn>
    <tableColumn id="6" xr3:uid="{D2C4FC10-9C57-4237-8E48-0671C19956CE}" name="4" dataDxfId="205">
      <calculatedColumnFormula>IF('Residual-Rostered'!H2=0,"-",'Residual-Rostered'!H2)</calculatedColumnFormula>
    </tableColumn>
    <tableColumn id="7" xr3:uid="{CAB79E37-FAAB-4F14-B17D-4BA1D83EF273}" name="5" dataDxfId="204">
      <calculatedColumnFormula>IF('Residual-Rostered'!I2=0,"-",'Residual-Rostered'!I2)</calculatedColumnFormula>
    </tableColumn>
    <tableColumn id="8" xr3:uid="{A0DD6C24-AFA6-49AE-8AA9-8880E5A56B43}" name="6" dataDxfId="203">
      <calculatedColumnFormula>IF('Residual-Rostered'!J2=0,"-",'Residual-Rostered'!J2)</calculatedColumnFormula>
    </tableColumn>
    <tableColumn id="9" xr3:uid="{AEF40320-5065-432C-A4AB-B5031A4B5414}" name="7" dataDxfId="202">
      <calculatedColumnFormula>IF('Residual-Rostered'!K2=0,"-",'Residual-Rostered'!K2)</calculatedColumnFormula>
    </tableColumn>
    <tableColumn id="10" xr3:uid="{67B527D5-5878-4839-800A-B38F77CC770A}" name="8" dataDxfId="201">
      <calculatedColumnFormula>IF('Residual-Rostered'!L2=0,"-",'Residual-Rostered'!L2)</calculatedColumnFormula>
    </tableColumn>
    <tableColumn id="11" xr3:uid="{87AFBE69-B777-48EA-82DB-15DD9B6CF083}" name="9" dataDxfId="200">
      <calculatedColumnFormula>IF('Residual-Rostered'!M2=0,"-",'Residual-Rostered'!M2)</calculatedColumnFormula>
    </tableColumn>
    <tableColumn id="12" xr3:uid="{84A528D3-C894-40D0-9D76-4AF482890AD2}" name="10" dataDxfId="199">
      <calculatedColumnFormula>IF('Residual-Rostered'!N2=0,"-",'Residual-Rostered'!N2)</calculatedColumnFormula>
    </tableColumn>
    <tableColumn id="13" xr3:uid="{FFAD6971-7CBC-41CB-A676-508B90E71F59}" name="11" dataDxfId="198">
      <calculatedColumnFormula>IF('Residual-Rostered'!O2=0,"-",'Residual-Rostered'!O2)</calculatedColumnFormula>
    </tableColumn>
    <tableColumn id="14" xr3:uid="{6A90F5D6-882D-48ED-AD0F-87676EE02B66}" name="12" dataDxfId="197">
      <calculatedColumnFormula>IF('Residual-Rostered'!P2=0,"-",'Residual-Rostered'!P2)</calculatedColumnFormula>
    </tableColumn>
    <tableColumn id="15" xr3:uid="{74183B53-8B49-4080-89D5-70A867153C86}" name="13" dataDxfId="196">
      <calculatedColumnFormula>IF('Residual-Rostered'!Q2=0,"-",'Residual-Rostered'!Q2)</calculatedColumnFormula>
    </tableColumn>
    <tableColumn id="16" xr3:uid="{A72BDA8B-087C-4518-B306-474BF8C9CC79}" name="14" dataDxfId="195">
      <calculatedColumnFormula>IF('Residual-Rostered'!R2=0,"-",'Residual-Rostered'!R2)</calculatedColumnFormula>
    </tableColumn>
    <tableColumn id="17" xr3:uid="{45CEA711-42C3-4058-B4D4-6A4E399CEC48}" name="15" dataDxfId="194">
      <calculatedColumnFormula>IF('Residual-Rostered'!S2=0,"-",'Residual-Rostered'!S2)</calculatedColumnFormula>
    </tableColumn>
    <tableColumn id="18" xr3:uid="{DA699F3D-AC52-4BA9-B1A8-286535B7AAE9}" name="16" dataDxfId="193">
      <calculatedColumnFormula>IF('Residual-Rostered'!T2=0,"-",'Residual-Rostered'!T2)</calculatedColumnFormula>
    </tableColumn>
    <tableColumn id="19" xr3:uid="{A30885C7-6904-4C14-859F-7ED3E6E1768F}" name="17" dataDxfId="192">
      <calculatedColumnFormula>IF('Residual-Rostered'!U2=0,"-",'Residual-Rostered'!U2)</calculatedColumnFormula>
    </tableColumn>
    <tableColumn id="20" xr3:uid="{E608E0C5-CAE4-4B13-B01E-399FE5E7D019}" name="18" dataDxfId="191">
      <calculatedColumnFormula>IF('Residual-Rostered'!V2=0,"-",'Residual-Rostered'!V2)</calculatedColumnFormula>
    </tableColumn>
    <tableColumn id="21" xr3:uid="{5C943318-B365-4943-8A44-A8FC116D7C15}" name="19" dataDxfId="190">
      <calculatedColumnFormula>IF('Residual-Rostered'!W2=0,"-",'Residual-Rostered'!W2)</calculatedColumnFormula>
    </tableColumn>
    <tableColumn id="22" xr3:uid="{53BFA137-85A4-4F91-86C9-ECF6C4345BC9}" name="20" dataDxfId="189">
      <calculatedColumnFormula>IF('Residual-Rostered'!X2=0,"-",'Residual-Rostered'!X2)</calculatedColumnFormula>
    </tableColumn>
    <tableColumn id="23" xr3:uid="{7734EC81-13E9-4048-85B0-F606C78797C4}" name="21" dataDxfId="188">
      <calculatedColumnFormula>IF('Residual-Rostered'!Y2=0,"-",'Residual-Rostered'!Y2)</calculatedColumnFormula>
    </tableColumn>
    <tableColumn id="24" xr3:uid="{9C93B80D-13E4-4633-A6EC-89B621CA2E3B}" name="22" dataDxfId="187">
      <calculatedColumnFormula>IF('Residual-Rostered'!Z2=0,"-",'Residual-Rostered'!Z2)</calculatedColumnFormula>
    </tableColumn>
    <tableColumn id="25" xr3:uid="{55AB637A-D69F-4590-BE29-CE6DE2ADA5FF}" name="23" dataDxfId="186">
      <calculatedColumnFormula>IF('Residual-Rostered'!AA2=0,"-",'Residual-Rostered'!AA2)</calculatedColumnFormula>
    </tableColumn>
    <tableColumn id="26" xr3:uid="{B8868990-415C-44A6-9197-E159C957DE8B}" name="24" dataDxfId="185">
      <calculatedColumnFormula>IF('Residual-Rostered'!AB2=0,"-",'Residual-Rostered'!AB2)</calculatedColumnFormula>
    </tableColumn>
    <tableColumn id="27" xr3:uid="{5C014321-4AB1-49D3-97F0-B7DC5EA2A50B}" name="25" dataDxfId="184">
      <calculatedColumnFormula>IF('Residual-Rostered'!AC2=0,"-",'Residual-Rostered'!AC2)</calculatedColumnFormula>
    </tableColumn>
    <tableColumn id="28" xr3:uid="{CC7C1BBC-6AA7-42E0-8AE0-2A6A7B4311EF}" name="26" dataDxfId="183">
      <calculatedColumnFormula>IF('Residual-Rostered'!AD2=0,"-",'Residual-Rostered'!AD2)</calculatedColumnFormula>
    </tableColumn>
    <tableColumn id="29" xr3:uid="{77C0CBDB-036B-49A7-8E24-FBEC77EC8461}" name="27" dataDxfId="182">
      <calculatedColumnFormula>IF('Residual-Rostered'!AE2=0,"-",'Residual-Rostered'!AE2)</calculatedColumnFormula>
    </tableColumn>
    <tableColumn id="30" xr3:uid="{45109E83-B65E-45D8-AFDD-C5D559124257}" name="28" dataDxfId="181">
      <calculatedColumnFormula>IF('Residual-Rostered'!AF2=0,"-",'Residual-Rostered'!AF2)</calculatedColumnFormula>
    </tableColumn>
    <tableColumn id="31" xr3:uid="{B76E8451-4036-4187-AA25-6DCA16C10AB4}" name="29" dataDxfId="180">
      <calculatedColumnFormula>IF('Residual-Rostered'!AG2=0,"-",'Residual-Rostered'!AG2)</calculatedColumnFormula>
    </tableColumn>
    <tableColumn id="32" xr3:uid="{F5DD28A0-AC0F-42AD-AFB9-650729A1C9D4}" name="30" dataDxfId="179">
      <calculatedColumnFormula>IF('Residual-Rostered'!AH2=0,"-",'Residual-Rostered'!AH2)</calculatedColumnFormula>
    </tableColumn>
    <tableColumn id="33" xr3:uid="{540C706C-A387-4F07-86CB-35729CBA524B}" name="31" dataDxfId="178">
      <calculatedColumnFormula>IF('Residual-Rostered'!AI2=0,"-",'Residual-Rostered'!AI2)</calculatedColumnFormula>
    </tableColumn>
    <tableColumn id="34" xr3:uid="{7E09679F-8C4B-4A65-95C8-BB3FCC4CF1DB}" name="32" dataDxfId="177">
      <calculatedColumnFormula>IF('Residual-Rostered'!AJ2=0,"-",'Residual-Rostered'!AJ2)</calculatedColumnFormula>
    </tableColumn>
    <tableColumn id="35" xr3:uid="{9231E981-DF14-4B44-AF5C-B5022E8F6345}" name="33" dataDxfId="176">
      <calculatedColumnFormula>IF('Residual-Rostered'!AK2=0,"-",'Residual-Rostered'!AK2)</calculatedColumnFormula>
    </tableColumn>
    <tableColumn id="36" xr3:uid="{E2D2DD32-49F9-4E49-90CB-CAB82DDAF233}" name="34" dataDxfId="175">
      <calculatedColumnFormula>IF('Residual-Rostered'!AL2=0,"-",'Residual-Rostered'!AL2)</calculatedColumnFormula>
    </tableColumn>
    <tableColumn id="37" xr3:uid="{06733B52-F857-4A8F-BFAE-D4F207A79C3D}" name="35" dataDxfId="174">
      <calculatedColumnFormula>IF('Residual-Rostered'!AM2=0,"-",'Residual-Rostered'!AM2)</calculatedColumnFormula>
    </tableColumn>
    <tableColumn id="38" xr3:uid="{80F857D1-62BF-4C1D-8DAF-E66A00304551}" name="36" dataDxfId="173">
      <calculatedColumnFormula>IF('Residual-Rostered'!AN2=0,"-",'Residual-Rostered'!AN2)</calculatedColumnFormula>
    </tableColumn>
    <tableColumn id="39" xr3:uid="{46FB8538-751E-417F-B9F3-111EE23EA30C}" name="37" dataDxfId="172">
      <calculatedColumnFormula>IF('Residual-Rostered'!AO2=0,"-",'Residual-Rostered'!AO2)</calculatedColumnFormula>
    </tableColumn>
    <tableColumn id="40" xr3:uid="{179F9EA0-0470-4058-96E3-D7EA5955043B}" name="38" dataDxfId="171">
      <calculatedColumnFormula>IF('Residual-Rostered'!AP2=0,"-",'Residual-Rostered'!AP2)</calculatedColumnFormula>
    </tableColumn>
    <tableColumn id="41" xr3:uid="{1DEF281A-B2C9-411B-83A2-2B7EF61D02EE}" name="39" dataDxfId="170">
      <calculatedColumnFormula>IF('Residual-Rostered'!AQ2=0,"-",'Residual-Rostered'!AQ2)</calculatedColumnFormula>
    </tableColumn>
    <tableColumn id="42" xr3:uid="{70DA9AD1-D1F4-4FD3-979B-192D232B0A8B}" name="40" dataDxfId="169">
      <calculatedColumnFormula>IF('Residual-Rostered'!AR2=0,"-",'Residual-Rostered'!AR2)</calculatedColumnFormula>
    </tableColumn>
    <tableColumn id="43" xr3:uid="{B2C1A35E-F9E4-42BC-A3D1-3A4E540A1746}" name="41" dataDxfId="168">
      <calculatedColumnFormula>IF('Residual-Rostered'!AS2=0,"-",'Residual-Rostered'!AS2)</calculatedColumnFormula>
    </tableColumn>
    <tableColumn id="44" xr3:uid="{3AE17FE6-D959-4239-837D-A90C33E5D501}" name="42" dataDxfId="167">
      <calculatedColumnFormula>IF('Residual-Rostered'!AT2=0,"-",'Residual-Rostered'!AT2)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D4AC01-5A53-464D-A029-C5677C4229D7}" name="Table9" displayName="Table9" ref="B1:C2" totalsRowShown="0">
  <autoFilter ref="B1:C2" xr:uid="{E4D4AC01-5A53-464D-A029-C5677C4229D7}"/>
  <tableColumns count="2">
    <tableColumn id="1" xr3:uid="{6823649D-D5E4-4238-8D7D-D32BFFEEF172}" name="Column1" dataDxfId="166"/>
    <tableColumn id="2" xr3:uid="{09CE7C0C-7696-4093-AE4F-C5DE9503D684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6A9446-70AE-4E6C-800F-4AC18A6D0873}" name="Table10" displayName="Table10" ref="E1:F2" totalsRowShown="0">
  <autoFilter ref="E1:F2" xr:uid="{076A9446-70AE-4E6C-800F-4AC18A6D0873}"/>
  <tableColumns count="2">
    <tableColumn id="1" xr3:uid="{92E03D1C-B0CD-45F2-A86A-3D6AF673CE9A}" name="Column1" dataDxfId="165"/>
    <tableColumn id="2" xr3:uid="{25A8745C-B282-402C-B02D-88BD5A4A770B}" name="Column2" dataDxfId="1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25C1-AB3F-46D8-8A41-097521E5F958}">
  <dimension ref="A1:AU64"/>
  <sheetViews>
    <sheetView workbookViewId="0"/>
  </sheetViews>
  <sheetFormatPr defaultRowHeight="15" x14ac:dyDescent="0.25"/>
  <cols>
    <col min="1" max="1" width="5.7109375" customWidth="1"/>
    <col min="2" max="2" width="21.28515625" customWidth="1"/>
    <col min="3" max="3" width="9.7109375" customWidth="1"/>
    <col min="4" max="4" width="7" customWidth="1"/>
    <col min="5" max="45" width="7" style="11" customWidth="1"/>
  </cols>
  <sheetData>
    <row r="1" spans="1:45" ht="21.75" customHeight="1" x14ac:dyDescent="0.25">
      <c r="C1" s="37" t="s">
        <v>139</v>
      </c>
      <c r="D1" s="37"/>
      <c r="E1" s="11" t="s">
        <v>136</v>
      </c>
      <c r="F1" s="30">
        <f>_xlfn.XLOOKUP('CARER (2)'!E1,Table5[UNITS],Table5[HRS/FTE])</f>
        <v>1</v>
      </c>
    </row>
    <row r="3" spans="1:45" s="17" customFormat="1" ht="30" x14ac:dyDescent="0.25">
      <c r="A3" s="15" t="str">
        <f>Header!B10</f>
        <v>Facility</v>
      </c>
      <c r="B3" s="15" t="str">
        <f>Header!C10</f>
        <v>EffortType</v>
      </c>
      <c r="C3" s="15" t="str">
        <f>Header!D10</f>
        <v>Role</v>
      </c>
      <c r="D3" s="16" t="str">
        <f>Header!E10</f>
        <v>19/06 AM</v>
      </c>
      <c r="E3" s="16" t="str">
        <f>Header!F10</f>
        <v>19/06 PM</v>
      </c>
      <c r="F3" s="16" t="str">
        <f>Header!G10</f>
        <v>19/06 NIGHT</v>
      </c>
      <c r="G3" s="16" t="str">
        <f>Header!H10</f>
        <v>20/06 AM</v>
      </c>
      <c r="H3" s="16" t="str">
        <f>Header!I10</f>
        <v>20/06 PM</v>
      </c>
      <c r="I3" s="16" t="str">
        <f>Header!J10</f>
        <v>20/06 NIGHT</v>
      </c>
      <c r="J3" s="16" t="str">
        <f>Header!K10</f>
        <v>21/06 AM</v>
      </c>
      <c r="K3" s="16" t="str">
        <f>Header!L10</f>
        <v>21/06 PM</v>
      </c>
      <c r="L3" s="16" t="str">
        <f>Header!M10</f>
        <v>21/06 NIGHT</v>
      </c>
      <c r="M3" s="16" t="str">
        <f>Header!N10</f>
        <v>22/06 AM</v>
      </c>
      <c r="N3" s="16" t="str">
        <f>Header!O10</f>
        <v>22/06 PM</v>
      </c>
      <c r="O3" s="16" t="str">
        <f>Header!P10</f>
        <v>22/06 NIGHT</v>
      </c>
      <c r="P3" s="16" t="str">
        <f>Header!Q10</f>
        <v>23/06 AM</v>
      </c>
      <c r="Q3" s="16" t="str">
        <f>Header!R10</f>
        <v>23/06 PM</v>
      </c>
      <c r="R3" s="16" t="str">
        <f>Header!S10</f>
        <v>23/06 NIGHT</v>
      </c>
      <c r="S3" s="16" t="str">
        <f>Header!T10</f>
        <v>24/06 AM</v>
      </c>
      <c r="T3" s="16" t="str">
        <f>Header!U10</f>
        <v>24/06 PM</v>
      </c>
      <c r="U3" s="16" t="str">
        <f>Header!V10</f>
        <v>24/06 NIGHT</v>
      </c>
      <c r="V3" s="16" t="str">
        <f>Header!W10</f>
        <v>25/06 AM</v>
      </c>
      <c r="W3" s="16" t="str">
        <f>Header!X10</f>
        <v>25/06 PM</v>
      </c>
      <c r="X3" s="16" t="str">
        <f>Header!Y10</f>
        <v>25/06 NIGHT</v>
      </c>
      <c r="Y3" s="16" t="str">
        <f>Header!Z10</f>
        <v>26/06 AM</v>
      </c>
      <c r="Z3" s="16" t="str">
        <f>Header!AA10</f>
        <v>26/06 PM</v>
      </c>
      <c r="AA3" s="16" t="str">
        <f>Header!AB10</f>
        <v>26/06 NIGHT</v>
      </c>
      <c r="AB3" s="16" t="str">
        <f>Header!AC10</f>
        <v>27/06 AM</v>
      </c>
      <c r="AC3" s="16" t="str">
        <f>Header!AD10</f>
        <v>27/06 PM</v>
      </c>
      <c r="AD3" s="16" t="str">
        <f>Header!AE10</f>
        <v>27/06 NIGHT</v>
      </c>
      <c r="AE3" s="16" t="str">
        <f>Header!AF10</f>
        <v>28/06 AM</v>
      </c>
      <c r="AF3" s="16" t="str">
        <f>Header!AG10</f>
        <v>28/06 PM</v>
      </c>
      <c r="AG3" s="16" t="str">
        <f>Header!AH10</f>
        <v>28/06 NIGHT</v>
      </c>
      <c r="AH3" s="16" t="str">
        <f>Header!AI10</f>
        <v>29/06 AM</v>
      </c>
      <c r="AI3" s="16" t="str">
        <f>Header!AJ10</f>
        <v>29/06 PM</v>
      </c>
      <c r="AJ3" s="16" t="str">
        <f>Header!AK10</f>
        <v>29/06 NIGHT</v>
      </c>
      <c r="AK3" s="16" t="str">
        <f>Header!AL10</f>
        <v>30/06 AM</v>
      </c>
      <c r="AL3" s="16" t="str">
        <f>Header!AM10</f>
        <v>30/06 PM</v>
      </c>
      <c r="AM3" s="16" t="str">
        <f>Header!AN10</f>
        <v>30/06 NIGHT</v>
      </c>
      <c r="AN3" s="16" t="str">
        <f>Header!AO10</f>
        <v>1/07 AM</v>
      </c>
      <c r="AO3" s="16" t="str">
        <f>Header!AP10</f>
        <v>1/07 PM</v>
      </c>
      <c r="AP3" s="16" t="str">
        <f>Header!AQ10</f>
        <v>1/07 NIGHT</v>
      </c>
      <c r="AQ3" s="16" t="str">
        <f>Header!AR10</f>
        <v>2/07 AM</v>
      </c>
      <c r="AR3" s="16" t="str">
        <f>Header!AS10</f>
        <v>2/07 PM</v>
      </c>
      <c r="AS3" s="16" t="str">
        <f>Header!AT10</f>
        <v>2/07 NIGHT</v>
      </c>
    </row>
    <row r="4" spans="1:45" x14ac:dyDescent="0.25">
      <c r="A4" s="13" t="str">
        <f>Header!B11</f>
        <v>MAIT</v>
      </c>
      <c r="B4" s="13" t="str">
        <f>Header!C11</f>
        <v>Demand</v>
      </c>
      <c r="C4" s="13" t="str">
        <f>Header!D11</f>
        <v>Registered Nurse</v>
      </c>
      <c r="D4" s="27">
        <f>Header!E11/UNIT</f>
        <v>13.9</v>
      </c>
      <c r="E4" s="27">
        <f>Header!F11/UNIT</f>
        <v>15.2</v>
      </c>
      <c r="F4" s="27">
        <f>Header!G11/UNIT</f>
        <v>7.6</v>
      </c>
      <c r="G4" s="27">
        <f>Header!H11/UNIT</f>
        <v>14.8</v>
      </c>
      <c r="H4" s="27">
        <f>Header!I11/UNIT</f>
        <v>15.2</v>
      </c>
      <c r="I4" s="27">
        <f>Header!J11/UNIT</f>
        <v>7.6</v>
      </c>
      <c r="J4" s="27">
        <f>Header!K11/UNIT</f>
        <v>14.8</v>
      </c>
      <c r="K4" s="27">
        <f>Header!L11/UNIT</f>
        <v>15.2</v>
      </c>
      <c r="L4" s="27">
        <f>Header!M11/UNIT</f>
        <v>7.6</v>
      </c>
      <c r="M4" s="27">
        <f>Header!N11/UNIT</f>
        <v>14.8</v>
      </c>
      <c r="N4" s="27">
        <f>Header!O11/UNIT</f>
        <v>15.2</v>
      </c>
      <c r="O4" s="27">
        <f>Header!P11/UNIT</f>
        <v>7.6</v>
      </c>
      <c r="P4" s="27">
        <f>Header!Q11/UNIT</f>
        <v>14.8</v>
      </c>
      <c r="Q4" s="27">
        <f>Header!R11/UNIT</f>
        <v>15.2</v>
      </c>
      <c r="R4" s="27">
        <f>Header!S11/UNIT</f>
        <v>7.6</v>
      </c>
      <c r="S4" s="27">
        <f>Header!T11/UNIT</f>
        <v>14.8</v>
      </c>
      <c r="T4" s="27">
        <f>Header!U11/UNIT</f>
        <v>15.2</v>
      </c>
      <c r="U4" s="27">
        <f>Header!V11/UNIT</f>
        <v>7.6</v>
      </c>
      <c r="V4" s="27">
        <f>Header!W11/UNIT</f>
        <v>14.8</v>
      </c>
      <c r="W4" s="27">
        <f>Header!X11/UNIT</f>
        <v>15.2</v>
      </c>
      <c r="X4" s="27">
        <f>Header!Y11/UNIT</f>
        <v>7.6</v>
      </c>
      <c r="Y4" s="27">
        <f>Header!Z11/UNIT</f>
        <v>14.8</v>
      </c>
      <c r="Z4" s="27">
        <f>Header!AA11/UNIT</f>
        <v>15.2</v>
      </c>
      <c r="AA4" s="27">
        <f>Header!AB11/UNIT</f>
        <v>7.6</v>
      </c>
      <c r="AB4" s="27">
        <f>Header!AC11/UNIT</f>
        <v>14.8</v>
      </c>
      <c r="AC4" s="27">
        <f>Header!AD11/UNIT</f>
        <v>15.2</v>
      </c>
      <c r="AD4" s="27">
        <f>Header!AE11/UNIT</f>
        <v>7.6</v>
      </c>
      <c r="AE4" s="27">
        <f>Header!AF11/UNIT</f>
        <v>14.8</v>
      </c>
      <c r="AF4" s="27">
        <f>Header!AG11/UNIT</f>
        <v>15.2</v>
      </c>
      <c r="AG4" s="27">
        <f>Header!AH11/UNIT</f>
        <v>7.6</v>
      </c>
      <c r="AH4" s="27">
        <f>Header!AI11/UNIT</f>
        <v>14.8</v>
      </c>
      <c r="AI4" s="27">
        <f>Header!AJ11/UNIT</f>
        <v>15.2</v>
      </c>
      <c r="AJ4" s="27">
        <f>Header!AK11/UNIT</f>
        <v>7.6</v>
      </c>
      <c r="AK4" s="27">
        <f>Header!AL11/UNIT</f>
        <v>14.8</v>
      </c>
      <c r="AL4" s="27">
        <f>Header!AM11/UNIT</f>
        <v>15.2</v>
      </c>
      <c r="AM4" s="27">
        <f>Header!AN11/UNIT</f>
        <v>7.6</v>
      </c>
      <c r="AN4" s="27">
        <f>Header!AO11/UNIT</f>
        <v>14.8</v>
      </c>
      <c r="AO4" s="27">
        <f>Header!AP11/UNIT</f>
        <v>15.2</v>
      </c>
      <c r="AP4" s="27">
        <f>Header!AQ11/UNIT</f>
        <v>7.6</v>
      </c>
      <c r="AQ4" s="27">
        <f>Header!AR11/UNIT</f>
        <v>15</v>
      </c>
      <c r="AR4" s="27">
        <f>Header!AS11/UNIT</f>
        <v>15.2</v>
      </c>
      <c r="AS4" s="27">
        <f>Header!AT11/UNIT</f>
        <v>7.6</v>
      </c>
    </row>
    <row r="5" spans="1:45" x14ac:dyDescent="0.25">
      <c r="A5" s="13" t="str">
        <f>Header!B12</f>
        <v>MAIT</v>
      </c>
      <c r="B5" s="13" t="str">
        <f>Header!C12</f>
        <v>Allocation</v>
      </c>
      <c r="C5" s="13" t="str">
        <f>Header!D12</f>
        <v>Registered Nurse</v>
      </c>
      <c r="D5" s="28">
        <f>Header!E12/UNIT</f>
        <v>19.2</v>
      </c>
      <c r="E5" s="28">
        <f>Header!F12/UNIT</f>
        <v>10.5</v>
      </c>
      <c r="F5" s="28">
        <f>Header!G12/UNIT</f>
        <v>7.1</v>
      </c>
      <c r="G5" s="28">
        <f>Header!H12/UNIT</f>
        <v>14.8</v>
      </c>
      <c r="H5" s="28">
        <f>Header!I12/UNIT</f>
        <v>8.3000000000000007</v>
      </c>
      <c r="I5" s="28">
        <f>Header!J12/UNIT</f>
        <v>7.1</v>
      </c>
      <c r="J5" s="28">
        <f>Header!K12/UNIT</f>
        <v>14.8</v>
      </c>
      <c r="K5" s="28">
        <f>Header!L12/UNIT</f>
        <v>0.9</v>
      </c>
      <c r="L5" s="28">
        <f>Header!M12/UNIT</f>
        <v>6.9</v>
      </c>
      <c r="M5" s="28">
        <f>Header!N12/UNIT</f>
        <v>13.7</v>
      </c>
      <c r="N5" s="28">
        <f>Header!O12/UNIT</f>
        <v>7.4</v>
      </c>
      <c r="O5" s="28">
        <f>Header!P12/UNIT</f>
        <v>7.1</v>
      </c>
      <c r="P5" s="28">
        <f>Header!Q12/UNIT</f>
        <v>20.9</v>
      </c>
      <c r="Q5" s="28">
        <f>Header!R12/UNIT</f>
        <v>15.2</v>
      </c>
      <c r="R5" s="28">
        <f>Header!S12/UNIT</f>
        <v>7.4</v>
      </c>
      <c r="S5" s="28">
        <f>Header!T12/UNIT</f>
        <v>7.6</v>
      </c>
      <c r="T5" s="28">
        <f>Header!U12/UNIT</f>
        <v>15.2</v>
      </c>
      <c r="U5" s="28">
        <f>Header!V12/UNIT</f>
        <v>7.4</v>
      </c>
      <c r="V5" s="28">
        <f>Header!W12/UNIT</f>
        <v>14.8</v>
      </c>
      <c r="W5" s="28">
        <f>Header!X12/UNIT</f>
        <v>15.6</v>
      </c>
      <c r="X5" s="28">
        <f>Header!Y12/UNIT</f>
        <v>7.4</v>
      </c>
      <c r="Y5" s="28">
        <f>Header!Z12/UNIT</f>
        <v>19.7</v>
      </c>
      <c r="Z5" s="28">
        <f>Header!AA12/UNIT</f>
        <v>10.5</v>
      </c>
      <c r="AA5" s="28">
        <f>Header!AB12/UNIT</f>
        <v>7.1</v>
      </c>
      <c r="AB5" s="28">
        <f>Header!AC12/UNIT</f>
        <v>14.8</v>
      </c>
      <c r="AC5" s="28">
        <f>Header!AD12/UNIT</f>
        <v>8.3000000000000007</v>
      </c>
      <c r="AD5" s="28">
        <f>Header!AE12/UNIT</f>
        <v>7.1</v>
      </c>
      <c r="AE5" s="28">
        <f>Header!AF12/UNIT</f>
        <v>14.8</v>
      </c>
      <c r="AF5" s="28">
        <f>Header!AG12/UNIT</f>
        <v>0.9</v>
      </c>
      <c r="AG5" s="28">
        <f>Header!AH12/UNIT</f>
        <v>6.9</v>
      </c>
      <c r="AH5" s="28">
        <f>Header!AI12/UNIT</f>
        <v>13.7</v>
      </c>
      <c r="AI5" s="28">
        <f>Header!AJ12/UNIT</f>
        <v>0</v>
      </c>
      <c r="AJ5" s="28">
        <f>Header!AK12/UNIT</f>
        <v>6.9</v>
      </c>
      <c r="AK5" s="28">
        <f>Header!AL12/UNIT</f>
        <v>28.1</v>
      </c>
      <c r="AL5" s="28">
        <f>Header!AM12/UNIT</f>
        <v>15.6</v>
      </c>
      <c r="AM5" s="28">
        <f>Header!AN12/UNIT</f>
        <v>7.4</v>
      </c>
      <c r="AN5" s="28">
        <f>Header!AO12/UNIT</f>
        <v>7.6</v>
      </c>
      <c r="AO5" s="28">
        <f>Header!AP12/UNIT</f>
        <v>15.2</v>
      </c>
      <c r="AP5" s="28">
        <f>Header!AQ12/UNIT</f>
        <v>7.4</v>
      </c>
      <c r="AQ5" s="28">
        <f>Header!AR12/UNIT</f>
        <v>7.6</v>
      </c>
      <c r="AR5" s="28">
        <f>Header!AS12/UNIT</f>
        <v>15.2</v>
      </c>
      <c r="AS5" s="28">
        <f>Header!AT12/UNIT</f>
        <v>4.0999999999999996</v>
      </c>
    </row>
    <row r="6" spans="1:45" x14ac:dyDescent="0.25">
      <c r="A6" s="13" t="e">
        <f>Header!#REF!</f>
        <v>#REF!</v>
      </c>
      <c r="B6" s="13" t="e">
        <f>Header!#REF!</f>
        <v>#REF!</v>
      </c>
      <c r="C6" s="13" t="e">
        <f>Header!#REF!</f>
        <v>#REF!</v>
      </c>
      <c r="D6" s="29" t="e">
        <f>Header!#REF!/UNIT</f>
        <v>#REF!</v>
      </c>
      <c r="E6" s="29" t="e">
        <f>Header!#REF!/UNIT</f>
        <v>#REF!</v>
      </c>
      <c r="F6" s="29" t="e">
        <f>Header!#REF!/UNIT</f>
        <v>#REF!</v>
      </c>
      <c r="G6" s="29" t="e">
        <f>Header!#REF!/UNIT</f>
        <v>#REF!</v>
      </c>
      <c r="H6" s="29" t="e">
        <f>Header!#REF!/UNIT</f>
        <v>#REF!</v>
      </c>
      <c r="I6" s="29" t="e">
        <f>Header!#REF!/UNIT</f>
        <v>#REF!</v>
      </c>
      <c r="J6" s="29" t="e">
        <f>Header!#REF!/UNIT</f>
        <v>#REF!</v>
      </c>
      <c r="K6" s="29" t="e">
        <f>Header!#REF!/UNIT</f>
        <v>#REF!</v>
      </c>
      <c r="L6" s="29" t="e">
        <f>Header!#REF!/UNIT</f>
        <v>#REF!</v>
      </c>
      <c r="M6" s="29" t="e">
        <f>Header!#REF!/UNIT</f>
        <v>#REF!</v>
      </c>
      <c r="N6" s="29" t="e">
        <f>Header!#REF!/UNIT</f>
        <v>#REF!</v>
      </c>
      <c r="O6" s="29" t="e">
        <f>Header!#REF!/UNIT</f>
        <v>#REF!</v>
      </c>
      <c r="P6" s="29" t="e">
        <f>Header!#REF!/UNIT</f>
        <v>#REF!</v>
      </c>
      <c r="Q6" s="29" t="e">
        <f>Header!#REF!/UNIT</f>
        <v>#REF!</v>
      </c>
      <c r="R6" s="29" t="e">
        <f>Header!#REF!/UNIT</f>
        <v>#REF!</v>
      </c>
      <c r="S6" s="29" t="e">
        <f>Header!#REF!/UNIT</f>
        <v>#REF!</v>
      </c>
      <c r="T6" s="29" t="e">
        <f>Header!#REF!/UNIT</f>
        <v>#REF!</v>
      </c>
      <c r="U6" s="29" t="e">
        <f>Header!#REF!/UNIT</f>
        <v>#REF!</v>
      </c>
      <c r="V6" s="29" t="e">
        <f>Header!#REF!/UNIT</f>
        <v>#REF!</v>
      </c>
      <c r="W6" s="29" t="e">
        <f>Header!#REF!/UNIT</f>
        <v>#REF!</v>
      </c>
      <c r="X6" s="29" t="e">
        <f>Header!#REF!/UNIT</f>
        <v>#REF!</v>
      </c>
      <c r="Y6" s="29" t="e">
        <f>Header!#REF!/UNIT</f>
        <v>#REF!</v>
      </c>
      <c r="Z6" s="29" t="e">
        <f>Header!#REF!/UNIT</f>
        <v>#REF!</v>
      </c>
      <c r="AA6" s="29" t="e">
        <f>Header!#REF!/UNIT</f>
        <v>#REF!</v>
      </c>
      <c r="AB6" s="29" t="e">
        <f>Header!#REF!/UNIT</f>
        <v>#REF!</v>
      </c>
      <c r="AC6" s="29" t="e">
        <f>Header!#REF!/UNIT</f>
        <v>#REF!</v>
      </c>
      <c r="AD6" s="29" t="e">
        <f>Header!#REF!/UNIT</f>
        <v>#REF!</v>
      </c>
      <c r="AE6" s="29" t="e">
        <f>Header!#REF!/UNIT</f>
        <v>#REF!</v>
      </c>
      <c r="AF6" s="29" t="e">
        <f>Header!#REF!/UNIT</f>
        <v>#REF!</v>
      </c>
      <c r="AG6" s="29" t="e">
        <f>Header!#REF!/UNIT</f>
        <v>#REF!</v>
      </c>
      <c r="AH6" s="29" t="e">
        <f>Header!#REF!/UNIT</f>
        <v>#REF!</v>
      </c>
      <c r="AI6" s="29" t="e">
        <f>Header!#REF!/UNIT</f>
        <v>#REF!</v>
      </c>
      <c r="AJ6" s="29" t="e">
        <f>Header!#REF!/UNIT</f>
        <v>#REF!</v>
      </c>
      <c r="AK6" s="29" t="e">
        <f>Header!#REF!/UNIT</f>
        <v>#REF!</v>
      </c>
      <c r="AL6" s="29" t="e">
        <f>Header!#REF!/UNIT</f>
        <v>#REF!</v>
      </c>
      <c r="AM6" s="29" t="e">
        <f>Header!#REF!/UNIT</f>
        <v>#REF!</v>
      </c>
      <c r="AN6" s="29" t="e">
        <f>Header!#REF!/UNIT</f>
        <v>#REF!</v>
      </c>
      <c r="AO6" s="29" t="e">
        <f>Header!#REF!/UNIT</f>
        <v>#REF!</v>
      </c>
      <c r="AP6" s="29" t="e">
        <f>Header!#REF!/UNIT</f>
        <v>#REF!</v>
      </c>
      <c r="AQ6" s="29" t="e">
        <f>Header!#REF!/UNIT</f>
        <v>#REF!</v>
      </c>
      <c r="AR6" s="29" t="e">
        <f>Header!#REF!/UNIT</f>
        <v>#REF!</v>
      </c>
      <c r="AS6" s="29" t="e">
        <f>Header!#REF!/UNIT</f>
        <v>#REF!</v>
      </c>
    </row>
    <row r="7" spans="1:45" x14ac:dyDescent="0.25">
      <c r="A7" s="13"/>
      <c r="B7" s="13" t="s">
        <v>125</v>
      </c>
      <c r="C7" s="13"/>
      <c r="D7" s="29" t="e">
        <f>Header!#REF!/UNIT</f>
        <v>#REF!</v>
      </c>
      <c r="E7" s="29" t="e">
        <f>Header!#REF!/UNIT</f>
        <v>#REF!</v>
      </c>
      <c r="F7" s="29" t="e">
        <f>Header!#REF!/UNIT</f>
        <v>#REF!</v>
      </c>
      <c r="G7" s="29" t="e">
        <f>Header!#REF!/UNIT</f>
        <v>#REF!</v>
      </c>
      <c r="H7" s="29" t="e">
        <f>Header!#REF!/UNIT</f>
        <v>#REF!</v>
      </c>
      <c r="I7" s="29" t="e">
        <f>Header!#REF!/UNIT</f>
        <v>#REF!</v>
      </c>
      <c r="J7" s="29" t="e">
        <f>Header!#REF!/UNIT</f>
        <v>#REF!</v>
      </c>
      <c r="K7" s="29" t="e">
        <f>Header!#REF!/UNIT</f>
        <v>#REF!</v>
      </c>
      <c r="L7" s="29" t="e">
        <f>Header!#REF!/UNIT</f>
        <v>#REF!</v>
      </c>
      <c r="M7" s="29" t="e">
        <f>Header!#REF!/UNIT</f>
        <v>#REF!</v>
      </c>
      <c r="N7" s="29" t="e">
        <f>Header!#REF!/UNIT</f>
        <v>#REF!</v>
      </c>
      <c r="O7" s="29" t="e">
        <f>Header!#REF!/UNIT</f>
        <v>#REF!</v>
      </c>
      <c r="P7" s="29" t="e">
        <f>Header!#REF!/UNIT</f>
        <v>#REF!</v>
      </c>
      <c r="Q7" s="29" t="e">
        <f>Header!#REF!/UNIT</f>
        <v>#REF!</v>
      </c>
      <c r="R7" s="29" t="e">
        <f>Header!#REF!/UNIT</f>
        <v>#REF!</v>
      </c>
      <c r="S7" s="29" t="e">
        <f>Header!#REF!/UNIT</f>
        <v>#REF!</v>
      </c>
      <c r="T7" s="29" t="e">
        <f>Header!#REF!/UNIT</f>
        <v>#REF!</v>
      </c>
      <c r="U7" s="29" t="e">
        <f>Header!#REF!/UNIT</f>
        <v>#REF!</v>
      </c>
      <c r="V7" s="29" t="e">
        <f>Header!#REF!/UNIT</f>
        <v>#REF!</v>
      </c>
      <c r="W7" s="29" t="e">
        <f>Header!#REF!/UNIT</f>
        <v>#REF!</v>
      </c>
      <c r="X7" s="29" t="e">
        <f>Header!#REF!/UNIT</f>
        <v>#REF!</v>
      </c>
      <c r="Y7" s="29" t="e">
        <f>Header!#REF!/UNIT</f>
        <v>#REF!</v>
      </c>
      <c r="Z7" s="29" t="e">
        <f>Header!#REF!/UNIT</f>
        <v>#REF!</v>
      </c>
      <c r="AA7" s="29" t="e">
        <f>Header!#REF!/UNIT</f>
        <v>#REF!</v>
      </c>
      <c r="AB7" s="29" t="e">
        <f>Header!#REF!/UNIT</f>
        <v>#REF!</v>
      </c>
      <c r="AC7" s="29" t="e">
        <f>Header!#REF!/UNIT</f>
        <v>#REF!</v>
      </c>
      <c r="AD7" s="29" t="e">
        <f>Header!#REF!/UNIT</f>
        <v>#REF!</v>
      </c>
      <c r="AE7" s="29" t="e">
        <f>Header!#REF!/UNIT</f>
        <v>#REF!</v>
      </c>
      <c r="AF7" s="29" t="e">
        <f>Header!#REF!/UNIT</f>
        <v>#REF!</v>
      </c>
      <c r="AG7" s="29" t="e">
        <f>Header!#REF!/UNIT</f>
        <v>#REF!</v>
      </c>
      <c r="AH7" s="29" t="e">
        <f>Header!#REF!/UNIT</f>
        <v>#REF!</v>
      </c>
      <c r="AI7" s="29" t="e">
        <f>Header!#REF!/UNIT</f>
        <v>#REF!</v>
      </c>
      <c r="AJ7" s="29" t="e">
        <f>Header!#REF!/UNIT</f>
        <v>#REF!</v>
      </c>
      <c r="AK7" s="29" t="e">
        <f>Header!#REF!/UNIT</f>
        <v>#REF!</v>
      </c>
      <c r="AL7" s="29" t="e">
        <f>Header!#REF!/UNIT</f>
        <v>#REF!</v>
      </c>
      <c r="AM7" s="29" t="e">
        <f>Header!#REF!/UNIT</f>
        <v>#REF!</v>
      </c>
      <c r="AN7" s="29" t="e">
        <f>Header!#REF!/UNIT</f>
        <v>#REF!</v>
      </c>
      <c r="AO7" s="29" t="e">
        <f>Header!#REF!/UNIT</f>
        <v>#REF!</v>
      </c>
      <c r="AP7" s="29" t="e">
        <f>Header!#REF!/UNIT</f>
        <v>#REF!</v>
      </c>
      <c r="AQ7" s="29" t="e">
        <f>Header!#REF!/UNIT</f>
        <v>#REF!</v>
      </c>
      <c r="AR7" s="29" t="e">
        <f>Header!#REF!/UNIT</f>
        <v>#REF!</v>
      </c>
      <c r="AS7" s="29" t="e">
        <f>Header!#REF!/UNIT</f>
        <v>#REF!</v>
      </c>
    </row>
    <row r="8" spans="1:45" x14ac:dyDescent="0.25">
      <c r="A8" s="13"/>
      <c r="B8" s="13" t="s">
        <v>126</v>
      </c>
      <c r="C8" s="13"/>
      <c r="D8" s="29" t="e">
        <f>Header!#REF!/UNIT</f>
        <v>#REF!</v>
      </c>
      <c r="E8" s="29" t="e">
        <f>Header!#REF!/UNIT</f>
        <v>#REF!</v>
      </c>
      <c r="F8" s="29" t="e">
        <f>Header!#REF!/UNIT</f>
        <v>#REF!</v>
      </c>
      <c r="G8" s="29" t="e">
        <f>Header!#REF!/UNIT</f>
        <v>#REF!</v>
      </c>
      <c r="H8" s="29" t="e">
        <f>Header!#REF!/UNIT</f>
        <v>#REF!</v>
      </c>
      <c r="I8" s="29" t="e">
        <f>Header!#REF!/UNIT</f>
        <v>#REF!</v>
      </c>
      <c r="J8" s="29" t="e">
        <f>Header!#REF!/UNIT</f>
        <v>#REF!</v>
      </c>
      <c r="K8" s="29" t="e">
        <f>Header!#REF!/UNIT</f>
        <v>#REF!</v>
      </c>
      <c r="L8" s="29" t="e">
        <f>Header!#REF!/UNIT</f>
        <v>#REF!</v>
      </c>
      <c r="M8" s="29" t="e">
        <f>Header!#REF!/UNIT</f>
        <v>#REF!</v>
      </c>
      <c r="N8" s="29" t="e">
        <f>Header!#REF!/UNIT</f>
        <v>#REF!</v>
      </c>
      <c r="O8" s="29" t="e">
        <f>Header!#REF!/UNIT</f>
        <v>#REF!</v>
      </c>
      <c r="P8" s="29" t="e">
        <f>Header!#REF!/UNIT</f>
        <v>#REF!</v>
      </c>
      <c r="Q8" s="29" t="e">
        <f>Header!#REF!/UNIT</f>
        <v>#REF!</v>
      </c>
      <c r="R8" s="29" t="e">
        <f>Header!#REF!/UNIT</f>
        <v>#REF!</v>
      </c>
      <c r="S8" s="29" t="e">
        <f>Header!#REF!/UNIT</f>
        <v>#REF!</v>
      </c>
      <c r="T8" s="29" t="e">
        <f>Header!#REF!/UNIT</f>
        <v>#REF!</v>
      </c>
      <c r="U8" s="29" t="e">
        <f>Header!#REF!/UNIT</f>
        <v>#REF!</v>
      </c>
      <c r="V8" s="29" t="e">
        <f>Header!#REF!/UNIT</f>
        <v>#REF!</v>
      </c>
      <c r="W8" s="29" t="e">
        <f>Header!#REF!/UNIT</f>
        <v>#REF!</v>
      </c>
      <c r="X8" s="29" t="e">
        <f>Header!#REF!/UNIT</f>
        <v>#REF!</v>
      </c>
      <c r="Y8" s="29" t="e">
        <f>Header!#REF!/UNIT</f>
        <v>#REF!</v>
      </c>
      <c r="Z8" s="29" t="e">
        <f>Header!#REF!/UNIT</f>
        <v>#REF!</v>
      </c>
      <c r="AA8" s="29" t="e">
        <f>Header!#REF!/UNIT</f>
        <v>#REF!</v>
      </c>
      <c r="AB8" s="29" t="e">
        <f>Header!#REF!/UNIT</f>
        <v>#REF!</v>
      </c>
      <c r="AC8" s="29" t="e">
        <f>Header!#REF!/UNIT</f>
        <v>#REF!</v>
      </c>
      <c r="AD8" s="29" t="e">
        <f>Header!#REF!/UNIT</f>
        <v>#REF!</v>
      </c>
      <c r="AE8" s="29" t="e">
        <f>Header!#REF!/UNIT</f>
        <v>#REF!</v>
      </c>
      <c r="AF8" s="29" t="e">
        <f>Header!#REF!/UNIT</f>
        <v>#REF!</v>
      </c>
      <c r="AG8" s="29" t="e">
        <f>Header!#REF!/UNIT</f>
        <v>#REF!</v>
      </c>
      <c r="AH8" s="29" t="e">
        <f>Header!#REF!/UNIT</f>
        <v>#REF!</v>
      </c>
      <c r="AI8" s="29" t="e">
        <f>Header!#REF!/UNIT</f>
        <v>#REF!</v>
      </c>
      <c r="AJ8" s="29" t="e">
        <f>Header!#REF!/UNIT</f>
        <v>#REF!</v>
      </c>
      <c r="AK8" s="29" t="e">
        <f>Header!#REF!/UNIT</f>
        <v>#REF!</v>
      </c>
      <c r="AL8" s="29" t="e">
        <f>Header!#REF!/UNIT</f>
        <v>#REF!</v>
      </c>
      <c r="AM8" s="29" t="e">
        <f>Header!#REF!/UNIT</f>
        <v>#REF!</v>
      </c>
      <c r="AN8" s="29" t="e">
        <f>Header!#REF!/UNIT</f>
        <v>#REF!</v>
      </c>
      <c r="AO8" s="29" t="e">
        <f>Header!#REF!/UNIT</f>
        <v>#REF!</v>
      </c>
      <c r="AP8" s="29" t="e">
        <f>Header!#REF!/UNIT</f>
        <v>#REF!</v>
      </c>
      <c r="AQ8" s="29" t="e">
        <f>Header!#REF!/UNIT</f>
        <v>#REF!</v>
      </c>
      <c r="AR8" s="29" t="e">
        <f>Header!#REF!/UNIT</f>
        <v>#REF!</v>
      </c>
      <c r="AS8" s="29" t="e">
        <f>Header!#REF!/UNIT</f>
        <v>#REF!</v>
      </c>
    </row>
    <row r="9" spans="1:45" x14ac:dyDescent="0.25">
      <c r="A9" s="13"/>
      <c r="B9" s="13" t="s">
        <v>127</v>
      </c>
      <c r="C9" s="13"/>
      <c r="D9" s="29" t="e">
        <f>Header!#REF!/UNIT</f>
        <v>#REF!</v>
      </c>
      <c r="E9" s="29" t="e">
        <f>Header!#REF!/UNIT</f>
        <v>#REF!</v>
      </c>
      <c r="F9" s="29" t="e">
        <f>Header!#REF!/UNIT</f>
        <v>#REF!</v>
      </c>
      <c r="G9" s="29" t="e">
        <f>Header!#REF!/UNIT</f>
        <v>#REF!</v>
      </c>
      <c r="H9" s="29" t="e">
        <f>Header!#REF!/UNIT</f>
        <v>#REF!</v>
      </c>
      <c r="I9" s="29" t="e">
        <f>Header!#REF!/UNIT</f>
        <v>#REF!</v>
      </c>
      <c r="J9" s="29" t="e">
        <f>Header!#REF!/UNIT</f>
        <v>#REF!</v>
      </c>
      <c r="K9" s="29" t="e">
        <f>Header!#REF!/UNIT</f>
        <v>#REF!</v>
      </c>
      <c r="L9" s="29" t="e">
        <f>Header!#REF!/UNIT</f>
        <v>#REF!</v>
      </c>
      <c r="M9" s="29" t="e">
        <f>Header!#REF!/UNIT</f>
        <v>#REF!</v>
      </c>
      <c r="N9" s="29" t="e">
        <f>Header!#REF!/UNIT</f>
        <v>#REF!</v>
      </c>
      <c r="O9" s="29" t="e">
        <f>Header!#REF!/UNIT</f>
        <v>#REF!</v>
      </c>
      <c r="P9" s="29" t="e">
        <f>Header!#REF!/UNIT</f>
        <v>#REF!</v>
      </c>
      <c r="Q9" s="29" t="e">
        <f>Header!#REF!/UNIT</f>
        <v>#REF!</v>
      </c>
      <c r="R9" s="29" t="e">
        <f>Header!#REF!/UNIT</f>
        <v>#REF!</v>
      </c>
      <c r="S9" s="29" t="e">
        <f>Header!#REF!/UNIT</f>
        <v>#REF!</v>
      </c>
      <c r="T9" s="29" t="e">
        <f>Header!#REF!/UNIT</f>
        <v>#REF!</v>
      </c>
      <c r="U9" s="29" t="e">
        <f>Header!#REF!/UNIT</f>
        <v>#REF!</v>
      </c>
      <c r="V9" s="29" t="e">
        <f>Header!#REF!/UNIT</f>
        <v>#REF!</v>
      </c>
      <c r="W9" s="29" t="e">
        <f>Header!#REF!/UNIT</f>
        <v>#REF!</v>
      </c>
      <c r="X9" s="29" t="e">
        <f>Header!#REF!/UNIT</f>
        <v>#REF!</v>
      </c>
      <c r="Y9" s="29" t="e">
        <f>Header!#REF!/UNIT</f>
        <v>#REF!</v>
      </c>
      <c r="Z9" s="29" t="e">
        <f>Header!#REF!/UNIT</f>
        <v>#REF!</v>
      </c>
      <c r="AA9" s="29" t="e">
        <f>Header!#REF!/UNIT</f>
        <v>#REF!</v>
      </c>
      <c r="AB9" s="29" t="e">
        <f>Header!#REF!/UNIT</f>
        <v>#REF!</v>
      </c>
      <c r="AC9" s="29" t="e">
        <f>Header!#REF!/UNIT</f>
        <v>#REF!</v>
      </c>
      <c r="AD9" s="29" t="e">
        <f>Header!#REF!/UNIT</f>
        <v>#REF!</v>
      </c>
      <c r="AE9" s="29" t="e">
        <f>Header!#REF!/UNIT</f>
        <v>#REF!</v>
      </c>
      <c r="AF9" s="29" t="e">
        <f>Header!#REF!/UNIT</f>
        <v>#REF!</v>
      </c>
      <c r="AG9" s="29" t="e">
        <f>Header!#REF!/UNIT</f>
        <v>#REF!</v>
      </c>
      <c r="AH9" s="29" t="e">
        <f>Header!#REF!/UNIT</f>
        <v>#REF!</v>
      </c>
      <c r="AI9" s="29" t="e">
        <f>Header!#REF!/UNIT</f>
        <v>#REF!</v>
      </c>
      <c r="AJ9" s="29" t="e">
        <f>Header!#REF!/UNIT</f>
        <v>#REF!</v>
      </c>
      <c r="AK9" s="29" t="e">
        <f>Header!#REF!/UNIT</f>
        <v>#REF!</v>
      </c>
      <c r="AL9" s="29" t="e">
        <f>Header!#REF!/UNIT</f>
        <v>#REF!</v>
      </c>
      <c r="AM9" s="29" t="e">
        <f>Header!#REF!/UNIT</f>
        <v>#REF!</v>
      </c>
      <c r="AN9" s="29" t="e">
        <f>Header!#REF!/UNIT</f>
        <v>#REF!</v>
      </c>
      <c r="AO9" s="29" t="e">
        <f>Header!#REF!/UNIT</f>
        <v>#REF!</v>
      </c>
      <c r="AP9" s="29" t="e">
        <f>Header!#REF!/UNIT</f>
        <v>#REF!</v>
      </c>
      <c r="AQ9" s="29" t="e">
        <f>Header!#REF!/UNIT</f>
        <v>#REF!</v>
      </c>
      <c r="AR9" s="29" t="e">
        <f>Header!#REF!/UNIT</f>
        <v>#REF!</v>
      </c>
      <c r="AS9" s="29" t="e">
        <f>Header!#REF!/UNIT</f>
        <v>#REF!</v>
      </c>
    </row>
    <row r="10" spans="1:45" x14ac:dyDescent="0.25">
      <c r="A10" s="13"/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 x14ac:dyDescent="0.25">
      <c r="A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 s="22" customFormat="1" x14ac:dyDescent="0.25">
      <c r="A12"/>
      <c r="B12" s="21" t="s">
        <v>81</v>
      </c>
      <c r="C12" s="22" t="s">
        <v>79</v>
      </c>
      <c r="D12" s="23" t="s">
        <v>83</v>
      </c>
      <c r="E12" s="23" t="s">
        <v>84</v>
      </c>
      <c r="F12" s="23" t="s">
        <v>85</v>
      </c>
      <c r="G12" s="23" t="s">
        <v>86</v>
      </c>
      <c r="H12" s="23" t="s">
        <v>87</v>
      </c>
      <c r="I12" s="23" t="s">
        <v>88</v>
      </c>
      <c r="J12" s="23" t="s">
        <v>89</v>
      </c>
      <c r="K12" s="23" t="s">
        <v>90</v>
      </c>
      <c r="L12" s="23" t="s">
        <v>91</v>
      </c>
      <c r="M12" s="23" t="s">
        <v>92</v>
      </c>
      <c r="N12" s="23" t="s">
        <v>93</v>
      </c>
      <c r="O12" s="23" t="s">
        <v>94</v>
      </c>
      <c r="P12" s="23" t="s">
        <v>95</v>
      </c>
      <c r="Q12" s="23" t="s">
        <v>96</v>
      </c>
      <c r="R12" s="23" t="s">
        <v>97</v>
      </c>
      <c r="S12" s="23" t="s">
        <v>98</v>
      </c>
      <c r="T12" s="23" t="s">
        <v>99</v>
      </c>
      <c r="U12" s="23" t="s">
        <v>100</v>
      </c>
      <c r="V12" s="23" t="s">
        <v>101</v>
      </c>
      <c r="W12" s="23" t="s">
        <v>102</v>
      </c>
      <c r="X12" s="23" t="s">
        <v>103</v>
      </c>
      <c r="Y12" s="23" t="s">
        <v>104</v>
      </c>
      <c r="Z12" s="23" t="s">
        <v>105</v>
      </c>
      <c r="AA12" s="23" t="s">
        <v>106</v>
      </c>
      <c r="AB12" s="23" t="s">
        <v>107</v>
      </c>
      <c r="AC12" s="23" t="s">
        <v>108</v>
      </c>
      <c r="AD12" s="23" t="s">
        <v>109</v>
      </c>
      <c r="AE12" s="23" t="s">
        <v>110</v>
      </c>
      <c r="AF12" s="23" t="s">
        <v>111</v>
      </c>
      <c r="AG12" s="23" t="s">
        <v>112</v>
      </c>
      <c r="AH12" s="23" t="s">
        <v>113</v>
      </c>
      <c r="AI12" s="23" t="s">
        <v>114</v>
      </c>
      <c r="AJ12" s="23" t="s">
        <v>115</v>
      </c>
      <c r="AK12" s="23" t="s">
        <v>116</v>
      </c>
      <c r="AL12" s="23" t="s">
        <v>117</v>
      </c>
      <c r="AM12" s="23" t="s">
        <v>118</v>
      </c>
      <c r="AN12" s="23" t="s">
        <v>119</v>
      </c>
      <c r="AO12" s="23" t="s">
        <v>120</v>
      </c>
      <c r="AP12" s="23" t="s">
        <v>121</v>
      </c>
      <c r="AQ12" s="23" t="s">
        <v>122</v>
      </c>
      <c r="AR12" s="23" t="s">
        <v>123</v>
      </c>
      <c r="AS12" s="23" t="s">
        <v>124</v>
      </c>
    </row>
    <row r="13" spans="1:45" ht="19.5" customHeight="1" x14ac:dyDescent="0.25">
      <c r="A13" s="25" t="str">
        <f>'Residual-Rostered'!A2</f>
        <v>MAIT</v>
      </c>
      <c r="B13" s="25" t="str">
        <f>'Residual-Rostered'!B2</f>
        <v>Attukaran, Raphel</v>
      </c>
      <c r="C13" s="25" t="str">
        <f>'Residual-Rostered'!C2</f>
        <v>Registered Nurse</v>
      </c>
      <c r="D13" s="25" t="str">
        <f>IF('Residual-Rostered'!E2=0,"-",'Residual-Rostered'!E2)</f>
        <v>-</v>
      </c>
      <c r="E13" s="25" t="str">
        <f>IF('Residual-Rostered'!F2=0,"-",'Residual-Rostered'!F2)</f>
        <v>0/ 0</v>
      </c>
      <c r="F13" s="25" t="str">
        <f>IF('Residual-Rostered'!G2=0,"-",'Residual-Rostered'!G2)</f>
        <v>-</v>
      </c>
      <c r="G13" s="25" t="str">
        <f>IF('Residual-Rostered'!H2=0,"-",'Residual-Rostered'!H2)</f>
        <v>-</v>
      </c>
      <c r="H13" s="25" t="str">
        <f>IF('Residual-Rostered'!I2=0,"-",'Residual-Rostered'!I2)</f>
        <v>-</v>
      </c>
      <c r="I13" s="25" t="str">
        <f>IF('Residual-Rostered'!J2=0,"-",'Residual-Rostered'!J2)</f>
        <v>-</v>
      </c>
      <c r="J13" s="25" t="str">
        <f>IF('Residual-Rostered'!K2=0,"-",'Residual-Rostered'!K2)</f>
        <v>-</v>
      </c>
      <c r="K13" s="25" t="str">
        <f>IF('Residual-Rostered'!L2=0,"-",'Residual-Rostered'!L2)</f>
        <v>-</v>
      </c>
      <c r="L13" s="25" t="str">
        <f>IF('Residual-Rostered'!M2=0,"-",'Residual-Rostered'!M2)</f>
        <v>-</v>
      </c>
      <c r="M13" s="25" t="str">
        <f>IF('Residual-Rostered'!N2=0,"-",'Residual-Rostered'!N2)</f>
        <v>-</v>
      </c>
      <c r="N13" s="25" t="str">
        <f>IF('Residual-Rostered'!O2=0,"-",'Residual-Rostered'!O2)</f>
        <v>-</v>
      </c>
      <c r="O13" s="25" t="str">
        <f>IF('Residual-Rostered'!P2=0,"-",'Residual-Rostered'!P2)</f>
        <v>-</v>
      </c>
      <c r="P13" s="25" t="str">
        <f>IF('Residual-Rostered'!Q2=0,"-",'Residual-Rostered'!Q2)</f>
        <v>-</v>
      </c>
      <c r="Q13" s="25" t="str">
        <f>IF('Residual-Rostered'!R2=0,"-",'Residual-Rostered'!R2)</f>
        <v>0/ 0</v>
      </c>
      <c r="R13" s="25" t="str">
        <f>IF('Residual-Rostered'!S2=0,"-",'Residual-Rostered'!S2)</f>
        <v>-</v>
      </c>
      <c r="S13" s="25" t="str">
        <f>IF('Residual-Rostered'!T2=0,"-",'Residual-Rostered'!T2)</f>
        <v>-</v>
      </c>
      <c r="T13" s="25" t="str">
        <f>IF('Residual-Rostered'!U2=0,"-",'Residual-Rostered'!U2)</f>
        <v>0/ 0</v>
      </c>
      <c r="U13" s="25" t="str">
        <f>IF('Residual-Rostered'!V2=0,"-",'Residual-Rostered'!V2)</f>
        <v>-</v>
      </c>
      <c r="V13" s="25" t="str">
        <f>IF('Residual-Rostered'!W2=0,"-",'Residual-Rostered'!W2)</f>
        <v>-</v>
      </c>
      <c r="W13" s="25" t="str">
        <f>IF('Residual-Rostered'!X2=0,"-",'Residual-Rostered'!X2)</f>
        <v>0/ 0</v>
      </c>
      <c r="X13" s="25" t="str">
        <f>IF('Residual-Rostered'!Y2=0,"-",'Residual-Rostered'!Y2)</f>
        <v>-</v>
      </c>
      <c r="Y13" s="25" t="str">
        <f>IF('Residual-Rostered'!Z2=0,"-",'Residual-Rostered'!Z2)</f>
        <v>-</v>
      </c>
      <c r="Z13" s="25" t="str">
        <f>IF('Residual-Rostered'!AA2=0,"-",'Residual-Rostered'!AA2)</f>
        <v>0/ 0</v>
      </c>
      <c r="AA13" s="25" t="str">
        <f>IF('Residual-Rostered'!AB2=0,"-",'Residual-Rostered'!AB2)</f>
        <v>-</v>
      </c>
      <c r="AB13" s="25" t="str">
        <f>IF('Residual-Rostered'!AC2=0,"-",'Residual-Rostered'!AC2)</f>
        <v>-</v>
      </c>
      <c r="AC13" s="25" t="str">
        <f>IF('Residual-Rostered'!AD2=0,"-",'Residual-Rostered'!AD2)</f>
        <v>-</v>
      </c>
      <c r="AD13" s="25" t="str">
        <f>IF('Residual-Rostered'!AE2=0,"-",'Residual-Rostered'!AE2)</f>
        <v>-</v>
      </c>
      <c r="AE13" s="25" t="str">
        <f>IF('Residual-Rostered'!AF2=0,"-",'Residual-Rostered'!AF2)</f>
        <v>-</v>
      </c>
      <c r="AF13" s="25" t="str">
        <f>IF('Residual-Rostered'!AG2=0,"-",'Residual-Rostered'!AG2)</f>
        <v>-</v>
      </c>
      <c r="AG13" s="25" t="str">
        <f>IF('Residual-Rostered'!AH2=0,"-",'Residual-Rostered'!AH2)</f>
        <v>-</v>
      </c>
      <c r="AH13" s="25" t="str">
        <f>IF('Residual-Rostered'!AI2=0,"-",'Residual-Rostered'!AI2)</f>
        <v>-</v>
      </c>
      <c r="AI13" s="25" t="str">
        <f>IF('Residual-Rostered'!AJ2=0,"-",'Residual-Rostered'!AJ2)</f>
        <v>-</v>
      </c>
      <c r="AJ13" s="25" t="str">
        <f>IF('Residual-Rostered'!AK2=0,"-",'Residual-Rostered'!AK2)</f>
        <v>-</v>
      </c>
      <c r="AK13" s="25" t="str">
        <f>IF('Residual-Rostered'!AL2=0,"-",'Residual-Rostered'!AL2)</f>
        <v>-</v>
      </c>
      <c r="AL13" s="25" t="str">
        <f>IF('Residual-Rostered'!AM2=0,"-",'Residual-Rostered'!AM2)</f>
        <v>0/ 0</v>
      </c>
      <c r="AM13" s="25" t="str">
        <f>IF('Residual-Rostered'!AN2=0,"-",'Residual-Rostered'!AN2)</f>
        <v>-</v>
      </c>
      <c r="AN13" s="25" t="str">
        <f>IF('Residual-Rostered'!AO2=0,"-",'Residual-Rostered'!AO2)</f>
        <v>-</v>
      </c>
      <c r="AO13" s="25" t="str">
        <f>IF('Residual-Rostered'!AP2=0,"-",'Residual-Rostered'!AP2)</f>
        <v>0/ 0</v>
      </c>
      <c r="AP13" s="25" t="str">
        <f>IF('Residual-Rostered'!AQ2=0,"-",'Residual-Rostered'!AQ2)</f>
        <v>-</v>
      </c>
      <c r="AQ13" s="25" t="str">
        <f>IF('Residual-Rostered'!AR2=0,"-",'Residual-Rostered'!AR2)</f>
        <v>-</v>
      </c>
      <c r="AR13" s="25" t="str">
        <f>IF('Residual-Rostered'!AS2=0,"-",'Residual-Rostered'!AS2)</f>
        <v>0/ 0</v>
      </c>
      <c r="AS13" s="25" t="str">
        <f>IF('Residual-Rostered'!AT2=0,"-",'Residual-Rostered'!AT2)</f>
        <v>-</v>
      </c>
    </row>
    <row r="14" spans="1:45" x14ac:dyDescent="0.25">
      <c r="A14" s="25" t="str">
        <f>'Residual-Rostered'!A3</f>
        <v>MAIT</v>
      </c>
      <c r="B14" s="25" t="str">
        <f>'Residual-Rostered'!B3</f>
        <v>Bhandari, Manisha</v>
      </c>
      <c r="C14" s="25" t="str">
        <f>'Residual-Rostered'!C3</f>
        <v>Registered Nurse</v>
      </c>
      <c r="D14" s="25" t="str">
        <f>IF('Residual-Rostered'!E3=0,"-",'Residual-Rostered'!E3)</f>
        <v>-</v>
      </c>
      <c r="E14" s="25" t="str">
        <f>IF('Residual-Rostered'!F3=0,"-",'Residual-Rostered'!F3)</f>
        <v>7.6/ 7.4</v>
      </c>
      <c r="F14" s="25" t="str">
        <f>IF('Residual-Rostered'!G3=0,"-",'Residual-Rostered'!G3)</f>
        <v>-</v>
      </c>
      <c r="G14" s="25" t="str">
        <f>IF('Residual-Rostered'!H3=0,"-",'Residual-Rostered'!H3)</f>
        <v>-</v>
      </c>
      <c r="H14" s="25" t="str">
        <f>IF('Residual-Rostered'!I3=0,"-",'Residual-Rostered'!I3)</f>
        <v>7.6/ 7.4</v>
      </c>
      <c r="I14" s="25" t="str">
        <f>IF('Residual-Rostered'!J3=0,"-",'Residual-Rostered'!J3)</f>
        <v>-</v>
      </c>
      <c r="J14" s="25" t="str">
        <f>IF('Residual-Rostered'!K3=0,"-",'Residual-Rostered'!K3)</f>
        <v>-</v>
      </c>
      <c r="K14" s="25" t="str">
        <f>IF('Residual-Rostered'!L3=0,"-",'Residual-Rostered'!L3)</f>
        <v>-</v>
      </c>
      <c r="L14" s="25" t="str">
        <f>IF('Residual-Rostered'!M3=0,"-",'Residual-Rostered'!M3)</f>
        <v>-</v>
      </c>
      <c r="M14" s="25" t="str">
        <f>IF('Residual-Rostered'!N3=0,"-",'Residual-Rostered'!N3)</f>
        <v>-</v>
      </c>
      <c r="N14" s="25" t="str">
        <f>IF('Residual-Rostered'!O3=0,"-",'Residual-Rostered'!O3)</f>
        <v>-</v>
      </c>
      <c r="O14" s="25" t="str">
        <f>IF('Residual-Rostered'!P3=0,"-",'Residual-Rostered'!P3)</f>
        <v>-</v>
      </c>
      <c r="P14" s="25" t="str">
        <f>IF('Residual-Rostered'!Q3=0,"-",'Residual-Rostered'!Q3)</f>
        <v>-</v>
      </c>
      <c r="Q14" s="25" t="str">
        <f>IF('Residual-Rostered'!R3=0,"-",'Residual-Rostered'!R3)</f>
        <v>-</v>
      </c>
      <c r="R14" s="25" t="str">
        <f>IF('Residual-Rostered'!S3=0,"-",'Residual-Rostered'!S3)</f>
        <v>-</v>
      </c>
      <c r="S14" s="25" t="str">
        <f>IF('Residual-Rostered'!T3=0,"-",'Residual-Rostered'!T3)</f>
        <v>-</v>
      </c>
      <c r="T14" s="25" t="str">
        <f>IF('Residual-Rostered'!U3=0,"-",'Residual-Rostered'!U3)</f>
        <v>7.6/ 7.4</v>
      </c>
      <c r="U14" s="25" t="str">
        <f>IF('Residual-Rostered'!V3=0,"-",'Residual-Rostered'!V3)</f>
        <v>-</v>
      </c>
      <c r="V14" s="25" t="str">
        <f>IF('Residual-Rostered'!W3=0,"-",'Residual-Rostered'!W3)</f>
        <v>-</v>
      </c>
      <c r="W14" s="25" t="str">
        <f>IF('Residual-Rostered'!X3=0,"-",'Residual-Rostered'!X3)</f>
        <v>7.6/ 7.4</v>
      </c>
      <c r="X14" s="25" t="str">
        <f>IF('Residual-Rostered'!Y3=0,"-",'Residual-Rostered'!Y3)</f>
        <v>-</v>
      </c>
      <c r="Y14" s="25" t="str">
        <f>IF('Residual-Rostered'!Z3=0,"-",'Residual-Rostered'!Z3)</f>
        <v>-</v>
      </c>
      <c r="Z14" s="25" t="str">
        <f>IF('Residual-Rostered'!AA3=0,"-",'Residual-Rostered'!AA3)</f>
        <v>7.6/ 7.4</v>
      </c>
      <c r="AA14" s="25" t="str">
        <f>IF('Residual-Rostered'!AB3=0,"-",'Residual-Rostered'!AB3)</f>
        <v>-</v>
      </c>
      <c r="AB14" s="25" t="str">
        <f>IF('Residual-Rostered'!AC3=0,"-",'Residual-Rostered'!AC3)</f>
        <v>-</v>
      </c>
      <c r="AC14" s="25" t="str">
        <f>IF('Residual-Rostered'!AD3=0,"-",'Residual-Rostered'!AD3)</f>
        <v>7.6/ 7.4</v>
      </c>
      <c r="AD14" s="25" t="str">
        <f>IF('Residual-Rostered'!AE3=0,"-",'Residual-Rostered'!AE3)</f>
        <v>-</v>
      </c>
      <c r="AE14" s="25" t="str">
        <f>IF('Residual-Rostered'!AF3=0,"-",'Residual-Rostered'!AF3)</f>
        <v>-</v>
      </c>
      <c r="AF14" s="25" t="str">
        <f>IF('Residual-Rostered'!AG3=0,"-",'Residual-Rostered'!AG3)</f>
        <v>-</v>
      </c>
      <c r="AG14" s="25" t="str">
        <f>IF('Residual-Rostered'!AH3=0,"-",'Residual-Rostered'!AH3)</f>
        <v>-</v>
      </c>
      <c r="AH14" s="25" t="str">
        <f>IF('Residual-Rostered'!AI3=0,"-",'Residual-Rostered'!AI3)</f>
        <v>-</v>
      </c>
      <c r="AI14" s="25" t="str">
        <f>IF('Residual-Rostered'!AJ3=0,"-",'Residual-Rostered'!AJ3)</f>
        <v>-</v>
      </c>
      <c r="AJ14" s="25" t="str">
        <f>IF('Residual-Rostered'!AK3=0,"-",'Residual-Rostered'!AK3)</f>
        <v>-</v>
      </c>
      <c r="AK14" s="25" t="str">
        <f>IF('Residual-Rostered'!AL3=0,"-",'Residual-Rostered'!AL3)</f>
        <v>-</v>
      </c>
      <c r="AL14" s="25" t="str">
        <f>IF('Residual-Rostered'!AM3=0,"-",'Residual-Rostered'!AM3)</f>
        <v>7.6/ 7.4</v>
      </c>
      <c r="AM14" s="25" t="str">
        <f>IF('Residual-Rostered'!AN3=0,"-",'Residual-Rostered'!AN3)</f>
        <v>-</v>
      </c>
      <c r="AN14" s="25" t="str">
        <f>IF('Residual-Rostered'!AO3=0,"-",'Residual-Rostered'!AO3)</f>
        <v>-</v>
      </c>
      <c r="AO14" s="25" t="str">
        <f>IF('Residual-Rostered'!AP3=0,"-",'Residual-Rostered'!AP3)</f>
        <v>7.6/ 7.4</v>
      </c>
      <c r="AP14" s="25" t="str">
        <f>IF('Residual-Rostered'!AQ3=0,"-",'Residual-Rostered'!AQ3)</f>
        <v>-</v>
      </c>
      <c r="AQ14" s="25" t="str">
        <f>IF('Residual-Rostered'!AR3=0,"-",'Residual-Rostered'!AR3)</f>
        <v>-</v>
      </c>
      <c r="AR14" s="25" t="str">
        <f>IF('Residual-Rostered'!AS3=0,"-",'Residual-Rostered'!AS3)</f>
        <v>7.6/ 7.4</v>
      </c>
      <c r="AS14" s="25" t="str">
        <f>IF('Residual-Rostered'!AT3=0,"-",'Residual-Rostered'!AT3)</f>
        <v>-</v>
      </c>
    </row>
    <row r="15" spans="1:45" x14ac:dyDescent="0.25">
      <c r="A15" s="25" t="str">
        <f>'Residual-Rostered'!A4</f>
        <v>MAIT</v>
      </c>
      <c r="B15" s="25" t="str">
        <f>'Residual-Rostered'!B4</f>
        <v>Enzo, Joanna</v>
      </c>
      <c r="C15" s="25" t="str">
        <f>'Residual-Rostered'!C4</f>
        <v>Registered Nurse</v>
      </c>
      <c r="D15" s="25" t="str">
        <f>IF('Residual-Rostered'!E4=0,"-",'Residual-Rostered'!E4)</f>
        <v>-</v>
      </c>
      <c r="E15" s="25" t="str">
        <f>IF('Residual-Rostered'!F4=0,"-",'Residual-Rostered'!F4)</f>
        <v>-</v>
      </c>
      <c r="F15" s="25" t="str">
        <f>IF('Residual-Rostered'!G4=0,"-",'Residual-Rostered'!G4)</f>
        <v>-</v>
      </c>
      <c r="G15" s="25" t="str">
        <f>IF('Residual-Rostered'!H4=0,"-",'Residual-Rostered'!H4)</f>
        <v>-</v>
      </c>
      <c r="H15" s="25" t="str">
        <f>IF('Residual-Rostered'!I4=0,"-",'Residual-Rostered'!I4)</f>
        <v>-</v>
      </c>
      <c r="I15" s="25" t="str">
        <f>IF('Residual-Rostered'!J4=0,"-",'Residual-Rostered'!J4)</f>
        <v>-</v>
      </c>
      <c r="J15" s="25" t="str">
        <f>IF('Residual-Rostered'!K4=0,"-",'Residual-Rostered'!K4)</f>
        <v>-</v>
      </c>
      <c r="K15" s="25" t="str">
        <f>IF('Residual-Rostered'!L4=0,"-",'Residual-Rostered'!L4)</f>
        <v>-</v>
      </c>
      <c r="L15" s="25" t="str">
        <f>IF('Residual-Rostered'!M4=0,"-",'Residual-Rostered'!M4)</f>
        <v>-</v>
      </c>
      <c r="M15" s="25" t="str">
        <f>IF('Residual-Rostered'!N4=0,"-",'Residual-Rostered'!N4)</f>
        <v>-</v>
      </c>
      <c r="N15" s="25" t="str">
        <f>IF('Residual-Rostered'!O4=0,"-",'Residual-Rostered'!O4)</f>
        <v>-</v>
      </c>
      <c r="O15" s="25" t="str">
        <f>IF('Residual-Rostered'!P4=0,"-",'Residual-Rostered'!P4)</f>
        <v>-</v>
      </c>
      <c r="P15" s="25" t="str">
        <f>IF('Residual-Rostered'!Q4=0,"-",'Residual-Rostered'!Q4)</f>
        <v>0/ 0</v>
      </c>
      <c r="Q15" s="25" t="str">
        <f>IF('Residual-Rostered'!R4=0,"-",'Residual-Rostered'!R4)</f>
        <v>-</v>
      </c>
      <c r="R15" s="25" t="str">
        <f>IF('Residual-Rostered'!S4=0,"-",'Residual-Rostered'!S4)</f>
        <v>-</v>
      </c>
      <c r="S15" s="25" t="str">
        <f>IF('Residual-Rostered'!T4=0,"-",'Residual-Rostered'!T4)</f>
        <v>0/ 0</v>
      </c>
      <c r="T15" s="25" t="str">
        <f>IF('Residual-Rostered'!U4=0,"-",'Residual-Rostered'!U4)</f>
        <v>-</v>
      </c>
      <c r="U15" s="25" t="str">
        <f>IF('Residual-Rostered'!V4=0,"-",'Residual-Rostered'!V4)</f>
        <v>-</v>
      </c>
      <c r="V15" s="25" t="str">
        <f>IF('Residual-Rostered'!W4=0,"-",'Residual-Rostered'!W4)</f>
        <v>0/ 0</v>
      </c>
      <c r="W15" s="25" t="str">
        <f>IF('Residual-Rostered'!X4=0,"-",'Residual-Rostered'!X4)</f>
        <v>-</v>
      </c>
      <c r="X15" s="25" t="str">
        <f>IF('Residual-Rostered'!Y4=0,"-",'Residual-Rostered'!Y4)</f>
        <v>-</v>
      </c>
      <c r="Y15" s="25" t="str">
        <f>IF('Residual-Rostered'!Z4=0,"-",'Residual-Rostered'!Z4)</f>
        <v>-</v>
      </c>
      <c r="Z15" s="25" t="str">
        <f>IF('Residual-Rostered'!AA4=0,"-",'Residual-Rostered'!AA4)</f>
        <v>-</v>
      </c>
      <c r="AA15" s="25" t="str">
        <f>IF('Residual-Rostered'!AB4=0,"-",'Residual-Rostered'!AB4)</f>
        <v>-</v>
      </c>
      <c r="AB15" s="25" t="str">
        <f>IF('Residual-Rostered'!AC4=0,"-",'Residual-Rostered'!AC4)</f>
        <v>-</v>
      </c>
      <c r="AC15" s="25" t="str">
        <f>IF('Residual-Rostered'!AD4=0,"-",'Residual-Rostered'!AD4)</f>
        <v>-</v>
      </c>
      <c r="AD15" s="25" t="str">
        <f>IF('Residual-Rostered'!AE4=0,"-",'Residual-Rostered'!AE4)</f>
        <v>-</v>
      </c>
      <c r="AE15" s="25" t="str">
        <f>IF('Residual-Rostered'!AF4=0,"-",'Residual-Rostered'!AF4)</f>
        <v>-</v>
      </c>
      <c r="AF15" s="25" t="str">
        <f>IF('Residual-Rostered'!AG4=0,"-",'Residual-Rostered'!AG4)</f>
        <v>-</v>
      </c>
      <c r="AG15" s="25" t="str">
        <f>IF('Residual-Rostered'!AH4=0,"-",'Residual-Rostered'!AH4)</f>
        <v>-</v>
      </c>
      <c r="AH15" s="25" t="str">
        <f>IF('Residual-Rostered'!AI4=0,"-",'Residual-Rostered'!AI4)</f>
        <v>-</v>
      </c>
      <c r="AI15" s="25" t="str">
        <f>IF('Residual-Rostered'!AJ4=0,"-",'Residual-Rostered'!AJ4)</f>
        <v>-</v>
      </c>
      <c r="AJ15" s="25" t="str">
        <f>IF('Residual-Rostered'!AK4=0,"-",'Residual-Rostered'!AK4)</f>
        <v>-</v>
      </c>
      <c r="AK15" s="25" t="str">
        <f>IF('Residual-Rostered'!AL4=0,"-",'Residual-Rostered'!AL4)</f>
        <v>0/ 0</v>
      </c>
      <c r="AL15" s="25" t="str">
        <f>IF('Residual-Rostered'!AM4=0,"-",'Residual-Rostered'!AM4)</f>
        <v>-</v>
      </c>
      <c r="AM15" s="25" t="str">
        <f>IF('Residual-Rostered'!AN4=0,"-",'Residual-Rostered'!AN4)</f>
        <v>-</v>
      </c>
      <c r="AN15" s="25" t="str">
        <f>IF('Residual-Rostered'!AO4=0,"-",'Residual-Rostered'!AO4)</f>
        <v>0/ 0</v>
      </c>
      <c r="AO15" s="25" t="str">
        <f>IF('Residual-Rostered'!AP4=0,"-",'Residual-Rostered'!AP4)</f>
        <v>-</v>
      </c>
      <c r="AP15" s="25" t="str">
        <f>IF('Residual-Rostered'!AQ4=0,"-",'Residual-Rostered'!AQ4)</f>
        <v>-</v>
      </c>
      <c r="AQ15" s="25" t="str">
        <f>IF('Residual-Rostered'!AR4=0,"-",'Residual-Rostered'!AR4)</f>
        <v>0/ 0</v>
      </c>
      <c r="AR15" s="25" t="str">
        <f>IF('Residual-Rostered'!AS4=0,"-",'Residual-Rostered'!AS4)</f>
        <v>-</v>
      </c>
      <c r="AS15" s="25" t="str">
        <f>IF('Residual-Rostered'!AT4=0,"-",'Residual-Rostered'!AT4)</f>
        <v>-</v>
      </c>
    </row>
    <row r="16" spans="1:45" x14ac:dyDescent="0.25">
      <c r="A16" s="25" t="str">
        <f>'Residual-Rostered'!A5</f>
        <v>MAIT</v>
      </c>
      <c r="B16" s="25" t="str">
        <f>'Residual-Rostered'!B5</f>
        <v>Goke, Adele</v>
      </c>
      <c r="C16" s="25" t="str">
        <f>'Residual-Rostered'!C5</f>
        <v>Registered Nurse</v>
      </c>
      <c r="D16" s="25" t="str">
        <f>IF('Residual-Rostered'!E5=0,"-",'Residual-Rostered'!E5)</f>
        <v>-</v>
      </c>
      <c r="E16" s="25" t="str">
        <f>IF('Residual-Rostered'!F5=0,"-",'Residual-Rostered'!F5)</f>
        <v>-</v>
      </c>
      <c r="F16" s="25" t="str">
        <f>IF('Residual-Rostered'!G5=0,"-",'Residual-Rostered'!G5)</f>
        <v>-</v>
      </c>
      <c r="G16" s="25" t="str">
        <f>IF('Residual-Rostered'!H5=0,"-",'Residual-Rostered'!H5)</f>
        <v>-</v>
      </c>
      <c r="H16" s="25" t="str">
        <f>IF('Residual-Rostered'!I5=0,"-",'Residual-Rostered'!I5)</f>
        <v>-</v>
      </c>
      <c r="I16" s="25" t="str">
        <f>IF('Residual-Rostered'!J5=0,"-",'Residual-Rostered'!J5)</f>
        <v>-</v>
      </c>
      <c r="J16" s="25" t="str">
        <f>IF('Residual-Rostered'!K5=0,"-",'Residual-Rostered'!K5)</f>
        <v>-</v>
      </c>
      <c r="K16" s="25" t="str">
        <f>IF('Residual-Rostered'!L5=0,"-",'Residual-Rostered'!L5)</f>
        <v>-</v>
      </c>
      <c r="L16" s="25" t="str">
        <f>IF('Residual-Rostered'!M5=0,"-",'Residual-Rostered'!M5)</f>
        <v>-</v>
      </c>
      <c r="M16" s="25" t="str">
        <f>IF('Residual-Rostered'!N5=0,"-",'Residual-Rostered'!N5)</f>
        <v>-</v>
      </c>
      <c r="N16" s="25" t="str">
        <f>IF('Residual-Rostered'!O5=0,"-",'Residual-Rostered'!O5)</f>
        <v>-</v>
      </c>
      <c r="O16" s="25" t="str">
        <f>IF('Residual-Rostered'!P5=0,"-",'Residual-Rostered'!P5)</f>
        <v>-</v>
      </c>
      <c r="P16" s="25" t="str">
        <f>IF('Residual-Rostered'!Q5=0,"-",'Residual-Rostered'!Q5)</f>
        <v>-</v>
      </c>
      <c r="Q16" s="25" t="str">
        <f>IF('Residual-Rostered'!R5=0,"-",'Residual-Rostered'!R5)</f>
        <v>-</v>
      </c>
      <c r="R16" s="25" t="str">
        <f>IF('Residual-Rostered'!S5=0,"-",'Residual-Rostered'!S5)</f>
        <v>-</v>
      </c>
      <c r="S16" s="25" t="str">
        <f>IF('Residual-Rostered'!T5=0,"-",'Residual-Rostered'!T5)</f>
        <v>-</v>
      </c>
      <c r="T16" s="25" t="str">
        <f>IF('Residual-Rostered'!U5=0,"-",'Residual-Rostered'!U5)</f>
        <v>0/ 0</v>
      </c>
      <c r="U16" s="25" t="str">
        <f>IF('Residual-Rostered'!V5=0,"-",'Residual-Rostered'!V5)</f>
        <v>-</v>
      </c>
      <c r="V16" s="25" t="str">
        <f>IF('Residual-Rostered'!W5=0,"-",'Residual-Rostered'!W5)</f>
        <v>-</v>
      </c>
      <c r="W16" s="25" t="str">
        <f>IF('Residual-Rostered'!X5=0,"-",'Residual-Rostered'!X5)</f>
        <v>0/ 0</v>
      </c>
      <c r="X16" s="25" t="str">
        <f>IF('Residual-Rostered'!Y5=0,"-",'Residual-Rostered'!Y5)</f>
        <v>-</v>
      </c>
      <c r="Y16" s="25" t="str">
        <f>IF('Residual-Rostered'!Z5=0,"-",'Residual-Rostered'!Z5)</f>
        <v>-</v>
      </c>
      <c r="Z16" s="25" t="str">
        <f>IF('Residual-Rostered'!AA5=0,"-",'Residual-Rostered'!AA5)</f>
        <v>-</v>
      </c>
      <c r="AA16" s="25" t="str">
        <f>IF('Residual-Rostered'!AB5=0,"-",'Residual-Rostered'!AB5)</f>
        <v>-</v>
      </c>
      <c r="AB16" s="25" t="str">
        <f>IF('Residual-Rostered'!AC5=0,"-",'Residual-Rostered'!AC5)</f>
        <v>-</v>
      </c>
      <c r="AC16" s="25" t="str">
        <f>IF('Residual-Rostered'!AD5=0,"-",'Residual-Rostered'!AD5)</f>
        <v>-</v>
      </c>
      <c r="AD16" s="25" t="str">
        <f>IF('Residual-Rostered'!AE5=0,"-",'Residual-Rostered'!AE5)</f>
        <v>-</v>
      </c>
      <c r="AE16" s="25" t="str">
        <f>IF('Residual-Rostered'!AF5=0,"-",'Residual-Rostered'!AF5)</f>
        <v>-</v>
      </c>
      <c r="AF16" s="25" t="str">
        <f>IF('Residual-Rostered'!AG5=0,"-",'Residual-Rostered'!AG5)</f>
        <v>-</v>
      </c>
      <c r="AG16" s="25" t="str">
        <f>IF('Residual-Rostered'!AH5=0,"-",'Residual-Rostered'!AH5)</f>
        <v>-</v>
      </c>
      <c r="AH16" s="25" t="str">
        <f>IF('Residual-Rostered'!AI5=0,"-",'Residual-Rostered'!AI5)</f>
        <v>-</v>
      </c>
      <c r="AI16" s="25" t="str">
        <f>IF('Residual-Rostered'!AJ5=0,"-",'Residual-Rostered'!AJ5)</f>
        <v>-</v>
      </c>
      <c r="AJ16" s="25" t="str">
        <f>IF('Residual-Rostered'!AK5=0,"-",'Residual-Rostered'!AK5)</f>
        <v>-</v>
      </c>
      <c r="AK16" s="25" t="str">
        <f>IF('Residual-Rostered'!AL5=0,"-",'Residual-Rostered'!AL5)</f>
        <v>-</v>
      </c>
      <c r="AL16" s="25" t="str">
        <f>IF('Residual-Rostered'!AM5=0,"-",'Residual-Rostered'!AM5)</f>
        <v>-</v>
      </c>
      <c r="AM16" s="25" t="str">
        <f>IF('Residual-Rostered'!AN5=0,"-",'Residual-Rostered'!AN5)</f>
        <v>-</v>
      </c>
      <c r="AN16" s="25" t="str">
        <f>IF('Residual-Rostered'!AO5=0,"-",'Residual-Rostered'!AO5)</f>
        <v>-</v>
      </c>
      <c r="AO16" s="25" t="str">
        <f>IF('Residual-Rostered'!AP5=0,"-",'Residual-Rostered'!AP5)</f>
        <v>0/ 0</v>
      </c>
      <c r="AP16" s="25" t="str">
        <f>IF('Residual-Rostered'!AQ5=0,"-",'Residual-Rostered'!AQ5)</f>
        <v>-</v>
      </c>
      <c r="AQ16" s="25" t="str">
        <f>IF('Residual-Rostered'!AR5=0,"-",'Residual-Rostered'!AR5)</f>
        <v>-</v>
      </c>
      <c r="AR16" s="25" t="str">
        <f>IF('Residual-Rostered'!AS5=0,"-",'Residual-Rostered'!AS5)</f>
        <v>0/ 0</v>
      </c>
      <c r="AS16" s="25" t="str">
        <f>IF('Residual-Rostered'!AT5=0,"-",'Residual-Rostered'!AT5)</f>
        <v>-</v>
      </c>
    </row>
    <row r="17" spans="1:47" hidden="1" x14ac:dyDescent="0.25">
      <c r="A17" s="25" t="str">
        <f>'Residual-Rostered'!A6</f>
        <v>MAIT</v>
      </c>
      <c r="B17" s="25" t="str">
        <f>'Residual-Rostered'!B6</f>
        <v>Gould, Diana</v>
      </c>
      <c r="C17" s="25" t="str">
        <f>'Residual-Rostered'!C6</f>
        <v>Registered Nurse</v>
      </c>
      <c r="D17" s="25" t="str">
        <f>IF('Residual-Rostered'!E6=0,"-",'Residual-Rostered'!E6)</f>
        <v>-</v>
      </c>
      <c r="E17" s="25" t="str">
        <f>IF('Residual-Rostered'!F6=0,"-",'Residual-Rostered'!F6)</f>
        <v>-</v>
      </c>
      <c r="F17" s="25" t="str">
        <f>IF('Residual-Rostered'!G6=0,"-",'Residual-Rostered'!G6)</f>
        <v>6.9/ 6.9</v>
      </c>
      <c r="G17" s="25" t="str">
        <f>IF('Residual-Rostered'!H6=0,"-",'Residual-Rostered'!H6)</f>
        <v>-</v>
      </c>
      <c r="H17" s="25" t="str">
        <f>IF('Residual-Rostered'!I6=0,"-",'Residual-Rostered'!I6)</f>
        <v>-</v>
      </c>
      <c r="I17" s="25" t="str">
        <f>IF('Residual-Rostered'!J6=0,"-",'Residual-Rostered'!J6)</f>
        <v>7.4/ 6.9</v>
      </c>
      <c r="J17" s="25" t="str">
        <f>IF('Residual-Rostered'!K6=0,"-",'Residual-Rostered'!K6)</f>
        <v>-</v>
      </c>
      <c r="K17" s="25" t="str">
        <f>IF('Residual-Rostered'!L6=0,"-",'Residual-Rostered'!L6)</f>
        <v>-</v>
      </c>
      <c r="L17" s="25" t="str">
        <f>IF('Residual-Rostered'!M6=0,"-",'Residual-Rostered'!M6)</f>
        <v>-</v>
      </c>
      <c r="M17" s="25" t="str">
        <f>IF('Residual-Rostered'!N6=0,"-",'Residual-Rostered'!N6)</f>
        <v>-</v>
      </c>
      <c r="N17" s="25" t="str">
        <f>IF('Residual-Rostered'!O6=0,"-",'Residual-Rostered'!O6)</f>
        <v>-</v>
      </c>
      <c r="O17" s="25" t="str">
        <f>IF('Residual-Rostered'!P6=0,"-",'Residual-Rostered'!P6)</f>
        <v>-</v>
      </c>
      <c r="P17" s="25" t="str">
        <f>IF('Residual-Rostered'!Q6=0,"-",'Residual-Rostered'!Q6)</f>
        <v>-</v>
      </c>
      <c r="Q17" s="25" t="str">
        <f>IF('Residual-Rostered'!R6=0,"-",'Residual-Rostered'!R6)</f>
        <v>-</v>
      </c>
      <c r="R17" s="25" t="str">
        <f>IF('Residual-Rostered'!S6=0,"-",'Residual-Rostered'!S6)</f>
        <v>6.9/ 6.9</v>
      </c>
      <c r="S17" s="25" t="str">
        <f>IF('Residual-Rostered'!T6=0,"-",'Residual-Rostered'!T6)</f>
        <v>-</v>
      </c>
      <c r="T17" s="25" t="str">
        <f>IF('Residual-Rostered'!U6=0,"-",'Residual-Rostered'!U6)</f>
        <v>-</v>
      </c>
      <c r="U17" s="25" t="str">
        <f>IF('Residual-Rostered'!V6=0,"-",'Residual-Rostered'!V6)</f>
        <v>7.4/ 6.9</v>
      </c>
      <c r="V17" s="25" t="str">
        <f>IF('Residual-Rostered'!W6=0,"-",'Residual-Rostered'!W6)</f>
        <v>-</v>
      </c>
      <c r="W17" s="25" t="str">
        <f>IF('Residual-Rostered'!X6=0,"-",'Residual-Rostered'!X6)</f>
        <v>-</v>
      </c>
      <c r="X17" s="25" t="str">
        <f>IF('Residual-Rostered'!Y6=0,"-",'Residual-Rostered'!Y6)</f>
        <v>7.4/ 6.9</v>
      </c>
      <c r="Y17" s="25" t="str">
        <f>IF('Residual-Rostered'!Z6=0,"-",'Residual-Rostered'!Z6)</f>
        <v>-</v>
      </c>
      <c r="Z17" s="25" t="str">
        <f>IF('Residual-Rostered'!AA6=0,"-",'Residual-Rostered'!AA6)</f>
        <v>-</v>
      </c>
      <c r="AA17" s="25" t="str">
        <f>IF('Residual-Rostered'!AB6=0,"-",'Residual-Rostered'!AB6)</f>
        <v>7.4/ 6.9</v>
      </c>
      <c r="AB17" s="25" t="str">
        <f>IF('Residual-Rostered'!AC6=0,"-",'Residual-Rostered'!AC6)</f>
        <v>-</v>
      </c>
      <c r="AC17" s="25" t="str">
        <f>IF('Residual-Rostered'!AD6=0,"-",'Residual-Rostered'!AD6)</f>
        <v>-</v>
      </c>
      <c r="AD17" s="25" t="str">
        <f>IF('Residual-Rostered'!AE6=0,"-",'Residual-Rostered'!AE6)</f>
        <v>7.4/ 6.9</v>
      </c>
      <c r="AE17" s="25" t="str">
        <f>IF('Residual-Rostered'!AF6=0,"-",'Residual-Rostered'!AF6)</f>
        <v>-</v>
      </c>
      <c r="AF17" s="25" t="str">
        <f>IF('Residual-Rostered'!AG6=0,"-",'Residual-Rostered'!AG6)</f>
        <v>-</v>
      </c>
      <c r="AG17" s="25" t="str">
        <f>IF('Residual-Rostered'!AH6=0,"-",'Residual-Rostered'!AH6)</f>
        <v>-</v>
      </c>
      <c r="AH17" s="25" t="str">
        <f>IF('Residual-Rostered'!AI6=0,"-",'Residual-Rostered'!AI6)</f>
        <v>-</v>
      </c>
      <c r="AI17" s="25" t="str">
        <f>IF('Residual-Rostered'!AJ6=0,"-",'Residual-Rostered'!AJ6)</f>
        <v>-</v>
      </c>
      <c r="AJ17" s="25" t="str">
        <f>IF('Residual-Rostered'!AK6=0,"-",'Residual-Rostered'!AK6)</f>
        <v>-</v>
      </c>
      <c r="AK17" s="25" t="str">
        <f>IF('Residual-Rostered'!AL6=0,"-",'Residual-Rostered'!AL6)</f>
        <v>-</v>
      </c>
      <c r="AL17" s="25" t="str">
        <f>IF('Residual-Rostered'!AM6=0,"-",'Residual-Rostered'!AM6)</f>
        <v>-</v>
      </c>
      <c r="AM17" s="25" t="str">
        <f>IF('Residual-Rostered'!AN6=0,"-",'Residual-Rostered'!AN6)</f>
        <v>-</v>
      </c>
      <c r="AN17" s="25" t="str">
        <f>IF('Residual-Rostered'!AO6=0,"-",'Residual-Rostered'!AO6)</f>
        <v>-</v>
      </c>
      <c r="AO17" s="25" t="str">
        <f>IF('Residual-Rostered'!AP6=0,"-",'Residual-Rostered'!AP6)</f>
        <v>-</v>
      </c>
      <c r="AP17" s="25" t="str">
        <f>IF('Residual-Rostered'!AQ6=0,"-",'Residual-Rostered'!AQ6)</f>
        <v>-</v>
      </c>
      <c r="AQ17" s="25" t="str">
        <f>IF('Residual-Rostered'!AR6=0,"-",'Residual-Rostered'!AR6)</f>
        <v>-</v>
      </c>
      <c r="AR17" s="25" t="str">
        <f>IF('Residual-Rostered'!AS6=0,"-",'Residual-Rostered'!AS6)</f>
        <v>-</v>
      </c>
      <c r="AS17" s="25" t="str">
        <f>IF('Residual-Rostered'!AT6=0,"-",'Residual-Rostered'!AT6)</f>
        <v>-</v>
      </c>
    </row>
    <row r="18" spans="1:47" x14ac:dyDescent="0.25">
      <c r="A18" s="25" t="str">
        <f>'Residual-Rostered'!A7</f>
        <v>MAIT</v>
      </c>
      <c r="B18" s="25" t="str">
        <f>'Residual-Rostered'!B7</f>
        <v>Hughes, Emily</v>
      </c>
      <c r="C18" s="25" t="str">
        <f>'Residual-Rostered'!C7</f>
        <v>Registered Nurse</v>
      </c>
      <c r="D18" s="25" t="str">
        <f>IF('Residual-Rostered'!E7=0,"-",'Residual-Rostered'!E7)</f>
        <v>0/ 0</v>
      </c>
      <c r="E18" s="25" t="str">
        <f>IF('Residual-Rostered'!F7=0,"-",'Residual-Rostered'!F7)</f>
        <v>-</v>
      </c>
      <c r="F18" s="25" t="str">
        <f>IF('Residual-Rostered'!G7=0,"-",'Residual-Rostered'!G7)</f>
        <v>-</v>
      </c>
      <c r="G18" s="25" t="str">
        <f>IF('Residual-Rostered'!H7=0,"-",'Residual-Rostered'!H7)</f>
        <v>0/ 0</v>
      </c>
      <c r="H18" s="25" t="str">
        <f>IF('Residual-Rostered'!I7=0,"-",'Residual-Rostered'!I7)</f>
        <v>-</v>
      </c>
      <c r="I18" s="25" t="str">
        <f>IF('Residual-Rostered'!J7=0,"-",'Residual-Rostered'!J7)</f>
        <v>-</v>
      </c>
      <c r="J18" s="25" t="str">
        <f>IF('Residual-Rostered'!K7=0,"-",'Residual-Rostered'!K7)</f>
        <v>0/ 0</v>
      </c>
      <c r="K18" s="25" t="str">
        <f>IF('Residual-Rostered'!L7=0,"-",'Residual-Rostered'!L7)</f>
        <v>-</v>
      </c>
      <c r="L18" s="25" t="str">
        <f>IF('Residual-Rostered'!M7=0,"-",'Residual-Rostered'!M7)</f>
        <v>-</v>
      </c>
      <c r="M18" s="25" t="str">
        <f>IF('Residual-Rostered'!N7=0,"-",'Residual-Rostered'!N7)</f>
        <v>0/ 0</v>
      </c>
      <c r="N18" s="25" t="str">
        <f>IF('Residual-Rostered'!O7=0,"-",'Residual-Rostered'!O7)</f>
        <v>-</v>
      </c>
      <c r="O18" s="25" t="str">
        <f>IF('Residual-Rostered'!P7=0,"-",'Residual-Rostered'!P7)</f>
        <v>-</v>
      </c>
      <c r="P18" s="25" t="str">
        <f>IF('Residual-Rostered'!Q7=0,"-",'Residual-Rostered'!Q7)</f>
        <v>0/ 0</v>
      </c>
      <c r="Q18" s="25" t="str">
        <f>IF('Residual-Rostered'!R7=0,"-",'Residual-Rostered'!R7)</f>
        <v>-</v>
      </c>
      <c r="R18" s="25" t="str">
        <f>IF('Residual-Rostered'!S7=0,"-",'Residual-Rostered'!S7)</f>
        <v>-</v>
      </c>
      <c r="S18" s="25" t="str">
        <f>IF('Residual-Rostered'!T7=0,"-",'Residual-Rostered'!T7)</f>
        <v>-</v>
      </c>
      <c r="T18" s="25" t="str">
        <f>IF('Residual-Rostered'!U7=0,"-",'Residual-Rostered'!U7)</f>
        <v>-</v>
      </c>
      <c r="U18" s="25" t="str">
        <f>IF('Residual-Rostered'!V7=0,"-",'Residual-Rostered'!V7)</f>
        <v>-</v>
      </c>
      <c r="V18" s="25" t="str">
        <f>IF('Residual-Rostered'!W7=0,"-",'Residual-Rostered'!W7)</f>
        <v>-</v>
      </c>
      <c r="W18" s="25" t="str">
        <f>IF('Residual-Rostered'!X7=0,"-",'Residual-Rostered'!X7)</f>
        <v>-</v>
      </c>
      <c r="X18" s="25" t="str">
        <f>IF('Residual-Rostered'!Y7=0,"-",'Residual-Rostered'!Y7)</f>
        <v>-</v>
      </c>
      <c r="Y18" s="25" t="str">
        <f>IF('Residual-Rostered'!Z7=0,"-",'Residual-Rostered'!Z7)</f>
        <v>0/ 0</v>
      </c>
      <c r="Z18" s="25" t="str">
        <f>IF('Residual-Rostered'!AA7=0,"-",'Residual-Rostered'!AA7)</f>
        <v>-</v>
      </c>
      <c r="AA18" s="25" t="str">
        <f>IF('Residual-Rostered'!AB7=0,"-",'Residual-Rostered'!AB7)</f>
        <v>-</v>
      </c>
      <c r="AB18" s="25" t="str">
        <f>IF('Residual-Rostered'!AC7=0,"-",'Residual-Rostered'!AC7)</f>
        <v>0/ 0</v>
      </c>
      <c r="AC18" s="25" t="str">
        <f>IF('Residual-Rostered'!AD7=0,"-",'Residual-Rostered'!AD7)</f>
        <v>-</v>
      </c>
      <c r="AD18" s="25" t="str">
        <f>IF('Residual-Rostered'!AE7=0,"-",'Residual-Rostered'!AE7)</f>
        <v>-</v>
      </c>
      <c r="AE18" s="25" t="str">
        <f>IF('Residual-Rostered'!AF7=0,"-",'Residual-Rostered'!AF7)</f>
        <v>0/ 0</v>
      </c>
      <c r="AF18" s="25" t="str">
        <f>IF('Residual-Rostered'!AG7=0,"-",'Residual-Rostered'!AG7)</f>
        <v>-</v>
      </c>
      <c r="AG18" s="25" t="str">
        <f>IF('Residual-Rostered'!AH7=0,"-",'Residual-Rostered'!AH7)</f>
        <v>-</v>
      </c>
      <c r="AH18" s="25" t="str">
        <f>IF('Residual-Rostered'!AI7=0,"-",'Residual-Rostered'!AI7)</f>
        <v>0/ 0</v>
      </c>
      <c r="AI18" s="25" t="str">
        <f>IF('Residual-Rostered'!AJ7=0,"-",'Residual-Rostered'!AJ7)</f>
        <v>-</v>
      </c>
      <c r="AJ18" s="25" t="str">
        <f>IF('Residual-Rostered'!AK7=0,"-",'Residual-Rostered'!AK7)</f>
        <v>-</v>
      </c>
      <c r="AK18" s="25" t="str">
        <f>IF('Residual-Rostered'!AL7=0,"-",'Residual-Rostered'!AL7)</f>
        <v>0/ 0</v>
      </c>
      <c r="AL18" s="25" t="str">
        <f>IF('Residual-Rostered'!AM7=0,"-",'Residual-Rostered'!AM7)</f>
        <v>-</v>
      </c>
      <c r="AM18" s="25" t="str">
        <f>IF('Residual-Rostered'!AN7=0,"-",'Residual-Rostered'!AN7)</f>
        <v>-</v>
      </c>
      <c r="AN18" s="25" t="str">
        <f>IF('Residual-Rostered'!AO7=0,"-",'Residual-Rostered'!AO7)</f>
        <v>-</v>
      </c>
      <c r="AO18" s="25" t="str">
        <f>IF('Residual-Rostered'!AP7=0,"-",'Residual-Rostered'!AP7)</f>
        <v>-</v>
      </c>
      <c r="AP18" s="25" t="str">
        <f>IF('Residual-Rostered'!AQ7=0,"-",'Residual-Rostered'!AQ7)</f>
        <v>-</v>
      </c>
      <c r="AQ18" s="25" t="str">
        <f>IF('Residual-Rostered'!AR7=0,"-",'Residual-Rostered'!AR7)</f>
        <v>-</v>
      </c>
      <c r="AR18" s="25" t="str">
        <f>IF('Residual-Rostered'!AS7=0,"-",'Residual-Rostered'!AS7)</f>
        <v>-</v>
      </c>
      <c r="AS18" s="25" t="str">
        <f>IF('Residual-Rostered'!AT7=0,"-",'Residual-Rostered'!AT7)</f>
        <v>-</v>
      </c>
    </row>
    <row r="19" spans="1:47" x14ac:dyDescent="0.25">
      <c r="A19" s="25" t="str">
        <f>'Residual-Rostered'!A8</f>
        <v>MAIT</v>
      </c>
      <c r="B19" s="25" t="str">
        <f>'Residual-Rostered'!B8</f>
        <v>Kochukanjirathinkal, Mathew</v>
      </c>
      <c r="C19" s="25" t="str">
        <f>'Residual-Rostered'!C8</f>
        <v>Registered Nurse</v>
      </c>
      <c r="D19" s="25" t="str">
        <f>IF('Residual-Rostered'!E8=0,"-",'Residual-Rostered'!E8)</f>
        <v>-</v>
      </c>
      <c r="E19" s="25" t="str">
        <f>IF('Residual-Rostered'!F8=0,"-",'Residual-Rostered'!F8)</f>
        <v>0/ 0</v>
      </c>
      <c r="F19" s="25" t="str">
        <f>IF('Residual-Rostered'!G8=0,"-",'Residual-Rostered'!G8)</f>
        <v>-</v>
      </c>
      <c r="G19" s="25" t="str">
        <f>IF('Residual-Rostered'!H8=0,"-",'Residual-Rostered'!H8)</f>
        <v>-</v>
      </c>
      <c r="H19" s="25" t="str">
        <f>IF('Residual-Rostered'!I8=0,"-",'Residual-Rostered'!I8)</f>
        <v>0/ 0</v>
      </c>
      <c r="I19" s="25" t="str">
        <f>IF('Residual-Rostered'!J8=0,"-",'Residual-Rostered'!J8)</f>
        <v>-</v>
      </c>
      <c r="J19" s="25" t="str">
        <f>IF('Residual-Rostered'!K8=0,"-",'Residual-Rostered'!K8)</f>
        <v>-</v>
      </c>
      <c r="K19" s="25" t="str">
        <f>IF('Residual-Rostered'!L8=0,"-",'Residual-Rostered'!L8)</f>
        <v>0/ 0</v>
      </c>
      <c r="L19" s="25" t="str">
        <f>IF('Residual-Rostered'!M8=0,"-",'Residual-Rostered'!M8)</f>
        <v>-</v>
      </c>
      <c r="M19" s="25" t="str">
        <f>IF('Residual-Rostered'!N8=0,"-",'Residual-Rostered'!N8)</f>
        <v>-</v>
      </c>
      <c r="N19" s="25" t="str">
        <f>IF('Residual-Rostered'!O8=0,"-",'Residual-Rostered'!O8)</f>
        <v>0/ 0</v>
      </c>
      <c r="O19" s="25" t="str">
        <f>IF('Residual-Rostered'!P8=0,"-",'Residual-Rostered'!P8)</f>
        <v>-</v>
      </c>
      <c r="P19" s="25" t="str">
        <f>IF('Residual-Rostered'!Q8=0,"-",'Residual-Rostered'!Q8)</f>
        <v>-</v>
      </c>
      <c r="Q19" s="25" t="str">
        <f>IF('Residual-Rostered'!R8=0,"-",'Residual-Rostered'!R8)</f>
        <v>0/ 0</v>
      </c>
      <c r="R19" s="25" t="str">
        <f>IF('Residual-Rostered'!S8=0,"-",'Residual-Rostered'!S8)</f>
        <v>-</v>
      </c>
      <c r="S19" s="25" t="str">
        <f>IF('Residual-Rostered'!T8=0,"-",'Residual-Rostered'!T8)</f>
        <v>-</v>
      </c>
      <c r="T19" s="25" t="str">
        <f>IF('Residual-Rostered'!U8=0,"-",'Residual-Rostered'!U8)</f>
        <v>-</v>
      </c>
      <c r="U19" s="25" t="str">
        <f>IF('Residual-Rostered'!V8=0,"-",'Residual-Rostered'!V8)</f>
        <v>-</v>
      </c>
      <c r="V19" s="25" t="str">
        <f>IF('Residual-Rostered'!W8=0,"-",'Residual-Rostered'!W8)</f>
        <v>-</v>
      </c>
      <c r="W19" s="25" t="str">
        <f>IF('Residual-Rostered'!X8=0,"-",'Residual-Rostered'!X8)</f>
        <v>-</v>
      </c>
      <c r="X19" s="25" t="str">
        <f>IF('Residual-Rostered'!Y8=0,"-",'Residual-Rostered'!Y8)</f>
        <v>-</v>
      </c>
      <c r="Y19" s="25" t="str">
        <f>IF('Residual-Rostered'!Z8=0,"-",'Residual-Rostered'!Z8)</f>
        <v>-</v>
      </c>
      <c r="Z19" s="25" t="str">
        <f>IF('Residual-Rostered'!AA8=0,"-",'Residual-Rostered'!AA8)</f>
        <v>0/ 0</v>
      </c>
      <c r="AA19" s="25" t="str">
        <f>IF('Residual-Rostered'!AB8=0,"-",'Residual-Rostered'!AB8)</f>
        <v>-</v>
      </c>
      <c r="AB19" s="25" t="str">
        <f>IF('Residual-Rostered'!AC8=0,"-",'Residual-Rostered'!AC8)</f>
        <v>-</v>
      </c>
      <c r="AC19" s="25" t="str">
        <f>IF('Residual-Rostered'!AD8=0,"-",'Residual-Rostered'!AD8)</f>
        <v>0/ 0</v>
      </c>
      <c r="AD19" s="25" t="str">
        <f>IF('Residual-Rostered'!AE8=0,"-",'Residual-Rostered'!AE8)</f>
        <v>-</v>
      </c>
      <c r="AE19" s="25" t="str">
        <f>IF('Residual-Rostered'!AF8=0,"-",'Residual-Rostered'!AF8)</f>
        <v>-</v>
      </c>
      <c r="AF19" s="25" t="str">
        <f>IF('Residual-Rostered'!AG8=0,"-",'Residual-Rostered'!AG8)</f>
        <v>0/ 0</v>
      </c>
      <c r="AG19" s="25" t="str">
        <f>IF('Residual-Rostered'!AH8=0,"-",'Residual-Rostered'!AH8)</f>
        <v>-</v>
      </c>
      <c r="AH19" s="25" t="str">
        <f>IF('Residual-Rostered'!AI8=0,"-",'Residual-Rostered'!AI8)</f>
        <v>-</v>
      </c>
      <c r="AI19" s="25" t="str">
        <f>IF('Residual-Rostered'!AJ8=0,"-",'Residual-Rostered'!AJ8)</f>
        <v>0/ 0</v>
      </c>
      <c r="AJ19" s="25" t="str">
        <f>IF('Residual-Rostered'!AK8=0,"-",'Residual-Rostered'!AK8)</f>
        <v>-</v>
      </c>
      <c r="AK19" s="25" t="str">
        <f>IF('Residual-Rostered'!AL8=0,"-",'Residual-Rostered'!AL8)</f>
        <v>-</v>
      </c>
      <c r="AL19" s="25" t="str">
        <f>IF('Residual-Rostered'!AM8=0,"-",'Residual-Rostered'!AM8)</f>
        <v>0/ 0</v>
      </c>
      <c r="AM19" s="25" t="str">
        <f>IF('Residual-Rostered'!AN8=0,"-",'Residual-Rostered'!AN8)</f>
        <v>-</v>
      </c>
      <c r="AN19" s="25" t="str">
        <f>IF('Residual-Rostered'!AO8=0,"-",'Residual-Rostered'!AO8)</f>
        <v>-</v>
      </c>
      <c r="AO19" s="25" t="str">
        <f>IF('Residual-Rostered'!AP8=0,"-",'Residual-Rostered'!AP8)</f>
        <v>-</v>
      </c>
      <c r="AP19" s="25" t="str">
        <f>IF('Residual-Rostered'!AQ8=0,"-",'Residual-Rostered'!AQ8)</f>
        <v>-</v>
      </c>
      <c r="AQ19" s="25" t="str">
        <f>IF('Residual-Rostered'!AR8=0,"-",'Residual-Rostered'!AR8)</f>
        <v>-</v>
      </c>
      <c r="AR19" s="25" t="str">
        <f>IF('Residual-Rostered'!AS8=0,"-",'Residual-Rostered'!AS8)</f>
        <v>-</v>
      </c>
      <c r="AS19" s="25" t="str">
        <f>IF('Residual-Rostered'!AT8=0,"-",'Residual-Rostered'!AT8)</f>
        <v>-</v>
      </c>
    </row>
    <row r="20" spans="1:47" hidden="1" x14ac:dyDescent="0.25">
      <c r="A20" s="25" t="str">
        <f>'Residual-Rostered'!A9</f>
        <v>MAIT</v>
      </c>
      <c r="B20" s="25" t="str">
        <f>'Residual-Rostered'!B9</f>
        <v>Mathew, Christeena</v>
      </c>
      <c r="C20" s="25" t="str">
        <f>'Residual-Rostered'!C9</f>
        <v>Registered Nurse</v>
      </c>
      <c r="D20" s="25" t="str">
        <f>IF('Residual-Rostered'!E9=0,"-",'Residual-Rostered'!E9)</f>
        <v>-</v>
      </c>
      <c r="E20" s="25" t="str">
        <f>IF('Residual-Rostered'!F9=0,"-",'Residual-Rostered'!F9)</f>
        <v>-</v>
      </c>
      <c r="F20" s="25" t="str">
        <f>IF('Residual-Rostered'!G9=0,"-",'Residual-Rostered'!G9)</f>
        <v>-</v>
      </c>
      <c r="G20" s="25" t="str">
        <f>IF('Residual-Rostered'!H9=0,"-",'Residual-Rostered'!H9)</f>
        <v>-</v>
      </c>
      <c r="H20" s="25" t="str">
        <f>IF('Residual-Rostered'!I9=0,"-",'Residual-Rostered'!I9)</f>
        <v>-</v>
      </c>
      <c r="I20" s="25" t="str">
        <f>IF('Residual-Rostered'!J9=0,"-",'Residual-Rostered'!J9)</f>
        <v>-</v>
      </c>
      <c r="J20" s="25" t="str">
        <f>IF('Residual-Rostered'!K9=0,"-",'Residual-Rostered'!K9)</f>
        <v>-</v>
      </c>
      <c r="K20" s="25" t="str">
        <f>IF('Residual-Rostered'!L9=0,"-",'Residual-Rostered'!L9)</f>
        <v>-</v>
      </c>
      <c r="L20" s="25" t="str">
        <f>IF('Residual-Rostered'!M9=0,"-",'Residual-Rostered'!M9)</f>
        <v>-</v>
      </c>
      <c r="M20" s="25" t="str">
        <f>IF('Residual-Rostered'!N9=0,"-",'Residual-Rostered'!N9)</f>
        <v>-</v>
      </c>
      <c r="N20" s="25" t="str">
        <f>IF('Residual-Rostered'!O9=0,"-",'Residual-Rostered'!O9)</f>
        <v>7.6/ 7.4</v>
      </c>
      <c r="O20" s="25" t="str">
        <f>IF('Residual-Rostered'!P9=0,"-",'Residual-Rostered'!P9)</f>
        <v>-</v>
      </c>
      <c r="P20" s="25" t="str">
        <f>IF('Residual-Rostered'!Q9=0,"-",'Residual-Rostered'!Q9)</f>
        <v>-</v>
      </c>
      <c r="Q20" s="25" t="str">
        <f>IF('Residual-Rostered'!R9=0,"-",'Residual-Rostered'!R9)</f>
        <v>7.6/ 7.4</v>
      </c>
      <c r="R20" s="25" t="str">
        <f>IF('Residual-Rostered'!S9=0,"-",'Residual-Rostered'!S9)</f>
        <v>-</v>
      </c>
      <c r="S20" s="25" t="str">
        <f>IF('Residual-Rostered'!T9=0,"-",'Residual-Rostered'!T9)</f>
        <v>-</v>
      </c>
      <c r="T20" s="25" t="str">
        <f>IF('Residual-Rostered'!U9=0,"-",'Residual-Rostered'!U9)</f>
        <v>-</v>
      </c>
      <c r="U20" s="25" t="str">
        <f>IF('Residual-Rostered'!V9=0,"-",'Residual-Rostered'!V9)</f>
        <v>-</v>
      </c>
      <c r="V20" s="25" t="str">
        <f>IF('Residual-Rostered'!W9=0,"-",'Residual-Rostered'!W9)</f>
        <v>7.6/ 7.2</v>
      </c>
      <c r="W20" s="25" t="str">
        <f>IF('Residual-Rostered'!X9=0,"-",'Residual-Rostered'!X9)</f>
        <v>-</v>
      </c>
      <c r="X20" s="25" t="str">
        <f>IF('Residual-Rostered'!Y9=0,"-",'Residual-Rostered'!Y9)</f>
        <v>-</v>
      </c>
      <c r="Y20" s="25" t="str">
        <f>IF('Residual-Rostered'!Z9=0,"-",'Residual-Rostered'!Z9)</f>
        <v>-</v>
      </c>
      <c r="Z20" s="25" t="str">
        <f>IF('Residual-Rostered'!AA9=0,"-",'Residual-Rostered'!AA9)</f>
        <v>-</v>
      </c>
      <c r="AA20" s="25" t="str">
        <f>IF('Residual-Rostered'!AB9=0,"-",'Residual-Rostered'!AB9)</f>
        <v>-</v>
      </c>
      <c r="AB20" s="25" t="str">
        <f>IF('Residual-Rostered'!AC9=0,"-",'Residual-Rostered'!AC9)</f>
        <v>-</v>
      </c>
      <c r="AC20" s="25" t="str">
        <f>IF('Residual-Rostered'!AD9=0,"-",'Residual-Rostered'!AD9)</f>
        <v>-</v>
      </c>
      <c r="AD20" s="25" t="str">
        <f>IF('Residual-Rostered'!AE9=0,"-",'Residual-Rostered'!AE9)</f>
        <v>-</v>
      </c>
      <c r="AE20" s="25" t="str">
        <f>IF('Residual-Rostered'!AF9=0,"-",'Residual-Rostered'!AF9)</f>
        <v>-</v>
      </c>
      <c r="AF20" s="25" t="str">
        <f>IF('Residual-Rostered'!AG9=0,"-",'Residual-Rostered'!AG9)</f>
        <v>-</v>
      </c>
      <c r="AG20" s="25" t="str">
        <f>IF('Residual-Rostered'!AH9=0,"-",'Residual-Rostered'!AH9)</f>
        <v>-</v>
      </c>
      <c r="AH20" s="25" t="str">
        <f>IF('Residual-Rostered'!AI9=0,"-",'Residual-Rostered'!AI9)</f>
        <v>-</v>
      </c>
      <c r="AI20" s="25" t="str">
        <f>IF('Residual-Rostered'!AJ9=0,"-",'Residual-Rostered'!AJ9)</f>
        <v>-</v>
      </c>
      <c r="AJ20" s="25" t="str">
        <f>IF('Residual-Rostered'!AK9=0,"-",'Residual-Rostered'!AK9)</f>
        <v>-</v>
      </c>
      <c r="AK20" s="25" t="str">
        <f>IF('Residual-Rostered'!AL9=0,"-",'Residual-Rostered'!AL9)</f>
        <v>-</v>
      </c>
      <c r="AL20" s="25" t="str">
        <f>IF('Residual-Rostered'!AM9=0,"-",'Residual-Rostered'!AM9)</f>
        <v>-</v>
      </c>
      <c r="AM20" s="25" t="str">
        <f>IF('Residual-Rostered'!AN9=0,"-",'Residual-Rostered'!AN9)</f>
        <v>-</v>
      </c>
      <c r="AN20" s="25" t="str">
        <f>IF('Residual-Rostered'!AO9=0,"-",'Residual-Rostered'!AO9)</f>
        <v>-</v>
      </c>
      <c r="AO20" s="25" t="str">
        <f>IF('Residual-Rostered'!AP9=0,"-",'Residual-Rostered'!AP9)</f>
        <v>-</v>
      </c>
      <c r="AP20" s="25" t="str">
        <f>IF('Residual-Rostered'!AQ9=0,"-",'Residual-Rostered'!AQ9)</f>
        <v>-</v>
      </c>
      <c r="AQ20" s="25" t="str">
        <f>IF('Residual-Rostered'!AR9=0,"-",'Residual-Rostered'!AR9)</f>
        <v>-</v>
      </c>
      <c r="AR20" s="25" t="str">
        <f>IF('Residual-Rostered'!AS9=0,"-",'Residual-Rostered'!AS9)</f>
        <v>-</v>
      </c>
      <c r="AS20" s="25" t="str">
        <f>IF('Residual-Rostered'!AT9=0,"-",'Residual-Rostered'!AT9)</f>
        <v>-</v>
      </c>
    </row>
    <row r="21" spans="1:47" x14ac:dyDescent="0.25">
      <c r="A21" s="25" t="e">
        <f>'Residual-Rostered'!#REF!</f>
        <v>#REF!</v>
      </c>
      <c r="B21" s="25" t="e">
        <f>'Residual-Rostered'!#REF!</f>
        <v>#REF!</v>
      </c>
      <c r="C21" s="25" t="e">
        <f>'Residual-Rostered'!#REF!</f>
        <v>#REF!</v>
      </c>
      <c r="D21" s="25" t="e">
        <f>IF('Residual-Rostered'!#REF!=0,"-",'Residual-Rostered'!#REF!)</f>
        <v>#REF!</v>
      </c>
      <c r="E21" s="25" t="e">
        <f>IF('Residual-Rostered'!#REF!=0,"-",'Residual-Rostered'!#REF!)</f>
        <v>#REF!</v>
      </c>
      <c r="F21" s="25" t="e">
        <f>IF('Residual-Rostered'!#REF!=0,"-",'Residual-Rostered'!#REF!)</f>
        <v>#REF!</v>
      </c>
      <c r="G21" s="25" t="e">
        <f>IF('Residual-Rostered'!#REF!=0,"-",'Residual-Rostered'!#REF!)</f>
        <v>#REF!</v>
      </c>
      <c r="H21" s="25" t="e">
        <f>IF('Residual-Rostered'!#REF!=0,"-",'Residual-Rostered'!#REF!)</f>
        <v>#REF!</v>
      </c>
      <c r="I21" s="25" t="e">
        <f>IF('Residual-Rostered'!#REF!=0,"-",'Residual-Rostered'!#REF!)</f>
        <v>#REF!</v>
      </c>
      <c r="J21" s="25" t="e">
        <f>IF('Residual-Rostered'!#REF!=0,"-",'Residual-Rostered'!#REF!)</f>
        <v>#REF!</v>
      </c>
      <c r="K21" s="25" t="e">
        <f>IF('Residual-Rostered'!#REF!=0,"-",'Residual-Rostered'!#REF!)</f>
        <v>#REF!</v>
      </c>
      <c r="L21" s="25" t="e">
        <f>IF('Residual-Rostered'!#REF!=0,"-",'Residual-Rostered'!#REF!)</f>
        <v>#REF!</v>
      </c>
      <c r="M21" s="25" t="e">
        <f>IF('Residual-Rostered'!#REF!=0,"-",'Residual-Rostered'!#REF!)</f>
        <v>#REF!</v>
      </c>
      <c r="N21" s="25" t="e">
        <f>IF('Residual-Rostered'!#REF!=0,"-",'Residual-Rostered'!#REF!)</f>
        <v>#REF!</v>
      </c>
      <c r="O21" s="25" t="e">
        <f>IF('Residual-Rostered'!#REF!=0,"-",'Residual-Rostered'!#REF!)</f>
        <v>#REF!</v>
      </c>
      <c r="P21" s="25" t="e">
        <f>IF('Residual-Rostered'!#REF!=0,"-",'Residual-Rostered'!#REF!)</f>
        <v>#REF!</v>
      </c>
      <c r="Q21" s="25" t="e">
        <f>IF('Residual-Rostered'!#REF!=0,"-",'Residual-Rostered'!#REF!)</f>
        <v>#REF!</v>
      </c>
      <c r="R21" s="25" t="e">
        <f>IF('Residual-Rostered'!#REF!=0,"-",'Residual-Rostered'!#REF!)</f>
        <v>#REF!</v>
      </c>
      <c r="S21" s="25" t="e">
        <f>IF('Residual-Rostered'!#REF!=0,"-",'Residual-Rostered'!#REF!)</f>
        <v>#REF!</v>
      </c>
      <c r="T21" s="25" t="e">
        <f>IF('Residual-Rostered'!#REF!=0,"-",'Residual-Rostered'!#REF!)</f>
        <v>#REF!</v>
      </c>
      <c r="U21" s="25" t="e">
        <f>IF('Residual-Rostered'!#REF!=0,"-",'Residual-Rostered'!#REF!)</f>
        <v>#REF!</v>
      </c>
      <c r="V21" s="25" t="e">
        <f>IF('Residual-Rostered'!#REF!=0,"-",'Residual-Rostered'!#REF!)</f>
        <v>#REF!</v>
      </c>
      <c r="W21" s="25" t="e">
        <f>IF('Residual-Rostered'!#REF!=0,"-",'Residual-Rostered'!#REF!)</f>
        <v>#REF!</v>
      </c>
      <c r="X21" s="25" t="e">
        <f>IF('Residual-Rostered'!#REF!=0,"-",'Residual-Rostered'!#REF!)</f>
        <v>#REF!</v>
      </c>
      <c r="Y21" s="25" t="e">
        <f>IF('Residual-Rostered'!#REF!=0,"-",'Residual-Rostered'!#REF!)</f>
        <v>#REF!</v>
      </c>
      <c r="Z21" s="25" t="e">
        <f>IF('Residual-Rostered'!#REF!=0,"-",'Residual-Rostered'!#REF!)</f>
        <v>#REF!</v>
      </c>
      <c r="AA21" s="25" t="e">
        <f>IF('Residual-Rostered'!#REF!=0,"-",'Residual-Rostered'!#REF!)</f>
        <v>#REF!</v>
      </c>
      <c r="AB21" s="25" t="e">
        <f>IF('Residual-Rostered'!#REF!=0,"-",'Residual-Rostered'!#REF!)</f>
        <v>#REF!</v>
      </c>
      <c r="AC21" s="25" t="e">
        <f>IF('Residual-Rostered'!#REF!=0,"-",'Residual-Rostered'!#REF!)</f>
        <v>#REF!</v>
      </c>
      <c r="AD21" s="25" t="e">
        <f>IF('Residual-Rostered'!#REF!=0,"-",'Residual-Rostered'!#REF!)</f>
        <v>#REF!</v>
      </c>
      <c r="AE21" s="25" t="e">
        <f>IF('Residual-Rostered'!#REF!=0,"-",'Residual-Rostered'!#REF!)</f>
        <v>#REF!</v>
      </c>
      <c r="AF21" s="25" t="e">
        <f>IF('Residual-Rostered'!#REF!=0,"-",'Residual-Rostered'!#REF!)</f>
        <v>#REF!</v>
      </c>
      <c r="AG21" s="25" t="e">
        <f>IF('Residual-Rostered'!#REF!=0,"-",'Residual-Rostered'!#REF!)</f>
        <v>#REF!</v>
      </c>
      <c r="AH21" s="25" t="e">
        <f>IF('Residual-Rostered'!#REF!=0,"-",'Residual-Rostered'!#REF!)</f>
        <v>#REF!</v>
      </c>
      <c r="AI21" s="25" t="e">
        <f>IF('Residual-Rostered'!#REF!=0,"-",'Residual-Rostered'!#REF!)</f>
        <v>#REF!</v>
      </c>
      <c r="AJ21" s="25" t="e">
        <f>IF('Residual-Rostered'!#REF!=0,"-",'Residual-Rostered'!#REF!)</f>
        <v>#REF!</v>
      </c>
      <c r="AK21" s="25" t="e">
        <f>IF('Residual-Rostered'!#REF!=0,"-",'Residual-Rostered'!#REF!)</f>
        <v>#REF!</v>
      </c>
      <c r="AL21" s="25" t="e">
        <f>IF('Residual-Rostered'!#REF!=0,"-",'Residual-Rostered'!#REF!)</f>
        <v>#REF!</v>
      </c>
      <c r="AM21" s="25" t="e">
        <f>IF('Residual-Rostered'!#REF!=0,"-",'Residual-Rostered'!#REF!)</f>
        <v>#REF!</v>
      </c>
      <c r="AN21" s="25" t="e">
        <f>IF('Residual-Rostered'!#REF!=0,"-",'Residual-Rostered'!#REF!)</f>
        <v>#REF!</v>
      </c>
      <c r="AO21" s="25" t="e">
        <f>IF('Residual-Rostered'!#REF!=0,"-",'Residual-Rostered'!#REF!)</f>
        <v>#REF!</v>
      </c>
      <c r="AP21" s="25" t="e">
        <f>IF('Residual-Rostered'!#REF!=0,"-",'Residual-Rostered'!#REF!)</f>
        <v>#REF!</v>
      </c>
      <c r="AQ21" s="25" t="e">
        <f>IF('Residual-Rostered'!#REF!=0,"-",'Residual-Rostered'!#REF!)</f>
        <v>#REF!</v>
      </c>
      <c r="AR21" s="25" t="e">
        <f>IF('Residual-Rostered'!#REF!=0,"-",'Residual-Rostered'!#REF!)</f>
        <v>#REF!</v>
      </c>
      <c r="AS21" s="25" t="e">
        <f>IF('Residual-Rostered'!#REF!=0,"-",'Residual-Rostered'!#REF!)</f>
        <v>#REF!</v>
      </c>
    </row>
    <row r="22" spans="1:47" x14ac:dyDescent="0.25">
      <c r="A22" s="25" t="e">
        <f>'Residual-Rostered'!#REF!</f>
        <v>#REF!</v>
      </c>
      <c r="B22" s="25" t="e">
        <f>'Residual-Rostered'!#REF!</f>
        <v>#REF!</v>
      </c>
      <c r="C22" s="25" t="e">
        <f>'Residual-Rostered'!#REF!</f>
        <v>#REF!</v>
      </c>
      <c r="D22" s="25" t="e">
        <f>IF('Residual-Rostered'!#REF!=0,"-",'Residual-Rostered'!#REF!)</f>
        <v>#REF!</v>
      </c>
      <c r="E22" s="25" t="e">
        <f>IF('Residual-Rostered'!#REF!=0,"-",'Residual-Rostered'!#REF!)</f>
        <v>#REF!</v>
      </c>
      <c r="F22" s="25" t="e">
        <f>IF('Residual-Rostered'!#REF!=0,"-",'Residual-Rostered'!#REF!)</f>
        <v>#REF!</v>
      </c>
      <c r="G22" s="25" t="e">
        <f>IF('Residual-Rostered'!#REF!=0,"-",'Residual-Rostered'!#REF!)</f>
        <v>#REF!</v>
      </c>
      <c r="H22" s="25" t="e">
        <f>IF('Residual-Rostered'!#REF!=0,"-",'Residual-Rostered'!#REF!)</f>
        <v>#REF!</v>
      </c>
      <c r="I22" s="25" t="e">
        <f>IF('Residual-Rostered'!#REF!=0,"-",'Residual-Rostered'!#REF!)</f>
        <v>#REF!</v>
      </c>
      <c r="J22" s="25" t="e">
        <f>IF('Residual-Rostered'!#REF!=0,"-",'Residual-Rostered'!#REF!)</f>
        <v>#REF!</v>
      </c>
      <c r="K22" s="25" t="e">
        <f>IF('Residual-Rostered'!#REF!=0,"-",'Residual-Rostered'!#REF!)</f>
        <v>#REF!</v>
      </c>
      <c r="L22" s="25" t="e">
        <f>IF('Residual-Rostered'!#REF!=0,"-",'Residual-Rostered'!#REF!)</f>
        <v>#REF!</v>
      </c>
      <c r="M22" s="25" t="e">
        <f>IF('Residual-Rostered'!#REF!=0,"-",'Residual-Rostered'!#REF!)</f>
        <v>#REF!</v>
      </c>
      <c r="N22" s="25" t="e">
        <f>IF('Residual-Rostered'!#REF!=0,"-",'Residual-Rostered'!#REF!)</f>
        <v>#REF!</v>
      </c>
      <c r="O22" s="25" t="e">
        <f>IF('Residual-Rostered'!#REF!=0,"-",'Residual-Rostered'!#REF!)</f>
        <v>#REF!</v>
      </c>
      <c r="P22" s="25" t="e">
        <f>IF('Residual-Rostered'!#REF!=0,"-",'Residual-Rostered'!#REF!)</f>
        <v>#REF!</v>
      </c>
      <c r="Q22" s="25" t="e">
        <f>IF('Residual-Rostered'!#REF!=0,"-",'Residual-Rostered'!#REF!)</f>
        <v>#REF!</v>
      </c>
      <c r="R22" s="25" t="e">
        <f>IF('Residual-Rostered'!#REF!=0,"-",'Residual-Rostered'!#REF!)</f>
        <v>#REF!</v>
      </c>
      <c r="S22" s="25" t="e">
        <f>IF('Residual-Rostered'!#REF!=0,"-",'Residual-Rostered'!#REF!)</f>
        <v>#REF!</v>
      </c>
      <c r="T22" s="25" t="e">
        <f>IF('Residual-Rostered'!#REF!=0,"-",'Residual-Rostered'!#REF!)</f>
        <v>#REF!</v>
      </c>
      <c r="U22" s="25" t="e">
        <f>IF('Residual-Rostered'!#REF!=0,"-",'Residual-Rostered'!#REF!)</f>
        <v>#REF!</v>
      </c>
      <c r="V22" s="25" t="e">
        <f>IF('Residual-Rostered'!#REF!=0,"-",'Residual-Rostered'!#REF!)</f>
        <v>#REF!</v>
      </c>
      <c r="W22" s="25" t="e">
        <f>IF('Residual-Rostered'!#REF!=0,"-",'Residual-Rostered'!#REF!)</f>
        <v>#REF!</v>
      </c>
      <c r="X22" s="25" t="e">
        <f>IF('Residual-Rostered'!#REF!=0,"-",'Residual-Rostered'!#REF!)</f>
        <v>#REF!</v>
      </c>
      <c r="Y22" s="25" t="e">
        <f>IF('Residual-Rostered'!#REF!=0,"-",'Residual-Rostered'!#REF!)</f>
        <v>#REF!</v>
      </c>
      <c r="Z22" s="25" t="e">
        <f>IF('Residual-Rostered'!#REF!=0,"-",'Residual-Rostered'!#REF!)</f>
        <v>#REF!</v>
      </c>
      <c r="AA22" s="25" t="e">
        <f>IF('Residual-Rostered'!#REF!=0,"-",'Residual-Rostered'!#REF!)</f>
        <v>#REF!</v>
      </c>
      <c r="AB22" s="25" t="e">
        <f>IF('Residual-Rostered'!#REF!=0,"-",'Residual-Rostered'!#REF!)</f>
        <v>#REF!</v>
      </c>
      <c r="AC22" s="25" t="e">
        <f>IF('Residual-Rostered'!#REF!=0,"-",'Residual-Rostered'!#REF!)</f>
        <v>#REF!</v>
      </c>
      <c r="AD22" s="25" t="e">
        <f>IF('Residual-Rostered'!#REF!=0,"-",'Residual-Rostered'!#REF!)</f>
        <v>#REF!</v>
      </c>
      <c r="AE22" s="25" t="e">
        <f>IF('Residual-Rostered'!#REF!=0,"-",'Residual-Rostered'!#REF!)</f>
        <v>#REF!</v>
      </c>
      <c r="AF22" s="25" t="e">
        <f>IF('Residual-Rostered'!#REF!=0,"-",'Residual-Rostered'!#REF!)</f>
        <v>#REF!</v>
      </c>
      <c r="AG22" s="25" t="e">
        <f>IF('Residual-Rostered'!#REF!=0,"-",'Residual-Rostered'!#REF!)</f>
        <v>#REF!</v>
      </c>
      <c r="AH22" s="25" t="e">
        <f>IF('Residual-Rostered'!#REF!=0,"-",'Residual-Rostered'!#REF!)</f>
        <v>#REF!</v>
      </c>
      <c r="AI22" s="25" t="e">
        <f>IF('Residual-Rostered'!#REF!=0,"-",'Residual-Rostered'!#REF!)</f>
        <v>#REF!</v>
      </c>
      <c r="AJ22" s="25" t="e">
        <f>IF('Residual-Rostered'!#REF!=0,"-",'Residual-Rostered'!#REF!)</f>
        <v>#REF!</v>
      </c>
      <c r="AK22" s="25" t="e">
        <f>IF('Residual-Rostered'!#REF!=0,"-",'Residual-Rostered'!#REF!)</f>
        <v>#REF!</v>
      </c>
      <c r="AL22" s="25" t="e">
        <f>IF('Residual-Rostered'!#REF!=0,"-",'Residual-Rostered'!#REF!)</f>
        <v>#REF!</v>
      </c>
      <c r="AM22" s="25" t="e">
        <f>IF('Residual-Rostered'!#REF!=0,"-",'Residual-Rostered'!#REF!)</f>
        <v>#REF!</v>
      </c>
      <c r="AN22" s="25" t="e">
        <f>IF('Residual-Rostered'!#REF!=0,"-",'Residual-Rostered'!#REF!)</f>
        <v>#REF!</v>
      </c>
      <c r="AO22" s="25" t="e">
        <f>IF('Residual-Rostered'!#REF!=0,"-",'Residual-Rostered'!#REF!)</f>
        <v>#REF!</v>
      </c>
      <c r="AP22" s="25" t="e">
        <f>IF('Residual-Rostered'!#REF!=0,"-",'Residual-Rostered'!#REF!)</f>
        <v>#REF!</v>
      </c>
      <c r="AQ22" s="25" t="e">
        <f>IF('Residual-Rostered'!#REF!=0,"-",'Residual-Rostered'!#REF!)</f>
        <v>#REF!</v>
      </c>
      <c r="AR22" s="25" t="e">
        <f>IF('Residual-Rostered'!#REF!=0,"-",'Residual-Rostered'!#REF!)</f>
        <v>#REF!</v>
      </c>
      <c r="AS22" s="25" t="e">
        <f>IF('Residual-Rostered'!#REF!=0,"-",'Residual-Rostered'!#REF!)</f>
        <v>#REF!</v>
      </c>
    </row>
    <row r="23" spans="1:47" x14ac:dyDescent="0.25">
      <c r="A23" s="25" t="e">
        <f>'Residual-Rostered'!#REF!</f>
        <v>#REF!</v>
      </c>
      <c r="B23" s="25" t="e">
        <f>'Residual-Rostered'!#REF!</f>
        <v>#REF!</v>
      </c>
      <c r="C23" s="25" t="e">
        <f>'Residual-Rostered'!#REF!</f>
        <v>#REF!</v>
      </c>
      <c r="D23" s="25" t="e">
        <f>IF('Residual-Rostered'!#REF!=0,"-",'Residual-Rostered'!#REF!)</f>
        <v>#REF!</v>
      </c>
      <c r="E23" s="25" t="e">
        <f>IF('Residual-Rostered'!#REF!=0,"-",'Residual-Rostered'!#REF!)</f>
        <v>#REF!</v>
      </c>
      <c r="F23" s="25" t="e">
        <f>IF('Residual-Rostered'!#REF!=0,"-",'Residual-Rostered'!#REF!)</f>
        <v>#REF!</v>
      </c>
      <c r="G23" s="25" t="e">
        <f>IF('Residual-Rostered'!#REF!=0,"-",'Residual-Rostered'!#REF!)</f>
        <v>#REF!</v>
      </c>
      <c r="H23" s="25" t="e">
        <f>IF('Residual-Rostered'!#REF!=0,"-",'Residual-Rostered'!#REF!)</f>
        <v>#REF!</v>
      </c>
      <c r="I23" s="25" t="e">
        <f>IF('Residual-Rostered'!#REF!=0,"-",'Residual-Rostered'!#REF!)</f>
        <v>#REF!</v>
      </c>
      <c r="J23" s="25" t="e">
        <f>IF('Residual-Rostered'!#REF!=0,"-",'Residual-Rostered'!#REF!)</f>
        <v>#REF!</v>
      </c>
      <c r="K23" s="25" t="e">
        <f>IF('Residual-Rostered'!#REF!=0,"-",'Residual-Rostered'!#REF!)</f>
        <v>#REF!</v>
      </c>
      <c r="L23" s="25" t="e">
        <f>IF('Residual-Rostered'!#REF!=0,"-",'Residual-Rostered'!#REF!)</f>
        <v>#REF!</v>
      </c>
      <c r="M23" s="25" t="e">
        <f>IF('Residual-Rostered'!#REF!=0,"-",'Residual-Rostered'!#REF!)</f>
        <v>#REF!</v>
      </c>
      <c r="N23" s="25" t="e">
        <f>IF('Residual-Rostered'!#REF!=0,"-",'Residual-Rostered'!#REF!)</f>
        <v>#REF!</v>
      </c>
      <c r="O23" s="25" t="e">
        <f>IF('Residual-Rostered'!#REF!=0,"-",'Residual-Rostered'!#REF!)</f>
        <v>#REF!</v>
      </c>
      <c r="P23" s="25" t="e">
        <f>IF('Residual-Rostered'!#REF!=0,"-",'Residual-Rostered'!#REF!)</f>
        <v>#REF!</v>
      </c>
      <c r="Q23" s="25" t="e">
        <f>IF('Residual-Rostered'!#REF!=0,"-",'Residual-Rostered'!#REF!)</f>
        <v>#REF!</v>
      </c>
      <c r="R23" s="25" t="e">
        <f>IF('Residual-Rostered'!#REF!=0,"-",'Residual-Rostered'!#REF!)</f>
        <v>#REF!</v>
      </c>
      <c r="S23" s="25" t="e">
        <f>IF('Residual-Rostered'!#REF!=0,"-",'Residual-Rostered'!#REF!)</f>
        <v>#REF!</v>
      </c>
      <c r="T23" s="25" t="e">
        <f>IF('Residual-Rostered'!#REF!=0,"-",'Residual-Rostered'!#REF!)</f>
        <v>#REF!</v>
      </c>
      <c r="U23" s="25" t="e">
        <f>IF('Residual-Rostered'!#REF!=0,"-",'Residual-Rostered'!#REF!)</f>
        <v>#REF!</v>
      </c>
      <c r="V23" s="25" t="e">
        <f>IF('Residual-Rostered'!#REF!=0,"-",'Residual-Rostered'!#REF!)</f>
        <v>#REF!</v>
      </c>
      <c r="W23" s="25" t="e">
        <f>IF('Residual-Rostered'!#REF!=0,"-",'Residual-Rostered'!#REF!)</f>
        <v>#REF!</v>
      </c>
      <c r="X23" s="25" t="e">
        <f>IF('Residual-Rostered'!#REF!=0,"-",'Residual-Rostered'!#REF!)</f>
        <v>#REF!</v>
      </c>
      <c r="Y23" s="25" t="e">
        <f>IF('Residual-Rostered'!#REF!=0,"-",'Residual-Rostered'!#REF!)</f>
        <v>#REF!</v>
      </c>
      <c r="Z23" s="25" t="e">
        <f>IF('Residual-Rostered'!#REF!=0,"-",'Residual-Rostered'!#REF!)</f>
        <v>#REF!</v>
      </c>
      <c r="AA23" s="25" t="e">
        <f>IF('Residual-Rostered'!#REF!=0,"-",'Residual-Rostered'!#REF!)</f>
        <v>#REF!</v>
      </c>
      <c r="AB23" s="25" t="e">
        <f>IF('Residual-Rostered'!#REF!=0,"-",'Residual-Rostered'!#REF!)</f>
        <v>#REF!</v>
      </c>
      <c r="AC23" s="25" t="e">
        <f>IF('Residual-Rostered'!#REF!=0,"-",'Residual-Rostered'!#REF!)</f>
        <v>#REF!</v>
      </c>
      <c r="AD23" s="25" t="e">
        <f>IF('Residual-Rostered'!#REF!=0,"-",'Residual-Rostered'!#REF!)</f>
        <v>#REF!</v>
      </c>
      <c r="AE23" s="25" t="e">
        <f>IF('Residual-Rostered'!#REF!=0,"-",'Residual-Rostered'!#REF!)</f>
        <v>#REF!</v>
      </c>
      <c r="AF23" s="25" t="e">
        <f>IF('Residual-Rostered'!#REF!=0,"-",'Residual-Rostered'!#REF!)</f>
        <v>#REF!</v>
      </c>
      <c r="AG23" s="25" t="e">
        <f>IF('Residual-Rostered'!#REF!=0,"-",'Residual-Rostered'!#REF!)</f>
        <v>#REF!</v>
      </c>
      <c r="AH23" s="25" t="e">
        <f>IF('Residual-Rostered'!#REF!=0,"-",'Residual-Rostered'!#REF!)</f>
        <v>#REF!</v>
      </c>
      <c r="AI23" s="25" t="e">
        <f>IF('Residual-Rostered'!#REF!=0,"-",'Residual-Rostered'!#REF!)</f>
        <v>#REF!</v>
      </c>
      <c r="AJ23" s="25" t="e">
        <f>IF('Residual-Rostered'!#REF!=0,"-",'Residual-Rostered'!#REF!)</f>
        <v>#REF!</v>
      </c>
      <c r="AK23" s="25" t="e">
        <f>IF('Residual-Rostered'!#REF!=0,"-",'Residual-Rostered'!#REF!)</f>
        <v>#REF!</v>
      </c>
      <c r="AL23" s="25" t="e">
        <f>IF('Residual-Rostered'!#REF!=0,"-",'Residual-Rostered'!#REF!)</f>
        <v>#REF!</v>
      </c>
      <c r="AM23" s="25" t="e">
        <f>IF('Residual-Rostered'!#REF!=0,"-",'Residual-Rostered'!#REF!)</f>
        <v>#REF!</v>
      </c>
      <c r="AN23" s="25" t="e">
        <f>IF('Residual-Rostered'!#REF!=0,"-",'Residual-Rostered'!#REF!)</f>
        <v>#REF!</v>
      </c>
      <c r="AO23" s="25" t="e">
        <f>IF('Residual-Rostered'!#REF!=0,"-",'Residual-Rostered'!#REF!)</f>
        <v>#REF!</v>
      </c>
      <c r="AP23" s="25" t="e">
        <f>IF('Residual-Rostered'!#REF!=0,"-",'Residual-Rostered'!#REF!)</f>
        <v>#REF!</v>
      </c>
      <c r="AQ23" s="25" t="e">
        <f>IF('Residual-Rostered'!#REF!=0,"-",'Residual-Rostered'!#REF!)</f>
        <v>#REF!</v>
      </c>
      <c r="AR23" s="25" t="e">
        <f>IF('Residual-Rostered'!#REF!=0,"-",'Residual-Rostered'!#REF!)</f>
        <v>#REF!</v>
      </c>
      <c r="AS23" s="25" t="e">
        <f>IF('Residual-Rostered'!#REF!=0,"-",'Residual-Rostered'!#REF!)</f>
        <v>#REF!</v>
      </c>
    </row>
    <row r="24" spans="1:47" x14ac:dyDescent="0.25">
      <c r="A24" s="25" t="e">
        <f>'Residual-Rostered'!#REF!</f>
        <v>#REF!</v>
      </c>
      <c r="B24" s="25" t="e">
        <f>'Residual-Rostered'!#REF!</f>
        <v>#REF!</v>
      </c>
      <c r="C24" s="25" t="e">
        <f>'Residual-Rostered'!#REF!</f>
        <v>#REF!</v>
      </c>
      <c r="D24" s="25" t="e">
        <f>IF('Residual-Rostered'!#REF!=0,"-",'Residual-Rostered'!#REF!)</f>
        <v>#REF!</v>
      </c>
      <c r="E24" s="25" t="e">
        <f>IF('Residual-Rostered'!#REF!=0,"-",'Residual-Rostered'!#REF!)</f>
        <v>#REF!</v>
      </c>
      <c r="F24" s="25" t="e">
        <f>IF('Residual-Rostered'!#REF!=0,"-",'Residual-Rostered'!#REF!)</f>
        <v>#REF!</v>
      </c>
      <c r="G24" s="25" t="e">
        <f>IF('Residual-Rostered'!#REF!=0,"-",'Residual-Rostered'!#REF!)</f>
        <v>#REF!</v>
      </c>
      <c r="H24" s="25" t="e">
        <f>IF('Residual-Rostered'!#REF!=0,"-",'Residual-Rostered'!#REF!)</f>
        <v>#REF!</v>
      </c>
      <c r="I24" s="25" t="e">
        <f>IF('Residual-Rostered'!#REF!=0,"-",'Residual-Rostered'!#REF!)</f>
        <v>#REF!</v>
      </c>
      <c r="J24" s="25" t="e">
        <f>IF('Residual-Rostered'!#REF!=0,"-",'Residual-Rostered'!#REF!)</f>
        <v>#REF!</v>
      </c>
      <c r="K24" s="25" t="e">
        <f>IF('Residual-Rostered'!#REF!=0,"-",'Residual-Rostered'!#REF!)</f>
        <v>#REF!</v>
      </c>
      <c r="L24" s="25" t="e">
        <f>IF('Residual-Rostered'!#REF!=0,"-",'Residual-Rostered'!#REF!)</f>
        <v>#REF!</v>
      </c>
      <c r="M24" s="25" t="e">
        <f>IF('Residual-Rostered'!#REF!=0,"-",'Residual-Rostered'!#REF!)</f>
        <v>#REF!</v>
      </c>
      <c r="N24" s="25" t="e">
        <f>IF('Residual-Rostered'!#REF!=0,"-",'Residual-Rostered'!#REF!)</f>
        <v>#REF!</v>
      </c>
      <c r="O24" s="25" t="e">
        <f>IF('Residual-Rostered'!#REF!=0,"-",'Residual-Rostered'!#REF!)</f>
        <v>#REF!</v>
      </c>
      <c r="P24" s="25" t="e">
        <f>IF('Residual-Rostered'!#REF!=0,"-",'Residual-Rostered'!#REF!)</f>
        <v>#REF!</v>
      </c>
      <c r="Q24" s="25" t="e">
        <f>IF('Residual-Rostered'!#REF!=0,"-",'Residual-Rostered'!#REF!)</f>
        <v>#REF!</v>
      </c>
      <c r="R24" s="25" t="e">
        <f>IF('Residual-Rostered'!#REF!=0,"-",'Residual-Rostered'!#REF!)</f>
        <v>#REF!</v>
      </c>
      <c r="S24" s="25" t="e">
        <f>IF('Residual-Rostered'!#REF!=0,"-",'Residual-Rostered'!#REF!)</f>
        <v>#REF!</v>
      </c>
      <c r="T24" s="25" t="e">
        <f>IF('Residual-Rostered'!#REF!=0,"-",'Residual-Rostered'!#REF!)</f>
        <v>#REF!</v>
      </c>
      <c r="U24" s="25" t="e">
        <f>IF('Residual-Rostered'!#REF!=0,"-",'Residual-Rostered'!#REF!)</f>
        <v>#REF!</v>
      </c>
      <c r="V24" s="25" t="e">
        <f>IF('Residual-Rostered'!#REF!=0,"-",'Residual-Rostered'!#REF!)</f>
        <v>#REF!</v>
      </c>
      <c r="W24" s="25" t="e">
        <f>IF('Residual-Rostered'!#REF!=0,"-",'Residual-Rostered'!#REF!)</f>
        <v>#REF!</v>
      </c>
      <c r="X24" s="25" t="e">
        <f>IF('Residual-Rostered'!#REF!=0,"-",'Residual-Rostered'!#REF!)</f>
        <v>#REF!</v>
      </c>
      <c r="Y24" s="25" t="e">
        <f>IF('Residual-Rostered'!#REF!=0,"-",'Residual-Rostered'!#REF!)</f>
        <v>#REF!</v>
      </c>
      <c r="Z24" s="25" t="e">
        <f>IF('Residual-Rostered'!#REF!=0,"-",'Residual-Rostered'!#REF!)</f>
        <v>#REF!</v>
      </c>
      <c r="AA24" s="25" t="e">
        <f>IF('Residual-Rostered'!#REF!=0,"-",'Residual-Rostered'!#REF!)</f>
        <v>#REF!</v>
      </c>
      <c r="AB24" s="25" t="e">
        <f>IF('Residual-Rostered'!#REF!=0,"-",'Residual-Rostered'!#REF!)</f>
        <v>#REF!</v>
      </c>
      <c r="AC24" s="25" t="e">
        <f>IF('Residual-Rostered'!#REF!=0,"-",'Residual-Rostered'!#REF!)</f>
        <v>#REF!</v>
      </c>
      <c r="AD24" s="25" t="e">
        <f>IF('Residual-Rostered'!#REF!=0,"-",'Residual-Rostered'!#REF!)</f>
        <v>#REF!</v>
      </c>
      <c r="AE24" s="25" t="e">
        <f>IF('Residual-Rostered'!#REF!=0,"-",'Residual-Rostered'!#REF!)</f>
        <v>#REF!</v>
      </c>
      <c r="AF24" s="25" t="e">
        <f>IF('Residual-Rostered'!#REF!=0,"-",'Residual-Rostered'!#REF!)</f>
        <v>#REF!</v>
      </c>
      <c r="AG24" s="25" t="e">
        <f>IF('Residual-Rostered'!#REF!=0,"-",'Residual-Rostered'!#REF!)</f>
        <v>#REF!</v>
      </c>
      <c r="AH24" s="25" t="e">
        <f>IF('Residual-Rostered'!#REF!=0,"-",'Residual-Rostered'!#REF!)</f>
        <v>#REF!</v>
      </c>
      <c r="AI24" s="25" t="e">
        <f>IF('Residual-Rostered'!#REF!=0,"-",'Residual-Rostered'!#REF!)</f>
        <v>#REF!</v>
      </c>
      <c r="AJ24" s="25" t="e">
        <f>IF('Residual-Rostered'!#REF!=0,"-",'Residual-Rostered'!#REF!)</f>
        <v>#REF!</v>
      </c>
      <c r="AK24" s="25" t="e">
        <f>IF('Residual-Rostered'!#REF!=0,"-",'Residual-Rostered'!#REF!)</f>
        <v>#REF!</v>
      </c>
      <c r="AL24" s="25" t="e">
        <f>IF('Residual-Rostered'!#REF!=0,"-",'Residual-Rostered'!#REF!)</f>
        <v>#REF!</v>
      </c>
      <c r="AM24" s="25" t="e">
        <f>IF('Residual-Rostered'!#REF!=0,"-",'Residual-Rostered'!#REF!)</f>
        <v>#REF!</v>
      </c>
      <c r="AN24" s="25" t="e">
        <f>IF('Residual-Rostered'!#REF!=0,"-",'Residual-Rostered'!#REF!)</f>
        <v>#REF!</v>
      </c>
      <c r="AO24" s="25" t="e">
        <f>IF('Residual-Rostered'!#REF!=0,"-",'Residual-Rostered'!#REF!)</f>
        <v>#REF!</v>
      </c>
      <c r="AP24" s="25" t="e">
        <f>IF('Residual-Rostered'!#REF!=0,"-",'Residual-Rostered'!#REF!)</f>
        <v>#REF!</v>
      </c>
      <c r="AQ24" s="25" t="e">
        <f>IF('Residual-Rostered'!#REF!=0,"-",'Residual-Rostered'!#REF!)</f>
        <v>#REF!</v>
      </c>
      <c r="AR24" s="25" t="e">
        <f>IF('Residual-Rostered'!#REF!=0,"-",'Residual-Rostered'!#REF!)</f>
        <v>#REF!</v>
      </c>
      <c r="AS24" s="25" t="e">
        <f>IF('Residual-Rostered'!#REF!=0,"-",'Residual-Rostered'!#REF!)</f>
        <v>#REF!</v>
      </c>
    </row>
    <row r="25" spans="1:47" ht="17.25" customHeight="1" x14ac:dyDescent="0.25">
      <c r="A25" s="25" t="e">
        <f>'Residual-Rostered'!#REF!</f>
        <v>#REF!</v>
      </c>
      <c r="B25" s="25" t="e">
        <f>'Residual-Rostered'!#REF!</f>
        <v>#REF!</v>
      </c>
      <c r="C25" s="25" t="e">
        <f>'Residual-Rostered'!#REF!</f>
        <v>#REF!</v>
      </c>
      <c r="D25" s="25" t="e">
        <f>IF('Residual-Rostered'!#REF!=0,"-",'Residual-Rostered'!#REF!)</f>
        <v>#REF!</v>
      </c>
      <c r="E25" s="25" t="e">
        <f>IF('Residual-Rostered'!#REF!=0,"-",'Residual-Rostered'!#REF!)</f>
        <v>#REF!</v>
      </c>
      <c r="F25" s="25" t="e">
        <f>IF('Residual-Rostered'!#REF!=0,"-",'Residual-Rostered'!#REF!)</f>
        <v>#REF!</v>
      </c>
      <c r="G25" s="25" t="e">
        <f>IF('Residual-Rostered'!#REF!=0,"-",'Residual-Rostered'!#REF!)</f>
        <v>#REF!</v>
      </c>
      <c r="H25" s="25" t="e">
        <f>IF('Residual-Rostered'!#REF!=0,"-",'Residual-Rostered'!#REF!)</f>
        <v>#REF!</v>
      </c>
      <c r="I25" s="25" t="e">
        <f>IF('Residual-Rostered'!#REF!=0,"-",'Residual-Rostered'!#REF!)</f>
        <v>#REF!</v>
      </c>
      <c r="J25" s="25" t="e">
        <f>IF('Residual-Rostered'!#REF!=0,"-",'Residual-Rostered'!#REF!)</f>
        <v>#REF!</v>
      </c>
      <c r="K25" s="25" t="e">
        <f>IF('Residual-Rostered'!#REF!=0,"-",'Residual-Rostered'!#REF!)</f>
        <v>#REF!</v>
      </c>
      <c r="L25" s="25" t="e">
        <f>IF('Residual-Rostered'!#REF!=0,"-",'Residual-Rostered'!#REF!)</f>
        <v>#REF!</v>
      </c>
      <c r="M25" s="25" t="e">
        <f>IF('Residual-Rostered'!#REF!=0,"-",'Residual-Rostered'!#REF!)</f>
        <v>#REF!</v>
      </c>
      <c r="N25" s="25" t="e">
        <f>IF('Residual-Rostered'!#REF!=0,"-",'Residual-Rostered'!#REF!)</f>
        <v>#REF!</v>
      </c>
      <c r="O25" s="25" t="e">
        <f>IF('Residual-Rostered'!#REF!=0,"-",'Residual-Rostered'!#REF!)</f>
        <v>#REF!</v>
      </c>
      <c r="P25" s="25" t="e">
        <f>IF('Residual-Rostered'!#REF!=0,"-",'Residual-Rostered'!#REF!)</f>
        <v>#REF!</v>
      </c>
      <c r="Q25" s="25" t="e">
        <f>IF('Residual-Rostered'!#REF!=0,"-",'Residual-Rostered'!#REF!)</f>
        <v>#REF!</v>
      </c>
      <c r="R25" s="25" t="e">
        <f>IF('Residual-Rostered'!#REF!=0,"-",'Residual-Rostered'!#REF!)</f>
        <v>#REF!</v>
      </c>
      <c r="S25" s="25" t="e">
        <f>IF('Residual-Rostered'!#REF!=0,"-",'Residual-Rostered'!#REF!)</f>
        <v>#REF!</v>
      </c>
      <c r="T25" s="25" t="e">
        <f>IF('Residual-Rostered'!#REF!=0,"-",'Residual-Rostered'!#REF!)</f>
        <v>#REF!</v>
      </c>
      <c r="U25" s="25" t="e">
        <f>IF('Residual-Rostered'!#REF!=0,"-",'Residual-Rostered'!#REF!)</f>
        <v>#REF!</v>
      </c>
      <c r="V25" s="25" t="e">
        <f>IF('Residual-Rostered'!#REF!=0,"-",'Residual-Rostered'!#REF!)</f>
        <v>#REF!</v>
      </c>
      <c r="W25" s="25" t="e">
        <f>IF('Residual-Rostered'!#REF!=0,"-",'Residual-Rostered'!#REF!)</f>
        <v>#REF!</v>
      </c>
      <c r="X25" s="25" t="e">
        <f>IF('Residual-Rostered'!#REF!=0,"-",'Residual-Rostered'!#REF!)</f>
        <v>#REF!</v>
      </c>
      <c r="Y25" s="25" t="e">
        <f>IF('Residual-Rostered'!#REF!=0,"-",'Residual-Rostered'!#REF!)</f>
        <v>#REF!</v>
      </c>
      <c r="Z25" s="25" t="e">
        <f>IF('Residual-Rostered'!#REF!=0,"-",'Residual-Rostered'!#REF!)</f>
        <v>#REF!</v>
      </c>
      <c r="AA25" s="25" t="e">
        <f>IF('Residual-Rostered'!#REF!=0,"-",'Residual-Rostered'!#REF!)</f>
        <v>#REF!</v>
      </c>
      <c r="AB25" s="25" t="e">
        <f>IF('Residual-Rostered'!#REF!=0,"-",'Residual-Rostered'!#REF!)</f>
        <v>#REF!</v>
      </c>
      <c r="AC25" s="25" t="e">
        <f>IF('Residual-Rostered'!#REF!=0,"-",'Residual-Rostered'!#REF!)</f>
        <v>#REF!</v>
      </c>
      <c r="AD25" s="25" t="e">
        <f>IF('Residual-Rostered'!#REF!=0,"-",'Residual-Rostered'!#REF!)</f>
        <v>#REF!</v>
      </c>
      <c r="AE25" s="25" t="e">
        <f>IF('Residual-Rostered'!#REF!=0,"-",'Residual-Rostered'!#REF!)</f>
        <v>#REF!</v>
      </c>
      <c r="AF25" s="25" t="e">
        <f>IF('Residual-Rostered'!#REF!=0,"-",'Residual-Rostered'!#REF!)</f>
        <v>#REF!</v>
      </c>
      <c r="AG25" s="25" t="e">
        <f>IF('Residual-Rostered'!#REF!=0,"-",'Residual-Rostered'!#REF!)</f>
        <v>#REF!</v>
      </c>
      <c r="AH25" s="25" t="e">
        <f>IF('Residual-Rostered'!#REF!=0,"-",'Residual-Rostered'!#REF!)</f>
        <v>#REF!</v>
      </c>
      <c r="AI25" s="25" t="e">
        <f>IF('Residual-Rostered'!#REF!=0,"-",'Residual-Rostered'!#REF!)</f>
        <v>#REF!</v>
      </c>
      <c r="AJ25" s="25" t="e">
        <f>IF('Residual-Rostered'!#REF!=0,"-",'Residual-Rostered'!#REF!)</f>
        <v>#REF!</v>
      </c>
      <c r="AK25" s="25" t="e">
        <f>IF('Residual-Rostered'!#REF!=0,"-",'Residual-Rostered'!#REF!)</f>
        <v>#REF!</v>
      </c>
      <c r="AL25" s="25" t="e">
        <f>IF('Residual-Rostered'!#REF!=0,"-",'Residual-Rostered'!#REF!)</f>
        <v>#REF!</v>
      </c>
      <c r="AM25" s="25" t="e">
        <f>IF('Residual-Rostered'!#REF!=0,"-",'Residual-Rostered'!#REF!)</f>
        <v>#REF!</v>
      </c>
      <c r="AN25" s="25" t="e">
        <f>IF('Residual-Rostered'!#REF!=0,"-",'Residual-Rostered'!#REF!)</f>
        <v>#REF!</v>
      </c>
      <c r="AO25" s="25" t="e">
        <f>IF('Residual-Rostered'!#REF!=0,"-",'Residual-Rostered'!#REF!)</f>
        <v>#REF!</v>
      </c>
      <c r="AP25" s="25" t="e">
        <f>IF('Residual-Rostered'!#REF!=0,"-",'Residual-Rostered'!#REF!)</f>
        <v>#REF!</v>
      </c>
      <c r="AQ25" s="25" t="e">
        <f>IF('Residual-Rostered'!#REF!=0,"-",'Residual-Rostered'!#REF!)</f>
        <v>#REF!</v>
      </c>
      <c r="AR25" s="25" t="e">
        <f>IF('Residual-Rostered'!#REF!=0,"-",'Residual-Rostered'!#REF!)</f>
        <v>#REF!</v>
      </c>
      <c r="AS25" s="25" t="e">
        <f>IF('Residual-Rostered'!#REF!=0,"-",'Residual-Rostered'!#REF!)</f>
        <v>#REF!</v>
      </c>
      <c r="AU25" s="26"/>
    </row>
    <row r="26" spans="1:47" x14ac:dyDescent="0.25">
      <c r="A26" s="25" t="e">
        <f>'Residual-Rostered'!#REF!</f>
        <v>#REF!</v>
      </c>
      <c r="B26" s="25" t="e">
        <f>'Residual-Rostered'!#REF!</f>
        <v>#REF!</v>
      </c>
      <c r="C26" s="25" t="e">
        <f>'Residual-Rostered'!#REF!</f>
        <v>#REF!</v>
      </c>
      <c r="D26" s="25" t="e">
        <f>IF('Residual-Rostered'!#REF!=0,"-",'Residual-Rostered'!#REF!)</f>
        <v>#REF!</v>
      </c>
      <c r="E26" s="25" t="e">
        <f>IF('Residual-Rostered'!#REF!=0,"-",'Residual-Rostered'!#REF!)</f>
        <v>#REF!</v>
      </c>
      <c r="F26" s="25" t="e">
        <f>IF('Residual-Rostered'!#REF!=0,"-",'Residual-Rostered'!#REF!)</f>
        <v>#REF!</v>
      </c>
      <c r="G26" s="25" t="e">
        <f>IF('Residual-Rostered'!#REF!=0,"-",'Residual-Rostered'!#REF!)</f>
        <v>#REF!</v>
      </c>
      <c r="H26" s="25" t="e">
        <f>IF('Residual-Rostered'!#REF!=0,"-",'Residual-Rostered'!#REF!)</f>
        <v>#REF!</v>
      </c>
      <c r="I26" s="25" t="e">
        <f>IF('Residual-Rostered'!#REF!=0,"-",'Residual-Rostered'!#REF!)</f>
        <v>#REF!</v>
      </c>
      <c r="J26" s="25" t="e">
        <f>IF('Residual-Rostered'!#REF!=0,"-",'Residual-Rostered'!#REF!)</f>
        <v>#REF!</v>
      </c>
      <c r="K26" s="25" t="e">
        <f>IF('Residual-Rostered'!#REF!=0,"-",'Residual-Rostered'!#REF!)</f>
        <v>#REF!</v>
      </c>
      <c r="L26" s="25" t="e">
        <f>IF('Residual-Rostered'!#REF!=0,"-",'Residual-Rostered'!#REF!)</f>
        <v>#REF!</v>
      </c>
      <c r="M26" s="25" t="e">
        <f>IF('Residual-Rostered'!#REF!=0,"-",'Residual-Rostered'!#REF!)</f>
        <v>#REF!</v>
      </c>
      <c r="N26" s="25" t="e">
        <f>IF('Residual-Rostered'!#REF!=0,"-",'Residual-Rostered'!#REF!)</f>
        <v>#REF!</v>
      </c>
      <c r="O26" s="25" t="e">
        <f>IF('Residual-Rostered'!#REF!=0,"-",'Residual-Rostered'!#REF!)</f>
        <v>#REF!</v>
      </c>
      <c r="P26" s="25" t="e">
        <f>IF('Residual-Rostered'!#REF!=0,"-",'Residual-Rostered'!#REF!)</f>
        <v>#REF!</v>
      </c>
      <c r="Q26" s="25" t="e">
        <f>IF('Residual-Rostered'!#REF!=0,"-",'Residual-Rostered'!#REF!)</f>
        <v>#REF!</v>
      </c>
      <c r="R26" s="25" t="e">
        <f>IF('Residual-Rostered'!#REF!=0,"-",'Residual-Rostered'!#REF!)</f>
        <v>#REF!</v>
      </c>
      <c r="S26" s="25" t="e">
        <f>IF('Residual-Rostered'!#REF!=0,"-",'Residual-Rostered'!#REF!)</f>
        <v>#REF!</v>
      </c>
      <c r="T26" s="25" t="e">
        <f>IF('Residual-Rostered'!#REF!=0,"-",'Residual-Rostered'!#REF!)</f>
        <v>#REF!</v>
      </c>
      <c r="U26" s="25" t="e">
        <f>IF('Residual-Rostered'!#REF!=0,"-",'Residual-Rostered'!#REF!)</f>
        <v>#REF!</v>
      </c>
      <c r="V26" s="25" t="e">
        <f>IF('Residual-Rostered'!#REF!=0,"-",'Residual-Rostered'!#REF!)</f>
        <v>#REF!</v>
      </c>
      <c r="W26" s="25" t="e">
        <f>IF('Residual-Rostered'!#REF!=0,"-",'Residual-Rostered'!#REF!)</f>
        <v>#REF!</v>
      </c>
      <c r="X26" s="25" t="e">
        <f>IF('Residual-Rostered'!#REF!=0,"-",'Residual-Rostered'!#REF!)</f>
        <v>#REF!</v>
      </c>
      <c r="Y26" s="25" t="e">
        <f>IF('Residual-Rostered'!#REF!=0,"-",'Residual-Rostered'!#REF!)</f>
        <v>#REF!</v>
      </c>
      <c r="Z26" s="25" t="e">
        <f>IF('Residual-Rostered'!#REF!=0,"-",'Residual-Rostered'!#REF!)</f>
        <v>#REF!</v>
      </c>
      <c r="AA26" s="25" t="e">
        <f>IF('Residual-Rostered'!#REF!=0,"-",'Residual-Rostered'!#REF!)</f>
        <v>#REF!</v>
      </c>
      <c r="AB26" s="25" t="e">
        <f>IF('Residual-Rostered'!#REF!=0,"-",'Residual-Rostered'!#REF!)</f>
        <v>#REF!</v>
      </c>
      <c r="AC26" s="25" t="e">
        <f>IF('Residual-Rostered'!#REF!=0,"-",'Residual-Rostered'!#REF!)</f>
        <v>#REF!</v>
      </c>
      <c r="AD26" s="25" t="e">
        <f>IF('Residual-Rostered'!#REF!=0,"-",'Residual-Rostered'!#REF!)</f>
        <v>#REF!</v>
      </c>
      <c r="AE26" s="25" t="e">
        <f>IF('Residual-Rostered'!#REF!=0,"-",'Residual-Rostered'!#REF!)</f>
        <v>#REF!</v>
      </c>
      <c r="AF26" s="25" t="e">
        <f>IF('Residual-Rostered'!#REF!=0,"-",'Residual-Rostered'!#REF!)</f>
        <v>#REF!</v>
      </c>
      <c r="AG26" s="25" t="e">
        <f>IF('Residual-Rostered'!#REF!=0,"-",'Residual-Rostered'!#REF!)</f>
        <v>#REF!</v>
      </c>
      <c r="AH26" s="25" t="e">
        <f>IF('Residual-Rostered'!#REF!=0,"-",'Residual-Rostered'!#REF!)</f>
        <v>#REF!</v>
      </c>
      <c r="AI26" s="25" t="e">
        <f>IF('Residual-Rostered'!#REF!=0,"-",'Residual-Rostered'!#REF!)</f>
        <v>#REF!</v>
      </c>
      <c r="AJ26" s="25" t="e">
        <f>IF('Residual-Rostered'!#REF!=0,"-",'Residual-Rostered'!#REF!)</f>
        <v>#REF!</v>
      </c>
      <c r="AK26" s="25" t="e">
        <f>IF('Residual-Rostered'!#REF!=0,"-",'Residual-Rostered'!#REF!)</f>
        <v>#REF!</v>
      </c>
      <c r="AL26" s="25" t="e">
        <f>IF('Residual-Rostered'!#REF!=0,"-",'Residual-Rostered'!#REF!)</f>
        <v>#REF!</v>
      </c>
      <c r="AM26" s="25" t="e">
        <f>IF('Residual-Rostered'!#REF!=0,"-",'Residual-Rostered'!#REF!)</f>
        <v>#REF!</v>
      </c>
      <c r="AN26" s="25" t="e">
        <f>IF('Residual-Rostered'!#REF!=0,"-",'Residual-Rostered'!#REF!)</f>
        <v>#REF!</v>
      </c>
      <c r="AO26" s="25" t="e">
        <f>IF('Residual-Rostered'!#REF!=0,"-",'Residual-Rostered'!#REF!)</f>
        <v>#REF!</v>
      </c>
      <c r="AP26" s="25" t="e">
        <f>IF('Residual-Rostered'!#REF!=0,"-",'Residual-Rostered'!#REF!)</f>
        <v>#REF!</v>
      </c>
      <c r="AQ26" s="25" t="e">
        <f>IF('Residual-Rostered'!#REF!=0,"-",'Residual-Rostered'!#REF!)</f>
        <v>#REF!</v>
      </c>
      <c r="AR26" s="25" t="e">
        <f>IF('Residual-Rostered'!#REF!=0,"-",'Residual-Rostered'!#REF!)</f>
        <v>#REF!</v>
      </c>
      <c r="AS26" s="25" t="e">
        <f>IF('Residual-Rostered'!#REF!=0,"-",'Residual-Rostered'!#REF!)</f>
        <v>#REF!</v>
      </c>
    </row>
    <row r="27" spans="1:47" x14ac:dyDescent="0.25">
      <c r="A27" s="25" t="e">
        <f>'Residual-Rostered'!#REF!</f>
        <v>#REF!</v>
      </c>
      <c r="B27" s="25" t="e">
        <f>'Residual-Rostered'!#REF!</f>
        <v>#REF!</v>
      </c>
      <c r="C27" s="25" t="e">
        <f>'Residual-Rostered'!#REF!</f>
        <v>#REF!</v>
      </c>
      <c r="D27" s="25" t="e">
        <f>IF('Residual-Rostered'!#REF!=0,"-",'Residual-Rostered'!#REF!)</f>
        <v>#REF!</v>
      </c>
      <c r="E27" s="25" t="e">
        <f>IF('Residual-Rostered'!#REF!=0,"-",'Residual-Rostered'!#REF!)</f>
        <v>#REF!</v>
      </c>
      <c r="F27" s="25" t="e">
        <f>IF('Residual-Rostered'!#REF!=0,"-",'Residual-Rostered'!#REF!)</f>
        <v>#REF!</v>
      </c>
      <c r="G27" s="25" t="e">
        <f>IF('Residual-Rostered'!#REF!=0,"-",'Residual-Rostered'!#REF!)</f>
        <v>#REF!</v>
      </c>
      <c r="H27" s="25" t="e">
        <f>IF('Residual-Rostered'!#REF!=0,"-",'Residual-Rostered'!#REF!)</f>
        <v>#REF!</v>
      </c>
      <c r="I27" s="25" t="e">
        <f>IF('Residual-Rostered'!#REF!=0,"-",'Residual-Rostered'!#REF!)</f>
        <v>#REF!</v>
      </c>
      <c r="J27" s="25" t="e">
        <f>IF('Residual-Rostered'!#REF!=0,"-",'Residual-Rostered'!#REF!)</f>
        <v>#REF!</v>
      </c>
      <c r="K27" s="25" t="e">
        <f>IF('Residual-Rostered'!#REF!=0,"-",'Residual-Rostered'!#REF!)</f>
        <v>#REF!</v>
      </c>
      <c r="L27" s="25" t="e">
        <f>IF('Residual-Rostered'!#REF!=0,"-",'Residual-Rostered'!#REF!)</f>
        <v>#REF!</v>
      </c>
      <c r="M27" s="25" t="e">
        <f>IF('Residual-Rostered'!#REF!=0,"-",'Residual-Rostered'!#REF!)</f>
        <v>#REF!</v>
      </c>
      <c r="N27" s="25" t="e">
        <f>IF('Residual-Rostered'!#REF!=0,"-",'Residual-Rostered'!#REF!)</f>
        <v>#REF!</v>
      </c>
      <c r="O27" s="25" t="e">
        <f>IF('Residual-Rostered'!#REF!=0,"-",'Residual-Rostered'!#REF!)</f>
        <v>#REF!</v>
      </c>
      <c r="P27" s="25" t="e">
        <f>IF('Residual-Rostered'!#REF!=0,"-",'Residual-Rostered'!#REF!)</f>
        <v>#REF!</v>
      </c>
      <c r="Q27" s="25" t="e">
        <f>IF('Residual-Rostered'!#REF!=0,"-",'Residual-Rostered'!#REF!)</f>
        <v>#REF!</v>
      </c>
      <c r="R27" s="25" t="e">
        <f>IF('Residual-Rostered'!#REF!=0,"-",'Residual-Rostered'!#REF!)</f>
        <v>#REF!</v>
      </c>
      <c r="S27" s="25" t="e">
        <f>IF('Residual-Rostered'!#REF!=0,"-",'Residual-Rostered'!#REF!)</f>
        <v>#REF!</v>
      </c>
      <c r="T27" s="25" t="e">
        <f>IF('Residual-Rostered'!#REF!=0,"-",'Residual-Rostered'!#REF!)</f>
        <v>#REF!</v>
      </c>
      <c r="U27" s="25" t="e">
        <f>IF('Residual-Rostered'!#REF!=0,"-",'Residual-Rostered'!#REF!)</f>
        <v>#REF!</v>
      </c>
      <c r="V27" s="25" t="e">
        <f>IF('Residual-Rostered'!#REF!=0,"-",'Residual-Rostered'!#REF!)</f>
        <v>#REF!</v>
      </c>
      <c r="W27" s="25" t="e">
        <f>IF('Residual-Rostered'!#REF!=0,"-",'Residual-Rostered'!#REF!)</f>
        <v>#REF!</v>
      </c>
      <c r="X27" s="25" t="e">
        <f>IF('Residual-Rostered'!#REF!=0,"-",'Residual-Rostered'!#REF!)</f>
        <v>#REF!</v>
      </c>
      <c r="Y27" s="25" t="e">
        <f>IF('Residual-Rostered'!#REF!=0,"-",'Residual-Rostered'!#REF!)</f>
        <v>#REF!</v>
      </c>
      <c r="Z27" s="25" t="e">
        <f>IF('Residual-Rostered'!#REF!=0,"-",'Residual-Rostered'!#REF!)</f>
        <v>#REF!</v>
      </c>
      <c r="AA27" s="25" t="e">
        <f>IF('Residual-Rostered'!#REF!=0,"-",'Residual-Rostered'!#REF!)</f>
        <v>#REF!</v>
      </c>
      <c r="AB27" s="25" t="e">
        <f>IF('Residual-Rostered'!#REF!=0,"-",'Residual-Rostered'!#REF!)</f>
        <v>#REF!</v>
      </c>
      <c r="AC27" s="25" t="e">
        <f>IF('Residual-Rostered'!#REF!=0,"-",'Residual-Rostered'!#REF!)</f>
        <v>#REF!</v>
      </c>
      <c r="AD27" s="25" t="e">
        <f>IF('Residual-Rostered'!#REF!=0,"-",'Residual-Rostered'!#REF!)</f>
        <v>#REF!</v>
      </c>
      <c r="AE27" s="25" t="e">
        <f>IF('Residual-Rostered'!#REF!=0,"-",'Residual-Rostered'!#REF!)</f>
        <v>#REF!</v>
      </c>
      <c r="AF27" s="25" t="e">
        <f>IF('Residual-Rostered'!#REF!=0,"-",'Residual-Rostered'!#REF!)</f>
        <v>#REF!</v>
      </c>
      <c r="AG27" s="25" t="e">
        <f>IF('Residual-Rostered'!#REF!=0,"-",'Residual-Rostered'!#REF!)</f>
        <v>#REF!</v>
      </c>
      <c r="AH27" s="25" t="e">
        <f>IF('Residual-Rostered'!#REF!=0,"-",'Residual-Rostered'!#REF!)</f>
        <v>#REF!</v>
      </c>
      <c r="AI27" s="25" t="e">
        <f>IF('Residual-Rostered'!#REF!=0,"-",'Residual-Rostered'!#REF!)</f>
        <v>#REF!</v>
      </c>
      <c r="AJ27" s="25" t="e">
        <f>IF('Residual-Rostered'!#REF!=0,"-",'Residual-Rostered'!#REF!)</f>
        <v>#REF!</v>
      </c>
      <c r="AK27" s="25" t="e">
        <f>IF('Residual-Rostered'!#REF!=0,"-",'Residual-Rostered'!#REF!)</f>
        <v>#REF!</v>
      </c>
      <c r="AL27" s="25" t="e">
        <f>IF('Residual-Rostered'!#REF!=0,"-",'Residual-Rostered'!#REF!)</f>
        <v>#REF!</v>
      </c>
      <c r="AM27" s="25" t="e">
        <f>IF('Residual-Rostered'!#REF!=0,"-",'Residual-Rostered'!#REF!)</f>
        <v>#REF!</v>
      </c>
      <c r="AN27" s="25" t="e">
        <f>IF('Residual-Rostered'!#REF!=0,"-",'Residual-Rostered'!#REF!)</f>
        <v>#REF!</v>
      </c>
      <c r="AO27" s="25" t="e">
        <f>IF('Residual-Rostered'!#REF!=0,"-",'Residual-Rostered'!#REF!)</f>
        <v>#REF!</v>
      </c>
      <c r="AP27" s="25" t="e">
        <f>IF('Residual-Rostered'!#REF!=0,"-",'Residual-Rostered'!#REF!)</f>
        <v>#REF!</v>
      </c>
      <c r="AQ27" s="25" t="e">
        <f>IF('Residual-Rostered'!#REF!=0,"-",'Residual-Rostered'!#REF!)</f>
        <v>#REF!</v>
      </c>
      <c r="AR27" s="25" t="e">
        <f>IF('Residual-Rostered'!#REF!=0,"-",'Residual-Rostered'!#REF!)</f>
        <v>#REF!</v>
      </c>
      <c r="AS27" s="25" t="e">
        <f>IF('Residual-Rostered'!#REF!=0,"-",'Residual-Rostered'!#REF!)</f>
        <v>#REF!</v>
      </c>
    </row>
    <row r="28" spans="1:47" x14ac:dyDescent="0.25">
      <c r="A28" s="25" t="e">
        <f>'Residual-Rostered'!#REF!</f>
        <v>#REF!</v>
      </c>
      <c r="B28" s="25" t="e">
        <f>'Residual-Rostered'!#REF!</f>
        <v>#REF!</v>
      </c>
      <c r="C28" s="25" t="e">
        <f>'Residual-Rostered'!#REF!</f>
        <v>#REF!</v>
      </c>
      <c r="D28" s="25" t="e">
        <f>IF('Residual-Rostered'!#REF!=0,"-",'Residual-Rostered'!#REF!)</f>
        <v>#REF!</v>
      </c>
      <c r="E28" s="25" t="e">
        <f>IF('Residual-Rostered'!#REF!=0,"-",'Residual-Rostered'!#REF!)</f>
        <v>#REF!</v>
      </c>
      <c r="F28" s="25" t="e">
        <f>IF('Residual-Rostered'!#REF!=0,"-",'Residual-Rostered'!#REF!)</f>
        <v>#REF!</v>
      </c>
      <c r="G28" s="25" t="e">
        <f>IF('Residual-Rostered'!#REF!=0,"-",'Residual-Rostered'!#REF!)</f>
        <v>#REF!</v>
      </c>
      <c r="H28" s="25" t="e">
        <f>IF('Residual-Rostered'!#REF!=0,"-",'Residual-Rostered'!#REF!)</f>
        <v>#REF!</v>
      </c>
      <c r="I28" s="25" t="e">
        <f>IF('Residual-Rostered'!#REF!=0,"-",'Residual-Rostered'!#REF!)</f>
        <v>#REF!</v>
      </c>
      <c r="J28" s="25" t="e">
        <f>IF('Residual-Rostered'!#REF!=0,"-",'Residual-Rostered'!#REF!)</f>
        <v>#REF!</v>
      </c>
      <c r="K28" s="25" t="e">
        <f>IF('Residual-Rostered'!#REF!=0,"-",'Residual-Rostered'!#REF!)</f>
        <v>#REF!</v>
      </c>
      <c r="L28" s="25" t="e">
        <f>IF('Residual-Rostered'!#REF!=0,"-",'Residual-Rostered'!#REF!)</f>
        <v>#REF!</v>
      </c>
      <c r="M28" s="25" t="e">
        <f>IF('Residual-Rostered'!#REF!=0,"-",'Residual-Rostered'!#REF!)</f>
        <v>#REF!</v>
      </c>
      <c r="N28" s="25" t="e">
        <f>IF('Residual-Rostered'!#REF!=0,"-",'Residual-Rostered'!#REF!)</f>
        <v>#REF!</v>
      </c>
      <c r="O28" s="25" t="e">
        <f>IF('Residual-Rostered'!#REF!=0,"-",'Residual-Rostered'!#REF!)</f>
        <v>#REF!</v>
      </c>
      <c r="P28" s="25" t="e">
        <f>IF('Residual-Rostered'!#REF!=0,"-",'Residual-Rostered'!#REF!)</f>
        <v>#REF!</v>
      </c>
      <c r="Q28" s="25" t="e">
        <f>IF('Residual-Rostered'!#REF!=0,"-",'Residual-Rostered'!#REF!)</f>
        <v>#REF!</v>
      </c>
      <c r="R28" s="25" t="e">
        <f>IF('Residual-Rostered'!#REF!=0,"-",'Residual-Rostered'!#REF!)</f>
        <v>#REF!</v>
      </c>
      <c r="S28" s="25" t="e">
        <f>IF('Residual-Rostered'!#REF!=0,"-",'Residual-Rostered'!#REF!)</f>
        <v>#REF!</v>
      </c>
      <c r="T28" s="25" t="e">
        <f>IF('Residual-Rostered'!#REF!=0,"-",'Residual-Rostered'!#REF!)</f>
        <v>#REF!</v>
      </c>
      <c r="U28" s="25" t="e">
        <f>IF('Residual-Rostered'!#REF!=0,"-",'Residual-Rostered'!#REF!)</f>
        <v>#REF!</v>
      </c>
      <c r="V28" s="25" t="e">
        <f>IF('Residual-Rostered'!#REF!=0,"-",'Residual-Rostered'!#REF!)</f>
        <v>#REF!</v>
      </c>
      <c r="W28" s="25" t="e">
        <f>IF('Residual-Rostered'!#REF!=0,"-",'Residual-Rostered'!#REF!)</f>
        <v>#REF!</v>
      </c>
      <c r="X28" s="25" t="e">
        <f>IF('Residual-Rostered'!#REF!=0,"-",'Residual-Rostered'!#REF!)</f>
        <v>#REF!</v>
      </c>
      <c r="Y28" s="25" t="e">
        <f>IF('Residual-Rostered'!#REF!=0,"-",'Residual-Rostered'!#REF!)</f>
        <v>#REF!</v>
      </c>
      <c r="Z28" s="25" t="e">
        <f>IF('Residual-Rostered'!#REF!=0,"-",'Residual-Rostered'!#REF!)</f>
        <v>#REF!</v>
      </c>
      <c r="AA28" s="25" t="e">
        <f>IF('Residual-Rostered'!#REF!=0,"-",'Residual-Rostered'!#REF!)</f>
        <v>#REF!</v>
      </c>
      <c r="AB28" s="25" t="e">
        <f>IF('Residual-Rostered'!#REF!=0,"-",'Residual-Rostered'!#REF!)</f>
        <v>#REF!</v>
      </c>
      <c r="AC28" s="25" t="e">
        <f>IF('Residual-Rostered'!#REF!=0,"-",'Residual-Rostered'!#REF!)</f>
        <v>#REF!</v>
      </c>
      <c r="AD28" s="25" t="e">
        <f>IF('Residual-Rostered'!#REF!=0,"-",'Residual-Rostered'!#REF!)</f>
        <v>#REF!</v>
      </c>
      <c r="AE28" s="25" t="e">
        <f>IF('Residual-Rostered'!#REF!=0,"-",'Residual-Rostered'!#REF!)</f>
        <v>#REF!</v>
      </c>
      <c r="AF28" s="25" t="e">
        <f>IF('Residual-Rostered'!#REF!=0,"-",'Residual-Rostered'!#REF!)</f>
        <v>#REF!</v>
      </c>
      <c r="AG28" s="25" t="e">
        <f>IF('Residual-Rostered'!#REF!=0,"-",'Residual-Rostered'!#REF!)</f>
        <v>#REF!</v>
      </c>
      <c r="AH28" s="25" t="e">
        <f>IF('Residual-Rostered'!#REF!=0,"-",'Residual-Rostered'!#REF!)</f>
        <v>#REF!</v>
      </c>
      <c r="AI28" s="25" t="e">
        <f>IF('Residual-Rostered'!#REF!=0,"-",'Residual-Rostered'!#REF!)</f>
        <v>#REF!</v>
      </c>
      <c r="AJ28" s="25" t="e">
        <f>IF('Residual-Rostered'!#REF!=0,"-",'Residual-Rostered'!#REF!)</f>
        <v>#REF!</v>
      </c>
      <c r="AK28" s="25" t="e">
        <f>IF('Residual-Rostered'!#REF!=0,"-",'Residual-Rostered'!#REF!)</f>
        <v>#REF!</v>
      </c>
      <c r="AL28" s="25" t="e">
        <f>IF('Residual-Rostered'!#REF!=0,"-",'Residual-Rostered'!#REF!)</f>
        <v>#REF!</v>
      </c>
      <c r="AM28" s="25" t="e">
        <f>IF('Residual-Rostered'!#REF!=0,"-",'Residual-Rostered'!#REF!)</f>
        <v>#REF!</v>
      </c>
      <c r="AN28" s="25" t="e">
        <f>IF('Residual-Rostered'!#REF!=0,"-",'Residual-Rostered'!#REF!)</f>
        <v>#REF!</v>
      </c>
      <c r="AO28" s="25" t="e">
        <f>IF('Residual-Rostered'!#REF!=0,"-",'Residual-Rostered'!#REF!)</f>
        <v>#REF!</v>
      </c>
      <c r="AP28" s="25" t="e">
        <f>IF('Residual-Rostered'!#REF!=0,"-",'Residual-Rostered'!#REF!)</f>
        <v>#REF!</v>
      </c>
      <c r="AQ28" s="25" t="e">
        <f>IF('Residual-Rostered'!#REF!=0,"-",'Residual-Rostered'!#REF!)</f>
        <v>#REF!</v>
      </c>
      <c r="AR28" s="25" t="e">
        <f>IF('Residual-Rostered'!#REF!=0,"-",'Residual-Rostered'!#REF!)</f>
        <v>#REF!</v>
      </c>
      <c r="AS28" s="25" t="e">
        <f>IF('Residual-Rostered'!#REF!=0,"-",'Residual-Rostered'!#REF!)</f>
        <v>#REF!</v>
      </c>
    </row>
    <row r="29" spans="1:47" hidden="1" x14ac:dyDescent="0.25">
      <c r="A29" s="25" t="e">
        <f>'Residual-Rostered'!#REF!</f>
        <v>#REF!</v>
      </c>
      <c r="B29" s="25" t="e">
        <f>'Residual-Rostered'!#REF!</f>
        <v>#REF!</v>
      </c>
      <c r="C29" s="25" t="e">
        <f>'Residual-Rostered'!#REF!</f>
        <v>#REF!</v>
      </c>
      <c r="D29" s="25" t="e">
        <f>IF('Residual-Rostered'!#REF!=0,"-",'Residual-Rostered'!#REF!)</f>
        <v>#REF!</v>
      </c>
      <c r="E29" s="25" t="e">
        <f>IF('Residual-Rostered'!#REF!=0,"-",'Residual-Rostered'!#REF!)</f>
        <v>#REF!</v>
      </c>
      <c r="F29" s="25" t="e">
        <f>IF('Residual-Rostered'!#REF!=0,"-",'Residual-Rostered'!#REF!)</f>
        <v>#REF!</v>
      </c>
      <c r="G29" s="25" t="e">
        <f>IF('Residual-Rostered'!#REF!=0,"-",'Residual-Rostered'!#REF!)</f>
        <v>#REF!</v>
      </c>
      <c r="H29" s="25" t="e">
        <f>IF('Residual-Rostered'!#REF!=0,"-",'Residual-Rostered'!#REF!)</f>
        <v>#REF!</v>
      </c>
      <c r="I29" s="25" t="e">
        <f>IF('Residual-Rostered'!#REF!=0,"-",'Residual-Rostered'!#REF!)</f>
        <v>#REF!</v>
      </c>
      <c r="J29" s="25" t="e">
        <f>IF('Residual-Rostered'!#REF!=0,"-",'Residual-Rostered'!#REF!)</f>
        <v>#REF!</v>
      </c>
      <c r="K29" s="25" t="e">
        <f>IF('Residual-Rostered'!#REF!=0,"-",'Residual-Rostered'!#REF!)</f>
        <v>#REF!</v>
      </c>
      <c r="L29" s="25" t="e">
        <f>IF('Residual-Rostered'!#REF!=0,"-",'Residual-Rostered'!#REF!)</f>
        <v>#REF!</v>
      </c>
      <c r="M29" s="25" t="e">
        <f>IF('Residual-Rostered'!#REF!=0,"-",'Residual-Rostered'!#REF!)</f>
        <v>#REF!</v>
      </c>
      <c r="N29" s="25" t="e">
        <f>IF('Residual-Rostered'!#REF!=0,"-",'Residual-Rostered'!#REF!)</f>
        <v>#REF!</v>
      </c>
      <c r="O29" s="25" t="e">
        <f>IF('Residual-Rostered'!#REF!=0,"-",'Residual-Rostered'!#REF!)</f>
        <v>#REF!</v>
      </c>
      <c r="P29" s="25" t="e">
        <f>IF('Residual-Rostered'!#REF!=0,"-",'Residual-Rostered'!#REF!)</f>
        <v>#REF!</v>
      </c>
      <c r="Q29" s="25" t="e">
        <f>IF('Residual-Rostered'!#REF!=0,"-",'Residual-Rostered'!#REF!)</f>
        <v>#REF!</v>
      </c>
      <c r="R29" s="25" t="e">
        <f>IF('Residual-Rostered'!#REF!=0,"-",'Residual-Rostered'!#REF!)</f>
        <v>#REF!</v>
      </c>
      <c r="S29" s="25" t="e">
        <f>IF('Residual-Rostered'!#REF!=0,"-",'Residual-Rostered'!#REF!)</f>
        <v>#REF!</v>
      </c>
      <c r="T29" s="25" t="e">
        <f>IF('Residual-Rostered'!#REF!=0,"-",'Residual-Rostered'!#REF!)</f>
        <v>#REF!</v>
      </c>
      <c r="U29" s="25" t="e">
        <f>IF('Residual-Rostered'!#REF!=0,"-",'Residual-Rostered'!#REF!)</f>
        <v>#REF!</v>
      </c>
      <c r="V29" s="25" t="e">
        <f>IF('Residual-Rostered'!#REF!=0,"-",'Residual-Rostered'!#REF!)</f>
        <v>#REF!</v>
      </c>
      <c r="W29" s="25" t="e">
        <f>IF('Residual-Rostered'!#REF!=0,"-",'Residual-Rostered'!#REF!)</f>
        <v>#REF!</v>
      </c>
      <c r="X29" s="25" t="e">
        <f>IF('Residual-Rostered'!#REF!=0,"-",'Residual-Rostered'!#REF!)</f>
        <v>#REF!</v>
      </c>
      <c r="Y29" s="25" t="e">
        <f>IF('Residual-Rostered'!#REF!=0,"-",'Residual-Rostered'!#REF!)</f>
        <v>#REF!</v>
      </c>
      <c r="Z29" s="25" t="e">
        <f>IF('Residual-Rostered'!#REF!=0,"-",'Residual-Rostered'!#REF!)</f>
        <v>#REF!</v>
      </c>
      <c r="AA29" s="25" t="e">
        <f>IF('Residual-Rostered'!#REF!=0,"-",'Residual-Rostered'!#REF!)</f>
        <v>#REF!</v>
      </c>
      <c r="AB29" s="25" t="e">
        <f>IF('Residual-Rostered'!#REF!=0,"-",'Residual-Rostered'!#REF!)</f>
        <v>#REF!</v>
      </c>
      <c r="AC29" s="25" t="e">
        <f>IF('Residual-Rostered'!#REF!=0,"-",'Residual-Rostered'!#REF!)</f>
        <v>#REF!</v>
      </c>
      <c r="AD29" s="25" t="e">
        <f>IF('Residual-Rostered'!#REF!=0,"-",'Residual-Rostered'!#REF!)</f>
        <v>#REF!</v>
      </c>
      <c r="AE29" s="25" t="e">
        <f>IF('Residual-Rostered'!#REF!=0,"-",'Residual-Rostered'!#REF!)</f>
        <v>#REF!</v>
      </c>
      <c r="AF29" s="25" t="e">
        <f>IF('Residual-Rostered'!#REF!=0,"-",'Residual-Rostered'!#REF!)</f>
        <v>#REF!</v>
      </c>
      <c r="AG29" s="25" t="e">
        <f>IF('Residual-Rostered'!#REF!=0,"-",'Residual-Rostered'!#REF!)</f>
        <v>#REF!</v>
      </c>
      <c r="AH29" s="25" t="e">
        <f>IF('Residual-Rostered'!#REF!=0,"-",'Residual-Rostered'!#REF!)</f>
        <v>#REF!</v>
      </c>
      <c r="AI29" s="25" t="e">
        <f>IF('Residual-Rostered'!#REF!=0,"-",'Residual-Rostered'!#REF!)</f>
        <v>#REF!</v>
      </c>
      <c r="AJ29" s="25" t="e">
        <f>IF('Residual-Rostered'!#REF!=0,"-",'Residual-Rostered'!#REF!)</f>
        <v>#REF!</v>
      </c>
      <c r="AK29" s="25" t="e">
        <f>IF('Residual-Rostered'!#REF!=0,"-",'Residual-Rostered'!#REF!)</f>
        <v>#REF!</v>
      </c>
      <c r="AL29" s="25" t="e">
        <f>IF('Residual-Rostered'!#REF!=0,"-",'Residual-Rostered'!#REF!)</f>
        <v>#REF!</v>
      </c>
      <c r="AM29" s="25" t="e">
        <f>IF('Residual-Rostered'!#REF!=0,"-",'Residual-Rostered'!#REF!)</f>
        <v>#REF!</v>
      </c>
      <c r="AN29" s="25" t="e">
        <f>IF('Residual-Rostered'!#REF!=0,"-",'Residual-Rostered'!#REF!)</f>
        <v>#REF!</v>
      </c>
      <c r="AO29" s="25" t="e">
        <f>IF('Residual-Rostered'!#REF!=0,"-",'Residual-Rostered'!#REF!)</f>
        <v>#REF!</v>
      </c>
      <c r="AP29" s="25" t="e">
        <f>IF('Residual-Rostered'!#REF!=0,"-",'Residual-Rostered'!#REF!)</f>
        <v>#REF!</v>
      </c>
      <c r="AQ29" s="25" t="e">
        <f>IF('Residual-Rostered'!#REF!=0,"-",'Residual-Rostered'!#REF!)</f>
        <v>#REF!</v>
      </c>
      <c r="AR29" s="25" t="e">
        <f>IF('Residual-Rostered'!#REF!=0,"-",'Residual-Rostered'!#REF!)</f>
        <v>#REF!</v>
      </c>
      <c r="AS29" s="25" t="e">
        <f>IF('Residual-Rostered'!#REF!=0,"-",'Residual-Rostered'!#REF!)</f>
        <v>#REF!</v>
      </c>
    </row>
    <row r="30" spans="1:47" x14ac:dyDescent="0.25">
      <c r="A30" s="25" t="e">
        <f>'Residual-Rostered'!#REF!</f>
        <v>#REF!</v>
      </c>
      <c r="B30" s="25" t="e">
        <f>'Residual-Rostered'!#REF!</f>
        <v>#REF!</v>
      </c>
      <c r="C30" s="25" t="e">
        <f>'Residual-Rostered'!#REF!</f>
        <v>#REF!</v>
      </c>
      <c r="D30" s="25" t="e">
        <f>IF('Residual-Rostered'!#REF!=0,"-",'Residual-Rostered'!#REF!)</f>
        <v>#REF!</v>
      </c>
      <c r="E30" s="25" t="e">
        <f>IF('Residual-Rostered'!#REF!=0,"-",'Residual-Rostered'!#REF!)</f>
        <v>#REF!</v>
      </c>
      <c r="F30" s="25" t="e">
        <f>IF('Residual-Rostered'!#REF!=0,"-",'Residual-Rostered'!#REF!)</f>
        <v>#REF!</v>
      </c>
      <c r="G30" s="25" t="e">
        <f>IF('Residual-Rostered'!#REF!=0,"-",'Residual-Rostered'!#REF!)</f>
        <v>#REF!</v>
      </c>
      <c r="H30" s="25" t="e">
        <f>IF('Residual-Rostered'!#REF!=0,"-",'Residual-Rostered'!#REF!)</f>
        <v>#REF!</v>
      </c>
      <c r="I30" s="25" t="e">
        <f>IF('Residual-Rostered'!#REF!=0,"-",'Residual-Rostered'!#REF!)</f>
        <v>#REF!</v>
      </c>
      <c r="J30" s="25" t="e">
        <f>IF('Residual-Rostered'!#REF!=0,"-",'Residual-Rostered'!#REF!)</f>
        <v>#REF!</v>
      </c>
      <c r="K30" s="25" t="e">
        <f>IF('Residual-Rostered'!#REF!=0,"-",'Residual-Rostered'!#REF!)</f>
        <v>#REF!</v>
      </c>
      <c r="L30" s="25" t="e">
        <f>IF('Residual-Rostered'!#REF!=0,"-",'Residual-Rostered'!#REF!)</f>
        <v>#REF!</v>
      </c>
      <c r="M30" s="25" t="e">
        <f>IF('Residual-Rostered'!#REF!=0,"-",'Residual-Rostered'!#REF!)</f>
        <v>#REF!</v>
      </c>
      <c r="N30" s="25" t="e">
        <f>IF('Residual-Rostered'!#REF!=0,"-",'Residual-Rostered'!#REF!)</f>
        <v>#REF!</v>
      </c>
      <c r="O30" s="25" t="e">
        <f>IF('Residual-Rostered'!#REF!=0,"-",'Residual-Rostered'!#REF!)</f>
        <v>#REF!</v>
      </c>
      <c r="P30" s="25" t="e">
        <f>IF('Residual-Rostered'!#REF!=0,"-",'Residual-Rostered'!#REF!)</f>
        <v>#REF!</v>
      </c>
      <c r="Q30" s="25" t="e">
        <f>IF('Residual-Rostered'!#REF!=0,"-",'Residual-Rostered'!#REF!)</f>
        <v>#REF!</v>
      </c>
      <c r="R30" s="25" t="e">
        <f>IF('Residual-Rostered'!#REF!=0,"-",'Residual-Rostered'!#REF!)</f>
        <v>#REF!</v>
      </c>
      <c r="S30" s="25" t="e">
        <f>IF('Residual-Rostered'!#REF!=0,"-",'Residual-Rostered'!#REF!)</f>
        <v>#REF!</v>
      </c>
      <c r="T30" s="25" t="e">
        <f>IF('Residual-Rostered'!#REF!=0,"-",'Residual-Rostered'!#REF!)</f>
        <v>#REF!</v>
      </c>
      <c r="U30" s="25" t="e">
        <f>IF('Residual-Rostered'!#REF!=0,"-",'Residual-Rostered'!#REF!)</f>
        <v>#REF!</v>
      </c>
      <c r="V30" s="25" t="e">
        <f>IF('Residual-Rostered'!#REF!=0,"-",'Residual-Rostered'!#REF!)</f>
        <v>#REF!</v>
      </c>
      <c r="W30" s="25" t="e">
        <f>IF('Residual-Rostered'!#REF!=0,"-",'Residual-Rostered'!#REF!)</f>
        <v>#REF!</v>
      </c>
      <c r="X30" s="25" t="e">
        <f>IF('Residual-Rostered'!#REF!=0,"-",'Residual-Rostered'!#REF!)</f>
        <v>#REF!</v>
      </c>
      <c r="Y30" s="25" t="e">
        <f>IF('Residual-Rostered'!#REF!=0,"-",'Residual-Rostered'!#REF!)</f>
        <v>#REF!</v>
      </c>
      <c r="Z30" s="25" t="e">
        <f>IF('Residual-Rostered'!#REF!=0,"-",'Residual-Rostered'!#REF!)</f>
        <v>#REF!</v>
      </c>
      <c r="AA30" s="25" t="e">
        <f>IF('Residual-Rostered'!#REF!=0,"-",'Residual-Rostered'!#REF!)</f>
        <v>#REF!</v>
      </c>
      <c r="AB30" s="25" t="e">
        <f>IF('Residual-Rostered'!#REF!=0,"-",'Residual-Rostered'!#REF!)</f>
        <v>#REF!</v>
      </c>
      <c r="AC30" s="25" t="e">
        <f>IF('Residual-Rostered'!#REF!=0,"-",'Residual-Rostered'!#REF!)</f>
        <v>#REF!</v>
      </c>
      <c r="AD30" s="25" t="e">
        <f>IF('Residual-Rostered'!#REF!=0,"-",'Residual-Rostered'!#REF!)</f>
        <v>#REF!</v>
      </c>
      <c r="AE30" s="25" t="e">
        <f>IF('Residual-Rostered'!#REF!=0,"-",'Residual-Rostered'!#REF!)</f>
        <v>#REF!</v>
      </c>
      <c r="AF30" s="25" t="e">
        <f>IF('Residual-Rostered'!#REF!=0,"-",'Residual-Rostered'!#REF!)</f>
        <v>#REF!</v>
      </c>
      <c r="AG30" s="25" t="e">
        <f>IF('Residual-Rostered'!#REF!=0,"-",'Residual-Rostered'!#REF!)</f>
        <v>#REF!</v>
      </c>
      <c r="AH30" s="25" t="e">
        <f>IF('Residual-Rostered'!#REF!=0,"-",'Residual-Rostered'!#REF!)</f>
        <v>#REF!</v>
      </c>
      <c r="AI30" s="25" t="e">
        <f>IF('Residual-Rostered'!#REF!=0,"-",'Residual-Rostered'!#REF!)</f>
        <v>#REF!</v>
      </c>
      <c r="AJ30" s="25" t="e">
        <f>IF('Residual-Rostered'!#REF!=0,"-",'Residual-Rostered'!#REF!)</f>
        <v>#REF!</v>
      </c>
      <c r="AK30" s="25" t="e">
        <f>IF('Residual-Rostered'!#REF!=0,"-",'Residual-Rostered'!#REF!)</f>
        <v>#REF!</v>
      </c>
      <c r="AL30" s="25" t="e">
        <f>IF('Residual-Rostered'!#REF!=0,"-",'Residual-Rostered'!#REF!)</f>
        <v>#REF!</v>
      </c>
      <c r="AM30" s="25" t="e">
        <f>IF('Residual-Rostered'!#REF!=0,"-",'Residual-Rostered'!#REF!)</f>
        <v>#REF!</v>
      </c>
      <c r="AN30" s="25" t="e">
        <f>IF('Residual-Rostered'!#REF!=0,"-",'Residual-Rostered'!#REF!)</f>
        <v>#REF!</v>
      </c>
      <c r="AO30" s="25" t="e">
        <f>IF('Residual-Rostered'!#REF!=0,"-",'Residual-Rostered'!#REF!)</f>
        <v>#REF!</v>
      </c>
      <c r="AP30" s="25" t="e">
        <f>IF('Residual-Rostered'!#REF!=0,"-",'Residual-Rostered'!#REF!)</f>
        <v>#REF!</v>
      </c>
      <c r="AQ30" s="25" t="e">
        <f>IF('Residual-Rostered'!#REF!=0,"-",'Residual-Rostered'!#REF!)</f>
        <v>#REF!</v>
      </c>
      <c r="AR30" s="25" t="e">
        <f>IF('Residual-Rostered'!#REF!=0,"-",'Residual-Rostered'!#REF!)</f>
        <v>#REF!</v>
      </c>
      <c r="AS30" s="25" t="e">
        <f>IF('Residual-Rostered'!#REF!=0,"-",'Residual-Rostered'!#REF!)</f>
        <v>#REF!</v>
      </c>
    </row>
    <row r="31" spans="1:47" hidden="1" x14ac:dyDescent="0.25">
      <c r="A31" s="25" t="e">
        <f>'Residual-Rostered'!#REF!</f>
        <v>#REF!</v>
      </c>
      <c r="B31" s="25" t="e">
        <f>'Residual-Rostered'!#REF!</f>
        <v>#REF!</v>
      </c>
      <c r="C31" s="25" t="e">
        <f>'Residual-Rostered'!#REF!</f>
        <v>#REF!</v>
      </c>
      <c r="D31" s="25" t="e">
        <f>IF('Residual-Rostered'!#REF!=0,"-",'Residual-Rostered'!#REF!)</f>
        <v>#REF!</v>
      </c>
      <c r="E31" s="25" t="e">
        <f>IF('Residual-Rostered'!#REF!=0,"-",'Residual-Rostered'!#REF!)</f>
        <v>#REF!</v>
      </c>
      <c r="F31" s="25" t="e">
        <f>IF('Residual-Rostered'!#REF!=0,"-",'Residual-Rostered'!#REF!)</f>
        <v>#REF!</v>
      </c>
      <c r="G31" s="25" t="e">
        <f>IF('Residual-Rostered'!#REF!=0,"-",'Residual-Rostered'!#REF!)</f>
        <v>#REF!</v>
      </c>
      <c r="H31" s="25" t="e">
        <f>IF('Residual-Rostered'!#REF!=0,"-",'Residual-Rostered'!#REF!)</f>
        <v>#REF!</v>
      </c>
      <c r="I31" s="25" t="e">
        <f>IF('Residual-Rostered'!#REF!=0,"-",'Residual-Rostered'!#REF!)</f>
        <v>#REF!</v>
      </c>
      <c r="J31" s="25" t="e">
        <f>IF('Residual-Rostered'!#REF!=0,"-",'Residual-Rostered'!#REF!)</f>
        <v>#REF!</v>
      </c>
      <c r="K31" s="25" t="e">
        <f>IF('Residual-Rostered'!#REF!=0,"-",'Residual-Rostered'!#REF!)</f>
        <v>#REF!</v>
      </c>
      <c r="L31" s="25" t="e">
        <f>IF('Residual-Rostered'!#REF!=0,"-",'Residual-Rostered'!#REF!)</f>
        <v>#REF!</v>
      </c>
      <c r="M31" s="25" t="e">
        <f>IF('Residual-Rostered'!#REF!=0,"-",'Residual-Rostered'!#REF!)</f>
        <v>#REF!</v>
      </c>
      <c r="N31" s="25" t="e">
        <f>IF('Residual-Rostered'!#REF!=0,"-",'Residual-Rostered'!#REF!)</f>
        <v>#REF!</v>
      </c>
      <c r="O31" s="25" t="e">
        <f>IF('Residual-Rostered'!#REF!=0,"-",'Residual-Rostered'!#REF!)</f>
        <v>#REF!</v>
      </c>
      <c r="P31" s="25" t="e">
        <f>IF('Residual-Rostered'!#REF!=0,"-",'Residual-Rostered'!#REF!)</f>
        <v>#REF!</v>
      </c>
      <c r="Q31" s="25" t="e">
        <f>IF('Residual-Rostered'!#REF!=0,"-",'Residual-Rostered'!#REF!)</f>
        <v>#REF!</v>
      </c>
      <c r="R31" s="25" t="e">
        <f>IF('Residual-Rostered'!#REF!=0,"-",'Residual-Rostered'!#REF!)</f>
        <v>#REF!</v>
      </c>
      <c r="S31" s="25" t="e">
        <f>IF('Residual-Rostered'!#REF!=0,"-",'Residual-Rostered'!#REF!)</f>
        <v>#REF!</v>
      </c>
      <c r="T31" s="25" t="e">
        <f>IF('Residual-Rostered'!#REF!=0,"-",'Residual-Rostered'!#REF!)</f>
        <v>#REF!</v>
      </c>
      <c r="U31" s="25" t="e">
        <f>IF('Residual-Rostered'!#REF!=0,"-",'Residual-Rostered'!#REF!)</f>
        <v>#REF!</v>
      </c>
      <c r="V31" s="25" t="e">
        <f>IF('Residual-Rostered'!#REF!=0,"-",'Residual-Rostered'!#REF!)</f>
        <v>#REF!</v>
      </c>
      <c r="W31" s="25" t="e">
        <f>IF('Residual-Rostered'!#REF!=0,"-",'Residual-Rostered'!#REF!)</f>
        <v>#REF!</v>
      </c>
      <c r="X31" s="25" t="e">
        <f>IF('Residual-Rostered'!#REF!=0,"-",'Residual-Rostered'!#REF!)</f>
        <v>#REF!</v>
      </c>
      <c r="Y31" s="25" t="e">
        <f>IF('Residual-Rostered'!#REF!=0,"-",'Residual-Rostered'!#REF!)</f>
        <v>#REF!</v>
      </c>
      <c r="Z31" s="25" t="e">
        <f>IF('Residual-Rostered'!#REF!=0,"-",'Residual-Rostered'!#REF!)</f>
        <v>#REF!</v>
      </c>
      <c r="AA31" s="25" t="e">
        <f>IF('Residual-Rostered'!#REF!=0,"-",'Residual-Rostered'!#REF!)</f>
        <v>#REF!</v>
      </c>
      <c r="AB31" s="25" t="e">
        <f>IF('Residual-Rostered'!#REF!=0,"-",'Residual-Rostered'!#REF!)</f>
        <v>#REF!</v>
      </c>
      <c r="AC31" s="25" t="e">
        <f>IF('Residual-Rostered'!#REF!=0,"-",'Residual-Rostered'!#REF!)</f>
        <v>#REF!</v>
      </c>
      <c r="AD31" s="25" t="e">
        <f>IF('Residual-Rostered'!#REF!=0,"-",'Residual-Rostered'!#REF!)</f>
        <v>#REF!</v>
      </c>
      <c r="AE31" s="25" t="e">
        <f>IF('Residual-Rostered'!#REF!=0,"-",'Residual-Rostered'!#REF!)</f>
        <v>#REF!</v>
      </c>
      <c r="AF31" s="25" t="e">
        <f>IF('Residual-Rostered'!#REF!=0,"-",'Residual-Rostered'!#REF!)</f>
        <v>#REF!</v>
      </c>
      <c r="AG31" s="25" t="e">
        <f>IF('Residual-Rostered'!#REF!=0,"-",'Residual-Rostered'!#REF!)</f>
        <v>#REF!</v>
      </c>
      <c r="AH31" s="25" t="e">
        <f>IF('Residual-Rostered'!#REF!=0,"-",'Residual-Rostered'!#REF!)</f>
        <v>#REF!</v>
      </c>
      <c r="AI31" s="25" t="e">
        <f>IF('Residual-Rostered'!#REF!=0,"-",'Residual-Rostered'!#REF!)</f>
        <v>#REF!</v>
      </c>
      <c r="AJ31" s="25" t="e">
        <f>IF('Residual-Rostered'!#REF!=0,"-",'Residual-Rostered'!#REF!)</f>
        <v>#REF!</v>
      </c>
      <c r="AK31" s="25" t="e">
        <f>IF('Residual-Rostered'!#REF!=0,"-",'Residual-Rostered'!#REF!)</f>
        <v>#REF!</v>
      </c>
      <c r="AL31" s="25" t="e">
        <f>IF('Residual-Rostered'!#REF!=0,"-",'Residual-Rostered'!#REF!)</f>
        <v>#REF!</v>
      </c>
      <c r="AM31" s="25" t="e">
        <f>IF('Residual-Rostered'!#REF!=0,"-",'Residual-Rostered'!#REF!)</f>
        <v>#REF!</v>
      </c>
      <c r="AN31" s="25" t="e">
        <f>IF('Residual-Rostered'!#REF!=0,"-",'Residual-Rostered'!#REF!)</f>
        <v>#REF!</v>
      </c>
      <c r="AO31" s="25" t="e">
        <f>IF('Residual-Rostered'!#REF!=0,"-",'Residual-Rostered'!#REF!)</f>
        <v>#REF!</v>
      </c>
      <c r="AP31" s="25" t="e">
        <f>IF('Residual-Rostered'!#REF!=0,"-",'Residual-Rostered'!#REF!)</f>
        <v>#REF!</v>
      </c>
      <c r="AQ31" s="25" t="e">
        <f>IF('Residual-Rostered'!#REF!=0,"-",'Residual-Rostered'!#REF!)</f>
        <v>#REF!</v>
      </c>
      <c r="AR31" s="25" t="e">
        <f>IF('Residual-Rostered'!#REF!=0,"-",'Residual-Rostered'!#REF!)</f>
        <v>#REF!</v>
      </c>
      <c r="AS31" s="25" t="e">
        <f>IF('Residual-Rostered'!#REF!=0,"-",'Residual-Rostered'!#REF!)</f>
        <v>#REF!</v>
      </c>
    </row>
    <row r="32" spans="1:47" hidden="1" x14ac:dyDescent="0.25">
      <c r="A32" s="25" t="e">
        <f>'Residual-Rostered'!#REF!</f>
        <v>#REF!</v>
      </c>
      <c r="B32" s="25" t="e">
        <f>'Residual-Rostered'!#REF!</f>
        <v>#REF!</v>
      </c>
      <c r="C32" s="25" t="e">
        <f>'Residual-Rostered'!#REF!</f>
        <v>#REF!</v>
      </c>
      <c r="D32" s="25" t="e">
        <f>IF('Residual-Rostered'!#REF!=0,"-",'Residual-Rostered'!#REF!)</f>
        <v>#REF!</v>
      </c>
      <c r="E32" s="25" t="e">
        <f>IF('Residual-Rostered'!#REF!=0,"-",'Residual-Rostered'!#REF!)</f>
        <v>#REF!</v>
      </c>
      <c r="F32" s="25" t="e">
        <f>IF('Residual-Rostered'!#REF!=0,"-",'Residual-Rostered'!#REF!)</f>
        <v>#REF!</v>
      </c>
      <c r="G32" s="25" t="e">
        <f>IF('Residual-Rostered'!#REF!=0,"-",'Residual-Rostered'!#REF!)</f>
        <v>#REF!</v>
      </c>
      <c r="H32" s="25" t="e">
        <f>IF('Residual-Rostered'!#REF!=0,"-",'Residual-Rostered'!#REF!)</f>
        <v>#REF!</v>
      </c>
      <c r="I32" s="25" t="e">
        <f>IF('Residual-Rostered'!#REF!=0,"-",'Residual-Rostered'!#REF!)</f>
        <v>#REF!</v>
      </c>
      <c r="J32" s="25" t="e">
        <f>IF('Residual-Rostered'!#REF!=0,"-",'Residual-Rostered'!#REF!)</f>
        <v>#REF!</v>
      </c>
      <c r="K32" s="25" t="e">
        <f>IF('Residual-Rostered'!#REF!=0,"-",'Residual-Rostered'!#REF!)</f>
        <v>#REF!</v>
      </c>
      <c r="L32" s="25" t="e">
        <f>IF('Residual-Rostered'!#REF!=0,"-",'Residual-Rostered'!#REF!)</f>
        <v>#REF!</v>
      </c>
      <c r="M32" s="25" t="e">
        <f>IF('Residual-Rostered'!#REF!=0,"-",'Residual-Rostered'!#REF!)</f>
        <v>#REF!</v>
      </c>
      <c r="N32" s="25" t="e">
        <f>IF('Residual-Rostered'!#REF!=0,"-",'Residual-Rostered'!#REF!)</f>
        <v>#REF!</v>
      </c>
      <c r="O32" s="25" t="e">
        <f>IF('Residual-Rostered'!#REF!=0,"-",'Residual-Rostered'!#REF!)</f>
        <v>#REF!</v>
      </c>
      <c r="P32" s="25" t="e">
        <f>IF('Residual-Rostered'!#REF!=0,"-",'Residual-Rostered'!#REF!)</f>
        <v>#REF!</v>
      </c>
      <c r="Q32" s="25" t="e">
        <f>IF('Residual-Rostered'!#REF!=0,"-",'Residual-Rostered'!#REF!)</f>
        <v>#REF!</v>
      </c>
      <c r="R32" s="25" t="e">
        <f>IF('Residual-Rostered'!#REF!=0,"-",'Residual-Rostered'!#REF!)</f>
        <v>#REF!</v>
      </c>
      <c r="S32" s="25" t="e">
        <f>IF('Residual-Rostered'!#REF!=0,"-",'Residual-Rostered'!#REF!)</f>
        <v>#REF!</v>
      </c>
      <c r="T32" s="25" t="e">
        <f>IF('Residual-Rostered'!#REF!=0,"-",'Residual-Rostered'!#REF!)</f>
        <v>#REF!</v>
      </c>
      <c r="U32" s="25" t="e">
        <f>IF('Residual-Rostered'!#REF!=0,"-",'Residual-Rostered'!#REF!)</f>
        <v>#REF!</v>
      </c>
      <c r="V32" s="25" t="e">
        <f>IF('Residual-Rostered'!#REF!=0,"-",'Residual-Rostered'!#REF!)</f>
        <v>#REF!</v>
      </c>
      <c r="W32" s="25" t="e">
        <f>IF('Residual-Rostered'!#REF!=0,"-",'Residual-Rostered'!#REF!)</f>
        <v>#REF!</v>
      </c>
      <c r="X32" s="25" t="e">
        <f>IF('Residual-Rostered'!#REF!=0,"-",'Residual-Rostered'!#REF!)</f>
        <v>#REF!</v>
      </c>
      <c r="Y32" s="25" t="e">
        <f>IF('Residual-Rostered'!#REF!=0,"-",'Residual-Rostered'!#REF!)</f>
        <v>#REF!</v>
      </c>
      <c r="Z32" s="25" t="e">
        <f>IF('Residual-Rostered'!#REF!=0,"-",'Residual-Rostered'!#REF!)</f>
        <v>#REF!</v>
      </c>
      <c r="AA32" s="25" t="e">
        <f>IF('Residual-Rostered'!#REF!=0,"-",'Residual-Rostered'!#REF!)</f>
        <v>#REF!</v>
      </c>
      <c r="AB32" s="25" t="e">
        <f>IF('Residual-Rostered'!#REF!=0,"-",'Residual-Rostered'!#REF!)</f>
        <v>#REF!</v>
      </c>
      <c r="AC32" s="25" t="e">
        <f>IF('Residual-Rostered'!#REF!=0,"-",'Residual-Rostered'!#REF!)</f>
        <v>#REF!</v>
      </c>
      <c r="AD32" s="25" t="e">
        <f>IF('Residual-Rostered'!#REF!=0,"-",'Residual-Rostered'!#REF!)</f>
        <v>#REF!</v>
      </c>
      <c r="AE32" s="25" t="e">
        <f>IF('Residual-Rostered'!#REF!=0,"-",'Residual-Rostered'!#REF!)</f>
        <v>#REF!</v>
      </c>
      <c r="AF32" s="25" t="e">
        <f>IF('Residual-Rostered'!#REF!=0,"-",'Residual-Rostered'!#REF!)</f>
        <v>#REF!</v>
      </c>
      <c r="AG32" s="25" t="e">
        <f>IF('Residual-Rostered'!#REF!=0,"-",'Residual-Rostered'!#REF!)</f>
        <v>#REF!</v>
      </c>
      <c r="AH32" s="25" t="e">
        <f>IF('Residual-Rostered'!#REF!=0,"-",'Residual-Rostered'!#REF!)</f>
        <v>#REF!</v>
      </c>
      <c r="AI32" s="25" t="e">
        <f>IF('Residual-Rostered'!#REF!=0,"-",'Residual-Rostered'!#REF!)</f>
        <v>#REF!</v>
      </c>
      <c r="AJ32" s="25" t="e">
        <f>IF('Residual-Rostered'!#REF!=0,"-",'Residual-Rostered'!#REF!)</f>
        <v>#REF!</v>
      </c>
      <c r="AK32" s="25" t="e">
        <f>IF('Residual-Rostered'!#REF!=0,"-",'Residual-Rostered'!#REF!)</f>
        <v>#REF!</v>
      </c>
      <c r="AL32" s="25" t="e">
        <f>IF('Residual-Rostered'!#REF!=0,"-",'Residual-Rostered'!#REF!)</f>
        <v>#REF!</v>
      </c>
      <c r="AM32" s="25" t="e">
        <f>IF('Residual-Rostered'!#REF!=0,"-",'Residual-Rostered'!#REF!)</f>
        <v>#REF!</v>
      </c>
      <c r="AN32" s="25" t="e">
        <f>IF('Residual-Rostered'!#REF!=0,"-",'Residual-Rostered'!#REF!)</f>
        <v>#REF!</v>
      </c>
      <c r="AO32" s="25" t="e">
        <f>IF('Residual-Rostered'!#REF!=0,"-",'Residual-Rostered'!#REF!)</f>
        <v>#REF!</v>
      </c>
      <c r="AP32" s="25" t="e">
        <f>IF('Residual-Rostered'!#REF!=0,"-",'Residual-Rostered'!#REF!)</f>
        <v>#REF!</v>
      </c>
      <c r="AQ32" s="25" t="e">
        <f>IF('Residual-Rostered'!#REF!=0,"-",'Residual-Rostered'!#REF!)</f>
        <v>#REF!</v>
      </c>
      <c r="AR32" s="25" t="e">
        <f>IF('Residual-Rostered'!#REF!=0,"-",'Residual-Rostered'!#REF!)</f>
        <v>#REF!</v>
      </c>
      <c r="AS32" s="25" t="e">
        <f>IF('Residual-Rostered'!#REF!=0,"-",'Residual-Rostered'!#REF!)</f>
        <v>#REF!</v>
      </c>
    </row>
    <row r="33" spans="1:45" x14ac:dyDescent="0.25">
      <c r="A33" s="25" t="e">
        <f>'Residual-Rostered'!#REF!</f>
        <v>#REF!</v>
      </c>
      <c r="B33" s="25" t="e">
        <f>'Residual-Rostered'!#REF!</f>
        <v>#REF!</v>
      </c>
      <c r="C33" s="25" t="e">
        <f>'Residual-Rostered'!#REF!</f>
        <v>#REF!</v>
      </c>
      <c r="D33" s="25" t="e">
        <f>IF('Residual-Rostered'!#REF!=0,"-",'Residual-Rostered'!#REF!)</f>
        <v>#REF!</v>
      </c>
      <c r="E33" s="25" t="e">
        <f>IF('Residual-Rostered'!#REF!=0,"-",'Residual-Rostered'!#REF!)</f>
        <v>#REF!</v>
      </c>
      <c r="F33" s="25" t="e">
        <f>IF('Residual-Rostered'!#REF!=0,"-",'Residual-Rostered'!#REF!)</f>
        <v>#REF!</v>
      </c>
      <c r="G33" s="25" t="e">
        <f>IF('Residual-Rostered'!#REF!=0,"-",'Residual-Rostered'!#REF!)</f>
        <v>#REF!</v>
      </c>
      <c r="H33" s="25" t="e">
        <f>IF('Residual-Rostered'!#REF!=0,"-",'Residual-Rostered'!#REF!)</f>
        <v>#REF!</v>
      </c>
      <c r="I33" s="25" t="e">
        <f>IF('Residual-Rostered'!#REF!=0,"-",'Residual-Rostered'!#REF!)</f>
        <v>#REF!</v>
      </c>
      <c r="J33" s="25" t="e">
        <f>IF('Residual-Rostered'!#REF!=0,"-",'Residual-Rostered'!#REF!)</f>
        <v>#REF!</v>
      </c>
      <c r="K33" s="25" t="e">
        <f>IF('Residual-Rostered'!#REF!=0,"-",'Residual-Rostered'!#REF!)</f>
        <v>#REF!</v>
      </c>
      <c r="L33" s="25" t="e">
        <f>IF('Residual-Rostered'!#REF!=0,"-",'Residual-Rostered'!#REF!)</f>
        <v>#REF!</v>
      </c>
      <c r="M33" s="25" t="e">
        <f>IF('Residual-Rostered'!#REF!=0,"-",'Residual-Rostered'!#REF!)</f>
        <v>#REF!</v>
      </c>
      <c r="N33" s="25" t="e">
        <f>IF('Residual-Rostered'!#REF!=0,"-",'Residual-Rostered'!#REF!)</f>
        <v>#REF!</v>
      </c>
      <c r="O33" s="25" t="e">
        <f>IF('Residual-Rostered'!#REF!=0,"-",'Residual-Rostered'!#REF!)</f>
        <v>#REF!</v>
      </c>
      <c r="P33" s="25" t="e">
        <f>IF('Residual-Rostered'!#REF!=0,"-",'Residual-Rostered'!#REF!)</f>
        <v>#REF!</v>
      </c>
      <c r="Q33" s="25" t="e">
        <f>IF('Residual-Rostered'!#REF!=0,"-",'Residual-Rostered'!#REF!)</f>
        <v>#REF!</v>
      </c>
      <c r="R33" s="25" t="e">
        <f>IF('Residual-Rostered'!#REF!=0,"-",'Residual-Rostered'!#REF!)</f>
        <v>#REF!</v>
      </c>
      <c r="S33" s="25" t="e">
        <f>IF('Residual-Rostered'!#REF!=0,"-",'Residual-Rostered'!#REF!)</f>
        <v>#REF!</v>
      </c>
      <c r="T33" s="25" t="e">
        <f>IF('Residual-Rostered'!#REF!=0,"-",'Residual-Rostered'!#REF!)</f>
        <v>#REF!</v>
      </c>
      <c r="U33" s="25" t="e">
        <f>IF('Residual-Rostered'!#REF!=0,"-",'Residual-Rostered'!#REF!)</f>
        <v>#REF!</v>
      </c>
      <c r="V33" s="25" t="e">
        <f>IF('Residual-Rostered'!#REF!=0,"-",'Residual-Rostered'!#REF!)</f>
        <v>#REF!</v>
      </c>
      <c r="W33" s="25" t="e">
        <f>IF('Residual-Rostered'!#REF!=0,"-",'Residual-Rostered'!#REF!)</f>
        <v>#REF!</v>
      </c>
      <c r="X33" s="25" t="e">
        <f>IF('Residual-Rostered'!#REF!=0,"-",'Residual-Rostered'!#REF!)</f>
        <v>#REF!</v>
      </c>
      <c r="Y33" s="25" t="e">
        <f>IF('Residual-Rostered'!#REF!=0,"-",'Residual-Rostered'!#REF!)</f>
        <v>#REF!</v>
      </c>
      <c r="Z33" s="25" t="e">
        <f>IF('Residual-Rostered'!#REF!=0,"-",'Residual-Rostered'!#REF!)</f>
        <v>#REF!</v>
      </c>
      <c r="AA33" s="25" t="e">
        <f>IF('Residual-Rostered'!#REF!=0,"-",'Residual-Rostered'!#REF!)</f>
        <v>#REF!</v>
      </c>
      <c r="AB33" s="25" t="e">
        <f>IF('Residual-Rostered'!#REF!=0,"-",'Residual-Rostered'!#REF!)</f>
        <v>#REF!</v>
      </c>
      <c r="AC33" s="25" t="e">
        <f>IF('Residual-Rostered'!#REF!=0,"-",'Residual-Rostered'!#REF!)</f>
        <v>#REF!</v>
      </c>
      <c r="AD33" s="25" t="e">
        <f>IF('Residual-Rostered'!#REF!=0,"-",'Residual-Rostered'!#REF!)</f>
        <v>#REF!</v>
      </c>
      <c r="AE33" s="25" t="e">
        <f>IF('Residual-Rostered'!#REF!=0,"-",'Residual-Rostered'!#REF!)</f>
        <v>#REF!</v>
      </c>
      <c r="AF33" s="25" t="e">
        <f>IF('Residual-Rostered'!#REF!=0,"-",'Residual-Rostered'!#REF!)</f>
        <v>#REF!</v>
      </c>
      <c r="AG33" s="25" t="e">
        <f>IF('Residual-Rostered'!#REF!=0,"-",'Residual-Rostered'!#REF!)</f>
        <v>#REF!</v>
      </c>
      <c r="AH33" s="25" t="e">
        <f>IF('Residual-Rostered'!#REF!=0,"-",'Residual-Rostered'!#REF!)</f>
        <v>#REF!</v>
      </c>
      <c r="AI33" s="25" t="e">
        <f>IF('Residual-Rostered'!#REF!=0,"-",'Residual-Rostered'!#REF!)</f>
        <v>#REF!</v>
      </c>
      <c r="AJ33" s="25" t="e">
        <f>IF('Residual-Rostered'!#REF!=0,"-",'Residual-Rostered'!#REF!)</f>
        <v>#REF!</v>
      </c>
      <c r="AK33" s="25" t="e">
        <f>IF('Residual-Rostered'!#REF!=0,"-",'Residual-Rostered'!#REF!)</f>
        <v>#REF!</v>
      </c>
      <c r="AL33" s="25" t="e">
        <f>IF('Residual-Rostered'!#REF!=0,"-",'Residual-Rostered'!#REF!)</f>
        <v>#REF!</v>
      </c>
      <c r="AM33" s="25" t="e">
        <f>IF('Residual-Rostered'!#REF!=0,"-",'Residual-Rostered'!#REF!)</f>
        <v>#REF!</v>
      </c>
      <c r="AN33" s="25" t="e">
        <f>IF('Residual-Rostered'!#REF!=0,"-",'Residual-Rostered'!#REF!)</f>
        <v>#REF!</v>
      </c>
      <c r="AO33" s="25" t="e">
        <f>IF('Residual-Rostered'!#REF!=0,"-",'Residual-Rostered'!#REF!)</f>
        <v>#REF!</v>
      </c>
      <c r="AP33" s="25" t="e">
        <f>IF('Residual-Rostered'!#REF!=0,"-",'Residual-Rostered'!#REF!)</f>
        <v>#REF!</v>
      </c>
      <c r="AQ33" s="25" t="e">
        <f>IF('Residual-Rostered'!#REF!=0,"-",'Residual-Rostered'!#REF!)</f>
        <v>#REF!</v>
      </c>
      <c r="AR33" s="25" t="e">
        <f>IF('Residual-Rostered'!#REF!=0,"-",'Residual-Rostered'!#REF!)</f>
        <v>#REF!</v>
      </c>
      <c r="AS33" s="25" t="e">
        <f>IF('Residual-Rostered'!#REF!=0,"-",'Residual-Rostered'!#REF!)</f>
        <v>#REF!</v>
      </c>
    </row>
    <row r="34" spans="1:45" x14ac:dyDescent="0.25">
      <c r="A34" s="25" t="e">
        <f>'Residual-Rostered'!#REF!</f>
        <v>#REF!</v>
      </c>
      <c r="B34" s="25" t="e">
        <f>'Residual-Rostered'!#REF!</f>
        <v>#REF!</v>
      </c>
      <c r="C34" s="25" t="e">
        <f>'Residual-Rostered'!#REF!</f>
        <v>#REF!</v>
      </c>
      <c r="D34" s="25" t="e">
        <f>IF('Residual-Rostered'!#REF!=0,"-",'Residual-Rostered'!#REF!)</f>
        <v>#REF!</v>
      </c>
      <c r="E34" s="25" t="e">
        <f>IF('Residual-Rostered'!#REF!=0,"-",'Residual-Rostered'!#REF!)</f>
        <v>#REF!</v>
      </c>
      <c r="F34" s="25" t="e">
        <f>IF('Residual-Rostered'!#REF!=0,"-",'Residual-Rostered'!#REF!)</f>
        <v>#REF!</v>
      </c>
      <c r="G34" s="25" t="e">
        <f>IF('Residual-Rostered'!#REF!=0,"-",'Residual-Rostered'!#REF!)</f>
        <v>#REF!</v>
      </c>
      <c r="H34" s="25" t="e">
        <f>IF('Residual-Rostered'!#REF!=0,"-",'Residual-Rostered'!#REF!)</f>
        <v>#REF!</v>
      </c>
      <c r="I34" s="25" t="e">
        <f>IF('Residual-Rostered'!#REF!=0,"-",'Residual-Rostered'!#REF!)</f>
        <v>#REF!</v>
      </c>
      <c r="J34" s="25" t="e">
        <f>IF('Residual-Rostered'!#REF!=0,"-",'Residual-Rostered'!#REF!)</f>
        <v>#REF!</v>
      </c>
      <c r="K34" s="25" t="e">
        <f>IF('Residual-Rostered'!#REF!=0,"-",'Residual-Rostered'!#REF!)</f>
        <v>#REF!</v>
      </c>
      <c r="L34" s="25" t="e">
        <f>IF('Residual-Rostered'!#REF!=0,"-",'Residual-Rostered'!#REF!)</f>
        <v>#REF!</v>
      </c>
      <c r="M34" s="25" t="e">
        <f>IF('Residual-Rostered'!#REF!=0,"-",'Residual-Rostered'!#REF!)</f>
        <v>#REF!</v>
      </c>
      <c r="N34" s="25" t="e">
        <f>IF('Residual-Rostered'!#REF!=0,"-",'Residual-Rostered'!#REF!)</f>
        <v>#REF!</v>
      </c>
      <c r="O34" s="25" t="e">
        <f>IF('Residual-Rostered'!#REF!=0,"-",'Residual-Rostered'!#REF!)</f>
        <v>#REF!</v>
      </c>
      <c r="P34" s="25" t="e">
        <f>IF('Residual-Rostered'!#REF!=0,"-",'Residual-Rostered'!#REF!)</f>
        <v>#REF!</v>
      </c>
      <c r="Q34" s="25" t="e">
        <f>IF('Residual-Rostered'!#REF!=0,"-",'Residual-Rostered'!#REF!)</f>
        <v>#REF!</v>
      </c>
      <c r="R34" s="25" t="e">
        <f>IF('Residual-Rostered'!#REF!=0,"-",'Residual-Rostered'!#REF!)</f>
        <v>#REF!</v>
      </c>
      <c r="S34" s="25" t="e">
        <f>IF('Residual-Rostered'!#REF!=0,"-",'Residual-Rostered'!#REF!)</f>
        <v>#REF!</v>
      </c>
      <c r="T34" s="25" t="e">
        <f>IF('Residual-Rostered'!#REF!=0,"-",'Residual-Rostered'!#REF!)</f>
        <v>#REF!</v>
      </c>
      <c r="U34" s="25" t="e">
        <f>IF('Residual-Rostered'!#REF!=0,"-",'Residual-Rostered'!#REF!)</f>
        <v>#REF!</v>
      </c>
      <c r="V34" s="25" t="e">
        <f>IF('Residual-Rostered'!#REF!=0,"-",'Residual-Rostered'!#REF!)</f>
        <v>#REF!</v>
      </c>
      <c r="W34" s="25" t="e">
        <f>IF('Residual-Rostered'!#REF!=0,"-",'Residual-Rostered'!#REF!)</f>
        <v>#REF!</v>
      </c>
      <c r="X34" s="25" t="e">
        <f>IF('Residual-Rostered'!#REF!=0,"-",'Residual-Rostered'!#REF!)</f>
        <v>#REF!</v>
      </c>
      <c r="Y34" s="25" t="e">
        <f>IF('Residual-Rostered'!#REF!=0,"-",'Residual-Rostered'!#REF!)</f>
        <v>#REF!</v>
      </c>
      <c r="Z34" s="25" t="e">
        <f>IF('Residual-Rostered'!#REF!=0,"-",'Residual-Rostered'!#REF!)</f>
        <v>#REF!</v>
      </c>
      <c r="AA34" s="25" t="e">
        <f>IF('Residual-Rostered'!#REF!=0,"-",'Residual-Rostered'!#REF!)</f>
        <v>#REF!</v>
      </c>
      <c r="AB34" s="25" t="e">
        <f>IF('Residual-Rostered'!#REF!=0,"-",'Residual-Rostered'!#REF!)</f>
        <v>#REF!</v>
      </c>
      <c r="AC34" s="25" t="e">
        <f>IF('Residual-Rostered'!#REF!=0,"-",'Residual-Rostered'!#REF!)</f>
        <v>#REF!</v>
      </c>
      <c r="AD34" s="25" t="e">
        <f>IF('Residual-Rostered'!#REF!=0,"-",'Residual-Rostered'!#REF!)</f>
        <v>#REF!</v>
      </c>
      <c r="AE34" s="25" t="e">
        <f>IF('Residual-Rostered'!#REF!=0,"-",'Residual-Rostered'!#REF!)</f>
        <v>#REF!</v>
      </c>
      <c r="AF34" s="25" t="e">
        <f>IF('Residual-Rostered'!#REF!=0,"-",'Residual-Rostered'!#REF!)</f>
        <v>#REF!</v>
      </c>
      <c r="AG34" s="25" t="e">
        <f>IF('Residual-Rostered'!#REF!=0,"-",'Residual-Rostered'!#REF!)</f>
        <v>#REF!</v>
      </c>
      <c r="AH34" s="25" t="e">
        <f>IF('Residual-Rostered'!#REF!=0,"-",'Residual-Rostered'!#REF!)</f>
        <v>#REF!</v>
      </c>
      <c r="AI34" s="25" t="e">
        <f>IF('Residual-Rostered'!#REF!=0,"-",'Residual-Rostered'!#REF!)</f>
        <v>#REF!</v>
      </c>
      <c r="AJ34" s="25" t="e">
        <f>IF('Residual-Rostered'!#REF!=0,"-",'Residual-Rostered'!#REF!)</f>
        <v>#REF!</v>
      </c>
      <c r="AK34" s="25" t="e">
        <f>IF('Residual-Rostered'!#REF!=0,"-",'Residual-Rostered'!#REF!)</f>
        <v>#REF!</v>
      </c>
      <c r="AL34" s="25" t="e">
        <f>IF('Residual-Rostered'!#REF!=0,"-",'Residual-Rostered'!#REF!)</f>
        <v>#REF!</v>
      </c>
      <c r="AM34" s="25" t="e">
        <f>IF('Residual-Rostered'!#REF!=0,"-",'Residual-Rostered'!#REF!)</f>
        <v>#REF!</v>
      </c>
      <c r="AN34" s="25" t="e">
        <f>IF('Residual-Rostered'!#REF!=0,"-",'Residual-Rostered'!#REF!)</f>
        <v>#REF!</v>
      </c>
      <c r="AO34" s="25" t="e">
        <f>IF('Residual-Rostered'!#REF!=0,"-",'Residual-Rostered'!#REF!)</f>
        <v>#REF!</v>
      </c>
      <c r="AP34" s="25" t="e">
        <f>IF('Residual-Rostered'!#REF!=0,"-",'Residual-Rostered'!#REF!)</f>
        <v>#REF!</v>
      </c>
      <c r="AQ34" s="25" t="e">
        <f>IF('Residual-Rostered'!#REF!=0,"-",'Residual-Rostered'!#REF!)</f>
        <v>#REF!</v>
      </c>
      <c r="AR34" s="25" t="e">
        <f>IF('Residual-Rostered'!#REF!=0,"-",'Residual-Rostered'!#REF!)</f>
        <v>#REF!</v>
      </c>
      <c r="AS34" s="25" t="e">
        <f>IF('Residual-Rostered'!#REF!=0,"-",'Residual-Rostered'!#REF!)</f>
        <v>#REF!</v>
      </c>
    </row>
    <row r="35" spans="1:45" hidden="1" x14ac:dyDescent="0.25">
      <c r="A35" s="25" t="e">
        <f>'Residual-Rostered'!#REF!</f>
        <v>#REF!</v>
      </c>
      <c r="B35" s="25" t="e">
        <f>'Residual-Rostered'!#REF!</f>
        <v>#REF!</v>
      </c>
      <c r="C35" s="25" t="e">
        <f>'Residual-Rostered'!#REF!</f>
        <v>#REF!</v>
      </c>
      <c r="D35" s="25" t="e">
        <f>IF('Residual-Rostered'!#REF!=0,"-",'Residual-Rostered'!#REF!)</f>
        <v>#REF!</v>
      </c>
      <c r="E35" s="25" t="e">
        <f>IF('Residual-Rostered'!#REF!=0,"-",'Residual-Rostered'!#REF!)</f>
        <v>#REF!</v>
      </c>
      <c r="F35" s="25" t="e">
        <f>IF('Residual-Rostered'!#REF!=0,"-",'Residual-Rostered'!#REF!)</f>
        <v>#REF!</v>
      </c>
      <c r="G35" s="25" t="e">
        <f>IF('Residual-Rostered'!#REF!=0,"-",'Residual-Rostered'!#REF!)</f>
        <v>#REF!</v>
      </c>
      <c r="H35" s="25" t="e">
        <f>IF('Residual-Rostered'!#REF!=0,"-",'Residual-Rostered'!#REF!)</f>
        <v>#REF!</v>
      </c>
      <c r="I35" s="25" t="e">
        <f>IF('Residual-Rostered'!#REF!=0,"-",'Residual-Rostered'!#REF!)</f>
        <v>#REF!</v>
      </c>
      <c r="J35" s="25" t="e">
        <f>IF('Residual-Rostered'!#REF!=0,"-",'Residual-Rostered'!#REF!)</f>
        <v>#REF!</v>
      </c>
      <c r="K35" s="25" t="e">
        <f>IF('Residual-Rostered'!#REF!=0,"-",'Residual-Rostered'!#REF!)</f>
        <v>#REF!</v>
      </c>
      <c r="L35" s="25" t="e">
        <f>IF('Residual-Rostered'!#REF!=0,"-",'Residual-Rostered'!#REF!)</f>
        <v>#REF!</v>
      </c>
      <c r="M35" s="25" t="e">
        <f>IF('Residual-Rostered'!#REF!=0,"-",'Residual-Rostered'!#REF!)</f>
        <v>#REF!</v>
      </c>
      <c r="N35" s="25" t="e">
        <f>IF('Residual-Rostered'!#REF!=0,"-",'Residual-Rostered'!#REF!)</f>
        <v>#REF!</v>
      </c>
      <c r="O35" s="25" t="e">
        <f>IF('Residual-Rostered'!#REF!=0,"-",'Residual-Rostered'!#REF!)</f>
        <v>#REF!</v>
      </c>
      <c r="P35" s="25" t="e">
        <f>IF('Residual-Rostered'!#REF!=0,"-",'Residual-Rostered'!#REF!)</f>
        <v>#REF!</v>
      </c>
      <c r="Q35" s="25" t="e">
        <f>IF('Residual-Rostered'!#REF!=0,"-",'Residual-Rostered'!#REF!)</f>
        <v>#REF!</v>
      </c>
      <c r="R35" s="25" t="e">
        <f>IF('Residual-Rostered'!#REF!=0,"-",'Residual-Rostered'!#REF!)</f>
        <v>#REF!</v>
      </c>
      <c r="S35" s="25" t="e">
        <f>IF('Residual-Rostered'!#REF!=0,"-",'Residual-Rostered'!#REF!)</f>
        <v>#REF!</v>
      </c>
      <c r="T35" s="25" t="e">
        <f>IF('Residual-Rostered'!#REF!=0,"-",'Residual-Rostered'!#REF!)</f>
        <v>#REF!</v>
      </c>
      <c r="U35" s="25" t="e">
        <f>IF('Residual-Rostered'!#REF!=0,"-",'Residual-Rostered'!#REF!)</f>
        <v>#REF!</v>
      </c>
      <c r="V35" s="25" t="e">
        <f>IF('Residual-Rostered'!#REF!=0,"-",'Residual-Rostered'!#REF!)</f>
        <v>#REF!</v>
      </c>
      <c r="W35" s="25" t="e">
        <f>IF('Residual-Rostered'!#REF!=0,"-",'Residual-Rostered'!#REF!)</f>
        <v>#REF!</v>
      </c>
      <c r="X35" s="25" t="e">
        <f>IF('Residual-Rostered'!#REF!=0,"-",'Residual-Rostered'!#REF!)</f>
        <v>#REF!</v>
      </c>
      <c r="Y35" s="25" t="e">
        <f>IF('Residual-Rostered'!#REF!=0,"-",'Residual-Rostered'!#REF!)</f>
        <v>#REF!</v>
      </c>
      <c r="Z35" s="25" t="e">
        <f>IF('Residual-Rostered'!#REF!=0,"-",'Residual-Rostered'!#REF!)</f>
        <v>#REF!</v>
      </c>
      <c r="AA35" s="25" t="e">
        <f>IF('Residual-Rostered'!#REF!=0,"-",'Residual-Rostered'!#REF!)</f>
        <v>#REF!</v>
      </c>
      <c r="AB35" s="25" t="e">
        <f>IF('Residual-Rostered'!#REF!=0,"-",'Residual-Rostered'!#REF!)</f>
        <v>#REF!</v>
      </c>
      <c r="AC35" s="25" t="e">
        <f>IF('Residual-Rostered'!#REF!=0,"-",'Residual-Rostered'!#REF!)</f>
        <v>#REF!</v>
      </c>
      <c r="AD35" s="25" t="e">
        <f>IF('Residual-Rostered'!#REF!=0,"-",'Residual-Rostered'!#REF!)</f>
        <v>#REF!</v>
      </c>
      <c r="AE35" s="25" t="e">
        <f>IF('Residual-Rostered'!#REF!=0,"-",'Residual-Rostered'!#REF!)</f>
        <v>#REF!</v>
      </c>
      <c r="AF35" s="25" t="e">
        <f>IF('Residual-Rostered'!#REF!=0,"-",'Residual-Rostered'!#REF!)</f>
        <v>#REF!</v>
      </c>
      <c r="AG35" s="25" t="e">
        <f>IF('Residual-Rostered'!#REF!=0,"-",'Residual-Rostered'!#REF!)</f>
        <v>#REF!</v>
      </c>
      <c r="AH35" s="25" t="e">
        <f>IF('Residual-Rostered'!#REF!=0,"-",'Residual-Rostered'!#REF!)</f>
        <v>#REF!</v>
      </c>
      <c r="AI35" s="25" t="e">
        <f>IF('Residual-Rostered'!#REF!=0,"-",'Residual-Rostered'!#REF!)</f>
        <v>#REF!</v>
      </c>
      <c r="AJ35" s="25" t="e">
        <f>IF('Residual-Rostered'!#REF!=0,"-",'Residual-Rostered'!#REF!)</f>
        <v>#REF!</v>
      </c>
      <c r="AK35" s="25" t="e">
        <f>IF('Residual-Rostered'!#REF!=0,"-",'Residual-Rostered'!#REF!)</f>
        <v>#REF!</v>
      </c>
      <c r="AL35" s="25" t="e">
        <f>IF('Residual-Rostered'!#REF!=0,"-",'Residual-Rostered'!#REF!)</f>
        <v>#REF!</v>
      </c>
      <c r="AM35" s="25" t="e">
        <f>IF('Residual-Rostered'!#REF!=0,"-",'Residual-Rostered'!#REF!)</f>
        <v>#REF!</v>
      </c>
      <c r="AN35" s="25" t="e">
        <f>IF('Residual-Rostered'!#REF!=0,"-",'Residual-Rostered'!#REF!)</f>
        <v>#REF!</v>
      </c>
      <c r="AO35" s="25" t="e">
        <f>IF('Residual-Rostered'!#REF!=0,"-",'Residual-Rostered'!#REF!)</f>
        <v>#REF!</v>
      </c>
      <c r="AP35" s="25" t="e">
        <f>IF('Residual-Rostered'!#REF!=0,"-",'Residual-Rostered'!#REF!)</f>
        <v>#REF!</v>
      </c>
      <c r="AQ35" s="25" t="e">
        <f>IF('Residual-Rostered'!#REF!=0,"-",'Residual-Rostered'!#REF!)</f>
        <v>#REF!</v>
      </c>
      <c r="AR35" s="25" t="e">
        <f>IF('Residual-Rostered'!#REF!=0,"-",'Residual-Rostered'!#REF!)</f>
        <v>#REF!</v>
      </c>
      <c r="AS35" s="25" t="e">
        <f>IF('Residual-Rostered'!#REF!=0,"-",'Residual-Rostered'!#REF!)</f>
        <v>#REF!</v>
      </c>
    </row>
    <row r="36" spans="1:45" x14ac:dyDescent="0.25">
      <c r="A36" s="25" t="e">
        <f>'Residual-Rostered'!#REF!</f>
        <v>#REF!</v>
      </c>
      <c r="B36" s="25" t="e">
        <f>'Residual-Rostered'!#REF!</f>
        <v>#REF!</v>
      </c>
      <c r="C36" s="25" t="e">
        <f>'Residual-Rostered'!#REF!</f>
        <v>#REF!</v>
      </c>
      <c r="D36" s="25" t="e">
        <f>IF('Residual-Rostered'!#REF!=0,"-",'Residual-Rostered'!#REF!)</f>
        <v>#REF!</v>
      </c>
      <c r="E36" s="25" t="e">
        <f>IF('Residual-Rostered'!#REF!=0,"-",'Residual-Rostered'!#REF!)</f>
        <v>#REF!</v>
      </c>
      <c r="F36" s="25" t="e">
        <f>IF('Residual-Rostered'!#REF!=0,"-",'Residual-Rostered'!#REF!)</f>
        <v>#REF!</v>
      </c>
      <c r="G36" s="25" t="e">
        <f>IF('Residual-Rostered'!#REF!=0,"-",'Residual-Rostered'!#REF!)</f>
        <v>#REF!</v>
      </c>
      <c r="H36" s="25" t="e">
        <f>IF('Residual-Rostered'!#REF!=0,"-",'Residual-Rostered'!#REF!)</f>
        <v>#REF!</v>
      </c>
      <c r="I36" s="25" t="e">
        <f>IF('Residual-Rostered'!#REF!=0,"-",'Residual-Rostered'!#REF!)</f>
        <v>#REF!</v>
      </c>
      <c r="J36" s="25" t="e">
        <f>IF('Residual-Rostered'!#REF!=0,"-",'Residual-Rostered'!#REF!)</f>
        <v>#REF!</v>
      </c>
      <c r="K36" s="25" t="e">
        <f>IF('Residual-Rostered'!#REF!=0,"-",'Residual-Rostered'!#REF!)</f>
        <v>#REF!</v>
      </c>
      <c r="L36" s="25" t="e">
        <f>IF('Residual-Rostered'!#REF!=0,"-",'Residual-Rostered'!#REF!)</f>
        <v>#REF!</v>
      </c>
      <c r="M36" s="25" t="e">
        <f>IF('Residual-Rostered'!#REF!=0,"-",'Residual-Rostered'!#REF!)</f>
        <v>#REF!</v>
      </c>
      <c r="N36" s="25" t="e">
        <f>IF('Residual-Rostered'!#REF!=0,"-",'Residual-Rostered'!#REF!)</f>
        <v>#REF!</v>
      </c>
      <c r="O36" s="25" t="e">
        <f>IF('Residual-Rostered'!#REF!=0,"-",'Residual-Rostered'!#REF!)</f>
        <v>#REF!</v>
      </c>
      <c r="P36" s="25" t="e">
        <f>IF('Residual-Rostered'!#REF!=0,"-",'Residual-Rostered'!#REF!)</f>
        <v>#REF!</v>
      </c>
      <c r="Q36" s="25" t="e">
        <f>IF('Residual-Rostered'!#REF!=0,"-",'Residual-Rostered'!#REF!)</f>
        <v>#REF!</v>
      </c>
      <c r="R36" s="25" t="e">
        <f>IF('Residual-Rostered'!#REF!=0,"-",'Residual-Rostered'!#REF!)</f>
        <v>#REF!</v>
      </c>
      <c r="S36" s="25" t="e">
        <f>IF('Residual-Rostered'!#REF!=0,"-",'Residual-Rostered'!#REF!)</f>
        <v>#REF!</v>
      </c>
      <c r="T36" s="25" t="e">
        <f>IF('Residual-Rostered'!#REF!=0,"-",'Residual-Rostered'!#REF!)</f>
        <v>#REF!</v>
      </c>
      <c r="U36" s="25" t="e">
        <f>IF('Residual-Rostered'!#REF!=0,"-",'Residual-Rostered'!#REF!)</f>
        <v>#REF!</v>
      </c>
      <c r="V36" s="25" t="e">
        <f>IF('Residual-Rostered'!#REF!=0,"-",'Residual-Rostered'!#REF!)</f>
        <v>#REF!</v>
      </c>
      <c r="W36" s="25" t="e">
        <f>IF('Residual-Rostered'!#REF!=0,"-",'Residual-Rostered'!#REF!)</f>
        <v>#REF!</v>
      </c>
      <c r="X36" s="25" t="e">
        <f>IF('Residual-Rostered'!#REF!=0,"-",'Residual-Rostered'!#REF!)</f>
        <v>#REF!</v>
      </c>
      <c r="Y36" s="25" t="e">
        <f>IF('Residual-Rostered'!#REF!=0,"-",'Residual-Rostered'!#REF!)</f>
        <v>#REF!</v>
      </c>
      <c r="Z36" s="25" t="e">
        <f>IF('Residual-Rostered'!#REF!=0,"-",'Residual-Rostered'!#REF!)</f>
        <v>#REF!</v>
      </c>
      <c r="AA36" s="25" t="e">
        <f>IF('Residual-Rostered'!#REF!=0,"-",'Residual-Rostered'!#REF!)</f>
        <v>#REF!</v>
      </c>
      <c r="AB36" s="25" t="e">
        <f>IF('Residual-Rostered'!#REF!=0,"-",'Residual-Rostered'!#REF!)</f>
        <v>#REF!</v>
      </c>
      <c r="AC36" s="25" t="e">
        <f>IF('Residual-Rostered'!#REF!=0,"-",'Residual-Rostered'!#REF!)</f>
        <v>#REF!</v>
      </c>
      <c r="AD36" s="25" t="e">
        <f>IF('Residual-Rostered'!#REF!=0,"-",'Residual-Rostered'!#REF!)</f>
        <v>#REF!</v>
      </c>
      <c r="AE36" s="25" t="e">
        <f>IF('Residual-Rostered'!#REF!=0,"-",'Residual-Rostered'!#REF!)</f>
        <v>#REF!</v>
      </c>
      <c r="AF36" s="25" t="e">
        <f>IF('Residual-Rostered'!#REF!=0,"-",'Residual-Rostered'!#REF!)</f>
        <v>#REF!</v>
      </c>
      <c r="AG36" s="25" t="e">
        <f>IF('Residual-Rostered'!#REF!=0,"-",'Residual-Rostered'!#REF!)</f>
        <v>#REF!</v>
      </c>
      <c r="AH36" s="25" t="e">
        <f>IF('Residual-Rostered'!#REF!=0,"-",'Residual-Rostered'!#REF!)</f>
        <v>#REF!</v>
      </c>
      <c r="AI36" s="25" t="e">
        <f>IF('Residual-Rostered'!#REF!=0,"-",'Residual-Rostered'!#REF!)</f>
        <v>#REF!</v>
      </c>
      <c r="AJ36" s="25" t="e">
        <f>IF('Residual-Rostered'!#REF!=0,"-",'Residual-Rostered'!#REF!)</f>
        <v>#REF!</v>
      </c>
      <c r="AK36" s="25" t="e">
        <f>IF('Residual-Rostered'!#REF!=0,"-",'Residual-Rostered'!#REF!)</f>
        <v>#REF!</v>
      </c>
      <c r="AL36" s="25" t="e">
        <f>IF('Residual-Rostered'!#REF!=0,"-",'Residual-Rostered'!#REF!)</f>
        <v>#REF!</v>
      </c>
      <c r="AM36" s="25" t="e">
        <f>IF('Residual-Rostered'!#REF!=0,"-",'Residual-Rostered'!#REF!)</f>
        <v>#REF!</v>
      </c>
      <c r="AN36" s="25" t="e">
        <f>IF('Residual-Rostered'!#REF!=0,"-",'Residual-Rostered'!#REF!)</f>
        <v>#REF!</v>
      </c>
      <c r="AO36" s="25" t="e">
        <f>IF('Residual-Rostered'!#REF!=0,"-",'Residual-Rostered'!#REF!)</f>
        <v>#REF!</v>
      </c>
      <c r="AP36" s="25" t="e">
        <f>IF('Residual-Rostered'!#REF!=0,"-",'Residual-Rostered'!#REF!)</f>
        <v>#REF!</v>
      </c>
      <c r="AQ36" s="25" t="e">
        <f>IF('Residual-Rostered'!#REF!=0,"-",'Residual-Rostered'!#REF!)</f>
        <v>#REF!</v>
      </c>
      <c r="AR36" s="25" t="e">
        <f>IF('Residual-Rostered'!#REF!=0,"-",'Residual-Rostered'!#REF!)</f>
        <v>#REF!</v>
      </c>
      <c r="AS36" s="25" t="e">
        <f>IF('Residual-Rostered'!#REF!=0,"-",'Residual-Rostered'!#REF!)</f>
        <v>#REF!</v>
      </c>
    </row>
    <row r="37" spans="1:45" x14ac:dyDescent="0.25">
      <c r="A37" s="25" t="e">
        <f>'Residual-Rostered'!#REF!</f>
        <v>#REF!</v>
      </c>
      <c r="B37" s="25" t="e">
        <f>'Residual-Rostered'!#REF!</f>
        <v>#REF!</v>
      </c>
      <c r="C37" s="25" t="e">
        <f>'Residual-Rostered'!#REF!</f>
        <v>#REF!</v>
      </c>
      <c r="D37" s="25" t="e">
        <f>IF('Residual-Rostered'!#REF!=0,"-",'Residual-Rostered'!#REF!)</f>
        <v>#REF!</v>
      </c>
      <c r="E37" s="25" t="e">
        <f>IF('Residual-Rostered'!#REF!=0,"-",'Residual-Rostered'!#REF!)</f>
        <v>#REF!</v>
      </c>
      <c r="F37" s="25" t="e">
        <f>IF('Residual-Rostered'!#REF!=0,"-",'Residual-Rostered'!#REF!)</f>
        <v>#REF!</v>
      </c>
      <c r="G37" s="25" t="e">
        <f>IF('Residual-Rostered'!#REF!=0,"-",'Residual-Rostered'!#REF!)</f>
        <v>#REF!</v>
      </c>
      <c r="H37" s="25" t="e">
        <f>IF('Residual-Rostered'!#REF!=0,"-",'Residual-Rostered'!#REF!)</f>
        <v>#REF!</v>
      </c>
      <c r="I37" s="25" t="e">
        <f>IF('Residual-Rostered'!#REF!=0,"-",'Residual-Rostered'!#REF!)</f>
        <v>#REF!</v>
      </c>
      <c r="J37" s="25" t="e">
        <f>IF('Residual-Rostered'!#REF!=0,"-",'Residual-Rostered'!#REF!)</f>
        <v>#REF!</v>
      </c>
      <c r="K37" s="25" t="e">
        <f>IF('Residual-Rostered'!#REF!=0,"-",'Residual-Rostered'!#REF!)</f>
        <v>#REF!</v>
      </c>
      <c r="L37" s="25" t="e">
        <f>IF('Residual-Rostered'!#REF!=0,"-",'Residual-Rostered'!#REF!)</f>
        <v>#REF!</v>
      </c>
      <c r="M37" s="25" t="e">
        <f>IF('Residual-Rostered'!#REF!=0,"-",'Residual-Rostered'!#REF!)</f>
        <v>#REF!</v>
      </c>
      <c r="N37" s="25" t="e">
        <f>IF('Residual-Rostered'!#REF!=0,"-",'Residual-Rostered'!#REF!)</f>
        <v>#REF!</v>
      </c>
      <c r="O37" s="25" t="e">
        <f>IF('Residual-Rostered'!#REF!=0,"-",'Residual-Rostered'!#REF!)</f>
        <v>#REF!</v>
      </c>
      <c r="P37" s="25" t="e">
        <f>IF('Residual-Rostered'!#REF!=0,"-",'Residual-Rostered'!#REF!)</f>
        <v>#REF!</v>
      </c>
      <c r="Q37" s="25" t="e">
        <f>IF('Residual-Rostered'!#REF!=0,"-",'Residual-Rostered'!#REF!)</f>
        <v>#REF!</v>
      </c>
      <c r="R37" s="25" t="e">
        <f>IF('Residual-Rostered'!#REF!=0,"-",'Residual-Rostered'!#REF!)</f>
        <v>#REF!</v>
      </c>
      <c r="S37" s="25" t="e">
        <f>IF('Residual-Rostered'!#REF!=0,"-",'Residual-Rostered'!#REF!)</f>
        <v>#REF!</v>
      </c>
      <c r="T37" s="25" t="e">
        <f>IF('Residual-Rostered'!#REF!=0,"-",'Residual-Rostered'!#REF!)</f>
        <v>#REF!</v>
      </c>
      <c r="U37" s="25" t="e">
        <f>IF('Residual-Rostered'!#REF!=0,"-",'Residual-Rostered'!#REF!)</f>
        <v>#REF!</v>
      </c>
      <c r="V37" s="25" t="e">
        <f>IF('Residual-Rostered'!#REF!=0,"-",'Residual-Rostered'!#REF!)</f>
        <v>#REF!</v>
      </c>
      <c r="W37" s="25" t="e">
        <f>IF('Residual-Rostered'!#REF!=0,"-",'Residual-Rostered'!#REF!)</f>
        <v>#REF!</v>
      </c>
      <c r="X37" s="25" t="e">
        <f>IF('Residual-Rostered'!#REF!=0,"-",'Residual-Rostered'!#REF!)</f>
        <v>#REF!</v>
      </c>
      <c r="Y37" s="25" t="e">
        <f>IF('Residual-Rostered'!#REF!=0,"-",'Residual-Rostered'!#REF!)</f>
        <v>#REF!</v>
      </c>
      <c r="Z37" s="25" t="e">
        <f>IF('Residual-Rostered'!#REF!=0,"-",'Residual-Rostered'!#REF!)</f>
        <v>#REF!</v>
      </c>
      <c r="AA37" s="25" t="e">
        <f>IF('Residual-Rostered'!#REF!=0,"-",'Residual-Rostered'!#REF!)</f>
        <v>#REF!</v>
      </c>
      <c r="AB37" s="25" t="e">
        <f>IF('Residual-Rostered'!#REF!=0,"-",'Residual-Rostered'!#REF!)</f>
        <v>#REF!</v>
      </c>
      <c r="AC37" s="25" t="e">
        <f>IF('Residual-Rostered'!#REF!=0,"-",'Residual-Rostered'!#REF!)</f>
        <v>#REF!</v>
      </c>
      <c r="AD37" s="25" t="e">
        <f>IF('Residual-Rostered'!#REF!=0,"-",'Residual-Rostered'!#REF!)</f>
        <v>#REF!</v>
      </c>
      <c r="AE37" s="25" t="e">
        <f>IF('Residual-Rostered'!#REF!=0,"-",'Residual-Rostered'!#REF!)</f>
        <v>#REF!</v>
      </c>
      <c r="AF37" s="25" t="e">
        <f>IF('Residual-Rostered'!#REF!=0,"-",'Residual-Rostered'!#REF!)</f>
        <v>#REF!</v>
      </c>
      <c r="AG37" s="25" t="e">
        <f>IF('Residual-Rostered'!#REF!=0,"-",'Residual-Rostered'!#REF!)</f>
        <v>#REF!</v>
      </c>
      <c r="AH37" s="25" t="e">
        <f>IF('Residual-Rostered'!#REF!=0,"-",'Residual-Rostered'!#REF!)</f>
        <v>#REF!</v>
      </c>
      <c r="AI37" s="25" t="e">
        <f>IF('Residual-Rostered'!#REF!=0,"-",'Residual-Rostered'!#REF!)</f>
        <v>#REF!</v>
      </c>
      <c r="AJ37" s="25" t="e">
        <f>IF('Residual-Rostered'!#REF!=0,"-",'Residual-Rostered'!#REF!)</f>
        <v>#REF!</v>
      </c>
      <c r="AK37" s="25" t="e">
        <f>IF('Residual-Rostered'!#REF!=0,"-",'Residual-Rostered'!#REF!)</f>
        <v>#REF!</v>
      </c>
      <c r="AL37" s="25" t="e">
        <f>IF('Residual-Rostered'!#REF!=0,"-",'Residual-Rostered'!#REF!)</f>
        <v>#REF!</v>
      </c>
      <c r="AM37" s="25" t="e">
        <f>IF('Residual-Rostered'!#REF!=0,"-",'Residual-Rostered'!#REF!)</f>
        <v>#REF!</v>
      </c>
      <c r="AN37" s="25" t="e">
        <f>IF('Residual-Rostered'!#REF!=0,"-",'Residual-Rostered'!#REF!)</f>
        <v>#REF!</v>
      </c>
      <c r="AO37" s="25" t="e">
        <f>IF('Residual-Rostered'!#REF!=0,"-",'Residual-Rostered'!#REF!)</f>
        <v>#REF!</v>
      </c>
      <c r="AP37" s="25" t="e">
        <f>IF('Residual-Rostered'!#REF!=0,"-",'Residual-Rostered'!#REF!)</f>
        <v>#REF!</v>
      </c>
      <c r="AQ37" s="25" t="e">
        <f>IF('Residual-Rostered'!#REF!=0,"-",'Residual-Rostered'!#REF!)</f>
        <v>#REF!</v>
      </c>
      <c r="AR37" s="25" t="e">
        <f>IF('Residual-Rostered'!#REF!=0,"-",'Residual-Rostered'!#REF!)</f>
        <v>#REF!</v>
      </c>
      <c r="AS37" s="25" t="e">
        <f>IF('Residual-Rostered'!#REF!=0,"-",'Residual-Rostered'!#REF!)</f>
        <v>#REF!</v>
      </c>
    </row>
    <row r="38" spans="1:45" x14ac:dyDescent="0.25">
      <c r="A38" s="25" t="e">
        <f>'Residual-Rostered'!#REF!</f>
        <v>#REF!</v>
      </c>
      <c r="B38" s="25" t="e">
        <f>'Residual-Rostered'!#REF!</f>
        <v>#REF!</v>
      </c>
      <c r="C38" s="25" t="e">
        <f>'Residual-Rostered'!#REF!</f>
        <v>#REF!</v>
      </c>
      <c r="D38" s="25" t="e">
        <f>IF('Residual-Rostered'!#REF!=0,"-",'Residual-Rostered'!#REF!)</f>
        <v>#REF!</v>
      </c>
      <c r="E38" s="25" t="e">
        <f>IF('Residual-Rostered'!#REF!=0,"-",'Residual-Rostered'!#REF!)</f>
        <v>#REF!</v>
      </c>
      <c r="F38" s="25" t="e">
        <f>IF('Residual-Rostered'!#REF!=0,"-",'Residual-Rostered'!#REF!)</f>
        <v>#REF!</v>
      </c>
      <c r="G38" s="25" t="e">
        <f>IF('Residual-Rostered'!#REF!=0,"-",'Residual-Rostered'!#REF!)</f>
        <v>#REF!</v>
      </c>
      <c r="H38" s="25" t="e">
        <f>IF('Residual-Rostered'!#REF!=0,"-",'Residual-Rostered'!#REF!)</f>
        <v>#REF!</v>
      </c>
      <c r="I38" s="25" t="e">
        <f>IF('Residual-Rostered'!#REF!=0,"-",'Residual-Rostered'!#REF!)</f>
        <v>#REF!</v>
      </c>
      <c r="J38" s="25" t="e">
        <f>IF('Residual-Rostered'!#REF!=0,"-",'Residual-Rostered'!#REF!)</f>
        <v>#REF!</v>
      </c>
      <c r="K38" s="25" t="e">
        <f>IF('Residual-Rostered'!#REF!=0,"-",'Residual-Rostered'!#REF!)</f>
        <v>#REF!</v>
      </c>
      <c r="L38" s="25" t="e">
        <f>IF('Residual-Rostered'!#REF!=0,"-",'Residual-Rostered'!#REF!)</f>
        <v>#REF!</v>
      </c>
      <c r="M38" s="25" t="e">
        <f>IF('Residual-Rostered'!#REF!=0,"-",'Residual-Rostered'!#REF!)</f>
        <v>#REF!</v>
      </c>
      <c r="N38" s="25" t="e">
        <f>IF('Residual-Rostered'!#REF!=0,"-",'Residual-Rostered'!#REF!)</f>
        <v>#REF!</v>
      </c>
      <c r="O38" s="25" t="e">
        <f>IF('Residual-Rostered'!#REF!=0,"-",'Residual-Rostered'!#REF!)</f>
        <v>#REF!</v>
      </c>
      <c r="P38" s="25" t="e">
        <f>IF('Residual-Rostered'!#REF!=0,"-",'Residual-Rostered'!#REF!)</f>
        <v>#REF!</v>
      </c>
      <c r="Q38" s="25" t="e">
        <f>IF('Residual-Rostered'!#REF!=0,"-",'Residual-Rostered'!#REF!)</f>
        <v>#REF!</v>
      </c>
      <c r="R38" s="25" t="e">
        <f>IF('Residual-Rostered'!#REF!=0,"-",'Residual-Rostered'!#REF!)</f>
        <v>#REF!</v>
      </c>
      <c r="S38" s="25" t="e">
        <f>IF('Residual-Rostered'!#REF!=0,"-",'Residual-Rostered'!#REF!)</f>
        <v>#REF!</v>
      </c>
      <c r="T38" s="25" t="e">
        <f>IF('Residual-Rostered'!#REF!=0,"-",'Residual-Rostered'!#REF!)</f>
        <v>#REF!</v>
      </c>
      <c r="U38" s="25" t="e">
        <f>IF('Residual-Rostered'!#REF!=0,"-",'Residual-Rostered'!#REF!)</f>
        <v>#REF!</v>
      </c>
      <c r="V38" s="25" t="e">
        <f>IF('Residual-Rostered'!#REF!=0,"-",'Residual-Rostered'!#REF!)</f>
        <v>#REF!</v>
      </c>
      <c r="W38" s="25" t="e">
        <f>IF('Residual-Rostered'!#REF!=0,"-",'Residual-Rostered'!#REF!)</f>
        <v>#REF!</v>
      </c>
      <c r="X38" s="25" t="e">
        <f>IF('Residual-Rostered'!#REF!=0,"-",'Residual-Rostered'!#REF!)</f>
        <v>#REF!</v>
      </c>
      <c r="Y38" s="25" t="e">
        <f>IF('Residual-Rostered'!#REF!=0,"-",'Residual-Rostered'!#REF!)</f>
        <v>#REF!</v>
      </c>
      <c r="Z38" s="25" t="e">
        <f>IF('Residual-Rostered'!#REF!=0,"-",'Residual-Rostered'!#REF!)</f>
        <v>#REF!</v>
      </c>
      <c r="AA38" s="25" t="e">
        <f>IF('Residual-Rostered'!#REF!=0,"-",'Residual-Rostered'!#REF!)</f>
        <v>#REF!</v>
      </c>
      <c r="AB38" s="25" t="e">
        <f>IF('Residual-Rostered'!#REF!=0,"-",'Residual-Rostered'!#REF!)</f>
        <v>#REF!</v>
      </c>
      <c r="AC38" s="25" t="e">
        <f>IF('Residual-Rostered'!#REF!=0,"-",'Residual-Rostered'!#REF!)</f>
        <v>#REF!</v>
      </c>
      <c r="AD38" s="25" t="e">
        <f>IF('Residual-Rostered'!#REF!=0,"-",'Residual-Rostered'!#REF!)</f>
        <v>#REF!</v>
      </c>
      <c r="AE38" s="25" t="e">
        <f>IF('Residual-Rostered'!#REF!=0,"-",'Residual-Rostered'!#REF!)</f>
        <v>#REF!</v>
      </c>
      <c r="AF38" s="25" t="e">
        <f>IF('Residual-Rostered'!#REF!=0,"-",'Residual-Rostered'!#REF!)</f>
        <v>#REF!</v>
      </c>
      <c r="AG38" s="25" t="e">
        <f>IF('Residual-Rostered'!#REF!=0,"-",'Residual-Rostered'!#REF!)</f>
        <v>#REF!</v>
      </c>
      <c r="AH38" s="25" t="e">
        <f>IF('Residual-Rostered'!#REF!=0,"-",'Residual-Rostered'!#REF!)</f>
        <v>#REF!</v>
      </c>
      <c r="AI38" s="25" t="e">
        <f>IF('Residual-Rostered'!#REF!=0,"-",'Residual-Rostered'!#REF!)</f>
        <v>#REF!</v>
      </c>
      <c r="AJ38" s="25" t="e">
        <f>IF('Residual-Rostered'!#REF!=0,"-",'Residual-Rostered'!#REF!)</f>
        <v>#REF!</v>
      </c>
      <c r="AK38" s="25" t="e">
        <f>IF('Residual-Rostered'!#REF!=0,"-",'Residual-Rostered'!#REF!)</f>
        <v>#REF!</v>
      </c>
      <c r="AL38" s="25" t="e">
        <f>IF('Residual-Rostered'!#REF!=0,"-",'Residual-Rostered'!#REF!)</f>
        <v>#REF!</v>
      </c>
      <c r="AM38" s="25" t="e">
        <f>IF('Residual-Rostered'!#REF!=0,"-",'Residual-Rostered'!#REF!)</f>
        <v>#REF!</v>
      </c>
      <c r="AN38" s="25" t="e">
        <f>IF('Residual-Rostered'!#REF!=0,"-",'Residual-Rostered'!#REF!)</f>
        <v>#REF!</v>
      </c>
      <c r="AO38" s="25" t="e">
        <f>IF('Residual-Rostered'!#REF!=0,"-",'Residual-Rostered'!#REF!)</f>
        <v>#REF!</v>
      </c>
      <c r="AP38" s="25" t="e">
        <f>IF('Residual-Rostered'!#REF!=0,"-",'Residual-Rostered'!#REF!)</f>
        <v>#REF!</v>
      </c>
      <c r="AQ38" s="25" t="e">
        <f>IF('Residual-Rostered'!#REF!=0,"-",'Residual-Rostered'!#REF!)</f>
        <v>#REF!</v>
      </c>
      <c r="AR38" s="25" t="e">
        <f>IF('Residual-Rostered'!#REF!=0,"-",'Residual-Rostered'!#REF!)</f>
        <v>#REF!</v>
      </c>
      <c r="AS38" s="25" t="e">
        <f>IF('Residual-Rostered'!#REF!=0,"-",'Residual-Rostered'!#REF!)</f>
        <v>#REF!</v>
      </c>
    </row>
    <row r="39" spans="1:45" x14ac:dyDescent="0.25">
      <c r="A39" s="25" t="e">
        <f>'Residual-Rostered'!#REF!</f>
        <v>#REF!</v>
      </c>
      <c r="B39" s="25" t="e">
        <f>'Residual-Rostered'!#REF!</f>
        <v>#REF!</v>
      </c>
      <c r="C39" s="25" t="e">
        <f>'Residual-Rostered'!#REF!</f>
        <v>#REF!</v>
      </c>
      <c r="D39" s="25" t="e">
        <f>IF('Residual-Rostered'!#REF!=0,"-",'Residual-Rostered'!#REF!)</f>
        <v>#REF!</v>
      </c>
      <c r="E39" s="25" t="e">
        <f>IF('Residual-Rostered'!#REF!=0,"-",'Residual-Rostered'!#REF!)</f>
        <v>#REF!</v>
      </c>
      <c r="F39" s="25" t="e">
        <f>IF('Residual-Rostered'!#REF!=0,"-",'Residual-Rostered'!#REF!)</f>
        <v>#REF!</v>
      </c>
      <c r="G39" s="25" t="e">
        <f>IF('Residual-Rostered'!#REF!=0,"-",'Residual-Rostered'!#REF!)</f>
        <v>#REF!</v>
      </c>
      <c r="H39" s="25" t="e">
        <f>IF('Residual-Rostered'!#REF!=0,"-",'Residual-Rostered'!#REF!)</f>
        <v>#REF!</v>
      </c>
      <c r="I39" s="25" t="e">
        <f>IF('Residual-Rostered'!#REF!=0,"-",'Residual-Rostered'!#REF!)</f>
        <v>#REF!</v>
      </c>
      <c r="J39" s="25" t="e">
        <f>IF('Residual-Rostered'!#REF!=0,"-",'Residual-Rostered'!#REF!)</f>
        <v>#REF!</v>
      </c>
      <c r="K39" s="25" t="e">
        <f>IF('Residual-Rostered'!#REF!=0,"-",'Residual-Rostered'!#REF!)</f>
        <v>#REF!</v>
      </c>
      <c r="L39" s="25" t="e">
        <f>IF('Residual-Rostered'!#REF!=0,"-",'Residual-Rostered'!#REF!)</f>
        <v>#REF!</v>
      </c>
      <c r="M39" s="25" t="e">
        <f>IF('Residual-Rostered'!#REF!=0,"-",'Residual-Rostered'!#REF!)</f>
        <v>#REF!</v>
      </c>
      <c r="N39" s="25" t="e">
        <f>IF('Residual-Rostered'!#REF!=0,"-",'Residual-Rostered'!#REF!)</f>
        <v>#REF!</v>
      </c>
      <c r="O39" s="25" t="e">
        <f>IF('Residual-Rostered'!#REF!=0,"-",'Residual-Rostered'!#REF!)</f>
        <v>#REF!</v>
      </c>
      <c r="P39" s="25" t="e">
        <f>IF('Residual-Rostered'!#REF!=0,"-",'Residual-Rostered'!#REF!)</f>
        <v>#REF!</v>
      </c>
      <c r="Q39" s="25" t="e">
        <f>IF('Residual-Rostered'!#REF!=0,"-",'Residual-Rostered'!#REF!)</f>
        <v>#REF!</v>
      </c>
      <c r="R39" s="25" t="e">
        <f>IF('Residual-Rostered'!#REF!=0,"-",'Residual-Rostered'!#REF!)</f>
        <v>#REF!</v>
      </c>
      <c r="S39" s="25" t="e">
        <f>IF('Residual-Rostered'!#REF!=0,"-",'Residual-Rostered'!#REF!)</f>
        <v>#REF!</v>
      </c>
      <c r="T39" s="25" t="e">
        <f>IF('Residual-Rostered'!#REF!=0,"-",'Residual-Rostered'!#REF!)</f>
        <v>#REF!</v>
      </c>
      <c r="U39" s="25" t="e">
        <f>IF('Residual-Rostered'!#REF!=0,"-",'Residual-Rostered'!#REF!)</f>
        <v>#REF!</v>
      </c>
      <c r="V39" s="25" t="e">
        <f>IF('Residual-Rostered'!#REF!=0,"-",'Residual-Rostered'!#REF!)</f>
        <v>#REF!</v>
      </c>
      <c r="W39" s="25" t="e">
        <f>IF('Residual-Rostered'!#REF!=0,"-",'Residual-Rostered'!#REF!)</f>
        <v>#REF!</v>
      </c>
      <c r="X39" s="25" t="e">
        <f>IF('Residual-Rostered'!#REF!=0,"-",'Residual-Rostered'!#REF!)</f>
        <v>#REF!</v>
      </c>
      <c r="Y39" s="25" t="e">
        <f>IF('Residual-Rostered'!#REF!=0,"-",'Residual-Rostered'!#REF!)</f>
        <v>#REF!</v>
      </c>
      <c r="Z39" s="25" t="e">
        <f>IF('Residual-Rostered'!#REF!=0,"-",'Residual-Rostered'!#REF!)</f>
        <v>#REF!</v>
      </c>
      <c r="AA39" s="25" t="e">
        <f>IF('Residual-Rostered'!#REF!=0,"-",'Residual-Rostered'!#REF!)</f>
        <v>#REF!</v>
      </c>
      <c r="AB39" s="25" t="e">
        <f>IF('Residual-Rostered'!#REF!=0,"-",'Residual-Rostered'!#REF!)</f>
        <v>#REF!</v>
      </c>
      <c r="AC39" s="25" t="e">
        <f>IF('Residual-Rostered'!#REF!=0,"-",'Residual-Rostered'!#REF!)</f>
        <v>#REF!</v>
      </c>
      <c r="AD39" s="25" t="e">
        <f>IF('Residual-Rostered'!#REF!=0,"-",'Residual-Rostered'!#REF!)</f>
        <v>#REF!</v>
      </c>
      <c r="AE39" s="25" t="e">
        <f>IF('Residual-Rostered'!#REF!=0,"-",'Residual-Rostered'!#REF!)</f>
        <v>#REF!</v>
      </c>
      <c r="AF39" s="25" t="e">
        <f>IF('Residual-Rostered'!#REF!=0,"-",'Residual-Rostered'!#REF!)</f>
        <v>#REF!</v>
      </c>
      <c r="AG39" s="25" t="e">
        <f>IF('Residual-Rostered'!#REF!=0,"-",'Residual-Rostered'!#REF!)</f>
        <v>#REF!</v>
      </c>
      <c r="AH39" s="25" t="e">
        <f>IF('Residual-Rostered'!#REF!=0,"-",'Residual-Rostered'!#REF!)</f>
        <v>#REF!</v>
      </c>
      <c r="AI39" s="25" t="e">
        <f>IF('Residual-Rostered'!#REF!=0,"-",'Residual-Rostered'!#REF!)</f>
        <v>#REF!</v>
      </c>
      <c r="AJ39" s="25" t="e">
        <f>IF('Residual-Rostered'!#REF!=0,"-",'Residual-Rostered'!#REF!)</f>
        <v>#REF!</v>
      </c>
      <c r="AK39" s="25" t="e">
        <f>IF('Residual-Rostered'!#REF!=0,"-",'Residual-Rostered'!#REF!)</f>
        <v>#REF!</v>
      </c>
      <c r="AL39" s="25" t="e">
        <f>IF('Residual-Rostered'!#REF!=0,"-",'Residual-Rostered'!#REF!)</f>
        <v>#REF!</v>
      </c>
      <c r="AM39" s="25" t="e">
        <f>IF('Residual-Rostered'!#REF!=0,"-",'Residual-Rostered'!#REF!)</f>
        <v>#REF!</v>
      </c>
      <c r="AN39" s="25" t="e">
        <f>IF('Residual-Rostered'!#REF!=0,"-",'Residual-Rostered'!#REF!)</f>
        <v>#REF!</v>
      </c>
      <c r="AO39" s="25" t="e">
        <f>IF('Residual-Rostered'!#REF!=0,"-",'Residual-Rostered'!#REF!)</f>
        <v>#REF!</v>
      </c>
      <c r="AP39" s="25" t="e">
        <f>IF('Residual-Rostered'!#REF!=0,"-",'Residual-Rostered'!#REF!)</f>
        <v>#REF!</v>
      </c>
      <c r="AQ39" s="25" t="e">
        <f>IF('Residual-Rostered'!#REF!=0,"-",'Residual-Rostered'!#REF!)</f>
        <v>#REF!</v>
      </c>
      <c r="AR39" s="25" t="e">
        <f>IF('Residual-Rostered'!#REF!=0,"-",'Residual-Rostered'!#REF!)</f>
        <v>#REF!</v>
      </c>
      <c r="AS39" s="25" t="e">
        <f>IF('Residual-Rostered'!#REF!=0,"-",'Residual-Rostered'!#REF!)</f>
        <v>#REF!</v>
      </c>
    </row>
    <row r="40" spans="1:45" x14ac:dyDescent="0.25">
      <c r="A40" s="25" t="e">
        <f>'Residual-Rostered'!#REF!</f>
        <v>#REF!</v>
      </c>
      <c r="B40" s="25" t="e">
        <f>'Residual-Rostered'!#REF!</f>
        <v>#REF!</v>
      </c>
      <c r="C40" s="25" t="e">
        <f>'Residual-Rostered'!#REF!</f>
        <v>#REF!</v>
      </c>
      <c r="D40" s="25" t="e">
        <f>IF('Residual-Rostered'!#REF!=0,"-",'Residual-Rostered'!#REF!)</f>
        <v>#REF!</v>
      </c>
      <c r="E40" s="25" t="e">
        <f>IF('Residual-Rostered'!#REF!=0,"-",'Residual-Rostered'!#REF!)</f>
        <v>#REF!</v>
      </c>
      <c r="F40" s="25" t="e">
        <f>IF('Residual-Rostered'!#REF!=0,"-",'Residual-Rostered'!#REF!)</f>
        <v>#REF!</v>
      </c>
      <c r="G40" s="25" t="e">
        <f>IF('Residual-Rostered'!#REF!=0,"-",'Residual-Rostered'!#REF!)</f>
        <v>#REF!</v>
      </c>
      <c r="H40" s="25" t="e">
        <f>IF('Residual-Rostered'!#REF!=0,"-",'Residual-Rostered'!#REF!)</f>
        <v>#REF!</v>
      </c>
      <c r="I40" s="25" t="e">
        <f>IF('Residual-Rostered'!#REF!=0,"-",'Residual-Rostered'!#REF!)</f>
        <v>#REF!</v>
      </c>
      <c r="J40" s="25" t="e">
        <f>IF('Residual-Rostered'!#REF!=0,"-",'Residual-Rostered'!#REF!)</f>
        <v>#REF!</v>
      </c>
      <c r="K40" s="25" t="e">
        <f>IF('Residual-Rostered'!#REF!=0,"-",'Residual-Rostered'!#REF!)</f>
        <v>#REF!</v>
      </c>
      <c r="L40" s="25" t="e">
        <f>IF('Residual-Rostered'!#REF!=0,"-",'Residual-Rostered'!#REF!)</f>
        <v>#REF!</v>
      </c>
      <c r="M40" s="25" t="e">
        <f>IF('Residual-Rostered'!#REF!=0,"-",'Residual-Rostered'!#REF!)</f>
        <v>#REF!</v>
      </c>
      <c r="N40" s="25" t="e">
        <f>IF('Residual-Rostered'!#REF!=0,"-",'Residual-Rostered'!#REF!)</f>
        <v>#REF!</v>
      </c>
      <c r="O40" s="25" t="e">
        <f>IF('Residual-Rostered'!#REF!=0,"-",'Residual-Rostered'!#REF!)</f>
        <v>#REF!</v>
      </c>
      <c r="P40" s="25" t="e">
        <f>IF('Residual-Rostered'!#REF!=0,"-",'Residual-Rostered'!#REF!)</f>
        <v>#REF!</v>
      </c>
      <c r="Q40" s="25" t="e">
        <f>IF('Residual-Rostered'!#REF!=0,"-",'Residual-Rostered'!#REF!)</f>
        <v>#REF!</v>
      </c>
      <c r="R40" s="25" t="e">
        <f>IF('Residual-Rostered'!#REF!=0,"-",'Residual-Rostered'!#REF!)</f>
        <v>#REF!</v>
      </c>
      <c r="S40" s="25" t="e">
        <f>IF('Residual-Rostered'!#REF!=0,"-",'Residual-Rostered'!#REF!)</f>
        <v>#REF!</v>
      </c>
      <c r="T40" s="25" t="e">
        <f>IF('Residual-Rostered'!#REF!=0,"-",'Residual-Rostered'!#REF!)</f>
        <v>#REF!</v>
      </c>
      <c r="U40" s="25" t="e">
        <f>IF('Residual-Rostered'!#REF!=0,"-",'Residual-Rostered'!#REF!)</f>
        <v>#REF!</v>
      </c>
      <c r="V40" s="25" t="e">
        <f>IF('Residual-Rostered'!#REF!=0,"-",'Residual-Rostered'!#REF!)</f>
        <v>#REF!</v>
      </c>
      <c r="W40" s="25" t="e">
        <f>IF('Residual-Rostered'!#REF!=0,"-",'Residual-Rostered'!#REF!)</f>
        <v>#REF!</v>
      </c>
      <c r="X40" s="25" t="e">
        <f>IF('Residual-Rostered'!#REF!=0,"-",'Residual-Rostered'!#REF!)</f>
        <v>#REF!</v>
      </c>
      <c r="Y40" s="25" t="e">
        <f>IF('Residual-Rostered'!#REF!=0,"-",'Residual-Rostered'!#REF!)</f>
        <v>#REF!</v>
      </c>
      <c r="Z40" s="25" t="e">
        <f>IF('Residual-Rostered'!#REF!=0,"-",'Residual-Rostered'!#REF!)</f>
        <v>#REF!</v>
      </c>
      <c r="AA40" s="25" t="e">
        <f>IF('Residual-Rostered'!#REF!=0,"-",'Residual-Rostered'!#REF!)</f>
        <v>#REF!</v>
      </c>
      <c r="AB40" s="25" t="e">
        <f>IF('Residual-Rostered'!#REF!=0,"-",'Residual-Rostered'!#REF!)</f>
        <v>#REF!</v>
      </c>
      <c r="AC40" s="25" t="e">
        <f>IF('Residual-Rostered'!#REF!=0,"-",'Residual-Rostered'!#REF!)</f>
        <v>#REF!</v>
      </c>
      <c r="AD40" s="25" t="e">
        <f>IF('Residual-Rostered'!#REF!=0,"-",'Residual-Rostered'!#REF!)</f>
        <v>#REF!</v>
      </c>
      <c r="AE40" s="25" t="e">
        <f>IF('Residual-Rostered'!#REF!=0,"-",'Residual-Rostered'!#REF!)</f>
        <v>#REF!</v>
      </c>
      <c r="AF40" s="25" t="e">
        <f>IF('Residual-Rostered'!#REF!=0,"-",'Residual-Rostered'!#REF!)</f>
        <v>#REF!</v>
      </c>
      <c r="AG40" s="25" t="e">
        <f>IF('Residual-Rostered'!#REF!=0,"-",'Residual-Rostered'!#REF!)</f>
        <v>#REF!</v>
      </c>
      <c r="AH40" s="25" t="e">
        <f>IF('Residual-Rostered'!#REF!=0,"-",'Residual-Rostered'!#REF!)</f>
        <v>#REF!</v>
      </c>
      <c r="AI40" s="25" t="e">
        <f>IF('Residual-Rostered'!#REF!=0,"-",'Residual-Rostered'!#REF!)</f>
        <v>#REF!</v>
      </c>
      <c r="AJ40" s="25" t="e">
        <f>IF('Residual-Rostered'!#REF!=0,"-",'Residual-Rostered'!#REF!)</f>
        <v>#REF!</v>
      </c>
      <c r="AK40" s="25" t="e">
        <f>IF('Residual-Rostered'!#REF!=0,"-",'Residual-Rostered'!#REF!)</f>
        <v>#REF!</v>
      </c>
      <c r="AL40" s="25" t="e">
        <f>IF('Residual-Rostered'!#REF!=0,"-",'Residual-Rostered'!#REF!)</f>
        <v>#REF!</v>
      </c>
      <c r="AM40" s="25" t="e">
        <f>IF('Residual-Rostered'!#REF!=0,"-",'Residual-Rostered'!#REF!)</f>
        <v>#REF!</v>
      </c>
      <c r="AN40" s="25" t="e">
        <f>IF('Residual-Rostered'!#REF!=0,"-",'Residual-Rostered'!#REF!)</f>
        <v>#REF!</v>
      </c>
      <c r="AO40" s="25" t="e">
        <f>IF('Residual-Rostered'!#REF!=0,"-",'Residual-Rostered'!#REF!)</f>
        <v>#REF!</v>
      </c>
      <c r="AP40" s="25" t="e">
        <f>IF('Residual-Rostered'!#REF!=0,"-",'Residual-Rostered'!#REF!)</f>
        <v>#REF!</v>
      </c>
      <c r="AQ40" s="25" t="e">
        <f>IF('Residual-Rostered'!#REF!=0,"-",'Residual-Rostered'!#REF!)</f>
        <v>#REF!</v>
      </c>
      <c r="AR40" s="25" t="e">
        <f>IF('Residual-Rostered'!#REF!=0,"-",'Residual-Rostered'!#REF!)</f>
        <v>#REF!</v>
      </c>
      <c r="AS40" s="25" t="e">
        <f>IF('Residual-Rostered'!#REF!=0,"-",'Residual-Rostered'!#REF!)</f>
        <v>#REF!</v>
      </c>
    </row>
    <row r="41" spans="1:45" x14ac:dyDescent="0.25">
      <c r="A41" s="25" t="e">
        <f>'Residual-Rostered'!#REF!</f>
        <v>#REF!</v>
      </c>
      <c r="B41" s="25" t="e">
        <f>'Residual-Rostered'!#REF!</f>
        <v>#REF!</v>
      </c>
      <c r="C41" s="25" t="e">
        <f>'Residual-Rostered'!#REF!</f>
        <v>#REF!</v>
      </c>
      <c r="D41" s="25" t="e">
        <f>IF('Residual-Rostered'!#REF!=0,"-",'Residual-Rostered'!#REF!)</f>
        <v>#REF!</v>
      </c>
      <c r="E41" s="25" t="e">
        <f>IF('Residual-Rostered'!#REF!=0,"-",'Residual-Rostered'!#REF!)</f>
        <v>#REF!</v>
      </c>
      <c r="F41" s="25" t="e">
        <f>IF('Residual-Rostered'!#REF!=0,"-",'Residual-Rostered'!#REF!)</f>
        <v>#REF!</v>
      </c>
      <c r="G41" s="25" t="e">
        <f>IF('Residual-Rostered'!#REF!=0,"-",'Residual-Rostered'!#REF!)</f>
        <v>#REF!</v>
      </c>
      <c r="H41" s="25" t="e">
        <f>IF('Residual-Rostered'!#REF!=0,"-",'Residual-Rostered'!#REF!)</f>
        <v>#REF!</v>
      </c>
      <c r="I41" s="25" t="e">
        <f>IF('Residual-Rostered'!#REF!=0,"-",'Residual-Rostered'!#REF!)</f>
        <v>#REF!</v>
      </c>
      <c r="J41" s="25" t="e">
        <f>IF('Residual-Rostered'!#REF!=0,"-",'Residual-Rostered'!#REF!)</f>
        <v>#REF!</v>
      </c>
      <c r="K41" s="25" t="e">
        <f>IF('Residual-Rostered'!#REF!=0,"-",'Residual-Rostered'!#REF!)</f>
        <v>#REF!</v>
      </c>
      <c r="L41" s="25" t="e">
        <f>IF('Residual-Rostered'!#REF!=0,"-",'Residual-Rostered'!#REF!)</f>
        <v>#REF!</v>
      </c>
      <c r="M41" s="25" t="e">
        <f>IF('Residual-Rostered'!#REF!=0,"-",'Residual-Rostered'!#REF!)</f>
        <v>#REF!</v>
      </c>
      <c r="N41" s="25" t="e">
        <f>IF('Residual-Rostered'!#REF!=0,"-",'Residual-Rostered'!#REF!)</f>
        <v>#REF!</v>
      </c>
      <c r="O41" s="25" t="e">
        <f>IF('Residual-Rostered'!#REF!=0,"-",'Residual-Rostered'!#REF!)</f>
        <v>#REF!</v>
      </c>
      <c r="P41" s="25" t="e">
        <f>IF('Residual-Rostered'!#REF!=0,"-",'Residual-Rostered'!#REF!)</f>
        <v>#REF!</v>
      </c>
      <c r="Q41" s="25" t="e">
        <f>IF('Residual-Rostered'!#REF!=0,"-",'Residual-Rostered'!#REF!)</f>
        <v>#REF!</v>
      </c>
      <c r="R41" s="25" t="e">
        <f>IF('Residual-Rostered'!#REF!=0,"-",'Residual-Rostered'!#REF!)</f>
        <v>#REF!</v>
      </c>
      <c r="S41" s="25" t="e">
        <f>IF('Residual-Rostered'!#REF!=0,"-",'Residual-Rostered'!#REF!)</f>
        <v>#REF!</v>
      </c>
      <c r="T41" s="25" t="e">
        <f>IF('Residual-Rostered'!#REF!=0,"-",'Residual-Rostered'!#REF!)</f>
        <v>#REF!</v>
      </c>
      <c r="U41" s="25" t="e">
        <f>IF('Residual-Rostered'!#REF!=0,"-",'Residual-Rostered'!#REF!)</f>
        <v>#REF!</v>
      </c>
      <c r="V41" s="25" t="e">
        <f>IF('Residual-Rostered'!#REF!=0,"-",'Residual-Rostered'!#REF!)</f>
        <v>#REF!</v>
      </c>
      <c r="W41" s="25" t="e">
        <f>IF('Residual-Rostered'!#REF!=0,"-",'Residual-Rostered'!#REF!)</f>
        <v>#REF!</v>
      </c>
      <c r="X41" s="25" t="e">
        <f>IF('Residual-Rostered'!#REF!=0,"-",'Residual-Rostered'!#REF!)</f>
        <v>#REF!</v>
      </c>
      <c r="Y41" s="25" t="e">
        <f>IF('Residual-Rostered'!#REF!=0,"-",'Residual-Rostered'!#REF!)</f>
        <v>#REF!</v>
      </c>
      <c r="Z41" s="25" t="e">
        <f>IF('Residual-Rostered'!#REF!=0,"-",'Residual-Rostered'!#REF!)</f>
        <v>#REF!</v>
      </c>
      <c r="AA41" s="25" t="e">
        <f>IF('Residual-Rostered'!#REF!=0,"-",'Residual-Rostered'!#REF!)</f>
        <v>#REF!</v>
      </c>
      <c r="AB41" s="25" t="e">
        <f>IF('Residual-Rostered'!#REF!=0,"-",'Residual-Rostered'!#REF!)</f>
        <v>#REF!</v>
      </c>
      <c r="AC41" s="25" t="e">
        <f>IF('Residual-Rostered'!#REF!=0,"-",'Residual-Rostered'!#REF!)</f>
        <v>#REF!</v>
      </c>
      <c r="AD41" s="25" t="e">
        <f>IF('Residual-Rostered'!#REF!=0,"-",'Residual-Rostered'!#REF!)</f>
        <v>#REF!</v>
      </c>
      <c r="AE41" s="25" t="e">
        <f>IF('Residual-Rostered'!#REF!=0,"-",'Residual-Rostered'!#REF!)</f>
        <v>#REF!</v>
      </c>
      <c r="AF41" s="25" t="e">
        <f>IF('Residual-Rostered'!#REF!=0,"-",'Residual-Rostered'!#REF!)</f>
        <v>#REF!</v>
      </c>
      <c r="AG41" s="25" t="e">
        <f>IF('Residual-Rostered'!#REF!=0,"-",'Residual-Rostered'!#REF!)</f>
        <v>#REF!</v>
      </c>
      <c r="AH41" s="25" t="e">
        <f>IF('Residual-Rostered'!#REF!=0,"-",'Residual-Rostered'!#REF!)</f>
        <v>#REF!</v>
      </c>
      <c r="AI41" s="25" t="e">
        <f>IF('Residual-Rostered'!#REF!=0,"-",'Residual-Rostered'!#REF!)</f>
        <v>#REF!</v>
      </c>
      <c r="AJ41" s="25" t="e">
        <f>IF('Residual-Rostered'!#REF!=0,"-",'Residual-Rostered'!#REF!)</f>
        <v>#REF!</v>
      </c>
      <c r="AK41" s="25" t="e">
        <f>IF('Residual-Rostered'!#REF!=0,"-",'Residual-Rostered'!#REF!)</f>
        <v>#REF!</v>
      </c>
      <c r="AL41" s="25" t="e">
        <f>IF('Residual-Rostered'!#REF!=0,"-",'Residual-Rostered'!#REF!)</f>
        <v>#REF!</v>
      </c>
      <c r="AM41" s="25" t="e">
        <f>IF('Residual-Rostered'!#REF!=0,"-",'Residual-Rostered'!#REF!)</f>
        <v>#REF!</v>
      </c>
      <c r="AN41" s="25" t="e">
        <f>IF('Residual-Rostered'!#REF!=0,"-",'Residual-Rostered'!#REF!)</f>
        <v>#REF!</v>
      </c>
      <c r="AO41" s="25" t="e">
        <f>IF('Residual-Rostered'!#REF!=0,"-",'Residual-Rostered'!#REF!)</f>
        <v>#REF!</v>
      </c>
      <c r="AP41" s="25" t="e">
        <f>IF('Residual-Rostered'!#REF!=0,"-",'Residual-Rostered'!#REF!)</f>
        <v>#REF!</v>
      </c>
      <c r="AQ41" s="25" t="e">
        <f>IF('Residual-Rostered'!#REF!=0,"-",'Residual-Rostered'!#REF!)</f>
        <v>#REF!</v>
      </c>
      <c r="AR41" s="25" t="e">
        <f>IF('Residual-Rostered'!#REF!=0,"-",'Residual-Rostered'!#REF!)</f>
        <v>#REF!</v>
      </c>
      <c r="AS41" s="25" t="e">
        <f>IF('Residual-Rostered'!#REF!=0,"-",'Residual-Rostered'!#REF!)</f>
        <v>#REF!</v>
      </c>
    </row>
    <row r="42" spans="1:45" x14ac:dyDescent="0.25">
      <c r="A42" s="25" t="e">
        <f>'Residual-Rostered'!#REF!</f>
        <v>#REF!</v>
      </c>
      <c r="B42" s="25" t="e">
        <f>'Residual-Rostered'!#REF!</f>
        <v>#REF!</v>
      </c>
      <c r="C42" s="25" t="e">
        <f>'Residual-Rostered'!#REF!</f>
        <v>#REF!</v>
      </c>
      <c r="D42" s="25" t="e">
        <f>IF('Residual-Rostered'!#REF!=0,"-",'Residual-Rostered'!#REF!)</f>
        <v>#REF!</v>
      </c>
      <c r="E42" s="25" t="e">
        <f>IF('Residual-Rostered'!#REF!=0,"-",'Residual-Rostered'!#REF!)</f>
        <v>#REF!</v>
      </c>
      <c r="F42" s="25" t="e">
        <f>IF('Residual-Rostered'!#REF!=0,"-",'Residual-Rostered'!#REF!)</f>
        <v>#REF!</v>
      </c>
      <c r="G42" s="25" t="e">
        <f>IF('Residual-Rostered'!#REF!=0,"-",'Residual-Rostered'!#REF!)</f>
        <v>#REF!</v>
      </c>
      <c r="H42" s="25" t="e">
        <f>IF('Residual-Rostered'!#REF!=0,"-",'Residual-Rostered'!#REF!)</f>
        <v>#REF!</v>
      </c>
      <c r="I42" s="25" t="e">
        <f>IF('Residual-Rostered'!#REF!=0,"-",'Residual-Rostered'!#REF!)</f>
        <v>#REF!</v>
      </c>
      <c r="J42" s="25" t="e">
        <f>IF('Residual-Rostered'!#REF!=0,"-",'Residual-Rostered'!#REF!)</f>
        <v>#REF!</v>
      </c>
      <c r="K42" s="25" t="e">
        <f>IF('Residual-Rostered'!#REF!=0,"-",'Residual-Rostered'!#REF!)</f>
        <v>#REF!</v>
      </c>
      <c r="L42" s="25" t="e">
        <f>IF('Residual-Rostered'!#REF!=0,"-",'Residual-Rostered'!#REF!)</f>
        <v>#REF!</v>
      </c>
      <c r="M42" s="25" t="e">
        <f>IF('Residual-Rostered'!#REF!=0,"-",'Residual-Rostered'!#REF!)</f>
        <v>#REF!</v>
      </c>
      <c r="N42" s="25" t="e">
        <f>IF('Residual-Rostered'!#REF!=0,"-",'Residual-Rostered'!#REF!)</f>
        <v>#REF!</v>
      </c>
      <c r="O42" s="25" t="e">
        <f>IF('Residual-Rostered'!#REF!=0,"-",'Residual-Rostered'!#REF!)</f>
        <v>#REF!</v>
      </c>
      <c r="P42" s="25" t="e">
        <f>IF('Residual-Rostered'!#REF!=0,"-",'Residual-Rostered'!#REF!)</f>
        <v>#REF!</v>
      </c>
      <c r="Q42" s="25" t="e">
        <f>IF('Residual-Rostered'!#REF!=0,"-",'Residual-Rostered'!#REF!)</f>
        <v>#REF!</v>
      </c>
      <c r="R42" s="25" t="e">
        <f>IF('Residual-Rostered'!#REF!=0,"-",'Residual-Rostered'!#REF!)</f>
        <v>#REF!</v>
      </c>
      <c r="S42" s="25" t="e">
        <f>IF('Residual-Rostered'!#REF!=0,"-",'Residual-Rostered'!#REF!)</f>
        <v>#REF!</v>
      </c>
      <c r="T42" s="25" t="e">
        <f>IF('Residual-Rostered'!#REF!=0,"-",'Residual-Rostered'!#REF!)</f>
        <v>#REF!</v>
      </c>
      <c r="U42" s="25" t="e">
        <f>IF('Residual-Rostered'!#REF!=0,"-",'Residual-Rostered'!#REF!)</f>
        <v>#REF!</v>
      </c>
      <c r="V42" s="25" t="e">
        <f>IF('Residual-Rostered'!#REF!=0,"-",'Residual-Rostered'!#REF!)</f>
        <v>#REF!</v>
      </c>
      <c r="W42" s="25" t="e">
        <f>IF('Residual-Rostered'!#REF!=0,"-",'Residual-Rostered'!#REF!)</f>
        <v>#REF!</v>
      </c>
      <c r="X42" s="25" t="e">
        <f>IF('Residual-Rostered'!#REF!=0,"-",'Residual-Rostered'!#REF!)</f>
        <v>#REF!</v>
      </c>
      <c r="Y42" s="25" t="e">
        <f>IF('Residual-Rostered'!#REF!=0,"-",'Residual-Rostered'!#REF!)</f>
        <v>#REF!</v>
      </c>
      <c r="Z42" s="25" t="e">
        <f>IF('Residual-Rostered'!#REF!=0,"-",'Residual-Rostered'!#REF!)</f>
        <v>#REF!</v>
      </c>
      <c r="AA42" s="25" t="e">
        <f>IF('Residual-Rostered'!#REF!=0,"-",'Residual-Rostered'!#REF!)</f>
        <v>#REF!</v>
      </c>
      <c r="AB42" s="25" t="e">
        <f>IF('Residual-Rostered'!#REF!=0,"-",'Residual-Rostered'!#REF!)</f>
        <v>#REF!</v>
      </c>
      <c r="AC42" s="25" t="e">
        <f>IF('Residual-Rostered'!#REF!=0,"-",'Residual-Rostered'!#REF!)</f>
        <v>#REF!</v>
      </c>
      <c r="AD42" s="25" t="e">
        <f>IF('Residual-Rostered'!#REF!=0,"-",'Residual-Rostered'!#REF!)</f>
        <v>#REF!</v>
      </c>
      <c r="AE42" s="25" t="e">
        <f>IF('Residual-Rostered'!#REF!=0,"-",'Residual-Rostered'!#REF!)</f>
        <v>#REF!</v>
      </c>
      <c r="AF42" s="25" t="e">
        <f>IF('Residual-Rostered'!#REF!=0,"-",'Residual-Rostered'!#REF!)</f>
        <v>#REF!</v>
      </c>
      <c r="AG42" s="25" t="e">
        <f>IF('Residual-Rostered'!#REF!=0,"-",'Residual-Rostered'!#REF!)</f>
        <v>#REF!</v>
      </c>
      <c r="AH42" s="25" t="e">
        <f>IF('Residual-Rostered'!#REF!=0,"-",'Residual-Rostered'!#REF!)</f>
        <v>#REF!</v>
      </c>
      <c r="AI42" s="25" t="e">
        <f>IF('Residual-Rostered'!#REF!=0,"-",'Residual-Rostered'!#REF!)</f>
        <v>#REF!</v>
      </c>
      <c r="AJ42" s="25" t="e">
        <f>IF('Residual-Rostered'!#REF!=0,"-",'Residual-Rostered'!#REF!)</f>
        <v>#REF!</v>
      </c>
      <c r="AK42" s="25" t="e">
        <f>IF('Residual-Rostered'!#REF!=0,"-",'Residual-Rostered'!#REF!)</f>
        <v>#REF!</v>
      </c>
      <c r="AL42" s="25" t="e">
        <f>IF('Residual-Rostered'!#REF!=0,"-",'Residual-Rostered'!#REF!)</f>
        <v>#REF!</v>
      </c>
      <c r="AM42" s="25" t="e">
        <f>IF('Residual-Rostered'!#REF!=0,"-",'Residual-Rostered'!#REF!)</f>
        <v>#REF!</v>
      </c>
      <c r="AN42" s="25" t="e">
        <f>IF('Residual-Rostered'!#REF!=0,"-",'Residual-Rostered'!#REF!)</f>
        <v>#REF!</v>
      </c>
      <c r="AO42" s="25" t="e">
        <f>IF('Residual-Rostered'!#REF!=0,"-",'Residual-Rostered'!#REF!)</f>
        <v>#REF!</v>
      </c>
      <c r="AP42" s="25" t="e">
        <f>IF('Residual-Rostered'!#REF!=0,"-",'Residual-Rostered'!#REF!)</f>
        <v>#REF!</v>
      </c>
      <c r="AQ42" s="25" t="e">
        <f>IF('Residual-Rostered'!#REF!=0,"-",'Residual-Rostered'!#REF!)</f>
        <v>#REF!</v>
      </c>
      <c r="AR42" s="25" t="e">
        <f>IF('Residual-Rostered'!#REF!=0,"-",'Residual-Rostered'!#REF!)</f>
        <v>#REF!</v>
      </c>
      <c r="AS42" s="25" t="e">
        <f>IF('Residual-Rostered'!#REF!=0,"-",'Residual-Rostered'!#REF!)</f>
        <v>#REF!</v>
      </c>
    </row>
    <row r="43" spans="1:45" ht="26.25" hidden="1" x14ac:dyDescent="0.25">
      <c r="A43" s="25" t="e">
        <f>'Residual-Rostered'!#REF!</f>
        <v>#REF!</v>
      </c>
      <c r="B43" s="25" t="e">
        <f>'Residual-Rostered'!#REF!</f>
        <v>#REF!</v>
      </c>
      <c r="C43" s="25" t="e">
        <f>'Residual-Rostered'!#REF!</f>
        <v>#REF!</v>
      </c>
      <c r="D43" s="25" t="e">
        <f>IF('Residual-Rostered'!#REF!=0,"-",'Residual-Rostered'!#REF!)</f>
        <v>#REF!</v>
      </c>
      <c r="E43" s="25" t="e">
        <f>IF('Residual-Rostered'!#REF!=0,"-",'Residual-Rostered'!#REF!)</f>
        <v>#REF!</v>
      </c>
      <c r="F43" s="25" t="e">
        <f>IF('Residual-Rostered'!#REF!=0,"-",'Residual-Rostered'!#REF!)</f>
        <v>#REF!</v>
      </c>
      <c r="G43" s="25" t="e">
        <f>IF('Residual-Rostered'!#REF!=0,"-",'Residual-Rostered'!#REF!)</f>
        <v>#REF!</v>
      </c>
      <c r="H43" s="25" t="e">
        <f>IF('Residual-Rostered'!#REF!=0,"-",'Residual-Rostered'!#REF!)</f>
        <v>#REF!</v>
      </c>
      <c r="I43" s="25" t="e">
        <f>IF('Residual-Rostered'!#REF!=0,"-",'Residual-Rostered'!#REF!)</f>
        <v>#REF!</v>
      </c>
      <c r="J43" s="25" t="e">
        <f>IF('Residual-Rostered'!#REF!=0,"-",'Residual-Rostered'!#REF!)</f>
        <v>#REF!</v>
      </c>
      <c r="K43" s="25" t="e">
        <f>IF('Residual-Rostered'!#REF!=0,"-",'Residual-Rostered'!#REF!)</f>
        <v>#REF!</v>
      </c>
      <c r="L43" s="25" t="e">
        <f>IF('Residual-Rostered'!#REF!=0,"-",'Residual-Rostered'!#REF!)</f>
        <v>#REF!</v>
      </c>
      <c r="M43" s="25" t="e">
        <f>IF('Residual-Rostered'!#REF!=0,"-",'Residual-Rostered'!#REF!)</f>
        <v>#REF!</v>
      </c>
      <c r="N43" s="25" t="e">
        <f>IF('Residual-Rostered'!#REF!=0,"-",'Residual-Rostered'!#REF!)</f>
        <v>#REF!</v>
      </c>
      <c r="O43" s="25" t="e">
        <f>IF('Residual-Rostered'!#REF!=0,"-",'Residual-Rostered'!#REF!)</f>
        <v>#REF!</v>
      </c>
      <c r="P43" s="25" t="e">
        <f>IF('Residual-Rostered'!#REF!=0,"-",'Residual-Rostered'!#REF!)</f>
        <v>#REF!</v>
      </c>
      <c r="Q43" s="25" t="e">
        <f>IF('Residual-Rostered'!#REF!=0,"-",'Residual-Rostered'!#REF!)</f>
        <v>#REF!</v>
      </c>
      <c r="R43" s="25" t="e">
        <f>IF('Residual-Rostered'!#REF!=0,"-",'Residual-Rostered'!#REF!)</f>
        <v>#REF!</v>
      </c>
      <c r="S43" s="25" t="e">
        <f>IF('Residual-Rostered'!#REF!=0,"-",'Residual-Rostered'!#REF!)</f>
        <v>#REF!</v>
      </c>
      <c r="T43" s="25" t="e">
        <f>IF('Residual-Rostered'!#REF!=0,"-",'Residual-Rostered'!#REF!)</f>
        <v>#REF!</v>
      </c>
      <c r="U43" s="25" t="e">
        <f>IF('Residual-Rostered'!#REF!=0,"-",'Residual-Rostered'!#REF!)</f>
        <v>#REF!</v>
      </c>
      <c r="V43" s="25" t="e">
        <f>IF('Residual-Rostered'!#REF!=0,"-",'Residual-Rostered'!#REF!)</f>
        <v>#REF!</v>
      </c>
      <c r="W43" s="25" t="e">
        <f>IF('Residual-Rostered'!#REF!=0,"-",'Residual-Rostered'!#REF!)</f>
        <v>#REF!</v>
      </c>
      <c r="X43" s="25" t="e">
        <f>IF('Residual-Rostered'!#REF!=0,"-",'Residual-Rostered'!#REF!)</f>
        <v>#REF!</v>
      </c>
      <c r="Y43" s="25" t="e">
        <f>IF('Residual-Rostered'!#REF!=0,"-",'Residual-Rostered'!#REF!)</f>
        <v>#REF!</v>
      </c>
      <c r="Z43" s="25" t="e">
        <f>IF('Residual-Rostered'!#REF!=0,"-",'Residual-Rostered'!#REF!)</f>
        <v>#REF!</v>
      </c>
      <c r="AA43" s="25" t="e">
        <f>IF('Residual-Rostered'!#REF!=0,"-",'Residual-Rostered'!#REF!)</f>
        <v>#REF!</v>
      </c>
      <c r="AB43" s="25" t="e">
        <f>IF('Residual-Rostered'!#REF!=0,"-",'Residual-Rostered'!#REF!)</f>
        <v>#REF!</v>
      </c>
      <c r="AC43" s="25" t="e">
        <f>IF('Residual-Rostered'!#REF!=0,"-",'Residual-Rostered'!#REF!)</f>
        <v>#REF!</v>
      </c>
      <c r="AD43" s="25" t="e">
        <f>IF('Residual-Rostered'!#REF!=0,"-",'Residual-Rostered'!#REF!)</f>
        <v>#REF!</v>
      </c>
      <c r="AE43" s="25" t="e">
        <f>IF('Residual-Rostered'!#REF!=0,"-",'Residual-Rostered'!#REF!)</f>
        <v>#REF!</v>
      </c>
      <c r="AF43" s="25" t="e">
        <f>IF('Residual-Rostered'!#REF!=0,"-",'Residual-Rostered'!#REF!)</f>
        <v>#REF!</v>
      </c>
      <c r="AG43" s="25" t="e">
        <f>IF('Residual-Rostered'!#REF!=0,"-",'Residual-Rostered'!#REF!)</f>
        <v>#REF!</v>
      </c>
      <c r="AH43" s="25" t="e">
        <f>IF('Residual-Rostered'!#REF!=0,"-",'Residual-Rostered'!#REF!)</f>
        <v>#REF!</v>
      </c>
      <c r="AI43" s="25" t="e">
        <f>IF('Residual-Rostered'!#REF!=0,"-",'Residual-Rostered'!#REF!)</f>
        <v>#REF!</v>
      </c>
      <c r="AJ43" s="25" t="e">
        <f>IF('Residual-Rostered'!#REF!=0,"-",'Residual-Rostered'!#REF!)</f>
        <v>#REF!</v>
      </c>
      <c r="AK43" s="25" t="e">
        <f>IF('Residual-Rostered'!#REF!=0,"-",'Residual-Rostered'!#REF!)</f>
        <v>#REF!</v>
      </c>
      <c r="AL43" s="25" t="e">
        <f>IF('Residual-Rostered'!#REF!=0,"-",'Residual-Rostered'!#REF!)</f>
        <v>#REF!</v>
      </c>
      <c r="AM43" s="25" t="e">
        <f>IF('Residual-Rostered'!#REF!=0,"-",'Residual-Rostered'!#REF!)</f>
        <v>#REF!</v>
      </c>
      <c r="AN43" s="25" t="e">
        <f>IF('Residual-Rostered'!#REF!=0,"-",'Residual-Rostered'!#REF!)</f>
        <v>#REF!</v>
      </c>
      <c r="AO43" s="25" t="e">
        <f>IF('Residual-Rostered'!#REF!=0,"-",'Residual-Rostered'!#REF!)</f>
        <v>#REF!</v>
      </c>
      <c r="AP43" s="25" t="e">
        <f>IF('Residual-Rostered'!#REF!=0,"-",'Residual-Rostered'!#REF!)</f>
        <v>#REF!</v>
      </c>
      <c r="AQ43" s="25" t="e">
        <f>IF('Residual-Rostered'!#REF!=0,"-",'Residual-Rostered'!#REF!)</f>
        <v>#REF!</v>
      </c>
      <c r="AR43" s="25" t="e">
        <f>IF('Residual-Rostered'!#REF!=0,"-",'Residual-Rostered'!#REF!)</f>
        <v>#REF!</v>
      </c>
      <c r="AS43" s="25" t="e">
        <f>IF('Residual-Rostered'!#REF!=0,"-",'Residual-Rostered'!#REF!)</f>
        <v>#REF!</v>
      </c>
    </row>
    <row r="44" spans="1:45" x14ac:dyDescent="0.25">
      <c r="A44" s="25" t="e">
        <f>'Residual-Rostered'!#REF!</f>
        <v>#REF!</v>
      </c>
      <c r="B44" s="25" t="e">
        <f>'Residual-Rostered'!#REF!</f>
        <v>#REF!</v>
      </c>
      <c r="C44" s="25" t="e">
        <f>'Residual-Rostered'!#REF!</f>
        <v>#REF!</v>
      </c>
      <c r="D44" s="25" t="e">
        <f>IF('Residual-Rostered'!#REF!=0,"-",'Residual-Rostered'!#REF!)</f>
        <v>#REF!</v>
      </c>
      <c r="E44" s="25" t="e">
        <f>IF('Residual-Rostered'!#REF!=0,"-",'Residual-Rostered'!#REF!)</f>
        <v>#REF!</v>
      </c>
      <c r="F44" s="25" t="e">
        <f>IF('Residual-Rostered'!#REF!=0,"-",'Residual-Rostered'!#REF!)</f>
        <v>#REF!</v>
      </c>
      <c r="G44" s="25" t="e">
        <f>IF('Residual-Rostered'!#REF!=0,"-",'Residual-Rostered'!#REF!)</f>
        <v>#REF!</v>
      </c>
      <c r="H44" s="25" t="e">
        <f>IF('Residual-Rostered'!#REF!=0,"-",'Residual-Rostered'!#REF!)</f>
        <v>#REF!</v>
      </c>
      <c r="I44" s="25" t="e">
        <f>IF('Residual-Rostered'!#REF!=0,"-",'Residual-Rostered'!#REF!)</f>
        <v>#REF!</v>
      </c>
      <c r="J44" s="25" t="e">
        <f>IF('Residual-Rostered'!#REF!=0,"-",'Residual-Rostered'!#REF!)</f>
        <v>#REF!</v>
      </c>
      <c r="K44" s="25" t="e">
        <f>IF('Residual-Rostered'!#REF!=0,"-",'Residual-Rostered'!#REF!)</f>
        <v>#REF!</v>
      </c>
      <c r="L44" s="25" t="e">
        <f>IF('Residual-Rostered'!#REF!=0,"-",'Residual-Rostered'!#REF!)</f>
        <v>#REF!</v>
      </c>
      <c r="M44" s="25" t="e">
        <f>IF('Residual-Rostered'!#REF!=0,"-",'Residual-Rostered'!#REF!)</f>
        <v>#REF!</v>
      </c>
      <c r="N44" s="25" t="e">
        <f>IF('Residual-Rostered'!#REF!=0,"-",'Residual-Rostered'!#REF!)</f>
        <v>#REF!</v>
      </c>
      <c r="O44" s="25" t="e">
        <f>IF('Residual-Rostered'!#REF!=0,"-",'Residual-Rostered'!#REF!)</f>
        <v>#REF!</v>
      </c>
      <c r="P44" s="25" t="e">
        <f>IF('Residual-Rostered'!#REF!=0,"-",'Residual-Rostered'!#REF!)</f>
        <v>#REF!</v>
      </c>
      <c r="Q44" s="25" t="e">
        <f>IF('Residual-Rostered'!#REF!=0,"-",'Residual-Rostered'!#REF!)</f>
        <v>#REF!</v>
      </c>
      <c r="R44" s="25" t="e">
        <f>IF('Residual-Rostered'!#REF!=0,"-",'Residual-Rostered'!#REF!)</f>
        <v>#REF!</v>
      </c>
      <c r="S44" s="25" t="e">
        <f>IF('Residual-Rostered'!#REF!=0,"-",'Residual-Rostered'!#REF!)</f>
        <v>#REF!</v>
      </c>
      <c r="T44" s="25" t="e">
        <f>IF('Residual-Rostered'!#REF!=0,"-",'Residual-Rostered'!#REF!)</f>
        <v>#REF!</v>
      </c>
      <c r="U44" s="25" t="e">
        <f>IF('Residual-Rostered'!#REF!=0,"-",'Residual-Rostered'!#REF!)</f>
        <v>#REF!</v>
      </c>
      <c r="V44" s="25" t="e">
        <f>IF('Residual-Rostered'!#REF!=0,"-",'Residual-Rostered'!#REF!)</f>
        <v>#REF!</v>
      </c>
      <c r="W44" s="25" t="e">
        <f>IF('Residual-Rostered'!#REF!=0,"-",'Residual-Rostered'!#REF!)</f>
        <v>#REF!</v>
      </c>
      <c r="X44" s="25" t="e">
        <f>IF('Residual-Rostered'!#REF!=0,"-",'Residual-Rostered'!#REF!)</f>
        <v>#REF!</v>
      </c>
      <c r="Y44" s="25" t="e">
        <f>IF('Residual-Rostered'!#REF!=0,"-",'Residual-Rostered'!#REF!)</f>
        <v>#REF!</v>
      </c>
      <c r="Z44" s="25" t="e">
        <f>IF('Residual-Rostered'!#REF!=0,"-",'Residual-Rostered'!#REF!)</f>
        <v>#REF!</v>
      </c>
      <c r="AA44" s="25" t="e">
        <f>IF('Residual-Rostered'!#REF!=0,"-",'Residual-Rostered'!#REF!)</f>
        <v>#REF!</v>
      </c>
      <c r="AB44" s="25" t="e">
        <f>IF('Residual-Rostered'!#REF!=0,"-",'Residual-Rostered'!#REF!)</f>
        <v>#REF!</v>
      </c>
      <c r="AC44" s="25" t="e">
        <f>IF('Residual-Rostered'!#REF!=0,"-",'Residual-Rostered'!#REF!)</f>
        <v>#REF!</v>
      </c>
      <c r="AD44" s="25" t="e">
        <f>IF('Residual-Rostered'!#REF!=0,"-",'Residual-Rostered'!#REF!)</f>
        <v>#REF!</v>
      </c>
      <c r="AE44" s="25" t="e">
        <f>IF('Residual-Rostered'!#REF!=0,"-",'Residual-Rostered'!#REF!)</f>
        <v>#REF!</v>
      </c>
      <c r="AF44" s="25" t="e">
        <f>IF('Residual-Rostered'!#REF!=0,"-",'Residual-Rostered'!#REF!)</f>
        <v>#REF!</v>
      </c>
      <c r="AG44" s="25" t="e">
        <f>IF('Residual-Rostered'!#REF!=0,"-",'Residual-Rostered'!#REF!)</f>
        <v>#REF!</v>
      </c>
      <c r="AH44" s="25" t="e">
        <f>IF('Residual-Rostered'!#REF!=0,"-",'Residual-Rostered'!#REF!)</f>
        <v>#REF!</v>
      </c>
      <c r="AI44" s="25" t="e">
        <f>IF('Residual-Rostered'!#REF!=0,"-",'Residual-Rostered'!#REF!)</f>
        <v>#REF!</v>
      </c>
      <c r="AJ44" s="25" t="e">
        <f>IF('Residual-Rostered'!#REF!=0,"-",'Residual-Rostered'!#REF!)</f>
        <v>#REF!</v>
      </c>
      <c r="AK44" s="25" t="e">
        <f>IF('Residual-Rostered'!#REF!=0,"-",'Residual-Rostered'!#REF!)</f>
        <v>#REF!</v>
      </c>
      <c r="AL44" s="25" t="e">
        <f>IF('Residual-Rostered'!#REF!=0,"-",'Residual-Rostered'!#REF!)</f>
        <v>#REF!</v>
      </c>
      <c r="AM44" s="25" t="e">
        <f>IF('Residual-Rostered'!#REF!=0,"-",'Residual-Rostered'!#REF!)</f>
        <v>#REF!</v>
      </c>
      <c r="AN44" s="25" t="e">
        <f>IF('Residual-Rostered'!#REF!=0,"-",'Residual-Rostered'!#REF!)</f>
        <v>#REF!</v>
      </c>
      <c r="AO44" s="25" t="e">
        <f>IF('Residual-Rostered'!#REF!=0,"-",'Residual-Rostered'!#REF!)</f>
        <v>#REF!</v>
      </c>
      <c r="AP44" s="25" t="e">
        <f>IF('Residual-Rostered'!#REF!=0,"-",'Residual-Rostered'!#REF!)</f>
        <v>#REF!</v>
      </c>
      <c r="AQ44" s="25" t="e">
        <f>IF('Residual-Rostered'!#REF!=0,"-",'Residual-Rostered'!#REF!)</f>
        <v>#REF!</v>
      </c>
      <c r="AR44" s="25" t="e">
        <f>IF('Residual-Rostered'!#REF!=0,"-",'Residual-Rostered'!#REF!)</f>
        <v>#REF!</v>
      </c>
      <c r="AS44" s="25" t="e">
        <f>IF('Residual-Rostered'!#REF!=0,"-",'Residual-Rostered'!#REF!)</f>
        <v>#REF!</v>
      </c>
    </row>
    <row r="45" spans="1:45" x14ac:dyDescent="0.25">
      <c r="A45" s="25" t="e">
        <f>'Residual-Rostered'!#REF!</f>
        <v>#REF!</v>
      </c>
      <c r="B45" s="25" t="e">
        <f>'Residual-Rostered'!#REF!</f>
        <v>#REF!</v>
      </c>
      <c r="C45" s="25" t="e">
        <f>'Residual-Rostered'!#REF!</f>
        <v>#REF!</v>
      </c>
      <c r="D45" s="25" t="e">
        <f>IF('Residual-Rostered'!#REF!=0,"-",'Residual-Rostered'!#REF!)</f>
        <v>#REF!</v>
      </c>
      <c r="E45" s="25" t="e">
        <f>IF('Residual-Rostered'!#REF!=0,"-",'Residual-Rostered'!#REF!)</f>
        <v>#REF!</v>
      </c>
      <c r="F45" s="25" t="e">
        <f>IF('Residual-Rostered'!#REF!=0,"-",'Residual-Rostered'!#REF!)</f>
        <v>#REF!</v>
      </c>
      <c r="G45" s="25" t="e">
        <f>IF('Residual-Rostered'!#REF!=0,"-",'Residual-Rostered'!#REF!)</f>
        <v>#REF!</v>
      </c>
      <c r="H45" s="25" t="e">
        <f>IF('Residual-Rostered'!#REF!=0,"-",'Residual-Rostered'!#REF!)</f>
        <v>#REF!</v>
      </c>
      <c r="I45" s="25" t="e">
        <f>IF('Residual-Rostered'!#REF!=0,"-",'Residual-Rostered'!#REF!)</f>
        <v>#REF!</v>
      </c>
      <c r="J45" s="25" t="e">
        <f>IF('Residual-Rostered'!#REF!=0,"-",'Residual-Rostered'!#REF!)</f>
        <v>#REF!</v>
      </c>
      <c r="K45" s="25" t="e">
        <f>IF('Residual-Rostered'!#REF!=0,"-",'Residual-Rostered'!#REF!)</f>
        <v>#REF!</v>
      </c>
      <c r="L45" s="25" t="e">
        <f>IF('Residual-Rostered'!#REF!=0,"-",'Residual-Rostered'!#REF!)</f>
        <v>#REF!</v>
      </c>
      <c r="M45" s="25" t="e">
        <f>IF('Residual-Rostered'!#REF!=0,"-",'Residual-Rostered'!#REF!)</f>
        <v>#REF!</v>
      </c>
      <c r="N45" s="25" t="e">
        <f>IF('Residual-Rostered'!#REF!=0,"-",'Residual-Rostered'!#REF!)</f>
        <v>#REF!</v>
      </c>
      <c r="O45" s="25" t="e">
        <f>IF('Residual-Rostered'!#REF!=0,"-",'Residual-Rostered'!#REF!)</f>
        <v>#REF!</v>
      </c>
      <c r="P45" s="25" t="e">
        <f>IF('Residual-Rostered'!#REF!=0,"-",'Residual-Rostered'!#REF!)</f>
        <v>#REF!</v>
      </c>
      <c r="Q45" s="25" t="e">
        <f>IF('Residual-Rostered'!#REF!=0,"-",'Residual-Rostered'!#REF!)</f>
        <v>#REF!</v>
      </c>
      <c r="R45" s="25" t="e">
        <f>IF('Residual-Rostered'!#REF!=0,"-",'Residual-Rostered'!#REF!)</f>
        <v>#REF!</v>
      </c>
      <c r="S45" s="25" t="e">
        <f>IF('Residual-Rostered'!#REF!=0,"-",'Residual-Rostered'!#REF!)</f>
        <v>#REF!</v>
      </c>
      <c r="T45" s="25" t="e">
        <f>IF('Residual-Rostered'!#REF!=0,"-",'Residual-Rostered'!#REF!)</f>
        <v>#REF!</v>
      </c>
      <c r="U45" s="25" t="e">
        <f>IF('Residual-Rostered'!#REF!=0,"-",'Residual-Rostered'!#REF!)</f>
        <v>#REF!</v>
      </c>
      <c r="V45" s="25" t="e">
        <f>IF('Residual-Rostered'!#REF!=0,"-",'Residual-Rostered'!#REF!)</f>
        <v>#REF!</v>
      </c>
      <c r="W45" s="25" t="e">
        <f>IF('Residual-Rostered'!#REF!=0,"-",'Residual-Rostered'!#REF!)</f>
        <v>#REF!</v>
      </c>
      <c r="X45" s="25" t="e">
        <f>IF('Residual-Rostered'!#REF!=0,"-",'Residual-Rostered'!#REF!)</f>
        <v>#REF!</v>
      </c>
      <c r="Y45" s="25" t="e">
        <f>IF('Residual-Rostered'!#REF!=0,"-",'Residual-Rostered'!#REF!)</f>
        <v>#REF!</v>
      </c>
      <c r="Z45" s="25" t="e">
        <f>IF('Residual-Rostered'!#REF!=0,"-",'Residual-Rostered'!#REF!)</f>
        <v>#REF!</v>
      </c>
      <c r="AA45" s="25" t="e">
        <f>IF('Residual-Rostered'!#REF!=0,"-",'Residual-Rostered'!#REF!)</f>
        <v>#REF!</v>
      </c>
      <c r="AB45" s="25" t="e">
        <f>IF('Residual-Rostered'!#REF!=0,"-",'Residual-Rostered'!#REF!)</f>
        <v>#REF!</v>
      </c>
      <c r="AC45" s="25" t="e">
        <f>IF('Residual-Rostered'!#REF!=0,"-",'Residual-Rostered'!#REF!)</f>
        <v>#REF!</v>
      </c>
      <c r="AD45" s="25" t="e">
        <f>IF('Residual-Rostered'!#REF!=0,"-",'Residual-Rostered'!#REF!)</f>
        <v>#REF!</v>
      </c>
      <c r="AE45" s="25" t="e">
        <f>IF('Residual-Rostered'!#REF!=0,"-",'Residual-Rostered'!#REF!)</f>
        <v>#REF!</v>
      </c>
      <c r="AF45" s="25" t="e">
        <f>IF('Residual-Rostered'!#REF!=0,"-",'Residual-Rostered'!#REF!)</f>
        <v>#REF!</v>
      </c>
      <c r="AG45" s="25" t="e">
        <f>IF('Residual-Rostered'!#REF!=0,"-",'Residual-Rostered'!#REF!)</f>
        <v>#REF!</v>
      </c>
      <c r="AH45" s="25" t="e">
        <f>IF('Residual-Rostered'!#REF!=0,"-",'Residual-Rostered'!#REF!)</f>
        <v>#REF!</v>
      </c>
      <c r="AI45" s="25" t="e">
        <f>IF('Residual-Rostered'!#REF!=0,"-",'Residual-Rostered'!#REF!)</f>
        <v>#REF!</v>
      </c>
      <c r="AJ45" s="25" t="e">
        <f>IF('Residual-Rostered'!#REF!=0,"-",'Residual-Rostered'!#REF!)</f>
        <v>#REF!</v>
      </c>
      <c r="AK45" s="25" t="e">
        <f>IF('Residual-Rostered'!#REF!=0,"-",'Residual-Rostered'!#REF!)</f>
        <v>#REF!</v>
      </c>
      <c r="AL45" s="25" t="e">
        <f>IF('Residual-Rostered'!#REF!=0,"-",'Residual-Rostered'!#REF!)</f>
        <v>#REF!</v>
      </c>
      <c r="AM45" s="25" t="e">
        <f>IF('Residual-Rostered'!#REF!=0,"-",'Residual-Rostered'!#REF!)</f>
        <v>#REF!</v>
      </c>
      <c r="AN45" s="25" t="e">
        <f>IF('Residual-Rostered'!#REF!=0,"-",'Residual-Rostered'!#REF!)</f>
        <v>#REF!</v>
      </c>
      <c r="AO45" s="25" t="e">
        <f>IF('Residual-Rostered'!#REF!=0,"-",'Residual-Rostered'!#REF!)</f>
        <v>#REF!</v>
      </c>
      <c r="AP45" s="25" t="e">
        <f>IF('Residual-Rostered'!#REF!=0,"-",'Residual-Rostered'!#REF!)</f>
        <v>#REF!</v>
      </c>
      <c r="AQ45" s="25" t="e">
        <f>IF('Residual-Rostered'!#REF!=0,"-",'Residual-Rostered'!#REF!)</f>
        <v>#REF!</v>
      </c>
      <c r="AR45" s="25" t="e">
        <f>IF('Residual-Rostered'!#REF!=0,"-",'Residual-Rostered'!#REF!)</f>
        <v>#REF!</v>
      </c>
      <c r="AS45" s="25" t="e">
        <f>IF('Residual-Rostered'!#REF!=0,"-",'Residual-Rostered'!#REF!)</f>
        <v>#REF!</v>
      </c>
    </row>
    <row r="46" spans="1:45" x14ac:dyDescent="0.25">
      <c r="A46" s="25" t="e">
        <f>'Residual-Rostered'!#REF!</f>
        <v>#REF!</v>
      </c>
      <c r="B46" s="25" t="e">
        <f>'Residual-Rostered'!#REF!</f>
        <v>#REF!</v>
      </c>
      <c r="C46" s="25" t="e">
        <f>'Residual-Rostered'!#REF!</f>
        <v>#REF!</v>
      </c>
      <c r="D46" s="25" t="e">
        <f>IF('Residual-Rostered'!#REF!=0,"-",'Residual-Rostered'!#REF!)</f>
        <v>#REF!</v>
      </c>
      <c r="E46" s="25" t="e">
        <f>IF('Residual-Rostered'!#REF!=0,"-",'Residual-Rostered'!#REF!)</f>
        <v>#REF!</v>
      </c>
      <c r="F46" s="25" t="e">
        <f>IF('Residual-Rostered'!#REF!=0,"-",'Residual-Rostered'!#REF!)</f>
        <v>#REF!</v>
      </c>
      <c r="G46" s="25" t="e">
        <f>IF('Residual-Rostered'!#REF!=0,"-",'Residual-Rostered'!#REF!)</f>
        <v>#REF!</v>
      </c>
      <c r="H46" s="25" t="e">
        <f>IF('Residual-Rostered'!#REF!=0,"-",'Residual-Rostered'!#REF!)</f>
        <v>#REF!</v>
      </c>
      <c r="I46" s="25" t="e">
        <f>IF('Residual-Rostered'!#REF!=0,"-",'Residual-Rostered'!#REF!)</f>
        <v>#REF!</v>
      </c>
      <c r="J46" s="25" t="e">
        <f>IF('Residual-Rostered'!#REF!=0,"-",'Residual-Rostered'!#REF!)</f>
        <v>#REF!</v>
      </c>
      <c r="K46" s="25" t="e">
        <f>IF('Residual-Rostered'!#REF!=0,"-",'Residual-Rostered'!#REF!)</f>
        <v>#REF!</v>
      </c>
      <c r="L46" s="25" t="e">
        <f>IF('Residual-Rostered'!#REF!=0,"-",'Residual-Rostered'!#REF!)</f>
        <v>#REF!</v>
      </c>
      <c r="M46" s="25" t="e">
        <f>IF('Residual-Rostered'!#REF!=0,"-",'Residual-Rostered'!#REF!)</f>
        <v>#REF!</v>
      </c>
      <c r="N46" s="25" t="e">
        <f>IF('Residual-Rostered'!#REF!=0,"-",'Residual-Rostered'!#REF!)</f>
        <v>#REF!</v>
      </c>
      <c r="O46" s="25" t="e">
        <f>IF('Residual-Rostered'!#REF!=0,"-",'Residual-Rostered'!#REF!)</f>
        <v>#REF!</v>
      </c>
      <c r="P46" s="25" t="e">
        <f>IF('Residual-Rostered'!#REF!=0,"-",'Residual-Rostered'!#REF!)</f>
        <v>#REF!</v>
      </c>
      <c r="Q46" s="25" t="e">
        <f>IF('Residual-Rostered'!#REF!=0,"-",'Residual-Rostered'!#REF!)</f>
        <v>#REF!</v>
      </c>
      <c r="R46" s="25" t="e">
        <f>IF('Residual-Rostered'!#REF!=0,"-",'Residual-Rostered'!#REF!)</f>
        <v>#REF!</v>
      </c>
      <c r="S46" s="25" t="e">
        <f>IF('Residual-Rostered'!#REF!=0,"-",'Residual-Rostered'!#REF!)</f>
        <v>#REF!</v>
      </c>
      <c r="T46" s="25" t="e">
        <f>IF('Residual-Rostered'!#REF!=0,"-",'Residual-Rostered'!#REF!)</f>
        <v>#REF!</v>
      </c>
      <c r="U46" s="25" t="e">
        <f>IF('Residual-Rostered'!#REF!=0,"-",'Residual-Rostered'!#REF!)</f>
        <v>#REF!</v>
      </c>
      <c r="V46" s="25" t="e">
        <f>IF('Residual-Rostered'!#REF!=0,"-",'Residual-Rostered'!#REF!)</f>
        <v>#REF!</v>
      </c>
      <c r="W46" s="25" t="e">
        <f>IF('Residual-Rostered'!#REF!=0,"-",'Residual-Rostered'!#REF!)</f>
        <v>#REF!</v>
      </c>
      <c r="X46" s="25" t="e">
        <f>IF('Residual-Rostered'!#REF!=0,"-",'Residual-Rostered'!#REF!)</f>
        <v>#REF!</v>
      </c>
      <c r="Y46" s="25" t="e">
        <f>IF('Residual-Rostered'!#REF!=0,"-",'Residual-Rostered'!#REF!)</f>
        <v>#REF!</v>
      </c>
      <c r="Z46" s="25" t="e">
        <f>IF('Residual-Rostered'!#REF!=0,"-",'Residual-Rostered'!#REF!)</f>
        <v>#REF!</v>
      </c>
      <c r="AA46" s="25" t="e">
        <f>IF('Residual-Rostered'!#REF!=0,"-",'Residual-Rostered'!#REF!)</f>
        <v>#REF!</v>
      </c>
      <c r="AB46" s="25" t="e">
        <f>IF('Residual-Rostered'!#REF!=0,"-",'Residual-Rostered'!#REF!)</f>
        <v>#REF!</v>
      </c>
      <c r="AC46" s="25" t="e">
        <f>IF('Residual-Rostered'!#REF!=0,"-",'Residual-Rostered'!#REF!)</f>
        <v>#REF!</v>
      </c>
      <c r="AD46" s="25" t="e">
        <f>IF('Residual-Rostered'!#REF!=0,"-",'Residual-Rostered'!#REF!)</f>
        <v>#REF!</v>
      </c>
      <c r="AE46" s="25" t="e">
        <f>IF('Residual-Rostered'!#REF!=0,"-",'Residual-Rostered'!#REF!)</f>
        <v>#REF!</v>
      </c>
      <c r="AF46" s="25" t="e">
        <f>IF('Residual-Rostered'!#REF!=0,"-",'Residual-Rostered'!#REF!)</f>
        <v>#REF!</v>
      </c>
      <c r="AG46" s="25" t="e">
        <f>IF('Residual-Rostered'!#REF!=0,"-",'Residual-Rostered'!#REF!)</f>
        <v>#REF!</v>
      </c>
      <c r="AH46" s="25" t="e">
        <f>IF('Residual-Rostered'!#REF!=0,"-",'Residual-Rostered'!#REF!)</f>
        <v>#REF!</v>
      </c>
      <c r="AI46" s="25" t="e">
        <f>IF('Residual-Rostered'!#REF!=0,"-",'Residual-Rostered'!#REF!)</f>
        <v>#REF!</v>
      </c>
      <c r="AJ46" s="25" t="e">
        <f>IF('Residual-Rostered'!#REF!=0,"-",'Residual-Rostered'!#REF!)</f>
        <v>#REF!</v>
      </c>
      <c r="AK46" s="25" t="e">
        <f>IF('Residual-Rostered'!#REF!=0,"-",'Residual-Rostered'!#REF!)</f>
        <v>#REF!</v>
      </c>
      <c r="AL46" s="25" t="e">
        <f>IF('Residual-Rostered'!#REF!=0,"-",'Residual-Rostered'!#REF!)</f>
        <v>#REF!</v>
      </c>
      <c r="AM46" s="25" t="e">
        <f>IF('Residual-Rostered'!#REF!=0,"-",'Residual-Rostered'!#REF!)</f>
        <v>#REF!</v>
      </c>
      <c r="AN46" s="25" t="e">
        <f>IF('Residual-Rostered'!#REF!=0,"-",'Residual-Rostered'!#REF!)</f>
        <v>#REF!</v>
      </c>
      <c r="AO46" s="25" t="e">
        <f>IF('Residual-Rostered'!#REF!=0,"-",'Residual-Rostered'!#REF!)</f>
        <v>#REF!</v>
      </c>
      <c r="AP46" s="25" t="e">
        <f>IF('Residual-Rostered'!#REF!=0,"-",'Residual-Rostered'!#REF!)</f>
        <v>#REF!</v>
      </c>
      <c r="AQ46" s="25" t="e">
        <f>IF('Residual-Rostered'!#REF!=0,"-",'Residual-Rostered'!#REF!)</f>
        <v>#REF!</v>
      </c>
      <c r="AR46" s="25" t="e">
        <f>IF('Residual-Rostered'!#REF!=0,"-",'Residual-Rostered'!#REF!)</f>
        <v>#REF!</v>
      </c>
      <c r="AS46" s="25" t="e">
        <f>IF('Residual-Rostered'!#REF!=0,"-",'Residual-Rostered'!#REF!)</f>
        <v>#REF!</v>
      </c>
    </row>
    <row r="47" spans="1:45" hidden="1" x14ac:dyDescent="0.25">
      <c r="A47" s="25" t="e">
        <f>'Residual-Rostered'!#REF!</f>
        <v>#REF!</v>
      </c>
      <c r="B47" s="25" t="e">
        <f>'Residual-Rostered'!#REF!</f>
        <v>#REF!</v>
      </c>
      <c r="C47" s="25" t="e">
        <f>'Residual-Rostered'!#REF!</f>
        <v>#REF!</v>
      </c>
      <c r="D47" s="25" t="e">
        <f>IF('Residual-Rostered'!#REF!=0,"-",'Residual-Rostered'!#REF!)</f>
        <v>#REF!</v>
      </c>
      <c r="E47" s="25" t="e">
        <f>IF('Residual-Rostered'!#REF!=0,"-",'Residual-Rostered'!#REF!)</f>
        <v>#REF!</v>
      </c>
      <c r="F47" s="25" t="e">
        <f>IF('Residual-Rostered'!#REF!=0,"-",'Residual-Rostered'!#REF!)</f>
        <v>#REF!</v>
      </c>
      <c r="G47" s="25" t="e">
        <f>IF('Residual-Rostered'!#REF!=0,"-",'Residual-Rostered'!#REF!)</f>
        <v>#REF!</v>
      </c>
      <c r="H47" s="25" t="e">
        <f>IF('Residual-Rostered'!#REF!=0,"-",'Residual-Rostered'!#REF!)</f>
        <v>#REF!</v>
      </c>
      <c r="I47" s="25" t="e">
        <f>IF('Residual-Rostered'!#REF!=0,"-",'Residual-Rostered'!#REF!)</f>
        <v>#REF!</v>
      </c>
      <c r="J47" s="25" t="e">
        <f>IF('Residual-Rostered'!#REF!=0,"-",'Residual-Rostered'!#REF!)</f>
        <v>#REF!</v>
      </c>
      <c r="K47" s="25" t="e">
        <f>IF('Residual-Rostered'!#REF!=0,"-",'Residual-Rostered'!#REF!)</f>
        <v>#REF!</v>
      </c>
      <c r="L47" s="25" t="e">
        <f>IF('Residual-Rostered'!#REF!=0,"-",'Residual-Rostered'!#REF!)</f>
        <v>#REF!</v>
      </c>
      <c r="M47" s="25" t="e">
        <f>IF('Residual-Rostered'!#REF!=0,"-",'Residual-Rostered'!#REF!)</f>
        <v>#REF!</v>
      </c>
      <c r="N47" s="25" t="e">
        <f>IF('Residual-Rostered'!#REF!=0,"-",'Residual-Rostered'!#REF!)</f>
        <v>#REF!</v>
      </c>
      <c r="O47" s="25" t="e">
        <f>IF('Residual-Rostered'!#REF!=0,"-",'Residual-Rostered'!#REF!)</f>
        <v>#REF!</v>
      </c>
      <c r="P47" s="25" t="e">
        <f>IF('Residual-Rostered'!#REF!=0,"-",'Residual-Rostered'!#REF!)</f>
        <v>#REF!</v>
      </c>
      <c r="Q47" s="25" t="e">
        <f>IF('Residual-Rostered'!#REF!=0,"-",'Residual-Rostered'!#REF!)</f>
        <v>#REF!</v>
      </c>
      <c r="R47" s="25" t="e">
        <f>IF('Residual-Rostered'!#REF!=0,"-",'Residual-Rostered'!#REF!)</f>
        <v>#REF!</v>
      </c>
      <c r="S47" s="25" t="e">
        <f>IF('Residual-Rostered'!#REF!=0,"-",'Residual-Rostered'!#REF!)</f>
        <v>#REF!</v>
      </c>
      <c r="T47" s="25" t="e">
        <f>IF('Residual-Rostered'!#REF!=0,"-",'Residual-Rostered'!#REF!)</f>
        <v>#REF!</v>
      </c>
      <c r="U47" s="25" t="e">
        <f>IF('Residual-Rostered'!#REF!=0,"-",'Residual-Rostered'!#REF!)</f>
        <v>#REF!</v>
      </c>
      <c r="V47" s="25" t="e">
        <f>IF('Residual-Rostered'!#REF!=0,"-",'Residual-Rostered'!#REF!)</f>
        <v>#REF!</v>
      </c>
      <c r="W47" s="25" t="e">
        <f>IF('Residual-Rostered'!#REF!=0,"-",'Residual-Rostered'!#REF!)</f>
        <v>#REF!</v>
      </c>
      <c r="X47" s="25" t="e">
        <f>IF('Residual-Rostered'!#REF!=0,"-",'Residual-Rostered'!#REF!)</f>
        <v>#REF!</v>
      </c>
      <c r="Y47" s="25" t="e">
        <f>IF('Residual-Rostered'!#REF!=0,"-",'Residual-Rostered'!#REF!)</f>
        <v>#REF!</v>
      </c>
      <c r="Z47" s="25" t="e">
        <f>IF('Residual-Rostered'!#REF!=0,"-",'Residual-Rostered'!#REF!)</f>
        <v>#REF!</v>
      </c>
      <c r="AA47" s="25" t="e">
        <f>IF('Residual-Rostered'!#REF!=0,"-",'Residual-Rostered'!#REF!)</f>
        <v>#REF!</v>
      </c>
      <c r="AB47" s="25" t="e">
        <f>IF('Residual-Rostered'!#REF!=0,"-",'Residual-Rostered'!#REF!)</f>
        <v>#REF!</v>
      </c>
      <c r="AC47" s="25" t="e">
        <f>IF('Residual-Rostered'!#REF!=0,"-",'Residual-Rostered'!#REF!)</f>
        <v>#REF!</v>
      </c>
      <c r="AD47" s="25" t="e">
        <f>IF('Residual-Rostered'!#REF!=0,"-",'Residual-Rostered'!#REF!)</f>
        <v>#REF!</v>
      </c>
      <c r="AE47" s="25" t="e">
        <f>IF('Residual-Rostered'!#REF!=0,"-",'Residual-Rostered'!#REF!)</f>
        <v>#REF!</v>
      </c>
      <c r="AF47" s="25" t="e">
        <f>IF('Residual-Rostered'!#REF!=0,"-",'Residual-Rostered'!#REF!)</f>
        <v>#REF!</v>
      </c>
      <c r="AG47" s="25" t="e">
        <f>IF('Residual-Rostered'!#REF!=0,"-",'Residual-Rostered'!#REF!)</f>
        <v>#REF!</v>
      </c>
      <c r="AH47" s="25" t="e">
        <f>IF('Residual-Rostered'!#REF!=0,"-",'Residual-Rostered'!#REF!)</f>
        <v>#REF!</v>
      </c>
      <c r="AI47" s="25" t="e">
        <f>IF('Residual-Rostered'!#REF!=0,"-",'Residual-Rostered'!#REF!)</f>
        <v>#REF!</v>
      </c>
      <c r="AJ47" s="25" t="e">
        <f>IF('Residual-Rostered'!#REF!=0,"-",'Residual-Rostered'!#REF!)</f>
        <v>#REF!</v>
      </c>
      <c r="AK47" s="25" t="e">
        <f>IF('Residual-Rostered'!#REF!=0,"-",'Residual-Rostered'!#REF!)</f>
        <v>#REF!</v>
      </c>
      <c r="AL47" s="25" t="e">
        <f>IF('Residual-Rostered'!#REF!=0,"-",'Residual-Rostered'!#REF!)</f>
        <v>#REF!</v>
      </c>
      <c r="AM47" s="25" t="e">
        <f>IF('Residual-Rostered'!#REF!=0,"-",'Residual-Rostered'!#REF!)</f>
        <v>#REF!</v>
      </c>
      <c r="AN47" s="25" t="e">
        <f>IF('Residual-Rostered'!#REF!=0,"-",'Residual-Rostered'!#REF!)</f>
        <v>#REF!</v>
      </c>
      <c r="AO47" s="25" t="e">
        <f>IF('Residual-Rostered'!#REF!=0,"-",'Residual-Rostered'!#REF!)</f>
        <v>#REF!</v>
      </c>
      <c r="AP47" s="25" t="e">
        <f>IF('Residual-Rostered'!#REF!=0,"-",'Residual-Rostered'!#REF!)</f>
        <v>#REF!</v>
      </c>
      <c r="AQ47" s="25" t="e">
        <f>IF('Residual-Rostered'!#REF!=0,"-",'Residual-Rostered'!#REF!)</f>
        <v>#REF!</v>
      </c>
      <c r="AR47" s="25" t="e">
        <f>IF('Residual-Rostered'!#REF!=0,"-",'Residual-Rostered'!#REF!)</f>
        <v>#REF!</v>
      </c>
      <c r="AS47" s="25" t="e">
        <f>IF('Residual-Rostered'!#REF!=0,"-",'Residual-Rostered'!#REF!)</f>
        <v>#REF!</v>
      </c>
    </row>
    <row r="48" spans="1:45" x14ac:dyDescent="0.25">
      <c r="A48" s="25" t="e">
        <f>'Residual-Rostered'!#REF!</f>
        <v>#REF!</v>
      </c>
      <c r="B48" s="25" t="e">
        <f>'Residual-Rostered'!#REF!</f>
        <v>#REF!</v>
      </c>
      <c r="C48" s="25" t="e">
        <f>'Residual-Rostered'!#REF!</f>
        <v>#REF!</v>
      </c>
      <c r="D48" s="25" t="e">
        <f>IF('Residual-Rostered'!#REF!=0,"-",'Residual-Rostered'!#REF!)</f>
        <v>#REF!</v>
      </c>
      <c r="E48" s="25" t="e">
        <f>IF('Residual-Rostered'!#REF!=0,"-",'Residual-Rostered'!#REF!)</f>
        <v>#REF!</v>
      </c>
      <c r="F48" s="25" t="e">
        <f>IF('Residual-Rostered'!#REF!=0,"-",'Residual-Rostered'!#REF!)</f>
        <v>#REF!</v>
      </c>
      <c r="G48" s="25" t="e">
        <f>IF('Residual-Rostered'!#REF!=0,"-",'Residual-Rostered'!#REF!)</f>
        <v>#REF!</v>
      </c>
      <c r="H48" s="25" t="e">
        <f>IF('Residual-Rostered'!#REF!=0,"-",'Residual-Rostered'!#REF!)</f>
        <v>#REF!</v>
      </c>
      <c r="I48" s="25" t="e">
        <f>IF('Residual-Rostered'!#REF!=0,"-",'Residual-Rostered'!#REF!)</f>
        <v>#REF!</v>
      </c>
      <c r="J48" s="25" t="e">
        <f>IF('Residual-Rostered'!#REF!=0,"-",'Residual-Rostered'!#REF!)</f>
        <v>#REF!</v>
      </c>
      <c r="K48" s="25" t="e">
        <f>IF('Residual-Rostered'!#REF!=0,"-",'Residual-Rostered'!#REF!)</f>
        <v>#REF!</v>
      </c>
      <c r="L48" s="25" t="e">
        <f>IF('Residual-Rostered'!#REF!=0,"-",'Residual-Rostered'!#REF!)</f>
        <v>#REF!</v>
      </c>
      <c r="M48" s="25" t="e">
        <f>IF('Residual-Rostered'!#REF!=0,"-",'Residual-Rostered'!#REF!)</f>
        <v>#REF!</v>
      </c>
      <c r="N48" s="25" t="e">
        <f>IF('Residual-Rostered'!#REF!=0,"-",'Residual-Rostered'!#REF!)</f>
        <v>#REF!</v>
      </c>
      <c r="O48" s="25" t="e">
        <f>IF('Residual-Rostered'!#REF!=0,"-",'Residual-Rostered'!#REF!)</f>
        <v>#REF!</v>
      </c>
      <c r="P48" s="25" t="e">
        <f>IF('Residual-Rostered'!#REF!=0,"-",'Residual-Rostered'!#REF!)</f>
        <v>#REF!</v>
      </c>
      <c r="Q48" s="25" t="e">
        <f>IF('Residual-Rostered'!#REF!=0,"-",'Residual-Rostered'!#REF!)</f>
        <v>#REF!</v>
      </c>
      <c r="R48" s="25" t="e">
        <f>IF('Residual-Rostered'!#REF!=0,"-",'Residual-Rostered'!#REF!)</f>
        <v>#REF!</v>
      </c>
      <c r="S48" s="25" t="e">
        <f>IF('Residual-Rostered'!#REF!=0,"-",'Residual-Rostered'!#REF!)</f>
        <v>#REF!</v>
      </c>
      <c r="T48" s="25" t="e">
        <f>IF('Residual-Rostered'!#REF!=0,"-",'Residual-Rostered'!#REF!)</f>
        <v>#REF!</v>
      </c>
      <c r="U48" s="25" t="e">
        <f>IF('Residual-Rostered'!#REF!=0,"-",'Residual-Rostered'!#REF!)</f>
        <v>#REF!</v>
      </c>
      <c r="V48" s="25" t="e">
        <f>IF('Residual-Rostered'!#REF!=0,"-",'Residual-Rostered'!#REF!)</f>
        <v>#REF!</v>
      </c>
      <c r="W48" s="25" t="e">
        <f>IF('Residual-Rostered'!#REF!=0,"-",'Residual-Rostered'!#REF!)</f>
        <v>#REF!</v>
      </c>
      <c r="X48" s="25" t="e">
        <f>IF('Residual-Rostered'!#REF!=0,"-",'Residual-Rostered'!#REF!)</f>
        <v>#REF!</v>
      </c>
      <c r="Y48" s="25" t="e">
        <f>IF('Residual-Rostered'!#REF!=0,"-",'Residual-Rostered'!#REF!)</f>
        <v>#REF!</v>
      </c>
      <c r="Z48" s="25" t="e">
        <f>IF('Residual-Rostered'!#REF!=0,"-",'Residual-Rostered'!#REF!)</f>
        <v>#REF!</v>
      </c>
      <c r="AA48" s="25" t="e">
        <f>IF('Residual-Rostered'!#REF!=0,"-",'Residual-Rostered'!#REF!)</f>
        <v>#REF!</v>
      </c>
      <c r="AB48" s="25" t="e">
        <f>IF('Residual-Rostered'!#REF!=0,"-",'Residual-Rostered'!#REF!)</f>
        <v>#REF!</v>
      </c>
      <c r="AC48" s="25" t="e">
        <f>IF('Residual-Rostered'!#REF!=0,"-",'Residual-Rostered'!#REF!)</f>
        <v>#REF!</v>
      </c>
      <c r="AD48" s="25" t="e">
        <f>IF('Residual-Rostered'!#REF!=0,"-",'Residual-Rostered'!#REF!)</f>
        <v>#REF!</v>
      </c>
      <c r="AE48" s="25" t="e">
        <f>IF('Residual-Rostered'!#REF!=0,"-",'Residual-Rostered'!#REF!)</f>
        <v>#REF!</v>
      </c>
      <c r="AF48" s="25" t="e">
        <f>IF('Residual-Rostered'!#REF!=0,"-",'Residual-Rostered'!#REF!)</f>
        <v>#REF!</v>
      </c>
      <c r="AG48" s="25" t="e">
        <f>IF('Residual-Rostered'!#REF!=0,"-",'Residual-Rostered'!#REF!)</f>
        <v>#REF!</v>
      </c>
      <c r="AH48" s="25" t="e">
        <f>IF('Residual-Rostered'!#REF!=0,"-",'Residual-Rostered'!#REF!)</f>
        <v>#REF!</v>
      </c>
      <c r="AI48" s="25" t="e">
        <f>IF('Residual-Rostered'!#REF!=0,"-",'Residual-Rostered'!#REF!)</f>
        <v>#REF!</v>
      </c>
      <c r="AJ48" s="25" t="e">
        <f>IF('Residual-Rostered'!#REF!=0,"-",'Residual-Rostered'!#REF!)</f>
        <v>#REF!</v>
      </c>
      <c r="AK48" s="25" t="e">
        <f>IF('Residual-Rostered'!#REF!=0,"-",'Residual-Rostered'!#REF!)</f>
        <v>#REF!</v>
      </c>
      <c r="AL48" s="25" t="e">
        <f>IF('Residual-Rostered'!#REF!=0,"-",'Residual-Rostered'!#REF!)</f>
        <v>#REF!</v>
      </c>
      <c r="AM48" s="25" t="e">
        <f>IF('Residual-Rostered'!#REF!=0,"-",'Residual-Rostered'!#REF!)</f>
        <v>#REF!</v>
      </c>
      <c r="AN48" s="25" t="e">
        <f>IF('Residual-Rostered'!#REF!=0,"-",'Residual-Rostered'!#REF!)</f>
        <v>#REF!</v>
      </c>
      <c r="AO48" s="25" t="e">
        <f>IF('Residual-Rostered'!#REF!=0,"-",'Residual-Rostered'!#REF!)</f>
        <v>#REF!</v>
      </c>
      <c r="AP48" s="25" t="e">
        <f>IF('Residual-Rostered'!#REF!=0,"-",'Residual-Rostered'!#REF!)</f>
        <v>#REF!</v>
      </c>
      <c r="AQ48" s="25" t="e">
        <f>IF('Residual-Rostered'!#REF!=0,"-",'Residual-Rostered'!#REF!)</f>
        <v>#REF!</v>
      </c>
      <c r="AR48" s="25" t="e">
        <f>IF('Residual-Rostered'!#REF!=0,"-",'Residual-Rostered'!#REF!)</f>
        <v>#REF!</v>
      </c>
      <c r="AS48" s="25" t="e">
        <f>IF('Residual-Rostered'!#REF!=0,"-",'Residual-Rostered'!#REF!)</f>
        <v>#REF!</v>
      </c>
    </row>
    <row r="49" spans="1:45" x14ac:dyDescent="0.25">
      <c r="A49" s="25" t="e">
        <f>'Residual-Rostered'!#REF!</f>
        <v>#REF!</v>
      </c>
      <c r="B49" s="25" t="e">
        <f>'Residual-Rostered'!#REF!</f>
        <v>#REF!</v>
      </c>
      <c r="C49" s="25" t="e">
        <f>'Residual-Rostered'!#REF!</f>
        <v>#REF!</v>
      </c>
      <c r="D49" s="25" t="e">
        <f>IF('Residual-Rostered'!#REF!=0,"-",'Residual-Rostered'!#REF!)</f>
        <v>#REF!</v>
      </c>
      <c r="E49" s="25" t="e">
        <f>IF('Residual-Rostered'!#REF!=0,"-",'Residual-Rostered'!#REF!)</f>
        <v>#REF!</v>
      </c>
      <c r="F49" s="25" t="e">
        <f>IF('Residual-Rostered'!#REF!=0,"-",'Residual-Rostered'!#REF!)</f>
        <v>#REF!</v>
      </c>
      <c r="G49" s="25" t="e">
        <f>IF('Residual-Rostered'!#REF!=0,"-",'Residual-Rostered'!#REF!)</f>
        <v>#REF!</v>
      </c>
      <c r="H49" s="25" t="e">
        <f>IF('Residual-Rostered'!#REF!=0,"-",'Residual-Rostered'!#REF!)</f>
        <v>#REF!</v>
      </c>
      <c r="I49" s="25" t="e">
        <f>IF('Residual-Rostered'!#REF!=0,"-",'Residual-Rostered'!#REF!)</f>
        <v>#REF!</v>
      </c>
      <c r="J49" s="25" t="e">
        <f>IF('Residual-Rostered'!#REF!=0,"-",'Residual-Rostered'!#REF!)</f>
        <v>#REF!</v>
      </c>
      <c r="K49" s="25" t="e">
        <f>IF('Residual-Rostered'!#REF!=0,"-",'Residual-Rostered'!#REF!)</f>
        <v>#REF!</v>
      </c>
      <c r="L49" s="25" t="e">
        <f>IF('Residual-Rostered'!#REF!=0,"-",'Residual-Rostered'!#REF!)</f>
        <v>#REF!</v>
      </c>
      <c r="M49" s="25" t="e">
        <f>IF('Residual-Rostered'!#REF!=0,"-",'Residual-Rostered'!#REF!)</f>
        <v>#REF!</v>
      </c>
      <c r="N49" s="25" t="e">
        <f>IF('Residual-Rostered'!#REF!=0,"-",'Residual-Rostered'!#REF!)</f>
        <v>#REF!</v>
      </c>
      <c r="O49" s="25" t="e">
        <f>IF('Residual-Rostered'!#REF!=0,"-",'Residual-Rostered'!#REF!)</f>
        <v>#REF!</v>
      </c>
      <c r="P49" s="25" t="e">
        <f>IF('Residual-Rostered'!#REF!=0,"-",'Residual-Rostered'!#REF!)</f>
        <v>#REF!</v>
      </c>
      <c r="Q49" s="25" t="e">
        <f>IF('Residual-Rostered'!#REF!=0,"-",'Residual-Rostered'!#REF!)</f>
        <v>#REF!</v>
      </c>
      <c r="R49" s="25" t="e">
        <f>IF('Residual-Rostered'!#REF!=0,"-",'Residual-Rostered'!#REF!)</f>
        <v>#REF!</v>
      </c>
      <c r="S49" s="25" t="e">
        <f>IF('Residual-Rostered'!#REF!=0,"-",'Residual-Rostered'!#REF!)</f>
        <v>#REF!</v>
      </c>
      <c r="T49" s="25" t="e">
        <f>IF('Residual-Rostered'!#REF!=0,"-",'Residual-Rostered'!#REF!)</f>
        <v>#REF!</v>
      </c>
      <c r="U49" s="25" t="e">
        <f>IF('Residual-Rostered'!#REF!=0,"-",'Residual-Rostered'!#REF!)</f>
        <v>#REF!</v>
      </c>
      <c r="V49" s="25" t="e">
        <f>IF('Residual-Rostered'!#REF!=0,"-",'Residual-Rostered'!#REF!)</f>
        <v>#REF!</v>
      </c>
      <c r="W49" s="25" t="e">
        <f>IF('Residual-Rostered'!#REF!=0,"-",'Residual-Rostered'!#REF!)</f>
        <v>#REF!</v>
      </c>
      <c r="X49" s="25" t="e">
        <f>IF('Residual-Rostered'!#REF!=0,"-",'Residual-Rostered'!#REF!)</f>
        <v>#REF!</v>
      </c>
      <c r="Y49" s="25" t="e">
        <f>IF('Residual-Rostered'!#REF!=0,"-",'Residual-Rostered'!#REF!)</f>
        <v>#REF!</v>
      </c>
      <c r="Z49" s="25" t="e">
        <f>IF('Residual-Rostered'!#REF!=0,"-",'Residual-Rostered'!#REF!)</f>
        <v>#REF!</v>
      </c>
      <c r="AA49" s="25" t="e">
        <f>IF('Residual-Rostered'!#REF!=0,"-",'Residual-Rostered'!#REF!)</f>
        <v>#REF!</v>
      </c>
      <c r="AB49" s="25" t="e">
        <f>IF('Residual-Rostered'!#REF!=0,"-",'Residual-Rostered'!#REF!)</f>
        <v>#REF!</v>
      </c>
      <c r="AC49" s="25" t="e">
        <f>IF('Residual-Rostered'!#REF!=0,"-",'Residual-Rostered'!#REF!)</f>
        <v>#REF!</v>
      </c>
      <c r="AD49" s="25" t="e">
        <f>IF('Residual-Rostered'!#REF!=0,"-",'Residual-Rostered'!#REF!)</f>
        <v>#REF!</v>
      </c>
      <c r="AE49" s="25" t="e">
        <f>IF('Residual-Rostered'!#REF!=0,"-",'Residual-Rostered'!#REF!)</f>
        <v>#REF!</v>
      </c>
      <c r="AF49" s="25" t="e">
        <f>IF('Residual-Rostered'!#REF!=0,"-",'Residual-Rostered'!#REF!)</f>
        <v>#REF!</v>
      </c>
      <c r="AG49" s="25" t="e">
        <f>IF('Residual-Rostered'!#REF!=0,"-",'Residual-Rostered'!#REF!)</f>
        <v>#REF!</v>
      </c>
      <c r="AH49" s="25" t="e">
        <f>IF('Residual-Rostered'!#REF!=0,"-",'Residual-Rostered'!#REF!)</f>
        <v>#REF!</v>
      </c>
      <c r="AI49" s="25" t="e">
        <f>IF('Residual-Rostered'!#REF!=0,"-",'Residual-Rostered'!#REF!)</f>
        <v>#REF!</v>
      </c>
      <c r="AJ49" s="25" t="e">
        <f>IF('Residual-Rostered'!#REF!=0,"-",'Residual-Rostered'!#REF!)</f>
        <v>#REF!</v>
      </c>
      <c r="AK49" s="25" t="e">
        <f>IF('Residual-Rostered'!#REF!=0,"-",'Residual-Rostered'!#REF!)</f>
        <v>#REF!</v>
      </c>
      <c r="AL49" s="25" t="e">
        <f>IF('Residual-Rostered'!#REF!=0,"-",'Residual-Rostered'!#REF!)</f>
        <v>#REF!</v>
      </c>
      <c r="AM49" s="25" t="e">
        <f>IF('Residual-Rostered'!#REF!=0,"-",'Residual-Rostered'!#REF!)</f>
        <v>#REF!</v>
      </c>
      <c r="AN49" s="25" t="e">
        <f>IF('Residual-Rostered'!#REF!=0,"-",'Residual-Rostered'!#REF!)</f>
        <v>#REF!</v>
      </c>
      <c r="AO49" s="25" t="e">
        <f>IF('Residual-Rostered'!#REF!=0,"-",'Residual-Rostered'!#REF!)</f>
        <v>#REF!</v>
      </c>
      <c r="AP49" s="25" t="e">
        <f>IF('Residual-Rostered'!#REF!=0,"-",'Residual-Rostered'!#REF!)</f>
        <v>#REF!</v>
      </c>
      <c r="AQ49" s="25" t="e">
        <f>IF('Residual-Rostered'!#REF!=0,"-",'Residual-Rostered'!#REF!)</f>
        <v>#REF!</v>
      </c>
      <c r="AR49" s="25" t="e">
        <f>IF('Residual-Rostered'!#REF!=0,"-",'Residual-Rostered'!#REF!)</f>
        <v>#REF!</v>
      </c>
      <c r="AS49" s="25" t="e">
        <f>IF('Residual-Rostered'!#REF!=0,"-",'Residual-Rostered'!#REF!)</f>
        <v>#REF!</v>
      </c>
    </row>
    <row r="50" spans="1:45" x14ac:dyDescent="0.25">
      <c r="A50" s="25" t="e">
        <f>'Residual-Rostered'!#REF!</f>
        <v>#REF!</v>
      </c>
      <c r="B50" s="25" t="e">
        <f>'Residual-Rostered'!#REF!</f>
        <v>#REF!</v>
      </c>
      <c r="C50" s="25" t="e">
        <f>'Residual-Rostered'!#REF!</f>
        <v>#REF!</v>
      </c>
      <c r="D50" s="25" t="e">
        <f>IF('Residual-Rostered'!#REF!=0,"-",'Residual-Rostered'!#REF!)</f>
        <v>#REF!</v>
      </c>
      <c r="E50" s="25" t="e">
        <f>IF('Residual-Rostered'!#REF!=0,"-",'Residual-Rostered'!#REF!)</f>
        <v>#REF!</v>
      </c>
      <c r="F50" s="25" t="e">
        <f>IF('Residual-Rostered'!#REF!=0,"-",'Residual-Rostered'!#REF!)</f>
        <v>#REF!</v>
      </c>
      <c r="G50" s="25" t="e">
        <f>IF('Residual-Rostered'!#REF!=0,"-",'Residual-Rostered'!#REF!)</f>
        <v>#REF!</v>
      </c>
      <c r="H50" s="25" t="e">
        <f>IF('Residual-Rostered'!#REF!=0,"-",'Residual-Rostered'!#REF!)</f>
        <v>#REF!</v>
      </c>
      <c r="I50" s="25" t="e">
        <f>IF('Residual-Rostered'!#REF!=0,"-",'Residual-Rostered'!#REF!)</f>
        <v>#REF!</v>
      </c>
      <c r="J50" s="25" t="e">
        <f>IF('Residual-Rostered'!#REF!=0,"-",'Residual-Rostered'!#REF!)</f>
        <v>#REF!</v>
      </c>
      <c r="K50" s="25" t="e">
        <f>IF('Residual-Rostered'!#REF!=0,"-",'Residual-Rostered'!#REF!)</f>
        <v>#REF!</v>
      </c>
      <c r="L50" s="25" t="e">
        <f>IF('Residual-Rostered'!#REF!=0,"-",'Residual-Rostered'!#REF!)</f>
        <v>#REF!</v>
      </c>
      <c r="M50" s="25" t="e">
        <f>IF('Residual-Rostered'!#REF!=0,"-",'Residual-Rostered'!#REF!)</f>
        <v>#REF!</v>
      </c>
      <c r="N50" s="25" t="e">
        <f>IF('Residual-Rostered'!#REF!=0,"-",'Residual-Rostered'!#REF!)</f>
        <v>#REF!</v>
      </c>
      <c r="O50" s="25" t="e">
        <f>IF('Residual-Rostered'!#REF!=0,"-",'Residual-Rostered'!#REF!)</f>
        <v>#REF!</v>
      </c>
      <c r="P50" s="25" t="e">
        <f>IF('Residual-Rostered'!#REF!=0,"-",'Residual-Rostered'!#REF!)</f>
        <v>#REF!</v>
      </c>
      <c r="Q50" s="25" t="e">
        <f>IF('Residual-Rostered'!#REF!=0,"-",'Residual-Rostered'!#REF!)</f>
        <v>#REF!</v>
      </c>
      <c r="R50" s="25" t="e">
        <f>IF('Residual-Rostered'!#REF!=0,"-",'Residual-Rostered'!#REF!)</f>
        <v>#REF!</v>
      </c>
      <c r="S50" s="25" t="e">
        <f>IF('Residual-Rostered'!#REF!=0,"-",'Residual-Rostered'!#REF!)</f>
        <v>#REF!</v>
      </c>
      <c r="T50" s="25" t="e">
        <f>IF('Residual-Rostered'!#REF!=0,"-",'Residual-Rostered'!#REF!)</f>
        <v>#REF!</v>
      </c>
      <c r="U50" s="25" t="e">
        <f>IF('Residual-Rostered'!#REF!=0,"-",'Residual-Rostered'!#REF!)</f>
        <v>#REF!</v>
      </c>
      <c r="V50" s="25" t="e">
        <f>IF('Residual-Rostered'!#REF!=0,"-",'Residual-Rostered'!#REF!)</f>
        <v>#REF!</v>
      </c>
      <c r="W50" s="25" t="e">
        <f>IF('Residual-Rostered'!#REF!=0,"-",'Residual-Rostered'!#REF!)</f>
        <v>#REF!</v>
      </c>
      <c r="X50" s="25" t="e">
        <f>IF('Residual-Rostered'!#REF!=0,"-",'Residual-Rostered'!#REF!)</f>
        <v>#REF!</v>
      </c>
      <c r="Y50" s="25" t="e">
        <f>IF('Residual-Rostered'!#REF!=0,"-",'Residual-Rostered'!#REF!)</f>
        <v>#REF!</v>
      </c>
      <c r="Z50" s="25" t="e">
        <f>IF('Residual-Rostered'!#REF!=0,"-",'Residual-Rostered'!#REF!)</f>
        <v>#REF!</v>
      </c>
      <c r="AA50" s="25" t="e">
        <f>IF('Residual-Rostered'!#REF!=0,"-",'Residual-Rostered'!#REF!)</f>
        <v>#REF!</v>
      </c>
      <c r="AB50" s="25" t="e">
        <f>IF('Residual-Rostered'!#REF!=0,"-",'Residual-Rostered'!#REF!)</f>
        <v>#REF!</v>
      </c>
      <c r="AC50" s="25" t="e">
        <f>IF('Residual-Rostered'!#REF!=0,"-",'Residual-Rostered'!#REF!)</f>
        <v>#REF!</v>
      </c>
      <c r="AD50" s="25" t="e">
        <f>IF('Residual-Rostered'!#REF!=0,"-",'Residual-Rostered'!#REF!)</f>
        <v>#REF!</v>
      </c>
      <c r="AE50" s="25" t="e">
        <f>IF('Residual-Rostered'!#REF!=0,"-",'Residual-Rostered'!#REF!)</f>
        <v>#REF!</v>
      </c>
      <c r="AF50" s="25" t="e">
        <f>IF('Residual-Rostered'!#REF!=0,"-",'Residual-Rostered'!#REF!)</f>
        <v>#REF!</v>
      </c>
      <c r="AG50" s="25" t="e">
        <f>IF('Residual-Rostered'!#REF!=0,"-",'Residual-Rostered'!#REF!)</f>
        <v>#REF!</v>
      </c>
      <c r="AH50" s="25" t="e">
        <f>IF('Residual-Rostered'!#REF!=0,"-",'Residual-Rostered'!#REF!)</f>
        <v>#REF!</v>
      </c>
      <c r="AI50" s="25" t="e">
        <f>IF('Residual-Rostered'!#REF!=0,"-",'Residual-Rostered'!#REF!)</f>
        <v>#REF!</v>
      </c>
      <c r="AJ50" s="25" t="e">
        <f>IF('Residual-Rostered'!#REF!=0,"-",'Residual-Rostered'!#REF!)</f>
        <v>#REF!</v>
      </c>
      <c r="AK50" s="25" t="e">
        <f>IF('Residual-Rostered'!#REF!=0,"-",'Residual-Rostered'!#REF!)</f>
        <v>#REF!</v>
      </c>
      <c r="AL50" s="25" t="e">
        <f>IF('Residual-Rostered'!#REF!=0,"-",'Residual-Rostered'!#REF!)</f>
        <v>#REF!</v>
      </c>
      <c r="AM50" s="25" t="e">
        <f>IF('Residual-Rostered'!#REF!=0,"-",'Residual-Rostered'!#REF!)</f>
        <v>#REF!</v>
      </c>
      <c r="AN50" s="25" t="e">
        <f>IF('Residual-Rostered'!#REF!=0,"-",'Residual-Rostered'!#REF!)</f>
        <v>#REF!</v>
      </c>
      <c r="AO50" s="25" t="e">
        <f>IF('Residual-Rostered'!#REF!=0,"-",'Residual-Rostered'!#REF!)</f>
        <v>#REF!</v>
      </c>
      <c r="AP50" s="25" t="e">
        <f>IF('Residual-Rostered'!#REF!=0,"-",'Residual-Rostered'!#REF!)</f>
        <v>#REF!</v>
      </c>
      <c r="AQ50" s="25" t="e">
        <f>IF('Residual-Rostered'!#REF!=0,"-",'Residual-Rostered'!#REF!)</f>
        <v>#REF!</v>
      </c>
      <c r="AR50" s="25" t="e">
        <f>IF('Residual-Rostered'!#REF!=0,"-",'Residual-Rostered'!#REF!)</f>
        <v>#REF!</v>
      </c>
      <c r="AS50" s="25" t="e">
        <f>IF('Residual-Rostered'!#REF!=0,"-",'Residual-Rostered'!#REF!)</f>
        <v>#REF!</v>
      </c>
    </row>
    <row r="51" spans="1:45" x14ac:dyDescent="0.25">
      <c r="A51" s="25" t="e">
        <f>'Residual-Rostered'!#REF!</f>
        <v>#REF!</v>
      </c>
      <c r="B51" s="25" t="e">
        <f>'Residual-Rostered'!#REF!</f>
        <v>#REF!</v>
      </c>
      <c r="C51" s="25" t="e">
        <f>'Residual-Rostered'!#REF!</f>
        <v>#REF!</v>
      </c>
      <c r="D51" s="25" t="e">
        <f>IF('Residual-Rostered'!#REF!=0,"-",'Residual-Rostered'!#REF!)</f>
        <v>#REF!</v>
      </c>
      <c r="E51" s="25" t="e">
        <f>IF('Residual-Rostered'!#REF!=0,"-",'Residual-Rostered'!#REF!)</f>
        <v>#REF!</v>
      </c>
      <c r="F51" s="25" t="e">
        <f>IF('Residual-Rostered'!#REF!=0,"-",'Residual-Rostered'!#REF!)</f>
        <v>#REF!</v>
      </c>
      <c r="G51" s="25" t="e">
        <f>IF('Residual-Rostered'!#REF!=0,"-",'Residual-Rostered'!#REF!)</f>
        <v>#REF!</v>
      </c>
      <c r="H51" s="25" t="e">
        <f>IF('Residual-Rostered'!#REF!=0,"-",'Residual-Rostered'!#REF!)</f>
        <v>#REF!</v>
      </c>
      <c r="I51" s="25" t="e">
        <f>IF('Residual-Rostered'!#REF!=0,"-",'Residual-Rostered'!#REF!)</f>
        <v>#REF!</v>
      </c>
      <c r="J51" s="25" t="e">
        <f>IF('Residual-Rostered'!#REF!=0,"-",'Residual-Rostered'!#REF!)</f>
        <v>#REF!</v>
      </c>
      <c r="K51" s="25" t="e">
        <f>IF('Residual-Rostered'!#REF!=0,"-",'Residual-Rostered'!#REF!)</f>
        <v>#REF!</v>
      </c>
      <c r="L51" s="25" t="e">
        <f>IF('Residual-Rostered'!#REF!=0,"-",'Residual-Rostered'!#REF!)</f>
        <v>#REF!</v>
      </c>
      <c r="M51" s="25" t="e">
        <f>IF('Residual-Rostered'!#REF!=0,"-",'Residual-Rostered'!#REF!)</f>
        <v>#REF!</v>
      </c>
      <c r="N51" s="25" t="e">
        <f>IF('Residual-Rostered'!#REF!=0,"-",'Residual-Rostered'!#REF!)</f>
        <v>#REF!</v>
      </c>
      <c r="O51" s="25" t="e">
        <f>IF('Residual-Rostered'!#REF!=0,"-",'Residual-Rostered'!#REF!)</f>
        <v>#REF!</v>
      </c>
      <c r="P51" s="25" t="e">
        <f>IF('Residual-Rostered'!#REF!=0,"-",'Residual-Rostered'!#REF!)</f>
        <v>#REF!</v>
      </c>
      <c r="Q51" s="25" t="e">
        <f>IF('Residual-Rostered'!#REF!=0,"-",'Residual-Rostered'!#REF!)</f>
        <v>#REF!</v>
      </c>
      <c r="R51" s="25" t="e">
        <f>IF('Residual-Rostered'!#REF!=0,"-",'Residual-Rostered'!#REF!)</f>
        <v>#REF!</v>
      </c>
      <c r="S51" s="25" t="e">
        <f>IF('Residual-Rostered'!#REF!=0,"-",'Residual-Rostered'!#REF!)</f>
        <v>#REF!</v>
      </c>
      <c r="T51" s="25" t="e">
        <f>IF('Residual-Rostered'!#REF!=0,"-",'Residual-Rostered'!#REF!)</f>
        <v>#REF!</v>
      </c>
      <c r="U51" s="25" t="e">
        <f>IF('Residual-Rostered'!#REF!=0,"-",'Residual-Rostered'!#REF!)</f>
        <v>#REF!</v>
      </c>
      <c r="V51" s="25" t="e">
        <f>IF('Residual-Rostered'!#REF!=0,"-",'Residual-Rostered'!#REF!)</f>
        <v>#REF!</v>
      </c>
      <c r="W51" s="25" t="e">
        <f>IF('Residual-Rostered'!#REF!=0,"-",'Residual-Rostered'!#REF!)</f>
        <v>#REF!</v>
      </c>
      <c r="X51" s="25" t="e">
        <f>IF('Residual-Rostered'!#REF!=0,"-",'Residual-Rostered'!#REF!)</f>
        <v>#REF!</v>
      </c>
      <c r="Y51" s="25" t="e">
        <f>IF('Residual-Rostered'!#REF!=0,"-",'Residual-Rostered'!#REF!)</f>
        <v>#REF!</v>
      </c>
      <c r="Z51" s="25" t="e">
        <f>IF('Residual-Rostered'!#REF!=0,"-",'Residual-Rostered'!#REF!)</f>
        <v>#REF!</v>
      </c>
      <c r="AA51" s="25" t="e">
        <f>IF('Residual-Rostered'!#REF!=0,"-",'Residual-Rostered'!#REF!)</f>
        <v>#REF!</v>
      </c>
      <c r="AB51" s="25" t="e">
        <f>IF('Residual-Rostered'!#REF!=0,"-",'Residual-Rostered'!#REF!)</f>
        <v>#REF!</v>
      </c>
      <c r="AC51" s="25" t="e">
        <f>IF('Residual-Rostered'!#REF!=0,"-",'Residual-Rostered'!#REF!)</f>
        <v>#REF!</v>
      </c>
      <c r="AD51" s="25" t="e">
        <f>IF('Residual-Rostered'!#REF!=0,"-",'Residual-Rostered'!#REF!)</f>
        <v>#REF!</v>
      </c>
      <c r="AE51" s="25" t="e">
        <f>IF('Residual-Rostered'!#REF!=0,"-",'Residual-Rostered'!#REF!)</f>
        <v>#REF!</v>
      </c>
      <c r="AF51" s="25" t="e">
        <f>IF('Residual-Rostered'!#REF!=0,"-",'Residual-Rostered'!#REF!)</f>
        <v>#REF!</v>
      </c>
      <c r="AG51" s="25" t="e">
        <f>IF('Residual-Rostered'!#REF!=0,"-",'Residual-Rostered'!#REF!)</f>
        <v>#REF!</v>
      </c>
      <c r="AH51" s="25" t="e">
        <f>IF('Residual-Rostered'!#REF!=0,"-",'Residual-Rostered'!#REF!)</f>
        <v>#REF!</v>
      </c>
      <c r="AI51" s="25" t="e">
        <f>IF('Residual-Rostered'!#REF!=0,"-",'Residual-Rostered'!#REF!)</f>
        <v>#REF!</v>
      </c>
      <c r="AJ51" s="25" t="e">
        <f>IF('Residual-Rostered'!#REF!=0,"-",'Residual-Rostered'!#REF!)</f>
        <v>#REF!</v>
      </c>
      <c r="AK51" s="25" t="e">
        <f>IF('Residual-Rostered'!#REF!=0,"-",'Residual-Rostered'!#REF!)</f>
        <v>#REF!</v>
      </c>
      <c r="AL51" s="25" t="e">
        <f>IF('Residual-Rostered'!#REF!=0,"-",'Residual-Rostered'!#REF!)</f>
        <v>#REF!</v>
      </c>
      <c r="AM51" s="25" t="e">
        <f>IF('Residual-Rostered'!#REF!=0,"-",'Residual-Rostered'!#REF!)</f>
        <v>#REF!</v>
      </c>
      <c r="AN51" s="25" t="e">
        <f>IF('Residual-Rostered'!#REF!=0,"-",'Residual-Rostered'!#REF!)</f>
        <v>#REF!</v>
      </c>
      <c r="AO51" s="25" t="e">
        <f>IF('Residual-Rostered'!#REF!=0,"-",'Residual-Rostered'!#REF!)</f>
        <v>#REF!</v>
      </c>
      <c r="AP51" s="25" t="e">
        <f>IF('Residual-Rostered'!#REF!=0,"-",'Residual-Rostered'!#REF!)</f>
        <v>#REF!</v>
      </c>
      <c r="AQ51" s="25" t="e">
        <f>IF('Residual-Rostered'!#REF!=0,"-",'Residual-Rostered'!#REF!)</f>
        <v>#REF!</v>
      </c>
      <c r="AR51" s="25" t="e">
        <f>IF('Residual-Rostered'!#REF!=0,"-",'Residual-Rostered'!#REF!)</f>
        <v>#REF!</v>
      </c>
      <c r="AS51" s="25" t="e">
        <f>IF('Residual-Rostered'!#REF!=0,"-",'Residual-Rostered'!#REF!)</f>
        <v>#REF!</v>
      </c>
    </row>
    <row r="52" spans="1:45" x14ac:dyDescent="0.25">
      <c r="A52" s="25" t="e">
        <f>'Residual-Rostered'!#REF!</f>
        <v>#REF!</v>
      </c>
      <c r="B52" s="25" t="e">
        <f>'Residual-Rostered'!#REF!</f>
        <v>#REF!</v>
      </c>
      <c r="C52" s="25" t="e">
        <f>'Residual-Rostered'!#REF!</f>
        <v>#REF!</v>
      </c>
      <c r="D52" s="25" t="e">
        <f>IF('Residual-Rostered'!#REF!=0,"-",'Residual-Rostered'!#REF!)</f>
        <v>#REF!</v>
      </c>
      <c r="E52" s="25" t="e">
        <f>IF('Residual-Rostered'!#REF!=0,"-",'Residual-Rostered'!#REF!)</f>
        <v>#REF!</v>
      </c>
      <c r="F52" s="25" t="e">
        <f>IF('Residual-Rostered'!#REF!=0,"-",'Residual-Rostered'!#REF!)</f>
        <v>#REF!</v>
      </c>
      <c r="G52" s="25" t="e">
        <f>IF('Residual-Rostered'!#REF!=0,"-",'Residual-Rostered'!#REF!)</f>
        <v>#REF!</v>
      </c>
      <c r="H52" s="25" t="e">
        <f>IF('Residual-Rostered'!#REF!=0,"-",'Residual-Rostered'!#REF!)</f>
        <v>#REF!</v>
      </c>
      <c r="I52" s="25" t="e">
        <f>IF('Residual-Rostered'!#REF!=0,"-",'Residual-Rostered'!#REF!)</f>
        <v>#REF!</v>
      </c>
      <c r="J52" s="25" t="e">
        <f>IF('Residual-Rostered'!#REF!=0,"-",'Residual-Rostered'!#REF!)</f>
        <v>#REF!</v>
      </c>
      <c r="K52" s="25" t="e">
        <f>IF('Residual-Rostered'!#REF!=0,"-",'Residual-Rostered'!#REF!)</f>
        <v>#REF!</v>
      </c>
      <c r="L52" s="25" t="e">
        <f>IF('Residual-Rostered'!#REF!=0,"-",'Residual-Rostered'!#REF!)</f>
        <v>#REF!</v>
      </c>
      <c r="M52" s="25" t="e">
        <f>IF('Residual-Rostered'!#REF!=0,"-",'Residual-Rostered'!#REF!)</f>
        <v>#REF!</v>
      </c>
      <c r="N52" s="25" t="e">
        <f>IF('Residual-Rostered'!#REF!=0,"-",'Residual-Rostered'!#REF!)</f>
        <v>#REF!</v>
      </c>
      <c r="O52" s="25" t="e">
        <f>IF('Residual-Rostered'!#REF!=0,"-",'Residual-Rostered'!#REF!)</f>
        <v>#REF!</v>
      </c>
      <c r="P52" s="25" t="e">
        <f>IF('Residual-Rostered'!#REF!=0,"-",'Residual-Rostered'!#REF!)</f>
        <v>#REF!</v>
      </c>
      <c r="Q52" s="25" t="e">
        <f>IF('Residual-Rostered'!#REF!=0,"-",'Residual-Rostered'!#REF!)</f>
        <v>#REF!</v>
      </c>
      <c r="R52" s="25" t="e">
        <f>IF('Residual-Rostered'!#REF!=0,"-",'Residual-Rostered'!#REF!)</f>
        <v>#REF!</v>
      </c>
      <c r="S52" s="25" t="e">
        <f>IF('Residual-Rostered'!#REF!=0,"-",'Residual-Rostered'!#REF!)</f>
        <v>#REF!</v>
      </c>
      <c r="T52" s="25" t="e">
        <f>IF('Residual-Rostered'!#REF!=0,"-",'Residual-Rostered'!#REF!)</f>
        <v>#REF!</v>
      </c>
      <c r="U52" s="25" t="e">
        <f>IF('Residual-Rostered'!#REF!=0,"-",'Residual-Rostered'!#REF!)</f>
        <v>#REF!</v>
      </c>
      <c r="V52" s="25" t="e">
        <f>IF('Residual-Rostered'!#REF!=0,"-",'Residual-Rostered'!#REF!)</f>
        <v>#REF!</v>
      </c>
      <c r="W52" s="25" t="e">
        <f>IF('Residual-Rostered'!#REF!=0,"-",'Residual-Rostered'!#REF!)</f>
        <v>#REF!</v>
      </c>
      <c r="X52" s="25" t="e">
        <f>IF('Residual-Rostered'!#REF!=0,"-",'Residual-Rostered'!#REF!)</f>
        <v>#REF!</v>
      </c>
      <c r="Y52" s="25" t="e">
        <f>IF('Residual-Rostered'!#REF!=0,"-",'Residual-Rostered'!#REF!)</f>
        <v>#REF!</v>
      </c>
      <c r="Z52" s="25" t="e">
        <f>IF('Residual-Rostered'!#REF!=0,"-",'Residual-Rostered'!#REF!)</f>
        <v>#REF!</v>
      </c>
      <c r="AA52" s="25" t="e">
        <f>IF('Residual-Rostered'!#REF!=0,"-",'Residual-Rostered'!#REF!)</f>
        <v>#REF!</v>
      </c>
      <c r="AB52" s="25" t="e">
        <f>IF('Residual-Rostered'!#REF!=0,"-",'Residual-Rostered'!#REF!)</f>
        <v>#REF!</v>
      </c>
      <c r="AC52" s="25" t="e">
        <f>IF('Residual-Rostered'!#REF!=0,"-",'Residual-Rostered'!#REF!)</f>
        <v>#REF!</v>
      </c>
      <c r="AD52" s="25" t="e">
        <f>IF('Residual-Rostered'!#REF!=0,"-",'Residual-Rostered'!#REF!)</f>
        <v>#REF!</v>
      </c>
      <c r="AE52" s="25" t="e">
        <f>IF('Residual-Rostered'!#REF!=0,"-",'Residual-Rostered'!#REF!)</f>
        <v>#REF!</v>
      </c>
      <c r="AF52" s="25" t="e">
        <f>IF('Residual-Rostered'!#REF!=0,"-",'Residual-Rostered'!#REF!)</f>
        <v>#REF!</v>
      </c>
      <c r="AG52" s="25" t="e">
        <f>IF('Residual-Rostered'!#REF!=0,"-",'Residual-Rostered'!#REF!)</f>
        <v>#REF!</v>
      </c>
      <c r="AH52" s="25" t="e">
        <f>IF('Residual-Rostered'!#REF!=0,"-",'Residual-Rostered'!#REF!)</f>
        <v>#REF!</v>
      </c>
      <c r="AI52" s="25" t="e">
        <f>IF('Residual-Rostered'!#REF!=0,"-",'Residual-Rostered'!#REF!)</f>
        <v>#REF!</v>
      </c>
      <c r="AJ52" s="25" t="e">
        <f>IF('Residual-Rostered'!#REF!=0,"-",'Residual-Rostered'!#REF!)</f>
        <v>#REF!</v>
      </c>
      <c r="AK52" s="25" t="e">
        <f>IF('Residual-Rostered'!#REF!=0,"-",'Residual-Rostered'!#REF!)</f>
        <v>#REF!</v>
      </c>
      <c r="AL52" s="25" t="e">
        <f>IF('Residual-Rostered'!#REF!=0,"-",'Residual-Rostered'!#REF!)</f>
        <v>#REF!</v>
      </c>
      <c r="AM52" s="25" t="e">
        <f>IF('Residual-Rostered'!#REF!=0,"-",'Residual-Rostered'!#REF!)</f>
        <v>#REF!</v>
      </c>
      <c r="AN52" s="25" t="e">
        <f>IF('Residual-Rostered'!#REF!=0,"-",'Residual-Rostered'!#REF!)</f>
        <v>#REF!</v>
      </c>
      <c r="AO52" s="25" t="e">
        <f>IF('Residual-Rostered'!#REF!=0,"-",'Residual-Rostered'!#REF!)</f>
        <v>#REF!</v>
      </c>
      <c r="AP52" s="25" t="e">
        <f>IF('Residual-Rostered'!#REF!=0,"-",'Residual-Rostered'!#REF!)</f>
        <v>#REF!</v>
      </c>
      <c r="AQ52" s="25" t="e">
        <f>IF('Residual-Rostered'!#REF!=0,"-",'Residual-Rostered'!#REF!)</f>
        <v>#REF!</v>
      </c>
      <c r="AR52" s="25" t="e">
        <f>IF('Residual-Rostered'!#REF!=0,"-",'Residual-Rostered'!#REF!)</f>
        <v>#REF!</v>
      </c>
      <c r="AS52" s="25" t="e">
        <f>IF('Residual-Rostered'!#REF!=0,"-",'Residual-Rostered'!#REF!)</f>
        <v>#REF!</v>
      </c>
    </row>
    <row r="53" spans="1:45" x14ac:dyDescent="0.25">
      <c r="A53" s="25" t="e">
        <f>'Residual-Rostered'!#REF!</f>
        <v>#REF!</v>
      </c>
      <c r="B53" s="25" t="e">
        <f>'Residual-Rostered'!#REF!</f>
        <v>#REF!</v>
      </c>
      <c r="C53" s="25" t="e">
        <f>'Residual-Rostered'!#REF!</f>
        <v>#REF!</v>
      </c>
      <c r="D53" s="25" t="e">
        <f>IF('Residual-Rostered'!#REF!=0,"-",'Residual-Rostered'!#REF!)</f>
        <v>#REF!</v>
      </c>
      <c r="E53" s="25" t="e">
        <f>IF('Residual-Rostered'!#REF!=0,"-",'Residual-Rostered'!#REF!)</f>
        <v>#REF!</v>
      </c>
      <c r="F53" s="25" t="e">
        <f>IF('Residual-Rostered'!#REF!=0,"-",'Residual-Rostered'!#REF!)</f>
        <v>#REF!</v>
      </c>
      <c r="G53" s="25" t="e">
        <f>IF('Residual-Rostered'!#REF!=0,"-",'Residual-Rostered'!#REF!)</f>
        <v>#REF!</v>
      </c>
      <c r="H53" s="25" t="e">
        <f>IF('Residual-Rostered'!#REF!=0,"-",'Residual-Rostered'!#REF!)</f>
        <v>#REF!</v>
      </c>
      <c r="I53" s="25" t="e">
        <f>IF('Residual-Rostered'!#REF!=0,"-",'Residual-Rostered'!#REF!)</f>
        <v>#REF!</v>
      </c>
      <c r="J53" s="25" t="e">
        <f>IF('Residual-Rostered'!#REF!=0,"-",'Residual-Rostered'!#REF!)</f>
        <v>#REF!</v>
      </c>
      <c r="K53" s="25" t="e">
        <f>IF('Residual-Rostered'!#REF!=0,"-",'Residual-Rostered'!#REF!)</f>
        <v>#REF!</v>
      </c>
      <c r="L53" s="25" t="e">
        <f>IF('Residual-Rostered'!#REF!=0,"-",'Residual-Rostered'!#REF!)</f>
        <v>#REF!</v>
      </c>
      <c r="M53" s="25" t="e">
        <f>IF('Residual-Rostered'!#REF!=0,"-",'Residual-Rostered'!#REF!)</f>
        <v>#REF!</v>
      </c>
      <c r="N53" s="25" t="e">
        <f>IF('Residual-Rostered'!#REF!=0,"-",'Residual-Rostered'!#REF!)</f>
        <v>#REF!</v>
      </c>
      <c r="O53" s="25" t="e">
        <f>IF('Residual-Rostered'!#REF!=0,"-",'Residual-Rostered'!#REF!)</f>
        <v>#REF!</v>
      </c>
      <c r="P53" s="25" t="e">
        <f>IF('Residual-Rostered'!#REF!=0,"-",'Residual-Rostered'!#REF!)</f>
        <v>#REF!</v>
      </c>
      <c r="Q53" s="25" t="e">
        <f>IF('Residual-Rostered'!#REF!=0,"-",'Residual-Rostered'!#REF!)</f>
        <v>#REF!</v>
      </c>
      <c r="R53" s="25" t="e">
        <f>IF('Residual-Rostered'!#REF!=0,"-",'Residual-Rostered'!#REF!)</f>
        <v>#REF!</v>
      </c>
      <c r="S53" s="25" t="e">
        <f>IF('Residual-Rostered'!#REF!=0,"-",'Residual-Rostered'!#REF!)</f>
        <v>#REF!</v>
      </c>
      <c r="T53" s="25" t="e">
        <f>IF('Residual-Rostered'!#REF!=0,"-",'Residual-Rostered'!#REF!)</f>
        <v>#REF!</v>
      </c>
      <c r="U53" s="25" t="e">
        <f>IF('Residual-Rostered'!#REF!=0,"-",'Residual-Rostered'!#REF!)</f>
        <v>#REF!</v>
      </c>
      <c r="V53" s="25" t="e">
        <f>IF('Residual-Rostered'!#REF!=0,"-",'Residual-Rostered'!#REF!)</f>
        <v>#REF!</v>
      </c>
      <c r="W53" s="25" t="e">
        <f>IF('Residual-Rostered'!#REF!=0,"-",'Residual-Rostered'!#REF!)</f>
        <v>#REF!</v>
      </c>
      <c r="X53" s="25" t="e">
        <f>IF('Residual-Rostered'!#REF!=0,"-",'Residual-Rostered'!#REF!)</f>
        <v>#REF!</v>
      </c>
      <c r="Y53" s="25" t="e">
        <f>IF('Residual-Rostered'!#REF!=0,"-",'Residual-Rostered'!#REF!)</f>
        <v>#REF!</v>
      </c>
      <c r="Z53" s="25" t="e">
        <f>IF('Residual-Rostered'!#REF!=0,"-",'Residual-Rostered'!#REF!)</f>
        <v>#REF!</v>
      </c>
      <c r="AA53" s="25" t="e">
        <f>IF('Residual-Rostered'!#REF!=0,"-",'Residual-Rostered'!#REF!)</f>
        <v>#REF!</v>
      </c>
      <c r="AB53" s="25" t="e">
        <f>IF('Residual-Rostered'!#REF!=0,"-",'Residual-Rostered'!#REF!)</f>
        <v>#REF!</v>
      </c>
      <c r="AC53" s="25" t="e">
        <f>IF('Residual-Rostered'!#REF!=0,"-",'Residual-Rostered'!#REF!)</f>
        <v>#REF!</v>
      </c>
      <c r="AD53" s="25" t="e">
        <f>IF('Residual-Rostered'!#REF!=0,"-",'Residual-Rostered'!#REF!)</f>
        <v>#REF!</v>
      </c>
      <c r="AE53" s="25" t="e">
        <f>IF('Residual-Rostered'!#REF!=0,"-",'Residual-Rostered'!#REF!)</f>
        <v>#REF!</v>
      </c>
      <c r="AF53" s="25" t="e">
        <f>IF('Residual-Rostered'!#REF!=0,"-",'Residual-Rostered'!#REF!)</f>
        <v>#REF!</v>
      </c>
      <c r="AG53" s="25" t="e">
        <f>IF('Residual-Rostered'!#REF!=0,"-",'Residual-Rostered'!#REF!)</f>
        <v>#REF!</v>
      </c>
      <c r="AH53" s="25" t="e">
        <f>IF('Residual-Rostered'!#REF!=0,"-",'Residual-Rostered'!#REF!)</f>
        <v>#REF!</v>
      </c>
      <c r="AI53" s="25" t="e">
        <f>IF('Residual-Rostered'!#REF!=0,"-",'Residual-Rostered'!#REF!)</f>
        <v>#REF!</v>
      </c>
      <c r="AJ53" s="25" t="e">
        <f>IF('Residual-Rostered'!#REF!=0,"-",'Residual-Rostered'!#REF!)</f>
        <v>#REF!</v>
      </c>
      <c r="AK53" s="25" t="e">
        <f>IF('Residual-Rostered'!#REF!=0,"-",'Residual-Rostered'!#REF!)</f>
        <v>#REF!</v>
      </c>
      <c r="AL53" s="25" t="e">
        <f>IF('Residual-Rostered'!#REF!=0,"-",'Residual-Rostered'!#REF!)</f>
        <v>#REF!</v>
      </c>
      <c r="AM53" s="25" t="e">
        <f>IF('Residual-Rostered'!#REF!=0,"-",'Residual-Rostered'!#REF!)</f>
        <v>#REF!</v>
      </c>
      <c r="AN53" s="25" t="e">
        <f>IF('Residual-Rostered'!#REF!=0,"-",'Residual-Rostered'!#REF!)</f>
        <v>#REF!</v>
      </c>
      <c r="AO53" s="25" t="e">
        <f>IF('Residual-Rostered'!#REF!=0,"-",'Residual-Rostered'!#REF!)</f>
        <v>#REF!</v>
      </c>
      <c r="AP53" s="25" t="e">
        <f>IF('Residual-Rostered'!#REF!=0,"-",'Residual-Rostered'!#REF!)</f>
        <v>#REF!</v>
      </c>
      <c r="AQ53" s="25" t="e">
        <f>IF('Residual-Rostered'!#REF!=0,"-",'Residual-Rostered'!#REF!)</f>
        <v>#REF!</v>
      </c>
      <c r="AR53" s="25" t="e">
        <f>IF('Residual-Rostered'!#REF!=0,"-",'Residual-Rostered'!#REF!)</f>
        <v>#REF!</v>
      </c>
      <c r="AS53" s="25" t="e">
        <f>IF('Residual-Rostered'!#REF!=0,"-",'Residual-Rostered'!#REF!)</f>
        <v>#REF!</v>
      </c>
    </row>
    <row r="54" spans="1:45" x14ac:dyDescent="0.25">
      <c r="A54" s="25" t="e">
        <f>'Residual-Rostered'!#REF!</f>
        <v>#REF!</v>
      </c>
      <c r="B54" s="25" t="e">
        <f>'Residual-Rostered'!#REF!</f>
        <v>#REF!</v>
      </c>
      <c r="C54" s="25" t="e">
        <f>'Residual-Rostered'!#REF!</f>
        <v>#REF!</v>
      </c>
      <c r="D54" s="25" t="e">
        <f>IF('Residual-Rostered'!#REF!=0,"-",'Residual-Rostered'!#REF!)</f>
        <v>#REF!</v>
      </c>
      <c r="E54" s="25" t="e">
        <f>IF('Residual-Rostered'!#REF!=0,"-",'Residual-Rostered'!#REF!)</f>
        <v>#REF!</v>
      </c>
      <c r="F54" s="25" t="e">
        <f>IF('Residual-Rostered'!#REF!=0,"-",'Residual-Rostered'!#REF!)</f>
        <v>#REF!</v>
      </c>
      <c r="G54" s="25" t="e">
        <f>IF('Residual-Rostered'!#REF!=0,"-",'Residual-Rostered'!#REF!)</f>
        <v>#REF!</v>
      </c>
      <c r="H54" s="25" t="e">
        <f>IF('Residual-Rostered'!#REF!=0,"-",'Residual-Rostered'!#REF!)</f>
        <v>#REF!</v>
      </c>
      <c r="I54" s="25" t="e">
        <f>IF('Residual-Rostered'!#REF!=0,"-",'Residual-Rostered'!#REF!)</f>
        <v>#REF!</v>
      </c>
      <c r="J54" s="25" t="e">
        <f>IF('Residual-Rostered'!#REF!=0,"-",'Residual-Rostered'!#REF!)</f>
        <v>#REF!</v>
      </c>
      <c r="K54" s="25" t="e">
        <f>IF('Residual-Rostered'!#REF!=0,"-",'Residual-Rostered'!#REF!)</f>
        <v>#REF!</v>
      </c>
      <c r="L54" s="25" t="e">
        <f>IF('Residual-Rostered'!#REF!=0,"-",'Residual-Rostered'!#REF!)</f>
        <v>#REF!</v>
      </c>
      <c r="M54" s="25" t="e">
        <f>IF('Residual-Rostered'!#REF!=0,"-",'Residual-Rostered'!#REF!)</f>
        <v>#REF!</v>
      </c>
      <c r="N54" s="25" t="e">
        <f>IF('Residual-Rostered'!#REF!=0,"-",'Residual-Rostered'!#REF!)</f>
        <v>#REF!</v>
      </c>
      <c r="O54" s="25" t="e">
        <f>IF('Residual-Rostered'!#REF!=0,"-",'Residual-Rostered'!#REF!)</f>
        <v>#REF!</v>
      </c>
      <c r="P54" s="25" t="e">
        <f>IF('Residual-Rostered'!#REF!=0,"-",'Residual-Rostered'!#REF!)</f>
        <v>#REF!</v>
      </c>
      <c r="Q54" s="25" t="e">
        <f>IF('Residual-Rostered'!#REF!=0,"-",'Residual-Rostered'!#REF!)</f>
        <v>#REF!</v>
      </c>
      <c r="R54" s="25" t="e">
        <f>IF('Residual-Rostered'!#REF!=0,"-",'Residual-Rostered'!#REF!)</f>
        <v>#REF!</v>
      </c>
      <c r="S54" s="25" t="e">
        <f>IF('Residual-Rostered'!#REF!=0,"-",'Residual-Rostered'!#REF!)</f>
        <v>#REF!</v>
      </c>
      <c r="T54" s="25" t="e">
        <f>IF('Residual-Rostered'!#REF!=0,"-",'Residual-Rostered'!#REF!)</f>
        <v>#REF!</v>
      </c>
      <c r="U54" s="25" t="e">
        <f>IF('Residual-Rostered'!#REF!=0,"-",'Residual-Rostered'!#REF!)</f>
        <v>#REF!</v>
      </c>
      <c r="V54" s="25" t="e">
        <f>IF('Residual-Rostered'!#REF!=0,"-",'Residual-Rostered'!#REF!)</f>
        <v>#REF!</v>
      </c>
      <c r="W54" s="25" t="e">
        <f>IF('Residual-Rostered'!#REF!=0,"-",'Residual-Rostered'!#REF!)</f>
        <v>#REF!</v>
      </c>
      <c r="X54" s="25" t="e">
        <f>IF('Residual-Rostered'!#REF!=0,"-",'Residual-Rostered'!#REF!)</f>
        <v>#REF!</v>
      </c>
      <c r="Y54" s="25" t="e">
        <f>IF('Residual-Rostered'!#REF!=0,"-",'Residual-Rostered'!#REF!)</f>
        <v>#REF!</v>
      </c>
      <c r="Z54" s="25" t="e">
        <f>IF('Residual-Rostered'!#REF!=0,"-",'Residual-Rostered'!#REF!)</f>
        <v>#REF!</v>
      </c>
      <c r="AA54" s="25" t="e">
        <f>IF('Residual-Rostered'!#REF!=0,"-",'Residual-Rostered'!#REF!)</f>
        <v>#REF!</v>
      </c>
      <c r="AB54" s="25" t="e">
        <f>IF('Residual-Rostered'!#REF!=0,"-",'Residual-Rostered'!#REF!)</f>
        <v>#REF!</v>
      </c>
      <c r="AC54" s="25" t="e">
        <f>IF('Residual-Rostered'!#REF!=0,"-",'Residual-Rostered'!#REF!)</f>
        <v>#REF!</v>
      </c>
      <c r="AD54" s="25" t="e">
        <f>IF('Residual-Rostered'!#REF!=0,"-",'Residual-Rostered'!#REF!)</f>
        <v>#REF!</v>
      </c>
      <c r="AE54" s="25" t="e">
        <f>IF('Residual-Rostered'!#REF!=0,"-",'Residual-Rostered'!#REF!)</f>
        <v>#REF!</v>
      </c>
      <c r="AF54" s="25" t="e">
        <f>IF('Residual-Rostered'!#REF!=0,"-",'Residual-Rostered'!#REF!)</f>
        <v>#REF!</v>
      </c>
      <c r="AG54" s="25" t="e">
        <f>IF('Residual-Rostered'!#REF!=0,"-",'Residual-Rostered'!#REF!)</f>
        <v>#REF!</v>
      </c>
      <c r="AH54" s="25" t="e">
        <f>IF('Residual-Rostered'!#REF!=0,"-",'Residual-Rostered'!#REF!)</f>
        <v>#REF!</v>
      </c>
      <c r="AI54" s="25" t="e">
        <f>IF('Residual-Rostered'!#REF!=0,"-",'Residual-Rostered'!#REF!)</f>
        <v>#REF!</v>
      </c>
      <c r="AJ54" s="25" t="e">
        <f>IF('Residual-Rostered'!#REF!=0,"-",'Residual-Rostered'!#REF!)</f>
        <v>#REF!</v>
      </c>
      <c r="AK54" s="25" t="e">
        <f>IF('Residual-Rostered'!#REF!=0,"-",'Residual-Rostered'!#REF!)</f>
        <v>#REF!</v>
      </c>
      <c r="AL54" s="25" t="e">
        <f>IF('Residual-Rostered'!#REF!=0,"-",'Residual-Rostered'!#REF!)</f>
        <v>#REF!</v>
      </c>
      <c r="AM54" s="25" t="e">
        <f>IF('Residual-Rostered'!#REF!=0,"-",'Residual-Rostered'!#REF!)</f>
        <v>#REF!</v>
      </c>
      <c r="AN54" s="25" t="e">
        <f>IF('Residual-Rostered'!#REF!=0,"-",'Residual-Rostered'!#REF!)</f>
        <v>#REF!</v>
      </c>
      <c r="AO54" s="25" t="e">
        <f>IF('Residual-Rostered'!#REF!=0,"-",'Residual-Rostered'!#REF!)</f>
        <v>#REF!</v>
      </c>
      <c r="AP54" s="25" t="e">
        <f>IF('Residual-Rostered'!#REF!=0,"-",'Residual-Rostered'!#REF!)</f>
        <v>#REF!</v>
      </c>
      <c r="AQ54" s="25" t="e">
        <f>IF('Residual-Rostered'!#REF!=0,"-",'Residual-Rostered'!#REF!)</f>
        <v>#REF!</v>
      </c>
      <c r="AR54" s="25" t="e">
        <f>IF('Residual-Rostered'!#REF!=0,"-",'Residual-Rostered'!#REF!)</f>
        <v>#REF!</v>
      </c>
      <c r="AS54" s="25" t="e">
        <f>IF('Residual-Rostered'!#REF!=0,"-",'Residual-Rostered'!#REF!)</f>
        <v>#REF!</v>
      </c>
    </row>
    <row r="55" spans="1:45" x14ac:dyDescent="0.25">
      <c r="A55" s="25" t="e">
        <f>'Residual-Rostered'!#REF!</f>
        <v>#REF!</v>
      </c>
      <c r="B55" s="25" t="e">
        <f>'Residual-Rostered'!#REF!</f>
        <v>#REF!</v>
      </c>
      <c r="C55" s="25" t="e">
        <f>'Residual-Rostered'!#REF!</f>
        <v>#REF!</v>
      </c>
      <c r="D55" s="25" t="e">
        <f>IF('Residual-Rostered'!#REF!=0,"-",'Residual-Rostered'!#REF!)</f>
        <v>#REF!</v>
      </c>
      <c r="E55" s="25" t="e">
        <f>IF('Residual-Rostered'!#REF!=0,"-",'Residual-Rostered'!#REF!)</f>
        <v>#REF!</v>
      </c>
      <c r="F55" s="25" t="e">
        <f>IF('Residual-Rostered'!#REF!=0,"-",'Residual-Rostered'!#REF!)</f>
        <v>#REF!</v>
      </c>
      <c r="G55" s="25" t="e">
        <f>IF('Residual-Rostered'!#REF!=0,"-",'Residual-Rostered'!#REF!)</f>
        <v>#REF!</v>
      </c>
      <c r="H55" s="25" t="e">
        <f>IF('Residual-Rostered'!#REF!=0,"-",'Residual-Rostered'!#REF!)</f>
        <v>#REF!</v>
      </c>
      <c r="I55" s="25" t="e">
        <f>IF('Residual-Rostered'!#REF!=0,"-",'Residual-Rostered'!#REF!)</f>
        <v>#REF!</v>
      </c>
      <c r="J55" s="25" t="e">
        <f>IF('Residual-Rostered'!#REF!=0,"-",'Residual-Rostered'!#REF!)</f>
        <v>#REF!</v>
      </c>
      <c r="K55" s="25" t="e">
        <f>IF('Residual-Rostered'!#REF!=0,"-",'Residual-Rostered'!#REF!)</f>
        <v>#REF!</v>
      </c>
      <c r="L55" s="25" t="e">
        <f>IF('Residual-Rostered'!#REF!=0,"-",'Residual-Rostered'!#REF!)</f>
        <v>#REF!</v>
      </c>
      <c r="M55" s="25" t="e">
        <f>IF('Residual-Rostered'!#REF!=0,"-",'Residual-Rostered'!#REF!)</f>
        <v>#REF!</v>
      </c>
      <c r="N55" s="25" t="e">
        <f>IF('Residual-Rostered'!#REF!=0,"-",'Residual-Rostered'!#REF!)</f>
        <v>#REF!</v>
      </c>
      <c r="O55" s="25" t="e">
        <f>IF('Residual-Rostered'!#REF!=0,"-",'Residual-Rostered'!#REF!)</f>
        <v>#REF!</v>
      </c>
      <c r="P55" s="25" t="e">
        <f>IF('Residual-Rostered'!#REF!=0,"-",'Residual-Rostered'!#REF!)</f>
        <v>#REF!</v>
      </c>
      <c r="Q55" s="25" t="e">
        <f>IF('Residual-Rostered'!#REF!=0,"-",'Residual-Rostered'!#REF!)</f>
        <v>#REF!</v>
      </c>
      <c r="R55" s="25" t="e">
        <f>IF('Residual-Rostered'!#REF!=0,"-",'Residual-Rostered'!#REF!)</f>
        <v>#REF!</v>
      </c>
      <c r="S55" s="25" t="e">
        <f>IF('Residual-Rostered'!#REF!=0,"-",'Residual-Rostered'!#REF!)</f>
        <v>#REF!</v>
      </c>
      <c r="T55" s="25" t="e">
        <f>IF('Residual-Rostered'!#REF!=0,"-",'Residual-Rostered'!#REF!)</f>
        <v>#REF!</v>
      </c>
      <c r="U55" s="25" t="e">
        <f>IF('Residual-Rostered'!#REF!=0,"-",'Residual-Rostered'!#REF!)</f>
        <v>#REF!</v>
      </c>
      <c r="V55" s="25" t="e">
        <f>IF('Residual-Rostered'!#REF!=0,"-",'Residual-Rostered'!#REF!)</f>
        <v>#REF!</v>
      </c>
      <c r="W55" s="25" t="e">
        <f>IF('Residual-Rostered'!#REF!=0,"-",'Residual-Rostered'!#REF!)</f>
        <v>#REF!</v>
      </c>
      <c r="X55" s="25" t="e">
        <f>IF('Residual-Rostered'!#REF!=0,"-",'Residual-Rostered'!#REF!)</f>
        <v>#REF!</v>
      </c>
      <c r="Y55" s="25" t="e">
        <f>IF('Residual-Rostered'!#REF!=0,"-",'Residual-Rostered'!#REF!)</f>
        <v>#REF!</v>
      </c>
      <c r="Z55" s="25" t="e">
        <f>IF('Residual-Rostered'!#REF!=0,"-",'Residual-Rostered'!#REF!)</f>
        <v>#REF!</v>
      </c>
      <c r="AA55" s="25" t="e">
        <f>IF('Residual-Rostered'!#REF!=0,"-",'Residual-Rostered'!#REF!)</f>
        <v>#REF!</v>
      </c>
      <c r="AB55" s="25" t="e">
        <f>IF('Residual-Rostered'!#REF!=0,"-",'Residual-Rostered'!#REF!)</f>
        <v>#REF!</v>
      </c>
      <c r="AC55" s="25" t="e">
        <f>IF('Residual-Rostered'!#REF!=0,"-",'Residual-Rostered'!#REF!)</f>
        <v>#REF!</v>
      </c>
      <c r="AD55" s="25" t="e">
        <f>IF('Residual-Rostered'!#REF!=0,"-",'Residual-Rostered'!#REF!)</f>
        <v>#REF!</v>
      </c>
      <c r="AE55" s="25" t="e">
        <f>IF('Residual-Rostered'!#REF!=0,"-",'Residual-Rostered'!#REF!)</f>
        <v>#REF!</v>
      </c>
      <c r="AF55" s="25" t="e">
        <f>IF('Residual-Rostered'!#REF!=0,"-",'Residual-Rostered'!#REF!)</f>
        <v>#REF!</v>
      </c>
      <c r="AG55" s="25" t="e">
        <f>IF('Residual-Rostered'!#REF!=0,"-",'Residual-Rostered'!#REF!)</f>
        <v>#REF!</v>
      </c>
      <c r="AH55" s="25" t="e">
        <f>IF('Residual-Rostered'!#REF!=0,"-",'Residual-Rostered'!#REF!)</f>
        <v>#REF!</v>
      </c>
      <c r="AI55" s="25" t="e">
        <f>IF('Residual-Rostered'!#REF!=0,"-",'Residual-Rostered'!#REF!)</f>
        <v>#REF!</v>
      </c>
      <c r="AJ55" s="25" t="e">
        <f>IF('Residual-Rostered'!#REF!=0,"-",'Residual-Rostered'!#REF!)</f>
        <v>#REF!</v>
      </c>
      <c r="AK55" s="25" t="e">
        <f>IF('Residual-Rostered'!#REF!=0,"-",'Residual-Rostered'!#REF!)</f>
        <v>#REF!</v>
      </c>
      <c r="AL55" s="25" t="e">
        <f>IF('Residual-Rostered'!#REF!=0,"-",'Residual-Rostered'!#REF!)</f>
        <v>#REF!</v>
      </c>
      <c r="AM55" s="25" t="e">
        <f>IF('Residual-Rostered'!#REF!=0,"-",'Residual-Rostered'!#REF!)</f>
        <v>#REF!</v>
      </c>
      <c r="AN55" s="25" t="e">
        <f>IF('Residual-Rostered'!#REF!=0,"-",'Residual-Rostered'!#REF!)</f>
        <v>#REF!</v>
      </c>
      <c r="AO55" s="25" t="e">
        <f>IF('Residual-Rostered'!#REF!=0,"-",'Residual-Rostered'!#REF!)</f>
        <v>#REF!</v>
      </c>
      <c r="AP55" s="25" t="e">
        <f>IF('Residual-Rostered'!#REF!=0,"-",'Residual-Rostered'!#REF!)</f>
        <v>#REF!</v>
      </c>
      <c r="AQ55" s="25" t="e">
        <f>IF('Residual-Rostered'!#REF!=0,"-",'Residual-Rostered'!#REF!)</f>
        <v>#REF!</v>
      </c>
      <c r="AR55" s="25" t="e">
        <f>IF('Residual-Rostered'!#REF!=0,"-",'Residual-Rostered'!#REF!)</f>
        <v>#REF!</v>
      </c>
      <c r="AS55" s="25" t="e">
        <f>IF('Residual-Rostered'!#REF!=0,"-",'Residual-Rostered'!#REF!)</f>
        <v>#REF!</v>
      </c>
    </row>
    <row r="56" spans="1:45" x14ac:dyDescent="0.25">
      <c r="A56" s="25" t="e">
        <f>'Residual-Rostered'!#REF!</f>
        <v>#REF!</v>
      </c>
      <c r="B56" s="25" t="e">
        <f>'Residual-Rostered'!#REF!</f>
        <v>#REF!</v>
      </c>
      <c r="C56" s="25" t="e">
        <f>'Residual-Rostered'!#REF!</f>
        <v>#REF!</v>
      </c>
      <c r="D56" s="25" t="e">
        <f>IF('Residual-Rostered'!#REF!=0,"-",'Residual-Rostered'!#REF!)</f>
        <v>#REF!</v>
      </c>
      <c r="E56" s="25" t="e">
        <f>IF('Residual-Rostered'!#REF!=0,"-",'Residual-Rostered'!#REF!)</f>
        <v>#REF!</v>
      </c>
      <c r="F56" s="25" t="e">
        <f>IF('Residual-Rostered'!#REF!=0,"-",'Residual-Rostered'!#REF!)</f>
        <v>#REF!</v>
      </c>
      <c r="G56" s="25" t="e">
        <f>IF('Residual-Rostered'!#REF!=0,"-",'Residual-Rostered'!#REF!)</f>
        <v>#REF!</v>
      </c>
      <c r="H56" s="25" t="e">
        <f>IF('Residual-Rostered'!#REF!=0,"-",'Residual-Rostered'!#REF!)</f>
        <v>#REF!</v>
      </c>
      <c r="I56" s="25" t="e">
        <f>IF('Residual-Rostered'!#REF!=0,"-",'Residual-Rostered'!#REF!)</f>
        <v>#REF!</v>
      </c>
      <c r="J56" s="25" t="e">
        <f>IF('Residual-Rostered'!#REF!=0,"-",'Residual-Rostered'!#REF!)</f>
        <v>#REF!</v>
      </c>
      <c r="K56" s="25" t="e">
        <f>IF('Residual-Rostered'!#REF!=0,"-",'Residual-Rostered'!#REF!)</f>
        <v>#REF!</v>
      </c>
      <c r="L56" s="25" t="e">
        <f>IF('Residual-Rostered'!#REF!=0,"-",'Residual-Rostered'!#REF!)</f>
        <v>#REF!</v>
      </c>
      <c r="M56" s="25" t="e">
        <f>IF('Residual-Rostered'!#REF!=0,"-",'Residual-Rostered'!#REF!)</f>
        <v>#REF!</v>
      </c>
      <c r="N56" s="25" t="e">
        <f>IF('Residual-Rostered'!#REF!=0,"-",'Residual-Rostered'!#REF!)</f>
        <v>#REF!</v>
      </c>
      <c r="O56" s="25" t="e">
        <f>IF('Residual-Rostered'!#REF!=0,"-",'Residual-Rostered'!#REF!)</f>
        <v>#REF!</v>
      </c>
      <c r="P56" s="25" t="e">
        <f>IF('Residual-Rostered'!#REF!=0,"-",'Residual-Rostered'!#REF!)</f>
        <v>#REF!</v>
      </c>
      <c r="Q56" s="25" t="e">
        <f>IF('Residual-Rostered'!#REF!=0,"-",'Residual-Rostered'!#REF!)</f>
        <v>#REF!</v>
      </c>
      <c r="R56" s="25" t="e">
        <f>IF('Residual-Rostered'!#REF!=0,"-",'Residual-Rostered'!#REF!)</f>
        <v>#REF!</v>
      </c>
      <c r="S56" s="25" t="e">
        <f>IF('Residual-Rostered'!#REF!=0,"-",'Residual-Rostered'!#REF!)</f>
        <v>#REF!</v>
      </c>
      <c r="T56" s="25" t="e">
        <f>IF('Residual-Rostered'!#REF!=0,"-",'Residual-Rostered'!#REF!)</f>
        <v>#REF!</v>
      </c>
      <c r="U56" s="25" t="e">
        <f>IF('Residual-Rostered'!#REF!=0,"-",'Residual-Rostered'!#REF!)</f>
        <v>#REF!</v>
      </c>
      <c r="V56" s="25" t="e">
        <f>IF('Residual-Rostered'!#REF!=0,"-",'Residual-Rostered'!#REF!)</f>
        <v>#REF!</v>
      </c>
      <c r="W56" s="25" t="e">
        <f>IF('Residual-Rostered'!#REF!=0,"-",'Residual-Rostered'!#REF!)</f>
        <v>#REF!</v>
      </c>
      <c r="X56" s="25" t="e">
        <f>IF('Residual-Rostered'!#REF!=0,"-",'Residual-Rostered'!#REF!)</f>
        <v>#REF!</v>
      </c>
      <c r="Y56" s="25" t="e">
        <f>IF('Residual-Rostered'!#REF!=0,"-",'Residual-Rostered'!#REF!)</f>
        <v>#REF!</v>
      </c>
      <c r="Z56" s="25" t="e">
        <f>IF('Residual-Rostered'!#REF!=0,"-",'Residual-Rostered'!#REF!)</f>
        <v>#REF!</v>
      </c>
      <c r="AA56" s="25" t="e">
        <f>IF('Residual-Rostered'!#REF!=0,"-",'Residual-Rostered'!#REF!)</f>
        <v>#REF!</v>
      </c>
      <c r="AB56" s="25" t="e">
        <f>IF('Residual-Rostered'!#REF!=0,"-",'Residual-Rostered'!#REF!)</f>
        <v>#REF!</v>
      </c>
      <c r="AC56" s="25" t="e">
        <f>IF('Residual-Rostered'!#REF!=0,"-",'Residual-Rostered'!#REF!)</f>
        <v>#REF!</v>
      </c>
      <c r="AD56" s="25" t="e">
        <f>IF('Residual-Rostered'!#REF!=0,"-",'Residual-Rostered'!#REF!)</f>
        <v>#REF!</v>
      </c>
      <c r="AE56" s="25" t="e">
        <f>IF('Residual-Rostered'!#REF!=0,"-",'Residual-Rostered'!#REF!)</f>
        <v>#REF!</v>
      </c>
      <c r="AF56" s="25" t="e">
        <f>IF('Residual-Rostered'!#REF!=0,"-",'Residual-Rostered'!#REF!)</f>
        <v>#REF!</v>
      </c>
      <c r="AG56" s="25" t="e">
        <f>IF('Residual-Rostered'!#REF!=0,"-",'Residual-Rostered'!#REF!)</f>
        <v>#REF!</v>
      </c>
      <c r="AH56" s="25" t="e">
        <f>IF('Residual-Rostered'!#REF!=0,"-",'Residual-Rostered'!#REF!)</f>
        <v>#REF!</v>
      </c>
      <c r="AI56" s="25" t="e">
        <f>IF('Residual-Rostered'!#REF!=0,"-",'Residual-Rostered'!#REF!)</f>
        <v>#REF!</v>
      </c>
      <c r="AJ56" s="25" t="e">
        <f>IF('Residual-Rostered'!#REF!=0,"-",'Residual-Rostered'!#REF!)</f>
        <v>#REF!</v>
      </c>
      <c r="AK56" s="25" t="e">
        <f>IF('Residual-Rostered'!#REF!=0,"-",'Residual-Rostered'!#REF!)</f>
        <v>#REF!</v>
      </c>
      <c r="AL56" s="25" t="e">
        <f>IF('Residual-Rostered'!#REF!=0,"-",'Residual-Rostered'!#REF!)</f>
        <v>#REF!</v>
      </c>
      <c r="AM56" s="25" t="e">
        <f>IF('Residual-Rostered'!#REF!=0,"-",'Residual-Rostered'!#REF!)</f>
        <v>#REF!</v>
      </c>
      <c r="AN56" s="25" t="e">
        <f>IF('Residual-Rostered'!#REF!=0,"-",'Residual-Rostered'!#REF!)</f>
        <v>#REF!</v>
      </c>
      <c r="AO56" s="25" t="e">
        <f>IF('Residual-Rostered'!#REF!=0,"-",'Residual-Rostered'!#REF!)</f>
        <v>#REF!</v>
      </c>
      <c r="AP56" s="25" t="e">
        <f>IF('Residual-Rostered'!#REF!=0,"-",'Residual-Rostered'!#REF!)</f>
        <v>#REF!</v>
      </c>
      <c r="AQ56" s="25" t="e">
        <f>IF('Residual-Rostered'!#REF!=0,"-",'Residual-Rostered'!#REF!)</f>
        <v>#REF!</v>
      </c>
      <c r="AR56" s="25" t="e">
        <f>IF('Residual-Rostered'!#REF!=0,"-",'Residual-Rostered'!#REF!)</f>
        <v>#REF!</v>
      </c>
      <c r="AS56" s="25" t="e">
        <f>IF('Residual-Rostered'!#REF!=0,"-",'Residual-Rostered'!#REF!)</f>
        <v>#REF!</v>
      </c>
    </row>
    <row r="57" spans="1:45" x14ac:dyDescent="0.25">
      <c r="A57" s="25" t="e">
        <f>'Residual-Rostered'!#REF!</f>
        <v>#REF!</v>
      </c>
      <c r="B57" s="25" t="e">
        <f>'Residual-Rostered'!#REF!</f>
        <v>#REF!</v>
      </c>
      <c r="C57" s="25" t="e">
        <f>'Residual-Rostered'!#REF!</f>
        <v>#REF!</v>
      </c>
      <c r="D57" s="25" t="e">
        <f>IF('Residual-Rostered'!#REF!=0,"-",'Residual-Rostered'!#REF!)</f>
        <v>#REF!</v>
      </c>
      <c r="E57" s="25" t="e">
        <f>IF('Residual-Rostered'!#REF!=0,"-",'Residual-Rostered'!#REF!)</f>
        <v>#REF!</v>
      </c>
      <c r="F57" s="25" t="e">
        <f>IF('Residual-Rostered'!#REF!=0,"-",'Residual-Rostered'!#REF!)</f>
        <v>#REF!</v>
      </c>
      <c r="G57" s="25" t="e">
        <f>IF('Residual-Rostered'!#REF!=0,"-",'Residual-Rostered'!#REF!)</f>
        <v>#REF!</v>
      </c>
      <c r="H57" s="25" t="e">
        <f>IF('Residual-Rostered'!#REF!=0,"-",'Residual-Rostered'!#REF!)</f>
        <v>#REF!</v>
      </c>
      <c r="I57" s="25" t="e">
        <f>IF('Residual-Rostered'!#REF!=0,"-",'Residual-Rostered'!#REF!)</f>
        <v>#REF!</v>
      </c>
      <c r="J57" s="25" t="e">
        <f>IF('Residual-Rostered'!#REF!=0,"-",'Residual-Rostered'!#REF!)</f>
        <v>#REF!</v>
      </c>
      <c r="K57" s="25" t="e">
        <f>IF('Residual-Rostered'!#REF!=0,"-",'Residual-Rostered'!#REF!)</f>
        <v>#REF!</v>
      </c>
      <c r="L57" s="25" t="e">
        <f>IF('Residual-Rostered'!#REF!=0,"-",'Residual-Rostered'!#REF!)</f>
        <v>#REF!</v>
      </c>
      <c r="M57" s="25" t="e">
        <f>IF('Residual-Rostered'!#REF!=0,"-",'Residual-Rostered'!#REF!)</f>
        <v>#REF!</v>
      </c>
      <c r="N57" s="25" t="e">
        <f>IF('Residual-Rostered'!#REF!=0,"-",'Residual-Rostered'!#REF!)</f>
        <v>#REF!</v>
      </c>
      <c r="O57" s="25" t="e">
        <f>IF('Residual-Rostered'!#REF!=0,"-",'Residual-Rostered'!#REF!)</f>
        <v>#REF!</v>
      </c>
      <c r="P57" s="25" t="e">
        <f>IF('Residual-Rostered'!#REF!=0,"-",'Residual-Rostered'!#REF!)</f>
        <v>#REF!</v>
      </c>
      <c r="Q57" s="25" t="e">
        <f>IF('Residual-Rostered'!#REF!=0,"-",'Residual-Rostered'!#REF!)</f>
        <v>#REF!</v>
      </c>
      <c r="R57" s="25" t="e">
        <f>IF('Residual-Rostered'!#REF!=0,"-",'Residual-Rostered'!#REF!)</f>
        <v>#REF!</v>
      </c>
      <c r="S57" s="25" t="e">
        <f>IF('Residual-Rostered'!#REF!=0,"-",'Residual-Rostered'!#REF!)</f>
        <v>#REF!</v>
      </c>
      <c r="T57" s="25" t="e">
        <f>IF('Residual-Rostered'!#REF!=0,"-",'Residual-Rostered'!#REF!)</f>
        <v>#REF!</v>
      </c>
      <c r="U57" s="25" t="e">
        <f>IF('Residual-Rostered'!#REF!=0,"-",'Residual-Rostered'!#REF!)</f>
        <v>#REF!</v>
      </c>
      <c r="V57" s="25" t="e">
        <f>IF('Residual-Rostered'!#REF!=0,"-",'Residual-Rostered'!#REF!)</f>
        <v>#REF!</v>
      </c>
      <c r="W57" s="25" t="e">
        <f>IF('Residual-Rostered'!#REF!=0,"-",'Residual-Rostered'!#REF!)</f>
        <v>#REF!</v>
      </c>
      <c r="X57" s="25" t="e">
        <f>IF('Residual-Rostered'!#REF!=0,"-",'Residual-Rostered'!#REF!)</f>
        <v>#REF!</v>
      </c>
      <c r="Y57" s="25" t="e">
        <f>IF('Residual-Rostered'!#REF!=0,"-",'Residual-Rostered'!#REF!)</f>
        <v>#REF!</v>
      </c>
      <c r="Z57" s="25" t="e">
        <f>IF('Residual-Rostered'!#REF!=0,"-",'Residual-Rostered'!#REF!)</f>
        <v>#REF!</v>
      </c>
      <c r="AA57" s="25" t="e">
        <f>IF('Residual-Rostered'!#REF!=0,"-",'Residual-Rostered'!#REF!)</f>
        <v>#REF!</v>
      </c>
      <c r="AB57" s="25" t="e">
        <f>IF('Residual-Rostered'!#REF!=0,"-",'Residual-Rostered'!#REF!)</f>
        <v>#REF!</v>
      </c>
      <c r="AC57" s="25" t="e">
        <f>IF('Residual-Rostered'!#REF!=0,"-",'Residual-Rostered'!#REF!)</f>
        <v>#REF!</v>
      </c>
      <c r="AD57" s="25" t="e">
        <f>IF('Residual-Rostered'!#REF!=0,"-",'Residual-Rostered'!#REF!)</f>
        <v>#REF!</v>
      </c>
      <c r="AE57" s="25" t="e">
        <f>IF('Residual-Rostered'!#REF!=0,"-",'Residual-Rostered'!#REF!)</f>
        <v>#REF!</v>
      </c>
      <c r="AF57" s="25" t="e">
        <f>IF('Residual-Rostered'!#REF!=0,"-",'Residual-Rostered'!#REF!)</f>
        <v>#REF!</v>
      </c>
      <c r="AG57" s="25" t="e">
        <f>IF('Residual-Rostered'!#REF!=0,"-",'Residual-Rostered'!#REF!)</f>
        <v>#REF!</v>
      </c>
      <c r="AH57" s="25" t="e">
        <f>IF('Residual-Rostered'!#REF!=0,"-",'Residual-Rostered'!#REF!)</f>
        <v>#REF!</v>
      </c>
      <c r="AI57" s="25" t="e">
        <f>IF('Residual-Rostered'!#REF!=0,"-",'Residual-Rostered'!#REF!)</f>
        <v>#REF!</v>
      </c>
      <c r="AJ57" s="25" t="e">
        <f>IF('Residual-Rostered'!#REF!=0,"-",'Residual-Rostered'!#REF!)</f>
        <v>#REF!</v>
      </c>
      <c r="AK57" s="25" t="e">
        <f>IF('Residual-Rostered'!#REF!=0,"-",'Residual-Rostered'!#REF!)</f>
        <v>#REF!</v>
      </c>
      <c r="AL57" s="25" t="e">
        <f>IF('Residual-Rostered'!#REF!=0,"-",'Residual-Rostered'!#REF!)</f>
        <v>#REF!</v>
      </c>
      <c r="AM57" s="25" t="e">
        <f>IF('Residual-Rostered'!#REF!=0,"-",'Residual-Rostered'!#REF!)</f>
        <v>#REF!</v>
      </c>
      <c r="AN57" s="25" t="e">
        <f>IF('Residual-Rostered'!#REF!=0,"-",'Residual-Rostered'!#REF!)</f>
        <v>#REF!</v>
      </c>
      <c r="AO57" s="25" t="e">
        <f>IF('Residual-Rostered'!#REF!=0,"-",'Residual-Rostered'!#REF!)</f>
        <v>#REF!</v>
      </c>
      <c r="AP57" s="25" t="e">
        <f>IF('Residual-Rostered'!#REF!=0,"-",'Residual-Rostered'!#REF!)</f>
        <v>#REF!</v>
      </c>
      <c r="AQ57" s="25" t="e">
        <f>IF('Residual-Rostered'!#REF!=0,"-",'Residual-Rostered'!#REF!)</f>
        <v>#REF!</v>
      </c>
      <c r="AR57" s="25" t="e">
        <f>IF('Residual-Rostered'!#REF!=0,"-",'Residual-Rostered'!#REF!)</f>
        <v>#REF!</v>
      </c>
      <c r="AS57" s="25" t="e">
        <f>IF('Residual-Rostered'!#REF!=0,"-",'Residual-Rostered'!#REF!)</f>
        <v>#REF!</v>
      </c>
    </row>
    <row r="58" spans="1:45" x14ac:dyDescent="0.25">
      <c r="A58" s="25" t="e">
        <f>'Residual-Rostered'!#REF!</f>
        <v>#REF!</v>
      </c>
      <c r="B58" s="25" t="e">
        <f>'Residual-Rostered'!#REF!</f>
        <v>#REF!</v>
      </c>
      <c r="C58" s="25" t="e">
        <f>'Residual-Rostered'!#REF!</f>
        <v>#REF!</v>
      </c>
      <c r="D58" s="25" t="e">
        <f>IF('Residual-Rostered'!#REF!=0,"-",'Residual-Rostered'!#REF!)</f>
        <v>#REF!</v>
      </c>
      <c r="E58" s="25" t="e">
        <f>IF('Residual-Rostered'!#REF!=0,"-",'Residual-Rostered'!#REF!)</f>
        <v>#REF!</v>
      </c>
      <c r="F58" s="25" t="e">
        <f>IF('Residual-Rostered'!#REF!=0,"-",'Residual-Rostered'!#REF!)</f>
        <v>#REF!</v>
      </c>
      <c r="G58" s="25" t="e">
        <f>IF('Residual-Rostered'!#REF!=0,"-",'Residual-Rostered'!#REF!)</f>
        <v>#REF!</v>
      </c>
      <c r="H58" s="25" t="e">
        <f>IF('Residual-Rostered'!#REF!=0,"-",'Residual-Rostered'!#REF!)</f>
        <v>#REF!</v>
      </c>
      <c r="I58" s="25" t="e">
        <f>IF('Residual-Rostered'!#REF!=0,"-",'Residual-Rostered'!#REF!)</f>
        <v>#REF!</v>
      </c>
      <c r="J58" s="25" t="e">
        <f>IF('Residual-Rostered'!#REF!=0,"-",'Residual-Rostered'!#REF!)</f>
        <v>#REF!</v>
      </c>
      <c r="K58" s="25" t="e">
        <f>IF('Residual-Rostered'!#REF!=0,"-",'Residual-Rostered'!#REF!)</f>
        <v>#REF!</v>
      </c>
      <c r="L58" s="25" t="e">
        <f>IF('Residual-Rostered'!#REF!=0,"-",'Residual-Rostered'!#REF!)</f>
        <v>#REF!</v>
      </c>
      <c r="M58" s="25" t="e">
        <f>IF('Residual-Rostered'!#REF!=0,"-",'Residual-Rostered'!#REF!)</f>
        <v>#REF!</v>
      </c>
      <c r="N58" s="25" t="e">
        <f>IF('Residual-Rostered'!#REF!=0,"-",'Residual-Rostered'!#REF!)</f>
        <v>#REF!</v>
      </c>
      <c r="O58" s="25" t="e">
        <f>IF('Residual-Rostered'!#REF!=0,"-",'Residual-Rostered'!#REF!)</f>
        <v>#REF!</v>
      </c>
      <c r="P58" s="25" t="e">
        <f>IF('Residual-Rostered'!#REF!=0,"-",'Residual-Rostered'!#REF!)</f>
        <v>#REF!</v>
      </c>
      <c r="Q58" s="25" t="e">
        <f>IF('Residual-Rostered'!#REF!=0,"-",'Residual-Rostered'!#REF!)</f>
        <v>#REF!</v>
      </c>
      <c r="R58" s="25" t="e">
        <f>IF('Residual-Rostered'!#REF!=0,"-",'Residual-Rostered'!#REF!)</f>
        <v>#REF!</v>
      </c>
      <c r="S58" s="25" t="e">
        <f>IF('Residual-Rostered'!#REF!=0,"-",'Residual-Rostered'!#REF!)</f>
        <v>#REF!</v>
      </c>
      <c r="T58" s="25" t="e">
        <f>IF('Residual-Rostered'!#REF!=0,"-",'Residual-Rostered'!#REF!)</f>
        <v>#REF!</v>
      </c>
      <c r="U58" s="25" t="e">
        <f>IF('Residual-Rostered'!#REF!=0,"-",'Residual-Rostered'!#REF!)</f>
        <v>#REF!</v>
      </c>
      <c r="V58" s="25" t="e">
        <f>IF('Residual-Rostered'!#REF!=0,"-",'Residual-Rostered'!#REF!)</f>
        <v>#REF!</v>
      </c>
      <c r="W58" s="25" t="e">
        <f>IF('Residual-Rostered'!#REF!=0,"-",'Residual-Rostered'!#REF!)</f>
        <v>#REF!</v>
      </c>
      <c r="X58" s="25" t="e">
        <f>IF('Residual-Rostered'!#REF!=0,"-",'Residual-Rostered'!#REF!)</f>
        <v>#REF!</v>
      </c>
      <c r="Y58" s="25" t="e">
        <f>IF('Residual-Rostered'!#REF!=0,"-",'Residual-Rostered'!#REF!)</f>
        <v>#REF!</v>
      </c>
      <c r="Z58" s="25" t="e">
        <f>IF('Residual-Rostered'!#REF!=0,"-",'Residual-Rostered'!#REF!)</f>
        <v>#REF!</v>
      </c>
      <c r="AA58" s="25" t="e">
        <f>IF('Residual-Rostered'!#REF!=0,"-",'Residual-Rostered'!#REF!)</f>
        <v>#REF!</v>
      </c>
      <c r="AB58" s="25" t="e">
        <f>IF('Residual-Rostered'!#REF!=0,"-",'Residual-Rostered'!#REF!)</f>
        <v>#REF!</v>
      </c>
      <c r="AC58" s="25" t="e">
        <f>IF('Residual-Rostered'!#REF!=0,"-",'Residual-Rostered'!#REF!)</f>
        <v>#REF!</v>
      </c>
      <c r="AD58" s="25" t="e">
        <f>IF('Residual-Rostered'!#REF!=0,"-",'Residual-Rostered'!#REF!)</f>
        <v>#REF!</v>
      </c>
      <c r="AE58" s="25" t="e">
        <f>IF('Residual-Rostered'!#REF!=0,"-",'Residual-Rostered'!#REF!)</f>
        <v>#REF!</v>
      </c>
      <c r="AF58" s="25" t="e">
        <f>IF('Residual-Rostered'!#REF!=0,"-",'Residual-Rostered'!#REF!)</f>
        <v>#REF!</v>
      </c>
      <c r="AG58" s="25" t="e">
        <f>IF('Residual-Rostered'!#REF!=0,"-",'Residual-Rostered'!#REF!)</f>
        <v>#REF!</v>
      </c>
      <c r="AH58" s="25" t="e">
        <f>IF('Residual-Rostered'!#REF!=0,"-",'Residual-Rostered'!#REF!)</f>
        <v>#REF!</v>
      </c>
      <c r="AI58" s="25" t="e">
        <f>IF('Residual-Rostered'!#REF!=0,"-",'Residual-Rostered'!#REF!)</f>
        <v>#REF!</v>
      </c>
      <c r="AJ58" s="25" t="e">
        <f>IF('Residual-Rostered'!#REF!=0,"-",'Residual-Rostered'!#REF!)</f>
        <v>#REF!</v>
      </c>
      <c r="AK58" s="25" t="e">
        <f>IF('Residual-Rostered'!#REF!=0,"-",'Residual-Rostered'!#REF!)</f>
        <v>#REF!</v>
      </c>
      <c r="AL58" s="25" t="e">
        <f>IF('Residual-Rostered'!#REF!=0,"-",'Residual-Rostered'!#REF!)</f>
        <v>#REF!</v>
      </c>
      <c r="AM58" s="25" t="e">
        <f>IF('Residual-Rostered'!#REF!=0,"-",'Residual-Rostered'!#REF!)</f>
        <v>#REF!</v>
      </c>
      <c r="AN58" s="25" t="e">
        <f>IF('Residual-Rostered'!#REF!=0,"-",'Residual-Rostered'!#REF!)</f>
        <v>#REF!</v>
      </c>
      <c r="AO58" s="25" t="e">
        <f>IF('Residual-Rostered'!#REF!=0,"-",'Residual-Rostered'!#REF!)</f>
        <v>#REF!</v>
      </c>
      <c r="AP58" s="25" t="e">
        <f>IF('Residual-Rostered'!#REF!=0,"-",'Residual-Rostered'!#REF!)</f>
        <v>#REF!</v>
      </c>
      <c r="AQ58" s="25" t="e">
        <f>IF('Residual-Rostered'!#REF!=0,"-",'Residual-Rostered'!#REF!)</f>
        <v>#REF!</v>
      </c>
      <c r="AR58" s="25" t="e">
        <f>IF('Residual-Rostered'!#REF!=0,"-",'Residual-Rostered'!#REF!)</f>
        <v>#REF!</v>
      </c>
      <c r="AS58" s="25" t="e">
        <f>IF('Residual-Rostered'!#REF!=0,"-",'Residual-Rostered'!#REF!)</f>
        <v>#REF!</v>
      </c>
    </row>
    <row r="59" spans="1:45" x14ac:dyDescent="0.25">
      <c r="A59" s="25" t="e">
        <f>'Residual-Rostered'!#REF!</f>
        <v>#REF!</v>
      </c>
      <c r="B59" s="25" t="e">
        <f>'Residual-Rostered'!#REF!</f>
        <v>#REF!</v>
      </c>
      <c r="C59" s="25" t="e">
        <f>'Residual-Rostered'!#REF!</f>
        <v>#REF!</v>
      </c>
      <c r="D59" s="25" t="e">
        <f>IF('Residual-Rostered'!#REF!=0,"-",'Residual-Rostered'!#REF!)</f>
        <v>#REF!</v>
      </c>
      <c r="E59" s="25" t="e">
        <f>IF('Residual-Rostered'!#REF!=0,"-",'Residual-Rostered'!#REF!)</f>
        <v>#REF!</v>
      </c>
      <c r="F59" s="25" t="e">
        <f>IF('Residual-Rostered'!#REF!=0,"-",'Residual-Rostered'!#REF!)</f>
        <v>#REF!</v>
      </c>
      <c r="G59" s="25" t="e">
        <f>IF('Residual-Rostered'!#REF!=0,"-",'Residual-Rostered'!#REF!)</f>
        <v>#REF!</v>
      </c>
      <c r="H59" s="25" t="e">
        <f>IF('Residual-Rostered'!#REF!=0,"-",'Residual-Rostered'!#REF!)</f>
        <v>#REF!</v>
      </c>
      <c r="I59" s="25" t="e">
        <f>IF('Residual-Rostered'!#REF!=0,"-",'Residual-Rostered'!#REF!)</f>
        <v>#REF!</v>
      </c>
      <c r="J59" s="25" t="e">
        <f>IF('Residual-Rostered'!#REF!=0,"-",'Residual-Rostered'!#REF!)</f>
        <v>#REF!</v>
      </c>
      <c r="K59" s="25" t="e">
        <f>IF('Residual-Rostered'!#REF!=0,"-",'Residual-Rostered'!#REF!)</f>
        <v>#REF!</v>
      </c>
      <c r="L59" s="25" t="e">
        <f>IF('Residual-Rostered'!#REF!=0,"-",'Residual-Rostered'!#REF!)</f>
        <v>#REF!</v>
      </c>
      <c r="M59" s="25" t="e">
        <f>IF('Residual-Rostered'!#REF!=0,"-",'Residual-Rostered'!#REF!)</f>
        <v>#REF!</v>
      </c>
      <c r="N59" s="25" t="e">
        <f>IF('Residual-Rostered'!#REF!=0,"-",'Residual-Rostered'!#REF!)</f>
        <v>#REF!</v>
      </c>
      <c r="O59" s="25" t="e">
        <f>IF('Residual-Rostered'!#REF!=0,"-",'Residual-Rostered'!#REF!)</f>
        <v>#REF!</v>
      </c>
      <c r="P59" s="25" t="e">
        <f>IF('Residual-Rostered'!#REF!=0,"-",'Residual-Rostered'!#REF!)</f>
        <v>#REF!</v>
      </c>
      <c r="Q59" s="25" t="e">
        <f>IF('Residual-Rostered'!#REF!=0,"-",'Residual-Rostered'!#REF!)</f>
        <v>#REF!</v>
      </c>
      <c r="R59" s="25" t="e">
        <f>IF('Residual-Rostered'!#REF!=0,"-",'Residual-Rostered'!#REF!)</f>
        <v>#REF!</v>
      </c>
      <c r="S59" s="25" t="e">
        <f>IF('Residual-Rostered'!#REF!=0,"-",'Residual-Rostered'!#REF!)</f>
        <v>#REF!</v>
      </c>
      <c r="T59" s="25" t="e">
        <f>IF('Residual-Rostered'!#REF!=0,"-",'Residual-Rostered'!#REF!)</f>
        <v>#REF!</v>
      </c>
      <c r="U59" s="25" t="e">
        <f>IF('Residual-Rostered'!#REF!=0,"-",'Residual-Rostered'!#REF!)</f>
        <v>#REF!</v>
      </c>
      <c r="V59" s="25" t="e">
        <f>IF('Residual-Rostered'!#REF!=0,"-",'Residual-Rostered'!#REF!)</f>
        <v>#REF!</v>
      </c>
      <c r="W59" s="25" t="e">
        <f>IF('Residual-Rostered'!#REF!=0,"-",'Residual-Rostered'!#REF!)</f>
        <v>#REF!</v>
      </c>
      <c r="X59" s="25" t="e">
        <f>IF('Residual-Rostered'!#REF!=0,"-",'Residual-Rostered'!#REF!)</f>
        <v>#REF!</v>
      </c>
      <c r="Y59" s="25" t="e">
        <f>IF('Residual-Rostered'!#REF!=0,"-",'Residual-Rostered'!#REF!)</f>
        <v>#REF!</v>
      </c>
      <c r="Z59" s="25" t="e">
        <f>IF('Residual-Rostered'!#REF!=0,"-",'Residual-Rostered'!#REF!)</f>
        <v>#REF!</v>
      </c>
      <c r="AA59" s="25" t="e">
        <f>IF('Residual-Rostered'!#REF!=0,"-",'Residual-Rostered'!#REF!)</f>
        <v>#REF!</v>
      </c>
      <c r="AB59" s="25" t="e">
        <f>IF('Residual-Rostered'!#REF!=0,"-",'Residual-Rostered'!#REF!)</f>
        <v>#REF!</v>
      </c>
      <c r="AC59" s="25" t="e">
        <f>IF('Residual-Rostered'!#REF!=0,"-",'Residual-Rostered'!#REF!)</f>
        <v>#REF!</v>
      </c>
      <c r="AD59" s="25" t="e">
        <f>IF('Residual-Rostered'!#REF!=0,"-",'Residual-Rostered'!#REF!)</f>
        <v>#REF!</v>
      </c>
      <c r="AE59" s="25" t="e">
        <f>IF('Residual-Rostered'!#REF!=0,"-",'Residual-Rostered'!#REF!)</f>
        <v>#REF!</v>
      </c>
      <c r="AF59" s="25" t="e">
        <f>IF('Residual-Rostered'!#REF!=0,"-",'Residual-Rostered'!#REF!)</f>
        <v>#REF!</v>
      </c>
      <c r="AG59" s="25" t="e">
        <f>IF('Residual-Rostered'!#REF!=0,"-",'Residual-Rostered'!#REF!)</f>
        <v>#REF!</v>
      </c>
      <c r="AH59" s="25" t="e">
        <f>IF('Residual-Rostered'!#REF!=0,"-",'Residual-Rostered'!#REF!)</f>
        <v>#REF!</v>
      </c>
      <c r="AI59" s="25" t="e">
        <f>IF('Residual-Rostered'!#REF!=0,"-",'Residual-Rostered'!#REF!)</f>
        <v>#REF!</v>
      </c>
      <c r="AJ59" s="25" t="e">
        <f>IF('Residual-Rostered'!#REF!=0,"-",'Residual-Rostered'!#REF!)</f>
        <v>#REF!</v>
      </c>
      <c r="AK59" s="25" t="e">
        <f>IF('Residual-Rostered'!#REF!=0,"-",'Residual-Rostered'!#REF!)</f>
        <v>#REF!</v>
      </c>
      <c r="AL59" s="25" t="e">
        <f>IF('Residual-Rostered'!#REF!=0,"-",'Residual-Rostered'!#REF!)</f>
        <v>#REF!</v>
      </c>
      <c r="AM59" s="25" t="e">
        <f>IF('Residual-Rostered'!#REF!=0,"-",'Residual-Rostered'!#REF!)</f>
        <v>#REF!</v>
      </c>
      <c r="AN59" s="25" t="e">
        <f>IF('Residual-Rostered'!#REF!=0,"-",'Residual-Rostered'!#REF!)</f>
        <v>#REF!</v>
      </c>
      <c r="AO59" s="25" t="e">
        <f>IF('Residual-Rostered'!#REF!=0,"-",'Residual-Rostered'!#REF!)</f>
        <v>#REF!</v>
      </c>
      <c r="AP59" s="25" t="e">
        <f>IF('Residual-Rostered'!#REF!=0,"-",'Residual-Rostered'!#REF!)</f>
        <v>#REF!</v>
      </c>
      <c r="AQ59" s="25" t="e">
        <f>IF('Residual-Rostered'!#REF!=0,"-",'Residual-Rostered'!#REF!)</f>
        <v>#REF!</v>
      </c>
      <c r="AR59" s="25" t="e">
        <f>IF('Residual-Rostered'!#REF!=0,"-",'Residual-Rostered'!#REF!)</f>
        <v>#REF!</v>
      </c>
      <c r="AS59" s="25" t="e">
        <f>IF('Residual-Rostered'!#REF!=0,"-",'Residual-Rostered'!#REF!)</f>
        <v>#REF!</v>
      </c>
    </row>
    <row r="60" spans="1:45" x14ac:dyDescent="0.25">
      <c r="A60" s="25" t="e">
        <f>'Residual-Rostered'!#REF!</f>
        <v>#REF!</v>
      </c>
      <c r="B60" s="25" t="e">
        <f>'Residual-Rostered'!#REF!</f>
        <v>#REF!</v>
      </c>
      <c r="C60" s="25" t="e">
        <f>'Residual-Rostered'!#REF!</f>
        <v>#REF!</v>
      </c>
      <c r="D60" s="25" t="e">
        <f>IF('Residual-Rostered'!#REF!=0,"-",'Residual-Rostered'!#REF!)</f>
        <v>#REF!</v>
      </c>
      <c r="E60" s="25" t="e">
        <f>IF('Residual-Rostered'!#REF!=0,"-",'Residual-Rostered'!#REF!)</f>
        <v>#REF!</v>
      </c>
      <c r="F60" s="25" t="e">
        <f>IF('Residual-Rostered'!#REF!=0,"-",'Residual-Rostered'!#REF!)</f>
        <v>#REF!</v>
      </c>
      <c r="G60" s="25" t="e">
        <f>IF('Residual-Rostered'!#REF!=0,"-",'Residual-Rostered'!#REF!)</f>
        <v>#REF!</v>
      </c>
      <c r="H60" s="25" t="e">
        <f>IF('Residual-Rostered'!#REF!=0,"-",'Residual-Rostered'!#REF!)</f>
        <v>#REF!</v>
      </c>
      <c r="I60" s="25" t="e">
        <f>IF('Residual-Rostered'!#REF!=0,"-",'Residual-Rostered'!#REF!)</f>
        <v>#REF!</v>
      </c>
      <c r="J60" s="25" t="e">
        <f>IF('Residual-Rostered'!#REF!=0,"-",'Residual-Rostered'!#REF!)</f>
        <v>#REF!</v>
      </c>
      <c r="K60" s="25" t="e">
        <f>IF('Residual-Rostered'!#REF!=0,"-",'Residual-Rostered'!#REF!)</f>
        <v>#REF!</v>
      </c>
      <c r="L60" s="25" t="e">
        <f>IF('Residual-Rostered'!#REF!=0,"-",'Residual-Rostered'!#REF!)</f>
        <v>#REF!</v>
      </c>
      <c r="M60" s="25" t="e">
        <f>IF('Residual-Rostered'!#REF!=0,"-",'Residual-Rostered'!#REF!)</f>
        <v>#REF!</v>
      </c>
      <c r="N60" s="25" t="e">
        <f>IF('Residual-Rostered'!#REF!=0,"-",'Residual-Rostered'!#REF!)</f>
        <v>#REF!</v>
      </c>
      <c r="O60" s="25" t="e">
        <f>IF('Residual-Rostered'!#REF!=0,"-",'Residual-Rostered'!#REF!)</f>
        <v>#REF!</v>
      </c>
      <c r="P60" s="25" t="e">
        <f>IF('Residual-Rostered'!#REF!=0,"-",'Residual-Rostered'!#REF!)</f>
        <v>#REF!</v>
      </c>
      <c r="Q60" s="25" t="e">
        <f>IF('Residual-Rostered'!#REF!=0,"-",'Residual-Rostered'!#REF!)</f>
        <v>#REF!</v>
      </c>
      <c r="R60" s="25" t="e">
        <f>IF('Residual-Rostered'!#REF!=0,"-",'Residual-Rostered'!#REF!)</f>
        <v>#REF!</v>
      </c>
      <c r="S60" s="25" t="e">
        <f>IF('Residual-Rostered'!#REF!=0,"-",'Residual-Rostered'!#REF!)</f>
        <v>#REF!</v>
      </c>
      <c r="T60" s="25" t="e">
        <f>IF('Residual-Rostered'!#REF!=0,"-",'Residual-Rostered'!#REF!)</f>
        <v>#REF!</v>
      </c>
      <c r="U60" s="25" t="e">
        <f>IF('Residual-Rostered'!#REF!=0,"-",'Residual-Rostered'!#REF!)</f>
        <v>#REF!</v>
      </c>
      <c r="V60" s="25" t="e">
        <f>IF('Residual-Rostered'!#REF!=0,"-",'Residual-Rostered'!#REF!)</f>
        <v>#REF!</v>
      </c>
      <c r="W60" s="25" t="e">
        <f>IF('Residual-Rostered'!#REF!=0,"-",'Residual-Rostered'!#REF!)</f>
        <v>#REF!</v>
      </c>
      <c r="X60" s="25" t="e">
        <f>IF('Residual-Rostered'!#REF!=0,"-",'Residual-Rostered'!#REF!)</f>
        <v>#REF!</v>
      </c>
      <c r="Y60" s="25" t="e">
        <f>IF('Residual-Rostered'!#REF!=0,"-",'Residual-Rostered'!#REF!)</f>
        <v>#REF!</v>
      </c>
      <c r="Z60" s="25" t="e">
        <f>IF('Residual-Rostered'!#REF!=0,"-",'Residual-Rostered'!#REF!)</f>
        <v>#REF!</v>
      </c>
      <c r="AA60" s="25" t="e">
        <f>IF('Residual-Rostered'!#REF!=0,"-",'Residual-Rostered'!#REF!)</f>
        <v>#REF!</v>
      </c>
      <c r="AB60" s="25" t="e">
        <f>IF('Residual-Rostered'!#REF!=0,"-",'Residual-Rostered'!#REF!)</f>
        <v>#REF!</v>
      </c>
      <c r="AC60" s="25" t="e">
        <f>IF('Residual-Rostered'!#REF!=0,"-",'Residual-Rostered'!#REF!)</f>
        <v>#REF!</v>
      </c>
      <c r="AD60" s="25" t="e">
        <f>IF('Residual-Rostered'!#REF!=0,"-",'Residual-Rostered'!#REF!)</f>
        <v>#REF!</v>
      </c>
      <c r="AE60" s="25" t="e">
        <f>IF('Residual-Rostered'!#REF!=0,"-",'Residual-Rostered'!#REF!)</f>
        <v>#REF!</v>
      </c>
      <c r="AF60" s="25" t="e">
        <f>IF('Residual-Rostered'!#REF!=0,"-",'Residual-Rostered'!#REF!)</f>
        <v>#REF!</v>
      </c>
      <c r="AG60" s="25" t="e">
        <f>IF('Residual-Rostered'!#REF!=0,"-",'Residual-Rostered'!#REF!)</f>
        <v>#REF!</v>
      </c>
      <c r="AH60" s="25" t="e">
        <f>IF('Residual-Rostered'!#REF!=0,"-",'Residual-Rostered'!#REF!)</f>
        <v>#REF!</v>
      </c>
      <c r="AI60" s="25" t="e">
        <f>IF('Residual-Rostered'!#REF!=0,"-",'Residual-Rostered'!#REF!)</f>
        <v>#REF!</v>
      </c>
      <c r="AJ60" s="25" t="e">
        <f>IF('Residual-Rostered'!#REF!=0,"-",'Residual-Rostered'!#REF!)</f>
        <v>#REF!</v>
      </c>
      <c r="AK60" s="25" t="e">
        <f>IF('Residual-Rostered'!#REF!=0,"-",'Residual-Rostered'!#REF!)</f>
        <v>#REF!</v>
      </c>
      <c r="AL60" s="25" t="e">
        <f>IF('Residual-Rostered'!#REF!=0,"-",'Residual-Rostered'!#REF!)</f>
        <v>#REF!</v>
      </c>
      <c r="AM60" s="25" t="e">
        <f>IF('Residual-Rostered'!#REF!=0,"-",'Residual-Rostered'!#REF!)</f>
        <v>#REF!</v>
      </c>
      <c r="AN60" s="25" t="e">
        <f>IF('Residual-Rostered'!#REF!=0,"-",'Residual-Rostered'!#REF!)</f>
        <v>#REF!</v>
      </c>
      <c r="AO60" s="25" t="e">
        <f>IF('Residual-Rostered'!#REF!=0,"-",'Residual-Rostered'!#REF!)</f>
        <v>#REF!</v>
      </c>
      <c r="AP60" s="25" t="e">
        <f>IF('Residual-Rostered'!#REF!=0,"-",'Residual-Rostered'!#REF!)</f>
        <v>#REF!</v>
      </c>
      <c r="AQ60" s="25" t="e">
        <f>IF('Residual-Rostered'!#REF!=0,"-",'Residual-Rostered'!#REF!)</f>
        <v>#REF!</v>
      </c>
      <c r="AR60" s="25" t="e">
        <f>IF('Residual-Rostered'!#REF!=0,"-",'Residual-Rostered'!#REF!)</f>
        <v>#REF!</v>
      </c>
      <c r="AS60" s="25" t="e">
        <f>IF('Residual-Rostered'!#REF!=0,"-",'Residual-Rostered'!#REF!)</f>
        <v>#REF!</v>
      </c>
    </row>
    <row r="61" spans="1:45" hidden="1" x14ac:dyDescent="0.25">
      <c r="A61" s="25" t="e">
        <f>'Residual-Rostered'!#REF!</f>
        <v>#REF!</v>
      </c>
      <c r="B61" s="25" t="e">
        <f>'Residual-Rostered'!#REF!</f>
        <v>#REF!</v>
      </c>
      <c r="C61" s="25" t="e">
        <f>'Residual-Rostered'!#REF!</f>
        <v>#REF!</v>
      </c>
      <c r="D61" s="25" t="e">
        <f>IF('Residual-Rostered'!#REF!=0,"-",'Residual-Rostered'!#REF!)</f>
        <v>#REF!</v>
      </c>
      <c r="E61" s="25" t="e">
        <f>IF('Residual-Rostered'!#REF!=0,"-",'Residual-Rostered'!#REF!)</f>
        <v>#REF!</v>
      </c>
      <c r="F61" s="25" t="e">
        <f>IF('Residual-Rostered'!#REF!=0,"-",'Residual-Rostered'!#REF!)</f>
        <v>#REF!</v>
      </c>
      <c r="G61" s="25" t="e">
        <f>IF('Residual-Rostered'!#REF!=0,"-",'Residual-Rostered'!#REF!)</f>
        <v>#REF!</v>
      </c>
      <c r="H61" s="25" t="e">
        <f>IF('Residual-Rostered'!#REF!=0,"-",'Residual-Rostered'!#REF!)</f>
        <v>#REF!</v>
      </c>
      <c r="I61" s="25" t="e">
        <f>IF('Residual-Rostered'!#REF!=0,"-",'Residual-Rostered'!#REF!)</f>
        <v>#REF!</v>
      </c>
      <c r="J61" s="25" t="e">
        <f>IF('Residual-Rostered'!#REF!=0,"-",'Residual-Rostered'!#REF!)</f>
        <v>#REF!</v>
      </c>
      <c r="K61" s="25" t="e">
        <f>IF('Residual-Rostered'!#REF!=0,"-",'Residual-Rostered'!#REF!)</f>
        <v>#REF!</v>
      </c>
      <c r="L61" s="25" t="e">
        <f>IF('Residual-Rostered'!#REF!=0,"-",'Residual-Rostered'!#REF!)</f>
        <v>#REF!</v>
      </c>
      <c r="M61" s="25" t="e">
        <f>IF('Residual-Rostered'!#REF!=0,"-",'Residual-Rostered'!#REF!)</f>
        <v>#REF!</v>
      </c>
      <c r="N61" s="25" t="e">
        <f>IF('Residual-Rostered'!#REF!=0,"-",'Residual-Rostered'!#REF!)</f>
        <v>#REF!</v>
      </c>
      <c r="O61" s="25" t="e">
        <f>IF('Residual-Rostered'!#REF!=0,"-",'Residual-Rostered'!#REF!)</f>
        <v>#REF!</v>
      </c>
      <c r="P61" s="25" t="e">
        <f>IF('Residual-Rostered'!#REF!=0,"-",'Residual-Rostered'!#REF!)</f>
        <v>#REF!</v>
      </c>
      <c r="Q61" s="25" t="e">
        <f>IF('Residual-Rostered'!#REF!=0,"-",'Residual-Rostered'!#REF!)</f>
        <v>#REF!</v>
      </c>
      <c r="R61" s="25" t="e">
        <f>IF('Residual-Rostered'!#REF!=0,"-",'Residual-Rostered'!#REF!)</f>
        <v>#REF!</v>
      </c>
      <c r="S61" s="25" t="e">
        <f>IF('Residual-Rostered'!#REF!=0,"-",'Residual-Rostered'!#REF!)</f>
        <v>#REF!</v>
      </c>
      <c r="T61" s="25" t="e">
        <f>IF('Residual-Rostered'!#REF!=0,"-",'Residual-Rostered'!#REF!)</f>
        <v>#REF!</v>
      </c>
      <c r="U61" s="25" t="e">
        <f>IF('Residual-Rostered'!#REF!=0,"-",'Residual-Rostered'!#REF!)</f>
        <v>#REF!</v>
      </c>
      <c r="V61" s="25" t="e">
        <f>IF('Residual-Rostered'!#REF!=0,"-",'Residual-Rostered'!#REF!)</f>
        <v>#REF!</v>
      </c>
      <c r="W61" s="25" t="e">
        <f>IF('Residual-Rostered'!#REF!=0,"-",'Residual-Rostered'!#REF!)</f>
        <v>#REF!</v>
      </c>
      <c r="X61" s="25" t="e">
        <f>IF('Residual-Rostered'!#REF!=0,"-",'Residual-Rostered'!#REF!)</f>
        <v>#REF!</v>
      </c>
      <c r="Y61" s="25" t="e">
        <f>IF('Residual-Rostered'!#REF!=0,"-",'Residual-Rostered'!#REF!)</f>
        <v>#REF!</v>
      </c>
      <c r="Z61" s="25" t="e">
        <f>IF('Residual-Rostered'!#REF!=0,"-",'Residual-Rostered'!#REF!)</f>
        <v>#REF!</v>
      </c>
      <c r="AA61" s="25" t="e">
        <f>IF('Residual-Rostered'!#REF!=0,"-",'Residual-Rostered'!#REF!)</f>
        <v>#REF!</v>
      </c>
      <c r="AB61" s="25" t="e">
        <f>IF('Residual-Rostered'!#REF!=0,"-",'Residual-Rostered'!#REF!)</f>
        <v>#REF!</v>
      </c>
      <c r="AC61" s="25" t="e">
        <f>IF('Residual-Rostered'!#REF!=0,"-",'Residual-Rostered'!#REF!)</f>
        <v>#REF!</v>
      </c>
      <c r="AD61" s="25" t="e">
        <f>IF('Residual-Rostered'!#REF!=0,"-",'Residual-Rostered'!#REF!)</f>
        <v>#REF!</v>
      </c>
      <c r="AE61" s="25" t="e">
        <f>IF('Residual-Rostered'!#REF!=0,"-",'Residual-Rostered'!#REF!)</f>
        <v>#REF!</v>
      </c>
      <c r="AF61" s="25" t="e">
        <f>IF('Residual-Rostered'!#REF!=0,"-",'Residual-Rostered'!#REF!)</f>
        <v>#REF!</v>
      </c>
      <c r="AG61" s="25" t="e">
        <f>IF('Residual-Rostered'!#REF!=0,"-",'Residual-Rostered'!#REF!)</f>
        <v>#REF!</v>
      </c>
      <c r="AH61" s="25" t="e">
        <f>IF('Residual-Rostered'!#REF!=0,"-",'Residual-Rostered'!#REF!)</f>
        <v>#REF!</v>
      </c>
      <c r="AI61" s="25" t="e">
        <f>IF('Residual-Rostered'!#REF!=0,"-",'Residual-Rostered'!#REF!)</f>
        <v>#REF!</v>
      </c>
      <c r="AJ61" s="25" t="e">
        <f>IF('Residual-Rostered'!#REF!=0,"-",'Residual-Rostered'!#REF!)</f>
        <v>#REF!</v>
      </c>
      <c r="AK61" s="25" t="e">
        <f>IF('Residual-Rostered'!#REF!=0,"-",'Residual-Rostered'!#REF!)</f>
        <v>#REF!</v>
      </c>
      <c r="AL61" s="25" t="e">
        <f>IF('Residual-Rostered'!#REF!=0,"-",'Residual-Rostered'!#REF!)</f>
        <v>#REF!</v>
      </c>
      <c r="AM61" s="25" t="e">
        <f>IF('Residual-Rostered'!#REF!=0,"-",'Residual-Rostered'!#REF!)</f>
        <v>#REF!</v>
      </c>
      <c r="AN61" s="25" t="e">
        <f>IF('Residual-Rostered'!#REF!=0,"-",'Residual-Rostered'!#REF!)</f>
        <v>#REF!</v>
      </c>
      <c r="AO61" s="25" t="e">
        <f>IF('Residual-Rostered'!#REF!=0,"-",'Residual-Rostered'!#REF!)</f>
        <v>#REF!</v>
      </c>
      <c r="AP61" s="25" t="e">
        <f>IF('Residual-Rostered'!#REF!=0,"-",'Residual-Rostered'!#REF!)</f>
        <v>#REF!</v>
      </c>
      <c r="AQ61" s="25" t="e">
        <f>IF('Residual-Rostered'!#REF!=0,"-",'Residual-Rostered'!#REF!)</f>
        <v>#REF!</v>
      </c>
      <c r="AR61" s="25" t="e">
        <f>IF('Residual-Rostered'!#REF!=0,"-",'Residual-Rostered'!#REF!)</f>
        <v>#REF!</v>
      </c>
      <c r="AS61" s="25" t="e">
        <f>IF('Residual-Rostered'!#REF!=0,"-",'Residual-Rostered'!#REF!)</f>
        <v>#REF!</v>
      </c>
    </row>
    <row r="62" spans="1:45" x14ac:dyDescent="0.25">
      <c r="A62" s="25" t="e">
        <f>'Residual-Rostered'!#REF!</f>
        <v>#REF!</v>
      </c>
      <c r="B62" s="25" t="e">
        <f>'Residual-Rostered'!#REF!</f>
        <v>#REF!</v>
      </c>
      <c r="C62" s="25" t="e">
        <f>'Residual-Rostered'!#REF!</f>
        <v>#REF!</v>
      </c>
      <c r="D62" s="25" t="e">
        <f>IF('Residual-Rostered'!#REF!=0,"-",'Residual-Rostered'!#REF!)</f>
        <v>#REF!</v>
      </c>
      <c r="E62" s="25" t="e">
        <f>IF('Residual-Rostered'!#REF!=0,"-",'Residual-Rostered'!#REF!)</f>
        <v>#REF!</v>
      </c>
      <c r="F62" s="25" t="e">
        <f>IF('Residual-Rostered'!#REF!=0,"-",'Residual-Rostered'!#REF!)</f>
        <v>#REF!</v>
      </c>
      <c r="G62" s="25" t="e">
        <f>IF('Residual-Rostered'!#REF!=0,"-",'Residual-Rostered'!#REF!)</f>
        <v>#REF!</v>
      </c>
      <c r="H62" s="25" t="e">
        <f>IF('Residual-Rostered'!#REF!=0,"-",'Residual-Rostered'!#REF!)</f>
        <v>#REF!</v>
      </c>
      <c r="I62" s="25" t="e">
        <f>IF('Residual-Rostered'!#REF!=0,"-",'Residual-Rostered'!#REF!)</f>
        <v>#REF!</v>
      </c>
      <c r="J62" s="25" t="e">
        <f>IF('Residual-Rostered'!#REF!=0,"-",'Residual-Rostered'!#REF!)</f>
        <v>#REF!</v>
      </c>
      <c r="K62" s="25" t="e">
        <f>IF('Residual-Rostered'!#REF!=0,"-",'Residual-Rostered'!#REF!)</f>
        <v>#REF!</v>
      </c>
      <c r="L62" s="25" t="e">
        <f>IF('Residual-Rostered'!#REF!=0,"-",'Residual-Rostered'!#REF!)</f>
        <v>#REF!</v>
      </c>
      <c r="M62" s="25" t="e">
        <f>IF('Residual-Rostered'!#REF!=0,"-",'Residual-Rostered'!#REF!)</f>
        <v>#REF!</v>
      </c>
      <c r="N62" s="25" t="e">
        <f>IF('Residual-Rostered'!#REF!=0,"-",'Residual-Rostered'!#REF!)</f>
        <v>#REF!</v>
      </c>
      <c r="O62" s="25" t="e">
        <f>IF('Residual-Rostered'!#REF!=0,"-",'Residual-Rostered'!#REF!)</f>
        <v>#REF!</v>
      </c>
      <c r="P62" s="25" t="e">
        <f>IF('Residual-Rostered'!#REF!=0,"-",'Residual-Rostered'!#REF!)</f>
        <v>#REF!</v>
      </c>
      <c r="Q62" s="25" t="e">
        <f>IF('Residual-Rostered'!#REF!=0,"-",'Residual-Rostered'!#REF!)</f>
        <v>#REF!</v>
      </c>
      <c r="R62" s="25" t="e">
        <f>IF('Residual-Rostered'!#REF!=0,"-",'Residual-Rostered'!#REF!)</f>
        <v>#REF!</v>
      </c>
      <c r="S62" s="25" t="e">
        <f>IF('Residual-Rostered'!#REF!=0,"-",'Residual-Rostered'!#REF!)</f>
        <v>#REF!</v>
      </c>
      <c r="T62" s="25" t="e">
        <f>IF('Residual-Rostered'!#REF!=0,"-",'Residual-Rostered'!#REF!)</f>
        <v>#REF!</v>
      </c>
      <c r="U62" s="25" t="e">
        <f>IF('Residual-Rostered'!#REF!=0,"-",'Residual-Rostered'!#REF!)</f>
        <v>#REF!</v>
      </c>
      <c r="V62" s="25" t="e">
        <f>IF('Residual-Rostered'!#REF!=0,"-",'Residual-Rostered'!#REF!)</f>
        <v>#REF!</v>
      </c>
      <c r="W62" s="25" t="e">
        <f>IF('Residual-Rostered'!#REF!=0,"-",'Residual-Rostered'!#REF!)</f>
        <v>#REF!</v>
      </c>
      <c r="X62" s="25" t="e">
        <f>IF('Residual-Rostered'!#REF!=0,"-",'Residual-Rostered'!#REF!)</f>
        <v>#REF!</v>
      </c>
      <c r="Y62" s="25" t="e">
        <f>IF('Residual-Rostered'!#REF!=0,"-",'Residual-Rostered'!#REF!)</f>
        <v>#REF!</v>
      </c>
      <c r="Z62" s="25" t="e">
        <f>IF('Residual-Rostered'!#REF!=0,"-",'Residual-Rostered'!#REF!)</f>
        <v>#REF!</v>
      </c>
      <c r="AA62" s="25" t="e">
        <f>IF('Residual-Rostered'!#REF!=0,"-",'Residual-Rostered'!#REF!)</f>
        <v>#REF!</v>
      </c>
      <c r="AB62" s="25" t="e">
        <f>IF('Residual-Rostered'!#REF!=0,"-",'Residual-Rostered'!#REF!)</f>
        <v>#REF!</v>
      </c>
      <c r="AC62" s="25" t="e">
        <f>IF('Residual-Rostered'!#REF!=0,"-",'Residual-Rostered'!#REF!)</f>
        <v>#REF!</v>
      </c>
      <c r="AD62" s="25" t="e">
        <f>IF('Residual-Rostered'!#REF!=0,"-",'Residual-Rostered'!#REF!)</f>
        <v>#REF!</v>
      </c>
      <c r="AE62" s="25" t="e">
        <f>IF('Residual-Rostered'!#REF!=0,"-",'Residual-Rostered'!#REF!)</f>
        <v>#REF!</v>
      </c>
      <c r="AF62" s="25" t="e">
        <f>IF('Residual-Rostered'!#REF!=0,"-",'Residual-Rostered'!#REF!)</f>
        <v>#REF!</v>
      </c>
      <c r="AG62" s="25" t="e">
        <f>IF('Residual-Rostered'!#REF!=0,"-",'Residual-Rostered'!#REF!)</f>
        <v>#REF!</v>
      </c>
      <c r="AH62" s="25" t="e">
        <f>IF('Residual-Rostered'!#REF!=0,"-",'Residual-Rostered'!#REF!)</f>
        <v>#REF!</v>
      </c>
      <c r="AI62" s="25" t="e">
        <f>IF('Residual-Rostered'!#REF!=0,"-",'Residual-Rostered'!#REF!)</f>
        <v>#REF!</v>
      </c>
      <c r="AJ62" s="25" t="e">
        <f>IF('Residual-Rostered'!#REF!=0,"-",'Residual-Rostered'!#REF!)</f>
        <v>#REF!</v>
      </c>
      <c r="AK62" s="25" t="e">
        <f>IF('Residual-Rostered'!#REF!=0,"-",'Residual-Rostered'!#REF!)</f>
        <v>#REF!</v>
      </c>
      <c r="AL62" s="25" t="e">
        <f>IF('Residual-Rostered'!#REF!=0,"-",'Residual-Rostered'!#REF!)</f>
        <v>#REF!</v>
      </c>
      <c r="AM62" s="25" t="e">
        <f>IF('Residual-Rostered'!#REF!=0,"-",'Residual-Rostered'!#REF!)</f>
        <v>#REF!</v>
      </c>
      <c r="AN62" s="25" t="e">
        <f>IF('Residual-Rostered'!#REF!=0,"-",'Residual-Rostered'!#REF!)</f>
        <v>#REF!</v>
      </c>
      <c r="AO62" s="25" t="e">
        <f>IF('Residual-Rostered'!#REF!=0,"-",'Residual-Rostered'!#REF!)</f>
        <v>#REF!</v>
      </c>
      <c r="AP62" s="25" t="e">
        <f>IF('Residual-Rostered'!#REF!=0,"-",'Residual-Rostered'!#REF!)</f>
        <v>#REF!</v>
      </c>
      <c r="AQ62" s="25" t="e">
        <f>IF('Residual-Rostered'!#REF!=0,"-",'Residual-Rostered'!#REF!)</f>
        <v>#REF!</v>
      </c>
      <c r="AR62" s="25" t="e">
        <f>IF('Residual-Rostered'!#REF!=0,"-",'Residual-Rostered'!#REF!)</f>
        <v>#REF!</v>
      </c>
      <c r="AS62" s="25" t="e">
        <f>IF('Residual-Rostered'!#REF!=0,"-",'Residual-Rostered'!#REF!)</f>
        <v>#REF!</v>
      </c>
    </row>
    <row r="64" spans="1:45" x14ac:dyDescent="0.25">
      <c r="I64" s="24" t="e">
        <f>I21</f>
        <v>#REF!</v>
      </c>
    </row>
  </sheetData>
  <mergeCells count="1">
    <mergeCell ref="C1:D1"/>
  </mergeCells>
  <conditionalFormatting sqref="D6:AS11">
    <cfRule type="cellIs" dxfId="20" priority="9" operator="greaterThan">
      <formula>0.1</formula>
    </cfRule>
  </conditionalFormatting>
  <conditionalFormatting sqref="D13:AS62">
    <cfRule type="cellIs" dxfId="18" priority="5" operator="lessThan">
      <formula>-0.1</formula>
    </cfRule>
    <cfRule type="cellIs" dxfId="16" priority="8" stopIfTrue="1" operator="greaterThan">
      <formula>0.1</formula>
    </cfRule>
  </conditionalFormatting>
  <conditionalFormatting sqref="E6:AS6">
    <cfRule type="cellIs" dxfId="15" priority="4" operator="lessThan">
      <formula>-0.1</formula>
    </cfRule>
  </conditionalFormatting>
  <conditionalFormatting sqref="E8:AS9">
    <cfRule type="cellIs" dxfId="14" priority="3" operator="lessThan">
      <formula>-0.1</formula>
    </cfRule>
  </conditionalFormatting>
  <conditionalFormatting sqref="E9:AS9">
    <cfRule type="cellIs" dxfId="13" priority="2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01BC074A-34DF-4F18-8C00-D077B10E1BAF}">
            <xm:f>NOT(ISERROR(SEARCH("0/ 0",D13)))</xm:f>
            <xm:f>"0/ 0"</xm:f>
            <x14:dxf>
              <fill>
                <patternFill>
                  <bgColor theme="0" tint="-0.24994659260841701"/>
                </patternFill>
              </fill>
            </x14:dxf>
          </x14:cfRule>
          <x14:cfRule type="containsText" priority="6" stopIfTrue="1" operator="containsText" id="{3471A605-7976-4487-B6A4-BE2C36A93266}">
            <xm:f>NOT(ISERROR(SEARCH("-",D13)))</xm:f>
            <xm:f>"-"</xm:f>
            <x14:dxf/>
          </x14:cfRule>
          <x14:cfRule type="containsText" priority="7" stopIfTrue="1" operator="containsText" id="{4B2851D0-5646-4D50-BEA8-307B888FC1DD}">
            <xm:f>NOT(ISERROR(SEARCH("/",D13)))</xm:f>
            <xm:f>"/"</xm:f>
            <x14:dxf>
              <font>
                <color rgb="FF006100"/>
              </font>
              <fill>
                <patternFill>
                  <bgColor rgb="FFFFCC99"/>
                </patternFill>
              </fill>
            </x14:dxf>
          </x14:cfRule>
          <xm:sqref>D13:AS62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6C3CC1-BECE-4891-B71A-ED166EAAAE44}">
          <x14:formula1>
            <xm:f>FILEPATH!$J$2:$J$3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A921-E1DC-40C1-91F4-601B67ED3D65}">
  <dimension ref="A1:R49"/>
  <sheetViews>
    <sheetView workbookViewId="0">
      <selection activeCell="L15" sqref="L15"/>
    </sheetView>
  </sheetViews>
  <sheetFormatPr defaultColWidth="9.140625" defaultRowHeight="12.75" x14ac:dyDescent="0.25"/>
  <cols>
    <col min="1" max="1" width="18.5703125" style="2" customWidth="1"/>
    <col min="2" max="2" width="91.42578125" style="2" customWidth="1"/>
    <col min="3" max="3" width="12.85546875" style="2" customWidth="1"/>
    <col min="4" max="4" width="9.140625" style="2"/>
    <col min="5" max="5" width="9.42578125" style="2" bestFit="1" customWidth="1"/>
    <col min="6" max="6" width="9.28515625" style="2" bestFit="1" customWidth="1"/>
    <col min="7" max="10" width="9.140625" style="2"/>
    <col min="11" max="11" width="10.5703125" style="2" customWidth="1"/>
    <col min="12" max="16384" width="9.140625" style="2"/>
  </cols>
  <sheetData>
    <row r="1" spans="1:12" ht="26.25" customHeight="1" x14ac:dyDescent="0.25">
      <c r="B1" s="18" t="s">
        <v>82</v>
      </c>
      <c r="C1" s="18">
        <f>F1-E1</f>
        <v>28</v>
      </c>
      <c r="D1" s="18"/>
      <c r="E1" s="19">
        <v>45068</v>
      </c>
      <c r="F1" s="19">
        <v>45096</v>
      </c>
      <c r="J1" s="2" t="s">
        <v>135</v>
      </c>
      <c r="K1" s="2" t="s">
        <v>138</v>
      </c>
    </row>
    <row r="2" spans="1:12" x14ac:dyDescent="0.25">
      <c r="J2" s="2" t="s">
        <v>136</v>
      </c>
      <c r="K2" s="2">
        <v>1</v>
      </c>
    </row>
    <row r="3" spans="1:12" x14ac:dyDescent="0.25">
      <c r="J3" s="2" t="s">
        <v>137</v>
      </c>
      <c r="K3" s="2">
        <v>7.6</v>
      </c>
    </row>
    <row r="4" spans="1:12" x14ac:dyDescent="0.25">
      <c r="A4" s="1" t="s">
        <v>13</v>
      </c>
      <c r="B4" s="1" t="str" cm="1">
        <f t="array" aca="1" ref="B4" ca="1">CELL("filename",E19)</f>
        <v>C:\Users\Alex\CentriNOTSYNC\ResidentialCare\CLIENT\DATExx-Whiddon\2. Calculations\Change\SS\[ResidualAllocation.xlsx]FILEPATH</v>
      </c>
    </row>
    <row r="5" spans="1:12" x14ac:dyDescent="0.25">
      <c r="A5" s="1"/>
      <c r="B5" s="1"/>
    </row>
    <row r="6" spans="1:12" x14ac:dyDescent="0.25">
      <c r="A6" s="3" t="s">
        <v>14</v>
      </c>
      <c r="B6" s="3" t="str" cm="1">
        <f t="array" ref="B6">[1]!Client</f>
        <v>04.1 PoC</v>
      </c>
      <c r="C6" s="2" t="e">
        <f ca="1">FIND(B6,B4)</f>
        <v>#VALUE!</v>
      </c>
      <c r="E6" s="2">
        <f>LEN(B6)</f>
        <v>8</v>
      </c>
      <c r="J6" s="2" t="s">
        <v>146</v>
      </c>
      <c r="L6" s="2" t="s">
        <v>147</v>
      </c>
    </row>
    <row r="7" spans="1:12" x14ac:dyDescent="0.25">
      <c r="A7" s="4" t="s">
        <v>15</v>
      </c>
      <c r="B7" s="4" t="s">
        <v>16</v>
      </c>
      <c r="C7" s="2" t="e">
        <f ca="1">FIND(B7,B4)</f>
        <v>#VALUE!</v>
      </c>
      <c r="E7" s="2">
        <f>LEN(B7)</f>
        <v>11</v>
      </c>
      <c r="J7" s="2" t="s">
        <v>2</v>
      </c>
      <c r="L7" s="2" t="s">
        <v>33</v>
      </c>
    </row>
    <row r="8" spans="1:12" x14ac:dyDescent="0.25">
      <c r="A8" s="2" t="s">
        <v>17</v>
      </c>
      <c r="B8" s="2" t="s">
        <v>18</v>
      </c>
      <c r="C8" s="5">
        <f ca="1">FIND(B8,B4)</f>
        <v>67</v>
      </c>
      <c r="D8" s="4"/>
      <c r="J8" s="2" t="s">
        <v>4</v>
      </c>
      <c r="L8" s="2" t="s">
        <v>31</v>
      </c>
    </row>
    <row r="9" spans="1:12" x14ac:dyDescent="0.25">
      <c r="C9" s="2" t="e">
        <f ca="1">C8-C7</f>
        <v>#VALUE!</v>
      </c>
      <c r="D9" s="4"/>
    </row>
    <row r="10" spans="1:12" x14ac:dyDescent="0.25">
      <c r="D10" s="4"/>
    </row>
    <row r="11" spans="1:12" x14ac:dyDescent="0.25">
      <c r="A11" s="1" t="s">
        <v>19</v>
      </c>
      <c r="B11" s="4" t="s">
        <v>20</v>
      </c>
      <c r="C11" s="5" t="e">
        <f ca="1">FIND(B11,B4)</f>
        <v>#VALUE!</v>
      </c>
    </row>
    <row r="12" spans="1:12" x14ac:dyDescent="0.25">
      <c r="J12" s="2" t="s">
        <v>137</v>
      </c>
    </row>
    <row r="13" spans="1:12" x14ac:dyDescent="0.25">
      <c r="B13" s="6" t="e">
        <f ca="1">MID(B4,C6+2+E6+E7,C9-E7-2)</f>
        <v>#VALUE!</v>
      </c>
    </row>
    <row r="14" spans="1:12" x14ac:dyDescent="0.25">
      <c r="A14" s="4"/>
      <c r="B14" s="4" t="e">
        <f ca="1">LEFT(B13,6)</f>
        <v>#VALUE!</v>
      </c>
    </row>
    <row r="15" spans="1:12" x14ac:dyDescent="0.25">
      <c r="A15" s="1" t="s">
        <v>30</v>
      </c>
      <c r="C15" s="2" t="s">
        <v>29</v>
      </c>
    </row>
    <row r="16" spans="1:12" x14ac:dyDescent="0.25">
      <c r="A16" s="1"/>
    </row>
    <row r="17" spans="1:18" x14ac:dyDescent="0.25">
      <c r="A17" s="1"/>
    </row>
    <row r="19" spans="1:18" x14ac:dyDescent="0.25">
      <c r="A19" s="7" t="s">
        <v>21</v>
      </c>
    </row>
    <row r="20" spans="1:18" x14ac:dyDescent="0.25">
      <c r="A20" s="3" t="s">
        <v>22</v>
      </c>
      <c r="B20" s="3" t="str" cm="1">
        <f t="array" ref="B20">[1]!Computerpath</f>
        <v>C:\Users\Alex\Centri\2. Accounts - 2.0 RFBI\04.1 PoC</v>
      </c>
      <c r="C20" s="2">
        <f>LEN(B20)</f>
        <v>52</v>
      </c>
    </row>
    <row r="23" spans="1:18" x14ac:dyDescent="0.25">
      <c r="A23" s="1"/>
      <c r="B23" s="1"/>
      <c r="C23" s="2">
        <f>SUM(C20:C22)</f>
        <v>52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str">
        <f>B20&amp;"\"</f>
        <v>C:\Users\Alex\Centri\2. Accounts - 2.0 RFBI\04.1 PoC\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23</v>
      </c>
      <c r="N28" s="9"/>
      <c r="O28" s="9"/>
      <c r="P28" s="9"/>
      <c r="Q28" s="9"/>
      <c r="R28" s="9"/>
    </row>
    <row r="29" spans="1:18" x14ac:dyDescent="0.25">
      <c r="A29" s="2" t="s">
        <v>24</v>
      </c>
      <c r="M29" s="9" t="s">
        <v>25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26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26</v>
      </c>
      <c r="N31" s="9"/>
      <c r="O31" s="9"/>
      <c r="P31" s="9"/>
      <c r="Q31" s="9"/>
      <c r="R31" s="9"/>
    </row>
    <row r="32" spans="1:18" x14ac:dyDescent="0.25">
      <c r="M32" s="9" t="s">
        <v>27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28</v>
      </c>
    </row>
    <row r="36" spans="2:2" x14ac:dyDescent="0.25">
      <c r="B36" s="2" t="e">
        <f ca="1">B20&amp;"\"&amp;B7&amp;"\"&amp;B14&amp;"\"&amp;B15</f>
        <v>#VALUE!</v>
      </c>
    </row>
    <row r="49" spans="2:2" x14ac:dyDescent="0.25">
      <c r="B49" s="1"/>
    </row>
  </sheetData>
  <dataValidations count="1">
    <dataValidation type="list" allowBlank="1" showInputMessage="1" showErrorMessage="1" sqref="J12" xr:uid="{1030F9E2-628B-48F2-B37B-44CEF9E81CA3}">
      <formula1>$J$2:$J$3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9A4C-30FB-4AEF-8B4A-B5EB87297533}">
  <dimension ref="B10:CJ25"/>
  <sheetViews>
    <sheetView workbookViewId="0">
      <selection activeCell="E5" sqref="E5"/>
    </sheetView>
  </sheetViews>
  <sheetFormatPr defaultRowHeight="15" x14ac:dyDescent="0.25"/>
  <cols>
    <col min="2" max="2" width="11.85546875" bestFit="1" customWidth="1"/>
    <col min="3" max="3" width="14.85546875" bestFit="1" customWidth="1"/>
    <col min="4" max="4" width="16.42578125" bestFit="1" customWidth="1"/>
    <col min="5" max="5" width="14" bestFit="1" customWidth="1"/>
    <col min="6" max="6" width="13.85546875" bestFit="1" customWidth="1"/>
    <col min="7" max="7" width="16.5703125" bestFit="1" customWidth="1"/>
    <col min="8" max="8" width="14" bestFit="1" customWidth="1"/>
    <col min="9" max="9" width="13.85546875" bestFit="1" customWidth="1"/>
    <col min="10" max="10" width="16.5703125" bestFit="1" customWidth="1"/>
    <col min="11" max="11" width="14" bestFit="1" customWidth="1"/>
    <col min="12" max="12" width="13.85546875" bestFit="1" customWidth="1"/>
    <col min="13" max="13" width="16.5703125" bestFit="1" customWidth="1"/>
    <col min="14" max="14" width="14" bestFit="1" customWidth="1"/>
    <col min="15" max="15" width="13.85546875" bestFit="1" customWidth="1"/>
    <col min="16" max="16" width="16.5703125" bestFit="1" customWidth="1"/>
    <col min="17" max="17" width="14" bestFit="1" customWidth="1"/>
    <col min="18" max="18" width="13.85546875" bestFit="1" customWidth="1"/>
    <col min="19" max="19" width="16.5703125" bestFit="1" customWidth="1"/>
    <col min="20" max="20" width="14" bestFit="1" customWidth="1"/>
    <col min="21" max="21" width="13.85546875" bestFit="1" customWidth="1"/>
    <col min="22" max="22" width="16.5703125" bestFit="1" customWidth="1"/>
    <col min="23" max="23" width="14" bestFit="1" customWidth="1"/>
    <col min="24" max="24" width="13.85546875" bestFit="1" customWidth="1"/>
    <col min="25" max="25" width="16.5703125" bestFit="1" customWidth="1"/>
    <col min="26" max="26" width="14" bestFit="1" customWidth="1"/>
    <col min="27" max="27" width="13.85546875" bestFit="1" customWidth="1"/>
    <col min="28" max="28" width="16.5703125" bestFit="1" customWidth="1"/>
    <col min="29" max="29" width="14" bestFit="1" customWidth="1"/>
    <col min="30" max="30" width="13.85546875" bestFit="1" customWidth="1"/>
    <col min="31" max="31" width="16.5703125" bestFit="1" customWidth="1"/>
    <col min="32" max="32" width="14" bestFit="1" customWidth="1"/>
    <col min="33" max="33" width="13.85546875" bestFit="1" customWidth="1"/>
    <col min="34" max="34" width="16.5703125" bestFit="1" customWidth="1"/>
    <col min="35" max="35" width="14" bestFit="1" customWidth="1"/>
    <col min="36" max="36" width="13.85546875" bestFit="1" customWidth="1"/>
    <col min="37" max="37" width="16.5703125" bestFit="1" customWidth="1"/>
    <col min="38" max="38" width="14" bestFit="1" customWidth="1"/>
    <col min="39" max="39" width="13.85546875" bestFit="1" customWidth="1"/>
    <col min="40" max="40" width="16.5703125" bestFit="1" customWidth="1"/>
    <col min="41" max="41" width="13" bestFit="1" customWidth="1"/>
    <col min="42" max="42" width="12.85546875" bestFit="1" customWidth="1"/>
    <col min="43" max="43" width="15.5703125" bestFit="1" customWidth="1"/>
    <col min="44" max="44" width="13" bestFit="1" customWidth="1"/>
    <col min="45" max="45" width="12.85546875" bestFit="1" customWidth="1"/>
    <col min="46" max="46" width="15.5703125" bestFit="1" customWidth="1"/>
    <col min="47" max="47" width="6.7109375" style="12" customWidth="1"/>
    <col min="48" max="88" width="11" style="12" customWidth="1"/>
  </cols>
  <sheetData>
    <row r="10" spans="2:88" s="11" customFormat="1" x14ac:dyDescent="0.25">
      <c r="B10" s="11" t="s">
        <v>30</v>
      </c>
      <c r="C10" s="11" t="s">
        <v>32</v>
      </c>
      <c r="D10" s="11" t="s">
        <v>0</v>
      </c>
      <c r="E10" s="11" t="s">
        <v>40</v>
      </c>
      <c r="F10" s="11" t="s">
        <v>41</v>
      </c>
      <c r="G10" s="11" t="s">
        <v>42</v>
      </c>
      <c r="H10" s="11" t="s">
        <v>46</v>
      </c>
      <c r="I10" s="11" t="s">
        <v>47</v>
      </c>
      <c r="J10" s="11" t="s">
        <v>48</v>
      </c>
      <c r="K10" s="11" t="s">
        <v>49</v>
      </c>
      <c r="L10" s="11" t="s">
        <v>50</v>
      </c>
      <c r="M10" s="11" t="s">
        <v>51</v>
      </c>
      <c r="N10" s="11" t="s">
        <v>52</v>
      </c>
      <c r="O10" s="11" t="s">
        <v>53</v>
      </c>
      <c r="P10" s="11" t="s">
        <v>54</v>
      </c>
      <c r="Q10" s="11" t="s">
        <v>55</v>
      </c>
      <c r="R10" s="11" t="s">
        <v>56</v>
      </c>
      <c r="S10" s="11" t="s">
        <v>57</v>
      </c>
      <c r="T10" s="11" t="s">
        <v>58</v>
      </c>
      <c r="U10" s="11" t="s">
        <v>59</v>
      </c>
      <c r="V10" s="11" t="s">
        <v>60</v>
      </c>
      <c r="W10" s="11" t="s">
        <v>61</v>
      </c>
      <c r="X10" s="11" t="s">
        <v>62</v>
      </c>
      <c r="Y10" s="11" t="s">
        <v>63</v>
      </c>
      <c r="Z10" s="11" t="s">
        <v>64</v>
      </c>
      <c r="AA10" s="11" t="s">
        <v>65</v>
      </c>
      <c r="AB10" s="11" t="s">
        <v>66</v>
      </c>
      <c r="AC10" s="11" t="s">
        <v>67</v>
      </c>
      <c r="AD10" s="11" t="s">
        <v>68</v>
      </c>
      <c r="AE10" s="11" t="s">
        <v>69</v>
      </c>
      <c r="AF10" s="11" t="s">
        <v>70</v>
      </c>
      <c r="AG10" s="11" t="s">
        <v>71</v>
      </c>
      <c r="AH10" s="11" t="s">
        <v>72</v>
      </c>
      <c r="AI10" s="11" t="s">
        <v>73</v>
      </c>
      <c r="AJ10" s="11" t="s">
        <v>74</v>
      </c>
      <c r="AK10" s="11" t="s">
        <v>75</v>
      </c>
      <c r="AL10" s="11" t="s">
        <v>76</v>
      </c>
      <c r="AM10" s="11" t="s">
        <v>77</v>
      </c>
      <c r="AN10" s="11" t="s">
        <v>78</v>
      </c>
      <c r="AO10" s="11" t="s">
        <v>37</v>
      </c>
      <c r="AP10" s="11" t="s">
        <v>38</v>
      </c>
      <c r="AQ10" s="11" t="s">
        <v>39</v>
      </c>
      <c r="AR10" s="11" t="s">
        <v>43</v>
      </c>
      <c r="AS10" s="11" t="s">
        <v>44</v>
      </c>
      <c r="AT10" s="11" t="s">
        <v>45</v>
      </c>
    </row>
    <row r="11" spans="2:88" x14ac:dyDescent="0.25">
      <c r="B11" t="s">
        <v>31</v>
      </c>
      <c r="C11" t="s">
        <v>35</v>
      </c>
      <c r="D11" t="s">
        <v>4</v>
      </c>
      <c r="E11" s="12">
        <v>13.9</v>
      </c>
      <c r="F11" s="12">
        <v>15.2</v>
      </c>
      <c r="G11" s="12">
        <v>7.6</v>
      </c>
      <c r="H11" s="12">
        <v>14.8</v>
      </c>
      <c r="I11" s="12">
        <v>15.2</v>
      </c>
      <c r="J11" s="12">
        <v>7.6</v>
      </c>
      <c r="K11" s="12">
        <v>14.8</v>
      </c>
      <c r="L11" s="12">
        <v>15.2</v>
      </c>
      <c r="M11" s="12">
        <v>7.6</v>
      </c>
      <c r="N11" s="12">
        <v>14.8</v>
      </c>
      <c r="O11" s="12">
        <v>15.2</v>
      </c>
      <c r="P11" s="12">
        <v>7.6</v>
      </c>
      <c r="Q11" s="12">
        <v>14.8</v>
      </c>
      <c r="R11" s="12">
        <v>15.2</v>
      </c>
      <c r="S11" s="12">
        <v>7.6</v>
      </c>
      <c r="T11" s="12">
        <v>14.8</v>
      </c>
      <c r="U11" s="12">
        <v>15.2</v>
      </c>
      <c r="V11" s="12">
        <v>7.6</v>
      </c>
      <c r="W11" s="12">
        <v>14.8</v>
      </c>
      <c r="X11" s="12">
        <v>15.2</v>
      </c>
      <c r="Y11" s="12">
        <v>7.6</v>
      </c>
      <c r="Z11" s="12">
        <v>14.8</v>
      </c>
      <c r="AA11" s="12">
        <v>15.2</v>
      </c>
      <c r="AB11" s="12">
        <v>7.6</v>
      </c>
      <c r="AC11" s="12">
        <v>14.8</v>
      </c>
      <c r="AD11" s="12">
        <v>15.2</v>
      </c>
      <c r="AE11" s="12">
        <v>7.6</v>
      </c>
      <c r="AF11" s="12">
        <v>14.8</v>
      </c>
      <c r="AG11" s="12">
        <v>15.2</v>
      </c>
      <c r="AH11" s="12">
        <v>7.6</v>
      </c>
      <c r="AI11" s="12">
        <v>14.8</v>
      </c>
      <c r="AJ11" s="12">
        <v>15.2</v>
      </c>
      <c r="AK11" s="12">
        <v>7.6</v>
      </c>
      <c r="AL11" s="12">
        <v>14.8</v>
      </c>
      <c r="AM11" s="12">
        <v>15.2</v>
      </c>
      <c r="AN11" s="12">
        <v>7.6</v>
      </c>
      <c r="AO11" s="12">
        <v>14.8</v>
      </c>
      <c r="AP11" s="12">
        <v>15.2</v>
      </c>
      <c r="AQ11" s="12">
        <v>7.6</v>
      </c>
      <c r="AR11" s="12">
        <v>15</v>
      </c>
      <c r="AS11" s="12">
        <v>15.2</v>
      </c>
      <c r="AT11" s="12">
        <v>7.6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2:88" x14ac:dyDescent="0.25">
      <c r="B12" t="s">
        <v>31</v>
      </c>
      <c r="C12" t="s">
        <v>34</v>
      </c>
      <c r="D12" t="s">
        <v>4</v>
      </c>
      <c r="E12" s="12">
        <v>19.2</v>
      </c>
      <c r="F12" s="12">
        <v>10.5</v>
      </c>
      <c r="G12" s="12">
        <v>7.1</v>
      </c>
      <c r="H12" s="12">
        <v>14.8</v>
      </c>
      <c r="I12" s="12">
        <v>8.3000000000000007</v>
      </c>
      <c r="J12" s="12">
        <v>7.1</v>
      </c>
      <c r="K12" s="12">
        <v>14.8</v>
      </c>
      <c r="L12" s="12">
        <v>0.9</v>
      </c>
      <c r="M12" s="12">
        <v>6.9</v>
      </c>
      <c r="N12" s="12">
        <v>13.7</v>
      </c>
      <c r="O12" s="12">
        <v>7.4</v>
      </c>
      <c r="P12" s="12">
        <v>7.1</v>
      </c>
      <c r="Q12" s="12">
        <v>20.9</v>
      </c>
      <c r="R12" s="12">
        <v>15.2</v>
      </c>
      <c r="S12" s="12">
        <v>7.4</v>
      </c>
      <c r="T12" s="12">
        <v>7.6</v>
      </c>
      <c r="U12" s="12">
        <v>15.2</v>
      </c>
      <c r="V12" s="12">
        <v>7.4</v>
      </c>
      <c r="W12" s="12">
        <v>14.8</v>
      </c>
      <c r="X12" s="12">
        <v>15.6</v>
      </c>
      <c r="Y12" s="12">
        <v>7.4</v>
      </c>
      <c r="Z12" s="12">
        <v>19.7</v>
      </c>
      <c r="AA12" s="12">
        <v>10.5</v>
      </c>
      <c r="AB12" s="12">
        <v>7.1</v>
      </c>
      <c r="AC12" s="12">
        <v>14.8</v>
      </c>
      <c r="AD12" s="12">
        <v>8.3000000000000007</v>
      </c>
      <c r="AE12" s="12">
        <v>7.1</v>
      </c>
      <c r="AF12" s="12">
        <v>14.8</v>
      </c>
      <c r="AG12" s="12">
        <v>0.9</v>
      </c>
      <c r="AH12" s="12">
        <v>6.9</v>
      </c>
      <c r="AI12" s="12">
        <v>13.7</v>
      </c>
      <c r="AJ12" s="12">
        <v>0</v>
      </c>
      <c r="AK12" s="12">
        <v>6.9</v>
      </c>
      <c r="AL12" s="12">
        <v>28.1</v>
      </c>
      <c r="AM12" s="12">
        <v>15.6</v>
      </c>
      <c r="AN12" s="12">
        <v>7.4</v>
      </c>
      <c r="AO12" s="12">
        <v>7.6</v>
      </c>
      <c r="AP12" s="12">
        <v>15.2</v>
      </c>
      <c r="AQ12" s="12">
        <v>7.4</v>
      </c>
      <c r="AR12" s="12">
        <v>7.6</v>
      </c>
      <c r="AS12" s="12">
        <v>15.2</v>
      </c>
      <c r="AT12" s="12">
        <v>4.0999999999999996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2:88" x14ac:dyDescent="0.25">
      <c r="B13" t="s">
        <v>31</v>
      </c>
      <c r="C13" t="s">
        <v>36</v>
      </c>
      <c r="D13" t="s">
        <v>4</v>
      </c>
      <c r="E13" s="12">
        <v>5.3</v>
      </c>
      <c r="F13" s="12">
        <v>-4.7</v>
      </c>
      <c r="G13" s="12">
        <v>-0.5</v>
      </c>
      <c r="H13" s="12">
        <v>0</v>
      </c>
      <c r="I13" s="12">
        <v>-6.9</v>
      </c>
      <c r="J13" s="12">
        <v>-0.5</v>
      </c>
      <c r="K13" s="12">
        <v>0</v>
      </c>
      <c r="L13" s="12">
        <v>-14.3</v>
      </c>
      <c r="M13" s="12">
        <v>-0.7</v>
      </c>
      <c r="N13" s="12">
        <v>-1</v>
      </c>
      <c r="O13" s="12">
        <v>-7.8</v>
      </c>
      <c r="P13" s="12">
        <v>-0.5</v>
      </c>
      <c r="Q13" s="12">
        <v>6.1</v>
      </c>
      <c r="R13" s="12">
        <v>0</v>
      </c>
      <c r="S13" s="12">
        <v>-0.2</v>
      </c>
      <c r="T13" s="12">
        <v>-7.2</v>
      </c>
      <c r="U13" s="12">
        <v>0</v>
      </c>
      <c r="V13" s="12">
        <v>-0.2</v>
      </c>
      <c r="W13" s="12">
        <v>0</v>
      </c>
      <c r="X13" s="12">
        <v>0.5</v>
      </c>
      <c r="Y13" s="12">
        <v>-0.2</v>
      </c>
      <c r="Z13" s="12">
        <v>4.9000000000000004</v>
      </c>
      <c r="AA13" s="12">
        <v>-4.7</v>
      </c>
      <c r="AB13" s="12">
        <v>-0.5</v>
      </c>
      <c r="AC13" s="12">
        <v>0</v>
      </c>
      <c r="AD13" s="12">
        <v>-6.9</v>
      </c>
      <c r="AE13" s="12">
        <v>-0.5</v>
      </c>
      <c r="AF13" s="12">
        <v>0</v>
      </c>
      <c r="AG13" s="12">
        <v>-14.3</v>
      </c>
      <c r="AH13" s="12">
        <v>-0.7</v>
      </c>
      <c r="AI13" s="12">
        <v>-1</v>
      </c>
      <c r="AJ13" s="12">
        <v>-15.2</v>
      </c>
      <c r="AK13" s="12">
        <v>-0.7</v>
      </c>
      <c r="AL13" s="12">
        <v>13.3</v>
      </c>
      <c r="AM13" s="12">
        <v>0.5</v>
      </c>
      <c r="AN13" s="12">
        <v>-0.2</v>
      </c>
      <c r="AO13" s="12">
        <v>-7.2</v>
      </c>
      <c r="AP13" s="12">
        <v>0</v>
      </c>
      <c r="AQ13" s="12">
        <v>-0.2</v>
      </c>
      <c r="AR13" s="12">
        <v>-7.4</v>
      </c>
      <c r="AS13" s="12">
        <v>0</v>
      </c>
      <c r="AT13" s="12">
        <v>-3.5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2:88" x14ac:dyDescent="0.25"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2:88" x14ac:dyDescent="0.25"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2:88" x14ac:dyDescent="0.25"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193D-1DF7-4078-B1CC-86F2004A1A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76AA-5B2E-4213-B6A9-EF30177D43B6}">
  <dimension ref="A1:AT10"/>
  <sheetViews>
    <sheetView workbookViewId="0">
      <selection activeCell="A51" sqref="A51"/>
    </sheetView>
  </sheetViews>
  <sheetFormatPr defaultRowHeight="15" x14ac:dyDescent="0.25"/>
  <cols>
    <col min="1" max="1" width="9.5703125" bestFit="1" customWidth="1"/>
    <col min="2" max="2" width="27.42578125" bestFit="1" customWidth="1"/>
    <col min="3" max="3" width="16.42578125" bestFit="1" customWidth="1"/>
    <col min="4" max="4" width="15.140625" bestFit="1" customWidth="1"/>
    <col min="5" max="5" width="11.7109375" bestFit="1" customWidth="1"/>
    <col min="6" max="6" width="11.5703125" bestFit="1" customWidth="1"/>
    <col min="7" max="7" width="14.28515625" bestFit="1" customWidth="1"/>
    <col min="8" max="8" width="11.7109375" bestFit="1" customWidth="1"/>
    <col min="9" max="9" width="11.5703125" bestFit="1" customWidth="1"/>
    <col min="10" max="10" width="14.28515625" bestFit="1" customWidth="1"/>
    <col min="11" max="11" width="11.7109375" bestFit="1" customWidth="1"/>
    <col min="12" max="12" width="11.5703125" bestFit="1" customWidth="1"/>
    <col min="13" max="13" width="14.28515625" bestFit="1" customWidth="1"/>
    <col min="14" max="14" width="11.7109375" bestFit="1" customWidth="1"/>
    <col min="15" max="15" width="11.5703125" bestFit="1" customWidth="1"/>
    <col min="16" max="16" width="14.28515625" bestFit="1" customWidth="1"/>
    <col min="17" max="17" width="11.7109375" bestFit="1" customWidth="1"/>
    <col min="18" max="18" width="11.5703125" bestFit="1" customWidth="1"/>
    <col min="19" max="19" width="14.28515625" bestFit="1" customWidth="1"/>
    <col min="20" max="20" width="11.7109375" bestFit="1" customWidth="1"/>
    <col min="21" max="21" width="11.5703125" bestFit="1" customWidth="1"/>
    <col min="22" max="22" width="14.28515625" bestFit="1" customWidth="1"/>
    <col min="23" max="23" width="11.7109375" bestFit="1" customWidth="1"/>
    <col min="24" max="24" width="11.5703125" bestFit="1" customWidth="1"/>
    <col min="25" max="25" width="14.28515625" bestFit="1" customWidth="1"/>
    <col min="26" max="26" width="11.7109375" bestFit="1" customWidth="1"/>
    <col min="27" max="27" width="11.5703125" bestFit="1" customWidth="1"/>
    <col min="28" max="28" width="14.28515625" bestFit="1" customWidth="1"/>
    <col min="29" max="29" width="11.7109375" bestFit="1" customWidth="1"/>
    <col min="30" max="30" width="11.5703125" bestFit="1" customWidth="1"/>
    <col min="31" max="31" width="14.28515625" bestFit="1" customWidth="1"/>
    <col min="32" max="32" width="11.7109375" bestFit="1" customWidth="1"/>
    <col min="33" max="33" width="11.5703125" bestFit="1" customWidth="1"/>
    <col min="34" max="34" width="14.28515625" bestFit="1" customWidth="1"/>
    <col min="35" max="35" width="11.7109375" bestFit="1" customWidth="1"/>
    <col min="36" max="36" width="11.5703125" bestFit="1" customWidth="1"/>
    <col min="37" max="37" width="14.28515625" bestFit="1" customWidth="1"/>
    <col min="38" max="38" width="11.7109375" bestFit="1" customWidth="1"/>
    <col min="39" max="39" width="11.5703125" bestFit="1" customWidth="1"/>
    <col min="40" max="40" width="14.28515625" bestFit="1" customWidth="1"/>
    <col min="41" max="41" width="10.7109375" bestFit="1" customWidth="1"/>
    <col min="42" max="42" width="10.5703125" bestFit="1" customWidth="1"/>
    <col min="43" max="43" width="13.28515625" bestFit="1" customWidth="1"/>
    <col min="44" max="44" width="10.7109375" bestFit="1" customWidth="1"/>
    <col min="45" max="45" width="10.5703125" bestFit="1" customWidth="1"/>
    <col min="46" max="46" width="13.28515625" customWidth="1"/>
    <col min="47" max="47" width="11.7109375" bestFit="1" customWidth="1"/>
    <col min="48" max="48" width="11.5703125" bestFit="1" customWidth="1"/>
    <col min="49" max="49" width="14.28515625" bestFit="1" customWidth="1"/>
    <col min="50" max="50" width="11.7109375" bestFit="1" customWidth="1"/>
    <col min="51" max="51" width="11.5703125" bestFit="1" customWidth="1"/>
    <col min="52" max="52" width="14.28515625" bestFit="1" customWidth="1"/>
    <col min="53" max="53" width="11.7109375" bestFit="1" customWidth="1"/>
    <col min="54" max="54" width="11.5703125" bestFit="1" customWidth="1"/>
    <col min="55" max="55" width="14.28515625" bestFit="1" customWidth="1"/>
    <col min="56" max="56" width="11.7109375" bestFit="1" customWidth="1"/>
    <col min="57" max="57" width="11.5703125" bestFit="1" customWidth="1"/>
    <col min="58" max="58" width="14.28515625" bestFit="1" customWidth="1"/>
    <col min="59" max="59" width="11.7109375" bestFit="1" customWidth="1"/>
    <col min="60" max="60" width="11.5703125" bestFit="1" customWidth="1"/>
    <col min="61" max="61" width="14.28515625" bestFit="1" customWidth="1"/>
    <col min="62" max="62" width="11.7109375" bestFit="1" customWidth="1"/>
    <col min="63" max="63" width="11.5703125" bestFit="1" customWidth="1"/>
    <col min="64" max="64" width="14.28515625" bestFit="1" customWidth="1"/>
    <col min="65" max="65" width="11.7109375" bestFit="1" customWidth="1"/>
    <col min="66" max="66" width="11.5703125" bestFit="1" customWidth="1"/>
    <col min="67" max="67" width="14.28515625" bestFit="1" customWidth="1"/>
    <col min="68" max="68" width="11.7109375" bestFit="1" customWidth="1"/>
    <col min="69" max="69" width="11.5703125" bestFit="1" customWidth="1"/>
    <col min="70" max="70" width="14.28515625" bestFit="1" customWidth="1"/>
    <col min="71" max="71" width="11.7109375" bestFit="1" customWidth="1"/>
    <col min="72" max="72" width="11.5703125" bestFit="1" customWidth="1"/>
    <col min="73" max="73" width="14.28515625" bestFit="1" customWidth="1"/>
    <col min="74" max="74" width="11.7109375" bestFit="1" customWidth="1"/>
    <col min="75" max="75" width="11.5703125" bestFit="1" customWidth="1"/>
    <col min="76" max="76" width="14.28515625" bestFit="1" customWidth="1"/>
    <col min="77" max="77" width="10.7109375" bestFit="1" customWidth="1"/>
    <col min="78" max="78" width="10.5703125" bestFit="1" customWidth="1"/>
    <col min="79" max="79" width="13.28515625" bestFit="1" customWidth="1"/>
    <col min="80" max="80" width="10.7109375" bestFit="1" customWidth="1"/>
    <col min="81" max="81" width="10.5703125" bestFit="1" customWidth="1"/>
    <col min="82" max="82" width="13.28515625" bestFit="1" customWidth="1"/>
    <col min="83" max="83" width="10.7109375" bestFit="1" customWidth="1"/>
    <col min="84" max="84" width="10.5703125" bestFit="1" customWidth="1"/>
    <col min="85" max="85" width="13.28515625" bestFit="1" customWidth="1"/>
    <col min="86" max="86" width="10.7109375" bestFit="1" customWidth="1"/>
    <col min="87" max="87" width="10.5703125" bestFit="1" customWidth="1"/>
    <col min="88" max="89" width="13.28515625" bestFit="1" customWidth="1"/>
  </cols>
  <sheetData>
    <row r="1" spans="1:46" s="20" customFormat="1" x14ac:dyDescent="0.25">
      <c r="A1" s="20" t="s">
        <v>30</v>
      </c>
      <c r="B1" s="20" t="s">
        <v>1</v>
      </c>
      <c r="C1" s="20" t="s">
        <v>0</v>
      </c>
      <c r="D1" t="s">
        <v>140</v>
      </c>
      <c r="E1" s="20" t="s">
        <v>40</v>
      </c>
      <c r="F1" s="20" t="s">
        <v>41</v>
      </c>
      <c r="G1" s="20" t="s">
        <v>42</v>
      </c>
      <c r="H1" s="20" t="s">
        <v>46</v>
      </c>
      <c r="I1" s="20" t="s">
        <v>47</v>
      </c>
      <c r="J1" s="20" t="s">
        <v>48</v>
      </c>
      <c r="K1" s="20" t="s">
        <v>49</v>
      </c>
      <c r="L1" s="20" t="s">
        <v>50</v>
      </c>
      <c r="M1" s="20" t="s">
        <v>51</v>
      </c>
      <c r="N1" s="20" t="s">
        <v>52</v>
      </c>
      <c r="O1" s="20" t="s">
        <v>53</v>
      </c>
      <c r="P1" s="20" t="s">
        <v>54</v>
      </c>
      <c r="Q1" s="20" t="s">
        <v>55</v>
      </c>
      <c r="R1" s="20" t="s">
        <v>56</v>
      </c>
      <c r="S1" s="20" t="s">
        <v>57</v>
      </c>
      <c r="T1" s="20" t="s">
        <v>58</v>
      </c>
      <c r="U1" s="20" t="s">
        <v>59</v>
      </c>
      <c r="V1" s="20" t="s">
        <v>60</v>
      </c>
      <c r="W1" s="20" t="s">
        <v>61</v>
      </c>
      <c r="X1" s="20" t="s">
        <v>62</v>
      </c>
      <c r="Y1" s="20" t="s">
        <v>63</v>
      </c>
      <c r="Z1" s="20" t="s">
        <v>64</v>
      </c>
      <c r="AA1" s="20" t="s">
        <v>65</v>
      </c>
      <c r="AB1" s="20" t="s">
        <v>66</v>
      </c>
      <c r="AC1" s="20" t="s">
        <v>67</v>
      </c>
      <c r="AD1" s="20" t="s">
        <v>68</v>
      </c>
      <c r="AE1" s="20" t="s">
        <v>69</v>
      </c>
      <c r="AF1" s="20" t="s">
        <v>70</v>
      </c>
      <c r="AG1" s="20" t="s">
        <v>71</v>
      </c>
      <c r="AH1" s="20" t="s">
        <v>72</v>
      </c>
      <c r="AI1" s="20" t="s">
        <v>73</v>
      </c>
      <c r="AJ1" s="20" t="s">
        <v>74</v>
      </c>
      <c r="AK1" s="20" t="s">
        <v>75</v>
      </c>
      <c r="AL1" s="20" t="s">
        <v>76</v>
      </c>
      <c r="AM1" s="20" t="s">
        <v>77</v>
      </c>
      <c r="AN1" s="20" t="s">
        <v>78</v>
      </c>
      <c r="AO1" s="20" t="s">
        <v>37</v>
      </c>
      <c r="AP1" s="20" t="s">
        <v>38</v>
      </c>
      <c r="AQ1" s="20" t="s">
        <v>39</v>
      </c>
      <c r="AR1" s="20" t="s">
        <v>43</v>
      </c>
      <c r="AS1" s="20" t="s">
        <v>44</v>
      </c>
      <c r="AT1" s="20" t="s">
        <v>45</v>
      </c>
    </row>
    <row r="2" spans="1:46" x14ac:dyDescent="0.25">
      <c r="A2" t="s">
        <v>31</v>
      </c>
      <c r="B2" t="s">
        <v>3</v>
      </c>
      <c r="C2" t="s">
        <v>4</v>
      </c>
      <c r="D2">
        <v>0</v>
      </c>
      <c r="E2" s="14"/>
      <c r="F2" s="14" t="s">
        <v>128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 t="s">
        <v>128</v>
      </c>
      <c r="S2" s="14"/>
      <c r="T2" s="14"/>
      <c r="U2" s="14" t="s">
        <v>128</v>
      </c>
      <c r="V2" s="14"/>
      <c r="W2" s="14"/>
      <c r="X2" s="14" t="s">
        <v>128</v>
      </c>
      <c r="Y2" s="14"/>
      <c r="Z2" s="14"/>
      <c r="AA2" s="14" t="s">
        <v>128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 t="s">
        <v>128</v>
      </c>
      <c r="AN2" s="14"/>
      <c r="AO2" s="14"/>
      <c r="AP2" s="14" t="s">
        <v>128</v>
      </c>
      <c r="AQ2" s="14"/>
      <c r="AR2" s="14"/>
      <c r="AS2" s="14" t="s">
        <v>128</v>
      </c>
      <c r="AT2" s="14"/>
    </row>
    <row r="3" spans="1:46" x14ac:dyDescent="0.25">
      <c r="A3" t="s">
        <v>31</v>
      </c>
      <c r="B3" t="s">
        <v>5</v>
      </c>
      <c r="C3" t="s">
        <v>4</v>
      </c>
      <c r="D3">
        <v>66.599999999999994</v>
      </c>
      <c r="E3" s="14"/>
      <c r="F3" s="14" t="s">
        <v>129</v>
      </c>
      <c r="G3" s="14"/>
      <c r="H3" s="14"/>
      <c r="I3" s="14" t="s">
        <v>129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 t="s">
        <v>129</v>
      </c>
      <c r="V3" s="14"/>
      <c r="W3" s="14"/>
      <c r="X3" s="14" t="s">
        <v>129</v>
      </c>
      <c r="Y3" s="14"/>
      <c r="Z3" s="14"/>
      <c r="AA3" s="14" t="s">
        <v>129</v>
      </c>
      <c r="AB3" s="14"/>
      <c r="AC3" s="14"/>
      <c r="AD3" s="14" t="s">
        <v>129</v>
      </c>
      <c r="AE3" s="14"/>
      <c r="AF3" s="14"/>
      <c r="AG3" s="14"/>
      <c r="AH3" s="14"/>
      <c r="AI3" s="14"/>
      <c r="AJ3" s="14"/>
      <c r="AK3" s="14"/>
      <c r="AL3" s="14"/>
      <c r="AM3" s="14" t="s">
        <v>129</v>
      </c>
      <c r="AN3" s="14"/>
      <c r="AO3" s="14"/>
      <c r="AP3" s="14" t="s">
        <v>129</v>
      </c>
      <c r="AQ3" s="14"/>
      <c r="AR3" s="14"/>
      <c r="AS3" s="14" t="s">
        <v>129</v>
      </c>
      <c r="AT3" s="14"/>
    </row>
    <row r="4" spans="1:46" x14ac:dyDescent="0.25">
      <c r="A4" t="s">
        <v>31</v>
      </c>
      <c r="B4" t="s">
        <v>6</v>
      </c>
      <c r="C4" t="s">
        <v>4</v>
      </c>
      <c r="D4">
        <v>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 t="s">
        <v>128</v>
      </c>
      <c r="R4" s="14"/>
      <c r="S4" s="14"/>
      <c r="T4" s="14" t="s">
        <v>128</v>
      </c>
      <c r="U4" s="14"/>
      <c r="V4" s="14"/>
      <c r="W4" s="14" t="s">
        <v>128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 t="s">
        <v>128</v>
      </c>
      <c r="AM4" s="14"/>
      <c r="AN4" s="14"/>
      <c r="AO4" s="14" t="s">
        <v>128</v>
      </c>
      <c r="AP4" s="14"/>
      <c r="AQ4" s="14"/>
      <c r="AR4" s="14" t="s">
        <v>128</v>
      </c>
      <c r="AS4" s="14"/>
      <c r="AT4" s="14"/>
    </row>
    <row r="5" spans="1:46" x14ac:dyDescent="0.25">
      <c r="A5" t="s">
        <v>31</v>
      </c>
      <c r="B5" t="s">
        <v>7</v>
      </c>
      <c r="C5" t="s">
        <v>4</v>
      </c>
      <c r="D5">
        <v>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 t="s">
        <v>128</v>
      </c>
      <c r="V5" s="14"/>
      <c r="W5" s="14"/>
      <c r="X5" s="14" t="s">
        <v>128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 t="s">
        <v>128</v>
      </c>
      <c r="AQ5" s="14"/>
      <c r="AR5" s="14"/>
      <c r="AS5" s="14" t="s">
        <v>128</v>
      </c>
      <c r="AT5" s="14"/>
    </row>
    <row r="6" spans="1:46" x14ac:dyDescent="0.25">
      <c r="A6" t="s">
        <v>31</v>
      </c>
      <c r="B6" t="s">
        <v>8</v>
      </c>
      <c r="C6" t="s">
        <v>4</v>
      </c>
      <c r="D6">
        <v>48.3</v>
      </c>
      <c r="E6" s="14"/>
      <c r="F6" s="14"/>
      <c r="G6" s="14" t="s">
        <v>132</v>
      </c>
      <c r="H6" s="14"/>
      <c r="I6" s="14"/>
      <c r="J6" s="14" t="s">
        <v>133</v>
      </c>
      <c r="K6" s="14"/>
      <c r="L6" s="14"/>
      <c r="M6" s="14"/>
      <c r="N6" s="14"/>
      <c r="O6" s="14"/>
      <c r="P6" s="14"/>
      <c r="Q6" s="14"/>
      <c r="R6" s="14"/>
      <c r="S6" s="14" t="s">
        <v>132</v>
      </c>
      <c r="T6" s="14"/>
      <c r="U6" s="14"/>
      <c r="V6" s="14" t="s">
        <v>133</v>
      </c>
      <c r="W6" s="14"/>
      <c r="X6" s="14"/>
      <c r="Y6" s="14" t="s">
        <v>133</v>
      </c>
      <c r="Z6" s="14"/>
      <c r="AA6" s="14"/>
      <c r="AB6" s="14" t="s">
        <v>133</v>
      </c>
      <c r="AC6" s="14"/>
      <c r="AD6" s="14"/>
      <c r="AE6" s="14" t="s">
        <v>133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x14ac:dyDescent="0.25">
      <c r="A7" t="s">
        <v>31</v>
      </c>
      <c r="B7" t="s">
        <v>9</v>
      </c>
      <c r="C7" t="s">
        <v>4</v>
      </c>
      <c r="D7">
        <v>0</v>
      </c>
      <c r="E7" s="14" t="s">
        <v>128</v>
      </c>
      <c r="F7" s="14"/>
      <c r="G7" s="14"/>
      <c r="H7" s="14" t="s">
        <v>128</v>
      </c>
      <c r="I7" s="14"/>
      <c r="J7" s="14"/>
      <c r="K7" s="14" t="s">
        <v>128</v>
      </c>
      <c r="L7" s="14"/>
      <c r="M7" s="14"/>
      <c r="N7" s="14" t="s">
        <v>128</v>
      </c>
      <c r="O7" s="14"/>
      <c r="P7" s="14"/>
      <c r="Q7" s="14" t="s">
        <v>128</v>
      </c>
      <c r="R7" s="14"/>
      <c r="S7" s="14"/>
      <c r="T7" s="14"/>
      <c r="U7" s="14"/>
      <c r="V7" s="14"/>
      <c r="W7" s="14"/>
      <c r="X7" s="14"/>
      <c r="Y7" s="14"/>
      <c r="Z7" s="14" t="s">
        <v>128</v>
      </c>
      <c r="AA7" s="14"/>
      <c r="AB7" s="14"/>
      <c r="AC7" s="14" t="s">
        <v>128</v>
      </c>
      <c r="AD7" s="14"/>
      <c r="AE7" s="14"/>
      <c r="AF7" s="14" t="s">
        <v>128</v>
      </c>
      <c r="AG7" s="14"/>
      <c r="AH7" s="14"/>
      <c r="AI7" s="14" t="s">
        <v>128</v>
      </c>
      <c r="AJ7" s="14"/>
      <c r="AK7" s="14"/>
      <c r="AL7" s="14" t="s">
        <v>128</v>
      </c>
      <c r="AM7" s="14"/>
      <c r="AN7" s="14"/>
      <c r="AO7" s="14"/>
      <c r="AP7" s="14"/>
      <c r="AQ7" s="14"/>
      <c r="AR7" s="14"/>
      <c r="AS7" s="14"/>
      <c r="AT7" s="14"/>
    </row>
    <row r="8" spans="1:46" x14ac:dyDescent="0.25">
      <c r="A8" t="s">
        <v>31</v>
      </c>
      <c r="B8" t="s">
        <v>10</v>
      </c>
      <c r="C8" t="s">
        <v>4</v>
      </c>
      <c r="D8">
        <v>0</v>
      </c>
      <c r="E8" s="14"/>
      <c r="F8" s="14" t="s">
        <v>128</v>
      </c>
      <c r="G8" s="14"/>
      <c r="H8" s="14"/>
      <c r="I8" s="14" t="s">
        <v>128</v>
      </c>
      <c r="J8" s="14"/>
      <c r="K8" s="14"/>
      <c r="L8" s="14" t="s">
        <v>128</v>
      </c>
      <c r="M8" s="14"/>
      <c r="N8" s="14"/>
      <c r="O8" s="14" t="s">
        <v>128</v>
      </c>
      <c r="P8" s="14"/>
      <c r="Q8" s="14"/>
      <c r="R8" s="14" t="s">
        <v>128</v>
      </c>
      <c r="S8" s="14"/>
      <c r="T8" s="14"/>
      <c r="U8" s="14"/>
      <c r="V8" s="14"/>
      <c r="W8" s="14"/>
      <c r="X8" s="14"/>
      <c r="Y8" s="14"/>
      <c r="Z8" s="14"/>
      <c r="AA8" s="14" t="s">
        <v>128</v>
      </c>
      <c r="AB8" s="14"/>
      <c r="AC8" s="14"/>
      <c r="AD8" s="14" t="s">
        <v>128</v>
      </c>
      <c r="AE8" s="14"/>
      <c r="AF8" s="14"/>
      <c r="AG8" s="14" t="s">
        <v>128</v>
      </c>
      <c r="AH8" s="14"/>
      <c r="AI8" s="14"/>
      <c r="AJ8" s="14" t="s">
        <v>128</v>
      </c>
      <c r="AK8" s="14"/>
      <c r="AL8" s="14"/>
      <c r="AM8" s="14" t="s">
        <v>128</v>
      </c>
      <c r="AN8" s="14"/>
      <c r="AO8" s="14"/>
      <c r="AP8" s="14"/>
      <c r="AQ8" s="14"/>
      <c r="AR8" s="14"/>
      <c r="AS8" s="14"/>
      <c r="AT8" s="14"/>
    </row>
    <row r="9" spans="1:46" x14ac:dyDescent="0.25">
      <c r="A9" t="s">
        <v>31</v>
      </c>
      <c r="B9" t="s">
        <v>11</v>
      </c>
      <c r="C9" t="s">
        <v>4</v>
      </c>
      <c r="D9">
        <v>22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 t="s">
        <v>129</v>
      </c>
      <c r="P9" s="14"/>
      <c r="Q9" s="14"/>
      <c r="R9" s="14" t="s">
        <v>129</v>
      </c>
      <c r="S9" s="14"/>
      <c r="T9" s="14"/>
      <c r="U9" s="14"/>
      <c r="V9" s="14"/>
      <c r="W9" s="14" t="s">
        <v>130</v>
      </c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</row>
    <row r="10" spans="1:46" x14ac:dyDescent="0.25">
      <c r="A10" t="s">
        <v>31</v>
      </c>
      <c r="B10" t="s">
        <v>12</v>
      </c>
      <c r="C10" t="s">
        <v>4</v>
      </c>
      <c r="D10">
        <v>2.4</v>
      </c>
      <c r="E10" s="14"/>
      <c r="F10" s="14" t="s">
        <v>134</v>
      </c>
      <c r="G10" s="14"/>
      <c r="H10" s="14"/>
      <c r="I10" s="14" t="s">
        <v>134</v>
      </c>
      <c r="J10" s="14"/>
      <c r="K10" s="14"/>
      <c r="L10" s="14" t="s">
        <v>134</v>
      </c>
      <c r="M10" s="14"/>
      <c r="N10" s="14"/>
      <c r="O10" s="14" t="s">
        <v>131</v>
      </c>
      <c r="P10" s="14"/>
      <c r="Q10" s="14"/>
      <c r="R10" s="14" t="s">
        <v>131</v>
      </c>
      <c r="S10" s="14"/>
      <c r="T10" s="14"/>
      <c r="U10" s="14"/>
      <c r="V10" s="14"/>
      <c r="W10" s="14"/>
      <c r="X10" s="14"/>
      <c r="Y10" s="14"/>
      <c r="Z10" s="14"/>
      <c r="AA10" s="14" t="s">
        <v>134</v>
      </c>
      <c r="AB10" s="14"/>
      <c r="AC10" s="14"/>
      <c r="AD10" s="14" t="s">
        <v>134</v>
      </c>
      <c r="AE10" s="14"/>
      <c r="AF10" s="14"/>
      <c r="AG10" s="14" t="s">
        <v>134</v>
      </c>
      <c r="AH10" s="14"/>
      <c r="AI10" s="14"/>
      <c r="AJ10" s="14" t="s">
        <v>131</v>
      </c>
      <c r="AK10" s="14"/>
      <c r="AL10" s="14"/>
      <c r="AM10" s="14" t="s">
        <v>131</v>
      </c>
      <c r="AN10" s="14"/>
      <c r="AO10" s="14"/>
      <c r="AP10" s="14"/>
      <c r="AQ10" s="14"/>
      <c r="AR10" s="14"/>
      <c r="AS10" s="14"/>
      <c r="AT10" s="14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FA57A9D-7983-41E8-994C-18A5E95F3CD8}">
            <xm:f>NOT(ISERROR(SEARCH("-",E2)))</xm:f>
            <xm:f>"-"</xm:f>
            <x14:dxf>
              <font>
                <color rgb="FF006100"/>
              </font>
              <fill>
                <patternFill>
                  <bgColor rgb="FFFFCC99"/>
                </patternFill>
              </fill>
            </x14:dxf>
          </x14:cfRule>
          <xm:sqref>E2:AT10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BE95-868C-49B8-9087-C9F1CB076766}">
  <dimension ref="A1:AY30"/>
  <sheetViews>
    <sheetView tabSelected="1" zoomScale="89" zoomScaleNormal="89" workbookViewId="0">
      <pane ySplit="12" topLeftCell="A13" activePane="bottomLeft" state="frozen"/>
      <selection pane="bottomLeft" activeCell="N37" sqref="N37"/>
    </sheetView>
  </sheetViews>
  <sheetFormatPr defaultRowHeight="15" x14ac:dyDescent="0.25"/>
  <cols>
    <col min="1" max="1" width="11.140625" customWidth="1"/>
    <col min="2" max="2" width="24.85546875" customWidth="1"/>
    <col min="3" max="3" width="18.42578125" customWidth="1"/>
    <col min="4" max="4" width="10.85546875" customWidth="1"/>
    <col min="5" max="6" width="11" customWidth="1"/>
    <col min="7" max="7" width="9.7109375" customWidth="1"/>
    <col min="8" max="8" width="7" customWidth="1"/>
    <col min="9" max="49" width="7" style="11" customWidth="1"/>
  </cols>
  <sheetData>
    <row r="1" spans="1:51" ht="21.75" hidden="1" customHeight="1" x14ac:dyDescent="0.25">
      <c r="B1" s="31" t="s">
        <v>79</v>
      </c>
      <c r="C1" t="s">
        <v>80</v>
      </c>
      <c r="E1" s="31" t="s">
        <v>79</v>
      </c>
      <c r="F1" t="s">
        <v>80</v>
      </c>
    </row>
    <row r="2" spans="1:51" x14ac:dyDescent="0.25">
      <c r="B2" s="31" t="s">
        <v>148</v>
      </c>
      <c r="C2" t="s">
        <v>31</v>
      </c>
      <c r="E2" s="31" t="s">
        <v>149</v>
      </c>
      <c r="F2" t="s">
        <v>4</v>
      </c>
      <c r="J2" s="36"/>
      <c r="K2" s="31" t="s">
        <v>139</v>
      </c>
      <c r="L2" s="11" t="s">
        <v>136</v>
      </c>
      <c r="M2" s="30">
        <f>_xlfn.XLOOKUP(RN!L2,Table5[UNITS],Table5[HRS/FTE])</f>
        <v>1</v>
      </c>
      <c r="O2" s="31" t="s">
        <v>141</v>
      </c>
      <c r="P2" s="11">
        <v>76</v>
      </c>
    </row>
    <row r="3" spans="1:51" x14ac:dyDescent="0.25">
      <c r="B3" s="31"/>
      <c r="E3" s="31"/>
      <c r="J3" s="36"/>
      <c r="K3" s="31"/>
      <c r="M3" s="30"/>
      <c r="O3" s="31"/>
    </row>
    <row r="4" spans="1:51" s="17" customFormat="1" ht="30" x14ac:dyDescent="0.25">
      <c r="A4" s="15" t="str">
        <f>Header!B10</f>
        <v>Facility</v>
      </c>
      <c r="B4" s="15" t="str">
        <f>Header!C10</f>
        <v>EffortType</v>
      </c>
      <c r="C4" s="15" t="str">
        <f>Header!D10</f>
        <v>Role</v>
      </c>
      <c r="D4" s="15"/>
      <c r="G4" s="15"/>
      <c r="H4" s="16" t="str">
        <f>Header!E10</f>
        <v>19/06 AM</v>
      </c>
      <c r="I4" s="16" t="str">
        <f>Header!F10</f>
        <v>19/06 PM</v>
      </c>
      <c r="J4" s="16" t="str">
        <f>Header!G10</f>
        <v>19/06 NIGHT</v>
      </c>
      <c r="K4" s="16" t="str">
        <f>Header!H10</f>
        <v>20/06 AM</v>
      </c>
      <c r="L4" s="16" t="str">
        <f>Header!I10</f>
        <v>20/06 PM</v>
      </c>
      <c r="M4" s="16" t="str">
        <f>Header!J10</f>
        <v>20/06 NIGHT</v>
      </c>
      <c r="N4" s="16" t="str">
        <f>Header!K10</f>
        <v>21/06 AM</v>
      </c>
      <c r="O4" s="16" t="str">
        <f>Header!L10</f>
        <v>21/06 PM</v>
      </c>
      <c r="P4" s="16" t="str">
        <f>Header!M10</f>
        <v>21/06 NIGHT</v>
      </c>
      <c r="Q4" s="16" t="str">
        <f>Header!N10</f>
        <v>22/06 AM</v>
      </c>
      <c r="R4" s="16" t="str">
        <f>Header!O10</f>
        <v>22/06 PM</v>
      </c>
      <c r="S4" s="16" t="str">
        <f>Header!P10</f>
        <v>22/06 NIGHT</v>
      </c>
      <c r="T4" s="16" t="str">
        <f>Header!Q10</f>
        <v>23/06 AM</v>
      </c>
      <c r="U4" s="16" t="str">
        <f>Header!R10</f>
        <v>23/06 PM</v>
      </c>
      <c r="V4" s="16" t="str">
        <f>Header!S10</f>
        <v>23/06 NIGHT</v>
      </c>
      <c r="W4" s="16" t="str">
        <f>Header!T10</f>
        <v>24/06 AM</v>
      </c>
      <c r="X4" s="16" t="str">
        <f>Header!U10</f>
        <v>24/06 PM</v>
      </c>
      <c r="Y4" s="16" t="str">
        <f>Header!V10</f>
        <v>24/06 NIGHT</v>
      </c>
      <c r="Z4" s="16" t="str">
        <f>Header!W10</f>
        <v>25/06 AM</v>
      </c>
      <c r="AA4" s="16" t="str">
        <f>Header!X10</f>
        <v>25/06 PM</v>
      </c>
      <c r="AB4" s="16" t="str">
        <f>Header!Y10</f>
        <v>25/06 NIGHT</v>
      </c>
      <c r="AC4" s="16" t="str">
        <f>Header!Z10</f>
        <v>26/06 AM</v>
      </c>
      <c r="AD4" s="16" t="str">
        <f>Header!AA10</f>
        <v>26/06 PM</v>
      </c>
      <c r="AE4" s="16" t="str">
        <f>Header!AB10</f>
        <v>26/06 NIGHT</v>
      </c>
      <c r="AF4" s="16" t="str">
        <f>Header!AC10</f>
        <v>27/06 AM</v>
      </c>
      <c r="AG4" s="16" t="str">
        <f>Header!AD10</f>
        <v>27/06 PM</v>
      </c>
      <c r="AH4" s="16" t="str">
        <f>Header!AE10</f>
        <v>27/06 NIGHT</v>
      </c>
      <c r="AI4" s="16" t="str">
        <f>Header!AF10</f>
        <v>28/06 AM</v>
      </c>
      <c r="AJ4" s="16" t="str">
        <f>Header!AG10</f>
        <v>28/06 PM</v>
      </c>
      <c r="AK4" s="16" t="str">
        <f>Header!AH10</f>
        <v>28/06 NIGHT</v>
      </c>
      <c r="AL4" s="16" t="str">
        <f>Header!AI10</f>
        <v>29/06 AM</v>
      </c>
      <c r="AM4" s="16" t="str">
        <f>Header!AJ10</f>
        <v>29/06 PM</v>
      </c>
      <c r="AN4" s="16" t="str">
        <f>Header!AK10</f>
        <v>29/06 NIGHT</v>
      </c>
      <c r="AO4" s="16" t="str">
        <f>Header!AL10</f>
        <v>30/06 AM</v>
      </c>
      <c r="AP4" s="16" t="str">
        <f>Header!AM10</f>
        <v>30/06 PM</v>
      </c>
      <c r="AQ4" s="16" t="str">
        <f>Header!AN10</f>
        <v>30/06 NIGHT</v>
      </c>
      <c r="AR4" s="16" t="str">
        <f>Header!AO10</f>
        <v>1/07 AM</v>
      </c>
      <c r="AS4" s="16" t="str">
        <f>Header!AP10</f>
        <v>1/07 PM</v>
      </c>
      <c r="AT4" s="16" t="str">
        <f>Header!AQ10</f>
        <v>1/07 NIGHT</v>
      </c>
      <c r="AU4" s="16" t="str">
        <f>Header!AR10</f>
        <v>2/07 AM</v>
      </c>
      <c r="AV4" s="16" t="str">
        <f>Header!AS10</f>
        <v>2/07 PM</v>
      </c>
      <c r="AW4" s="16" t="str">
        <f>Header!AT10</f>
        <v>2/07 NIGHT</v>
      </c>
    </row>
    <row r="5" spans="1:51" x14ac:dyDescent="0.25">
      <c r="A5" s="13" t="str">
        <f>Header!B11</f>
        <v>MAIT</v>
      </c>
      <c r="B5" s="13" t="str">
        <f>Header!C11</f>
        <v>Demand</v>
      </c>
      <c r="C5" s="13" t="str">
        <f>Header!D11</f>
        <v>Registered Nurse</v>
      </c>
      <c r="D5" s="35">
        <f>SUM(H5:AW5)</f>
        <v>525.70000000000016</v>
      </c>
      <c r="E5" s="13"/>
      <c r="F5" s="13"/>
      <c r="G5" s="13"/>
      <c r="H5" s="27">
        <f>Header!E11/UNIT</f>
        <v>13.9</v>
      </c>
      <c r="I5" s="27">
        <f>Header!F11/UNIT</f>
        <v>15.2</v>
      </c>
      <c r="J5" s="27">
        <f>Header!G11/UNIT</f>
        <v>7.6</v>
      </c>
      <c r="K5" s="27">
        <f>Header!H11/UNIT</f>
        <v>14.8</v>
      </c>
      <c r="L5" s="27">
        <f>Header!I11/UNIT</f>
        <v>15.2</v>
      </c>
      <c r="M5" s="27">
        <f>Header!J11/UNIT</f>
        <v>7.6</v>
      </c>
      <c r="N5" s="27">
        <f>Header!K11/UNIT</f>
        <v>14.8</v>
      </c>
      <c r="O5" s="27">
        <f>Header!L11/UNIT</f>
        <v>15.2</v>
      </c>
      <c r="P5" s="27">
        <f>Header!M11/UNIT</f>
        <v>7.6</v>
      </c>
      <c r="Q5" s="27">
        <f>Header!N11/UNIT</f>
        <v>14.8</v>
      </c>
      <c r="R5" s="27">
        <f>Header!O11/UNIT</f>
        <v>15.2</v>
      </c>
      <c r="S5" s="27">
        <f>Header!P11/UNIT</f>
        <v>7.6</v>
      </c>
      <c r="T5" s="27">
        <f>Header!Q11/UNIT</f>
        <v>14.8</v>
      </c>
      <c r="U5" s="27">
        <f>Header!R11/UNIT</f>
        <v>15.2</v>
      </c>
      <c r="V5" s="27">
        <f>Header!S11/UNIT</f>
        <v>7.6</v>
      </c>
      <c r="W5" s="27">
        <f>Header!T11/UNIT</f>
        <v>14.8</v>
      </c>
      <c r="X5" s="27">
        <f>Header!U11/UNIT</f>
        <v>15.2</v>
      </c>
      <c r="Y5" s="27">
        <f>Header!V11/UNIT</f>
        <v>7.6</v>
      </c>
      <c r="Z5" s="27">
        <f>Header!W11/UNIT</f>
        <v>14.8</v>
      </c>
      <c r="AA5" s="27">
        <f>Header!X11/UNIT</f>
        <v>15.2</v>
      </c>
      <c r="AB5" s="27">
        <f>Header!Y11/UNIT</f>
        <v>7.6</v>
      </c>
      <c r="AC5" s="27">
        <f>Header!Z11/UNIT</f>
        <v>14.8</v>
      </c>
      <c r="AD5" s="27">
        <f>Header!AA11/UNIT</f>
        <v>15.2</v>
      </c>
      <c r="AE5" s="27">
        <f>Header!AB11/UNIT</f>
        <v>7.6</v>
      </c>
      <c r="AF5" s="27">
        <f>Header!AC11/UNIT</f>
        <v>14.8</v>
      </c>
      <c r="AG5" s="27">
        <f>Header!AD11/UNIT</f>
        <v>15.2</v>
      </c>
      <c r="AH5" s="27">
        <f>Header!AE11/UNIT</f>
        <v>7.6</v>
      </c>
      <c r="AI5" s="27">
        <f>Header!AF11/UNIT</f>
        <v>14.8</v>
      </c>
      <c r="AJ5" s="27">
        <f>Header!AG11/UNIT</f>
        <v>15.2</v>
      </c>
      <c r="AK5" s="27">
        <f>Header!AH11/UNIT</f>
        <v>7.6</v>
      </c>
      <c r="AL5" s="27">
        <f>Header!AI11/UNIT</f>
        <v>14.8</v>
      </c>
      <c r="AM5" s="27">
        <f>Header!AJ11/UNIT</f>
        <v>15.2</v>
      </c>
      <c r="AN5" s="27">
        <f>Header!AK11/UNIT</f>
        <v>7.6</v>
      </c>
      <c r="AO5" s="27">
        <f>Header!AL11/UNIT</f>
        <v>14.8</v>
      </c>
      <c r="AP5" s="27">
        <f>Header!AM11/UNIT</f>
        <v>15.2</v>
      </c>
      <c r="AQ5" s="27">
        <f>Header!AN11/UNIT</f>
        <v>7.6</v>
      </c>
      <c r="AR5" s="27">
        <f>Header!AO11/UNIT</f>
        <v>14.8</v>
      </c>
      <c r="AS5" s="27">
        <f>Header!AP11/UNIT</f>
        <v>15.2</v>
      </c>
      <c r="AT5" s="27">
        <f>Header!AQ11/UNIT</f>
        <v>7.6</v>
      </c>
      <c r="AU5" s="27">
        <f>Header!AR11/UNIT</f>
        <v>15</v>
      </c>
      <c r="AV5" s="27">
        <f>Header!AS11/UNIT</f>
        <v>15.2</v>
      </c>
      <c r="AW5" s="27">
        <f>Header!AT11/UNIT</f>
        <v>7.6</v>
      </c>
    </row>
    <row r="6" spans="1:51" x14ac:dyDescent="0.25">
      <c r="A6" s="13" t="str">
        <f>Header!B12</f>
        <v>MAIT</v>
      </c>
      <c r="B6" s="13" t="str">
        <f>Header!C12</f>
        <v>Allocation</v>
      </c>
      <c r="C6" s="13" t="str">
        <f>Header!D12</f>
        <v>Registered Nurse</v>
      </c>
      <c r="D6" s="35">
        <f>SUM(H6:AW6)</f>
        <v>448.20000000000005</v>
      </c>
      <c r="E6" s="13"/>
      <c r="F6" s="13"/>
      <c r="G6" s="13"/>
      <c r="H6" s="28">
        <f>Header!E12/UNIT</f>
        <v>19.2</v>
      </c>
      <c r="I6" s="28">
        <f>Header!F12/UNIT</f>
        <v>10.5</v>
      </c>
      <c r="J6" s="28">
        <f>Header!G12/UNIT</f>
        <v>7.1</v>
      </c>
      <c r="K6" s="28">
        <f>Header!H12/UNIT</f>
        <v>14.8</v>
      </c>
      <c r="L6" s="28">
        <f>Header!I12/UNIT</f>
        <v>8.3000000000000007</v>
      </c>
      <c r="M6" s="28">
        <f>Header!J12/UNIT</f>
        <v>7.1</v>
      </c>
      <c r="N6" s="28">
        <f>Header!K12/UNIT</f>
        <v>14.8</v>
      </c>
      <c r="O6" s="28">
        <f>Header!L12/UNIT</f>
        <v>0.9</v>
      </c>
      <c r="P6" s="28">
        <f>Header!M12/UNIT</f>
        <v>6.9</v>
      </c>
      <c r="Q6" s="28">
        <f>Header!N12/UNIT</f>
        <v>13.7</v>
      </c>
      <c r="R6" s="28">
        <f>Header!O12/UNIT</f>
        <v>7.4</v>
      </c>
      <c r="S6" s="28">
        <f>Header!P12/UNIT</f>
        <v>7.1</v>
      </c>
      <c r="T6" s="28">
        <f>Header!Q12/UNIT</f>
        <v>20.9</v>
      </c>
      <c r="U6" s="28">
        <f>Header!R12/UNIT</f>
        <v>15.2</v>
      </c>
      <c r="V6" s="28">
        <f>Header!S12/UNIT</f>
        <v>7.4</v>
      </c>
      <c r="W6" s="28">
        <f>Header!T12/UNIT</f>
        <v>7.6</v>
      </c>
      <c r="X6" s="28">
        <f>Header!U12/UNIT</f>
        <v>15.2</v>
      </c>
      <c r="Y6" s="28">
        <f>Header!V12/UNIT</f>
        <v>7.4</v>
      </c>
      <c r="Z6" s="28">
        <f>Header!W12/UNIT</f>
        <v>14.8</v>
      </c>
      <c r="AA6" s="28">
        <f>Header!X12/UNIT</f>
        <v>15.6</v>
      </c>
      <c r="AB6" s="28">
        <f>Header!Y12/UNIT</f>
        <v>7.4</v>
      </c>
      <c r="AC6" s="28">
        <f>Header!Z12/UNIT</f>
        <v>19.7</v>
      </c>
      <c r="AD6" s="28">
        <f>Header!AA12/UNIT</f>
        <v>10.5</v>
      </c>
      <c r="AE6" s="28">
        <f>Header!AB12/UNIT</f>
        <v>7.1</v>
      </c>
      <c r="AF6" s="28">
        <f>Header!AC12/UNIT</f>
        <v>14.8</v>
      </c>
      <c r="AG6" s="28">
        <f>Header!AD12/UNIT</f>
        <v>8.3000000000000007</v>
      </c>
      <c r="AH6" s="28">
        <f>Header!AE12/UNIT</f>
        <v>7.1</v>
      </c>
      <c r="AI6" s="28">
        <f>Header!AF12/UNIT</f>
        <v>14.8</v>
      </c>
      <c r="AJ6" s="28">
        <f>Header!AG12/UNIT</f>
        <v>0.9</v>
      </c>
      <c r="AK6" s="28">
        <f>Header!AH12/UNIT</f>
        <v>6.9</v>
      </c>
      <c r="AL6" s="28">
        <f>Header!AI12/UNIT</f>
        <v>13.7</v>
      </c>
      <c r="AM6" s="28">
        <f>Header!AJ12/UNIT</f>
        <v>0</v>
      </c>
      <c r="AN6" s="28">
        <f>Header!AK12/UNIT</f>
        <v>6.9</v>
      </c>
      <c r="AO6" s="28">
        <f>Header!AL12/UNIT</f>
        <v>28.1</v>
      </c>
      <c r="AP6" s="28">
        <f>Header!AM12/UNIT</f>
        <v>15.6</v>
      </c>
      <c r="AQ6" s="28">
        <f>Header!AN12/UNIT</f>
        <v>7.4</v>
      </c>
      <c r="AR6" s="28">
        <f>Header!AO12/UNIT</f>
        <v>7.6</v>
      </c>
      <c r="AS6" s="28">
        <f>Header!AP12/UNIT</f>
        <v>15.2</v>
      </c>
      <c r="AT6" s="28">
        <f>Header!AQ12/UNIT</f>
        <v>7.4</v>
      </c>
      <c r="AU6" s="28">
        <f>Header!AR12/UNIT</f>
        <v>7.6</v>
      </c>
      <c r="AV6" s="28">
        <f>Header!AS12/UNIT</f>
        <v>15.2</v>
      </c>
      <c r="AW6" s="28">
        <f>Header!AT12/UNIT</f>
        <v>4.0999999999999996</v>
      </c>
    </row>
    <row r="7" spans="1:51" x14ac:dyDescent="0.25">
      <c r="A7" s="13" t="str">
        <f>Header!B13</f>
        <v>MAIT</v>
      </c>
      <c r="B7" s="13" t="str">
        <f>Header!C13</f>
        <v>Initial DA Gap</v>
      </c>
      <c r="C7" s="13" t="str">
        <f>Header!D13</f>
        <v>Registered Nurse</v>
      </c>
      <c r="D7" s="35">
        <f>SUM(H7:AW7)</f>
        <v>-77.100000000000037</v>
      </c>
      <c r="E7" s="13"/>
      <c r="F7" s="13"/>
      <c r="G7" s="13"/>
      <c r="H7" s="29">
        <f>Header!E13/UNIT</f>
        <v>5.3</v>
      </c>
      <c r="I7" s="29">
        <f>Header!F13/UNIT</f>
        <v>-4.7</v>
      </c>
      <c r="J7" s="29">
        <f>Header!G13/UNIT</f>
        <v>-0.5</v>
      </c>
      <c r="K7" s="29">
        <f>Header!H13/UNIT</f>
        <v>0</v>
      </c>
      <c r="L7" s="29">
        <f>Header!I13/UNIT</f>
        <v>-6.9</v>
      </c>
      <c r="M7" s="29">
        <f>Header!J13/UNIT</f>
        <v>-0.5</v>
      </c>
      <c r="N7" s="29">
        <f>Header!K13/UNIT</f>
        <v>0</v>
      </c>
      <c r="O7" s="29">
        <f>Header!L13/UNIT</f>
        <v>-14.3</v>
      </c>
      <c r="P7" s="29">
        <f>Header!M13/UNIT</f>
        <v>-0.7</v>
      </c>
      <c r="Q7" s="29">
        <f>Header!N13/UNIT</f>
        <v>-1</v>
      </c>
      <c r="R7" s="29">
        <f>Header!O13/UNIT</f>
        <v>-7.8</v>
      </c>
      <c r="S7" s="29">
        <f>Header!P13/UNIT</f>
        <v>-0.5</v>
      </c>
      <c r="T7" s="29">
        <f>Header!Q13/UNIT</f>
        <v>6.1</v>
      </c>
      <c r="U7" s="29">
        <f>Header!R13/UNIT</f>
        <v>0</v>
      </c>
      <c r="V7" s="29">
        <f>Header!S13/UNIT</f>
        <v>-0.2</v>
      </c>
      <c r="W7" s="29">
        <f>Header!T13/UNIT</f>
        <v>-7.2</v>
      </c>
      <c r="X7" s="29">
        <f>Header!U13/UNIT</f>
        <v>0</v>
      </c>
      <c r="Y7" s="29">
        <f>Header!V13/UNIT</f>
        <v>-0.2</v>
      </c>
      <c r="Z7" s="29">
        <f>Header!W13/UNIT</f>
        <v>0</v>
      </c>
      <c r="AA7" s="29">
        <f>Header!X13/UNIT</f>
        <v>0.5</v>
      </c>
      <c r="AB7" s="29">
        <f>Header!Y13/UNIT</f>
        <v>-0.2</v>
      </c>
      <c r="AC7" s="29">
        <f>Header!Z13/UNIT</f>
        <v>4.9000000000000004</v>
      </c>
      <c r="AD7" s="29">
        <f>Header!AA13/UNIT</f>
        <v>-4.7</v>
      </c>
      <c r="AE7" s="29">
        <f>Header!AB13/UNIT</f>
        <v>-0.5</v>
      </c>
      <c r="AF7" s="29">
        <f>Header!AC13/UNIT</f>
        <v>0</v>
      </c>
      <c r="AG7" s="29">
        <f>Header!AD13/UNIT</f>
        <v>-6.9</v>
      </c>
      <c r="AH7" s="29">
        <f>Header!AE13/UNIT</f>
        <v>-0.5</v>
      </c>
      <c r="AI7" s="29">
        <f>Header!AF13/UNIT</f>
        <v>0</v>
      </c>
      <c r="AJ7" s="29">
        <f>Header!AG13/UNIT</f>
        <v>-14.3</v>
      </c>
      <c r="AK7" s="29">
        <f>Header!AH13/UNIT</f>
        <v>-0.7</v>
      </c>
      <c r="AL7" s="29">
        <f>Header!AI13/UNIT</f>
        <v>-1</v>
      </c>
      <c r="AM7" s="29">
        <f>Header!AJ13/UNIT</f>
        <v>-15.2</v>
      </c>
      <c r="AN7" s="29">
        <f>Header!AK13/UNIT</f>
        <v>-0.7</v>
      </c>
      <c r="AO7" s="29">
        <f>Header!AL13/UNIT</f>
        <v>13.3</v>
      </c>
      <c r="AP7" s="29">
        <f>Header!AM13/UNIT</f>
        <v>0.5</v>
      </c>
      <c r="AQ7" s="29">
        <f>Header!AN13/UNIT</f>
        <v>-0.2</v>
      </c>
      <c r="AR7" s="29">
        <f>Header!AO13/UNIT</f>
        <v>-7.2</v>
      </c>
      <c r="AS7" s="29">
        <f>Header!AP13/UNIT</f>
        <v>0</v>
      </c>
      <c r="AT7" s="29">
        <f>Header!AQ13/UNIT</f>
        <v>-0.2</v>
      </c>
      <c r="AU7" s="29">
        <f>Header!AR13/UNIT</f>
        <v>-7.4</v>
      </c>
      <c r="AV7" s="29">
        <f>Header!AS13/UNIT</f>
        <v>0</v>
      </c>
      <c r="AW7" s="29">
        <f>Header!AT13/UNIT</f>
        <v>-3.5</v>
      </c>
    </row>
    <row r="8" spans="1:51" x14ac:dyDescent="0.25">
      <c r="A8" s="13"/>
      <c r="B8" s="13" t="s">
        <v>125</v>
      </c>
      <c r="C8" s="13"/>
      <c r="D8" s="13"/>
      <c r="E8" s="13"/>
      <c r="F8" s="13"/>
      <c r="G8" s="13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</row>
    <row r="9" spans="1:51" x14ac:dyDescent="0.25">
      <c r="A9" s="13"/>
      <c r="B9" s="13" t="s">
        <v>126</v>
      </c>
      <c r="C9" s="13"/>
      <c r="D9" s="13"/>
      <c r="E9" s="13">
        <f>SUM(D10:D24)</f>
        <v>136.89999999999998</v>
      </c>
      <c r="F9" s="13"/>
      <c r="G9" s="13"/>
      <c r="H9" s="29">
        <f>SUM(H13:H59)/UNIT</f>
        <v>0</v>
      </c>
      <c r="I9" s="29">
        <f>SUM(Table3[2])/UNIT</f>
        <v>0</v>
      </c>
      <c r="J9" s="29">
        <f>SUM(Table3[3])/UNIT</f>
        <v>0</v>
      </c>
      <c r="K9" s="29">
        <f>SUM(Table3[4])/UNIT</f>
        <v>0</v>
      </c>
      <c r="L9" s="29">
        <f>SUM(Table3[5])/UNIT</f>
        <v>0</v>
      </c>
      <c r="M9" s="29">
        <f>SUM(Table3[6])/UNIT</f>
        <v>0</v>
      </c>
      <c r="N9" s="29">
        <f>SUM(Table3[7])/UNIT</f>
        <v>0</v>
      </c>
      <c r="O9" s="29">
        <f>SUM(Table3[8])/UNIT</f>
        <v>0</v>
      </c>
      <c r="P9" s="29">
        <f>SUM(Table3[9])/UNIT</f>
        <v>0</v>
      </c>
      <c r="Q9" s="29">
        <f>SUM(Table3[10])/UNIT</f>
        <v>0</v>
      </c>
      <c r="R9" s="29">
        <f>SUM(Table3[11])/UNIT</f>
        <v>0</v>
      </c>
      <c r="S9" s="29">
        <f>SUM(Table3[12])/UNIT</f>
        <v>0</v>
      </c>
      <c r="T9" s="29">
        <f>SUM(Table3[13])/UNIT</f>
        <v>0</v>
      </c>
      <c r="U9" s="29">
        <f>SUM(Table3[14])/UNIT</f>
        <v>0</v>
      </c>
      <c r="V9" s="29">
        <f>SUM(Table3[15])/UNIT</f>
        <v>0</v>
      </c>
      <c r="W9" s="29">
        <f>SUM(Table3[16])/UNIT</f>
        <v>0</v>
      </c>
      <c r="X9" s="29">
        <f>SUM(Table3[17])/UNIT</f>
        <v>0</v>
      </c>
      <c r="Y9" s="29">
        <f>SUM(Table3[18])/UNIT</f>
        <v>0</v>
      </c>
      <c r="Z9" s="29">
        <f>SUM(Table3[19])/UNIT</f>
        <v>0</v>
      </c>
      <c r="AA9" s="29">
        <f>SUM(Table3[20])/UNIT</f>
        <v>0</v>
      </c>
      <c r="AB9" s="29">
        <f>SUM(Table3[21])/UNIT</f>
        <v>0</v>
      </c>
      <c r="AC9" s="29">
        <f>SUM(Table3[22])/UNIT</f>
        <v>0</v>
      </c>
      <c r="AD9" s="29">
        <f>SUM(Table3[23])/UNIT</f>
        <v>0</v>
      </c>
      <c r="AE9" s="29">
        <f>SUM(Table3[24])/UNIT</f>
        <v>0</v>
      </c>
      <c r="AF9" s="29">
        <f>SUM(Table3[25])/UNIT</f>
        <v>0</v>
      </c>
      <c r="AG9" s="29">
        <f>SUM(Table3[26])/UNIT</f>
        <v>0</v>
      </c>
      <c r="AH9" s="29">
        <f>SUM(Table3[27])/UNIT</f>
        <v>0</v>
      </c>
      <c r="AI9" s="29">
        <f>SUM(Table3[28])/UNIT</f>
        <v>0</v>
      </c>
      <c r="AJ9" s="29">
        <f>SUM(Table3[29])/UNIT</f>
        <v>0</v>
      </c>
      <c r="AK9" s="29">
        <f>SUM(Table3[30])/UNIT</f>
        <v>0</v>
      </c>
      <c r="AL9" s="29">
        <f>SUM(Table3[31])/UNIT</f>
        <v>0</v>
      </c>
      <c r="AM9" s="29">
        <f>SUM(Table3[32])/UNIT</f>
        <v>0</v>
      </c>
      <c r="AN9" s="29">
        <f>SUM(Table3[33])/UNIT</f>
        <v>0</v>
      </c>
      <c r="AO9" s="29">
        <f>SUM(Table3[34])/UNIT</f>
        <v>0</v>
      </c>
      <c r="AP9" s="29">
        <f>SUM(Table3[35])/UNIT</f>
        <v>0</v>
      </c>
      <c r="AQ9" s="29">
        <f>SUM(Table3[36])/UNIT</f>
        <v>0</v>
      </c>
      <c r="AR9" s="29">
        <f>SUM(Table3[37])/UNIT</f>
        <v>0</v>
      </c>
      <c r="AS9" s="29">
        <f>SUM(Table3[38])/UNIT</f>
        <v>0</v>
      </c>
      <c r="AT9" s="29">
        <f>SUM(Table3[39])/UNIT</f>
        <v>0</v>
      </c>
      <c r="AU9" s="29">
        <f>SUM(Table3[40])/UNIT</f>
        <v>0</v>
      </c>
      <c r="AV9" s="29">
        <f>SUM(Table3[41])/UNIT</f>
        <v>0</v>
      </c>
      <c r="AW9" s="29">
        <f>SUM(Table3[42])/UNIT</f>
        <v>0</v>
      </c>
    </row>
    <row r="10" spans="1:51" x14ac:dyDescent="0.25">
      <c r="A10" s="13"/>
      <c r="B10" s="13" t="s">
        <v>127</v>
      </c>
      <c r="C10" s="13"/>
      <c r="D10" s="13"/>
      <c r="E10" s="13"/>
      <c r="F10" s="13"/>
      <c r="G10" s="13"/>
      <c r="H10" s="29">
        <f>H7+H9</f>
        <v>5.3</v>
      </c>
      <c r="I10" s="29">
        <f t="shared" ref="I10:AW10" si="0">I7+I9</f>
        <v>-4.7</v>
      </c>
      <c r="J10" s="29">
        <f t="shared" si="0"/>
        <v>-0.5</v>
      </c>
      <c r="K10" s="29">
        <f t="shared" si="0"/>
        <v>0</v>
      </c>
      <c r="L10" s="29">
        <f t="shared" si="0"/>
        <v>-6.9</v>
      </c>
      <c r="M10" s="29">
        <f t="shared" si="0"/>
        <v>-0.5</v>
      </c>
      <c r="N10" s="29">
        <f t="shared" si="0"/>
        <v>0</v>
      </c>
      <c r="O10" s="29">
        <f t="shared" si="0"/>
        <v>-14.3</v>
      </c>
      <c r="P10" s="29">
        <f t="shared" si="0"/>
        <v>-0.7</v>
      </c>
      <c r="Q10" s="29">
        <f t="shared" si="0"/>
        <v>-1</v>
      </c>
      <c r="R10" s="29">
        <f t="shared" si="0"/>
        <v>-7.8</v>
      </c>
      <c r="S10" s="29">
        <f t="shared" si="0"/>
        <v>-0.5</v>
      </c>
      <c r="T10" s="29">
        <f t="shared" si="0"/>
        <v>6.1</v>
      </c>
      <c r="U10" s="29">
        <f t="shared" si="0"/>
        <v>0</v>
      </c>
      <c r="V10" s="29">
        <f t="shared" si="0"/>
        <v>-0.2</v>
      </c>
      <c r="W10" s="29">
        <f t="shared" si="0"/>
        <v>-7.2</v>
      </c>
      <c r="X10" s="29">
        <f t="shared" si="0"/>
        <v>0</v>
      </c>
      <c r="Y10" s="29">
        <f t="shared" si="0"/>
        <v>-0.2</v>
      </c>
      <c r="Z10" s="29">
        <f t="shared" si="0"/>
        <v>0</v>
      </c>
      <c r="AA10" s="29">
        <f t="shared" si="0"/>
        <v>0.5</v>
      </c>
      <c r="AB10" s="29">
        <f t="shared" si="0"/>
        <v>-0.2</v>
      </c>
      <c r="AC10" s="29">
        <f t="shared" si="0"/>
        <v>4.9000000000000004</v>
      </c>
      <c r="AD10" s="29">
        <f t="shared" si="0"/>
        <v>-4.7</v>
      </c>
      <c r="AE10" s="29">
        <f t="shared" si="0"/>
        <v>-0.5</v>
      </c>
      <c r="AF10" s="29">
        <f t="shared" si="0"/>
        <v>0</v>
      </c>
      <c r="AG10" s="29">
        <f t="shared" si="0"/>
        <v>-6.9</v>
      </c>
      <c r="AH10" s="29">
        <f t="shared" si="0"/>
        <v>-0.5</v>
      </c>
      <c r="AI10" s="29">
        <f t="shared" si="0"/>
        <v>0</v>
      </c>
      <c r="AJ10" s="29">
        <f t="shared" si="0"/>
        <v>-14.3</v>
      </c>
      <c r="AK10" s="29">
        <f t="shared" si="0"/>
        <v>-0.7</v>
      </c>
      <c r="AL10" s="29">
        <f t="shared" si="0"/>
        <v>-1</v>
      </c>
      <c r="AM10" s="29">
        <f t="shared" si="0"/>
        <v>-15.2</v>
      </c>
      <c r="AN10" s="29">
        <f t="shared" si="0"/>
        <v>-0.7</v>
      </c>
      <c r="AO10" s="29">
        <f t="shared" si="0"/>
        <v>13.3</v>
      </c>
      <c r="AP10" s="29">
        <f t="shared" si="0"/>
        <v>0.5</v>
      </c>
      <c r="AQ10" s="29">
        <f t="shared" si="0"/>
        <v>-0.2</v>
      </c>
      <c r="AR10" s="29">
        <f t="shared" si="0"/>
        <v>-7.2</v>
      </c>
      <c r="AS10" s="29">
        <f t="shared" si="0"/>
        <v>0</v>
      </c>
      <c r="AT10" s="29">
        <f t="shared" si="0"/>
        <v>-0.2</v>
      </c>
      <c r="AU10" s="29">
        <f t="shared" si="0"/>
        <v>-7.4</v>
      </c>
      <c r="AV10" s="29">
        <f t="shared" si="0"/>
        <v>0</v>
      </c>
      <c r="AW10" s="29">
        <f t="shared" si="0"/>
        <v>-3.5</v>
      </c>
    </row>
    <row r="11" spans="1:51" x14ac:dyDescent="0.25">
      <c r="A11" s="13"/>
      <c r="C11" s="13"/>
      <c r="D11" s="13"/>
      <c r="E11" s="13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</row>
    <row r="12" spans="1:51" s="22" customFormat="1" ht="30" x14ac:dyDescent="0.25">
      <c r="A12"/>
      <c r="B12" s="32" t="s">
        <v>81</v>
      </c>
      <c r="C12" s="32" t="s">
        <v>79</v>
      </c>
      <c r="D12" s="32" t="s">
        <v>142</v>
      </c>
      <c r="E12" s="32" t="s">
        <v>143</v>
      </c>
      <c r="F12" s="32" t="s">
        <v>144</v>
      </c>
      <c r="G12" s="32" t="s">
        <v>145</v>
      </c>
      <c r="H12" s="23" t="s">
        <v>83</v>
      </c>
      <c r="I12" s="23" t="s">
        <v>84</v>
      </c>
      <c r="J12" s="23" t="s">
        <v>85</v>
      </c>
      <c r="K12" s="23" t="s">
        <v>86</v>
      </c>
      <c r="L12" s="23" t="s">
        <v>87</v>
      </c>
      <c r="M12" s="23" t="s">
        <v>88</v>
      </c>
      <c r="N12" s="23" t="s">
        <v>89</v>
      </c>
      <c r="O12" s="23" t="s">
        <v>90</v>
      </c>
      <c r="P12" s="23" t="s">
        <v>91</v>
      </c>
      <c r="Q12" s="23" t="s">
        <v>92</v>
      </c>
      <c r="R12" s="23" t="s">
        <v>93</v>
      </c>
      <c r="S12" s="23" t="s">
        <v>94</v>
      </c>
      <c r="T12" s="23" t="s">
        <v>95</v>
      </c>
      <c r="U12" s="23" t="s">
        <v>96</v>
      </c>
      <c r="V12" s="23" t="s">
        <v>97</v>
      </c>
      <c r="W12" s="23" t="s">
        <v>98</v>
      </c>
      <c r="X12" s="23" t="s">
        <v>99</v>
      </c>
      <c r="Y12" s="23" t="s">
        <v>100</v>
      </c>
      <c r="Z12" s="23" t="s">
        <v>101</v>
      </c>
      <c r="AA12" s="23" t="s">
        <v>102</v>
      </c>
      <c r="AB12" s="23" t="s">
        <v>103</v>
      </c>
      <c r="AC12" s="23" t="s">
        <v>104</v>
      </c>
      <c r="AD12" s="23" t="s">
        <v>105</v>
      </c>
      <c r="AE12" s="23" t="s">
        <v>106</v>
      </c>
      <c r="AF12" s="23" t="s">
        <v>107</v>
      </c>
      <c r="AG12" s="23" t="s">
        <v>108</v>
      </c>
      <c r="AH12" s="23" t="s">
        <v>109</v>
      </c>
      <c r="AI12" s="23" t="s">
        <v>110</v>
      </c>
      <c r="AJ12" s="23" t="s">
        <v>111</v>
      </c>
      <c r="AK12" s="23" t="s">
        <v>112</v>
      </c>
      <c r="AL12" s="23" t="s">
        <v>113</v>
      </c>
      <c r="AM12" s="23" t="s">
        <v>114</v>
      </c>
      <c r="AN12" s="23" t="s">
        <v>115</v>
      </c>
      <c r="AO12" s="23" t="s">
        <v>116</v>
      </c>
      <c r="AP12" s="23" t="s">
        <v>117</v>
      </c>
      <c r="AQ12" s="23" t="s">
        <v>118</v>
      </c>
      <c r="AR12" s="23" t="s">
        <v>119</v>
      </c>
      <c r="AS12" s="23" t="s">
        <v>120</v>
      </c>
      <c r="AT12" s="23" t="s">
        <v>121</v>
      </c>
      <c r="AU12" s="23" t="s">
        <v>122</v>
      </c>
      <c r="AV12" s="23" t="s">
        <v>123</v>
      </c>
      <c r="AW12" s="23" t="s">
        <v>124</v>
      </c>
    </row>
    <row r="13" spans="1:51" x14ac:dyDescent="0.25">
      <c r="A13" s="25" t="str">
        <f>'Residual-Rostered'!A2</f>
        <v>MAIT</v>
      </c>
      <c r="B13" s="33" t="str">
        <f>'Residual-Rostered'!B7</f>
        <v>Hughes, Emily</v>
      </c>
      <c r="C13" s="33" t="str">
        <f>'Residual-Rostered'!C7</f>
        <v>Registered Nurse</v>
      </c>
      <c r="D13" s="34">
        <f>'Residual-Rostered'!D7</f>
        <v>0</v>
      </c>
      <c r="E13" s="14">
        <f>Max_HRS-Table3[[#This Row],[ROSTERED TIME]]</f>
        <v>76</v>
      </c>
      <c r="F13" s="14">
        <f>SUM(Table3[[#This Row],[1]:[42]])</f>
        <v>0</v>
      </c>
      <c r="G13" s="14">
        <f>Table3[[#This Row],[ROSTERED TIME]]+Table3[[#This Row],[CHANGE TIME]]</f>
        <v>0</v>
      </c>
      <c r="H13" s="25" t="str">
        <f>IF('Residual-Rostered'!E7=0,"-",'Residual-Rostered'!E7)</f>
        <v>0/ 0</v>
      </c>
      <c r="I13" s="25" t="str">
        <f>IF('Residual-Rostered'!F7=0,"-",'Residual-Rostered'!F7)</f>
        <v>-</v>
      </c>
      <c r="J13" s="25" t="str">
        <f>IF('Residual-Rostered'!G7=0,"-",'Residual-Rostered'!G7)</f>
        <v>-</v>
      </c>
      <c r="K13" s="25" t="str">
        <f>IF('Residual-Rostered'!H7=0,"-",'Residual-Rostered'!H7)</f>
        <v>0/ 0</v>
      </c>
      <c r="L13" s="25" t="str">
        <f>IF('Residual-Rostered'!I7=0,"-",'Residual-Rostered'!I7)</f>
        <v>-</v>
      </c>
      <c r="M13" s="25" t="str">
        <f>IF('Residual-Rostered'!J7=0,"-",'Residual-Rostered'!J7)</f>
        <v>-</v>
      </c>
      <c r="N13" s="25" t="str">
        <f>IF('Residual-Rostered'!K7=0,"-",'Residual-Rostered'!K7)</f>
        <v>0/ 0</v>
      </c>
      <c r="O13" s="25" t="str">
        <f>IF('Residual-Rostered'!L7=0,"-",'Residual-Rostered'!L7)</f>
        <v>-</v>
      </c>
      <c r="P13" s="25" t="str">
        <f>IF('Residual-Rostered'!M7=0,"-",'Residual-Rostered'!M7)</f>
        <v>-</v>
      </c>
      <c r="Q13" s="25" t="str">
        <f>IF('Residual-Rostered'!N7=0,"-",'Residual-Rostered'!N7)</f>
        <v>0/ 0</v>
      </c>
      <c r="R13" s="25" t="str">
        <f>IF('Residual-Rostered'!O7=0,"-",'Residual-Rostered'!O7)</f>
        <v>-</v>
      </c>
      <c r="S13" s="25" t="str">
        <f>IF('Residual-Rostered'!P7=0,"-",'Residual-Rostered'!P7)</f>
        <v>-</v>
      </c>
      <c r="T13" s="25" t="str">
        <f>IF('Residual-Rostered'!Q7=0,"-",'Residual-Rostered'!Q7)</f>
        <v>0/ 0</v>
      </c>
      <c r="U13" s="25" t="str">
        <f>IF('Residual-Rostered'!R7=0,"-",'Residual-Rostered'!R7)</f>
        <v>-</v>
      </c>
      <c r="V13" s="25" t="str">
        <f>IF('Residual-Rostered'!S7=0,"-",'Residual-Rostered'!S7)</f>
        <v>-</v>
      </c>
      <c r="W13" s="25" t="str">
        <f>IF('Residual-Rostered'!T7=0,"-",'Residual-Rostered'!T7)</f>
        <v>-</v>
      </c>
      <c r="X13" s="25" t="str">
        <f>IF('Residual-Rostered'!U7=0,"-",'Residual-Rostered'!U7)</f>
        <v>-</v>
      </c>
      <c r="Y13" s="25" t="str">
        <f>IF('Residual-Rostered'!V7=0,"-",'Residual-Rostered'!V7)</f>
        <v>-</v>
      </c>
      <c r="Z13" s="25" t="str">
        <f>IF('Residual-Rostered'!W7=0,"-",'Residual-Rostered'!W7)</f>
        <v>-</v>
      </c>
      <c r="AA13" s="25" t="str">
        <f>IF('Residual-Rostered'!X7=0,"-",'Residual-Rostered'!X7)</f>
        <v>-</v>
      </c>
      <c r="AB13" s="25" t="str">
        <f>IF('Residual-Rostered'!Y7=0,"-",'Residual-Rostered'!Y7)</f>
        <v>-</v>
      </c>
      <c r="AC13" s="25" t="str">
        <f>IF('Residual-Rostered'!Z7=0,"-",'Residual-Rostered'!Z7)</f>
        <v>0/ 0</v>
      </c>
      <c r="AD13" s="25" t="str">
        <f>IF('Residual-Rostered'!AA7=0,"-",'Residual-Rostered'!AA7)</f>
        <v>-</v>
      </c>
      <c r="AE13" s="25" t="str">
        <f>IF('Residual-Rostered'!AB7=0,"-",'Residual-Rostered'!AB7)</f>
        <v>-</v>
      </c>
      <c r="AF13" s="25" t="str">
        <f>IF('Residual-Rostered'!AC7=0,"-",'Residual-Rostered'!AC7)</f>
        <v>0/ 0</v>
      </c>
      <c r="AG13" s="25" t="str">
        <f>IF('Residual-Rostered'!AD7=0,"-",'Residual-Rostered'!AD7)</f>
        <v>-</v>
      </c>
      <c r="AH13" s="25" t="str">
        <f>IF('Residual-Rostered'!AE7=0,"-",'Residual-Rostered'!AE7)</f>
        <v>-</v>
      </c>
      <c r="AI13" s="25" t="str">
        <f>IF('Residual-Rostered'!AF7=0,"-",'Residual-Rostered'!AF7)</f>
        <v>0/ 0</v>
      </c>
      <c r="AJ13" s="25" t="str">
        <f>IF('Residual-Rostered'!AG7=0,"-",'Residual-Rostered'!AG7)</f>
        <v>-</v>
      </c>
      <c r="AK13" s="25" t="str">
        <f>IF('Residual-Rostered'!AH7=0,"-",'Residual-Rostered'!AH7)</f>
        <v>-</v>
      </c>
      <c r="AL13" s="25" t="str">
        <f>IF('Residual-Rostered'!AI7=0,"-",'Residual-Rostered'!AI7)</f>
        <v>0/ 0</v>
      </c>
      <c r="AM13" s="25" t="str">
        <f>IF('Residual-Rostered'!AJ7=0,"-",'Residual-Rostered'!AJ7)</f>
        <v>-</v>
      </c>
      <c r="AN13" s="25" t="str">
        <f>IF('Residual-Rostered'!AK7=0,"-",'Residual-Rostered'!AK7)</f>
        <v>-</v>
      </c>
      <c r="AO13" s="25" t="str">
        <f>IF('Residual-Rostered'!AL7=0,"-",'Residual-Rostered'!AL7)</f>
        <v>0/ 0</v>
      </c>
      <c r="AP13" s="25" t="str">
        <f>IF('Residual-Rostered'!AM7=0,"-",'Residual-Rostered'!AM7)</f>
        <v>-</v>
      </c>
      <c r="AQ13" s="25" t="str">
        <f>IF('Residual-Rostered'!AN7=0,"-",'Residual-Rostered'!AN7)</f>
        <v>-</v>
      </c>
      <c r="AR13" s="25" t="str">
        <f>IF('Residual-Rostered'!AO7=0,"-",'Residual-Rostered'!AO7)</f>
        <v>-</v>
      </c>
      <c r="AS13" s="25" t="str">
        <f>IF('Residual-Rostered'!AP7=0,"-",'Residual-Rostered'!AP7)</f>
        <v>-</v>
      </c>
      <c r="AT13" s="25" t="str">
        <f>IF('Residual-Rostered'!AQ7=0,"-",'Residual-Rostered'!AQ7)</f>
        <v>-</v>
      </c>
      <c r="AU13" s="25" t="str">
        <f>IF('Residual-Rostered'!AR7=0,"-",'Residual-Rostered'!AR7)</f>
        <v>-</v>
      </c>
      <c r="AV13" s="25" t="str">
        <f>IF('Residual-Rostered'!AS7=0,"-",'Residual-Rostered'!AS7)</f>
        <v>-</v>
      </c>
      <c r="AW13" s="25" t="str">
        <f>IF('Residual-Rostered'!AT7=0,"-",'Residual-Rostered'!AT7)</f>
        <v>-</v>
      </c>
    </row>
    <row r="14" spans="1:51" x14ac:dyDescent="0.25">
      <c r="A14" s="25" t="str">
        <f>'Residual-Rostered'!A3</f>
        <v>MAIT</v>
      </c>
      <c r="B14" s="33" t="str">
        <f>'Residual-Rostered'!B9</f>
        <v>Mathew, Christeena</v>
      </c>
      <c r="C14" s="33" t="str">
        <f>'Residual-Rostered'!C9</f>
        <v>Registered Nurse</v>
      </c>
      <c r="D14" s="34">
        <f>'Residual-Rostered'!D9</f>
        <v>22</v>
      </c>
      <c r="E14" s="25">
        <f>Max_HRS-Table3[[#This Row],[ROSTERED TIME]]</f>
        <v>54</v>
      </c>
      <c r="F14" s="14">
        <f>SUM(Table3[[#This Row],[1]:[42]])</f>
        <v>0</v>
      </c>
      <c r="G14" s="14">
        <f>Table3[[#This Row],[ROSTERED TIME]]+Table3[[#This Row],[CHANGE TIME]]</f>
        <v>22</v>
      </c>
      <c r="H14" s="25" t="str">
        <f>IF('Residual-Rostered'!E9=0,"-",'Residual-Rostered'!E9)</f>
        <v>-</v>
      </c>
      <c r="I14" s="25" t="str">
        <f>IF('Residual-Rostered'!F9=0,"-",'Residual-Rostered'!F9)</f>
        <v>-</v>
      </c>
      <c r="J14" s="25" t="str">
        <f>IF('Residual-Rostered'!G9=0,"-",'Residual-Rostered'!G9)</f>
        <v>-</v>
      </c>
      <c r="K14" s="25" t="str">
        <f>IF('Residual-Rostered'!H9=0,"-",'Residual-Rostered'!H9)</f>
        <v>-</v>
      </c>
      <c r="L14" s="25" t="str">
        <f>IF('Residual-Rostered'!I9=0,"-",'Residual-Rostered'!I9)</f>
        <v>-</v>
      </c>
      <c r="M14" s="25" t="str">
        <f>IF('Residual-Rostered'!J9=0,"-",'Residual-Rostered'!J9)</f>
        <v>-</v>
      </c>
      <c r="N14" s="25" t="str">
        <f>IF('Residual-Rostered'!K9=0,"-",'Residual-Rostered'!K9)</f>
        <v>-</v>
      </c>
      <c r="O14" s="25" t="str">
        <f>IF('Residual-Rostered'!L9=0,"-",'Residual-Rostered'!L9)</f>
        <v>-</v>
      </c>
      <c r="P14" s="25" t="str">
        <f>IF('Residual-Rostered'!M9=0,"-",'Residual-Rostered'!M9)</f>
        <v>-</v>
      </c>
      <c r="Q14" s="25" t="str">
        <f>IF('Residual-Rostered'!N9=0,"-",'Residual-Rostered'!N9)</f>
        <v>-</v>
      </c>
      <c r="R14" s="25" t="str">
        <f>IF('Residual-Rostered'!O9=0,"-",'Residual-Rostered'!O9)</f>
        <v>7.6/ 7.4</v>
      </c>
      <c r="S14" s="25" t="str">
        <f>IF('Residual-Rostered'!P9=0,"-",'Residual-Rostered'!P9)</f>
        <v>-</v>
      </c>
      <c r="T14" s="25" t="str">
        <f>IF('Residual-Rostered'!Q9=0,"-",'Residual-Rostered'!Q9)</f>
        <v>-</v>
      </c>
      <c r="U14" s="25" t="str">
        <f>IF('Residual-Rostered'!R9=0,"-",'Residual-Rostered'!R9)</f>
        <v>7.6/ 7.4</v>
      </c>
      <c r="V14" s="25" t="str">
        <f>IF('Residual-Rostered'!S9=0,"-",'Residual-Rostered'!S9)</f>
        <v>-</v>
      </c>
      <c r="W14" s="25" t="str">
        <f>IF('Residual-Rostered'!T9=0,"-",'Residual-Rostered'!T9)</f>
        <v>-</v>
      </c>
      <c r="X14" s="25" t="str">
        <f>IF('Residual-Rostered'!U9=0,"-",'Residual-Rostered'!U9)</f>
        <v>-</v>
      </c>
      <c r="Y14" s="25" t="str">
        <f>IF('Residual-Rostered'!V9=0,"-",'Residual-Rostered'!V9)</f>
        <v>-</v>
      </c>
      <c r="Z14" s="25" t="str">
        <f>IF('Residual-Rostered'!W9=0,"-",'Residual-Rostered'!W9)</f>
        <v>7.6/ 7.2</v>
      </c>
      <c r="AA14" s="25" t="str">
        <f>IF('Residual-Rostered'!X9=0,"-",'Residual-Rostered'!X9)</f>
        <v>-</v>
      </c>
      <c r="AB14" s="25" t="str">
        <f>IF('Residual-Rostered'!Y9=0,"-",'Residual-Rostered'!Y9)</f>
        <v>-</v>
      </c>
      <c r="AC14" s="25" t="str">
        <f>IF('Residual-Rostered'!Z9=0,"-",'Residual-Rostered'!Z9)</f>
        <v>-</v>
      </c>
      <c r="AD14" s="25" t="str">
        <f>IF('Residual-Rostered'!AA9=0,"-",'Residual-Rostered'!AA9)</f>
        <v>-</v>
      </c>
      <c r="AE14" s="25" t="str">
        <f>IF('Residual-Rostered'!AB9=0,"-",'Residual-Rostered'!AB9)</f>
        <v>-</v>
      </c>
      <c r="AF14" s="25" t="str">
        <f>IF('Residual-Rostered'!AC9=0,"-",'Residual-Rostered'!AC9)</f>
        <v>-</v>
      </c>
      <c r="AG14" s="25" t="str">
        <f>IF('Residual-Rostered'!AD9=0,"-",'Residual-Rostered'!AD9)</f>
        <v>-</v>
      </c>
      <c r="AH14" s="25" t="str">
        <f>IF('Residual-Rostered'!AE9=0,"-",'Residual-Rostered'!AE9)</f>
        <v>-</v>
      </c>
      <c r="AI14" s="25" t="str">
        <f>IF('Residual-Rostered'!AF9=0,"-",'Residual-Rostered'!AF9)</f>
        <v>-</v>
      </c>
      <c r="AJ14" s="25" t="str">
        <f>IF('Residual-Rostered'!AG9=0,"-",'Residual-Rostered'!AG9)</f>
        <v>-</v>
      </c>
      <c r="AK14" s="25" t="str">
        <f>IF('Residual-Rostered'!AH9=0,"-",'Residual-Rostered'!AH9)</f>
        <v>-</v>
      </c>
      <c r="AL14" s="25" t="str">
        <f>IF('Residual-Rostered'!AI9=0,"-",'Residual-Rostered'!AI9)</f>
        <v>-</v>
      </c>
      <c r="AM14" s="25" t="str">
        <f>IF('Residual-Rostered'!AJ9=0,"-",'Residual-Rostered'!AJ9)</f>
        <v>-</v>
      </c>
      <c r="AN14" s="25" t="str">
        <f>IF('Residual-Rostered'!AK9=0,"-",'Residual-Rostered'!AK9)</f>
        <v>-</v>
      </c>
      <c r="AO14" s="25" t="str">
        <f>IF('Residual-Rostered'!AL9=0,"-",'Residual-Rostered'!AL9)</f>
        <v>-</v>
      </c>
      <c r="AP14" s="25" t="str">
        <f>IF('Residual-Rostered'!AM9=0,"-",'Residual-Rostered'!AM9)</f>
        <v>-</v>
      </c>
      <c r="AQ14" s="25" t="str">
        <f>IF('Residual-Rostered'!AN9=0,"-",'Residual-Rostered'!AN9)</f>
        <v>-</v>
      </c>
      <c r="AR14" s="25" t="str">
        <f>IF('Residual-Rostered'!AO9=0,"-",'Residual-Rostered'!AO9)</f>
        <v>-</v>
      </c>
      <c r="AS14" s="25" t="str">
        <f>IF('Residual-Rostered'!AP9=0,"-",'Residual-Rostered'!AP9)</f>
        <v>-</v>
      </c>
      <c r="AT14" s="25" t="str">
        <f>IF('Residual-Rostered'!AQ9=0,"-",'Residual-Rostered'!AQ9)</f>
        <v>-</v>
      </c>
      <c r="AU14" s="25" t="str">
        <f>IF('Residual-Rostered'!AR9=0,"-",'Residual-Rostered'!AR9)</f>
        <v>-</v>
      </c>
      <c r="AV14" s="25" t="str">
        <f>IF('Residual-Rostered'!AS9=0,"-",'Residual-Rostered'!AS9)</f>
        <v>-</v>
      </c>
      <c r="AW14" s="25" t="str">
        <f>IF('Residual-Rostered'!AT9=0,"-",'Residual-Rostered'!AT9)</f>
        <v>-</v>
      </c>
    </row>
    <row r="15" spans="1:51" x14ac:dyDescent="0.25">
      <c r="A15" s="25" t="e">
        <f>'Residual-Rostered'!#REF!</f>
        <v>#REF!</v>
      </c>
      <c r="B15" s="33" t="str">
        <f>'Residual-Rostered'!B4</f>
        <v>Enzo, Joanna</v>
      </c>
      <c r="C15" s="33" t="str">
        <f>'Residual-Rostered'!C4</f>
        <v>Registered Nurse</v>
      </c>
      <c r="D15" s="34">
        <f>'Residual-Rostered'!D4</f>
        <v>0</v>
      </c>
      <c r="E15" s="14">
        <f>Max_HRS-Table3[[#This Row],[ROSTERED TIME]]</f>
        <v>76</v>
      </c>
      <c r="F15" s="14">
        <f>SUM(Table3[[#This Row],[1]:[42]])</f>
        <v>0</v>
      </c>
      <c r="G15" s="14">
        <f>Table3[[#This Row],[ROSTERED TIME]]+Table3[[#This Row],[CHANGE TIME]]</f>
        <v>0</v>
      </c>
      <c r="H15" s="25" t="str">
        <f>IF('Residual-Rostered'!E4=0,"-",'Residual-Rostered'!E4)</f>
        <v>-</v>
      </c>
      <c r="I15" s="25" t="str">
        <f>IF('Residual-Rostered'!F4=0,"-",'Residual-Rostered'!F4)</f>
        <v>-</v>
      </c>
      <c r="J15" s="25" t="str">
        <f>IF('Residual-Rostered'!G4=0,"-",'Residual-Rostered'!G4)</f>
        <v>-</v>
      </c>
      <c r="K15" s="25" t="str">
        <f>IF('Residual-Rostered'!H4=0,"-",'Residual-Rostered'!H4)</f>
        <v>-</v>
      </c>
      <c r="L15" s="25" t="str">
        <f>IF('Residual-Rostered'!I4=0,"-",'Residual-Rostered'!I4)</f>
        <v>-</v>
      </c>
      <c r="M15" s="25" t="str">
        <f>IF('Residual-Rostered'!J4=0,"-",'Residual-Rostered'!J4)</f>
        <v>-</v>
      </c>
      <c r="N15" s="25" t="str">
        <f>IF('Residual-Rostered'!K4=0,"-",'Residual-Rostered'!K4)</f>
        <v>-</v>
      </c>
      <c r="O15" s="25" t="str">
        <f>IF('Residual-Rostered'!L4=0,"-",'Residual-Rostered'!L4)</f>
        <v>-</v>
      </c>
      <c r="P15" s="25" t="str">
        <f>IF('Residual-Rostered'!M4=0,"-",'Residual-Rostered'!M4)</f>
        <v>-</v>
      </c>
      <c r="Q15" s="25" t="str">
        <f>IF('Residual-Rostered'!N4=0,"-",'Residual-Rostered'!N4)</f>
        <v>-</v>
      </c>
      <c r="R15" s="25" t="str">
        <f>IF('Residual-Rostered'!O4=0,"-",'Residual-Rostered'!O4)</f>
        <v>-</v>
      </c>
      <c r="S15" s="25" t="str">
        <f>IF('Residual-Rostered'!P4=0,"-",'Residual-Rostered'!P4)</f>
        <v>-</v>
      </c>
      <c r="T15" s="25" t="str">
        <f>IF('Residual-Rostered'!Q4=0,"-",'Residual-Rostered'!Q4)</f>
        <v>0/ 0</v>
      </c>
      <c r="U15" s="25" t="str">
        <f>IF('Residual-Rostered'!R4=0,"-",'Residual-Rostered'!R4)</f>
        <v>-</v>
      </c>
      <c r="V15" s="25" t="str">
        <f>IF('Residual-Rostered'!S4=0,"-",'Residual-Rostered'!S4)</f>
        <v>-</v>
      </c>
      <c r="W15" s="25" t="str">
        <f>IF('Residual-Rostered'!T4=0,"-",'Residual-Rostered'!T4)</f>
        <v>0/ 0</v>
      </c>
      <c r="X15" s="25" t="str">
        <f>IF('Residual-Rostered'!U4=0,"-",'Residual-Rostered'!U4)</f>
        <v>-</v>
      </c>
      <c r="Y15" s="25" t="str">
        <f>IF('Residual-Rostered'!V4=0,"-",'Residual-Rostered'!V4)</f>
        <v>-</v>
      </c>
      <c r="Z15" s="25" t="str">
        <f>IF('Residual-Rostered'!W4=0,"-",'Residual-Rostered'!W4)</f>
        <v>0/ 0</v>
      </c>
      <c r="AA15" s="25" t="str">
        <f>IF('Residual-Rostered'!X4=0,"-",'Residual-Rostered'!X4)</f>
        <v>-</v>
      </c>
      <c r="AB15" s="25" t="str">
        <f>IF('Residual-Rostered'!Y4=0,"-",'Residual-Rostered'!Y4)</f>
        <v>-</v>
      </c>
      <c r="AC15" s="25" t="str">
        <f>IF('Residual-Rostered'!Z4=0,"-",'Residual-Rostered'!Z4)</f>
        <v>-</v>
      </c>
      <c r="AD15" s="25" t="str">
        <f>IF('Residual-Rostered'!AA4=0,"-",'Residual-Rostered'!AA4)</f>
        <v>-</v>
      </c>
      <c r="AE15" s="25" t="str">
        <f>IF('Residual-Rostered'!AB4=0,"-",'Residual-Rostered'!AB4)</f>
        <v>-</v>
      </c>
      <c r="AF15" s="25" t="str">
        <f>IF('Residual-Rostered'!AC4=0,"-",'Residual-Rostered'!AC4)</f>
        <v>-</v>
      </c>
      <c r="AG15" s="25" t="str">
        <f>IF('Residual-Rostered'!AD4=0,"-",'Residual-Rostered'!AD4)</f>
        <v>-</v>
      </c>
      <c r="AH15" s="25" t="str">
        <f>IF('Residual-Rostered'!AE4=0,"-",'Residual-Rostered'!AE4)</f>
        <v>-</v>
      </c>
      <c r="AI15" s="25" t="str">
        <f>IF('Residual-Rostered'!AF4=0,"-",'Residual-Rostered'!AF4)</f>
        <v>-</v>
      </c>
      <c r="AJ15" s="25" t="str">
        <f>IF('Residual-Rostered'!AG4=0,"-",'Residual-Rostered'!AG4)</f>
        <v>-</v>
      </c>
      <c r="AK15" s="25" t="str">
        <f>IF('Residual-Rostered'!AH4=0,"-",'Residual-Rostered'!AH4)</f>
        <v>-</v>
      </c>
      <c r="AL15" s="25" t="str">
        <f>IF('Residual-Rostered'!AI4=0,"-",'Residual-Rostered'!AI4)</f>
        <v>-</v>
      </c>
      <c r="AM15" s="25" t="str">
        <f>IF('Residual-Rostered'!AJ4=0,"-",'Residual-Rostered'!AJ4)</f>
        <v>-</v>
      </c>
      <c r="AN15" s="25" t="str">
        <f>IF('Residual-Rostered'!AK4=0,"-",'Residual-Rostered'!AK4)</f>
        <v>-</v>
      </c>
      <c r="AO15" s="25" t="str">
        <f>IF('Residual-Rostered'!AL4=0,"-",'Residual-Rostered'!AL4)</f>
        <v>0/ 0</v>
      </c>
      <c r="AP15" s="25" t="str">
        <f>IF('Residual-Rostered'!AM4=0,"-",'Residual-Rostered'!AM4)</f>
        <v>-</v>
      </c>
      <c r="AQ15" s="25" t="str">
        <f>IF('Residual-Rostered'!AN4=0,"-",'Residual-Rostered'!AN4)</f>
        <v>-</v>
      </c>
      <c r="AR15" s="25" t="str">
        <f>IF('Residual-Rostered'!AO4=0,"-",'Residual-Rostered'!AO4)</f>
        <v>0/ 0</v>
      </c>
      <c r="AS15" s="25" t="str">
        <f>IF('Residual-Rostered'!AP4=0,"-",'Residual-Rostered'!AP4)</f>
        <v>-</v>
      </c>
      <c r="AT15" s="25" t="str">
        <f>IF('Residual-Rostered'!AQ4=0,"-",'Residual-Rostered'!AQ4)</f>
        <v>-</v>
      </c>
      <c r="AU15" s="25" t="str">
        <f>IF('Residual-Rostered'!AR4=0,"-",'Residual-Rostered'!AR4)</f>
        <v>0/ 0</v>
      </c>
      <c r="AV15" s="25" t="str">
        <f>IF('Residual-Rostered'!AS4=0,"-",'Residual-Rostered'!AS4)</f>
        <v>-</v>
      </c>
      <c r="AW15" s="25" t="str">
        <f>IF('Residual-Rostered'!AT4=0,"-",'Residual-Rostered'!AT4)</f>
        <v>-</v>
      </c>
      <c r="AY15" s="26"/>
    </row>
    <row r="16" spans="1:51" x14ac:dyDescent="0.25">
      <c r="A16" s="25" t="e">
        <f>'Residual-Rostered'!#REF!</f>
        <v>#REF!</v>
      </c>
      <c r="B16" s="33" t="str">
        <f>'Residual-Rostered'!B3</f>
        <v>Bhandari, Manisha</v>
      </c>
      <c r="C16" s="33" t="str">
        <f>'Residual-Rostered'!C3</f>
        <v>Registered Nurse</v>
      </c>
      <c r="D16" s="34">
        <f>'Residual-Rostered'!D3</f>
        <v>66.599999999999994</v>
      </c>
      <c r="E16" s="14">
        <f>Max_HRS-Table3[[#This Row],[ROSTERED TIME]]</f>
        <v>9.4000000000000057</v>
      </c>
      <c r="F16" s="14">
        <f>SUM(Table3[[#This Row],[1]:[42]])</f>
        <v>0</v>
      </c>
      <c r="G16" s="14">
        <f>Table3[[#This Row],[ROSTERED TIME]]+Table3[[#This Row],[CHANGE TIME]]</f>
        <v>66.599999999999994</v>
      </c>
      <c r="H16" s="25" t="str">
        <f>IF('Residual-Rostered'!E3=0,"-",'Residual-Rostered'!E3)</f>
        <v>-</v>
      </c>
      <c r="I16" s="25" t="str">
        <f>IF('Residual-Rostered'!F3=0,"-",'Residual-Rostered'!F3)</f>
        <v>7.6/ 7.4</v>
      </c>
      <c r="J16" s="25" t="str">
        <f>IF('Residual-Rostered'!G3=0,"-",'Residual-Rostered'!G3)</f>
        <v>-</v>
      </c>
      <c r="K16" s="25" t="str">
        <f>IF('Residual-Rostered'!H3=0,"-",'Residual-Rostered'!H3)</f>
        <v>-</v>
      </c>
      <c r="L16" s="25" t="str">
        <f>IF('Residual-Rostered'!I3=0,"-",'Residual-Rostered'!I3)</f>
        <v>7.6/ 7.4</v>
      </c>
      <c r="M16" s="25" t="str">
        <f>IF('Residual-Rostered'!J3=0,"-",'Residual-Rostered'!J3)</f>
        <v>-</v>
      </c>
      <c r="N16" s="25" t="str">
        <f>IF('Residual-Rostered'!K3=0,"-",'Residual-Rostered'!K3)</f>
        <v>-</v>
      </c>
      <c r="O16" s="25" t="str">
        <f>IF('Residual-Rostered'!L3=0,"-",'Residual-Rostered'!L3)</f>
        <v>-</v>
      </c>
      <c r="P16" s="25" t="str">
        <f>IF('Residual-Rostered'!M3=0,"-",'Residual-Rostered'!M3)</f>
        <v>-</v>
      </c>
      <c r="Q16" s="25" t="str">
        <f>IF('Residual-Rostered'!N3=0,"-",'Residual-Rostered'!N3)</f>
        <v>-</v>
      </c>
      <c r="R16" s="25" t="str">
        <f>IF('Residual-Rostered'!O3=0,"-",'Residual-Rostered'!O3)</f>
        <v>-</v>
      </c>
      <c r="S16" s="25" t="str">
        <f>IF('Residual-Rostered'!P3=0,"-",'Residual-Rostered'!P3)</f>
        <v>-</v>
      </c>
      <c r="T16" s="25" t="str">
        <f>IF('Residual-Rostered'!Q3=0,"-",'Residual-Rostered'!Q3)</f>
        <v>-</v>
      </c>
      <c r="U16" s="25" t="str">
        <f>IF('Residual-Rostered'!R3=0,"-",'Residual-Rostered'!R3)</f>
        <v>-</v>
      </c>
      <c r="V16" s="25" t="str">
        <f>IF('Residual-Rostered'!S3=0,"-",'Residual-Rostered'!S3)</f>
        <v>-</v>
      </c>
      <c r="W16" s="25" t="str">
        <f>IF('Residual-Rostered'!T3=0,"-",'Residual-Rostered'!T3)</f>
        <v>-</v>
      </c>
      <c r="X16" s="25" t="str">
        <f>IF('Residual-Rostered'!U3=0,"-",'Residual-Rostered'!U3)</f>
        <v>7.6/ 7.4</v>
      </c>
      <c r="Y16" s="25" t="str">
        <f>IF('Residual-Rostered'!V3=0,"-",'Residual-Rostered'!V3)</f>
        <v>-</v>
      </c>
      <c r="Z16" s="25" t="str">
        <f>IF('Residual-Rostered'!W3=0,"-",'Residual-Rostered'!W3)</f>
        <v>-</v>
      </c>
      <c r="AA16" s="25" t="str">
        <f>IF('Residual-Rostered'!X3=0,"-",'Residual-Rostered'!X3)</f>
        <v>7.6/ 7.4</v>
      </c>
      <c r="AB16" s="25" t="str">
        <f>IF('Residual-Rostered'!Y3=0,"-",'Residual-Rostered'!Y3)</f>
        <v>-</v>
      </c>
      <c r="AC16" s="25" t="str">
        <f>IF('Residual-Rostered'!Z3=0,"-",'Residual-Rostered'!Z3)</f>
        <v>-</v>
      </c>
      <c r="AD16" s="25" t="str">
        <f>IF('Residual-Rostered'!AA3=0,"-",'Residual-Rostered'!AA3)</f>
        <v>7.6/ 7.4</v>
      </c>
      <c r="AE16" s="25" t="str">
        <f>IF('Residual-Rostered'!AB3=0,"-",'Residual-Rostered'!AB3)</f>
        <v>-</v>
      </c>
      <c r="AF16" s="25" t="str">
        <f>IF('Residual-Rostered'!AC3=0,"-",'Residual-Rostered'!AC3)</f>
        <v>-</v>
      </c>
      <c r="AG16" s="25" t="str">
        <f>IF('Residual-Rostered'!AD3=0,"-",'Residual-Rostered'!AD3)</f>
        <v>7.6/ 7.4</v>
      </c>
      <c r="AH16" s="25" t="str">
        <f>IF('Residual-Rostered'!AE3=0,"-",'Residual-Rostered'!AE3)</f>
        <v>-</v>
      </c>
      <c r="AI16" s="25" t="str">
        <f>IF('Residual-Rostered'!AF3=0,"-",'Residual-Rostered'!AF3)</f>
        <v>-</v>
      </c>
      <c r="AJ16" s="25" t="str">
        <f>IF('Residual-Rostered'!AG3=0,"-",'Residual-Rostered'!AG3)</f>
        <v>-</v>
      </c>
      <c r="AK16" s="25" t="str">
        <f>IF('Residual-Rostered'!AH3=0,"-",'Residual-Rostered'!AH3)</f>
        <v>-</v>
      </c>
      <c r="AL16" s="25" t="str">
        <f>IF('Residual-Rostered'!AI3=0,"-",'Residual-Rostered'!AI3)</f>
        <v>-</v>
      </c>
      <c r="AM16" s="25" t="str">
        <f>IF('Residual-Rostered'!AJ3=0,"-",'Residual-Rostered'!AJ3)</f>
        <v>-</v>
      </c>
      <c r="AN16" s="25" t="str">
        <f>IF('Residual-Rostered'!AK3=0,"-",'Residual-Rostered'!AK3)</f>
        <v>-</v>
      </c>
      <c r="AO16" s="25" t="str">
        <f>IF('Residual-Rostered'!AL3=0,"-",'Residual-Rostered'!AL3)</f>
        <v>-</v>
      </c>
      <c r="AP16" s="25" t="str">
        <f>IF('Residual-Rostered'!AM3=0,"-",'Residual-Rostered'!AM3)</f>
        <v>7.6/ 7.4</v>
      </c>
      <c r="AQ16" s="25" t="str">
        <f>IF('Residual-Rostered'!AN3=0,"-",'Residual-Rostered'!AN3)</f>
        <v>-</v>
      </c>
      <c r="AR16" s="25" t="str">
        <f>IF('Residual-Rostered'!AO3=0,"-",'Residual-Rostered'!AO3)</f>
        <v>-</v>
      </c>
      <c r="AS16" s="25" t="str">
        <f>IF('Residual-Rostered'!AP3=0,"-",'Residual-Rostered'!AP3)</f>
        <v>7.6/ 7.4</v>
      </c>
      <c r="AT16" s="25" t="str">
        <f>IF('Residual-Rostered'!AQ3=0,"-",'Residual-Rostered'!AQ3)</f>
        <v>-</v>
      </c>
      <c r="AU16" s="25" t="str">
        <f>IF('Residual-Rostered'!AR3=0,"-",'Residual-Rostered'!AR3)</f>
        <v>-</v>
      </c>
      <c r="AV16" s="25" t="str">
        <f>IF('Residual-Rostered'!AS3=0,"-",'Residual-Rostered'!AS3)</f>
        <v>7.6/ 7.4</v>
      </c>
      <c r="AW16" s="25" t="str">
        <f>IF('Residual-Rostered'!AT3=0,"-",'Residual-Rostered'!AT3)</f>
        <v>-</v>
      </c>
    </row>
    <row r="17" spans="1:49" x14ac:dyDescent="0.25">
      <c r="A17" s="25" t="e">
        <f>'Residual-Rostered'!#REF!</f>
        <v>#REF!</v>
      </c>
      <c r="B17" s="33" t="str">
        <f>'Residual-Rostered'!B2</f>
        <v>Attukaran, Raphel</v>
      </c>
      <c r="C17" s="33" t="str">
        <f>'Residual-Rostered'!C2</f>
        <v>Registered Nurse</v>
      </c>
      <c r="D17" s="34">
        <f>'Residual-Rostered'!D2</f>
        <v>0</v>
      </c>
      <c r="E17" s="14">
        <f>Max_HRS-Table3[[#This Row],[ROSTERED TIME]]</f>
        <v>76</v>
      </c>
      <c r="F17" s="14">
        <f>SUM(Table3[[#This Row],[1]:[42]])</f>
        <v>0</v>
      </c>
      <c r="G17" s="14">
        <f>Table3[[#This Row],[ROSTERED TIME]]+Table3[[#This Row],[CHANGE TIME]]</f>
        <v>0</v>
      </c>
      <c r="H17" s="25" t="str">
        <f>IF('Residual-Rostered'!E2=0,"-",'Residual-Rostered'!E2)</f>
        <v>-</v>
      </c>
      <c r="I17" s="25" t="str">
        <f>IF('Residual-Rostered'!F2=0,"-",'Residual-Rostered'!F2)</f>
        <v>0/ 0</v>
      </c>
      <c r="J17" s="25" t="str">
        <f>IF('Residual-Rostered'!G2=0,"-",'Residual-Rostered'!G2)</f>
        <v>-</v>
      </c>
      <c r="K17" s="25" t="str">
        <f>IF('Residual-Rostered'!H2=0,"-",'Residual-Rostered'!H2)</f>
        <v>-</v>
      </c>
      <c r="L17" s="25" t="str">
        <f>IF('Residual-Rostered'!I2=0,"-",'Residual-Rostered'!I2)</f>
        <v>-</v>
      </c>
      <c r="M17" s="25" t="str">
        <f>IF('Residual-Rostered'!J2=0,"-",'Residual-Rostered'!J2)</f>
        <v>-</v>
      </c>
      <c r="N17" s="25" t="str">
        <f>IF('Residual-Rostered'!K2=0,"-",'Residual-Rostered'!K2)</f>
        <v>-</v>
      </c>
      <c r="O17" s="25" t="str">
        <f>IF('Residual-Rostered'!L2=0,"-",'Residual-Rostered'!L2)</f>
        <v>-</v>
      </c>
      <c r="P17" s="25" t="str">
        <f>IF('Residual-Rostered'!M2=0,"-",'Residual-Rostered'!M2)</f>
        <v>-</v>
      </c>
      <c r="Q17" s="25" t="str">
        <f>IF('Residual-Rostered'!N2=0,"-",'Residual-Rostered'!N2)</f>
        <v>-</v>
      </c>
      <c r="R17" s="25" t="str">
        <f>IF('Residual-Rostered'!O2=0,"-",'Residual-Rostered'!O2)</f>
        <v>-</v>
      </c>
      <c r="S17" s="25" t="str">
        <f>IF('Residual-Rostered'!P2=0,"-",'Residual-Rostered'!P2)</f>
        <v>-</v>
      </c>
      <c r="T17" s="25" t="str">
        <f>IF('Residual-Rostered'!Q2=0,"-",'Residual-Rostered'!Q2)</f>
        <v>-</v>
      </c>
      <c r="U17" s="25" t="str">
        <f>IF('Residual-Rostered'!R2=0,"-",'Residual-Rostered'!R2)</f>
        <v>0/ 0</v>
      </c>
      <c r="V17" s="25" t="str">
        <f>IF('Residual-Rostered'!S2=0,"-",'Residual-Rostered'!S2)</f>
        <v>-</v>
      </c>
      <c r="W17" s="25" t="str">
        <f>IF('Residual-Rostered'!T2=0,"-",'Residual-Rostered'!T2)</f>
        <v>-</v>
      </c>
      <c r="X17" s="25" t="str">
        <f>IF('Residual-Rostered'!U2=0,"-",'Residual-Rostered'!U2)</f>
        <v>0/ 0</v>
      </c>
      <c r="Y17" s="25" t="str">
        <f>IF('Residual-Rostered'!V2=0,"-",'Residual-Rostered'!V2)</f>
        <v>-</v>
      </c>
      <c r="Z17" s="25" t="str">
        <f>IF('Residual-Rostered'!W2=0,"-",'Residual-Rostered'!W2)</f>
        <v>-</v>
      </c>
      <c r="AA17" s="25" t="str">
        <f>IF('Residual-Rostered'!X2=0,"-",'Residual-Rostered'!X2)</f>
        <v>0/ 0</v>
      </c>
      <c r="AB17" s="25" t="str">
        <f>IF('Residual-Rostered'!Y2=0,"-",'Residual-Rostered'!Y2)</f>
        <v>-</v>
      </c>
      <c r="AC17" s="25" t="str">
        <f>IF('Residual-Rostered'!Z2=0,"-",'Residual-Rostered'!Z2)</f>
        <v>-</v>
      </c>
      <c r="AD17" s="25" t="str">
        <f>IF('Residual-Rostered'!AA2=0,"-",'Residual-Rostered'!AA2)</f>
        <v>0/ 0</v>
      </c>
      <c r="AE17" s="25" t="str">
        <f>IF('Residual-Rostered'!AB2=0,"-",'Residual-Rostered'!AB2)</f>
        <v>-</v>
      </c>
      <c r="AF17" s="25" t="str">
        <f>IF('Residual-Rostered'!AC2=0,"-",'Residual-Rostered'!AC2)</f>
        <v>-</v>
      </c>
      <c r="AG17" s="25" t="str">
        <f>IF('Residual-Rostered'!AD2=0,"-",'Residual-Rostered'!AD2)</f>
        <v>-</v>
      </c>
      <c r="AH17" s="25" t="str">
        <f>IF('Residual-Rostered'!AE2=0,"-",'Residual-Rostered'!AE2)</f>
        <v>-</v>
      </c>
      <c r="AI17" s="25" t="str">
        <f>IF('Residual-Rostered'!AF2=0,"-",'Residual-Rostered'!AF2)</f>
        <v>-</v>
      </c>
      <c r="AJ17" s="25" t="str">
        <f>IF('Residual-Rostered'!AG2=0,"-",'Residual-Rostered'!AG2)</f>
        <v>-</v>
      </c>
      <c r="AK17" s="25" t="str">
        <f>IF('Residual-Rostered'!AH2=0,"-",'Residual-Rostered'!AH2)</f>
        <v>-</v>
      </c>
      <c r="AL17" s="25" t="str">
        <f>IF('Residual-Rostered'!AI2=0,"-",'Residual-Rostered'!AI2)</f>
        <v>-</v>
      </c>
      <c r="AM17" s="25" t="str">
        <f>IF('Residual-Rostered'!AJ2=0,"-",'Residual-Rostered'!AJ2)</f>
        <v>-</v>
      </c>
      <c r="AN17" s="25" t="str">
        <f>IF('Residual-Rostered'!AK2=0,"-",'Residual-Rostered'!AK2)</f>
        <v>-</v>
      </c>
      <c r="AO17" s="25" t="str">
        <f>IF('Residual-Rostered'!AL2=0,"-",'Residual-Rostered'!AL2)</f>
        <v>-</v>
      </c>
      <c r="AP17" s="25" t="str">
        <f>IF('Residual-Rostered'!AM2=0,"-",'Residual-Rostered'!AM2)</f>
        <v>0/ 0</v>
      </c>
      <c r="AQ17" s="25" t="str">
        <f>IF('Residual-Rostered'!AN2=0,"-",'Residual-Rostered'!AN2)</f>
        <v>-</v>
      </c>
      <c r="AR17" s="25" t="str">
        <f>IF('Residual-Rostered'!AO2=0,"-",'Residual-Rostered'!AO2)</f>
        <v>-</v>
      </c>
      <c r="AS17" s="25" t="str">
        <f>IF('Residual-Rostered'!AP2=0,"-",'Residual-Rostered'!AP2)</f>
        <v>0/ 0</v>
      </c>
      <c r="AT17" s="25" t="str">
        <f>IF('Residual-Rostered'!AQ2=0,"-",'Residual-Rostered'!AQ2)</f>
        <v>-</v>
      </c>
      <c r="AU17" s="25" t="str">
        <f>IF('Residual-Rostered'!AR2=0,"-",'Residual-Rostered'!AR2)</f>
        <v>-</v>
      </c>
      <c r="AV17" s="25" t="str">
        <f>IF('Residual-Rostered'!AS2=0,"-",'Residual-Rostered'!AS2)</f>
        <v>0/ 0</v>
      </c>
      <c r="AW17" s="25" t="str">
        <f>IF('Residual-Rostered'!AT2=0,"-",'Residual-Rostered'!AT2)</f>
        <v>-</v>
      </c>
    </row>
    <row r="18" spans="1:49" x14ac:dyDescent="0.25">
      <c r="A18" s="25" t="e">
        <f>'Residual-Rostered'!#REF!</f>
        <v>#REF!</v>
      </c>
      <c r="B18" s="33" t="str">
        <f>'Residual-Rostered'!B8</f>
        <v>Kochukanjirathinkal, Mathew</v>
      </c>
      <c r="C18" s="33" t="str">
        <f>'Residual-Rostered'!C8</f>
        <v>Registered Nurse</v>
      </c>
      <c r="D18" s="34">
        <f>'Residual-Rostered'!D8</f>
        <v>0</v>
      </c>
      <c r="E18" s="14">
        <f>Max_HRS-Table3[[#This Row],[ROSTERED TIME]]</f>
        <v>76</v>
      </c>
      <c r="F18" s="14">
        <f>SUM(Table3[[#This Row],[1]:[42]])</f>
        <v>0</v>
      </c>
      <c r="G18" s="14">
        <f>Table3[[#This Row],[ROSTERED TIME]]+Table3[[#This Row],[CHANGE TIME]]</f>
        <v>0</v>
      </c>
      <c r="H18" s="25" t="str">
        <f>IF('Residual-Rostered'!E8=0,"-",'Residual-Rostered'!E8)</f>
        <v>-</v>
      </c>
      <c r="I18" s="25" t="str">
        <f>IF('Residual-Rostered'!F8=0,"-",'Residual-Rostered'!F8)</f>
        <v>0/ 0</v>
      </c>
      <c r="J18" s="25" t="str">
        <f>IF('Residual-Rostered'!G8=0,"-",'Residual-Rostered'!G8)</f>
        <v>-</v>
      </c>
      <c r="K18" s="25" t="str">
        <f>IF('Residual-Rostered'!H8=0,"-",'Residual-Rostered'!H8)</f>
        <v>-</v>
      </c>
      <c r="L18" s="25" t="str">
        <f>IF('Residual-Rostered'!I8=0,"-",'Residual-Rostered'!I8)</f>
        <v>0/ 0</v>
      </c>
      <c r="M18" s="25" t="str">
        <f>IF('Residual-Rostered'!J8=0,"-",'Residual-Rostered'!J8)</f>
        <v>-</v>
      </c>
      <c r="N18" s="25" t="str">
        <f>IF('Residual-Rostered'!K8=0,"-",'Residual-Rostered'!K8)</f>
        <v>-</v>
      </c>
      <c r="O18" s="25" t="str">
        <f>IF('Residual-Rostered'!L8=0,"-",'Residual-Rostered'!L8)</f>
        <v>0/ 0</v>
      </c>
      <c r="P18" s="25" t="str">
        <f>IF('Residual-Rostered'!M8=0,"-",'Residual-Rostered'!M8)</f>
        <v>-</v>
      </c>
      <c r="Q18" s="25" t="str">
        <f>IF('Residual-Rostered'!N8=0,"-",'Residual-Rostered'!N8)</f>
        <v>-</v>
      </c>
      <c r="R18" s="25" t="str">
        <f>IF('Residual-Rostered'!O8=0,"-",'Residual-Rostered'!O8)</f>
        <v>0/ 0</v>
      </c>
      <c r="S18" s="25" t="str">
        <f>IF('Residual-Rostered'!P8=0,"-",'Residual-Rostered'!P8)</f>
        <v>-</v>
      </c>
      <c r="T18" s="25" t="str">
        <f>IF('Residual-Rostered'!Q8=0,"-",'Residual-Rostered'!Q8)</f>
        <v>-</v>
      </c>
      <c r="U18" s="25" t="str">
        <f>IF('Residual-Rostered'!R8=0,"-",'Residual-Rostered'!R8)</f>
        <v>0/ 0</v>
      </c>
      <c r="V18" s="25" t="str">
        <f>IF('Residual-Rostered'!S8=0,"-",'Residual-Rostered'!S8)</f>
        <v>-</v>
      </c>
      <c r="W18" s="25" t="str">
        <f>IF('Residual-Rostered'!T8=0,"-",'Residual-Rostered'!T8)</f>
        <v>-</v>
      </c>
      <c r="X18" s="25" t="str">
        <f>IF('Residual-Rostered'!U8=0,"-",'Residual-Rostered'!U8)</f>
        <v>-</v>
      </c>
      <c r="Y18" s="25" t="str">
        <f>IF('Residual-Rostered'!V8=0,"-",'Residual-Rostered'!V8)</f>
        <v>-</v>
      </c>
      <c r="Z18" s="25" t="str">
        <f>IF('Residual-Rostered'!W8=0,"-",'Residual-Rostered'!W8)</f>
        <v>-</v>
      </c>
      <c r="AA18" s="25" t="str">
        <f>IF('Residual-Rostered'!X8=0,"-",'Residual-Rostered'!X8)</f>
        <v>-</v>
      </c>
      <c r="AB18" s="25" t="str">
        <f>IF('Residual-Rostered'!Y8=0,"-",'Residual-Rostered'!Y8)</f>
        <v>-</v>
      </c>
      <c r="AC18" s="25" t="str">
        <f>IF('Residual-Rostered'!Z8=0,"-",'Residual-Rostered'!Z8)</f>
        <v>-</v>
      </c>
      <c r="AD18" s="25" t="str">
        <f>IF('Residual-Rostered'!AA8=0,"-",'Residual-Rostered'!AA8)</f>
        <v>0/ 0</v>
      </c>
      <c r="AE18" s="25" t="str">
        <f>IF('Residual-Rostered'!AB8=0,"-",'Residual-Rostered'!AB8)</f>
        <v>-</v>
      </c>
      <c r="AF18" s="25" t="str">
        <f>IF('Residual-Rostered'!AC8=0,"-",'Residual-Rostered'!AC8)</f>
        <v>-</v>
      </c>
      <c r="AG18" s="25" t="str">
        <f>IF('Residual-Rostered'!AD8=0,"-",'Residual-Rostered'!AD8)</f>
        <v>0/ 0</v>
      </c>
      <c r="AH18" s="25" t="str">
        <f>IF('Residual-Rostered'!AE8=0,"-",'Residual-Rostered'!AE8)</f>
        <v>-</v>
      </c>
      <c r="AI18" s="25" t="str">
        <f>IF('Residual-Rostered'!AF8=0,"-",'Residual-Rostered'!AF8)</f>
        <v>-</v>
      </c>
      <c r="AJ18" s="25" t="str">
        <f>IF('Residual-Rostered'!AG8=0,"-",'Residual-Rostered'!AG8)</f>
        <v>0/ 0</v>
      </c>
      <c r="AK18" s="25" t="str">
        <f>IF('Residual-Rostered'!AH8=0,"-",'Residual-Rostered'!AH8)</f>
        <v>-</v>
      </c>
      <c r="AL18" s="25" t="str">
        <f>IF('Residual-Rostered'!AI8=0,"-",'Residual-Rostered'!AI8)</f>
        <v>-</v>
      </c>
      <c r="AM18" s="25" t="str">
        <f>IF('Residual-Rostered'!AJ8=0,"-",'Residual-Rostered'!AJ8)</f>
        <v>0/ 0</v>
      </c>
      <c r="AN18" s="25" t="str">
        <f>IF('Residual-Rostered'!AK8=0,"-",'Residual-Rostered'!AK8)</f>
        <v>-</v>
      </c>
      <c r="AO18" s="25" t="str">
        <f>IF('Residual-Rostered'!AL8=0,"-",'Residual-Rostered'!AL8)</f>
        <v>-</v>
      </c>
      <c r="AP18" s="25" t="str">
        <f>IF('Residual-Rostered'!AM8=0,"-",'Residual-Rostered'!AM8)</f>
        <v>0/ 0</v>
      </c>
      <c r="AQ18" s="25" t="str">
        <f>IF('Residual-Rostered'!AN8=0,"-",'Residual-Rostered'!AN8)</f>
        <v>-</v>
      </c>
      <c r="AR18" s="25" t="str">
        <f>IF('Residual-Rostered'!AO8=0,"-",'Residual-Rostered'!AO8)</f>
        <v>-</v>
      </c>
      <c r="AS18" s="25" t="str">
        <f>IF('Residual-Rostered'!AP8=0,"-",'Residual-Rostered'!AP8)</f>
        <v>-</v>
      </c>
      <c r="AT18" s="25" t="str">
        <f>IF('Residual-Rostered'!AQ8=0,"-",'Residual-Rostered'!AQ8)</f>
        <v>-</v>
      </c>
      <c r="AU18" s="25" t="str">
        <f>IF('Residual-Rostered'!AR8=0,"-",'Residual-Rostered'!AR8)</f>
        <v>-</v>
      </c>
      <c r="AV18" s="25" t="str">
        <f>IF('Residual-Rostered'!AS8=0,"-",'Residual-Rostered'!AS8)</f>
        <v>-</v>
      </c>
      <c r="AW18" s="25" t="str">
        <f>IF('Residual-Rostered'!AT8=0,"-",'Residual-Rostered'!AT8)</f>
        <v>-</v>
      </c>
    </row>
    <row r="19" spans="1:49" x14ac:dyDescent="0.25">
      <c r="A19" s="25" t="e">
        <f>'Residual-Rostered'!#REF!</f>
        <v>#REF!</v>
      </c>
      <c r="B19" s="33" t="str">
        <f>'Residual-Rostered'!B6</f>
        <v>Gould, Diana</v>
      </c>
      <c r="C19" s="33" t="str">
        <f>'Residual-Rostered'!C6</f>
        <v>Registered Nurse</v>
      </c>
      <c r="D19" s="34">
        <f>'Residual-Rostered'!D6</f>
        <v>48.3</v>
      </c>
      <c r="E19" s="25">
        <f>Max_HRS-Table3[[#This Row],[ROSTERED TIME]]</f>
        <v>27.700000000000003</v>
      </c>
      <c r="F19" s="14">
        <f>SUM(Table3[[#This Row],[1]:[42]])</f>
        <v>0</v>
      </c>
      <c r="G19" s="14">
        <f>Table3[[#This Row],[ROSTERED TIME]]+Table3[[#This Row],[CHANGE TIME]]</f>
        <v>48.3</v>
      </c>
      <c r="H19" s="25" t="str">
        <f>IF('Residual-Rostered'!E6=0,"-",'Residual-Rostered'!E6)</f>
        <v>-</v>
      </c>
      <c r="I19" s="25" t="str">
        <f>IF('Residual-Rostered'!F6=0,"-",'Residual-Rostered'!F6)</f>
        <v>-</v>
      </c>
      <c r="J19" s="25" t="str">
        <f>IF('Residual-Rostered'!G6=0,"-",'Residual-Rostered'!G6)</f>
        <v>6.9/ 6.9</v>
      </c>
      <c r="K19" s="25" t="str">
        <f>IF('Residual-Rostered'!H6=0,"-",'Residual-Rostered'!H6)</f>
        <v>-</v>
      </c>
      <c r="L19" s="25" t="str">
        <f>IF('Residual-Rostered'!I6=0,"-",'Residual-Rostered'!I6)</f>
        <v>-</v>
      </c>
      <c r="M19" s="25" t="str">
        <f>IF('Residual-Rostered'!J6=0,"-",'Residual-Rostered'!J6)</f>
        <v>7.4/ 6.9</v>
      </c>
      <c r="N19" s="25" t="str">
        <f>IF('Residual-Rostered'!K6=0,"-",'Residual-Rostered'!K6)</f>
        <v>-</v>
      </c>
      <c r="O19" s="25" t="str">
        <f>IF('Residual-Rostered'!L6=0,"-",'Residual-Rostered'!L6)</f>
        <v>-</v>
      </c>
      <c r="P19" s="25" t="str">
        <f>IF('Residual-Rostered'!M6=0,"-",'Residual-Rostered'!M6)</f>
        <v>-</v>
      </c>
      <c r="Q19" s="25" t="str">
        <f>IF('Residual-Rostered'!N6=0,"-",'Residual-Rostered'!N6)</f>
        <v>-</v>
      </c>
      <c r="R19" s="25" t="str">
        <f>IF('Residual-Rostered'!O6=0,"-",'Residual-Rostered'!O6)</f>
        <v>-</v>
      </c>
      <c r="S19" s="25" t="str">
        <f>IF('Residual-Rostered'!P6=0,"-",'Residual-Rostered'!P6)</f>
        <v>-</v>
      </c>
      <c r="T19" s="25" t="str">
        <f>IF('Residual-Rostered'!Q6=0,"-",'Residual-Rostered'!Q6)</f>
        <v>-</v>
      </c>
      <c r="U19" s="25" t="str">
        <f>IF('Residual-Rostered'!R6=0,"-",'Residual-Rostered'!R6)</f>
        <v>-</v>
      </c>
      <c r="V19" s="25" t="str">
        <f>IF('Residual-Rostered'!S6=0,"-",'Residual-Rostered'!S6)</f>
        <v>6.9/ 6.9</v>
      </c>
      <c r="W19" s="25" t="str">
        <f>IF('Residual-Rostered'!T6=0,"-",'Residual-Rostered'!T6)</f>
        <v>-</v>
      </c>
      <c r="X19" s="25" t="str">
        <f>IF('Residual-Rostered'!U6=0,"-",'Residual-Rostered'!U6)</f>
        <v>-</v>
      </c>
      <c r="Y19" s="25" t="str">
        <f>IF('Residual-Rostered'!V6=0,"-",'Residual-Rostered'!V6)</f>
        <v>7.4/ 6.9</v>
      </c>
      <c r="Z19" s="25" t="str">
        <f>IF('Residual-Rostered'!W6=0,"-",'Residual-Rostered'!W6)</f>
        <v>-</v>
      </c>
      <c r="AA19" s="25" t="str">
        <f>IF('Residual-Rostered'!X6=0,"-",'Residual-Rostered'!X6)</f>
        <v>-</v>
      </c>
      <c r="AB19" s="25" t="str">
        <f>IF('Residual-Rostered'!Y6=0,"-",'Residual-Rostered'!Y6)</f>
        <v>7.4/ 6.9</v>
      </c>
      <c r="AC19" s="25" t="str">
        <f>IF('Residual-Rostered'!Z6=0,"-",'Residual-Rostered'!Z6)</f>
        <v>-</v>
      </c>
      <c r="AD19" s="25" t="str">
        <f>IF('Residual-Rostered'!AA6=0,"-",'Residual-Rostered'!AA6)</f>
        <v>-</v>
      </c>
      <c r="AE19" s="25" t="str">
        <f>IF('Residual-Rostered'!AB6=0,"-",'Residual-Rostered'!AB6)</f>
        <v>7.4/ 6.9</v>
      </c>
      <c r="AF19" s="25" t="str">
        <f>IF('Residual-Rostered'!AC6=0,"-",'Residual-Rostered'!AC6)</f>
        <v>-</v>
      </c>
      <c r="AG19" s="25" t="str">
        <f>IF('Residual-Rostered'!AD6=0,"-",'Residual-Rostered'!AD6)</f>
        <v>-</v>
      </c>
      <c r="AH19" s="25" t="str">
        <f>IF('Residual-Rostered'!AE6=0,"-",'Residual-Rostered'!AE6)</f>
        <v>7.4/ 6.9</v>
      </c>
      <c r="AI19" s="25" t="str">
        <f>IF('Residual-Rostered'!AF6=0,"-",'Residual-Rostered'!AF6)</f>
        <v>-</v>
      </c>
      <c r="AJ19" s="25" t="str">
        <f>IF('Residual-Rostered'!AG6=0,"-",'Residual-Rostered'!AG6)</f>
        <v>-</v>
      </c>
      <c r="AK19" s="25" t="str">
        <f>IF('Residual-Rostered'!AH6=0,"-",'Residual-Rostered'!AH6)</f>
        <v>-</v>
      </c>
      <c r="AL19" s="25" t="str">
        <f>IF('Residual-Rostered'!AI6=0,"-",'Residual-Rostered'!AI6)</f>
        <v>-</v>
      </c>
      <c r="AM19" s="25" t="str">
        <f>IF('Residual-Rostered'!AJ6=0,"-",'Residual-Rostered'!AJ6)</f>
        <v>-</v>
      </c>
      <c r="AN19" s="25" t="str">
        <f>IF('Residual-Rostered'!AK6=0,"-",'Residual-Rostered'!AK6)</f>
        <v>-</v>
      </c>
      <c r="AO19" s="25" t="str">
        <f>IF('Residual-Rostered'!AL6=0,"-",'Residual-Rostered'!AL6)</f>
        <v>-</v>
      </c>
      <c r="AP19" s="25" t="str">
        <f>IF('Residual-Rostered'!AM6=0,"-",'Residual-Rostered'!AM6)</f>
        <v>-</v>
      </c>
      <c r="AQ19" s="25" t="str">
        <f>IF('Residual-Rostered'!AN6=0,"-",'Residual-Rostered'!AN6)</f>
        <v>-</v>
      </c>
      <c r="AR19" s="25" t="str">
        <f>IF('Residual-Rostered'!AO6=0,"-",'Residual-Rostered'!AO6)</f>
        <v>-</v>
      </c>
      <c r="AS19" s="25" t="str">
        <f>IF('Residual-Rostered'!AP6=0,"-",'Residual-Rostered'!AP6)</f>
        <v>-</v>
      </c>
      <c r="AT19" s="25" t="str">
        <f>IF('Residual-Rostered'!AQ6=0,"-",'Residual-Rostered'!AQ6)</f>
        <v>-</v>
      </c>
      <c r="AU19" s="25" t="str">
        <f>IF('Residual-Rostered'!AR6=0,"-",'Residual-Rostered'!AR6)</f>
        <v>-</v>
      </c>
      <c r="AV19" s="25" t="str">
        <f>IF('Residual-Rostered'!AS6=0,"-",'Residual-Rostered'!AS6)</f>
        <v>-</v>
      </c>
      <c r="AW19" s="25" t="str">
        <f>IF('Residual-Rostered'!AT6=0,"-",'Residual-Rostered'!AT6)</f>
        <v>-</v>
      </c>
    </row>
    <row r="20" spans="1:49" x14ac:dyDescent="0.25">
      <c r="A20" s="25" t="e">
        <f>'Residual-Rostered'!#REF!</f>
        <v>#REF!</v>
      </c>
      <c r="B20" s="33" t="str">
        <f>'Residual-Rostered'!B5</f>
        <v>Goke, Adele</v>
      </c>
      <c r="C20" s="33" t="str">
        <f>'Residual-Rostered'!C5</f>
        <v>Registered Nurse</v>
      </c>
      <c r="D20" s="34">
        <f>'Residual-Rostered'!D5</f>
        <v>0</v>
      </c>
      <c r="E20" s="14">
        <f>Max_HRS-Table3[[#This Row],[ROSTERED TIME]]</f>
        <v>76</v>
      </c>
      <c r="F20" s="14">
        <f>SUM(Table3[[#This Row],[1]:[42]])</f>
        <v>0</v>
      </c>
      <c r="G20" s="14">
        <f>Table3[[#This Row],[ROSTERED TIME]]+Table3[[#This Row],[CHANGE TIME]]</f>
        <v>0</v>
      </c>
      <c r="H20" s="25" t="str">
        <f>IF('Residual-Rostered'!E5=0,"-",'Residual-Rostered'!E5)</f>
        <v>-</v>
      </c>
      <c r="I20" s="25" t="str">
        <f>IF('Residual-Rostered'!F5=0,"-",'Residual-Rostered'!F5)</f>
        <v>-</v>
      </c>
      <c r="J20" s="25" t="str">
        <f>IF('Residual-Rostered'!G5=0,"-",'Residual-Rostered'!G5)</f>
        <v>-</v>
      </c>
      <c r="K20" s="25" t="str">
        <f>IF('Residual-Rostered'!H5=0,"-",'Residual-Rostered'!H5)</f>
        <v>-</v>
      </c>
      <c r="L20" s="25" t="str">
        <f>IF('Residual-Rostered'!I5=0,"-",'Residual-Rostered'!I5)</f>
        <v>-</v>
      </c>
      <c r="M20" s="25" t="str">
        <f>IF('Residual-Rostered'!J5=0,"-",'Residual-Rostered'!J5)</f>
        <v>-</v>
      </c>
      <c r="N20" s="25" t="str">
        <f>IF('Residual-Rostered'!K5=0,"-",'Residual-Rostered'!K5)</f>
        <v>-</v>
      </c>
      <c r="O20" s="25" t="str">
        <f>IF('Residual-Rostered'!L5=0,"-",'Residual-Rostered'!L5)</f>
        <v>-</v>
      </c>
      <c r="P20" s="25" t="str">
        <f>IF('Residual-Rostered'!M5=0,"-",'Residual-Rostered'!M5)</f>
        <v>-</v>
      </c>
      <c r="Q20" s="25" t="str">
        <f>IF('Residual-Rostered'!N5=0,"-",'Residual-Rostered'!N5)</f>
        <v>-</v>
      </c>
      <c r="R20" s="25" t="str">
        <f>IF('Residual-Rostered'!O5=0,"-",'Residual-Rostered'!O5)</f>
        <v>-</v>
      </c>
      <c r="S20" s="25" t="str">
        <f>IF('Residual-Rostered'!P5=0,"-",'Residual-Rostered'!P5)</f>
        <v>-</v>
      </c>
      <c r="T20" s="25" t="str">
        <f>IF('Residual-Rostered'!Q5=0,"-",'Residual-Rostered'!Q5)</f>
        <v>-</v>
      </c>
      <c r="U20" s="25" t="str">
        <f>IF('Residual-Rostered'!R5=0,"-",'Residual-Rostered'!R5)</f>
        <v>-</v>
      </c>
      <c r="V20" s="25" t="str">
        <f>IF('Residual-Rostered'!S5=0,"-",'Residual-Rostered'!S5)</f>
        <v>-</v>
      </c>
      <c r="W20" s="25" t="str">
        <f>IF('Residual-Rostered'!T5=0,"-",'Residual-Rostered'!T5)</f>
        <v>-</v>
      </c>
      <c r="X20" s="25" t="str">
        <f>IF('Residual-Rostered'!U5=0,"-",'Residual-Rostered'!U5)</f>
        <v>0/ 0</v>
      </c>
      <c r="Y20" s="25" t="str">
        <f>IF('Residual-Rostered'!V5=0,"-",'Residual-Rostered'!V5)</f>
        <v>-</v>
      </c>
      <c r="Z20" s="25" t="str">
        <f>IF('Residual-Rostered'!W5=0,"-",'Residual-Rostered'!W5)</f>
        <v>-</v>
      </c>
      <c r="AA20" s="25" t="str">
        <f>IF('Residual-Rostered'!X5=0,"-",'Residual-Rostered'!X5)</f>
        <v>0/ 0</v>
      </c>
      <c r="AB20" s="25" t="str">
        <f>IF('Residual-Rostered'!Y5=0,"-",'Residual-Rostered'!Y5)</f>
        <v>-</v>
      </c>
      <c r="AC20" s="25" t="str">
        <f>IF('Residual-Rostered'!Z5=0,"-",'Residual-Rostered'!Z5)</f>
        <v>-</v>
      </c>
      <c r="AD20" s="25" t="str">
        <f>IF('Residual-Rostered'!AA5=0,"-",'Residual-Rostered'!AA5)</f>
        <v>-</v>
      </c>
      <c r="AE20" s="25" t="str">
        <f>IF('Residual-Rostered'!AB5=0,"-",'Residual-Rostered'!AB5)</f>
        <v>-</v>
      </c>
      <c r="AF20" s="25" t="str">
        <f>IF('Residual-Rostered'!AC5=0,"-",'Residual-Rostered'!AC5)</f>
        <v>-</v>
      </c>
      <c r="AG20" s="25" t="str">
        <f>IF('Residual-Rostered'!AD5=0,"-",'Residual-Rostered'!AD5)</f>
        <v>-</v>
      </c>
      <c r="AH20" s="25" t="str">
        <f>IF('Residual-Rostered'!AE5=0,"-",'Residual-Rostered'!AE5)</f>
        <v>-</v>
      </c>
      <c r="AI20" s="25" t="str">
        <f>IF('Residual-Rostered'!AF5=0,"-",'Residual-Rostered'!AF5)</f>
        <v>-</v>
      </c>
      <c r="AJ20" s="25" t="str">
        <f>IF('Residual-Rostered'!AG5=0,"-",'Residual-Rostered'!AG5)</f>
        <v>-</v>
      </c>
      <c r="AK20" s="25" t="str">
        <f>IF('Residual-Rostered'!AH5=0,"-",'Residual-Rostered'!AH5)</f>
        <v>-</v>
      </c>
      <c r="AL20" s="25" t="str">
        <f>IF('Residual-Rostered'!AI5=0,"-",'Residual-Rostered'!AI5)</f>
        <v>-</v>
      </c>
      <c r="AM20" s="25" t="str">
        <f>IF('Residual-Rostered'!AJ5=0,"-",'Residual-Rostered'!AJ5)</f>
        <v>-</v>
      </c>
      <c r="AN20" s="25" t="str">
        <f>IF('Residual-Rostered'!AK5=0,"-",'Residual-Rostered'!AK5)</f>
        <v>-</v>
      </c>
      <c r="AO20" s="25" t="str">
        <f>IF('Residual-Rostered'!AL5=0,"-",'Residual-Rostered'!AL5)</f>
        <v>-</v>
      </c>
      <c r="AP20" s="25" t="str">
        <f>IF('Residual-Rostered'!AM5=0,"-",'Residual-Rostered'!AM5)</f>
        <v>-</v>
      </c>
      <c r="AQ20" s="25" t="str">
        <f>IF('Residual-Rostered'!AN5=0,"-",'Residual-Rostered'!AN5)</f>
        <v>-</v>
      </c>
      <c r="AR20" s="25" t="str">
        <f>IF('Residual-Rostered'!AO5=0,"-",'Residual-Rostered'!AO5)</f>
        <v>-</v>
      </c>
      <c r="AS20" s="25" t="str">
        <f>IF('Residual-Rostered'!AP5=0,"-",'Residual-Rostered'!AP5)</f>
        <v>0/ 0</v>
      </c>
      <c r="AT20" s="25" t="str">
        <f>IF('Residual-Rostered'!AQ5=0,"-",'Residual-Rostered'!AQ5)</f>
        <v>-</v>
      </c>
      <c r="AU20" s="25" t="str">
        <f>IF('Residual-Rostered'!AR5=0,"-",'Residual-Rostered'!AR5)</f>
        <v>-</v>
      </c>
      <c r="AV20" s="25" t="str">
        <f>IF('Residual-Rostered'!AS5=0,"-",'Residual-Rostered'!AS5)</f>
        <v>0/ 0</v>
      </c>
      <c r="AW20" s="25" t="str">
        <f>IF('Residual-Rostered'!AT5=0,"-",'Residual-Rostered'!AT5)</f>
        <v>-</v>
      </c>
    </row>
    <row r="21" spans="1:49" x14ac:dyDescent="0.25">
      <c r="A21" s="25"/>
    </row>
    <row r="22" spans="1:49" x14ac:dyDescent="0.25">
      <c r="M22" s="24"/>
    </row>
    <row r="25" spans="1:49" x14ac:dyDescent="0.25">
      <c r="F25" s="11"/>
      <c r="G25" s="11"/>
      <c r="H25" s="11"/>
    </row>
    <row r="26" spans="1:49" x14ac:dyDescent="0.25">
      <c r="F26" s="11"/>
      <c r="G26" s="11"/>
      <c r="H26" s="11"/>
    </row>
    <row r="27" spans="1:49" x14ac:dyDescent="0.25">
      <c r="F27" s="11"/>
      <c r="G27" s="11"/>
      <c r="H27" s="11"/>
    </row>
    <row r="28" spans="1:49" x14ac:dyDescent="0.25">
      <c r="F28" s="11"/>
      <c r="G28" s="11"/>
      <c r="H28" s="11"/>
    </row>
    <row r="29" spans="1:49" x14ac:dyDescent="0.25">
      <c r="F29" s="11"/>
      <c r="G29" s="11"/>
      <c r="H29" s="11"/>
    </row>
    <row r="30" spans="1:49" x14ac:dyDescent="0.25">
      <c r="F30" s="11"/>
      <c r="G30" s="11"/>
      <c r="H30" s="11"/>
    </row>
  </sheetData>
  <phoneticPr fontId="1" type="noConversion"/>
  <conditionalFormatting sqref="F13:F20">
    <cfRule type="cellIs" dxfId="11" priority="7" stopIfTrue="1" operator="greaterThan">
      <formula>0.1</formula>
    </cfRule>
  </conditionalFormatting>
  <conditionalFormatting sqref="G13:G20">
    <cfRule type="cellIs" dxfId="10" priority="2" operator="greaterThan">
      <formula>76</formula>
    </cfRule>
  </conditionalFormatting>
  <conditionalFormatting sqref="H7:AW7">
    <cfRule type="cellIs" dxfId="9" priority="1" operator="greaterThan">
      <formula>0.1</formula>
    </cfRule>
  </conditionalFormatting>
  <conditionalFormatting sqref="H8:AW11">
    <cfRule type="cellIs" dxfId="8" priority="45" operator="greaterThan">
      <formula>0.1</formula>
    </cfRule>
  </conditionalFormatting>
  <conditionalFormatting sqref="H13:AW20">
    <cfRule type="cellIs" dxfId="6" priority="11" stopIfTrue="1" operator="lessThan">
      <formula>-0.1</formula>
    </cfRule>
    <cfRule type="cellIs" dxfId="3" priority="20" stopIfTrue="1" operator="greaterThan">
      <formula>0.1</formula>
    </cfRule>
  </conditionalFormatting>
  <conditionalFormatting sqref="I9:AW10">
    <cfRule type="cellIs" dxfId="2" priority="13" operator="lessThan">
      <formula>-0.1</formula>
    </cfRule>
  </conditionalFormatting>
  <conditionalFormatting sqref="I10:AW10">
    <cfRule type="cellIs" dxfId="1" priority="12" operator="between">
      <formula>-0.5</formula>
      <formula>0.5</formula>
    </cfRule>
  </conditionalFormatting>
  <conditionalFormatting sqref="K9">
    <cfRule type="cellIs" dxfId="0" priority="4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stopIfTrue="1" operator="containsText" id="{D900340D-7174-4E98-8AE7-21083A2DB91B}">
            <xm:f>NOT(ISERROR(SEARCH("-",F13)))</xm:f>
            <xm:f>"-"</xm:f>
            <x14:dxf/>
          </x14:cfRule>
          <xm:sqref>F13:F20</xm:sqref>
        </x14:conditionalFormatting>
        <x14:conditionalFormatting xmlns:xm="http://schemas.microsoft.com/office/excel/2006/main">
          <x14:cfRule type="containsText" priority="10" stopIfTrue="1" operator="containsText" id="{A47BAF94-1C90-40FE-B57A-C60B14A7C53A}">
            <xm:f>NOT(ISERROR(SEARCH("0/ 0",H13)))</xm:f>
            <xm:f>"0/ 0"</xm:f>
            <x14:dxf>
              <font>
                <color theme="2" tint="-0.499984740745262"/>
              </font>
              <fill>
                <patternFill>
                  <bgColor theme="0" tint="-0.24994659260841701"/>
                </patternFill>
              </fill>
            </x14:dxf>
          </x14:cfRule>
          <x14:cfRule type="containsText" priority="15" stopIfTrue="1" operator="containsText" id="{CAD3F5CC-7FCB-4883-BE17-F7C679F6A4BE}">
            <xm:f>NOT(ISERROR(SEARCH("-",H13)))</xm:f>
            <xm:f>"-"</xm:f>
            <x14:dxf/>
          </x14:cfRule>
          <x14:cfRule type="containsText" priority="17" stopIfTrue="1" operator="containsText" id="{A0B3B8E7-B9B5-4684-BAE3-93D15DA1B11C}">
            <xm:f>NOT(ISERROR(SEARCH("/ 0",H13)))</xm:f>
            <xm:f>"/ 0"</xm:f>
            <x14:dxf>
              <font>
                <b/>
                <i val="0"/>
                <color rgb="FF006100"/>
              </font>
              <fill>
                <patternFill>
                  <bgColor rgb="FFFFCC99"/>
                </patternFill>
              </fill>
            </x14:dxf>
          </x14:cfRule>
          <x14:cfRule type="containsText" priority="18" stopIfTrue="1" operator="containsText" id="{70C1B58D-7AD3-42D1-BBE9-AAF937CC120D}">
            <xm:f>NOT(ISERROR(SEARCH("/",H13)))</xm:f>
            <xm:f>"/"</xm:f>
            <x14:dxf>
              <font>
                <color theme="2" tint="-0.499984740745262"/>
              </font>
              <fill>
                <patternFill>
                  <bgColor rgb="FFFFCC99"/>
                </patternFill>
              </fill>
            </x14:dxf>
          </x14:cfRule>
          <xm:sqref>H13:AW20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901032-3CE2-4D77-AA5F-81E7118B6BF3}">
          <x14:formula1>
            <xm:f>FILEPATH!$J$2:$J$3</xm:f>
          </x14:formula1>
          <xm:sqref>L2:L3</xm:sqref>
        </x14:dataValidation>
        <x14:dataValidation type="list" allowBlank="1" showInputMessage="1" showErrorMessage="1" xr:uid="{308964EC-7DDF-499D-B02C-E8DB268C6819}">
          <x14:formula1>
            <xm:f>FILEPATH!$L$7:$L$8</xm:f>
          </x14:formula1>
          <xm:sqref>C2:C3</xm:sqref>
        </x14:dataValidation>
        <x14:dataValidation type="list" allowBlank="1" showInputMessage="1" showErrorMessage="1" xr:uid="{972A08EF-936F-46A4-8341-9C122E5CB615}">
          <x14:formula1>
            <xm:f>FILEPATH!$J$7:$J$8</xm:f>
          </x14:formula1>
          <xm:sqref>F2:F3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1F60BB-2206-451B-BECC-7D68DAE08C9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24D4FB4-3F06-4125-8CB2-C03A78D25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B9DDF8-8771-4241-A767-B88AE85006B3}">
  <ds:schemaRefs>
    <ds:schemaRef ds:uri="http://purl.org/dc/terms/"/>
    <ds:schemaRef ds:uri="http://schemas.openxmlformats.org/package/2006/metadata/core-properties"/>
    <ds:schemaRef ds:uri="cb0fa578-f870-47d6-b0d9-5a423e2a9cf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b568fc2f-4d2a-4f1a-a92d-be6ea9d479bf"/>
    <ds:schemaRef ds:uri="http://www.w3.org/XML/1998/namespace"/>
    <ds:schemaRef ds:uri="http://purl.org/dc/dcmitype/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B29FC89F-AF1F-468E-BB0C-147B7B460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CARER (2)</vt:lpstr>
      <vt:lpstr>FILEPATH</vt:lpstr>
      <vt:lpstr>Header</vt:lpstr>
      <vt:lpstr>Sheet2</vt:lpstr>
      <vt:lpstr>Residual-Rostered</vt:lpstr>
      <vt:lpstr>RN</vt:lpstr>
      <vt:lpstr>Client</vt:lpstr>
      <vt:lpstr>Date</vt:lpstr>
      <vt:lpstr>FTE</vt:lpstr>
      <vt:lpstr>HRS</vt:lpstr>
      <vt:lpstr>MAIT_date_adjusted_for_example</vt:lpstr>
      <vt:lpstr>Max_HRS</vt:lpstr>
      <vt:lpstr>Type</vt:lpstr>
      <vt:lpstr>'CARER (2)'!UNIT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2023-06-22T05:33:58Z</dcterms:created>
  <dcterms:modified xsi:type="dcterms:W3CDTF">2026-09-25T02:26:21Z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