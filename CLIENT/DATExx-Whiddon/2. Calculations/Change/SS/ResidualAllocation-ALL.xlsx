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Change\SS\"/>
    </mc:Choice>
  </mc:AlternateContent>
  <xr:revisionPtr revIDLastSave="0" documentId="13_ncr:1_{71A711C0-0396-4532-AEB0-5EA3C8171578}" xr6:coauthVersionLast="47" xr6:coauthVersionMax="47" xr10:uidLastSave="{00000000-0000-0000-0000-000000000000}"/>
  <bookViews>
    <workbookView xWindow="-120" yWindow="-120" windowWidth="38640" windowHeight="21120" firstSheet="1" activeTab="2" xr2:uid="{43299ECF-2EC8-4252-A360-D72E0B4DC115}"/>
    <workbookView xWindow="-120" yWindow="-120" windowWidth="38640" windowHeight="21120" firstSheet="1" activeTab="4" xr2:uid="{445C31C1-7373-4479-8035-D9124393D253}"/>
  </bookViews>
  <sheets>
    <sheet name="CARER (2)" sheetId="15" r:id="rId1"/>
    <sheet name="FILEPATH" sheetId="8" r:id="rId2"/>
    <sheet name="Carer" sheetId="21" r:id="rId3"/>
    <sheet name="RN" sheetId="10" r:id="rId4"/>
    <sheet name="Residual-RosteredMATRIX-CARER" sheetId="19" r:id="rId5"/>
    <sheet name="Header-CARER" sheetId="18" r:id="rId6"/>
    <sheet name="Header-RN" sheetId="17" r:id="rId7"/>
    <sheet name="Table_Master_Avail_Alloc_Residu" sheetId="20" r:id="rId8"/>
    <sheet name="Residual-RosteredMATRIX-RN" sheetId="16" r:id="rId9"/>
    <sheet name="Header" sheetId="9" r:id="rId10"/>
    <sheet name="Sheet2" sheetId="12" r:id="rId11"/>
    <sheet name="Residual-Rostered" sheetId="11" r:id="rId12"/>
  </sheets>
  <externalReferences>
    <externalReference r:id="rId13"/>
  </externalReferences>
  <definedNames>
    <definedName name="Client">FILEPATH!$B$30</definedName>
    <definedName name="Date">FILEPATH!$B$33</definedName>
    <definedName name="Directory" localSheetId="1">#REF!</definedName>
    <definedName name="Directory">#REF!</definedName>
    <definedName name="ExternalData_1" localSheetId="9" hidden="1">Header!$B$10:$AT$16</definedName>
    <definedName name="ExternalData_1" localSheetId="11" hidden="1">'Residual-Rostered'!$A$1:$AT$2</definedName>
    <definedName name="ExternalData_2" localSheetId="6" hidden="1">'Header-RN'!$A$1:$AS$4</definedName>
    <definedName name="ExternalData_2" localSheetId="8" hidden="1">'Residual-RosteredMATRIX-RN'!$A$1:$AU$9</definedName>
    <definedName name="ExternalData_3" localSheetId="5" hidden="1">'Header-CARER'!$A$1:$AS$4</definedName>
    <definedName name="ExternalData_3" localSheetId="7" hidden="1">Table_Master_Avail_Alloc_Residu!$A$1:$H$888</definedName>
    <definedName name="ExternalData_4" localSheetId="4" hidden="1">'Residual-RosteredMATRIX-CARER'!$A$1:$AU$50</definedName>
    <definedName name="FTE">FILEPATH!$K$3</definedName>
    <definedName name="HRS">FILEPATH!$K$2</definedName>
    <definedName name="Location">FILEPATH!#REF!</definedName>
    <definedName name="MAIT_date_adjusted_for_example">FILEPATH!$C$1</definedName>
    <definedName name="Max_HRS" localSheetId="2">Carer!$P$2</definedName>
    <definedName name="Max_HRS">RN!$P$2</definedName>
    <definedName name="Type">FILEPATH!$B$31</definedName>
    <definedName name="UNIT" localSheetId="2">Carer!$M$2</definedName>
    <definedName name="UNIT" localSheetId="0">'CARER (2)'!$F$1</definedName>
    <definedName name="UNIT">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" i="21" l="1"/>
  <c r="L34" i="21"/>
  <c r="AJ35" i="21"/>
  <c r="AJ36" i="21"/>
  <c r="AJ37" i="21"/>
  <c r="AG36" i="21"/>
  <c r="AG37" i="21"/>
  <c r="AG38" i="21"/>
  <c r="AG39" i="21"/>
  <c r="AG40" i="21"/>
  <c r="AG41" i="21"/>
  <c r="AG42" i="21"/>
  <c r="AG43" i="21"/>
  <c r="AG44" i="21"/>
  <c r="AG45" i="21"/>
  <c r="AG46" i="21"/>
  <c r="AG47" i="21"/>
  <c r="AG48" i="21"/>
  <c r="AG49" i="21"/>
  <c r="AG50" i="21"/>
  <c r="AG51" i="21"/>
  <c r="AG52" i="21"/>
  <c r="AG53" i="21"/>
  <c r="AG54" i="21"/>
  <c r="AG55" i="21"/>
  <c r="AG56" i="21"/>
  <c r="AG57" i="21"/>
  <c r="AG58" i="21"/>
  <c r="AG59" i="21"/>
  <c r="AG60" i="21"/>
  <c r="AG61" i="21"/>
  <c r="AG62" i="21"/>
  <c r="AG63" i="21"/>
  <c r="AG64" i="21"/>
  <c r="AG65" i="21"/>
  <c r="AG66" i="21"/>
  <c r="AG67" i="21"/>
  <c r="AG68" i="21"/>
  <c r="AG69" i="21"/>
  <c r="AG70" i="21"/>
  <c r="AG71" i="21"/>
  <c r="AG72" i="21"/>
  <c r="AG73" i="21"/>
  <c r="AG74" i="21"/>
  <c r="AG75" i="21"/>
  <c r="AG76" i="21"/>
  <c r="AG77" i="21"/>
  <c r="AG78" i="21"/>
  <c r="AG79" i="21"/>
  <c r="AG80" i="21"/>
  <c r="AG81" i="21"/>
  <c r="AG82" i="21"/>
  <c r="AG83" i="21"/>
  <c r="I7" i="21"/>
  <c r="J7" i="21"/>
  <c r="J8" i="21" s="1"/>
  <c r="K7" i="21"/>
  <c r="L7" i="21"/>
  <c r="M7" i="21"/>
  <c r="N7" i="21"/>
  <c r="O7" i="21"/>
  <c r="O9" i="21" s="1"/>
  <c r="P7" i="21"/>
  <c r="Q7" i="21"/>
  <c r="R7" i="21"/>
  <c r="S7" i="21"/>
  <c r="S8" i="21" s="1"/>
  <c r="T7" i="21"/>
  <c r="T8" i="21" s="1"/>
  <c r="U7" i="21"/>
  <c r="V7" i="21"/>
  <c r="W7" i="21"/>
  <c r="X7" i="21"/>
  <c r="Y7" i="21"/>
  <c r="Z7" i="21"/>
  <c r="AA7" i="21"/>
  <c r="AB7" i="21"/>
  <c r="AB9" i="21" s="1"/>
  <c r="AC7" i="21"/>
  <c r="AD7" i="21"/>
  <c r="AE7" i="21"/>
  <c r="AF7" i="21"/>
  <c r="AF8" i="21" s="1"/>
  <c r="AG7" i="21"/>
  <c r="AH7" i="21"/>
  <c r="AI7" i="21"/>
  <c r="AJ7" i="21"/>
  <c r="AK7" i="21"/>
  <c r="AL7" i="21"/>
  <c r="AM7" i="21"/>
  <c r="AM8" i="21" s="1"/>
  <c r="AN7" i="21"/>
  <c r="AN9" i="21" s="1"/>
  <c r="AO7" i="21"/>
  <c r="AP7" i="21"/>
  <c r="AQ7" i="21"/>
  <c r="AQ8" i="21" s="1"/>
  <c r="AR7" i="21"/>
  <c r="AR8" i="21" s="1"/>
  <c r="AS7" i="21"/>
  <c r="AT7" i="21"/>
  <c r="AU7" i="21"/>
  <c r="AV7" i="21"/>
  <c r="AW7" i="21"/>
  <c r="AW9" i="21" s="1"/>
  <c r="AP8" i="21"/>
  <c r="AT8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A8" i="21"/>
  <c r="AI8" i="21"/>
  <c r="H7" i="21"/>
  <c r="AO51" i="21"/>
  <c r="AO44" i="21"/>
  <c r="B38" i="21"/>
  <c r="D38" i="21"/>
  <c r="E38" i="21"/>
  <c r="H38" i="21"/>
  <c r="I38" i="21"/>
  <c r="J38" i="21"/>
  <c r="K38" i="21"/>
  <c r="L38" i="21"/>
  <c r="M38" i="21"/>
  <c r="O38" i="21"/>
  <c r="P38" i="21"/>
  <c r="S38" i="21"/>
  <c r="V38" i="21"/>
  <c r="X38" i="21"/>
  <c r="Y38" i="21"/>
  <c r="AB38" i="21"/>
  <c r="AE38" i="21"/>
  <c r="AF38" i="21"/>
  <c r="AH38" i="21"/>
  <c r="AK38" i="21"/>
  <c r="AL38" i="21"/>
  <c r="AN38" i="21"/>
  <c r="AP38" i="21"/>
  <c r="AQ38" i="21"/>
  <c r="AS38" i="21"/>
  <c r="AT38" i="21"/>
  <c r="AV38" i="21"/>
  <c r="AW38" i="21"/>
  <c r="P60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H6" i="21"/>
  <c r="H5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H52" i="21"/>
  <c r="AI52" i="21"/>
  <c r="AJ52" i="21"/>
  <c r="AK52" i="21"/>
  <c r="AL52" i="21"/>
  <c r="AM52" i="21"/>
  <c r="AN52" i="21"/>
  <c r="AO52" i="21"/>
  <c r="AP52" i="21"/>
  <c r="AQ52" i="21"/>
  <c r="AR52" i="21"/>
  <c r="AS52" i="21"/>
  <c r="AT52" i="21"/>
  <c r="AU52" i="21"/>
  <c r="AV52" i="21"/>
  <c r="AW52" i="21"/>
  <c r="H83" i="21"/>
  <c r="I83" i="21"/>
  <c r="J83" i="21"/>
  <c r="K83" i="21"/>
  <c r="M83" i="21"/>
  <c r="N83" i="21"/>
  <c r="O83" i="21"/>
  <c r="P83" i="21"/>
  <c r="Q83" i="21"/>
  <c r="R83" i="21"/>
  <c r="S83" i="21"/>
  <c r="T83" i="21"/>
  <c r="W83" i="21"/>
  <c r="X83" i="21"/>
  <c r="Y83" i="21"/>
  <c r="Z83" i="21"/>
  <c r="AA83" i="21"/>
  <c r="AB83" i="21"/>
  <c r="AC83" i="21"/>
  <c r="AD83" i="21"/>
  <c r="AE83" i="21"/>
  <c r="AF83" i="21"/>
  <c r="AH83" i="21"/>
  <c r="AI83" i="21"/>
  <c r="AJ83" i="21"/>
  <c r="AK83" i="21"/>
  <c r="AL83" i="21"/>
  <c r="AM83" i="21"/>
  <c r="AN83" i="21"/>
  <c r="AO83" i="21"/>
  <c r="AP83" i="21"/>
  <c r="AQ83" i="21"/>
  <c r="AR83" i="21"/>
  <c r="AS83" i="21"/>
  <c r="AT83" i="21"/>
  <c r="AU83" i="21"/>
  <c r="AV83" i="21"/>
  <c r="AW8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H53" i="21"/>
  <c r="AI53" i="21"/>
  <c r="AJ53" i="21"/>
  <c r="AL53" i="21"/>
  <c r="AM53" i="21"/>
  <c r="AN53" i="21"/>
  <c r="AO53" i="21"/>
  <c r="AP53" i="21"/>
  <c r="AQ53" i="21"/>
  <c r="AR53" i="21"/>
  <c r="AS53" i="21"/>
  <c r="AT53" i="21"/>
  <c r="AU53" i="21"/>
  <c r="AV53" i="21"/>
  <c r="AW53" i="21"/>
  <c r="H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H51" i="21"/>
  <c r="AI51" i="21"/>
  <c r="AJ51" i="21"/>
  <c r="AK51" i="21"/>
  <c r="AL51" i="21"/>
  <c r="AN51" i="21"/>
  <c r="AP51" i="21"/>
  <c r="AQ51" i="21"/>
  <c r="AR51" i="21"/>
  <c r="AS51" i="21"/>
  <c r="AT51" i="21"/>
  <c r="AU51" i="21"/>
  <c r="AV51" i="21"/>
  <c r="AW51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H55" i="21"/>
  <c r="AI55" i="21"/>
  <c r="AJ55" i="21"/>
  <c r="AK55" i="21"/>
  <c r="AL55" i="21"/>
  <c r="AN55" i="21"/>
  <c r="AO55" i="21"/>
  <c r="AP55" i="21"/>
  <c r="AQ55" i="21"/>
  <c r="AR55" i="21"/>
  <c r="AS55" i="21"/>
  <c r="AT55" i="21"/>
  <c r="AU55" i="21"/>
  <c r="AV55" i="21"/>
  <c r="AW55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H75" i="21"/>
  <c r="AI75" i="21"/>
  <c r="AJ75" i="21"/>
  <c r="AK75" i="21"/>
  <c r="AL75" i="21"/>
  <c r="AM75" i="21"/>
  <c r="AN75" i="21"/>
  <c r="AO75" i="21"/>
  <c r="AP75" i="21"/>
  <c r="AQ75" i="21"/>
  <c r="AR75" i="21"/>
  <c r="AS75" i="21"/>
  <c r="AT75" i="21"/>
  <c r="AU75" i="21"/>
  <c r="AV75" i="21"/>
  <c r="AW75" i="21"/>
  <c r="H60" i="21"/>
  <c r="I60" i="21"/>
  <c r="J60" i="21"/>
  <c r="K60" i="21"/>
  <c r="L60" i="21"/>
  <c r="M60" i="21"/>
  <c r="N60" i="21"/>
  <c r="O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H60" i="21"/>
  <c r="AI60" i="21"/>
  <c r="AJ60" i="21"/>
  <c r="AK60" i="21"/>
  <c r="AL60" i="21"/>
  <c r="AM60" i="21"/>
  <c r="AN60" i="21"/>
  <c r="AO60" i="21"/>
  <c r="AP60" i="21"/>
  <c r="AQ60" i="21"/>
  <c r="AR60" i="21"/>
  <c r="AS60" i="21"/>
  <c r="AT60" i="21"/>
  <c r="AU60" i="21"/>
  <c r="AV60" i="21"/>
  <c r="AW60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H57" i="21"/>
  <c r="AI57" i="21"/>
  <c r="AJ57" i="21"/>
  <c r="AK57" i="21"/>
  <c r="AL57" i="21"/>
  <c r="AM57" i="21"/>
  <c r="AN57" i="21"/>
  <c r="AO57" i="21"/>
  <c r="AP57" i="21"/>
  <c r="AQ57" i="21"/>
  <c r="AR57" i="21"/>
  <c r="AS57" i="21"/>
  <c r="AT57" i="21"/>
  <c r="AU57" i="21"/>
  <c r="AV57" i="21"/>
  <c r="AW57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H80" i="21"/>
  <c r="AI80" i="21"/>
  <c r="AJ80" i="21"/>
  <c r="AK80" i="21"/>
  <c r="AL80" i="21"/>
  <c r="AM80" i="21"/>
  <c r="AN80" i="21"/>
  <c r="AO80" i="21"/>
  <c r="AP80" i="21"/>
  <c r="AQ80" i="21"/>
  <c r="AR80" i="21"/>
  <c r="AS80" i="21"/>
  <c r="AT80" i="21"/>
  <c r="AU80" i="21"/>
  <c r="AV80" i="21"/>
  <c r="AW80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H72" i="21"/>
  <c r="AI72" i="21"/>
  <c r="AJ72" i="21"/>
  <c r="AK72" i="21"/>
  <c r="AL72" i="21"/>
  <c r="AM72" i="21"/>
  <c r="AN72" i="21"/>
  <c r="AO72" i="21"/>
  <c r="AP72" i="21"/>
  <c r="AQ72" i="21"/>
  <c r="AR72" i="21"/>
  <c r="AS72" i="21"/>
  <c r="AT72" i="21"/>
  <c r="AU72" i="21"/>
  <c r="AV72" i="21"/>
  <c r="AW72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H71" i="21"/>
  <c r="AI71" i="21"/>
  <c r="AJ71" i="21"/>
  <c r="AK71" i="21"/>
  <c r="AL71" i="21"/>
  <c r="AM71" i="21"/>
  <c r="AN71" i="21"/>
  <c r="AO71" i="21"/>
  <c r="AP71" i="21"/>
  <c r="AQ71" i="21"/>
  <c r="AR71" i="21"/>
  <c r="AS71" i="21"/>
  <c r="AT71" i="21"/>
  <c r="AU71" i="21"/>
  <c r="AV71" i="21"/>
  <c r="AW7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H81" i="21"/>
  <c r="AI81" i="21"/>
  <c r="AJ81" i="21"/>
  <c r="AK81" i="21"/>
  <c r="AL81" i="21"/>
  <c r="AN81" i="21"/>
  <c r="AO81" i="21"/>
  <c r="AP81" i="21"/>
  <c r="AQ81" i="21"/>
  <c r="AR81" i="21"/>
  <c r="AS81" i="21"/>
  <c r="AT81" i="21"/>
  <c r="AU81" i="21"/>
  <c r="AV81" i="21"/>
  <c r="AW81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H69" i="21"/>
  <c r="I69" i="21"/>
  <c r="J69" i="21"/>
  <c r="K69" i="21"/>
  <c r="L69" i="21"/>
  <c r="M69" i="21"/>
  <c r="N69" i="21"/>
  <c r="Q69" i="21"/>
  <c r="R69" i="21"/>
  <c r="S69" i="21"/>
  <c r="V69" i="21"/>
  <c r="W69" i="21"/>
  <c r="X69" i="21"/>
  <c r="Y69" i="21"/>
  <c r="Z69" i="21"/>
  <c r="AA69" i="21"/>
  <c r="AB69" i="21"/>
  <c r="AC69" i="21"/>
  <c r="AD69" i="21"/>
  <c r="AE69" i="21"/>
  <c r="AF69" i="21"/>
  <c r="AH69" i="21"/>
  <c r="AI69" i="21"/>
  <c r="AJ69" i="21"/>
  <c r="AK69" i="21"/>
  <c r="AL69" i="21"/>
  <c r="AM69" i="21"/>
  <c r="AN69" i="21"/>
  <c r="AO69" i="21"/>
  <c r="AP69" i="21"/>
  <c r="AQ69" i="21"/>
  <c r="AR69" i="21"/>
  <c r="AS69" i="21"/>
  <c r="AT69" i="21"/>
  <c r="AU69" i="21"/>
  <c r="AV69" i="21"/>
  <c r="AW69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H76" i="21"/>
  <c r="AI76" i="21"/>
  <c r="AJ76" i="21"/>
  <c r="AK76" i="21"/>
  <c r="AL76" i="21"/>
  <c r="AM76" i="21"/>
  <c r="AN76" i="21"/>
  <c r="AO76" i="21"/>
  <c r="AP76" i="21"/>
  <c r="AQ76" i="21"/>
  <c r="AR76" i="21"/>
  <c r="AS76" i="21"/>
  <c r="AT76" i="21"/>
  <c r="AU76" i="21"/>
  <c r="AV76" i="21"/>
  <c r="AW76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H74" i="21"/>
  <c r="AI74" i="21"/>
  <c r="AJ74" i="21"/>
  <c r="AK74" i="21"/>
  <c r="AL74" i="21"/>
  <c r="AN74" i="21"/>
  <c r="AO74" i="21"/>
  <c r="AP74" i="21"/>
  <c r="AQ74" i="21"/>
  <c r="AR74" i="21"/>
  <c r="AS74" i="21"/>
  <c r="AT74" i="21"/>
  <c r="AU74" i="21"/>
  <c r="AV74" i="21"/>
  <c r="AW74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H77" i="21"/>
  <c r="AI77" i="21"/>
  <c r="AJ77" i="21"/>
  <c r="AK77" i="21"/>
  <c r="AL77" i="21"/>
  <c r="AM77" i="21"/>
  <c r="AN77" i="21"/>
  <c r="AO77" i="21"/>
  <c r="AP77" i="21"/>
  <c r="AQ77" i="21"/>
  <c r="AR77" i="21"/>
  <c r="AS77" i="21"/>
  <c r="AT77" i="21"/>
  <c r="AU77" i="21"/>
  <c r="AV77" i="21"/>
  <c r="AW77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H70" i="21"/>
  <c r="AI70" i="21"/>
  <c r="AJ70" i="21"/>
  <c r="AK70" i="21"/>
  <c r="AL70" i="21"/>
  <c r="AM70" i="21"/>
  <c r="AN70" i="21"/>
  <c r="AO70" i="21"/>
  <c r="AP70" i="21"/>
  <c r="AQ70" i="21"/>
  <c r="AR70" i="21"/>
  <c r="AS70" i="21"/>
  <c r="AT70" i="21"/>
  <c r="AU70" i="21"/>
  <c r="AV70" i="21"/>
  <c r="AW70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K18" i="21"/>
  <c r="AL18" i="21"/>
  <c r="AM18" i="21"/>
  <c r="AN18" i="21"/>
  <c r="AO18" i="21"/>
  <c r="AP18" i="21"/>
  <c r="AQ18" i="21"/>
  <c r="AR18" i="21"/>
  <c r="AS18" i="21"/>
  <c r="AT18" i="21"/>
  <c r="AU18" i="21"/>
  <c r="AV18" i="21"/>
  <c r="AW18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V19" i="21"/>
  <c r="AW19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V20" i="21"/>
  <c r="AW20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K21" i="21"/>
  <c r="AL21" i="21"/>
  <c r="AM21" i="21"/>
  <c r="AN21" i="21"/>
  <c r="AO21" i="21"/>
  <c r="AP21" i="21"/>
  <c r="AQ21" i="21"/>
  <c r="AR21" i="21"/>
  <c r="AS21" i="21"/>
  <c r="AT21" i="21"/>
  <c r="AU21" i="21"/>
  <c r="AV21" i="21"/>
  <c r="AW21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AT22" i="21"/>
  <c r="AU22" i="21"/>
  <c r="AV22" i="21"/>
  <c r="AW22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K23" i="21"/>
  <c r="AL23" i="21"/>
  <c r="AM23" i="21"/>
  <c r="AN23" i="21"/>
  <c r="AO23" i="21"/>
  <c r="AP23" i="21"/>
  <c r="AQ23" i="21"/>
  <c r="AR23" i="21"/>
  <c r="AS23" i="21"/>
  <c r="AT23" i="21"/>
  <c r="AU23" i="21"/>
  <c r="AV23" i="21"/>
  <c r="AW23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K24" i="21"/>
  <c r="AL24" i="21"/>
  <c r="AM24" i="21"/>
  <c r="AN24" i="21"/>
  <c r="AO24" i="21"/>
  <c r="AP24" i="21"/>
  <c r="AQ24" i="21"/>
  <c r="AR24" i="21"/>
  <c r="AS24" i="21"/>
  <c r="AT24" i="21"/>
  <c r="AU24" i="21"/>
  <c r="AV24" i="21"/>
  <c r="AW24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K25" i="21"/>
  <c r="AL25" i="21"/>
  <c r="AM25" i="21"/>
  <c r="AN25" i="21"/>
  <c r="AO25" i="21"/>
  <c r="AP25" i="21"/>
  <c r="AQ25" i="21"/>
  <c r="AR25" i="21"/>
  <c r="AS25" i="21"/>
  <c r="AT25" i="21"/>
  <c r="AU25" i="21"/>
  <c r="AV25" i="21"/>
  <c r="AW25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K26" i="21"/>
  <c r="AL26" i="21"/>
  <c r="AM26" i="21"/>
  <c r="AN26" i="21"/>
  <c r="AO26" i="21"/>
  <c r="AP26" i="21"/>
  <c r="AQ26" i="21"/>
  <c r="AR26" i="21"/>
  <c r="AS26" i="21"/>
  <c r="AT26" i="21"/>
  <c r="AU26" i="21"/>
  <c r="AV26" i="21"/>
  <c r="AW26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K27" i="21"/>
  <c r="AL27" i="21"/>
  <c r="AM27" i="21"/>
  <c r="AN27" i="21"/>
  <c r="AO27" i="21"/>
  <c r="AP27" i="21"/>
  <c r="AQ27" i="21"/>
  <c r="AR27" i="21"/>
  <c r="AS27" i="21"/>
  <c r="AT27" i="21"/>
  <c r="AU27" i="21"/>
  <c r="AV27" i="21"/>
  <c r="AW27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K28" i="21"/>
  <c r="AL28" i="21"/>
  <c r="AM28" i="21"/>
  <c r="AN28" i="21"/>
  <c r="AO28" i="21"/>
  <c r="AP28" i="21"/>
  <c r="AQ28" i="21"/>
  <c r="AR28" i="21"/>
  <c r="AS28" i="21"/>
  <c r="AT28" i="21"/>
  <c r="AU28" i="21"/>
  <c r="AV28" i="21"/>
  <c r="AW28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K29" i="21"/>
  <c r="AL29" i="21"/>
  <c r="AM29" i="21"/>
  <c r="AN29" i="21"/>
  <c r="AO29" i="21"/>
  <c r="AP29" i="21"/>
  <c r="AQ29" i="21"/>
  <c r="AR29" i="21"/>
  <c r="AS29" i="21"/>
  <c r="AT29" i="21"/>
  <c r="AU29" i="21"/>
  <c r="AV29" i="21"/>
  <c r="AW29" i="21"/>
  <c r="B57" i="21"/>
  <c r="C57" i="21"/>
  <c r="D57" i="21"/>
  <c r="B80" i="21"/>
  <c r="C80" i="21"/>
  <c r="D80" i="21"/>
  <c r="E80" i="21" s="1"/>
  <c r="B64" i="21"/>
  <c r="C64" i="21"/>
  <c r="D64" i="21"/>
  <c r="B72" i="21"/>
  <c r="C72" i="21"/>
  <c r="D72" i="21"/>
  <c r="E72" i="21" s="1"/>
  <c r="B71" i="21"/>
  <c r="C71" i="21"/>
  <c r="D71" i="21"/>
  <c r="B81" i="21"/>
  <c r="C81" i="21"/>
  <c r="D81" i="21"/>
  <c r="E81" i="21" s="1"/>
  <c r="B63" i="21"/>
  <c r="C63" i="21"/>
  <c r="D63" i="21"/>
  <c r="B69" i="21"/>
  <c r="C69" i="21"/>
  <c r="D69" i="21"/>
  <c r="B76" i="21"/>
  <c r="C76" i="21"/>
  <c r="D76" i="21"/>
  <c r="B74" i="21"/>
  <c r="C74" i="21"/>
  <c r="D74" i="21"/>
  <c r="E74" i="21" s="1"/>
  <c r="B77" i="21"/>
  <c r="C77" i="21"/>
  <c r="D77" i="21"/>
  <c r="B70" i="21"/>
  <c r="C70" i="21"/>
  <c r="D70" i="21"/>
  <c r="E70" i="21" s="1"/>
  <c r="B48" i="21"/>
  <c r="C48" i="21"/>
  <c r="D48" i="21"/>
  <c r="B35" i="21"/>
  <c r="C35" i="21"/>
  <c r="D35" i="21"/>
  <c r="B58" i="21"/>
  <c r="C58" i="21"/>
  <c r="D58" i="21"/>
  <c r="E58" i="21" s="1"/>
  <c r="B36" i="21"/>
  <c r="C36" i="21"/>
  <c r="D36" i="21"/>
  <c r="B59" i="21"/>
  <c r="C59" i="21"/>
  <c r="D59" i="21"/>
  <c r="B37" i="21"/>
  <c r="C37" i="21"/>
  <c r="D37" i="21"/>
  <c r="E37" i="21" s="1"/>
  <c r="B56" i="21"/>
  <c r="C56" i="21"/>
  <c r="D56" i="21"/>
  <c r="B39" i="21"/>
  <c r="C39" i="21"/>
  <c r="D39" i="21"/>
  <c r="E39" i="21" s="1"/>
  <c r="B46" i="21"/>
  <c r="C46" i="21"/>
  <c r="D46" i="21"/>
  <c r="B40" i="21"/>
  <c r="C40" i="21"/>
  <c r="D40" i="21"/>
  <c r="E40" i="21" s="1"/>
  <c r="B41" i="21"/>
  <c r="C41" i="21"/>
  <c r="D41" i="21"/>
  <c r="B82" i="21"/>
  <c r="C82" i="21"/>
  <c r="D82" i="21"/>
  <c r="E82" i="21" s="1"/>
  <c r="B42" i="21"/>
  <c r="C42" i="21"/>
  <c r="D42" i="21"/>
  <c r="B54" i="21"/>
  <c r="C54" i="21"/>
  <c r="D54" i="21"/>
  <c r="E54" i="21" s="1"/>
  <c r="B78" i="21"/>
  <c r="C78" i="21"/>
  <c r="D78" i="21"/>
  <c r="B79" i="21"/>
  <c r="C79" i="21"/>
  <c r="D79" i="21"/>
  <c r="E79" i="21" s="1"/>
  <c r="B43" i="21"/>
  <c r="C43" i="21"/>
  <c r="D43" i="21"/>
  <c r="B62" i="21"/>
  <c r="C62" i="21"/>
  <c r="D62" i="21"/>
  <c r="B44" i="21"/>
  <c r="C44" i="21"/>
  <c r="D44" i="21"/>
  <c r="E44" i="21" s="1"/>
  <c r="B66" i="21"/>
  <c r="C66" i="21"/>
  <c r="D66" i="21"/>
  <c r="E66" i="21" s="1"/>
  <c r="B45" i="21"/>
  <c r="C45" i="21"/>
  <c r="D45" i="21"/>
  <c r="E45" i="21" s="1"/>
  <c r="B67" i="21"/>
  <c r="C67" i="21"/>
  <c r="D67" i="21"/>
  <c r="E67" i="21" s="1"/>
  <c r="B68" i="21"/>
  <c r="C68" i="21"/>
  <c r="D68" i="21"/>
  <c r="B47" i="21"/>
  <c r="C47" i="21"/>
  <c r="D47" i="21"/>
  <c r="B49" i="21"/>
  <c r="C49" i="21"/>
  <c r="D49" i="21"/>
  <c r="E49" i="21" s="1"/>
  <c r="B50" i="21"/>
  <c r="C50" i="21"/>
  <c r="D50" i="21"/>
  <c r="E50" i="21" s="1"/>
  <c r="B73" i="21"/>
  <c r="C73" i="21"/>
  <c r="D73" i="21"/>
  <c r="B52" i="21"/>
  <c r="C52" i="21"/>
  <c r="D52" i="21"/>
  <c r="E52" i="21" s="1"/>
  <c r="B83" i="21"/>
  <c r="C83" i="21"/>
  <c r="D83" i="21"/>
  <c r="E83" i="21" s="1"/>
  <c r="B53" i="21"/>
  <c r="C53" i="21"/>
  <c r="D53" i="21"/>
  <c r="E53" i="21" s="1"/>
  <c r="B51" i="21"/>
  <c r="C51" i="21"/>
  <c r="D51" i="21"/>
  <c r="B65" i="21"/>
  <c r="C65" i="21"/>
  <c r="D65" i="21"/>
  <c r="B55" i="21"/>
  <c r="C55" i="21"/>
  <c r="D55" i="21"/>
  <c r="B61" i="21"/>
  <c r="C61" i="21"/>
  <c r="D61" i="21"/>
  <c r="E61" i="21" s="1"/>
  <c r="B75" i="21"/>
  <c r="C75" i="21"/>
  <c r="D75" i="21"/>
  <c r="B60" i="21"/>
  <c r="C60" i="21"/>
  <c r="D60" i="21"/>
  <c r="E60" i="21" s="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V48" i="21"/>
  <c r="W48" i="21"/>
  <c r="X48" i="21"/>
  <c r="Y48" i="21"/>
  <c r="Z48" i="21"/>
  <c r="AA48" i="21"/>
  <c r="AB48" i="21"/>
  <c r="AC48" i="21"/>
  <c r="AD48" i="21"/>
  <c r="AE48" i="21"/>
  <c r="AF48" i="21"/>
  <c r="AH48" i="21"/>
  <c r="AI48" i="21"/>
  <c r="AJ48" i="21"/>
  <c r="AK48" i="21"/>
  <c r="AL48" i="21"/>
  <c r="AM48" i="21"/>
  <c r="AN48" i="21"/>
  <c r="AO48" i="21"/>
  <c r="AP48" i="21"/>
  <c r="AQ48" i="21"/>
  <c r="AR48" i="21"/>
  <c r="AS48" i="21"/>
  <c r="AT48" i="21"/>
  <c r="AU48" i="21"/>
  <c r="AV48" i="21"/>
  <c r="AW48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K35" i="21"/>
  <c r="AL35" i="21"/>
  <c r="AM35" i="21"/>
  <c r="AN35" i="21"/>
  <c r="AO35" i="21"/>
  <c r="AP35" i="21"/>
  <c r="AQ35" i="21"/>
  <c r="AR35" i="21"/>
  <c r="AS35" i="21"/>
  <c r="AT35" i="21"/>
  <c r="AU35" i="21"/>
  <c r="AV35" i="21"/>
  <c r="AW35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H58" i="21"/>
  <c r="AI58" i="21"/>
  <c r="AJ58" i="21"/>
  <c r="AK58" i="21"/>
  <c r="AL58" i="21"/>
  <c r="AM58" i="21"/>
  <c r="AN58" i="21"/>
  <c r="AP58" i="21"/>
  <c r="AQ58" i="21"/>
  <c r="AR58" i="21"/>
  <c r="AS58" i="21"/>
  <c r="AT58" i="21"/>
  <c r="AU58" i="21"/>
  <c r="AV58" i="21"/>
  <c r="AW58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H36" i="21"/>
  <c r="AI36" i="21"/>
  <c r="AK36" i="21"/>
  <c r="AL36" i="21"/>
  <c r="AM36" i="21"/>
  <c r="AN36" i="21"/>
  <c r="AO36" i="21"/>
  <c r="AP36" i="21"/>
  <c r="AQ36" i="21"/>
  <c r="AR36" i="21"/>
  <c r="AS36" i="21"/>
  <c r="AT36" i="21"/>
  <c r="AU36" i="21"/>
  <c r="AV36" i="21"/>
  <c r="AW36" i="21"/>
  <c r="H59" i="21"/>
  <c r="I59" i="21"/>
  <c r="J59" i="21"/>
  <c r="K59" i="21"/>
  <c r="L59" i="21"/>
  <c r="M59" i="21"/>
  <c r="N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H59" i="21"/>
  <c r="AI59" i="21"/>
  <c r="AJ59" i="21"/>
  <c r="AK59" i="21"/>
  <c r="AL59" i="21"/>
  <c r="AM59" i="21"/>
  <c r="AN59" i="21"/>
  <c r="AO59" i="21"/>
  <c r="AP59" i="21"/>
  <c r="AQ59" i="21"/>
  <c r="AR59" i="21"/>
  <c r="AS59" i="21"/>
  <c r="AT59" i="21"/>
  <c r="AU59" i="21"/>
  <c r="AV59" i="21"/>
  <c r="AW59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V37" i="21"/>
  <c r="W37" i="21"/>
  <c r="X37" i="21"/>
  <c r="Y37" i="21"/>
  <c r="Z37" i="21"/>
  <c r="AA37" i="21"/>
  <c r="AB37" i="21"/>
  <c r="AC37" i="21"/>
  <c r="AD37" i="21"/>
  <c r="AE37" i="21"/>
  <c r="AF37" i="21"/>
  <c r="AH37" i="21"/>
  <c r="AI37" i="21"/>
  <c r="AK37" i="21"/>
  <c r="AL37" i="21"/>
  <c r="AM37" i="21"/>
  <c r="AN37" i="21"/>
  <c r="AO37" i="21"/>
  <c r="AP37" i="21"/>
  <c r="AQ37" i="21"/>
  <c r="AR37" i="21"/>
  <c r="AS37" i="21"/>
  <c r="AT37" i="21"/>
  <c r="AU37" i="21"/>
  <c r="AV37" i="21"/>
  <c r="AW37" i="21"/>
  <c r="H56" i="21"/>
  <c r="I56" i="21"/>
  <c r="J56" i="21"/>
  <c r="K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H56" i="21"/>
  <c r="AI56" i="21"/>
  <c r="AJ56" i="21"/>
  <c r="AK56" i="21"/>
  <c r="AL56" i="21"/>
  <c r="AM56" i="21"/>
  <c r="AN56" i="21"/>
  <c r="AO56" i="21"/>
  <c r="AP56" i="21"/>
  <c r="AQ56" i="21"/>
  <c r="AR56" i="21"/>
  <c r="AS56" i="21"/>
  <c r="AT56" i="21"/>
  <c r="AU56" i="21"/>
  <c r="AV56" i="21"/>
  <c r="AW56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H39" i="21"/>
  <c r="AI39" i="21"/>
  <c r="AJ39" i="21"/>
  <c r="AK39" i="21"/>
  <c r="AL39" i="21"/>
  <c r="AM39" i="21"/>
  <c r="AN39" i="21"/>
  <c r="AO39" i="21"/>
  <c r="AP39" i="21"/>
  <c r="AQ39" i="21"/>
  <c r="AR39" i="21"/>
  <c r="AS39" i="21"/>
  <c r="AT39" i="21"/>
  <c r="AU39" i="21"/>
  <c r="AV39" i="21"/>
  <c r="AW39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H46" i="21"/>
  <c r="AI46" i="21"/>
  <c r="AJ46" i="21"/>
  <c r="AK46" i="21"/>
  <c r="AL46" i="21"/>
  <c r="AM46" i="21"/>
  <c r="AN46" i="21"/>
  <c r="AP46" i="21"/>
  <c r="AQ46" i="21"/>
  <c r="AS46" i="21"/>
  <c r="AT46" i="21"/>
  <c r="AU46" i="21"/>
  <c r="AV46" i="21"/>
  <c r="AW46" i="21"/>
  <c r="H40" i="21"/>
  <c r="I40" i="21"/>
  <c r="J40" i="21"/>
  <c r="K40" i="21"/>
  <c r="L40" i="21"/>
  <c r="M40" i="21"/>
  <c r="N40" i="21"/>
  <c r="O40" i="21"/>
  <c r="Q40" i="21"/>
  <c r="R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H40" i="21"/>
  <c r="AI40" i="21"/>
  <c r="AJ40" i="21"/>
  <c r="AK40" i="21"/>
  <c r="AL40" i="21"/>
  <c r="AM40" i="21"/>
  <c r="AN40" i="21"/>
  <c r="AO40" i="21"/>
  <c r="AP40" i="21"/>
  <c r="AQ40" i="21"/>
  <c r="AR40" i="21"/>
  <c r="AS40" i="21"/>
  <c r="AT40" i="21"/>
  <c r="AU40" i="21"/>
  <c r="AV40" i="21"/>
  <c r="AW40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H41" i="21"/>
  <c r="AI41" i="21"/>
  <c r="AJ41" i="21"/>
  <c r="AK41" i="21"/>
  <c r="AL41" i="21"/>
  <c r="AN41" i="21"/>
  <c r="AO41" i="21"/>
  <c r="AP41" i="21"/>
  <c r="AQ41" i="21"/>
  <c r="AR41" i="21"/>
  <c r="AS41" i="21"/>
  <c r="AT41" i="21"/>
  <c r="AU41" i="21"/>
  <c r="AV41" i="21"/>
  <c r="AW41" i="21"/>
  <c r="H82" i="21"/>
  <c r="I82" i="21"/>
  <c r="J82" i="21"/>
  <c r="K82" i="21"/>
  <c r="M82" i="21"/>
  <c r="N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H82" i="21"/>
  <c r="AI82" i="21"/>
  <c r="AJ82" i="21"/>
  <c r="AK82" i="21"/>
  <c r="AL82" i="21"/>
  <c r="AM82" i="21"/>
  <c r="AN82" i="21"/>
  <c r="AO82" i="21"/>
  <c r="AP82" i="21"/>
  <c r="AQ82" i="21"/>
  <c r="AR82" i="21"/>
  <c r="AS82" i="21"/>
  <c r="AT82" i="21"/>
  <c r="AU82" i="21"/>
  <c r="AV82" i="21"/>
  <c r="AW82" i="21"/>
  <c r="H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H42" i="21"/>
  <c r="AI42" i="21"/>
  <c r="AJ42" i="21"/>
  <c r="AK42" i="21"/>
  <c r="AL42" i="21"/>
  <c r="AM42" i="21"/>
  <c r="AN42" i="21"/>
  <c r="AO42" i="21"/>
  <c r="AP42" i="21"/>
  <c r="AQ42" i="21"/>
  <c r="AS42" i="21"/>
  <c r="AT42" i="21"/>
  <c r="AU42" i="21"/>
  <c r="AV42" i="21"/>
  <c r="AW42" i="21"/>
  <c r="H54" i="21"/>
  <c r="I54" i="21"/>
  <c r="J54" i="21"/>
  <c r="K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H54" i="21"/>
  <c r="AI54" i="21"/>
  <c r="AJ54" i="21"/>
  <c r="AK54" i="21"/>
  <c r="AL54" i="21"/>
  <c r="AM54" i="21"/>
  <c r="AN54" i="21"/>
  <c r="AO54" i="21"/>
  <c r="AP54" i="21"/>
  <c r="AQ54" i="21"/>
  <c r="AR54" i="21"/>
  <c r="AS54" i="21"/>
  <c r="AT54" i="21"/>
  <c r="AU54" i="21"/>
  <c r="AV54" i="21"/>
  <c r="AW54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H78" i="21"/>
  <c r="AI78" i="21"/>
  <c r="AJ78" i="21"/>
  <c r="AK78" i="21"/>
  <c r="AL78" i="21"/>
  <c r="AM78" i="21"/>
  <c r="AN78" i="21"/>
  <c r="AO78" i="21"/>
  <c r="AP78" i="21"/>
  <c r="AQ78" i="21"/>
  <c r="AR78" i="21"/>
  <c r="AS78" i="21"/>
  <c r="AT78" i="21"/>
  <c r="AU78" i="21"/>
  <c r="AV78" i="21"/>
  <c r="AW78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H79" i="21"/>
  <c r="AI79" i="21"/>
  <c r="AJ79" i="21"/>
  <c r="AK79" i="21"/>
  <c r="AL79" i="21"/>
  <c r="AM79" i="21"/>
  <c r="AN79" i="21"/>
  <c r="AP79" i="21"/>
  <c r="AQ79" i="21"/>
  <c r="AR79" i="21"/>
  <c r="AS79" i="21"/>
  <c r="AT79" i="21"/>
  <c r="AU79" i="21"/>
  <c r="AV79" i="21"/>
  <c r="AW79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H43" i="21"/>
  <c r="AI43" i="21"/>
  <c r="AJ43" i="21"/>
  <c r="AK43" i="21"/>
  <c r="AL43" i="21"/>
  <c r="AM43" i="21"/>
  <c r="AN43" i="21"/>
  <c r="AO43" i="21"/>
  <c r="AP43" i="21"/>
  <c r="AQ43" i="21"/>
  <c r="AR43" i="21"/>
  <c r="AS43" i="21"/>
  <c r="AT43" i="21"/>
  <c r="AU43" i="21"/>
  <c r="AV43" i="21"/>
  <c r="AW43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H44" i="21"/>
  <c r="I44" i="21"/>
  <c r="J44" i="21"/>
  <c r="K44" i="21"/>
  <c r="L44" i="21"/>
  <c r="M44" i="21"/>
  <c r="N44" i="21"/>
  <c r="O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H44" i="21"/>
  <c r="AI44" i="21"/>
  <c r="AJ44" i="21"/>
  <c r="AL44" i="21"/>
  <c r="AM44" i="21"/>
  <c r="AN44" i="21"/>
  <c r="AP44" i="21"/>
  <c r="AQ44" i="21"/>
  <c r="AR44" i="21"/>
  <c r="AS44" i="21"/>
  <c r="AT44" i="21"/>
  <c r="AU44" i="21"/>
  <c r="AV44" i="21"/>
  <c r="AW44" i="21"/>
  <c r="H66" i="21"/>
  <c r="I66" i="21"/>
  <c r="J66" i="21"/>
  <c r="K66" i="21"/>
  <c r="L66" i="21"/>
  <c r="M66" i="21"/>
  <c r="N66" i="21"/>
  <c r="O66" i="21"/>
  <c r="P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H45" i="21"/>
  <c r="AI45" i="21"/>
  <c r="AJ45" i="21"/>
  <c r="AK45" i="21"/>
  <c r="AL45" i="21"/>
  <c r="AM45" i="21"/>
  <c r="AN45" i="21"/>
  <c r="AO45" i="21"/>
  <c r="AP45" i="21"/>
  <c r="AQ45" i="21"/>
  <c r="AR45" i="21"/>
  <c r="AS45" i="21"/>
  <c r="AT45" i="21"/>
  <c r="AU45" i="21"/>
  <c r="AV45" i="21"/>
  <c r="AW45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H67" i="21"/>
  <c r="AI67" i="21"/>
  <c r="AJ67" i="21"/>
  <c r="AK67" i="21"/>
  <c r="AL67" i="21"/>
  <c r="AN67" i="21"/>
  <c r="AO67" i="21"/>
  <c r="AP67" i="21"/>
  <c r="AQ67" i="21"/>
  <c r="AR67" i="21"/>
  <c r="AS67" i="21"/>
  <c r="AT67" i="21"/>
  <c r="AU67" i="21"/>
  <c r="AV67" i="21"/>
  <c r="AW67" i="21"/>
  <c r="H68" i="21"/>
  <c r="I68" i="21"/>
  <c r="J68" i="21"/>
  <c r="K68" i="21"/>
  <c r="M68" i="21"/>
  <c r="N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H68" i="21"/>
  <c r="AI68" i="21"/>
  <c r="AJ68" i="21"/>
  <c r="AK68" i="21"/>
  <c r="AL68" i="21"/>
  <c r="AM68" i="21"/>
  <c r="AN68" i="21"/>
  <c r="AO68" i="21"/>
  <c r="AP68" i="21"/>
  <c r="AQ68" i="21"/>
  <c r="AR68" i="21"/>
  <c r="AS68" i="21"/>
  <c r="AT68" i="21"/>
  <c r="AU68" i="21"/>
  <c r="AV68" i="21"/>
  <c r="AW68" i="21"/>
  <c r="H47" i="21"/>
  <c r="I47" i="21"/>
  <c r="J47" i="21"/>
  <c r="K47" i="21"/>
  <c r="L47" i="21"/>
  <c r="M47" i="21"/>
  <c r="N47" i="21"/>
  <c r="O47" i="21"/>
  <c r="P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H47" i="21"/>
  <c r="AI47" i="21"/>
  <c r="AJ47" i="21"/>
  <c r="AK47" i="21"/>
  <c r="AL47" i="21"/>
  <c r="AM47" i="21"/>
  <c r="AN47" i="21"/>
  <c r="AO47" i="21"/>
  <c r="AP47" i="21"/>
  <c r="AQ47" i="21"/>
  <c r="AR47" i="21"/>
  <c r="AS47" i="21"/>
  <c r="AT47" i="21"/>
  <c r="AU47" i="21"/>
  <c r="AV47" i="21"/>
  <c r="AW47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H49" i="21"/>
  <c r="AI49" i="21"/>
  <c r="AJ49" i="21"/>
  <c r="AK49" i="21"/>
  <c r="AL49" i="21"/>
  <c r="AM49" i="21"/>
  <c r="AN49" i="21"/>
  <c r="AO49" i="21"/>
  <c r="AP49" i="21"/>
  <c r="AQ49" i="21"/>
  <c r="AR49" i="21"/>
  <c r="AS49" i="21"/>
  <c r="AT49" i="21"/>
  <c r="AU49" i="21"/>
  <c r="AV49" i="21"/>
  <c r="AW49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H50" i="21"/>
  <c r="AI50" i="21"/>
  <c r="AJ50" i="21"/>
  <c r="AK50" i="21"/>
  <c r="AL50" i="21"/>
  <c r="AM50" i="21"/>
  <c r="AN50" i="21"/>
  <c r="AO50" i="21"/>
  <c r="AP50" i="21"/>
  <c r="AQ50" i="21"/>
  <c r="AR50" i="21"/>
  <c r="AS50" i="21"/>
  <c r="AT50" i="21"/>
  <c r="AU50" i="21"/>
  <c r="AV50" i="21"/>
  <c r="AW50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H73" i="21"/>
  <c r="AI73" i="21"/>
  <c r="AJ73" i="21"/>
  <c r="AK73" i="21"/>
  <c r="AL73" i="21"/>
  <c r="AM73" i="21"/>
  <c r="AN73" i="21"/>
  <c r="AO73" i="21"/>
  <c r="AP73" i="21"/>
  <c r="AQ73" i="21"/>
  <c r="AR73" i="21"/>
  <c r="AS73" i="21"/>
  <c r="AT73" i="21"/>
  <c r="AU73" i="21"/>
  <c r="AV73" i="21"/>
  <c r="AW73" i="21"/>
  <c r="J34" i="21"/>
  <c r="K34" i="21"/>
  <c r="M34" i="21"/>
  <c r="N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K34" i="21"/>
  <c r="AL34" i="21"/>
  <c r="AM34" i="21"/>
  <c r="AN34" i="21"/>
  <c r="AP34" i="21"/>
  <c r="AQ34" i="21"/>
  <c r="AR34" i="21"/>
  <c r="AS34" i="21"/>
  <c r="AT34" i="21"/>
  <c r="AU34" i="21"/>
  <c r="AV34" i="21"/>
  <c r="AW34" i="21"/>
  <c r="H34" i="21"/>
  <c r="D34" i="21"/>
  <c r="E34" i="21" s="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D33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D32" i="21"/>
  <c r="E32" i="21" s="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D31" i="21"/>
  <c r="E31" i="21" s="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D30" i="21"/>
  <c r="E30" i="21" s="1"/>
  <c r="D29" i="21"/>
  <c r="E29" i="21" s="1"/>
  <c r="D28" i="21"/>
  <c r="E28" i="21" s="1"/>
  <c r="D27" i="21"/>
  <c r="E27" i="21" s="1"/>
  <c r="D26" i="21"/>
  <c r="E26" i="21" s="1"/>
  <c r="D25" i="21"/>
  <c r="E25" i="21" s="1"/>
  <c r="D24" i="21"/>
  <c r="E24" i="21" s="1"/>
  <c r="D23" i="21"/>
  <c r="E23" i="21" s="1"/>
  <c r="D22" i="21"/>
  <c r="E22" i="21" s="1"/>
  <c r="A71" i="21"/>
  <c r="D21" i="21"/>
  <c r="E21" i="21" s="1"/>
  <c r="A70" i="21"/>
  <c r="D20" i="21"/>
  <c r="A69" i="21"/>
  <c r="D19" i="21"/>
  <c r="E19" i="21" s="1"/>
  <c r="A68" i="21"/>
  <c r="D18" i="21"/>
  <c r="E18" i="21" s="1"/>
  <c r="A67" i="21"/>
  <c r="A66" i="21"/>
  <c r="A65" i="21"/>
  <c r="A64" i="21"/>
  <c r="A63" i="21"/>
  <c r="A62" i="21"/>
  <c r="E63" i="21"/>
  <c r="A61" i="21"/>
  <c r="A60" i="21"/>
  <c r="E71" i="21"/>
  <c r="A59" i="21"/>
  <c r="A58" i="21"/>
  <c r="A57" i="21"/>
  <c r="A56" i="21"/>
  <c r="E57" i="21"/>
  <c r="A55" i="21"/>
  <c r="A54" i="21"/>
  <c r="A53" i="21"/>
  <c r="A52" i="21"/>
  <c r="E55" i="21"/>
  <c r="A51" i="21"/>
  <c r="A50" i="21"/>
  <c r="E51" i="21"/>
  <c r="A49" i="21"/>
  <c r="A48" i="21"/>
  <c r="A47" i="21"/>
  <c r="A46" i="21"/>
  <c r="A45" i="21"/>
  <c r="A44" i="21"/>
  <c r="A43" i="21"/>
  <c r="E47" i="21"/>
  <c r="A42" i="21"/>
  <c r="A41" i="21"/>
  <c r="A40" i="21"/>
  <c r="A39" i="21"/>
  <c r="A38" i="21"/>
  <c r="A37" i="21"/>
  <c r="A36" i="21"/>
  <c r="A35" i="21"/>
  <c r="A34" i="21"/>
  <c r="A33" i="21"/>
  <c r="A32" i="21"/>
  <c r="E4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E48" i="21"/>
  <c r="A19" i="21"/>
  <c r="A18" i="21"/>
  <c r="AO9" i="21"/>
  <c r="AU8" i="21"/>
  <c r="AL8" i="21"/>
  <c r="Z8" i="21"/>
  <c r="W8" i="21"/>
  <c r="N8" i="21"/>
  <c r="K8" i="21"/>
  <c r="AS8" i="21"/>
  <c r="AO8" i="21"/>
  <c r="AL9" i="21"/>
  <c r="AK9" i="21"/>
  <c r="AH8" i="21"/>
  <c r="AG8" i="21"/>
  <c r="AE8" i="21"/>
  <c r="AD8" i="21"/>
  <c r="AC9" i="21"/>
  <c r="Z9" i="21"/>
  <c r="Y9" i="21"/>
  <c r="V8" i="21"/>
  <c r="U8" i="21"/>
  <c r="R8" i="21"/>
  <c r="Q9" i="21"/>
  <c r="P9" i="21"/>
  <c r="N9" i="21"/>
  <c r="M9" i="21"/>
  <c r="I8" i="21"/>
  <c r="H8" i="21"/>
  <c r="G7" i="21"/>
  <c r="A7" i="21"/>
  <c r="G6" i="21"/>
  <c r="A6" i="21"/>
  <c r="G5" i="21"/>
  <c r="A5" i="21"/>
  <c r="AW4" i="21"/>
  <c r="AV4" i="21"/>
  <c r="AU4" i="21"/>
  <c r="AT4" i="21"/>
  <c r="AS4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C4" i="21"/>
  <c r="B4" i="21"/>
  <c r="A4" i="21"/>
  <c r="M2" i="21"/>
  <c r="C4" i="10"/>
  <c r="C27" i="10"/>
  <c r="C28" i="10"/>
  <c r="B26" i="10"/>
  <c r="B27" i="10"/>
  <c r="J21" i="10"/>
  <c r="I21" i="10"/>
  <c r="I18" i="10"/>
  <c r="H26" i="10"/>
  <c r="I26" i="10"/>
  <c r="J26" i="10"/>
  <c r="K26" i="10"/>
  <c r="L26" i="10"/>
  <c r="M26" i="10"/>
  <c r="N26" i="10"/>
  <c r="P26" i="10"/>
  <c r="Q26" i="10"/>
  <c r="S26" i="10"/>
  <c r="T26" i="10"/>
  <c r="U26" i="10"/>
  <c r="V26" i="10"/>
  <c r="X26" i="10"/>
  <c r="Y26" i="10"/>
  <c r="Z26" i="10"/>
  <c r="AA26" i="10"/>
  <c r="AB26" i="10"/>
  <c r="AC26" i="10"/>
  <c r="AD26" i="10"/>
  <c r="AE26" i="10"/>
  <c r="AF26" i="10"/>
  <c r="AH26" i="10"/>
  <c r="AI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J18" i="10"/>
  <c r="K18" i="10"/>
  <c r="L18" i="10"/>
  <c r="M18" i="10"/>
  <c r="N18" i="10"/>
  <c r="O18" i="10"/>
  <c r="P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P18" i="10"/>
  <c r="AQ18" i="10"/>
  <c r="AR18" i="10"/>
  <c r="AS18" i="10"/>
  <c r="AT18" i="10"/>
  <c r="AU18" i="10"/>
  <c r="AV18" i="10"/>
  <c r="AW18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J20" i="10"/>
  <c r="K20" i="10"/>
  <c r="L20" i="10"/>
  <c r="M20" i="10"/>
  <c r="N20" i="10"/>
  <c r="O20" i="10"/>
  <c r="P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M20" i="10"/>
  <c r="AN20" i="10"/>
  <c r="AO20" i="10"/>
  <c r="AP20" i="10"/>
  <c r="AQ20" i="10"/>
  <c r="AR20" i="10"/>
  <c r="AS20" i="10"/>
  <c r="AT20" i="10"/>
  <c r="AU20" i="10"/>
  <c r="AV20" i="10"/>
  <c r="AW20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L23" i="10"/>
  <c r="AM23" i="10"/>
  <c r="AN23" i="10"/>
  <c r="AO23" i="10"/>
  <c r="AP23" i="10"/>
  <c r="AQ23" i="10"/>
  <c r="AR23" i="10"/>
  <c r="AS23" i="10"/>
  <c r="AT23" i="10"/>
  <c r="AU23" i="10"/>
  <c r="AV23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P25" i="10"/>
  <c r="AQ25" i="10"/>
  <c r="AR25" i="10"/>
  <c r="AS25" i="10"/>
  <c r="AT25" i="10"/>
  <c r="AU25" i="10"/>
  <c r="AV25" i="10"/>
  <c r="AW25" i="10"/>
  <c r="I20" i="10"/>
  <c r="I22" i="10"/>
  <c r="I23" i="10"/>
  <c r="I24" i="10"/>
  <c r="I25" i="10"/>
  <c r="H20" i="10"/>
  <c r="H21" i="10"/>
  <c r="H22" i="10"/>
  <c r="H23" i="10"/>
  <c r="H24" i="10"/>
  <c r="H25" i="10"/>
  <c r="B19" i="10"/>
  <c r="C19" i="10"/>
  <c r="D19" i="10"/>
  <c r="B20" i="10"/>
  <c r="C20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D26" i="10"/>
  <c r="D27" i="10"/>
  <c r="B28" i="10"/>
  <c r="D28" i="10"/>
  <c r="B29" i="10"/>
  <c r="C29" i="10"/>
  <c r="D29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34" i="10"/>
  <c r="C34" i="10"/>
  <c r="D34" i="10"/>
  <c r="B35" i="10"/>
  <c r="C35" i="10"/>
  <c r="D35" i="10"/>
  <c r="B36" i="10"/>
  <c r="C36" i="10"/>
  <c r="D36" i="10"/>
  <c r="B37" i="10"/>
  <c r="C37" i="10"/>
  <c r="D37" i="10"/>
  <c r="B38" i="10"/>
  <c r="C38" i="10"/>
  <c r="D38" i="10"/>
  <c r="B39" i="10"/>
  <c r="C39" i="10"/>
  <c r="D39" i="10"/>
  <c r="B40" i="10"/>
  <c r="C40" i="10"/>
  <c r="D40" i="10"/>
  <c r="B41" i="10"/>
  <c r="C41" i="10"/>
  <c r="D41" i="10"/>
  <c r="B42" i="10"/>
  <c r="C42" i="10"/>
  <c r="D42" i="10"/>
  <c r="B43" i="10"/>
  <c r="C43" i="10"/>
  <c r="D43" i="10"/>
  <c r="B44" i="10"/>
  <c r="C44" i="10"/>
  <c r="D44" i="10"/>
  <c r="B45" i="10"/>
  <c r="C45" i="10"/>
  <c r="D45" i="10"/>
  <c r="B46" i="10"/>
  <c r="C46" i="10"/>
  <c r="D46" i="10"/>
  <c r="B47" i="10"/>
  <c r="C47" i="10"/>
  <c r="D47" i="10"/>
  <c r="B48" i="10"/>
  <c r="C48" i="10"/>
  <c r="D48" i="10"/>
  <c r="B49" i="10"/>
  <c r="C49" i="10"/>
  <c r="D49" i="10"/>
  <c r="B50" i="10"/>
  <c r="C50" i="10"/>
  <c r="D50" i="10"/>
  <c r="B51" i="10"/>
  <c r="C51" i="10"/>
  <c r="D51" i="10"/>
  <c r="B52" i="10"/>
  <c r="C52" i="10"/>
  <c r="D52" i="10"/>
  <c r="B53" i="10"/>
  <c r="C53" i="10"/>
  <c r="D53" i="10"/>
  <c r="B54" i="10"/>
  <c r="C54" i="10"/>
  <c r="D54" i="10"/>
  <c r="B55" i="10"/>
  <c r="C55" i="10"/>
  <c r="D55" i="10"/>
  <c r="B56" i="10"/>
  <c r="C56" i="10"/>
  <c r="D56" i="10"/>
  <c r="B57" i="10"/>
  <c r="C57" i="10"/>
  <c r="D57" i="10"/>
  <c r="B58" i="10"/>
  <c r="C58" i="10"/>
  <c r="D58" i="10"/>
  <c r="B59" i="10"/>
  <c r="C59" i="10"/>
  <c r="D59" i="10"/>
  <c r="B60" i="10"/>
  <c r="C60" i="10"/>
  <c r="D60" i="10"/>
  <c r="B61" i="10"/>
  <c r="C61" i="10"/>
  <c r="D61" i="10"/>
  <c r="B62" i="10"/>
  <c r="C62" i="10"/>
  <c r="D62" i="10"/>
  <c r="B63" i="10"/>
  <c r="C63" i="10"/>
  <c r="D63" i="10"/>
  <c r="B64" i="10"/>
  <c r="C64" i="10"/>
  <c r="D64" i="10"/>
  <c r="B65" i="10"/>
  <c r="C65" i="10"/>
  <c r="D65" i="10"/>
  <c r="B66" i="10"/>
  <c r="C66" i="10"/>
  <c r="D66" i="10"/>
  <c r="B67" i="10"/>
  <c r="C67" i="10"/>
  <c r="D67" i="10"/>
  <c r="B68" i="10"/>
  <c r="C68" i="10"/>
  <c r="D68" i="10"/>
  <c r="B69" i="10"/>
  <c r="C69" i="10"/>
  <c r="D69" i="10"/>
  <c r="B70" i="10"/>
  <c r="C70" i="10"/>
  <c r="D70" i="10"/>
  <c r="B71" i="10"/>
  <c r="C71" i="10"/>
  <c r="D71" i="10"/>
  <c r="B72" i="10"/>
  <c r="C72" i="10"/>
  <c r="D72" i="10"/>
  <c r="B73" i="10"/>
  <c r="C73" i="10"/>
  <c r="D73" i="10"/>
  <c r="B74" i="10"/>
  <c r="C74" i="10"/>
  <c r="D74" i="10"/>
  <c r="B75" i="10"/>
  <c r="C75" i="10"/>
  <c r="D75" i="10"/>
  <c r="B76" i="10"/>
  <c r="C76" i="10"/>
  <c r="D76" i="10"/>
  <c r="B77" i="10"/>
  <c r="C77" i="10"/>
  <c r="D77" i="10"/>
  <c r="B78" i="10"/>
  <c r="C78" i="10"/>
  <c r="D78" i="10"/>
  <c r="B79" i="10"/>
  <c r="C79" i="10"/>
  <c r="D79" i="10"/>
  <c r="B80" i="10"/>
  <c r="C80" i="10"/>
  <c r="D80" i="10"/>
  <c r="B81" i="10"/>
  <c r="C81" i="10"/>
  <c r="D81" i="10"/>
  <c r="B82" i="10"/>
  <c r="C82" i="10"/>
  <c r="D82" i="10"/>
  <c r="D18" i="10"/>
  <c r="C18" i="10"/>
  <c r="B18" i="10"/>
  <c r="B5" i="21" l="1"/>
  <c r="B6" i="21"/>
  <c r="F38" i="21"/>
  <c r="G38" i="21" s="1"/>
  <c r="O8" i="21"/>
  <c r="AM9" i="21"/>
  <c r="AA9" i="21"/>
  <c r="F29" i="21"/>
  <c r="G29" i="21" s="1"/>
  <c r="F23" i="21"/>
  <c r="G23" i="21" s="1"/>
  <c r="F19" i="21"/>
  <c r="G19" i="21" s="1"/>
  <c r="F52" i="21"/>
  <c r="G52" i="21" s="1"/>
  <c r="F62" i="21"/>
  <c r="G62" i="21" s="1"/>
  <c r="F74" i="21"/>
  <c r="G74" i="21" s="1"/>
  <c r="F57" i="21"/>
  <c r="G57" i="21" s="1"/>
  <c r="F51" i="21"/>
  <c r="G51" i="21" s="1"/>
  <c r="AS11" i="21"/>
  <c r="AS12" i="21" s="1"/>
  <c r="AS13" i="21" s="1"/>
  <c r="F31" i="21"/>
  <c r="G31" i="21" s="1"/>
  <c r="F28" i="21"/>
  <c r="G28" i="21" s="1"/>
  <c r="F27" i="21"/>
  <c r="G27" i="21" s="1"/>
  <c r="F26" i="21"/>
  <c r="G26" i="21" s="1"/>
  <c r="F24" i="21"/>
  <c r="G24" i="21" s="1"/>
  <c r="F22" i="21"/>
  <c r="G22" i="21" s="1"/>
  <c r="F21" i="21"/>
  <c r="G21" i="21" s="1"/>
  <c r="F20" i="21"/>
  <c r="G20" i="21" s="1"/>
  <c r="F18" i="21"/>
  <c r="G18" i="21" s="1"/>
  <c r="F77" i="21"/>
  <c r="G77" i="21" s="1"/>
  <c r="F76" i="21"/>
  <c r="G76" i="21" s="1"/>
  <c r="F69" i="21"/>
  <c r="G69" i="21" s="1"/>
  <c r="F63" i="21"/>
  <c r="G63" i="21" s="1"/>
  <c r="F81" i="21"/>
  <c r="G81" i="21" s="1"/>
  <c r="F71" i="21"/>
  <c r="G71" i="21" s="1"/>
  <c r="F72" i="21"/>
  <c r="G72" i="21" s="1"/>
  <c r="F64" i="21"/>
  <c r="G64" i="21" s="1"/>
  <c r="F80" i="21"/>
  <c r="G80" i="21" s="1"/>
  <c r="F60" i="21"/>
  <c r="G60" i="21" s="1"/>
  <c r="F75" i="21"/>
  <c r="G75" i="21" s="1"/>
  <c r="F61" i="21"/>
  <c r="G61" i="21" s="1"/>
  <c r="F55" i="21"/>
  <c r="G55" i="21" s="1"/>
  <c r="F65" i="21"/>
  <c r="G65" i="21" s="1"/>
  <c r="F53" i="21"/>
  <c r="G53" i="21" s="1"/>
  <c r="U11" i="21"/>
  <c r="U12" i="21" s="1"/>
  <c r="U14" i="21" s="1"/>
  <c r="F83" i="21"/>
  <c r="G83" i="21" s="1"/>
  <c r="F73" i="21"/>
  <c r="G73" i="21" s="1"/>
  <c r="F49" i="21"/>
  <c r="G49" i="21" s="1"/>
  <c r="F33" i="21"/>
  <c r="G33" i="21" s="1"/>
  <c r="F78" i="21"/>
  <c r="G78" i="21" s="1"/>
  <c r="F54" i="21"/>
  <c r="G54" i="21" s="1"/>
  <c r="F42" i="21"/>
  <c r="G42" i="21" s="1"/>
  <c r="F82" i="21"/>
  <c r="G82" i="21" s="1"/>
  <c r="F41" i="21"/>
  <c r="G41" i="21" s="1"/>
  <c r="F40" i="21"/>
  <c r="G40" i="21" s="1"/>
  <c r="F46" i="21"/>
  <c r="G46" i="21" s="1"/>
  <c r="F39" i="21"/>
  <c r="G39" i="21" s="1"/>
  <c r="F56" i="21"/>
  <c r="G56" i="21" s="1"/>
  <c r="F37" i="21"/>
  <c r="G37" i="21" s="1"/>
  <c r="F59" i="21"/>
  <c r="G59" i="21" s="1"/>
  <c r="F36" i="21"/>
  <c r="G36" i="21" s="1"/>
  <c r="F58" i="21"/>
  <c r="G58" i="21" s="1"/>
  <c r="F35" i="21"/>
  <c r="G35" i="21" s="1"/>
  <c r="F48" i="21"/>
  <c r="G48" i="21" s="1"/>
  <c r="F30" i="21"/>
  <c r="G30" i="21" s="1"/>
  <c r="F32" i="21"/>
  <c r="G32" i="21" s="1"/>
  <c r="F50" i="21"/>
  <c r="G50" i="21" s="1"/>
  <c r="F47" i="21"/>
  <c r="G47" i="21" s="1"/>
  <c r="F68" i="21"/>
  <c r="G68" i="21" s="1"/>
  <c r="F67" i="21"/>
  <c r="G67" i="21" s="1"/>
  <c r="F45" i="21"/>
  <c r="G45" i="21" s="1"/>
  <c r="F66" i="21"/>
  <c r="G66" i="21" s="1"/>
  <c r="F44" i="21"/>
  <c r="G44" i="21" s="1"/>
  <c r="F43" i="21"/>
  <c r="G43" i="21" s="1"/>
  <c r="F79" i="21"/>
  <c r="G79" i="21" s="1"/>
  <c r="F25" i="21"/>
  <c r="G25" i="21" s="1"/>
  <c r="F70" i="21"/>
  <c r="G70" i="21" s="1"/>
  <c r="AG11" i="21"/>
  <c r="AG12" i="21" s="1"/>
  <c r="AG13" i="21" s="1"/>
  <c r="F34" i="21"/>
  <c r="G34" i="21" s="1"/>
  <c r="I11" i="21"/>
  <c r="I12" i="21" s="1"/>
  <c r="I13" i="21" s="1"/>
  <c r="AR11" i="21"/>
  <c r="AR12" i="21" s="1"/>
  <c r="L8" i="21"/>
  <c r="X8" i="21"/>
  <c r="AJ8" i="21"/>
  <c r="AV8" i="21"/>
  <c r="R9" i="21"/>
  <c r="AD9" i="21"/>
  <c r="AP9" i="21"/>
  <c r="J11" i="21"/>
  <c r="J12" i="21" s="1"/>
  <c r="V11" i="21"/>
  <c r="V12" i="21" s="1"/>
  <c r="AH11" i="21"/>
  <c r="AH12" i="21" s="1"/>
  <c r="AT11" i="21"/>
  <c r="AT12" i="21" s="1"/>
  <c r="E35" i="21"/>
  <c r="E36" i="21"/>
  <c r="E59" i="21"/>
  <c r="E56" i="21"/>
  <c r="E78" i="21"/>
  <c r="E73" i="21"/>
  <c r="E64" i="21"/>
  <c r="E20" i="21"/>
  <c r="M8" i="21"/>
  <c r="Y8" i="21"/>
  <c r="AK8" i="21"/>
  <c r="AW8" i="21"/>
  <c r="S9" i="21"/>
  <c r="AE9" i="21"/>
  <c r="AQ9" i="21"/>
  <c r="K11" i="21"/>
  <c r="K12" i="21" s="1"/>
  <c r="W11" i="21"/>
  <c r="W12" i="21" s="1"/>
  <c r="AI11" i="21"/>
  <c r="AI12" i="21" s="1"/>
  <c r="AU11" i="21"/>
  <c r="AU12" i="21" s="1"/>
  <c r="H9" i="21"/>
  <c r="T9" i="21"/>
  <c r="AF9" i="21"/>
  <c r="AR9" i="21"/>
  <c r="L11" i="21"/>
  <c r="L12" i="21" s="1"/>
  <c r="X11" i="21"/>
  <c r="X12" i="21" s="1"/>
  <c r="AJ11" i="21"/>
  <c r="AJ12" i="21" s="1"/>
  <c r="AV11" i="21"/>
  <c r="AV12" i="21" s="1"/>
  <c r="E43" i="21"/>
  <c r="E33" i="21"/>
  <c r="I9" i="21"/>
  <c r="U9" i="21"/>
  <c r="AG9" i="21"/>
  <c r="AS9" i="21"/>
  <c r="M11" i="21"/>
  <c r="M12" i="21" s="1"/>
  <c r="Y11" i="21"/>
  <c r="Y12" i="21" s="1"/>
  <c r="AK11" i="21"/>
  <c r="AK12" i="21" s="1"/>
  <c r="AW11" i="21"/>
  <c r="AW12" i="21" s="1"/>
  <c r="E62" i="21"/>
  <c r="P8" i="21"/>
  <c r="AB8" i="21"/>
  <c r="AN8" i="21"/>
  <c r="J9" i="21"/>
  <c r="V9" i="21"/>
  <c r="AH9" i="21"/>
  <c r="AT9" i="21"/>
  <c r="N11" i="21"/>
  <c r="N12" i="21" s="1"/>
  <c r="Z11" i="21"/>
  <c r="Z12" i="21" s="1"/>
  <c r="AL11" i="21"/>
  <c r="AL12" i="21" s="1"/>
  <c r="Q8" i="21"/>
  <c r="AC8" i="21"/>
  <c r="K9" i="21"/>
  <c r="W9" i="21"/>
  <c r="AI9" i="21"/>
  <c r="AU9" i="21"/>
  <c r="O11" i="21"/>
  <c r="O12" i="21" s="1"/>
  <c r="AA11" i="21"/>
  <c r="AA12" i="21" s="1"/>
  <c r="AM11" i="21"/>
  <c r="AM12" i="21" s="1"/>
  <c r="E65" i="21"/>
  <c r="E69" i="21"/>
  <c r="L9" i="21"/>
  <c r="X9" i="21"/>
  <c r="AJ9" i="21"/>
  <c r="AV9" i="21"/>
  <c r="P11" i="21"/>
  <c r="P12" i="21" s="1"/>
  <c r="AB11" i="21"/>
  <c r="AB12" i="21" s="1"/>
  <c r="AN11" i="21"/>
  <c r="AN12" i="21" s="1"/>
  <c r="E46" i="21"/>
  <c r="E76" i="21"/>
  <c r="Q11" i="21"/>
  <c r="Q12" i="21" s="1"/>
  <c r="AC11" i="21"/>
  <c r="AC12" i="21" s="1"/>
  <c r="AO11" i="21"/>
  <c r="AO12" i="21" s="1"/>
  <c r="R11" i="21"/>
  <c r="R12" i="21" s="1"/>
  <c r="AD11" i="21"/>
  <c r="AD12" i="21" s="1"/>
  <c r="AP11" i="21"/>
  <c r="AP12" i="21" s="1"/>
  <c r="E41" i="21"/>
  <c r="E68" i="21"/>
  <c r="E75" i="21"/>
  <c r="E77" i="21"/>
  <c r="S11" i="21"/>
  <c r="S12" i="21" s="1"/>
  <c r="AE11" i="21"/>
  <c r="AE12" i="21" s="1"/>
  <c r="AQ11" i="21"/>
  <c r="AQ12" i="21" s="1"/>
  <c r="H11" i="21"/>
  <c r="H12" i="21" s="1"/>
  <c r="T11" i="21"/>
  <c r="T12" i="21" s="1"/>
  <c r="AF11" i="21"/>
  <c r="AF12" i="21" s="1"/>
  <c r="E26" i="10"/>
  <c r="E27" i="10"/>
  <c r="D7" i="21" l="1"/>
  <c r="AS14" i="21"/>
  <c r="U13" i="21"/>
  <c r="AG14" i="21"/>
  <c r="I14" i="21"/>
  <c r="AU14" i="21"/>
  <c r="AU13" i="21"/>
  <c r="AN13" i="21"/>
  <c r="AN14" i="21"/>
  <c r="K14" i="21"/>
  <c r="K13" i="21"/>
  <c r="H14" i="21"/>
  <c r="H13" i="21"/>
  <c r="AI14" i="21"/>
  <c r="AI13" i="21"/>
  <c r="T14" i="21"/>
  <c r="T13" i="21"/>
  <c r="Q13" i="21"/>
  <c r="Q14" i="21"/>
  <c r="AB13" i="21"/>
  <c r="AB14" i="21"/>
  <c r="P13" i="21"/>
  <c r="P14" i="21"/>
  <c r="AP13" i="21"/>
  <c r="AP14" i="21"/>
  <c r="AD13" i="21"/>
  <c r="AD14" i="21"/>
  <c r="AT14" i="21"/>
  <c r="AT13" i="21"/>
  <c r="W14" i="21"/>
  <c r="W13" i="21"/>
  <c r="AF14" i="21"/>
  <c r="AF13" i="21"/>
  <c r="AV14" i="21"/>
  <c r="AV13" i="21"/>
  <c r="R13" i="21"/>
  <c r="R14" i="21"/>
  <c r="X14" i="21"/>
  <c r="X13" i="21"/>
  <c r="AO13" i="21"/>
  <c r="AO14" i="21"/>
  <c r="AC13" i="21"/>
  <c r="AC14" i="21"/>
  <c r="AQ14" i="21"/>
  <c r="AQ13" i="21"/>
  <c r="Y13" i="21"/>
  <c r="Y14" i="21"/>
  <c r="S14" i="21"/>
  <c r="S13" i="21"/>
  <c r="E7" i="21"/>
  <c r="AK14" i="21"/>
  <c r="AK13" i="21"/>
  <c r="AJ14" i="21"/>
  <c r="AJ13" i="21"/>
  <c r="M14" i="21"/>
  <c r="M13" i="21"/>
  <c r="L14" i="21"/>
  <c r="L13" i="21"/>
  <c r="AR14" i="21"/>
  <c r="AR13" i="21"/>
  <c r="AH14" i="21"/>
  <c r="AH13" i="21"/>
  <c r="AM13" i="21"/>
  <c r="AM14" i="21"/>
  <c r="AL13" i="21"/>
  <c r="AL14" i="21"/>
  <c r="AE13" i="21"/>
  <c r="AE14" i="21"/>
  <c r="V14" i="21"/>
  <c r="V13" i="21"/>
  <c r="AA13" i="21"/>
  <c r="AA14" i="21"/>
  <c r="Z13" i="21"/>
  <c r="Z14" i="21"/>
  <c r="J14" i="21"/>
  <c r="J13" i="21"/>
  <c r="O13" i="21"/>
  <c r="O14" i="21"/>
  <c r="N13" i="21"/>
  <c r="N14" i="21"/>
  <c r="AW14" i="21"/>
  <c r="AW13" i="21"/>
  <c r="E25" i="10"/>
  <c r="B6" i="10"/>
  <c r="B7" i="10"/>
  <c r="B5" i="10"/>
  <c r="A22" i="10"/>
  <c r="A23" i="10"/>
  <c r="A24" i="10"/>
  <c r="A25" i="10"/>
  <c r="A26" i="10"/>
  <c r="A18" i="10"/>
  <c r="H18" i="10"/>
  <c r="D12" i="21" l="1"/>
  <c r="D11" i="21" s="1"/>
  <c r="E12" i="21"/>
  <c r="E11" i="21" s="1"/>
  <c r="F25" i="10"/>
  <c r="G25" i="10" s="1"/>
  <c r="E28" i="10"/>
  <c r="E29" i="10"/>
  <c r="E36" i="10"/>
  <c r="E39" i="10"/>
  <c r="E40" i="10"/>
  <c r="E41" i="10"/>
  <c r="E48" i="10"/>
  <c r="E49" i="10"/>
  <c r="E52" i="10"/>
  <c r="E53" i="10"/>
  <c r="E57" i="10"/>
  <c r="E60" i="10"/>
  <c r="E63" i="10"/>
  <c r="E64" i="10"/>
  <c r="E65" i="10"/>
  <c r="E72" i="10"/>
  <c r="E75" i="10"/>
  <c r="E76" i="10"/>
  <c r="E77" i="10"/>
  <c r="E19" i="10"/>
  <c r="E21" i="10"/>
  <c r="E31" i="10"/>
  <c r="E33" i="10"/>
  <c r="E38" i="10"/>
  <c r="E43" i="10"/>
  <c r="E45" i="10"/>
  <c r="E50" i="10"/>
  <c r="E51" i="10"/>
  <c r="E62" i="10"/>
  <c r="E67" i="10"/>
  <c r="E69" i="10"/>
  <c r="E74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7" i="10"/>
  <c r="H6" i="10"/>
  <c r="H5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E73" i="10"/>
  <c r="E78" i="10"/>
  <c r="E79" i="10"/>
  <c r="E80" i="10"/>
  <c r="E82" i="10"/>
  <c r="E68" i="10"/>
  <c r="E70" i="10"/>
  <c r="E71" i="10"/>
  <c r="E20" i="10"/>
  <c r="E22" i="10"/>
  <c r="E23" i="10"/>
  <c r="E24" i="10"/>
  <c r="E30" i="10"/>
  <c r="E32" i="10"/>
  <c r="E34" i="10"/>
  <c r="E35" i="10"/>
  <c r="E37" i="10"/>
  <c r="E42" i="10"/>
  <c r="E44" i="10"/>
  <c r="E46" i="10"/>
  <c r="E47" i="10"/>
  <c r="E54" i="10"/>
  <c r="E55" i="10"/>
  <c r="E56" i="10"/>
  <c r="E58" i="10"/>
  <c r="E59" i="10"/>
  <c r="E61" i="10"/>
  <c r="E66" i="10"/>
  <c r="H14" i="11"/>
  <c r="A20" i="10"/>
  <c r="A21" i="10"/>
  <c r="A7" i="10"/>
  <c r="R8" i="10" l="1"/>
  <c r="R9" i="10"/>
  <c r="AP8" i="10"/>
  <c r="AP9" i="10"/>
  <c r="AE8" i="10"/>
  <c r="AE9" i="10"/>
  <c r="AQ8" i="10"/>
  <c r="AQ9" i="10"/>
  <c r="T9" i="10"/>
  <c r="T8" i="10"/>
  <c r="U9" i="10"/>
  <c r="U8" i="10"/>
  <c r="K9" i="10"/>
  <c r="K8" i="10"/>
  <c r="AI9" i="10"/>
  <c r="AI8" i="10"/>
  <c r="L9" i="10"/>
  <c r="L8" i="10"/>
  <c r="X9" i="10"/>
  <c r="X8" i="10"/>
  <c r="AJ9" i="10"/>
  <c r="AJ8" i="10"/>
  <c r="AV9" i="10"/>
  <c r="AV8" i="10"/>
  <c r="AD8" i="10"/>
  <c r="AD9" i="10"/>
  <c r="S8" i="10"/>
  <c r="S9" i="10"/>
  <c r="AF9" i="10"/>
  <c r="AF8" i="10"/>
  <c r="AR9" i="10"/>
  <c r="AR8" i="10"/>
  <c r="I9" i="10"/>
  <c r="I8" i="10"/>
  <c r="AG9" i="10"/>
  <c r="AG8" i="10"/>
  <c r="AS9" i="10"/>
  <c r="AS8" i="10"/>
  <c r="H8" i="10"/>
  <c r="H9" i="10"/>
  <c r="J9" i="10"/>
  <c r="J8" i="10"/>
  <c r="V9" i="10"/>
  <c r="V8" i="10"/>
  <c r="AH9" i="10"/>
  <c r="AH8" i="10"/>
  <c r="AT9" i="10"/>
  <c r="AT8" i="10"/>
  <c r="W9" i="10"/>
  <c r="W8" i="10"/>
  <c r="AU9" i="10"/>
  <c r="AU8" i="10"/>
  <c r="M8" i="10"/>
  <c r="M9" i="10"/>
  <c r="Y8" i="10"/>
  <c r="Y9" i="10"/>
  <c r="AK8" i="10"/>
  <c r="AK9" i="10"/>
  <c r="AW8" i="10"/>
  <c r="AW9" i="10"/>
  <c r="N8" i="10"/>
  <c r="N9" i="10"/>
  <c r="Z8" i="10"/>
  <c r="Z9" i="10"/>
  <c r="AL8" i="10"/>
  <c r="AL9" i="10"/>
  <c r="O8" i="10"/>
  <c r="O9" i="10"/>
  <c r="AA8" i="10"/>
  <c r="AA9" i="10"/>
  <c r="AM8" i="10"/>
  <c r="AM9" i="10"/>
  <c r="P8" i="10"/>
  <c r="P9" i="10"/>
  <c r="AB8" i="10"/>
  <c r="AB9" i="10"/>
  <c r="AN8" i="10"/>
  <c r="AN9" i="10"/>
  <c r="Q8" i="10"/>
  <c r="Q9" i="10"/>
  <c r="AC8" i="10"/>
  <c r="AC9" i="10"/>
  <c r="AO8" i="10"/>
  <c r="AO9" i="10"/>
  <c r="F26" i="10"/>
  <c r="G26" i="10" s="1"/>
  <c r="F32" i="10"/>
  <c r="G32" i="10" s="1"/>
  <c r="F80" i="10"/>
  <c r="G80" i="10" s="1"/>
  <c r="F68" i="10"/>
  <c r="G68" i="10" s="1"/>
  <c r="F56" i="10"/>
  <c r="G56" i="10" s="1"/>
  <c r="F55" i="10"/>
  <c r="G55" i="10" s="1"/>
  <c r="F44" i="10"/>
  <c r="G44" i="10" s="1"/>
  <c r="F43" i="10"/>
  <c r="G43" i="10" s="1"/>
  <c r="F31" i="10"/>
  <c r="G31" i="10" s="1"/>
  <c r="F78" i="10"/>
  <c r="G78" i="10" s="1"/>
  <c r="F71" i="10"/>
  <c r="G71" i="10" s="1"/>
  <c r="F82" i="10"/>
  <c r="G82" i="10" s="1"/>
  <c r="F75" i="10"/>
  <c r="G75" i="10" s="1"/>
  <c r="F73" i="10"/>
  <c r="G73" i="10" s="1"/>
  <c r="F79" i="10"/>
  <c r="G79" i="10" s="1"/>
  <c r="F77" i="10"/>
  <c r="G77" i="10" s="1"/>
  <c r="F67" i="10"/>
  <c r="G67" i="10" s="1"/>
  <c r="F65" i="10"/>
  <c r="G65" i="10" s="1"/>
  <c r="F53" i="10"/>
  <c r="G53" i="10" s="1"/>
  <c r="F41" i="10"/>
  <c r="G41" i="10" s="1"/>
  <c r="F29" i="10"/>
  <c r="G29" i="10" s="1"/>
  <c r="F76" i="10"/>
  <c r="G76" i="10" s="1"/>
  <c r="F74" i="10"/>
  <c r="G74" i="10" s="1"/>
  <c r="F72" i="10"/>
  <c r="G72" i="10" s="1"/>
  <c r="F70" i="10"/>
  <c r="G70" i="10" s="1"/>
  <c r="F69" i="10"/>
  <c r="G69" i="10" s="1"/>
  <c r="F66" i="10"/>
  <c r="G66" i="10" s="1"/>
  <c r="F64" i="10"/>
  <c r="G64" i="10" s="1"/>
  <c r="F63" i="10"/>
  <c r="G63" i="10" s="1"/>
  <c r="F62" i="10"/>
  <c r="G62" i="10" s="1"/>
  <c r="F61" i="10"/>
  <c r="G61" i="10" s="1"/>
  <c r="F60" i="10"/>
  <c r="G60" i="10" s="1"/>
  <c r="F59" i="10"/>
  <c r="G59" i="10" s="1"/>
  <c r="F58" i="10"/>
  <c r="G58" i="10" s="1"/>
  <c r="F57" i="10"/>
  <c r="G57" i="10" s="1"/>
  <c r="F54" i="10"/>
  <c r="G54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2" i="10"/>
  <c r="G42" i="10" s="1"/>
  <c r="F40" i="10"/>
  <c r="G40" i="10" s="1"/>
  <c r="F39" i="10"/>
  <c r="G39" i="10" s="1"/>
  <c r="F38" i="10"/>
  <c r="G38" i="10" s="1"/>
  <c r="F37" i="10"/>
  <c r="G37" i="10" s="1"/>
  <c r="F36" i="10"/>
  <c r="G36" i="10" s="1"/>
  <c r="F35" i="10"/>
  <c r="G35" i="10" s="1"/>
  <c r="F34" i="10"/>
  <c r="G34" i="10" s="1"/>
  <c r="F33" i="10"/>
  <c r="G33" i="10" s="1"/>
  <c r="F30" i="10"/>
  <c r="G30" i="10" s="1"/>
  <c r="F28" i="10"/>
  <c r="G28" i="10" s="1"/>
  <c r="F27" i="10"/>
  <c r="G27" i="10" s="1"/>
  <c r="F81" i="10"/>
  <c r="G81" i="10" s="1"/>
  <c r="F24" i="10"/>
  <c r="G24" i="10" s="1"/>
  <c r="F23" i="10"/>
  <c r="G23" i="10" s="1"/>
  <c r="F22" i="10"/>
  <c r="G22" i="10" s="1"/>
  <c r="F21" i="10"/>
  <c r="G21" i="10" s="1"/>
  <c r="F19" i="10"/>
  <c r="G19" i="10" s="1"/>
  <c r="F18" i="10"/>
  <c r="F20" i="10"/>
  <c r="G20" i="10" s="1"/>
  <c r="E81" i="10"/>
  <c r="E18" i="10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I64" i="15" s="1"/>
  <c r="H21" i="15"/>
  <c r="G21" i="15"/>
  <c r="F21" i="15"/>
  <c r="E21" i="15"/>
  <c r="D21" i="15"/>
  <c r="C21" i="15"/>
  <c r="B21" i="15"/>
  <c r="A21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W8" i="15"/>
  <c r="Q8" i="15"/>
  <c r="O8" i="15"/>
  <c r="L8" i="15"/>
  <c r="K8" i="15"/>
  <c r="E8" i="15"/>
  <c r="AS7" i="15"/>
  <c r="AP7" i="15"/>
  <c r="AO7" i="15"/>
  <c r="AI7" i="15"/>
  <c r="K6" i="15"/>
  <c r="E6" i="15"/>
  <c r="C6" i="15"/>
  <c r="B6" i="15"/>
  <c r="A6" i="15"/>
  <c r="AS5" i="15"/>
  <c r="AR5" i="15"/>
  <c r="AL5" i="15"/>
  <c r="AJ5" i="15"/>
  <c r="AG5" i="15"/>
  <c r="C5" i="15"/>
  <c r="B5" i="15"/>
  <c r="A5" i="15"/>
  <c r="R4" i="15"/>
  <c r="Q4" i="15"/>
  <c r="K4" i="15"/>
  <c r="I4" i="15"/>
  <c r="F4" i="15"/>
  <c r="E4" i="15"/>
  <c r="C4" i="15"/>
  <c r="B4" i="15"/>
  <c r="A4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F1" i="15"/>
  <c r="AN9" i="15" s="1"/>
  <c r="M2" i="10"/>
  <c r="A19" i="10"/>
  <c r="A6" i="10"/>
  <c r="A5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B4" i="10"/>
  <c r="C1" i="8"/>
  <c r="AC4" i="15" l="1"/>
  <c r="AI8" i="15"/>
  <c r="AD4" i="15"/>
  <c r="X6" i="15"/>
  <c r="AJ8" i="15"/>
  <c r="W6" i="15"/>
  <c r="AG4" i="15"/>
  <c r="AA6" i="15"/>
  <c r="AM8" i="15"/>
  <c r="L6" i="15"/>
  <c r="O6" i="15"/>
  <c r="AI4" i="15"/>
  <c r="AC6" i="15"/>
  <c r="AO8" i="15"/>
  <c r="W4" i="15"/>
  <c r="AO4" i="15"/>
  <c r="AI6" i="15"/>
  <c r="E9" i="15"/>
  <c r="X8" i="15"/>
  <c r="U4" i="15"/>
  <c r="AP4" i="15"/>
  <c r="AJ6" i="15"/>
  <c r="F9" i="15"/>
  <c r="AS4" i="15"/>
  <c r="AM6" i="15"/>
  <c r="I9" i="15"/>
  <c r="AA8" i="15"/>
  <c r="E7" i="15"/>
  <c r="Q9" i="15"/>
  <c r="AC8" i="15"/>
  <c r="F7" i="15"/>
  <c r="R9" i="15"/>
  <c r="AO6" i="15"/>
  <c r="H5" i="15"/>
  <c r="I7" i="15"/>
  <c r="U9" i="15"/>
  <c r="I5" i="15"/>
  <c r="K7" i="15"/>
  <c r="W9" i="15"/>
  <c r="L5" i="15"/>
  <c r="Q7" i="15"/>
  <c r="AC9" i="15"/>
  <c r="K9" i="15"/>
  <c r="N5" i="15"/>
  <c r="R7" i="15"/>
  <c r="AD9" i="15"/>
  <c r="Q6" i="15"/>
  <c r="AG9" i="15"/>
  <c r="T5" i="15"/>
  <c r="W7" i="15"/>
  <c r="AI9" i="15"/>
  <c r="X5" i="15"/>
  <c r="AO9" i="15"/>
  <c r="Z5" i="15"/>
  <c r="AD7" i="15"/>
  <c r="AP9" i="15"/>
  <c r="U7" i="15"/>
  <c r="U5" i="15"/>
  <c r="AC7" i="15"/>
  <c r="AF5" i="15"/>
  <c r="AG7" i="15"/>
  <c r="AS9" i="15"/>
  <c r="E7" i="10"/>
  <c r="D7" i="10"/>
  <c r="H11" i="10"/>
  <c r="AF11" i="10"/>
  <c r="AF12" i="10" s="1"/>
  <c r="I11" i="10"/>
  <c r="I12" i="10" s="1"/>
  <c r="R11" i="10"/>
  <c r="R12" i="10" s="1"/>
  <c r="Z11" i="10"/>
  <c r="Z12" i="10" s="1"/>
  <c r="T11" i="10"/>
  <c r="T12" i="10" s="1"/>
  <c r="AP11" i="10"/>
  <c r="AP12" i="10" s="1"/>
  <c r="O11" i="10"/>
  <c r="O12" i="10" s="1"/>
  <c r="AV11" i="10"/>
  <c r="AV12" i="10" s="1"/>
  <c r="AD11" i="10"/>
  <c r="AD12" i="10" s="1"/>
  <c r="AJ11" i="10"/>
  <c r="AJ12" i="10" s="1"/>
  <c r="X11" i="10"/>
  <c r="X12" i="10" s="1"/>
  <c r="L11" i="10"/>
  <c r="L12" i="10" s="1"/>
  <c r="AR11" i="10"/>
  <c r="AR12" i="10" s="1"/>
  <c r="AU11" i="10"/>
  <c r="AU12" i="10" s="1"/>
  <c r="AL11" i="10"/>
  <c r="AL12" i="10" s="1"/>
  <c r="Q11" i="10"/>
  <c r="Q12" i="10" s="1"/>
  <c r="AE11" i="10"/>
  <c r="AE12" i="10" s="1"/>
  <c r="V11" i="10"/>
  <c r="V12" i="10" s="1"/>
  <c r="AS11" i="10"/>
  <c r="AS12" i="10" s="1"/>
  <c r="AC11" i="10"/>
  <c r="AC12" i="10" s="1"/>
  <c r="N11" i="10"/>
  <c r="N12" i="10" s="1"/>
  <c r="W11" i="10"/>
  <c r="W12" i="10" s="1"/>
  <c r="AG11" i="10"/>
  <c r="AG12" i="10" s="1"/>
  <c r="U11" i="10"/>
  <c r="U12" i="10" s="1"/>
  <c r="AQ11" i="10"/>
  <c r="AQ12" i="10" s="1"/>
  <c r="AW11" i="10"/>
  <c r="AW12" i="10" s="1"/>
  <c r="AN11" i="10"/>
  <c r="AN12" i="10" s="1"/>
  <c r="AK11" i="10"/>
  <c r="AK12" i="10" s="1"/>
  <c r="Y11" i="10"/>
  <c r="Y12" i="10" s="1"/>
  <c r="K11" i="10"/>
  <c r="K12" i="10" s="1"/>
  <c r="AB11" i="10"/>
  <c r="AB12" i="10" s="1"/>
  <c r="AH11" i="10"/>
  <c r="AH12" i="10" s="1"/>
  <c r="AI11" i="10"/>
  <c r="AI12" i="10" s="1"/>
  <c r="P11" i="10"/>
  <c r="P12" i="10" s="1"/>
  <c r="M11" i="10"/>
  <c r="M12" i="10" s="1"/>
  <c r="AM11" i="10"/>
  <c r="AM12" i="10" s="1"/>
  <c r="S11" i="10"/>
  <c r="S12" i="10" s="1"/>
  <c r="AA11" i="10"/>
  <c r="AA12" i="10" s="1"/>
  <c r="AT11" i="10"/>
  <c r="AT12" i="10" s="1"/>
  <c r="AO11" i="10"/>
  <c r="AO12" i="10" s="1"/>
  <c r="J11" i="10"/>
  <c r="J12" i="10" s="1"/>
  <c r="G18" i="10"/>
  <c r="G4" i="15"/>
  <c r="S4" i="15"/>
  <c r="AE4" i="15"/>
  <c r="AQ4" i="15"/>
  <c r="J5" i="15"/>
  <c r="V5" i="15"/>
  <c r="AH5" i="15"/>
  <c r="M6" i="15"/>
  <c r="Y6" i="15"/>
  <c r="AK6" i="15"/>
  <c r="G7" i="15"/>
  <c r="S7" i="15"/>
  <c r="AE7" i="15"/>
  <c r="AQ7" i="15"/>
  <c r="M8" i="15"/>
  <c r="Y8" i="15"/>
  <c r="AK8" i="15"/>
  <c r="G9" i="15"/>
  <c r="S9" i="15"/>
  <c r="AE9" i="15"/>
  <c r="AQ9" i="15"/>
  <c r="H4" i="15"/>
  <c r="T4" i="15"/>
  <c r="AF4" i="15"/>
  <c r="AR4" i="15"/>
  <c r="K5" i="15"/>
  <c r="W5" i="15"/>
  <c r="AI5" i="15"/>
  <c r="N6" i="15"/>
  <c r="Z6" i="15"/>
  <c r="AL6" i="15"/>
  <c r="H7" i="15"/>
  <c r="T7" i="15"/>
  <c r="AF7" i="15"/>
  <c r="AR7" i="15"/>
  <c r="N8" i="15"/>
  <c r="Z8" i="15"/>
  <c r="AL8" i="15"/>
  <c r="H9" i="15"/>
  <c r="T9" i="15"/>
  <c r="AF9" i="15"/>
  <c r="AR9" i="15"/>
  <c r="J4" i="15"/>
  <c r="V4" i="15"/>
  <c r="AH4" i="15"/>
  <c r="M5" i="15"/>
  <c r="Y5" i="15"/>
  <c r="AK5" i="15"/>
  <c r="D6" i="15"/>
  <c r="P6" i="15"/>
  <c r="AB6" i="15"/>
  <c r="AN6" i="15"/>
  <c r="J7" i="15"/>
  <c r="V7" i="15"/>
  <c r="AH7" i="15"/>
  <c r="D8" i="15"/>
  <c r="P8" i="15"/>
  <c r="AB8" i="15"/>
  <c r="AN8" i="15"/>
  <c r="J9" i="15"/>
  <c r="V9" i="15"/>
  <c r="AH9" i="15"/>
  <c r="L4" i="15"/>
  <c r="X4" i="15"/>
  <c r="AJ4" i="15"/>
  <c r="O5" i="15"/>
  <c r="AA5" i="15"/>
  <c r="AM5" i="15"/>
  <c r="F6" i="15"/>
  <c r="R6" i="15"/>
  <c r="AD6" i="15"/>
  <c r="AP6" i="15"/>
  <c r="L7" i="15"/>
  <c r="X7" i="15"/>
  <c r="AJ7" i="15"/>
  <c r="F8" i="15"/>
  <c r="R8" i="15"/>
  <c r="AD8" i="15"/>
  <c r="AP8" i="15"/>
  <c r="L9" i="15"/>
  <c r="X9" i="15"/>
  <c r="AJ9" i="15"/>
  <c r="M4" i="15"/>
  <c r="Y4" i="15"/>
  <c r="AK4" i="15"/>
  <c r="D5" i="15"/>
  <c r="P5" i="15"/>
  <c r="AB5" i="15"/>
  <c r="AN5" i="15"/>
  <c r="G6" i="15"/>
  <c r="S6" i="15"/>
  <c r="AE6" i="15"/>
  <c r="AQ6" i="15"/>
  <c r="M7" i="15"/>
  <c r="Y7" i="15"/>
  <c r="AK7" i="15"/>
  <c r="G8" i="15"/>
  <c r="S8" i="15"/>
  <c r="AE8" i="15"/>
  <c r="AQ8" i="15"/>
  <c r="M9" i="15"/>
  <c r="Y9" i="15"/>
  <c r="AK9" i="15"/>
  <c r="N4" i="15"/>
  <c r="Z4" i="15"/>
  <c r="AL4" i="15"/>
  <c r="E5" i="15"/>
  <c r="Q5" i="15"/>
  <c r="AC5" i="15"/>
  <c r="AO5" i="15"/>
  <c r="H6" i="15"/>
  <c r="T6" i="15"/>
  <c r="AF6" i="15"/>
  <c r="AR6" i="15"/>
  <c r="N7" i="15"/>
  <c r="Z7" i="15"/>
  <c r="AL7" i="15"/>
  <c r="H8" i="15"/>
  <c r="T8" i="15"/>
  <c r="AF8" i="15"/>
  <c r="AR8" i="15"/>
  <c r="N9" i="15"/>
  <c r="Z9" i="15"/>
  <c r="AL9" i="15"/>
  <c r="O4" i="15"/>
  <c r="AA4" i="15"/>
  <c r="AM4" i="15"/>
  <c r="F5" i="15"/>
  <c r="R5" i="15"/>
  <c r="AD5" i="15"/>
  <c r="AP5" i="15"/>
  <c r="I6" i="15"/>
  <c r="U6" i="15"/>
  <c r="AG6" i="15"/>
  <c r="AS6" i="15"/>
  <c r="O7" i="15"/>
  <c r="AA7" i="15"/>
  <c r="AM7" i="15"/>
  <c r="I8" i="15"/>
  <c r="U8" i="15"/>
  <c r="AG8" i="15"/>
  <c r="AS8" i="15"/>
  <c r="O9" i="15"/>
  <c r="AA9" i="15"/>
  <c r="AM9" i="15"/>
  <c r="D4" i="15"/>
  <c r="P4" i="15"/>
  <c r="AB4" i="15"/>
  <c r="AN4" i="15"/>
  <c r="G5" i="15"/>
  <c r="S5" i="15"/>
  <c r="AE5" i="15"/>
  <c r="AQ5" i="15"/>
  <c r="J6" i="15"/>
  <c r="V6" i="15"/>
  <c r="AH6" i="15"/>
  <c r="D7" i="15"/>
  <c r="P7" i="15"/>
  <c r="AB7" i="15"/>
  <c r="AN7" i="15"/>
  <c r="J8" i="15"/>
  <c r="V8" i="15"/>
  <c r="AH8" i="15"/>
  <c r="D9" i="15"/>
  <c r="P9" i="15"/>
  <c r="AB9" i="15"/>
  <c r="A4" i="10"/>
  <c r="B20" i="8" a="1"/>
  <c r="B20" i="8" s="1"/>
  <c r="E7" i="8"/>
  <c r="B6" i="8" a="1"/>
  <c r="B6" i="8" s="1"/>
  <c r="B4" i="8" a="1"/>
  <c r="B4" i="8" s="1"/>
  <c r="N13" i="10" l="1"/>
  <c r="N14" i="10"/>
  <c r="AD14" i="10"/>
  <c r="AD13" i="10"/>
  <c r="AH13" i="10"/>
  <c r="AH14" i="10"/>
  <c r="AC14" i="10"/>
  <c r="AC13" i="10"/>
  <c r="AV14" i="10"/>
  <c r="AV13" i="10"/>
  <c r="AI13" i="10"/>
  <c r="AI14" i="10"/>
  <c r="AB14" i="10"/>
  <c r="AB13" i="10"/>
  <c r="AS13" i="10"/>
  <c r="AS14" i="10"/>
  <c r="O14" i="10"/>
  <c r="O13" i="10"/>
  <c r="K13" i="10"/>
  <c r="K14" i="10"/>
  <c r="V13" i="10"/>
  <c r="V14" i="10"/>
  <c r="AP14" i="10"/>
  <c r="AP13" i="10"/>
  <c r="AE14" i="10"/>
  <c r="AE13" i="10"/>
  <c r="AT13" i="10"/>
  <c r="AT14" i="10"/>
  <c r="AN14" i="10"/>
  <c r="AN13" i="10"/>
  <c r="AL13" i="10"/>
  <c r="AL14" i="10"/>
  <c r="R14" i="10"/>
  <c r="R13" i="10"/>
  <c r="AK13" i="10"/>
  <c r="AK14" i="10"/>
  <c r="AW13" i="10"/>
  <c r="AW14" i="10"/>
  <c r="AU14" i="10"/>
  <c r="AU13" i="10"/>
  <c r="I13" i="10"/>
  <c r="I14" i="10"/>
  <c r="Z13" i="10"/>
  <c r="Z14" i="10"/>
  <c r="S14" i="10"/>
  <c r="S13" i="10"/>
  <c r="AQ14" i="10"/>
  <c r="AQ13" i="10"/>
  <c r="AR13" i="10"/>
  <c r="AR14" i="10"/>
  <c r="AF13" i="10"/>
  <c r="AF14" i="10"/>
  <c r="T13" i="10"/>
  <c r="T14" i="10"/>
  <c r="AA14" i="10"/>
  <c r="AA13" i="10"/>
  <c r="AM14" i="10"/>
  <c r="AM13" i="10"/>
  <c r="U13" i="10"/>
  <c r="U14" i="10"/>
  <c r="L13" i="10"/>
  <c r="L14" i="10"/>
  <c r="H12" i="10"/>
  <c r="J14" i="10"/>
  <c r="J13" i="10"/>
  <c r="AO14" i="10"/>
  <c r="AO13" i="10"/>
  <c r="M13" i="10"/>
  <c r="M14" i="10"/>
  <c r="AG13" i="10"/>
  <c r="AG14" i="10"/>
  <c r="X13" i="10"/>
  <c r="X14" i="10"/>
  <c r="Y13" i="10"/>
  <c r="Y14" i="10"/>
  <c r="Q13" i="10"/>
  <c r="Q14" i="10"/>
  <c r="P14" i="10"/>
  <c r="P13" i="10"/>
  <c r="W13" i="10"/>
  <c r="W14" i="10"/>
  <c r="AJ14" i="10"/>
  <c r="AJ13" i="10"/>
  <c r="C5" i="10"/>
  <c r="C6" i="10"/>
  <c r="C6" i="8"/>
  <c r="E6" i="8"/>
  <c r="B26" i="8"/>
  <c r="C20" i="8"/>
  <c r="C23" i="8" s="1"/>
  <c r="C7" i="8"/>
  <c r="C8" i="8"/>
  <c r="C11" i="8"/>
  <c r="H13" i="10" l="1"/>
  <c r="H14" i="10"/>
  <c r="C9" i="8"/>
  <c r="B13" i="8" s="1"/>
  <c r="B14" i="8" s="1"/>
  <c r="B36" i="8" s="1"/>
  <c r="E12" i="10" l="1"/>
  <c r="E11" i="10" s="1"/>
  <c r="D12" i="10"/>
  <c r="D11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A3A3B3-887B-4523-81DD-A4307AB7D48D}" keepAlive="1" name="Query - DateADJUSTEDShiftRole" description="Connection to the 'DateADJUSTEDShiftRole' query in the workbook." type="5" refreshedVersion="0" background="1">
    <dbPr connection="Provider=Microsoft.Mashup.OleDb.1;Data Source=$Workbook$;Location=DateADJUSTEDShiftRole;Extended Properties=&quot;&quot;" command="SELECT * FROM [DateADJUSTEDShiftRole]"/>
  </connection>
  <connection id="2" xr16:uid="{E5C0C537-2446-46AF-A63E-21B9B9752E7D}" keepAlive="1" name="Query - DateADJUSTEDShiftRole (2)" description="Connection to the 'DateADJUSTEDShiftRole (2)' query in the workbook." type="5" refreshedVersion="0" background="1">
    <dbPr connection="Provider=Microsoft.Mashup.OleDb.1;Data Source=$Workbook$;Location=&quot;DateADJUSTEDShiftRole (2)&quot;;Extended Properties=&quot;&quot;" command="SELECT * FROM [DateADJUSTEDShiftRole (2)]"/>
  </connection>
  <connection id="3" xr16:uid="{DB9529BF-415E-4230-B013-63C9431288D7}" keepAlive="1" name="Query - EffortAllMatrixAG1_1D1" description="Connection to the 'EffortAllMatrixAG1_1D1' query in the workbook." type="5" refreshedVersion="0" background="1">
    <dbPr connection="Provider=Microsoft.Mashup.OleDb.1;Data Source=$Workbook$;Location=EffortAllMatrixAG1_1D1;Extended Properties=&quot;&quot;" command="SELECT * FROM [EffortAllMatrixAG1_1D1]"/>
  </connection>
  <connection id="4" xr16:uid="{676009FB-1D67-4772-83B0-51A9D9A27A17}" keepAlive="1" name="Query - EffortTypeOrder" description="Connection to the 'EffortTypeOrder' query in the workbook." type="5" refreshedVersion="0" background="1">
    <dbPr connection="Provider=Microsoft.Mashup.OleDb.1;Data Source=$Workbook$;Location=EffortTypeOrder;Extended Properties=&quot;&quot;" command="SELECT * FROM [EffortTypeOrder]"/>
  </connection>
  <connection id="5" xr16:uid="{FDAFC695-4712-48E7-918B-336B562FF492}" keepAlive="1" name="Query - FACILITY" description="Connection to the 'FACILITY' query in the workbook." type="5" refreshedVersion="0" background="1">
    <dbPr connection="Provider=Microsoft.Mashup.OleDb.1;Data Source=$Workbook$;Location=FACILITY;Extended Properties=&quot;&quot;" command="SELECT * FROM [FACILITY]"/>
  </connection>
  <connection id="6" xr16:uid="{CF339FE3-6E66-4748-B132-0D39BC2C7374}" keepAlive="1" name="Query - Header" description="Connection to the 'Header' query in the workbook." type="5" refreshedVersion="8" background="1" saveData="1">
    <dbPr connection="Provider=Microsoft.Mashup.OleDb.1;Data Source=$Workbook$;Location=Header;Extended Properties=&quot;&quot;" command="SELECT * FROM [Header]"/>
  </connection>
  <connection id="7" xr16:uid="{7D21C7F0-7078-425D-9DAD-21FC4041E4EC}" keepAlive="1" name="Query - Header-CARER" description="Connection to the 'Header-CARER' query in the workbook." type="5" refreshedVersion="8" background="1" saveData="1">
    <dbPr connection="Provider=Microsoft.Mashup.OleDb.1;Data Source=$Workbook$;Location=Header-CARER;Extended Properties=&quot;&quot;" command="SELECT * FROM [Header-CARER]"/>
  </connection>
  <connection id="8" xr16:uid="{15F22DAF-74FF-4834-B53B-937F16478BB3}" keepAlive="1" name="Query - Header-RN" description="Connection to the 'Header-RN' query in the workbook." type="5" refreshedVersion="8" background="1" saveData="1">
    <dbPr connection="Provider=Microsoft.Mashup.OleDb.1;Data Source=$Workbook$;Location=Header-RN;Extended Properties=&quot;&quot;" command="SELECT * FROM [Header-RN]"/>
  </connection>
  <connection id="9" xr16:uid="{30EC7B35-23A3-43B8-A055-55DBEF0266F7}" keepAlive="1" name="Query - MAIT_date_adjusted_for_example" description="Connection to the 'MAIT_date_adjusted_for_example' query in the workbook." type="5" refreshedVersion="0" background="1">
    <dbPr connection="Provider=Microsoft.Mashup.OleDb.1;Data Source=$Workbook$;Location=MAIT_date_adjusted_for_example;Extended Properties=&quot;&quot;" command="SELECT * FROM [MAIT_date_adjusted_for_example]"/>
  </connection>
  <connection id="10" xr16:uid="{0580CDB6-2B78-4A1E-B30C-893A819B0EC2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11" xr16:uid="{742772F7-F339-4F9E-83F4-AEABCCA91E06}" keepAlive="1" name="Query - Residual-RosteredLIST" description="Connection to the 'Residual-RosteredLIST' query in the workbook." type="5" refreshedVersion="8" background="1" saveData="1">
    <dbPr connection="Provider=Microsoft.Mashup.OleDb.1;Data Source=$Workbook$;Location=Residual-RosteredLIST;Extended Properties=&quot;&quot;" command="SELECT * FROM [Residual-RosteredLIST]"/>
  </connection>
  <connection id="12" xr16:uid="{71153073-9607-4106-BBE7-7F39AE8A5212}" keepAlive="1" name="Query - Residual-RosteredMATRIX" description="Connection to the 'Residual-RosteredMATRIX' query in the workbook." type="5" refreshedVersion="8" background="1" saveData="1">
    <dbPr connection="Provider=Microsoft.Mashup.OleDb.1;Data Source=$Workbook$;Location=Residual-RosteredMATRIX;Extended Properties=&quot;&quot;" command="SELECT * FROM [Residual-RosteredMATRIX]"/>
  </connection>
  <connection id="13" xr16:uid="{05A0DFAB-F918-4C59-A046-18DB3E7D4DEC}" keepAlive="1" name="Query - Residual-RosteredMATRIX-CARER" description="Connection to the 'Residual-RosteredMATRIX-CARER' query in the workbook." type="5" refreshedVersion="8" background="1" saveData="1">
    <dbPr connection="Provider=Microsoft.Mashup.OleDb.1;Data Source=$Workbook$;Location=Residual-RosteredMATRIX-CARER;Extended Properties=&quot;&quot;" command="SELECT * FROM [Residual-RosteredMATRIX-CARER]"/>
  </connection>
  <connection id="14" xr16:uid="{3CC4ECCC-818A-4EFD-B42F-E86D7F778C8B}" keepAlive="1" name="Query - Residual-RosteredMATRIX-RN" description="Connection to the 'Residual-RosteredMATRIX-RN' query in the workbook." type="5" refreshedVersion="8" background="1" saveData="1">
    <dbPr connection="Provider=Microsoft.Mashup.OleDb.1;Data Source=$Workbook$;Location=Residual-RosteredMATRIX-RN;Extended Properties=&quot;&quot;" command="SELECT * FROM [Residual-RosteredMATRIX-RN]"/>
  </connection>
  <connection id="15" xr16:uid="{B60E00B3-8AC3-48BD-B8C8-151E24BC9E09}" keepAlive="1" name="Query - ResRosteredHRS" description="Connection to the 'ResRosteredHRS' query in the workbook." type="5" refreshedVersion="0" background="1" saveData="1">
    <dbPr connection="Provider=Microsoft.Mashup.OleDb.1;Data Source=$Workbook$;Location=ResRosteredHRS;Extended Properties=&quot;&quot;" command="SELECT * FROM [ResRosteredHRS]"/>
  </connection>
  <connection id="16" xr16:uid="{79E220C2-24A2-45BA-8403-646552A92F9A}" keepAlive="1" name="Query - ROLES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7" xr16:uid="{552C17D5-19A0-4A3F-BB37-63C6FBDD7713}" keepAlive="1" name="Query - ShiftDuration" description="Connection to the 'ShiftDuration' query in the workbook." type="5" refreshedVersion="0" background="1">
    <dbPr connection="Provider=Microsoft.Mashup.OleDb.1;Data Source=$Workbook$;Location=ShiftDuration;Extended Properties=&quot;&quot;" command="SELECT * FROM [ShiftDuration]"/>
  </connection>
  <connection id="18" xr16:uid="{733203CD-E87E-4587-AB7A-095012AB409D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9" xr16:uid="{D811AD1A-EB16-4DF2-B6E3-A8528EE43020}" keepAlive="1" name="Query - Table_Master_Avail_Alloc_ResidualMAIT" description="Connection to the 'Table_Master_Avail_Alloc_ResidualMAIT' query in the workbook." type="5" refreshedVersion="8" background="1" saveData="1">
    <dbPr connection="Provider=Microsoft.Mashup.OleDb.1;Data Source=$Workbook$;Location=Table_Master_Avail_Alloc_ResidualMAIT;Extended Properties=&quot;&quot;" command="SELECT * FROM [Table_Master_Avail_Alloc_ResidualMAIT]"/>
  </connection>
  <connection id="20" xr16:uid="{68D004C4-275E-4CC3-BFA4-67B5C9290CA5}" keepAlive="1" name="Query - Table_MinResidualHRSResDayShiftMAIT" description="Connection to the 'Table_MinResidualHRSResDayShiftMAIT' query in the workbook." type="5" refreshedVersion="0" background="1">
    <dbPr connection="Provider=Microsoft.Mashup.OleDb.1;Data Source=$Workbook$;Location=Table_MinResidualHRSResDayShiftMAIT;Extended Properties=&quot;&quot;" command="SELECT * FROM [Table_MinResidualHRSResDayShiftMAIT]"/>
  </connection>
  <connection id="21" xr16:uid="{FB152C02-A303-4229-8B66-DABD2938B13C}" keepAlive="1" name="Query - Table_MinResidualHRSResDayShiftMAITRaw" description="Connection to the 'Table_MinResidualHRSResDayShiftMAITRaw' query in the workbook." type="5" refreshedVersion="0" background="1">
    <dbPr connection="Provider=Microsoft.Mashup.OleDb.1;Data Source=$Workbook$;Location=Table_MinResidualHRSResDayShiftMAITRaw;Extended Properties=&quot;&quot;" command="SELECT * FROM [Table_MinResidualHRSResDayShiftMAIT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<sst xmlns="http://schemas.openxmlformats.org/spreadsheetml/2006/main" count="5891" uniqueCount="264">
  <si>
    <t>Role</t>
  </si>
  <si>
    <t>Name</t>
  </si>
  <si>
    <t>Carer</t>
  </si>
  <si>
    <t>Mead, Nadeen</t>
  </si>
  <si>
    <t>Registered Nurse</t>
  </si>
  <si>
    <t>Sebastian, Sintu</t>
  </si>
  <si>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</si>
  <si>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</si>
  <si>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</si>
  <si>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</si>
  <si>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</si>
  <si>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</si>
  <si>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</si>
  <si>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</si>
  <si>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</si>
  <si>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</si>
  <si>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 xml:space="preserve"> Source1 = Excel.CurrentWorkbook(){[Name="Folder"]}[Content],</t>
  </si>
  <si>
    <t>Root Location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</si>
  <si>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</si>
  <si>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</si>
  <si>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</si>
  <si>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</si>
  <si>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not required</t>
  </si>
  <si>
    <t>Facility</t>
  </si>
  <si>
    <t>MAIT</t>
  </si>
  <si>
    <t>EffortType</t>
  </si>
  <si>
    <t>Berry</t>
  </si>
  <si>
    <t>Allocation</t>
  </si>
  <si>
    <t>Demand</t>
  </si>
  <si>
    <t>Initial DA Gap</t>
  </si>
  <si>
    <t>1/07 AM</t>
  </si>
  <si>
    <t>1/07 PM</t>
  </si>
  <si>
    <t>1/07 NIGHT</t>
  </si>
  <si>
    <t>19/06 AM</t>
  </si>
  <si>
    <t>19/06 PM</t>
  </si>
  <si>
    <t>19/06 NIGHT</t>
  </si>
  <si>
    <t>2/07 AM</t>
  </si>
  <si>
    <t>2/07 PM</t>
  </si>
  <si>
    <t>2/07 NIGHT</t>
  </si>
  <si>
    <t>20/06 AM</t>
  </si>
  <si>
    <t>20/06 PM</t>
  </si>
  <si>
    <t>20/06 NIGHT</t>
  </si>
  <si>
    <t>21/06 AM</t>
  </si>
  <si>
    <t>21/06 PM</t>
  </si>
  <si>
    <t>21/06 NIGHT</t>
  </si>
  <si>
    <t>22/06 AM</t>
  </si>
  <si>
    <t>22/06 PM</t>
  </si>
  <si>
    <t>22/06 NIGHT</t>
  </si>
  <si>
    <t>23/06 AM</t>
  </si>
  <si>
    <t>23/06 PM</t>
  </si>
  <si>
    <t>23/06 NIGHT</t>
  </si>
  <si>
    <t>24/06 AM</t>
  </si>
  <si>
    <t>24/06 PM</t>
  </si>
  <si>
    <t>24/06 NIGHT</t>
  </si>
  <si>
    <t>25/06 AM</t>
  </si>
  <si>
    <t>25/06 PM</t>
  </si>
  <si>
    <t>25/06 NIGHT</t>
  </si>
  <si>
    <t>26/06 AM</t>
  </si>
  <si>
    <t>26/06 PM</t>
  </si>
  <si>
    <t>26/06 NIGHT</t>
  </si>
  <si>
    <t>27/06 AM</t>
  </si>
  <si>
    <t>27/06 PM</t>
  </si>
  <si>
    <t>27/06 NIGHT</t>
  </si>
  <si>
    <t>28/06 AM</t>
  </si>
  <si>
    <t>28/06 PM</t>
  </si>
  <si>
    <t>28/06 NIGHT</t>
  </si>
  <si>
    <t>29/06 AM</t>
  </si>
  <si>
    <t>29/06 PM</t>
  </si>
  <si>
    <t>29/06 NIGHT</t>
  </si>
  <si>
    <t>30/06 AM</t>
  </si>
  <si>
    <t>30/06 PM</t>
  </si>
  <si>
    <t>30/06 NIGHT</t>
  </si>
  <si>
    <t>Column1</t>
  </si>
  <si>
    <t>Column2</t>
  </si>
  <si>
    <t>NAME</t>
  </si>
  <si>
    <t>MAIT date adjusted for example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</si>
  <si>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</si>
  <si>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</si>
  <si>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</si>
  <si>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</si>
  <si>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</si>
  <si>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</si>
  <si>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</si>
  <si>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</si>
  <si>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</si>
  <si>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</si>
  <si>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</si>
  <si>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</si>
  <si>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</si>
  <si>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</si>
  <si>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</si>
  <si>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</si>
  <si>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</si>
  <si>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</si>
  <si>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</si>
  <si>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</si>
  <si>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</si>
  <si>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</si>
  <si>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</si>
  <si>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</si>
  <si>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</si>
  <si>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</si>
  <si>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</si>
  <si>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</si>
  <si>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</si>
  <si>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</si>
  <si>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</si>
  <si>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</si>
  <si>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</si>
  <si>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</si>
  <si>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</si>
  <si>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</si>
  <si>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</si>
  <si>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</si>
  <si>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</si>
  <si>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</si>
  <si>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</si>
  <si>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</si>
  <si>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HeadCount</t>
  </si>
  <si>
    <t>Change</t>
  </si>
  <si>
    <t>Remaining GAP</t>
  </si>
  <si>
    <t>UNITS</t>
  </si>
  <si>
    <t>HRS</t>
  </si>
  <si>
    <t>FTE</t>
  </si>
  <si>
    <t>HRS/FTE</t>
  </si>
  <si>
    <t>CHOOSE UNITS:</t>
  </si>
  <si>
    <t>Rostered HRS</t>
  </si>
  <si>
    <t>Max HRS:</t>
  </si>
  <si>
    <t>ROSTERED TIME</t>
  </si>
  <si>
    <t>RESIDUAL TIME</t>
  </si>
  <si>
    <t>CHANGE TIME</t>
  </si>
  <si>
    <t>CHANGED TOTAL</t>
  </si>
  <si>
    <t>ROLE</t>
  </si>
  <si>
    <t>FACILITY</t>
  </si>
  <si>
    <t>FACILITY:</t>
  </si>
  <si>
    <t>Role]</t>
  </si>
  <si>
    <t>0/ 7.5</t>
  </si>
  <si>
    <t>0/ 0.5</t>
  </si>
  <si>
    <t>1/ 7</t>
  </si>
  <si>
    <t>0/ 0</t>
  </si>
  <si>
    <t>43</t>
  </si>
  <si>
    <t>Bhandari, Manisha</t>
  </si>
  <si>
    <t>0/ 7.8</t>
  </si>
  <si>
    <t>0/ 0.2</t>
  </si>
  <si>
    <t>Gould, Diana</t>
  </si>
  <si>
    <t>0.7/ 7.3</t>
  </si>
  <si>
    <t>0.2/ 7.3</t>
  </si>
  <si>
    <t>Mathew, Christeena</t>
  </si>
  <si>
    <t>Anderson, Laura</t>
  </si>
  <si>
    <t>0.5/ 7.5</t>
  </si>
  <si>
    <t>Cassidy, Ebony</t>
  </si>
  <si>
    <t>Anscombe, Misty</t>
  </si>
  <si>
    <t>Campbell, Marley</t>
  </si>
  <si>
    <t>Armstrong, Gillian</t>
  </si>
  <si>
    <t>Cook, Victoria</t>
  </si>
  <si>
    <t>Aspinall, Samantha</t>
  </si>
  <si>
    <t>Banister, Nicole</t>
  </si>
  <si>
    <t>Brown, Maria</t>
  </si>
  <si>
    <t>Burgmann, Robyn</t>
  </si>
  <si>
    <t>Randall, Jessica</t>
  </si>
  <si>
    <t>1.9/ 6</t>
  </si>
  <si>
    <t>Pearson, Glenn</t>
  </si>
  <si>
    <t>0.5/ 0.2</t>
  </si>
  <si>
    <t>0.5/ 7.3</t>
  </si>
  <si>
    <t>Randle, Rebecca</t>
  </si>
  <si>
    <t>Fuentes, Noei</t>
  </si>
  <si>
    <t>3.7/ 3.9</t>
  </si>
  <si>
    <t>Hall, Andrew</t>
  </si>
  <si>
    <t>Morgan, Breanna</t>
  </si>
  <si>
    <t>0/ 7.3</t>
  </si>
  <si>
    <t>Harman, Rowena</t>
  </si>
  <si>
    <t>Randla, Sandra</t>
  </si>
  <si>
    <t>Hughes, Vicki</t>
  </si>
  <si>
    <t>Hyde, Honey</t>
  </si>
  <si>
    <t>Jenkins, Rana</t>
  </si>
  <si>
    <t>Karki, Pramila</t>
  </si>
  <si>
    <t>Kaur, Kuldeep</t>
  </si>
  <si>
    <t>Kaur, Kuljeet</t>
  </si>
  <si>
    <t>Waddell, Melissa</t>
  </si>
  <si>
    <t>Kaur, Rajdwinder</t>
  </si>
  <si>
    <t>Treay, Sylvia</t>
  </si>
  <si>
    <t>Krishna, Sharda</t>
  </si>
  <si>
    <t>Wynyard, Zoe</t>
  </si>
  <si>
    <t>Ludick, Collette</t>
  </si>
  <si>
    <t>0/ 6</t>
  </si>
  <si>
    <t>Whatson, Jodie</t>
  </si>
  <si>
    <t>Luke, Roslyne</t>
  </si>
  <si>
    <t>Walkley, Bianca</t>
  </si>
  <si>
    <t>Mathew, Toms</t>
  </si>
  <si>
    <t>Shanahan, Leanne</t>
  </si>
  <si>
    <t>Sandhu, Mehakpreet</t>
  </si>
  <si>
    <t>0/ 7.1</t>
  </si>
  <si>
    <t>Sales, Lorraine</t>
  </si>
  <si>
    <t>0/ 3.9</t>
  </si>
  <si>
    <t>Taylor, Glenda</t>
  </si>
  <si>
    <t>Stothard, Leanne</t>
  </si>
  <si>
    <t>Thurling, Sharn</t>
  </si>
  <si>
    <t>7.4/ 0.2</t>
  </si>
  <si>
    <t>Joseph, Jinu</t>
  </si>
  <si>
    <t>Raphel, Shinoy</t>
  </si>
  <si>
    <t>Status</t>
  </si>
  <si>
    <t>Unavailable/Allocated</t>
  </si>
  <si>
    <t>McDonald, Margaret</t>
  </si>
  <si>
    <t>Bandala, Joanna</t>
  </si>
  <si>
    <t>Available/UnAllocated</t>
  </si>
  <si>
    <t>Avalable/Allocated</t>
  </si>
  <si>
    <t>OH, In Song</t>
  </si>
  <si>
    <t>3.7/ 0.2</t>
  </si>
  <si>
    <t>0.2/ 0.5</t>
  </si>
  <si>
    <t>1.2/ 0.5</t>
  </si>
  <si>
    <t>Nandeeni, Muni</t>
  </si>
  <si>
    <t>2.6/ 0.2</t>
  </si>
  <si>
    <t>2.2000000000000002/ 0.2</t>
  </si>
  <si>
    <t>2.4/ 0.2</t>
  </si>
  <si>
    <t>0/ 2.4</t>
  </si>
  <si>
    <t>Ropin, Amelia</t>
  </si>
  <si>
    <t>Paudel, Madu</t>
  </si>
  <si>
    <t>Perera, Ishaka</t>
  </si>
  <si>
    <t>0.5/ 5.2</t>
  </si>
  <si>
    <t>0.5/ 2.3</t>
  </si>
  <si>
    <t>Teat, Ron</t>
  </si>
  <si>
    <t>7.2/ 0.5</t>
  </si>
  <si>
    <t>3.5/ 0.5</t>
  </si>
  <si>
    <t>3.5/ 3.9</t>
  </si>
  <si>
    <t>KOCHUKANJIRATHINKAL MATHEW JOBINS</t>
  </si>
  <si>
    <t>M</t>
  </si>
  <si>
    <t>T</t>
  </si>
  <si>
    <t>W</t>
  </si>
  <si>
    <t>F</t>
  </si>
  <si>
    <t>S</t>
  </si>
  <si>
    <t>`</t>
  </si>
  <si>
    <t>Date</t>
  </si>
  <si>
    <t>Shift</t>
  </si>
  <si>
    <t>AllocationHRS</t>
  </si>
  <si>
    <t>ResidualHRS</t>
  </si>
  <si>
    <t>PM</t>
  </si>
  <si>
    <t>AM</t>
  </si>
  <si>
    <t>Thompson, Toinette</t>
  </si>
  <si>
    <t>Hughes, Emily</t>
  </si>
  <si>
    <t>Kochukanjirathinkal, Mathew</t>
  </si>
  <si>
    <t>NIGHT</t>
  </si>
  <si>
    <t>Mcdonald, Margaret</t>
  </si>
  <si>
    <t>Oh, In</t>
  </si>
  <si>
    <t>Bhandri, Suyasha</t>
  </si>
  <si>
    <t>Ropin, Amalia</t>
  </si>
  <si>
    <t>Clarke, Christine</t>
  </si>
  <si>
    <t>Cain, Annette</t>
  </si>
  <si>
    <t>Teat, Ronald</t>
  </si>
  <si>
    <t>Enzo, Joanna</t>
  </si>
  <si>
    <t>Paudel, Madhyama</t>
  </si>
  <si>
    <t>Goke, Adele</t>
  </si>
  <si>
    <t>Bull, Teneal</t>
  </si>
  <si>
    <t>Shortage</t>
  </si>
  <si>
    <t>Excess</t>
  </si>
  <si>
    <t>RN</t>
  </si>
  <si>
    <t>Christine Clark</t>
  </si>
  <si>
    <t>.-5</t>
  </si>
  <si>
    <t>Mon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</si>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</sst>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b/>
      <sz val="10"/>
      <color rgb="FF000000"/>
      <name val="Times New Roman"/>
      <family val="1"/>
    </font>
    <font>
      <sz val="10"/>
      <color theme="0" tint="-0.499984740745262"/>
      <name val="Times New Roman"/>
      <family val="1"/>
      <charset val="204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2" fillId="0" borderId="1" xfId="1" applyBorder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2" fillId="2" borderId="0" xfId="1" applyFill="1" applyAlignment="1">
      <alignment horizontal="left" vertical="top"/>
    </xf>
    <xf numFmtId="0" fontId="8" fillId="0" borderId="0" xfId="1" applyFont="1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1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/>
    </xf>
    <xf numFmtId="0" fontId="12" fillId="0" borderId="0" xfId="1" applyFont="1" applyAlignment="1">
      <alignment horizontal="left" vertical="top"/>
    </xf>
    <xf numFmtId="16" fontId="12" fillId="0" borderId="0" xfId="1" applyNumberFormat="1" applyFont="1" applyAlignment="1">
      <alignment horizontal="left" vertical="top"/>
    </xf>
    <xf numFmtId="0" fontId="0" fillId="0" borderId="0" xfId="0" applyAlignment="1">
      <alignment vertical="top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/>
    <xf numFmtId="0" fontId="14" fillId="3" borderId="0" xfId="0" applyFont="1" applyFill="1" applyAlignment="1">
      <alignment horizontal="center" vertical="top" wrapText="1"/>
    </xf>
    <xf numFmtId="164" fontId="0" fillId="0" borderId="0" xfId="0" applyNumberFormat="1" applyAlignment="1">
      <alignment horizontal="center" wrapText="1"/>
    </xf>
    <xf numFmtId="2" fontId="11" fillId="0" borderId="0" xfId="0" applyNumberFormat="1" applyFont="1" applyAlignment="1">
      <alignment horizontal="center" wrapText="1"/>
    </xf>
    <xf numFmtId="0" fontId="15" fillId="0" borderId="0" xfId="0" applyFont="1"/>
    <xf numFmtId="164" fontId="16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8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0" fillId="0" borderId="0" xfId="0" applyFont="1" applyAlignment="1">
      <alignment horizontal="right"/>
    </xf>
    <xf numFmtId="0" fontId="9" fillId="3" borderId="0" xfId="0" applyFont="1" applyFill="1" applyAlignment="1">
      <alignment horizontal="center" wrapText="1"/>
    </xf>
    <xf numFmtId="2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left"/>
    </xf>
    <xf numFmtId="0" fontId="10" fillId="0" borderId="0" xfId="0" applyFont="1"/>
    <xf numFmtId="164" fontId="0" fillId="0" borderId="0" xfId="0" applyNumberFormat="1"/>
    <xf numFmtId="14" fontId="0" fillId="0" borderId="0" xfId="0" applyNumberFormat="1"/>
    <xf numFmtId="0" fontId="11" fillId="0" borderId="0" xfId="0" applyFont="1" applyAlignment="1">
      <alignment horizontal="center" wrapText="1"/>
    </xf>
    <xf numFmtId="0" fontId="10" fillId="0" borderId="0" xfId="0" applyFont="1" applyAlignment="1">
      <alignment horizontal="right" vertical="top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2" fontId="11" fillId="4" borderId="0" xfId="0" applyNumberFormat="1" applyFont="1" applyFill="1" applyAlignment="1">
      <alignment horizontal="left"/>
    </xf>
    <xf numFmtId="2" fontId="11" fillId="0" borderId="0" xfId="0" applyNumberFormat="1" applyFont="1" applyAlignment="1">
      <alignment horizontal="center" vertical="center" wrapText="1"/>
    </xf>
    <xf numFmtId="2" fontId="0" fillId="5" borderId="0" xfId="0" applyNumberFormat="1" applyFill="1" applyAlignment="1">
      <alignment horizontal="left"/>
    </xf>
    <xf numFmtId="2" fontId="11" fillId="4" borderId="0" xfId="0" applyNumberFormat="1" applyFont="1" applyFill="1" applyAlignment="1">
      <alignment horizontal="center" wrapText="1"/>
    </xf>
    <xf numFmtId="2" fontId="0" fillId="0" borderId="0" xfId="0" applyNumberFormat="1"/>
    <xf numFmtId="1" fontId="11" fillId="0" borderId="0" xfId="0" applyNumberFormat="1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F709095D-589A-42C6-AAC3-E45699A4FA9C}"/>
  </cellStyles>
  <dxfs count="386">
    <dxf>
      <font>
        <color rgb="FF006100"/>
      </font>
      <fill>
        <patternFill>
          <bgColor rgb="FFFFCC99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rgb="FFFFCC99"/>
        </patternFill>
      </fill>
    </dxf>
    <dxf>
      <font>
        <b/>
        <i val="0"/>
        <color rgb="FF006100"/>
      </font>
      <fill>
        <patternFill>
          <bgColor rgb="FFFFCC99"/>
        </patternFill>
      </fill>
    </dxf>
    <dxf>
      <font>
        <color rgb="FF9C0006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CFFCC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rgb="FFFFCC99"/>
        </patternFill>
      </fill>
    </dxf>
    <dxf>
      <font>
        <b/>
        <i val="0"/>
        <color rgb="FF006100"/>
      </font>
      <fill>
        <patternFill>
          <bgColor rgb="FFFFCC99"/>
        </patternFill>
      </fill>
    </dxf>
    <dxf>
      <font>
        <color rgb="FF9C0006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2" tint="-0.499984740745262"/>
      </font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CFFCC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font>
        <sz val="10"/>
      </font>
      <numFmt numFmtId="0" formatCode="General"/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sz val="10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sz val="10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FFCC"/>
      <color rgb="FFFFCC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https://centri001.sharepoint.com/sites/2.0Accounts/Shared%20Documents/2.1.1%20RFBI-PoC/2.0%20RFBI/04.1%20PoC/04%20Analysis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</sheetNames>
    <definedNames>
      <definedName name="Client" refersTo="='Computerpath'!$B$14"/>
      <definedName name="Computerpath" refersTo="='Computerpath'!$B$15"/>
    </definedNames>
    <sheetDataSet>
      <sheetData sheetId="0">
        <row r="14">
          <cell r="B14" t="str">
            <v>04.1 PoC</v>
          </cell>
        </row>
        <row r="15">
          <cell r="B15" t="str">
            <v>C:\Users\Alex\Centri\2. Accounts - 2.0 RFBI\04.1 PoC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24D6B303-B059-426C-8641-EAC9CE799993}" autoFormatId="16" applyNumberFormats="0" applyBorderFormats="0" applyFontFormats="0" applyPatternFormats="0" applyAlignmentFormats="0" applyWidthHeightFormats="0">
  <queryTableRefresh nextId="51">
    <queryTableFields count="47">
      <queryTableField id="1" name="Facility" tableColumnId="1"/>
      <queryTableField id="49" name="Status" tableColumnId="47"/>
      <queryTableField id="2" name="Name" tableColumnId="2"/>
      <queryTableField id="3" name="Role" tableColumnId="3"/>
      <queryTableField id="4" name="Rostered HRS" tableColumnId="4"/>
      <queryTableField id="5" name="19/06 AM" tableColumnId="5"/>
      <queryTableField id="6" name="19/06 PM" tableColumnId="6"/>
      <queryTableField id="7" name="19/06 NIGHT" tableColumnId="7"/>
      <queryTableField id="8" name="20/06 AM" tableColumnId="8"/>
      <queryTableField id="9" name="20/06 PM" tableColumnId="9"/>
      <queryTableField id="10" name="20/06 NIGHT" tableColumnId="10"/>
      <queryTableField id="11" name="21/06 AM" tableColumnId="11"/>
      <queryTableField id="12" name="21/06 PM" tableColumnId="12"/>
      <queryTableField id="13" name="21/06 NIGHT" tableColumnId="13"/>
      <queryTableField id="14" name="22/06 AM" tableColumnId="14"/>
      <queryTableField id="15" name="22/06 PM" tableColumnId="15"/>
      <queryTableField id="16" name="22/06 NIGHT" tableColumnId="16"/>
      <queryTableField id="17" name="23/06 AM" tableColumnId="17"/>
      <queryTableField id="18" name="23/06 PM" tableColumnId="18"/>
      <queryTableField id="19" name="23/06 NIGHT" tableColumnId="19"/>
      <queryTableField id="20" name="24/06 AM" tableColumnId="20"/>
      <queryTableField id="21" name="24/06 PM" tableColumnId="21"/>
      <queryTableField id="22" name="24/06 NIGHT" tableColumnId="22"/>
      <queryTableField id="23" name="25/06 AM" tableColumnId="23"/>
      <queryTableField id="24" name="25/06 PM" tableColumnId="24"/>
      <queryTableField id="25" name="25/06 NIGHT" tableColumnId="25"/>
      <queryTableField id="26" name="26/06 AM" tableColumnId="26"/>
      <queryTableField id="27" name="26/06 PM" tableColumnId="27"/>
      <queryTableField id="28" name="26/06 NIGHT" tableColumnId="28"/>
      <queryTableField id="29" name="27/06 AM" tableColumnId="29"/>
      <queryTableField id="30" name="27/06 PM" tableColumnId="30"/>
      <queryTableField id="31" name="27/06 NIGHT" tableColumnId="31"/>
      <queryTableField id="32" name="28/06 AM" tableColumnId="32"/>
      <queryTableField id="33" name="28/06 PM" tableColumnId="33"/>
      <queryTableField id="34" name="28/06 NIGHT" tableColumnId="34"/>
      <queryTableField id="35" name="29/06 AM" tableColumnId="35"/>
      <queryTableField id="36" name="29/06 PM" tableColumnId="36"/>
      <queryTableField id="37" name="29/06 NIGHT" tableColumnId="37"/>
      <queryTableField id="38" name="30/06 AM" tableColumnId="38"/>
      <queryTableField id="39" name="30/06 PM" tableColumnId="39"/>
      <queryTableField id="40" name="30/06 NIGHT" tableColumnId="40"/>
      <queryTableField id="41" name="1/07 AM" tableColumnId="41"/>
      <queryTableField id="42" name="1/07 PM" tableColumnId="42"/>
      <queryTableField id="43" name="1/07 NIGHT" tableColumnId="43"/>
      <queryTableField id="44" name="2/07 AM" tableColumnId="44"/>
      <queryTableField id="45" name="2/07 PM" tableColumnId="45"/>
      <queryTableField id="46" name="2/07 NIGHT" tableColumnId="4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F3DA3458-2D66-47C6-9A3A-BC740388435F}" autoFormatId="16" applyNumberFormats="0" applyBorderFormats="0" applyFontFormats="0" applyPatternFormats="0" applyAlignmentFormats="0" applyWidthHeightFormats="0">
  <queryTableRefresh nextId="46">
    <queryTableFields count="45">
      <queryTableField id="1" name="Facility" tableColumnId="1"/>
      <queryTableField id="2" name="EffortType" tableColumnId="2"/>
      <queryTableField id="3" name="Role" tableColumnId="3"/>
      <queryTableField id="4" name="19/06 AM" tableColumnId="4"/>
      <queryTableField id="5" name="19/06 PM" tableColumnId="5"/>
      <queryTableField id="6" name="19/06 NIGHT" tableColumnId="6"/>
      <queryTableField id="7" name="20/06 AM" tableColumnId="7"/>
      <queryTableField id="8" name="20/06 PM" tableColumnId="8"/>
      <queryTableField id="9" name="20/06 NIGHT" tableColumnId="9"/>
      <queryTableField id="10" name="21/06 AM" tableColumnId="10"/>
      <queryTableField id="11" name="21/06 PM" tableColumnId="11"/>
      <queryTableField id="12" name="21/06 NIGHT" tableColumnId="12"/>
      <queryTableField id="13" name="22/06 AM" tableColumnId="13"/>
      <queryTableField id="14" name="22/06 PM" tableColumnId="14"/>
      <queryTableField id="15" name="22/06 NIGHT" tableColumnId="15"/>
      <queryTableField id="16" name="23/06 AM" tableColumnId="16"/>
      <queryTableField id="17" name="23/06 PM" tableColumnId="17"/>
      <queryTableField id="18" name="23/06 NIGHT" tableColumnId="18"/>
      <queryTableField id="19" name="24/06 AM" tableColumnId="19"/>
      <queryTableField id="20" name="24/06 PM" tableColumnId="20"/>
      <queryTableField id="21" name="24/06 NIGHT" tableColumnId="21"/>
      <queryTableField id="22" name="25/06 AM" tableColumnId="22"/>
      <queryTableField id="23" name="25/06 PM" tableColumnId="23"/>
      <queryTableField id="24" name="25/06 NIGHT" tableColumnId="24"/>
      <queryTableField id="25" name="26/06 AM" tableColumnId="25"/>
      <queryTableField id="26" name="26/06 PM" tableColumnId="26"/>
      <queryTableField id="27" name="26/06 NIGHT" tableColumnId="27"/>
      <queryTableField id="28" name="27/06 AM" tableColumnId="28"/>
      <queryTableField id="29" name="27/06 PM" tableColumnId="29"/>
      <queryTableField id="30" name="27/06 NIGHT" tableColumnId="30"/>
      <queryTableField id="31" name="28/06 AM" tableColumnId="31"/>
      <queryTableField id="32" name="28/06 PM" tableColumnId="32"/>
      <queryTableField id="33" name="28/06 NIGHT" tableColumnId="33"/>
      <queryTableField id="34" name="29/06 AM" tableColumnId="34"/>
      <queryTableField id="35" name="29/06 PM" tableColumnId="35"/>
      <queryTableField id="36" name="29/06 NIGHT" tableColumnId="36"/>
      <queryTableField id="37" name="30/06 AM" tableColumnId="37"/>
      <queryTableField id="38" name="30/06 PM" tableColumnId="38"/>
      <queryTableField id="39" name="30/06 NIGHT" tableColumnId="39"/>
      <queryTableField id="40" name="1/07 AM" tableColumnId="40"/>
      <queryTableField id="41" name="1/07 PM" tableColumnId="41"/>
      <queryTableField id="42" name="1/07 NIGHT" tableColumnId="42"/>
      <queryTableField id="43" name="2/07 AM" tableColumnId="43"/>
      <queryTableField id="44" name="2/07 PM" tableColumnId="44"/>
      <queryTableField id="45" name="2/07 NIGHT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2A3E824A-08F1-4207-9350-0597C700E510}" autoFormatId="16" applyNumberFormats="0" applyBorderFormats="0" applyFontFormats="0" applyPatternFormats="0" applyAlignmentFormats="0" applyWidthHeightFormats="0">
  <queryTableRefresh nextId="46">
    <queryTableFields count="45">
      <queryTableField id="1" name="Facility" tableColumnId="1"/>
      <queryTableField id="2" name="EffortType" tableColumnId="2"/>
      <queryTableField id="3" name="Role" tableColumnId="3"/>
      <queryTableField id="4" name="19/06 AM" tableColumnId="4"/>
      <queryTableField id="5" name="19/06 PM" tableColumnId="5"/>
      <queryTableField id="6" name="19/06 NIGHT" tableColumnId="6"/>
      <queryTableField id="7" name="20/06 AM" tableColumnId="7"/>
      <queryTableField id="8" name="20/06 PM" tableColumnId="8"/>
      <queryTableField id="9" name="20/06 NIGHT" tableColumnId="9"/>
      <queryTableField id="10" name="21/06 AM" tableColumnId="10"/>
      <queryTableField id="11" name="21/06 PM" tableColumnId="11"/>
      <queryTableField id="12" name="21/06 NIGHT" tableColumnId="12"/>
      <queryTableField id="13" name="22/06 AM" tableColumnId="13"/>
      <queryTableField id="14" name="22/06 PM" tableColumnId="14"/>
      <queryTableField id="15" name="22/06 NIGHT" tableColumnId="15"/>
      <queryTableField id="16" name="23/06 AM" tableColumnId="16"/>
      <queryTableField id="17" name="23/06 PM" tableColumnId="17"/>
      <queryTableField id="18" name="23/06 NIGHT" tableColumnId="18"/>
      <queryTableField id="19" name="24/06 AM" tableColumnId="19"/>
      <queryTableField id="20" name="24/06 PM" tableColumnId="20"/>
      <queryTableField id="21" name="24/06 NIGHT" tableColumnId="21"/>
      <queryTableField id="22" name="25/06 AM" tableColumnId="22"/>
      <queryTableField id="23" name="25/06 PM" tableColumnId="23"/>
      <queryTableField id="24" name="25/06 NIGHT" tableColumnId="24"/>
      <queryTableField id="25" name="26/06 AM" tableColumnId="25"/>
      <queryTableField id="26" name="26/06 PM" tableColumnId="26"/>
      <queryTableField id="27" name="26/06 NIGHT" tableColumnId="27"/>
      <queryTableField id="28" name="27/06 AM" tableColumnId="28"/>
      <queryTableField id="29" name="27/06 PM" tableColumnId="29"/>
      <queryTableField id="30" name="27/06 NIGHT" tableColumnId="30"/>
      <queryTableField id="31" name="28/06 AM" tableColumnId="31"/>
      <queryTableField id="32" name="28/06 PM" tableColumnId="32"/>
      <queryTableField id="33" name="28/06 NIGHT" tableColumnId="33"/>
      <queryTableField id="34" name="29/06 AM" tableColumnId="34"/>
      <queryTableField id="35" name="29/06 PM" tableColumnId="35"/>
      <queryTableField id="36" name="29/06 NIGHT" tableColumnId="36"/>
      <queryTableField id="37" name="30/06 AM" tableColumnId="37"/>
      <queryTableField id="38" name="30/06 PM" tableColumnId="38"/>
      <queryTableField id="39" name="30/06 NIGHT" tableColumnId="39"/>
      <queryTableField id="40" name="1/07 AM" tableColumnId="40"/>
      <queryTableField id="41" name="1/07 PM" tableColumnId="41"/>
      <queryTableField id="42" name="1/07 NIGHT" tableColumnId="42"/>
      <queryTableField id="43" name="2/07 AM" tableColumnId="43"/>
      <queryTableField id="44" name="2/07 PM" tableColumnId="44"/>
      <queryTableField id="45" name="2/07 NIGHT" tableColumnId="4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A566AB5A-1DEC-4BE2-A6BC-6D1FF21DD9FE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Role" tableColumnId="2"/>
      <queryTableField id="3" name="Date" tableColumnId="3"/>
      <queryTableField id="4" name="Shift" tableColumnId="4"/>
      <queryTableField id="5" name="Status" tableColumnId="5"/>
      <queryTableField id="6" name="AllocationHRS" tableColumnId="6"/>
      <queryTableField id="7" name="ResidualHRS" tableColumnId="7"/>
      <queryTableField id="8" name="Facility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46AEFBE-D1AC-4071-8EF0-C44BAA4E0BEE}" autoFormatId="16" applyNumberFormats="0" applyBorderFormats="0" applyFontFormats="0" applyPatternFormats="0" applyAlignmentFormats="0" applyWidthHeightFormats="0">
  <queryTableRefresh nextId="51">
    <queryTableFields count="47">
      <queryTableField id="1" name="Facility" tableColumnId="1"/>
      <queryTableField id="49" name="Status" tableColumnId="47"/>
      <queryTableField id="2" name="Name" tableColumnId="2"/>
      <queryTableField id="3" name="Role" tableColumnId="3"/>
      <queryTableField id="4" name="Rostered HRS" tableColumnId="4"/>
      <queryTableField id="5" name="19/06 AM" tableColumnId="5"/>
      <queryTableField id="6" name="19/06 PM" tableColumnId="6"/>
      <queryTableField id="7" name="19/06 NIGHT" tableColumnId="7"/>
      <queryTableField id="8" name="20/06 AM" tableColumnId="8"/>
      <queryTableField id="9" name="20/06 PM" tableColumnId="9"/>
      <queryTableField id="10" name="20/06 NIGHT" tableColumnId="10"/>
      <queryTableField id="11" name="21/06 AM" tableColumnId="11"/>
      <queryTableField id="12" name="21/06 PM" tableColumnId="12"/>
      <queryTableField id="13" name="21/06 NIGHT" tableColumnId="13"/>
      <queryTableField id="14" name="22/06 AM" tableColumnId="14"/>
      <queryTableField id="15" name="22/06 PM" tableColumnId="15"/>
      <queryTableField id="16" name="22/06 NIGHT" tableColumnId="16"/>
      <queryTableField id="17" name="23/06 AM" tableColumnId="17"/>
      <queryTableField id="18" name="23/06 PM" tableColumnId="18"/>
      <queryTableField id="19" name="23/06 NIGHT" tableColumnId="19"/>
      <queryTableField id="20" name="24/06 AM" tableColumnId="20"/>
      <queryTableField id="21" name="24/06 PM" tableColumnId="21"/>
      <queryTableField id="22" name="24/06 NIGHT" tableColumnId="22"/>
      <queryTableField id="23" name="25/06 AM" tableColumnId="23"/>
      <queryTableField id="24" name="25/06 PM" tableColumnId="24"/>
      <queryTableField id="25" name="25/06 NIGHT" tableColumnId="25"/>
      <queryTableField id="26" name="26/06 AM" tableColumnId="26"/>
      <queryTableField id="27" name="26/06 PM" tableColumnId="27"/>
      <queryTableField id="28" name="26/06 NIGHT" tableColumnId="28"/>
      <queryTableField id="29" name="27/06 AM" tableColumnId="29"/>
      <queryTableField id="30" name="27/06 PM" tableColumnId="30"/>
      <queryTableField id="31" name="27/06 NIGHT" tableColumnId="31"/>
      <queryTableField id="32" name="28/06 AM" tableColumnId="32"/>
      <queryTableField id="33" name="28/06 PM" tableColumnId="33"/>
      <queryTableField id="34" name="28/06 NIGHT" tableColumnId="34"/>
      <queryTableField id="35" name="29/06 AM" tableColumnId="35"/>
      <queryTableField id="36" name="29/06 PM" tableColumnId="36"/>
      <queryTableField id="37" name="29/06 NIGHT" tableColumnId="37"/>
      <queryTableField id="38" name="30/06 AM" tableColumnId="38"/>
      <queryTableField id="39" name="30/06 PM" tableColumnId="39"/>
      <queryTableField id="40" name="30/06 NIGHT" tableColumnId="40"/>
      <queryTableField id="41" name="1/07 AM" tableColumnId="41"/>
      <queryTableField id="42" name="1/07 PM" tableColumnId="42"/>
      <queryTableField id="43" name="1/07 NIGHT" tableColumnId="43"/>
      <queryTableField id="44" name="2/07 AM" tableColumnId="44"/>
      <queryTableField id="45" name="2/07 PM" tableColumnId="45"/>
      <queryTableField id="46" name="2/07 NIGHT" tableColumnId="4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8C1118F-2259-4511-B5C9-7ADC7A178A64}" autoFormatId="16" applyNumberFormats="0" applyBorderFormats="0" applyFontFormats="0" applyPatternFormats="0" applyAlignmentFormats="0" applyWidthHeightFormats="0">
  <queryTableRefresh nextId="125">
    <queryTableFields count="45">
      <queryTableField id="1" name="Facility" tableColumnId="1"/>
      <queryTableField id="3" name="EffortType" tableColumnId="3"/>
      <queryTableField id="2" name="Role" tableColumnId="2"/>
      <queryTableField id="49" name="19/06 AM" tableColumnId="49"/>
      <queryTableField id="50" name="19/06 PM" tableColumnId="50"/>
      <queryTableField id="51" name="19/06 NIGHT" tableColumnId="51"/>
      <queryTableField id="55" name="20/06 AM" tableColumnId="55"/>
      <queryTableField id="56" name="20/06 PM" tableColumnId="56"/>
      <queryTableField id="57" name="20/06 NIGHT" tableColumnId="57"/>
      <queryTableField id="58" name="21/06 AM" tableColumnId="58"/>
      <queryTableField id="59" name="21/06 PM" tableColumnId="59"/>
      <queryTableField id="60" name="21/06 NIGHT" tableColumnId="60"/>
      <queryTableField id="61" name="22/06 AM" tableColumnId="61"/>
      <queryTableField id="62" name="22/06 PM" tableColumnId="62"/>
      <queryTableField id="63" name="22/06 NIGHT" tableColumnId="63"/>
      <queryTableField id="64" name="23/06 AM" tableColumnId="64"/>
      <queryTableField id="65" name="23/06 PM" tableColumnId="65"/>
      <queryTableField id="66" name="23/06 NIGHT" tableColumnId="66"/>
      <queryTableField id="67" name="24/06 AM" tableColumnId="67"/>
      <queryTableField id="68" name="24/06 PM" tableColumnId="68"/>
      <queryTableField id="69" name="24/06 NIGHT" tableColumnId="69"/>
      <queryTableField id="70" name="25/06 AM" tableColumnId="70"/>
      <queryTableField id="71" name="25/06 PM" tableColumnId="71"/>
      <queryTableField id="72" name="25/06 NIGHT" tableColumnId="72"/>
      <queryTableField id="73" name="26/06 AM" tableColumnId="73"/>
      <queryTableField id="74" name="26/06 PM" tableColumnId="74"/>
      <queryTableField id="75" name="26/06 NIGHT" tableColumnId="75"/>
      <queryTableField id="76" name="27/06 AM" tableColumnId="76"/>
      <queryTableField id="77" name="27/06 PM" tableColumnId="77"/>
      <queryTableField id="78" name="27/06 NIGHT" tableColumnId="78"/>
      <queryTableField id="79" name="28/06 AM" tableColumnId="79"/>
      <queryTableField id="80" name="28/06 PM" tableColumnId="80"/>
      <queryTableField id="81" name="28/06 NIGHT" tableColumnId="81"/>
      <queryTableField id="82" name="29/06 AM" tableColumnId="82"/>
      <queryTableField id="83" name="29/06 PM" tableColumnId="83"/>
      <queryTableField id="84" name="29/06 NIGHT" tableColumnId="84"/>
      <queryTableField id="85" name="30/06 AM" tableColumnId="85"/>
      <queryTableField id="86" name="30/06 PM" tableColumnId="86"/>
      <queryTableField id="87" name="30/06 NIGHT" tableColumnId="87"/>
      <queryTableField id="46" name="1/07 AM" tableColumnId="46"/>
      <queryTableField id="47" name="1/07 PM" tableColumnId="47"/>
      <queryTableField id="48" name="1/07 NIGHT" tableColumnId="48"/>
      <queryTableField id="52" name="2/07 AM" tableColumnId="52"/>
      <queryTableField id="53" name="2/07 PM" tableColumnId="53"/>
      <queryTableField id="54" name="2/07 NIGHT" tableColumnId="5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595B395-B04C-4D92-934F-7DE87FEE1EA2}" autoFormatId="16" applyNumberFormats="0" applyBorderFormats="0" applyFontFormats="0" applyPatternFormats="0" applyAlignmentFormats="0" applyWidthHeightFormats="0">
  <queryTableRefresh nextId="141">
    <queryTableFields count="46">
      <queryTableField id="2" name="Name" tableColumnId="2"/>
      <queryTableField id="3" name="Role" tableColumnId="3"/>
      <queryTableField id="100" name="Rostered HRS" tableColumnId="89"/>
      <queryTableField id="1" name="Facility" tableColumnId="1"/>
      <queryTableField id="58" name="19/06 AM" tableColumnId="47"/>
      <queryTableField id="59" name="19/06 PM" tableColumnId="48"/>
      <queryTableField id="60" name="19/06 NIGHT" tableColumnId="49"/>
      <queryTableField id="61" name="20/06 AM" tableColumnId="50"/>
      <queryTableField id="62" name="20/06 PM" tableColumnId="51"/>
      <queryTableField id="63" name="20/06 NIGHT" tableColumnId="52"/>
      <queryTableField id="64" name="21/06 AM" tableColumnId="53"/>
      <queryTableField id="65" name="21/06 PM" tableColumnId="54"/>
      <queryTableField id="66" name="21/06 NIGHT" tableColumnId="55"/>
      <queryTableField id="67" name="22/06 AM" tableColumnId="56"/>
      <queryTableField id="68" name="22/06 PM" tableColumnId="57"/>
      <queryTableField id="69" name="22/06 NIGHT" tableColumnId="58"/>
      <queryTableField id="70" name="23/06 AM" tableColumnId="59"/>
      <queryTableField id="71" name="23/06 PM" tableColumnId="60"/>
      <queryTableField id="72" name="23/06 NIGHT" tableColumnId="61"/>
      <queryTableField id="73" name="24/06 AM" tableColumnId="62"/>
      <queryTableField id="74" name="24/06 PM" tableColumnId="63"/>
      <queryTableField id="75" name="24/06 NIGHT" tableColumnId="64"/>
      <queryTableField id="76" name="25/06 AM" tableColumnId="65"/>
      <queryTableField id="77" name="25/06 PM" tableColumnId="66"/>
      <queryTableField id="78" name="25/06 NIGHT" tableColumnId="67"/>
      <queryTableField id="79" name="26/06 AM" tableColumnId="68"/>
      <queryTableField id="80" name="26/06 PM" tableColumnId="69"/>
      <queryTableField id="81" name="26/06 NIGHT" tableColumnId="70"/>
      <queryTableField id="82" name="27/06 AM" tableColumnId="71"/>
      <queryTableField id="83" name="27/06 PM" tableColumnId="72"/>
      <queryTableField id="84" name="27/06 NIGHT" tableColumnId="73"/>
      <queryTableField id="85" name="28/06 AM" tableColumnId="74"/>
      <queryTableField id="86" name="28/06 PM" tableColumnId="75"/>
      <queryTableField id="87" name="28/06 NIGHT" tableColumnId="76"/>
      <queryTableField id="88" name="29/06 AM" tableColumnId="77"/>
      <queryTableField id="89" name="29/06 PM" tableColumnId="78"/>
      <queryTableField id="90" name="29/06 NIGHT" tableColumnId="79"/>
      <queryTableField id="91" name="30/06 AM" tableColumnId="80"/>
      <queryTableField id="92" name="30/06 PM" tableColumnId="81"/>
      <queryTableField id="93" name="30/06 NIGHT" tableColumnId="82"/>
      <queryTableField id="94" name="1/07 AM" tableColumnId="83"/>
      <queryTableField id="95" name="1/07 PM" tableColumnId="84"/>
      <queryTableField id="96" name="1/07 NIGHT" tableColumnId="85"/>
      <queryTableField id="97" name="2/07 AM" tableColumnId="86"/>
      <queryTableField id="98" name="2/07 PM" tableColumnId="87"/>
      <queryTableField id="99" name="2/07 NIGHT" tableColumnId="88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28EF48-D6BD-4AA0-91B2-1B97FAEFC55B}" name="Table39" displayName="Table39" ref="B12:AS62" totalsRowShown="0" headerRowDxfId="341" dataDxfId="340">
  <autoFilter ref="B12:AS62" xr:uid="{261324DE-253C-4CBC-B0F9-8E50C05E42DE}">
    <filterColumn colId="1">
      <filters>
        <filter val="Carer"/>
      </filters>
    </filterColumn>
  </autoFilter>
  <sortState xmlns:xlrd2="http://schemas.microsoft.com/office/spreadsheetml/2017/richdata2" ref="B13:AS62">
    <sortCondition ref="B12:B62"/>
  </sortState>
  <tableColumns count="44">
    <tableColumn id="1" xr3:uid="{A6C2E26B-75EE-4EF3-BF5F-D43321438D58}" name="NAME" dataDxfId="339">
      <calculatedColumnFormula>'Residual-Rostered'!#REF!</calculatedColumnFormula>
    </tableColumn>
    <tableColumn id="2" xr3:uid="{771D6473-754C-43E2-BA6F-2B62C6243AB7}" name="Column1" dataDxfId="338">
      <calculatedColumnFormula>'Residual-Rostered'!#REF!</calculatedColumnFormula>
    </tableColumn>
    <tableColumn id="3" xr3:uid="{DF63F9C1-59E3-4936-938C-89D6855D71D8}" name="1" dataDxfId="337">
      <calculatedColumnFormula>IF('Residual-Rostered'!#REF!=0,"-",'Residual-Rostered'!#REF!)</calculatedColumnFormula>
    </tableColumn>
    <tableColumn id="4" xr3:uid="{54440106-2AA5-4E7D-9C08-DE8E71F8C694}" name="2" dataDxfId="336">
      <calculatedColumnFormula>IF('Residual-Rostered'!#REF!=0,"-",'Residual-Rostered'!#REF!)</calculatedColumnFormula>
    </tableColumn>
    <tableColumn id="5" xr3:uid="{9ABE9D56-9774-4FF7-A5BF-EBE119D214D8}" name="3" dataDxfId="335">
      <calculatedColumnFormula>IF('Residual-Rostered'!#REF!=0,"-",'Residual-Rostered'!#REF!)</calculatedColumnFormula>
    </tableColumn>
    <tableColumn id="6" xr3:uid="{CC96F90D-AE37-48B3-B3BF-7AF3BCE004BE}" name="4" dataDxfId="334">
      <calculatedColumnFormula>IF('Residual-Rostered'!#REF!=0,"-",'Residual-Rostered'!#REF!)</calculatedColumnFormula>
    </tableColumn>
    <tableColumn id="7" xr3:uid="{B3FDB5AD-B729-40CE-8F47-52F29790A4A3}" name="5" dataDxfId="333">
      <calculatedColumnFormula>IF('Residual-Rostered'!#REF!=0,"-",'Residual-Rostered'!#REF!)</calculatedColumnFormula>
    </tableColumn>
    <tableColumn id="8" xr3:uid="{CE3529F0-0953-4817-B8D9-B0B4B629E96E}" name="6" dataDxfId="332">
      <calculatedColumnFormula>IF('Residual-Rostered'!#REF!=0,"-",'Residual-Rostered'!#REF!)</calculatedColumnFormula>
    </tableColumn>
    <tableColumn id="9" xr3:uid="{A568A6A8-9EDF-4A89-BEF3-074EC77C45F2}" name="7" dataDxfId="331">
      <calculatedColumnFormula>IF('Residual-Rostered'!#REF!=0,"-",'Residual-Rostered'!#REF!)</calculatedColumnFormula>
    </tableColumn>
    <tableColumn id="10" xr3:uid="{EC6D3444-59FF-4710-B472-605B19EC2190}" name="8" dataDxfId="330">
      <calculatedColumnFormula>IF('Residual-Rostered'!#REF!=0,"-",'Residual-Rostered'!#REF!)</calculatedColumnFormula>
    </tableColumn>
    <tableColumn id="11" xr3:uid="{F4E3D620-38B3-463F-B6CA-4F1339EABF1F}" name="9" dataDxfId="329">
      <calculatedColumnFormula>IF('Residual-Rostered'!#REF!=0,"-",'Residual-Rostered'!#REF!)</calculatedColumnFormula>
    </tableColumn>
    <tableColumn id="12" xr3:uid="{F9B3DA65-C6C1-424E-841A-14C3D2C8EE52}" name="10" dataDxfId="328">
      <calculatedColumnFormula>IF('Residual-Rostered'!#REF!=0,"-",'Residual-Rostered'!#REF!)</calculatedColumnFormula>
    </tableColumn>
    <tableColumn id="13" xr3:uid="{5A8B08FD-4F39-4A76-AB86-FC4189F0A211}" name="11" dataDxfId="327">
      <calculatedColumnFormula>IF('Residual-Rostered'!#REF!=0,"-",'Residual-Rostered'!#REF!)</calculatedColumnFormula>
    </tableColumn>
    <tableColumn id="14" xr3:uid="{098FF7D6-5A8F-479E-8137-2915422CE398}" name="12" dataDxfId="326">
      <calculatedColumnFormula>IF('Residual-Rostered'!#REF!=0,"-",'Residual-Rostered'!#REF!)</calculatedColumnFormula>
    </tableColumn>
    <tableColumn id="15" xr3:uid="{0190D24D-0911-4911-AF90-B59632FC4738}" name="13" dataDxfId="325">
      <calculatedColumnFormula>IF('Residual-Rostered'!#REF!=0,"-",'Residual-Rostered'!#REF!)</calculatedColumnFormula>
    </tableColumn>
    <tableColumn id="16" xr3:uid="{4E7AE8C5-34AE-45CE-A7DB-E03715F664FD}" name="14" dataDxfId="324">
      <calculatedColumnFormula>IF('Residual-Rostered'!#REF!=0,"-",'Residual-Rostered'!#REF!)</calculatedColumnFormula>
    </tableColumn>
    <tableColumn id="17" xr3:uid="{13E5611A-F192-4794-A3E3-138BBE93161F}" name="15" dataDxfId="323">
      <calculatedColumnFormula>IF('Residual-Rostered'!#REF!=0,"-",'Residual-Rostered'!#REF!)</calculatedColumnFormula>
    </tableColumn>
    <tableColumn id="18" xr3:uid="{0F51159A-4AEF-42BB-B39E-1F548C5085B5}" name="16" dataDxfId="322">
      <calculatedColumnFormula>IF('Residual-Rostered'!#REF!=0,"-",'Residual-Rostered'!#REF!)</calculatedColumnFormula>
    </tableColumn>
    <tableColumn id="19" xr3:uid="{45947F21-527F-4629-949C-B16156CD63E6}" name="17" dataDxfId="321">
      <calculatedColumnFormula>IF('Residual-Rostered'!#REF!=0,"-",'Residual-Rostered'!#REF!)</calculatedColumnFormula>
    </tableColumn>
    <tableColumn id="20" xr3:uid="{A041CB8E-E51C-4BF6-A0EE-E0F31D08EC2F}" name="18" dataDxfId="320">
      <calculatedColumnFormula>IF('Residual-Rostered'!#REF!=0,"-",'Residual-Rostered'!#REF!)</calculatedColumnFormula>
    </tableColumn>
    <tableColumn id="21" xr3:uid="{160ABA84-38E4-4B58-85FB-85D7DC551B25}" name="19" dataDxfId="319">
      <calculatedColumnFormula>IF('Residual-Rostered'!#REF!=0,"-",'Residual-Rostered'!#REF!)</calculatedColumnFormula>
    </tableColumn>
    <tableColumn id="22" xr3:uid="{47266F32-FEE4-4FB2-AF5A-53073D02D759}" name="20" dataDxfId="318">
      <calculatedColumnFormula>IF('Residual-Rostered'!#REF!=0,"-",'Residual-Rostered'!#REF!)</calculatedColumnFormula>
    </tableColumn>
    <tableColumn id="23" xr3:uid="{AB170FF5-5C9C-466B-9A17-29A8B41FCA96}" name="21" dataDxfId="317">
      <calculatedColumnFormula>IF('Residual-Rostered'!#REF!=0,"-",'Residual-Rostered'!#REF!)</calculatedColumnFormula>
    </tableColumn>
    <tableColumn id="24" xr3:uid="{02F8BFF0-F572-444D-A745-FC729E96519F}" name="22" dataDxfId="316">
      <calculatedColumnFormula>IF('Residual-Rostered'!#REF!=0,"-",'Residual-Rostered'!#REF!)</calculatedColumnFormula>
    </tableColumn>
    <tableColumn id="25" xr3:uid="{66EE30FC-BAF3-404E-9909-C1532E99B27F}" name="23" dataDxfId="315">
      <calculatedColumnFormula>IF('Residual-Rostered'!#REF!=0,"-",'Residual-Rostered'!#REF!)</calculatedColumnFormula>
    </tableColumn>
    <tableColumn id="26" xr3:uid="{46DFCB61-3290-4904-B51B-26910E4AAA93}" name="24" dataDxfId="314">
      <calculatedColumnFormula>IF('Residual-Rostered'!#REF!=0,"-",'Residual-Rostered'!#REF!)</calculatedColumnFormula>
    </tableColumn>
    <tableColumn id="27" xr3:uid="{FDB19066-299B-4529-9893-8151BE34A8FD}" name="25" dataDxfId="313">
      <calculatedColumnFormula>IF('Residual-Rostered'!#REF!=0,"-",'Residual-Rostered'!#REF!)</calculatedColumnFormula>
    </tableColumn>
    <tableColumn id="28" xr3:uid="{E2CFB88F-7590-4987-BC9E-05C69BD21626}" name="26" dataDxfId="312">
      <calculatedColumnFormula>IF('Residual-Rostered'!#REF!=0,"-",'Residual-Rostered'!#REF!)</calculatedColumnFormula>
    </tableColumn>
    <tableColumn id="29" xr3:uid="{6B6D634C-4115-475F-85AA-43D2FAEF93B8}" name="27" dataDxfId="311">
      <calculatedColumnFormula>IF('Residual-Rostered'!#REF!=0,"-",'Residual-Rostered'!#REF!)</calculatedColumnFormula>
    </tableColumn>
    <tableColumn id="30" xr3:uid="{FB1BC438-9924-40BF-9DCF-276DD31003E5}" name="28" dataDxfId="310">
      <calculatedColumnFormula>IF('Residual-Rostered'!#REF!=0,"-",'Residual-Rostered'!#REF!)</calculatedColumnFormula>
    </tableColumn>
    <tableColumn id="31" xr3:uid="{54634EF3-CDA5-4D89-A5D8-32657FD9B5DB}" name="29" dataDxfId="309">
      <calculatedColumnFormula>IF('Residual-Rostered'!#REF!=0,"-",'Residual-Rostered'!#REF!)</calculatedColumnFormula>
    </tableColumn>
    <tableColumn id="32" xr3:uid="{5F6D6F05-DF3B-44C2-9DDD-19C218190BA3}" name="30" dataDxfId="308">
      <calculatedColumnFormula>IF('Residual-Rostered'!#REF!=0,"-",'Residual-Rostered'!#REF!)</calculatedColumnFormula>
    </tableColumn>
    <tableColumn id="33" xr3:uid="{A0FFBA99-FEBE-412C-ACE3-A18C8CF6B083}" name="31" dataDxfId="307">
      <calculatedColumnFormula>IF('Residual-Rostered'!#REF!=0,"-",'Residual-Rostered'!#REF!)</calculatedColumnFormula>
    </tableColumn>
    <tableColumn id="34" xr3:uid="{65C7F2EA-1AD5-4D27-8014-2F5B2D6B641E}" name="32" dataDxfId="306">
      <calculatedColumnFormula>IF('Residual-Rostered'!#REF!=0,"-",'Residual-Rostered'!#REF!)</calculatedColumnFormula>
    </tableColumn>
    <tableColumn id="35" xr3:uid="{FC2D5DE1-148C-4208-B8F9-9AEA3A2C5BD2}" name="33" dataDxfId="305">
      <calculatedColumnFormula>IF('Residual-Rostered'!#REF!=0,"-",'Residual-Rostered'!#REF!)</calculatedColumnFormula>
    </tableColumn>
    <tableColumn id="36" xr3:uid="{BEC8E857-28CF-401F-83F9-A1829DAE5AF5}" name="34" dataDxfId="304">
      <calculatedColumnFormula>IF('Residual-Rostered'!#REF!=0,"-",'Residual-Rostered'!#REF!)</calculatedColumnFormula>
    </tableColumn>
    <tableColumn id="37" xr3:uid="{34B56021-9757-4F47-9553-1D273E57B882}" name="35" dataDxfId="303">
      <calculatedColumnFormula>IF('Residual-Rostered'!#REF!=0,"-",'Residual-Rostered'!#REF!)</calculatedColumnFormula>
    </tableColumn>
    <tableColumn id="38" xr3:uid="{B6E607E6-31DC-4FDC-A08F-C8AE74004E63}" name="36" dataDxfId="302">
      <calculatedColumnFormula>IF('Residual-Rostered'!#REF!=0,"-",'Residual-Rostered'!#REF!)</calculatedColumnFormula>
    </tableColumn>
    <tableColumn id="39" xr3:uid="{A96F9BAB-6399-494E-8DA9-8B9D3B03522E}" name="37" dataDxfId="301">
      <calculatedColumnFormula>IF('Residual-Rostered'!#REF!=0,"-",'Residual-Rostered'!#REF!)</calculatedColumnFormula>
    </tableColumn>
    <tableColumn id="40" xr3:uid="{5A63FAE5-84F0-4A6E-97E3-2DD4C493EB42}" name="38" dataDxfId="300">
      <calculatedColumnFormula>IF('Residual-Rostered'!#REF!=0,"-",'Residual-Rostered'!#REF!)</calculatedColumnFormula>
    </tableColumn>
    <tableColumn id="41" xr3:uid="{ECF5DF7A-A938-4737-B2AF-183B5A6E778D}" name="39" dataDxfId="299">
      <calculatedColumnFormula>IF('Residual-Rostered'!#REF!=0,"-",'Residual-Rostered'!#REF!)</calculatedColumnFormula>
    </tableColumn>
    <tableColumn id="42" xr3:uid="{E5F2AE5D-CC06-45B2-8BAA-6844733D40BB}" name="40" dataDxfId="298">
      <calculatedColumnFormula>IF('Residual-Rostered'!#REF!=0,"-",'Residual-Rostered'!#REF!)</calculatedColumnFormula>
    </tableColumn>
    <tableColumn id="43" xr3:uid="{89F160D0-06E5-4459-B4A4-CF573ACF0E68}" name="41" dataDxfId="297">
      <calculatedColumnFormula>IF('Residual-Rostered'!#REF!=0,"-",'Residual-Rostered'!#REF!)</calculatedColumnFormula>
    </tableColumn>
    <tableColumn id="44" xr3:uid="{33FAEFBC-270C-4798-A1D0-894101E4B8AA}" name="42" dataDxfId="296">
      <calculatedColumnFormula>IF('Residual-Rostered'!#REF!=0,"-",'Residual-Rostered'!#REF!)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60EC48-A517-412E-B1CB-20C4AF925392}" name="Folder" displayName="Folder" ref="B35:B36" totalsRowShown="0" dataDxfId="295" dataCellStyle="Normal 2">
  <autoFilter ref="B35:B36" xr:uid="{56272DB7-7BB8-46CC-B188-5BD9424345D9}"/>
  <tableColumns count="1">
    <tableColumn id="1" xr3:uid="{D8465287-A2B3-4C4E-AA1C-5EFD83E5A728}" name="Folder" dataDxfId="294" dataCellStyle="Normal 2">
      <calculatedColumnFormula>B20&amp;"\"&amp;B7&amp;"\"&amp;B14&amp;"\"&amp;B15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CB6996-BCA1-4642-84EA-9E443151A681}" name="Table5" displayName="Table5" ref="J1:K3" totalsRowShown="0" headerRowDxfId="293" dataDxfId="292" headerRowCellStyle="Normal 2" dataCellStyle="Normal 2">
  <autoFilter ref="J1:K3" xr:uid="{13CB6996-BCA1-4642-84EA-9E443151A681}"/>
  <tableColumns count="2">
    <tableColumn id="1" xr3:uid="{43DD7ADD-D531-4238-97F5-CE77FE1E5A1F}" name="UNITS" dataDxfId="291" dataCellStyle="Normal 2"/>
    <tableColumn id="2" xr3:uid="{50B3CA64-923C-48CB-B5E1-6356A9A8BBE3}" name="HRS/FTE" dataDxfId="290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F06FD67-473D-4997-928D-098090F774B5}" name="Table314" displayName="Table314" ref="B17:AW83" totalsRowShown="0" headerRowDxfId="289" dataDxfId="288">
  <autoFilter ref="B17:AW83" xr:uid="{261324DE-253C-4CBC-B0F9-8E50C05E42DE}"/>
  <sortState xmlns:xlrd2="http://schemas.microsoft.com/office/spreadsheetml/2017/richdata2" ref="B38:AW83">
    <sortCondition ref="AM17:AM83"/>
  </sortState>
  <tableColumns count="48">
    <tableColumn id="2" xr3:uid="{0DA2ADE8-D660-4CEB-809E-A637740C6910}" name="Role]" dataDxfId="287">
      <calculatedColumnFormula>'Residual-RosteredMATRIX-CARER'!D2</calculatedColumnFormula>
    </tableColumn>
    <tableColumn id="1" xr3:uid="{A9A2F8AA-DBCB-4EE1-8C08-0DCB5619AD56}" name="NAME" dataDxfId="286">
      <calculatedColumnFormula>'Residual-RosteredMATRIX-CARER'!C2</calculatedColumnFormula>
    </tableColumn>
    <tableColumn id="45" xr3:uid="{CCF527DD-28C8-4390-BDEC-908F8E912313}" name="ROSTERED TIME" dataDxfId="285">
      <calculatedColumnFormula>'Residual-RosteredMATRIX-RN'!E2</calculatedColumnFormula>
    </tableColumn>
    <tableColumn id="46" xr3:uid="{0D25946A-A905-4165-B729-6E945316F76C}" name="RESIDUAL TIME" dataDxfId="284">
      <calculatedColumnFormula>Max_HRS-Table314[[#This Row],[ROSTERED TIME]]</calculatedColumnFormula>
    </tableColumn>
    <tableColumn id="47" xr3:uid="{0EB7D9F2-F67B-474E-B48E-B136478A60F4}" name="CHANGE TIME" dataDxfId="283">
      <calculatedColumnFormula>SUM(H18:AV18)</calculatedColumnFormula>
    </tableColumn>
    <tableColumn id="48" xr3:uid="{6A3B505A-682E-4FDF-93A3-B6ACF0C5297F}" name="CHANGED TOTAL" dataDxfId="282">
      <calculatedColumnFormula>Table314[[#This Row],[ROSTERED TIME]]+Table314[[#This Row],[CHANGE TIME]]</calculatedColumnFormula>
    </tableColumn>
    <tableColumn id="4" xr3:uid="{B41F697C-C757-4833-AD3E-C41BC3634BED}" name="2" dataDxfId="281">
      <calculatedColumnFormula>IF('Residual-RosteredMATRIX-RN'!F2=0,"",'Residual-RosteredMATRIX-RN'!F2)</calculatedColumnFormula>
    </tableColumn>
    <tableColumn id="5" xr3:uid="{ED30E724-8091-4E59-8675-F850BCF899BB}" name="3" dataDxfId="280">
      <calculatedColumnFormula>IF('Residual-RosteredMATRIX-RN'!G2=0,"",'Residual-RosteredMATRIX-RN'!G2)</calculatedColumnFormula>
    </tableColumn>
    <tableColumn id="6" xr3:uid="{DE0AB4CD-4322-4ED7-A819-478F1D91DC96}" name="4" dataDxfId="279">
      <calculatedColumnFormula>IF('Residual-RosteredMATRIX-RN'!H2=0,"",'Residual-RosteredMATRIX-RN'!H2)</calculatedColumnFormula>
    </tableColumn>
    <tableColumn id="7" xr3:uid="{C33AC24F-25C3-470B-85A5-D67105B1F652}" name="5" dataDxfId="278">
      <calculatedColumnFormula>IF('Residual-RosteredMATRIX-RN'!I2=0,"",'Residual-RosteredMATRIX-RN'!I2)</calculatedColumnFormula>
    </tableColumn>
    <tableColumn id="8" xr3:uid="{B89D65C3-C464-46AD-9B53-5D1D6123466C}" name="6" dataDxfId="277">
      <calculatedColumnFormula>IF('Residual-RosteredMATRIX-RN'!J2=0,"",'Residual-RosteredMATRIX-RN'!J2)</calculatedColumnFormula>
    </tableColumn>
    <tableColumn id="9" xr3:uid="{AAFFF4F8-4DFF-4F76-881E-9E704B871795}" name="7" dataDxfId="276">
      <calculatedColumnFormula>IF('Residual-RosteredMATRIX-RN'!K2=0,"",'Residual-RosteredMATRIX-RN'!K2)</calculatedColumnFormula>
    </tableColumn>
    <tableColumn id="10" xr3:uid="{4977E64C-B235-43B7-8759-9BEE97D0AE9A}" name="8" dataDxfId="275">
      <calculatedColumnFormula>IF('Residual-RosteredMATRIX-RN'!L2=0,"",'Residual-RosteredMATRIX-RN'!L2)</calculatedColumnFormula>
    </tableColumn>
    <tableColumn id="11" xr3:uid="{DB287EA0-52D3-476D-844F-E641DAD4326D}" name="9" dataDxfId="274">
      <calculatedColumnFormula>IF('Residual-RosteredMATRIX-RN'!M2=0,"",'Residual-RosteredMATRIX-RN'!M2)</calculatedColumnFormula>
    </tableColumn>
    <tableColumn id="12" xr3:uid="{539C787A-8BDF-4DE2-A306-F0AE5C0E43C5}" name="10" dataDxfId="273">
      <calculatedColumnFormula>IF('Residual-RosteredMATRIX-RN'!N2=0,"",'Residual-RosteredMATRIX-RN'!N2)</calculatedColumnFormula>
    </tableColumn>
    <tableColumn id="13" xr3:uid="{F9033F0F-8E87-45E5-8EDF-AC592E44A729}" name="11" dataDxfId="272">
      <calculatedColumnFormula>IF('Residual-RosteredMATRIX-RN'!O2=0,"",'Residual-RosteredMATRIX-RN'!O2)</calculatedColumnFormula>
    </tableColumn>
    <tableColumn id="14" xr3:uid="{D0D70257-3B98-4A99-A656-9414ACA59CDF}" name="12" dataDxfId="271">
      <calculatedColumnFormula>IF('Residual-RosteredMATRIX-RN'!P2=0,"",'Residual-RosteredMATRIX-RN'!P2)</calculatedColumnFormula>
    </tableColumn>
    <tableColumn id="15" xr3:uid="{0B23E1C0-0052-462B-B11B-1500AE28266A}" name="13" dataDxfId="270">
      <calculatedColumnFormula>IF('Residual-RosteredMATRIX-RN'!Q2=0,"",'Residual-RosteredMATRIX-RN'!Q2)</calculatedColumnFormula>
    </tableColumn>
    <tableColumn id="16" xr3:uid="{26395EC7-364D-44F1-836B-BAEA2D1E0BBC}" name="14" dataDxfId="269">
      <calculatedColumnFormula>IF('Residual-RosteredMATRIX-RN'!R2=0,"",'Residual-RosteredMATRIX-RN'!R2)</calculatedColumnFormula>
    </tableColumn>
    <tableColumn id="17" xr3:uid="{679D6D07-442D-465A-B1D8-491FBD05BB0D}" name="15" dataDxfId="268">
      <calculatedColumnFormula>IF('Residual-RosteredMATRIX-RN'!S2=0,"",'Residual-RosteredMATRIX-RN'!S2)</calculatedColumnFormula>
    </tableColumn>
    <tableColumn id="18" xr3:uid="{8EBF54A7-D09F-4B08-9D93-8B4B258E1C2C}" name="16" dataDxfId="267">
      <calculatedColumnFormula>IF('Residual-RosteredMATRIX-RN'!T2=0,"",'Residual-RosteredMATRIX-RN'!T2)</calculatedColumnFormula>
    </tableColumn>
    <tableColumn id="19" xr3:uid="{336152BF-658F-45F2-B704-31BEC9165AA5}" name="17" dataDxfId="266">
      <calculatedColumnFormula>IF('Residual-RosteredMATRIX-RN'!U2=0,"",'Residual-RosteredMATRIX-RN'!U2)</calculatedColumnFormula>
    </tableColumn>
    <tableColumn id="20" xr3:uid="{0DFBC9D8-D25A-4A0F-94C3-E96B62FDC43A}" name="18" dataDxfId="265">
      <calculatedColumnFormula>IF('Residual-RosteredMATRIX-RN'!V2=0,"",'Residual-RosteredMATRIX-RN'!V2)</calculatedColumnFormula>
    </tableColumn>
    <tableColumn id="21" xr3:uid="{3A9B1244-C30D-48BA-B1E4-B3585105613F}" name="19" dataDxfId="264">
      <calculatedColumnFormula>IF('Residual-RosteredMATRIX-RN'!W2=0,"",'Residual-RosteredMATRIX-RN'!W2)</calculatedColumnFormula>
    </tableColumn>
    <tableColumn id="22" xr3:uid="{AEBD221E-85D8-47F4-8558-7747EFF534F4}" name="20" dataDxfId="263">
      <calculatedColumnFormula>IF('Residual-RosteredMATRIX-RN'!X2=0,"",'Residual-RosteredMATRIX-RN'!X2)</calculatedColumnFormula>
    </tableColumn>
    <tableColumn id="23" xr3:uid="{159AF5FE-DA1D-4C31-8087-FBFE7F677C25}" name="21" dataDxfId="262">
      <calculatedColumnFormula>IF('Residual-RosteredMATRIX-RN'!Y2=0,"",'Residual-RosteredMATRIX-RN'!Y2)</calculatedColumnFormula>
    </tableColumn>
    <tableColumn id="24" xr3:uid="{0B042394-824E-4976-9874-7A1AA2538F4C}" name="22" dataDxfId="261">
      <calculatedColumnFormula>IF('Residual-RosteredMATRIX-RN'!Z2=0,"",'Residual-RosteredMATRIX-RN'!Z2)</calculatedColumnFormula>
    </tableColumn>
    <tableColumn id="25" xr3:uid="{FB88341B-263D-4989-ABC9-F6C0E57C89AF}" name="23" dataDxfId="260">
      <calculatedColumnFormula>IF('Residual-RosteredMATRIX-RN'!AA2=0,"",'Residual-RosteredMATRIX-RN'!AA2)</calculatedColumnFormula>
    </tableColumn>
    <tableColumn id="26" xr3:uid="{70126DC7-F4DB-4263-9F9D-2AE0BFFCECAC}" name="24" dataDxfId="259">
      <calculatedColumnFormula>IF('Residual-RosteredMATRIX-RN'!AB2=0,"",'Residual-RosteredMATRIX-RN'!AB2)</calculatedColumnFormula>
    </tableColumn>
    <tableColumn id="27" xr3:uid="{731F8D3B-EB6B-48AF-A1CA-179ADC234F66}" name="25" dataDxfId="258">
      <calculatedColumnFormula>IF('Residual-RosteredMATRIX-RN'!AC2=0,"",'Residual-RosteredMATRIX-RN'!AC2)</calculatedColumnFormula>
    </tableColumn>
    <tableColumn id="28" xr3:uid="{2F2F9118-C756-4E90-B3D0-04138B606049}" name="26" dataDxfId="257">
      <calculatedColumnFormula>IF('Residual-RosteredMATRIX-RN'!AD2=0,"",'Residual-RosteredMATRIX-RN'!AD2)</calculatedColumnFormula>
    </tableColumn>
    <tableColumn id="29" xr3:uid="{C549B0B4-8E4A-463E-80DA-BA120C303206}" name="27" dataDxfId="256">
      <calculatedColumnFormula>IF('Residual-RosteredMATRIX-RN'!AE2=0,"",'Residual-RosteredMATRIX-RN'!AE2)</calculatedColumnFormula>
    </tableColumn>
    <tableColumn id="30" xr3:uid="{D35B92BD-30F9-4871-A2FF-37FACE8E7996}" name="28" dataDxfId="255">
      <calculatedColumnFormula>IF('Residual-RosteredMATRIX-RN'!AF2=0,"",'Residual-RosteredMATRIX-RN'!AF2)</calculatedColumnFormula>
    </tableColumn>
    <tableColumn id="31" xr3:uid="{F2493B4D-71B1-49A9-AF6C-2179B97A4F15}" name="29" dataDxfId="254">
      <calculatedColumnFormula>IF('Residual-RosteredMATRIX-RN'!AG2=0,"",'Residual-RosteredMATRIX-RN'!AG2)</calculatedColumnFormula>
    </tableColumn>
    <tableColumn id="32" xr3:uid="{5AC18D69-A819-4B09-B485-3D2C65C742B9}" name="30" dataDxfId="253">
      <calculatedColumnFormula>IF('Residual-RosteredMATRIX-RN'!AH2=0,"",'Residual-RosteredMATRIX-RN'!AH2)</calculatedColumnFormula>
    </tableColumn>
    <tableColumn id="33" xr3:uid="{277FF8A3-F725-4271-834F-C094B7FC8E7E}" name="31" dataDxfId="252">
      <calculatedColumnFormula>IF('Residual-RosteredMATRIX-RN'!AI2=0,"",'Residual-RosteredMATRIX-RN'!AI2)</calculatedColumnFormula>
    </tableColumn>
    <tableColumn id="34" xr3:uid="{50D02A1D-D765-4D80-B8A7-69A952CB84A9}" name="32" dataDxfId="251">
      <calculatedColumnFormula>IF('Residual-RosteredMATRIX-RN'!AJ2=0,"",'Residual-RosteredMATRIX-RN'!AJ2)</calculatedColumnFormula>
    </tableColumn>
    <tableColumn id="35" xr3:uid="{F456D3F5-0E0A-48F8-BB12-10CB6899C268}" name="33" dataDxfId="250">
      <calculatedColumnFormula>IF('Residual-RosteredMATRIX-RN'!AK2=0,"",'Residual-RosteredMATRIX-RN'!AK2)</calculatedColumnFormula>
    </tableColumn>
    <tableColumn id="36" xr3:uid="{6ABA8B2B-B57F-4214-BB89-E9BF1BB6A373}" name="34" dataDxfId="249">
      <calculatedColumnFormula>IF('Residual-RosteredMATRIX-RN'!AL2=0,"",'Residual-RosteredMATRIX-RN'!AL2)</calculatedColumnFormula>
    </tableColumn>
    <tableColumn id="37" xr3:uid="{2C691461-E537-4649-9041-1F10FCC446A5}" name="35" dataDxfId="248">
      <calculatedColumnFormula>IF('Residual-RosteredMATRIX-RN'!AM2=0,"",'Residual-RosteredMATRIX-RN'!AM2)</calculatedColumnFormula>
    </tableColumn>
    <tableColumn id="38" xr3:uid="{817FC946-D3B9-4BB9-8B4E-679B8E82F55F}" name="36" dataDxfId="247">
      <calculatedColumnFormula>IF('Residual-RosteredMATRIX-RN'!AN2=0,"",'Residual-RosteredMATRIX-RN'!AN2)</calculatedColumnFormula>
    </tableColumn>
    <tableColumn id="39" xr3:uid="{45F6A916-DC47-4B81-85F6-6A90F0365AAE}" name="37" dataDxfId="246">
      <calculatedColumnFormula>IF('Residual-RosteredMATRIX-RN'!AO2=0,"",'Residual-RosteredMATRIX-RN'!AO2)</calculatedColumnFormula>
    </tableColumn>
    <tableColumn id="40" xr3:uid="{D70B0FFD-E3B8-43A9-8312-5DD44878798E}" name="38" dataDxfId="245">
      <calculatedColumnFormula>IF('Residual-RosteredMATRIX-RN'!AP2=0,"",'Residual-RosteredMATRIX-RN'!AP2)</calculatedColumnFormula>
    </tableColumn>
    <tableColumn id="41" xr3:uid="{4AF6D0C5-B6DD-4B26-B7F0-61F44A4A2026}" name="39" dataDxfId="244">
      <calculatedColumnFormula>IF('Residual-RosteredMATRIX-RN'!AQ2=0,"",'Residual-RosteredMATRIX-RN'!AQ2)</calculatedColumnFormula>
    </tableColumn>
    <tableColumn id="42" xr3:uid="{ABF38578-A3E7-4504-97E3-D431DF01D9AC}" name="40" dataDxfId="243">
      <calculatedColumnFormula>IF('Residual-RosteredMATRIX-RN'!AR2=0,"",'Residual-RosteredMATRIX-RN'!AR2)</calculatedColumnFormula>
    </tableColumn>
    <tableColumn id="43" xr3:uid="{8896DE95-C4E7-4BAB-89EF-1189F6EE303E}" name="41" dataDxfId="242">
      <calculatedColumnFormula>IF('Residual-RosteredMATRIX-RN'!AS2=0,"",'Residual-RosteredMATRIX-RN'!AS2)</calculatedColumnFormula>
    </tableColumn>
    <tableColumn id="44" xr3:uid="{287D2704-837E-437D-8B67-BD2E04B3BF32}" name="42" dataDxfId="241">
      <calculatedColumnFormula>IF('Residual-RosteredMATRIX-RN'!AT2=0,"",'Residual-RosteredMATRIX-RN'!AT2)</calculatedColumnFormula>
    </tableColumn>
    <tableColumn id="3" xr3:uid="{FDD428D3-00F9-4FE0-B206-5CE4631DDCEA}" name="43" dataDxfId="240">
      <calculatedColumnFormula>IF('Residual-RosteredMATRIX-RN'!AU2=0,"",'Residual-RosteredMATRIX-RN'!AU2)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E3E5F59-0350-4AAD-AAC3-1B976EAD8622}" name="Table915" displayName="Table915" ref="B1:C2" totalsRowShown="0">
  <autoFilter ref="B1:C2" xr:uid="{E4D4AC01-5A53-464D-A029-C5677C4229D7}"/>
  <tableColumns count="2">
    <tableColumn id="1" xr3:uid="{F5644091-166B-4101-8E51-01C891EF97AB}" name="Column1" dataDxfId="239"/>
    <tableColumn id="2" xr3:uid="{301B079E-F247-4019-AC2E-53347072AA5B}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1324DE-253C-4CBC-B0F9-8E50C05E42DE}" name="Table3" displayName="Table3" ref="B17:AW82" totalsRowShown="0" headerRowDxfId="238" dataDxfId="237">
  <autoFilter ref="B17:AW82" xr:uid="{261324DE-253C-4CBC-B0F9-8E50C05E42DE}"/>
  <sortState xmlns:xlrd2="http://schemas.microsoft.com/office/spreadsheetml/2017/richdata2" ref="C18:AV71">
    <sortCondition ref="C17:C82"/>
  </sortState>
  <tableColumns count="48">
    <tableColumn id="2" xr3:uid="{3F57ADE9-C8D4-46FA-ADA4-CE90843A62E0}" name="Role]" dataDxfId="236">
      <calculatedColumnFormula>'Residual-RosteredMATRIX-RN'!D2</calculatedColumnFormula>
    </tableColumn>
    <tableColumn id="1" xr3:uid="{9BA3E99E-4587-40C7-8A1E-32321FFE7A5E}" name="NAME" dataDxfId="235">
      <calculatedColumnFormula>'Residual-RosteredMATRIX-RN'!C2</calculatedColumnFormula>
    </tableColumn>
    <tableColumn id="45" xr3:uid="{856AB1AA-FC9B-46B4-80B1-3915960C2258}" name="ROSTERED TIME" dataDxfId="234">
      <calculatedColumnFormula>'Residual-RosteredMATRIX-RN'!E2</calculatedColumnFormula>
    </tableColumn>
    <tableColumn id="46" xr3:uid="{78ADA96D-F547-4847-A034-03A4E819D696}" name="RESIDUAL TIME" dataDxfId="233">
      <calculatedColumnFormula>Max_HRS-Table3[[#This Row],[ROSTERED TIME]]</calculatedColumnFormula>
    </tableColumn>
    <tableColumn id="47" xr3:uid="{8AE50666-C78F-4D4B-B86B-B3BD3205A8A7}" name="CHANGE TIME" dataDxfId="232">
      <calculatedColumnFormula>SUM(H18:AV18)</calculatedColumnFormula>
    </tableColumn>
    <tableColumn id="48" xr3:uid="{1AC165FA-B57A-48D2-8AAB-5D74BD476823}" name="CHANGED TOTAL" dataDxfId="231">
      <calculatedColumnFormula>Table3[[#This Row],[ROSTERED TIME]]+Table3[[#This Row],[CHANGE TIME]]</calculatedColumnFormula>
    </tableColumn>
    <tableColumn id="4" xr3:uid="{E0D6F3FA-F44E-497D-BE2C-00DE1566508C}" name="2" dataDxfId="230">
      <calculatedColumnFormula>IF('Residual-RosteredMATRIX-RN'!F2=0,"",'Residual-RosteredMATRIX-RN'!F2)</calculatedColumnFormula>
    </tableColumn>
    <tableColumn id="5" xr3:uid="{2E2DB928-F9BF-418E-BA36-EB7F57E3CD4E}" name="3" dataDxfId="229">
      <calculatedColumnFormula>IF('Residual-RosteredMATRIX-RN'!G2=0,"",'Residual-RosteredMATRIX-RN'!G2)</calculatedColumnFormula>
    </tableColumn>
    <tableColumn id="6" xr3:uid="{D2C4FC10-9C57-4237-8E48-0671C19956CE}" name="4" dataDxfId="228">
      <calculatedColumnFormula>IF('Residual-RosteredMATRIX-RN'!H2=0,"",'Residual-RosteredMATRIX-RN'!H2)</calculatedColumnFormula>
    </tableColumn>
    <tableColumn id="7" xr3:uid="{CAB79E37-FAAB-4F14-B17D-4BA1D83EF273}" name="5" dataDxfId="227">
      <calculatedColumnFormula>IF('Residual-RosteredMATRIX-RN'!I2=0,"",'Residual-RosteredMATRIX-RN'!I2)</calculatedColumnFormula>
    </tableColumn>
    <tableColumn id="8" xr3:uid="{A0DD6C24-AFA6-49AE-8AA9-8880E5A56B43}" name="6" dataDxfId="226">
      <calculatedColumnFormula>IF('Residual-RosteredMATRIX-RN'!J2=0,"",'Residual-RosteredMATRIX-RN'!J2)</calculatedColumnFormula>
    </tableColumn>
    <tableColumn id="9" xr3:uid="{AEF40320-5065-432C-A4AB-B5031A4B5414}" name="7" dataDxfId="225">
      <calculatedColumnFormula>IF('Residual-RosteredMATRIX-RN'!K2=0,"",'Residual-RosteredMATRIX-RN'!K2)</calculatedColumnFormula>
    </tableColumn>
    <tableColumn id="10" xr3:uid="{67B527D5-5878-4839-800A-B38F77CC770A}" name="8" dataDxfId="224">
      <calculatedColumnFormula>IF('Residual-RosteredMATRIX-RN'!L2=0,"",'Residual-RosteredMATRIX-RN'!L2)</calculatedColumnFormula>
    </tableColumn>
    <tableColumn id="11" xr3:uid="{87AFBE69-B777-48EA-82DB-15DD9B6CF083}" name="9" dataDxfId="223">
      <calculatedColumnFormula>IF('Residual-RosteredMATRIX-RN'!M2=0,"",'Residual-RosteredMATRIX-RN'!M2)</calculatedColumnFormula>
    </tableColumn>
    <tableColumn id="12" xr3:uid="{84A528D3-C894-40D0-9D76-4AF482890AD2}" name="10" dataDxfId="222">
      <calculatedColumnFormula>IF('Residual-RosteredMATRIX-RN'!N2=0,"",'Residual-RosteredMATRIX-RN'!N2)</calculatedColumnFormula>
    </tableColumn>
    <tableColumn id="13" xr3:uid="{FFAD6971-7CBC-41CB-A676-508B90E71F59}" name="11" dataDxfId="221">
      <calculatedColumnFormula>IF('Residual-RosteredMATRIX-RN'!O2=0,"",'Residual-RosteredMATRIX-RN'!O2)</calculatedColumnFormula>
    </tableColumn>
    <tableColumn id="14" xr3:uid="{6A90F5D6-882D-48ED-AD0F-87676EE02B66}" name="12" dataDxfId="220">
      <calculatedColumnFormula>IF('Residual-RosteredMATRIX-RN'!P2=0,"",'Residual-RosteredMATRIX-RN'!P2)</calculatedColumnFormula>
    </tableColumn>
    <tableColumn id="15" xr3:uid="{74183B53-8B49-4080-89D5-70A867153C86}" name="13" dataDxfId="219">
      <calculatedColumnFormula>IF('Residual-RosteredMATRIX-RN'!Q2=0,"",'Residual-RosteredMATRIX-RN'!Q2)</calculatedColumnFormula>
    </tableColumn>
    <tableColumn id="16" xr3:uid="{A72BDA8B-087C-4518-B306-474BF8C9CC79}" name="14" dataDxfId="218">
      <calculatedColumnFormula>IF('Residual-RosteredMATRIX-RN'!R2=0,"",'Residual-RosteredMATRIX-RN'!R2)</calculatedColumnFormula>
    </tableColumn>
    <tableColumn id="17" xr3:uid="{45CEA711-42C3-4058-B4D4-6A4E399CEC48}" name="15" dataDxfId="217">
      <calculatedColumnFormula>IF('Residual-RosteredMATRIX-RN'!S2=0,"",'Residual-RosteredMATRIX-RN'!S2)</calculatedColumnFormula>
    </tableColumn>
    <tableColumn id="18" xr3:uid="{DA699F3D-AC52-4BA9-B1A8-286535B7AAE9}" name="16" dataDxfId="216">
      <calculatedColumnFormula>IF('Residual-RosteredMATRIX-RN'!T2=0,"",'Residual-RosteredMATRIX-RN'!T2)</calculatedColumnFormula>
    </tableColumn>
    <tableColumn id="19" xr3:uid="{A30885C7-6904-4C14-859F-7ED3E6E1768F}" name="17" dataDxfId="215">
      <calculatedColumnFormula>IF('Residual-RosteredMATRIX-RN'!U2=0,"",'Residual-RosteredMATRIX-RN'!U2)</calculatedColumnFormula>
    </tableColumn>
    <tableColumn id="20" xr3:uid="{E608E0C5-CAE4-4B13-B01E-399FE5E7D019}" name="18" dataDxfId="214">
      <calculatedColumnFormula>IF('Residual-RosteredMATRIX-RN'!V2=0,"",'Residual-RosteredMATRIX-RN'!V2)</calculatedColumnFormula>
    </tableColumn>
    <tableColumn id="21" xr3:uid="{5C943318-B365-4943-8A44-A8FC116D7C15}" name="19" dataDxfId="213">
      <calculatedColumnFormula>IF('Residual-RosteredMATRIX-RN'!W2=0,"",'Residual-RosteredMATRIX-RN'!W2)</calculatedColumnFormula>
    </tableColumn>
    <tableColumn id="22" xr3:uid="{53BFA137-85A4-4F91-86C9-ECF6C4345BC9}" name="20" dataDxfId="212">
      <calculatedColumnFormula>IF('Residual-RosteredMATRIX-RN'!X2=0,"",'Residual-RosteredMATRIX-RN'!X2)</calculatedColumnFormula>
    </tableColumn>
    <tableColumn id="23" xr3:uid="{7734EC81-13E9-4048-85B0-F606C78797C4}" name="21" dataDxfId="211">
      <calculatedColumnFormula>IF('Residual-RosteredMATRIX-RN'!Y2=0,"",'Residual-RosteredMATRIX-RN'!Y2)</calculatedColumnFormula>
    </tableColumn>
    <tableColumn id="24" xr3:uid="{9C93B80D-13E4-4633-A6EC-89B621CA2E3B}" name="22" dataDxfId="210">
      <calculatedColumnFormula>IF('Residual-RosteredMATRIX-RN'!Z2=0,"",'Residual-RosteredMATRIX-RN'!Z2)</calculatedColumnFormula>
    </tableColumn>
    <tableColumn id="25" xr3:uid="{55AB637A-D69F-4590-BE29-CE6DE2ADA5FF}" name="23" dataDxfId="209">
      <calculatedColumnFormula>IF('Residual-RosteredMATRIX-RN'!AA2=0,"",'Residual-RosteredMATRIX-RN'!AA2)</calculatedColumnFormula>
    </tableColumn>
    <tableColumn id="26" xr3:uid="{B8868990-415C-44A6-9197-E159C957DE8B}" name="24" dataDxfId="208">
      <calculatedColumnFormula>IF('Residual-RosteredMATRIX-RN'!AB2=0,"",'Residual-RosteredMATRIX-RN'!AB2)</calculatedColumnFormula>
    </tableColumn>
    <tableColumn id="27" xr3:uid="{5C014321-4AB1-49D3-97F0-B7DC5EA2A50B}" name="25" dataDxfId="207">
      <calculatedColumnFormula>IF('Residual-RosteredMATRIX-RN'!AC2=0,"",'Residual-RosteredMATRIX-RN'!AC2)</calculatedColumnFormula>
    </tableColumn>
    <tableColumn id="28" xr3:uid="{CC7C1BBC-6AA7-42E0-8AE0-2A6A7B4311EF}" name="26" dataDxfId="206">
      <calculatedColumnFormula>IF('Residual-RosteredMATRIX-RN'!AD2=0,"",'Residual-RosteredMATRIX-RN'!AD2)</calculatedColumnFormula>
    </tableColumn>
    <tableColumn id="29" xr3:uid="{AB599A4F-BD55-47F7-8024-624115395C0A}" name="27" dataDxfId="205">
      <calculatedColumnFormula>IF('Residual-RosteredMATRIX-RN'!AE2=0,"",'Residual-RosteredMATRIX-RN'!AE2)</calculatedColumnFormula>
    </tableColumn>
    <tableColumn id="30" xr3:uid="{F5522524-54A2-4105-88AD-D34C96B937D8}" name="28" dataDxfId="204">
      <calculatedColumnFormula>IF('Residual-RosteredMATRIX-RN'!AF2=0,"",'Residual-RosteredMATRIX-RN'!AF2)</calculatedColumnFormula>
    </tableColumn>
    <tableColumn id="31" xr3:uid="{8A013261-6DB2-4305-A88E-03A80CD5D8A3}" name="29" dataDxfId="203">
      <calculatedColumnFormula>IF('Residual-RosteredMATRIX-RN'!AG2=0,"",'Residual-RosteredMATRIX-RN'!AG2)</calculatedColumnFormula>
    </tableColumn>
    <tableColumn id="32" xr3:uid="{036C1164-310C-444C-826B-EB31AFEB8797}" name="30" dataDxfId="202">
      <calculatedColumnFormula>IF('Residual-RosteredMATRIX-RN'!AH2=0,"",'Residual-RosteredMATRIX-RN'!AH2)</calculatedColumnFormula>
    </tableColumn>
    <tableColumn id="33" xr3:uid="{309507DB-FB0D-4E5F-ABEF-825990210F53}" name="31" dataDxfId="201">
      <calculatedColumnFormula>IF('Residual-RosteredMATRIX-RN'!AI2=0,"",'Residual-RosteredMATRIX-RN'!AI2)</calculatedColumnFormula>
    </tableColumn>
    <tableColumn id="34" xr3:uid="{7653DBF8-8534-46E6-AD50-97A98E82DB4B}" name="32" dataDxfId="200">
      <calculatedColumnFormula>IF('Residual-RosteredMATRIX-RN'!AJ2=0,"",'Residual-RosteredMATRIX-RN'!AJ2)</calculatedColumnFormula>
    </tableColumn>
    <tableColumn id="35" xr3:uid="{9BE72E2E-9BE4-4569-9B20-35E27C547E6B}" name="33" dataDxfId="199">
      <calculatedColumnFormula>IF('Residual-RosteredMATRIX-RN'!AK2=0,"",'Residual-RosteredMATRIX-RN'!AK2)</calculatedColumnFormula>
    </tableColumn>
    <tableColumn id="36" xr3:uid="{98104A20-E805-42F4-A9EA-46156ED4DDC9}" name="34" dataDxfId="198">
      <calculatedColumnFormula>IF('Residual-RosteredMATRIX-RN'!AL2=0,"",'Residual-RosteredMATRIX-RN'!AL2)</calculatedColumnFormula>
    </tableColumn>
    <tableColumn id="37" xr3:uid="{FFB11A26-AAD2-40B8-BBE5-7FD9CAE1466C}" name="35" dataDxfId="197">
      <calculatedColumnFormula>IF('Residual-RosteredMATRIX-RN'!AM2=0,"",'Residual-RosteredMATRIX-RN'!AM2)</calculatedColumnFormula>
    </tableColumn>
    <tableColumn id="38" xr3:uid="{DD6FAD13-7DDA-4157-962B-26FDFAE73DE0}" name="36" dataDxfId="196">
      <calculatedColumnFormula>IF('Residual-RosteredMATRIX-RN'!AN2=0,"",'Residual-RosteredMATRIX-RN'!AN2)</calculatedColumnFormula>
    </tableColumn>
    <tableColumn id="39" xr3:uid="{E4DD3623-D69D-4D5C-BBA3-FB732659332F}" name="37" dataDxfId="195">
      <calculatedColumnFormula>IF('Residual-RosteredMATRIX-RN'!AO2=0,"",'Residual-RosteredMATRIX-RN'!AO2)</calculatedColumnFormula>
    </tableColumn>
    <tableColumn id="40" xr3:uid="{957A7DF2-C7DA-4D7C-8AC2-06D1D00E1B5B}" name="38" dataDxfId="194">
      <calculatedColumnFormula>IF('Residual-RosteredMATRIX-RN'!AP2=0,"",'Residual-RosteredMATRIX-RN'!AP2)</calculatedColumnFormula>
    </tableColumn>
    <tableColumn id="41" xr3:uid="{BCEBD796-AE0A-4DA9-8775-0947BEE158E6}" name="39" dataDxfId="193">
      <calculatedColumnFormula>IF('Residual-RosteredMATRIX-RN'!AQ2=0,"",'Residual-RosteredMATRIX-RN'!AQ2)</calculatedColumnFormula>
    </tableColumn>
    <tableColumn id="42" xr3:uid="{72DF6764-4574-4DA1-A920-28C8923CEA17}" name="40" dataDxfId="192">
      <calculatedColumnFormula>IF('Residual-RosteredMATRIX-RN'!AR2=0,"",'Residual-RosteredMATRIX-RN'!AR2)</calculatedColumnFormula>
    </tableColumn>
    <tableColumn id="43" xr3:uid="{3877FFD4-481C-4AA7-8CE6-C85E7D6835C2}" name="41" dataDxfId="191">
      <calculatedColumnFormula>IF('Residual-RosteredMATRIX-RN'!AS2=0,"",'Residual-RosteredMATRIX-RN'!AS2)</calculatedColumnFormula>
    </tableColumn>
    <tableColumn id="44" xr3:uid="{027D0140-AB6F-4F99-954F-02356CBAC695}" name="42" dataDxfId="190">
      <calculatedColumnFormula>IF('Residual-RosteredMATRIX-RN'!AT2=0,"",'Residual-RosteredMATRIX-RN'!AT2)</calculatedColumnFormula>
    </tableColumn>
    <tableColumn id="3" xr3:uid="{D41A7E3C-777F-40FA-8312-5EB7DE1A83DA}" name="43" dataDxfId="189">
      <calculatedColumnFormula>IF('Residual-RosteredMATRIX-RN'!AU2=0,"",'Residual-RosteredMATRIX-RN'!AU2)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D4AC01-5A53-464D-A029-C5677C4229D7}" name="Table9" displayName="Table9" ref="B1:C2" totalsRowShown="0">
  <autoFilter ref="B1:C2" xr:uid="{E4D4AC01-5A53-464D-A029-C5677C4229D7}"/>
  <tableColumns count="2">
    <tableColumn id="1" xr3:uid="{6823649D-D5E4-4238-8D7D-D32BFFEEF172}" name="Column1" dataDxfId="188"/>
    <tableColumn id="2" xr3:uid="{09CE7C0C-7696-4093-AE4F-C5DE9503D684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1B0822-29BD-4661-94B9-9FAADA401671}" name="Table_Residual_RosteredMATRIX_CARER" displayName="Table_Residual_RosteredMATRIX_CARER" ref="A1:AU50" tableType="queryTable" totalsRowShown="0">
  <autoFilter ref="A1:AU50" xr:uid="{151B0822-29BD-4661-94B9-9FAADA401671}"/>
  <tableColumns count="47">
    <tableColumn id="1" xr3:uid="{E9E40DC0-ABF7-4B5A-BC81-6E03AC473DD6}" uniqueName="1" name="Facility" queryTableFieldId="1"/>
    <tableColumn id="47" xr3:uid="{C27BBAE0-229E-4178-B357-069115F17EAB}" uniqueName="47" name="Status" queryTableFieldId="49" dataDxfId="385"/>
    <tableColumn id="2" xr3:uid="{2BEA6552-8E14-4F60-9F0D-78BBE5367183}" uniqueName="2" name="Name" queryTableFieldId="2" dataDxfId="384"/>
    <tableColumn id="3" xr3:uid="{DCEB0EB3-4BE1-4EE2-ADB1-745D84692168}" uniqueName="3" name="Role" queryTableFieldId="3"/>
    <tableColumn id="4" xr3:uid="{0F1A182F-BC7C-47EB-BB9C-85BCC265ADF4}" uniqueName="4" name="Rostered HRS" queryTableFieldId="4"/>
    <tableColumn id="5" xr3:uid="{28BAE0A1-EA27-40B3-8EFF-2CBB54A8223C}" uniqueName="5" name="19/06 AM" queryTableFieldId="5" dataDxfId="383"/>
    <tableColumn id="6" xr3:uid="{4C565359-8B03-4D94-8A35-D2A0A1913034}" uniqueName="6" name="19/06 PM" queryTableFieldId="6" dataDxfId="382"/>
    <tableColumn id="7" xr3:uid="{47813D48-0EB1-4A45-8330-ED9E84AF8A4E}" uniqueName="7" name="19/06 NIGHT" queryTableFieldId="7" dataDxfId="381"/>
    <tableColumn id="8" xr3:uid="{B63206D9-B65F-4AEC-9AC0-4E64E9E5F98C}" uniqueName="8" name="20/06 AM" queryTableFieldId="8" dataDxfId="380"/>
    <tableColumn id="9" xr3:uid="{356FA591-B134-490A-A3BC-C84BFA9D54FB}" uniqueName="9" name="20/06 PM" queryTableFieldId="9" dataDxfId="379"/>
    <tableColumn id="10" xr3:uid="{578E92C1-C335-4D28-A27B-9572D23C39DF}" uniqueName="10" name="20/06 NIGHT" queryTableFieldId="10" dataDxfId="378"/>
    <tableColumn id="11" xr3:uid="{390F99D0-DEDF-40A3-8F2B-E3D4D33F3D46}" uniqueName="11" name="21/06 AM" queryTableFieldId="11" dataDxfId="377"/>
    <tableColumn id="12" xr3:uid="{2C98E1C1-63E4-43C4-A449-43AB5B010B40}" uniqueName="12" name="21/06 PM" queryTableFieldId="12" dataDxfId="376"/>
    <tableColumn id="13" xr3:uid="{C2783028-2A84-4C2A-8886-3EC2617B90EE}" uniqueName="13" name="21/06 NIGHT" queryTableFieldId="13" dataDxfId="375"/>
    <tableColumn id="14" xr3:uid="{5D7FB176-3D9D-469C-B9A1-2EBAF66A0C3A}" uniqueName="14" name="22/06 AM" queryTableFieldId="14" dataDxfId="374"/>
    <tableColumn id="15" xr3:uid="{8FE19842-0B5A-4DC0-BF0F-92C997D1AED8}" uniqueName="15" name="22/06 PM" queryTableFieldId="15" dataDxfId="373"/>
    <tableColumn id="16" xr3:uid="{73530416-DA5F-4DCA-961A-67988B4D567F}" uniqueName="16" name="22/06 NIGHT" queryTableFieldId="16" dataDxfId="372"/>
    <tableColumn id="17" xr3:uid="{57CEB069-5320-4FDE-A63F-8F526B357E6A}" uniqueName="17" name="23/06 AM" queryTableFieldId="17" dataDxfId="371"/>
    <tableColumn id="18" xr3:uid="{8C82DFC8-1242-4F48-B4D2-C379D097DA96}" uniqueName="18" name="23/06 PM" queryTableFieldId="18" dataDxfId="370"/>
    <tableColumn id="19" xr3:uid="{69726D6A-1DBA-4546-AE65-902FB2553A22}" uniqueName="19" name="23/06 NIGHT" queryTableFieldId="19" dataDxfId="369"/>
    <tableColumn id="20" xr3:uid="{2DE03092-883F-42E8-A80F-6A3630E55E3E}" uniqueName="20" name="24/06 AM" queryTableFieldId="20" dataDxfId="368"/>
    <tableColumn id="21" xr3:uid="{E7E283F3-EB18-49FF-9729-9B6E61B48A57}" uniqueName="21" name="24/06 PM" queryTableFieldId="21" dataDxfId="367"/>
    <tableColumn id="22" xr3:uid="{5A1B7F6C-F6A2-44BC-9166-EF66D8E0BCB8}" uniqueName="22" name="24/06 NIGHT" queryTableFieldId="22" dataDxfId="366"/>
    <tableColumn id="23" xr3:uid="{8A1698BA-DE07-482A-AA02-3554A038E5CB}" uniqueName="23" name="25/06 AM" queryTableFieldId="23" dataDxfId="365"/>
    <tableColumn id="24" xr3:uid="{190EF3B6-B274-4805-A756-6624AC77C794}" uniqueName="24" name="25/06 PM" queryTableFieldId="24" dataDxfId="364"/>
    <tableColumn id="25" xr3:uid="{DE732C43-70E9-44B0-BB27-0970878B62B3}" uniqueName="25" name="25/06 NIGHT" queryTableFieldId="25" dataDxfId="363"/>
    <tableColumn id="26" xr3:uid="{16DA87F5-1F87-4A78-96BA-50C3AD250829}" uniqueName="26" name="26/06 AM" queryTableFieldId="26" dataDxfId="362"/>
    <tableColumn id="27" xr3:uid="{1A3CF0C0-E700-4F90-ACEE-AA61FE6C03F0}" uniqueName="27" name="26/06 PM" queryTableFieldId="27" dataDxfId="361"/>
    <tableColumn id="28" xr3:uid="{9AF9F956-2729-4713-BD7C-1BA4C99B657D}" uniqueName="28" name="26/06 NIGHT" queryTableFieldId="28" dataDxfId="360"/>
    <tableColumn id="29" xr3:uid="{FF833B71-2B5B-4EDA-9E67-ACD3B38EEFD0}" uniqueName="29" name="27/06 AM" queryTableFieldId="29" dataDxfId="359"/>
    <tableColumn id="30" xr3:uid="{1146EE4E-BB3A-4204-AC72-E1F8F18F1714}" uniqueName="30" name="27/06 PM" queryTableFieldId="30" dataDxfId="358"/>
    <tableColumn id="31" xr3:uid="{FA61214C-0825-4EB9-9124-420752A85AC3}" uniqueName="31" name="27/06 NIGHT" queryTableFieldId="31" dataDxfId="357"/>
    <tableColumn id="32" xr3:uid="{1DE1FD2A-4507-4BB1-9F0D-303D63C7C94E}" uniqueName="32" name="28/06 AM" queryTableFieldId="32" dataDxfId="356"/>
    <tableColumn id="33" xr3:uid="{C81C9FA1-BF87-4E2F-8385-CE08DA029F8A}" uniqueName="33" name="28/06 PM" queryTableFieldId="33" dataDxfId="355"/>
    <tableColumn id="34" xr3:uid="{683796EB-561B-4751-AC8E-0A1F95327585}" uniqueName="34" name="28/06 NIGHT" queryTableFieldId="34" dataDxfId="354"/>
    <tableColumn id="35" xr3:uid="{DDA2AFA7-DAA4-41FA-B52B-15CC0C2C0361}" uniqueName="35" name="29/06 AM" queryTableFieldId="35" dataDxfId="353"/>
    <tableColumn id="36" xr3:uid="{198E7819-22C5-48E1-801F-52A08F0F4CAA}" uniqueName="36" name="29/06 PM" queryTableFieldId="36" dataDxfId="352"/>
    <tableColumn id="37" xr3:uid="{EE336E27-BFF8-4BBA-85F0-EA5D9035E7D5}" uniqueName="37" name="29/06 NIGHT" queryTableFieldId="37" dataDxfId="351"/>
    <tableColumn id="38" xr3:uid="{EE0DB324-2B18-4C03-8D8C-A3820B558E4E}" uniqueName="38" name="30/06 AM" queryTableFieldId="38" dataDxfId="350"/>
    <tableColumn id="39" xr3:uid="{85F4B9AF-C0D0-432B-9F08-D71288510806}" uniqueName="39" name="30/06 PM" queryTableFieldId="39" dataDxfId="349"/>
    <tableColumn id="40" xr3:uid="{C68CA9B7-0155-4D67-B7B8-516B2F3EFBE8}" uniqueName="40" name="30/06 NIGHT" queryTableFieldId="40" dataDxfId="348"/>
    <tableColumn id="41" xr3:uid="{6B7C5519-F5A7-42DA-B4FB-381FA621EFC5}" uniqueName="41" name="1/07 AM" queryTableFieldId="41" dataDxfId="347"/>
    <tableColumn id="42" xr3:uid="{5141B541-5933-44CD-8CB3-DE4D1F87643E}" uniqueName="42" name="1/07 PM" queryTableFieldId="42" dataDxfId="346"/>
    <tableColumn id="43" xr3:uid="{20485292-4169-4EBD-AD55-73EE6C05E462}" uniqueName="43" name="1/07 NIGHT" queryTableFieldId="43" dataDxfId="345"/>
    <tableColumn id="44" xr3:uid="{B9CD6117-AD9C-43E7-BDDF-193518706636}" uniqueName="44" name="2/07 AM" queryTableFieldId="44" dataDxfId="344"/>
    <tableColumn id="45" xr3:uid="{3F3DDA97-D70E-448D-9571-845316B06C6C}" uniqueName="45" name="2/07 PM" queryTableFieldId="45" dataDxfId="343"/>
    <tableColumn id="46" xr3:uid="{015B8855-A25E-425F-A989-02D63FC6EBC2}" uniqueName="46" name="2/07 NIGHT" queryTableFieldId="46" dataDxfId="34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EAF400-9C9C-4C70-9DD0-662F3AFB09D9}" name="Table_Header_CARER" displayName="Table_Header_CARER" ref="A1:AS4" tableType="queryTable" totalsRowShown="0">
  <autoFilter ref="A1:AS4" xr:uid="{34EAF400-9C9C-4C70-9DD0-662F3AFB09D9}"/>
  <tableColumns count="45">
    <tableColumn id="1" xr3:uid="{29C8D4B1-80F4-490A-9EEE-53FC44F297F5}" uniqueName="1" name="Facility" queryTableFieldId="1" dataDxfId="187"/>
    <tableColumn id="2" xr3:uid="{4BD34FC6-3954-4997-B94B-5F238984CBA6}" uniqueName="2" name="EffortType" queryTableFieldId="2" dataDxfId="186"/>
    <tableColumn id="3" xr3:uid="{03C53128-B6C9-420C-886B-0B4E140EA3FA}" uniqueName="3" name="Role" queryTableFieldId="3" dataDxfId="185"/>
    <tableColumn id="4" xr3:uid="{F9A62297-C66A-4A08-B676-E18A8A098ED1}" uniqueName="4" name="19/06 AM" queryTableFieldId="4"/>
    <tableColumn id="5" xr3:uid="{4100E016-E7F1-4466-AC81-D0DDD97AA608}" uniqueName="5" name="19/06 PM" queryTableFieldId="5"/>
    <tableColumn id="6" xr3:uid="{359254A4-F6B0-43F4-A595-E0CD1173EE12}" uniqueName="6" name="19/06 NIGHT" queryTableFieldId="6"/>
    <tableColumn id="7" xr3:uid="{64A5D732-FF6C-4FB1-9AE5-2E9A6FE82AA4}" uniqueName="7" name="20/06 AM" queryTableFieldId="7"/>
    <tableColumn id="8" xr3:uid="{4656341C-2CFE-4027-BC8D-DE82EF53F09C}" uniqueName="8" name="20/06 PM" queryTableFieldId="8"/>
    <tableColumn id="9" xr3:uid="{9F006B1E-C431-49F6-9194-F90DDEBBFEF9}" uniqueName="9" name="20/06 NIGHT" queryTableFieldId="9"/>
    <tableColumn id="10" xr3:uid="{C48ACC1C-F5CB-45D8-AF73-5AA930114BB6}" uniqueName="10" name="21/06 AM" queryTableFieldId="10"/>
    <tableColumn id="11" xr3:uid="{AB494020-6D72-460B-891B-055129D77E4E}" uniqueName="11" name="21/06 PM" queryTableFieldId="11"/>
    <tableColumn id="12" xr3:uid="{37749E40-B7F4-48AE-9A1F-782AE661DA28}" uniqueName="12" name="21/06 NIGHT" queryTableFieldId="12"/>
    <tableColumn id="13" xr3:uid="{08065C10-7ACA-48E2-8D8D-DD922C064AD9}" uniqueName="13" name="22/06 AM" queryTableFieldId="13"/>
    <tableColumn id="14" xr3:uid="{1B8484C1-339A-4C41-87F7-ED17FF2E1361}" uniqueName="14" name="22/06 PM" queryTableFieldId="14"/>
    <tableColumn id="15" xr3:uid="{FB7C7CB3-ED1C-44E7-823B-B851EBF4175B}" uniqueName="15" name="22/06 NIGHT" queryTableFieldId="15"/>
    <tableColumn id="16" xr3:uid="{DF2E8114-7732-4B31-9B96-9AFCDE9FE467}" uniqueName="16" name="23/06 AM" queryTableFieldId="16"/>
    <tableColumn id="17" xr3:uid="{3D9FEB3A-06E9-4B1F-8B3F-EA6F7A725733}" uniqueName="17" name="23/06 PM" queryTableFieldId="17"/>
    <tableColumn id="18" xr3:uid="{4CDBB373-AE76-4851-91D1-B19C559FA71D}" uniqueName="18" name="23/06 NIGHT" queryTableFieldId="18"/>
    <tableColumn id="19" xr3:uid="{4F6968D1-050C-435C-89C1-003E8AF4ED39}" uniqueName="19" name="24/06 AM" queryTableFieldId="19"/>
    <tableColumn id="20" xr3:uid="{43C8F99E-60D9-4511-AC73-36D0988796C2}" uniqueName="20" name="24/06 PM" queryTableFieldId="20"/>
    <tableColumn id="21" xr3:uid="{118AAD56-420D-4072-B792-80EF4C9D9B21}" uniqueName="21" name="24/06 NIGHT" queryTableFieldId="21"/>
    <tableColumn id="22" xr3:uid="{96DA2BF1-0293-42C1-96A3-CF10C016F3EC}" uniqueName="22" name="25/06 AM" queryTableFieldId="22"/>
    <tableColumn id="23" xr3:uid="{63A94063-94D0-4528-B160-EDDA38C6E838}" uniqueName="23" name="25/06 PM" queryTableFieldId="23"/>
    <tableColumn id="24" xr3:uid="{C666D195-4D68-4CFF-8F74-459C6651A2AA}" uniqueName="24" name="25/06 NIGHT" queryTableFieldId="24"/>
    <tableColumn id="25" xr3:uid="{18E9DD98-BAE9-4351-AD96-BDA668547F9A}" uniqueName="25" name="26/06 AM" queryTableFieldId="25"/>
    <tableColumn id="26" xr3:uid="{A7E40B3F-112E-48D5-91F2-94BAF61BBAC9}" uniqueName="26" name="26/06 PM" queryTableFieldId="26"/>
    <tableColumn id="27" xr3:uid="{F5336CDE-12DD-4B4D-B4F0-D112028A7921}" uniqueName="27" name="26/06 NIGHT" queryTableFieldId="27"/>
    <tableColumn id="28" xr3:uid="{D8AB732F-A7D9-42E8-B7A0-D462B6D933DE}" uniqueName="28" name="27/06 AM" queryTableFieldId="28"/>
    <tableColumn id="29" xr3:uid="{7D09104A-0481-43F6-8AFC-6C2D791DC84A}" uniqueName="29" name="27/06 PM" queryTableFieldId="29"/>
    <tableColumn id="30" xr3:uid="{257DB50D-DDEF-4FA5-8833-AF6864EA636B}" uniqueName="30" name="27/06 NIGHT" queryTableFieldId="30"/>
    <tableColumn id="31" xr3:uid="{E0CF3A4B-0135-4DCD-ABF3-7789D1FAE100}" uniqueName="31" name="28/06 AM" queryTableFieldId="31"/>
    <tableColumn id="32" xr3:uid="{8319ABC9-DECA-4402-BE17-2C9AF7681341}" uniqueName="32" name="28/06 PM" queryTableFieldId="32"/>
    <tableColumn id="33" xr3:uid="{77C516CC-2717-4BEC-A90C-24C293750A87}" uniqueName="33" name="28/06 NIGHT" queryTableFieldId="33"/>
    <tableColumn id="34" xr3:uid="{80D69CE1-BDF1-4F52-99E5-70964BD305FB}" uniqueName="34" name="29/06 AM" queryTableFieldId="34"/>
    <tableColumn id="35" xr3:uid="{1FB251D8-AD8C-438E-B440-4296DD0A68B9}" uniqueName="35" name="29/06 PM" queryTableFieldId="35"/>
    <tableColumn id="36" xr3:uid="{9312B202-0472-4D7C-953D-BC355D6B01A5}" uniqueName="36" name="29/06 NIGHT" queryTableFieldId="36"/>
    <tableColumn id="37" xr3:uid="{4DE20A74-D8D5-4E9C-AE8F-1F0A893E6C0E}" uniqueName="37" name="30/06 AM" queryTableFieldId="37"/>
    <tableColumn id="38" xr3:uid="{71FF4612-EBD8-4BC1-A22E-F36668C0E121}" uniqueName="38" name="30/06 PM" queryTableFieldId="38"/>
    <tableColumn id="39" xr3:uid="{C45A5895-1FAD-489F-BDDB-01EFF1B9779D}" uniqueName="39" name="30/06 NIGHT" queryTableFieldId="39"/>
    <tableColumn id="40" xr3:uid="{2C8BE88F-9990-4A9B-8004-4A730ACFF53F}" uniqueName="40" name="1/07 AM" queryTableFieldId="40"/>
    <tableColumn id="41" xr3:uid="{A7FEE84E-B70D-4F69-A546-E00DB3C0A8ED}" uniqueName="41" name="1/07 PM" queryTableFieldId="41"/>
    <tableColumn id="42" xr3:uid="{A27C39A5-4645-49A4-B20A-ACE3F7AD1FBE}" uniqueName="42" name="1/07 NIGHT" queryTableFieldId="42"/>
    <tableColumn id="43" xr3:uid="{90039163-B228-4B9B-84AB-FC5C585389AC}" uniqueName="43" name="2/07 AM" queryTableFieldId="43"/>
    <tableColumn id="44" xr3:uid="{E0ED26AD-82A7-4D82-894B-8AD11312FE1E}" uniqueName="44" name="2/07 PM" queryTableFieldId="44"/>
    <tableColumn id="45" xr3:uid="{8EB52EF5-11BE-40A8-A35D-C637AC1E1449}" uniqueName="45" name="2/07 NIGHT" queryTableField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C6210B-E08F-4173-97CF-5B3CEB835530}" name="Table_Header_RN" displayName="Table_Header_RN" ref="A1:AS4" tableType="queryTable" totalsRowShown="0">
  <autoFilter ref="A1:AS4" xr:uid="{3BC6210B-E08F-4173-97CF-5B3CEB835530}"/>
  <tableColumns count="45">
    <tableColumn id="1" xr3:uid="{1B0A68D8-04FB-42B9-A00F-52B22657CA81}" uniqueName="1" name="Facility" queryTableFieldId="1" dataDxfId="184"/>
    <tableColumn id="2" xr3:uid="{035760F5-5406-41BC-A867-8A2A76FB3C8A}" uniqueName="2" name="EffortType" queryTableFieldId="2" dataDxfId="183"/>
    <tableColumn id="3" xr3:uid="{263D8E6A-03E9-43C0-A1D7-B41342913DEE}" uniqueName="3" name="Role" queryTableFieldId="3" dataDxfId="182"/>
    <tableColumn id="4" xr3:uid="{C95FCB23-5339-45AD-8CD2-734CA2A5F885}" uniqueName="4" name="19/06 AM" queryTableFieldId="4"/>
    <tableColumn id="5" xr3:uid="{4FA66BEB-E63A-47F1-AC95-C89A290110FD}" uniqueName="5" name="19/06 PM" queryTableFieldId="5"/>
    <tableColumn id="6" xr3:uid="{66EA154F-4D66-42BB-8F3F-E55E9B811A03}" uniqueName="6" name="19/06 NIGHT" queryTableFieldId="6"/>
    <tableColumn id="7" xr3:uid="{A780328C-3B7C-4659-9EFC-C920784F491C}" uniqueName="7" name="20/06 AM" queryTableFieldId="7"/>
    <tableColumn id="8" xr3:uid="{71A4B8D6-A5EF-4397-B8EC-BBDBA76F549B}" uniqueName="8" name="20/06 PM" queryTableFieldId="8"/>
    <tableColumn id="9" xr3:uid="{312AC5FC-4D7B-4962-9B02-9062CB9D2323}" uniqueName="9" name="20/06 NIGHT" queryTableFieldId="9"/>
    <tableColumn id="10" xr3:uid="{9493B440-7C19-48C4-8799-DE26420DED87}" uniqueName="10" name="21/06 AM" queryTableFieldId="10"/>
    <tableColumn id="11" xr3:uid="{24792D94-18B8-4D47-8C7B-D82991BEFEE9}" uniqueName="11" name="21/06 PM" queryTableFieldId="11"/>
    <tableColumn id="12" xr3:uid="{4DA30B5E-D472-487F-BF1E-72EAC77BEB71}" uniqueName="12" name="21/06 NIGHT" queryTableFieldId="12"/>
    <tableColumn id="13" xr3:uid="{6856CD89-7E48-4E57-9F91-C3C1EBDC3FB3}" uniqueName="13" name="22/06 AM" queryTableFieldId="13"/>
    <tableColumn id="14" xr3:uid="{6C1080D4-8AB4-4537-A6A3-9E32C6D53025}" uniqueName="14" name="22/06 PM" queryTableFieldId="14"/>
    <tableColumn id="15" xr3:uid="{93A20C05-BD34-41BD-B712-78CF7AA63C4A}" uniqueName="15" name="22/06 NIGHT" queryTableFieldId="15"/>
    <tableColumn id="16" xr3:uid="{C6364DB3-61F7-4F7D-A7CC-C7BE67D5BC05}" uniqueName="16" name="23/06 AM" queryTableFieldId="16"/>
    <tableColumn id="17" xr3:uid="{13E5B4D2-0CE2-4CB4-AB49-3568A5DB557E}" uniqueName="17" name="23/06 PM" queryTableFieldId="17"/>
    <tableColumn id="18" xr3:uid="{883133F8-FB84-4B94-B2EF-1FC511BECF5F}" uniqueName="18" name="23/06 NIGHT" queryTableFieldId="18"/>
    <tableColumn id="19" xr3:uid="{0C49AC44-9B19-466E-91B5-A29340B3286F}" uniqueName="19" name="24/06 AM" queryTableFieldId="19"/>
    <tableColumn id="20" xr3:uid="{67651E33-FBFB-4504-B8F3-49911F7F7698}" uniqueName="20" name="24/06 PM" queryTableFieldId="20"/>
    <tableColumn id="21" xr3:uid="{60778B15-B7E2-4C46-9190-878B55C9859D}" uniqueName="21" name="24/06 NIGHT" queryTableFieldId="21"/>
    <tableColumn id="22" xr3:uid="{D5F9E666-BCA4-4FDB-9391-0A806DEDC25A}" uniqueName="22" name="25/06 AM" queryTableFieldId="22"/>
    <tableColumn id="23" xr3:uid="{710FCA2D-DACE-493B-B5D6-EAF0DCF9395B}" uniqueName="23" name="25/06 PM" queryTableFieldId="23"/>
    <tableColumn id="24" xr3:uid="{5C38195B-D6AB-4194-A79D-81DE1783F00A}" uniqueName="24" name="25/06 NIGHT" queryTableFieldId="24"/>
    <tableColumn id="25" xr3:uid="{6B677018-1673-4028-A796-3881ACB37968}" uniqueName="25" name="26/06 AM" queryTableFieldId="25"/>
    <tableColumn id="26" xr3:uid="{F7E1C28D-57D5-43A4-892B-6A31E74F2FB2}" uniqueName="26" name="26/06 PM" queryTableFieldId="26"/>
    <tableColumn id="27" xr3:uid="{888CFFB9-A591-49DE-A1C7-688E78A24618}" uniqueName="27" name="26/06 NIGHT" queryTableFieldId="27"/>
    <tableColumn id="28" xr3:uid="{31EF8E54-7694-46B1-8962-25528961E182}" uniqueName="28" name="27/06 AM" queryTableFieldId="28"/>
    <tableColumn id="29" xr3:uid="{BF89D292-2492-475E-B567-FEE05CE3E47D}" uniqueName="29" name="27/06 PM" queryTableFieldId="29"/>
    <tableColumn id="30" xr3:uid="{49C5A1AD-B862-47E2-AFDC-B9F2A3D457E2}" uniqueName="30" name="27/06 NIGHT" queryTableFieldId="30"/>
    <tableColumn id="31" xr3:uid="{9BE18E8C-20C7-4625-B043-44DA595934E0}" uniqueName="31" name="28/06 AM" queryTableFieldId="31"/>
    <tableColumn id="32" xr3:uid="{2DA5CD21-5C0A-4DDE-86F7-CB2614B9A161}" uniqueName="32" name="28/06 PM" queryTableFieldId="32"/>
    <tableColumn id="33" xr3:uid="{E400DBD5-5FFE-41CB-BEA8-DDC1E4A07A12}" uniqueName="33" name="28/06 NIGHT" queryTableFieldId="33"/>
    <tableColumn id="34" xr3:uid="{F7F7BA41-5D06-45B0-8A14-C68E7E089F5E}" uniqueName="34" name="29/06 AM" queryTableFieldId="34"/>
    <tableColumn id="35" xr3:uid="{7723D158-D86C-4FBF-B812-980014E521F9}" uniqueName="35" name="29/06 PM" queryTableFieldId="35"/>
    <tableColumn id="36" xr3:uid="{91202BD9-AA7E-4CB3-9411-EB1AC0D6634F}" uniqueName="36" name="29/06 NIGHT" queryTableFieldId="36"/>
    <tableColumn id="37" xr3:uid="{98BE9DFA-B371-4A71-8C4D-671E487B49D4}" uniqueName="37" name="30/06 AM" queryTableFieldId="37"/>
    <tableColumn id="38" xr3:uid="{9A93D6DE-A1E8-432C-B326-C23683DB4F30}" uniqueName="38" name="30/06 PM" queryTableFieldId="38"/>
    <tableColumn id="39" xr3:uid="{C515C0B3-85E2-469D-8E04-6F552BB96D0B}" uniqueName="39" name="30/06 NIGHT" queryTableFieldId="39"/>
    <tableColumn id="40" xr3:uid="{45C43F64-F656-420B-A7DB-0949D4CEDBDA}" uniqueName="40" name="1/07 AM" queryTableFieldId="40"/>
    <tableColumn id="41" xr3:uid="{846F8605-E824-4229-BBCF-5F787E6E9A7B}" uniqueName="41" name="1/07 PM" queryTableFieldId="41"/>
    <tableColumn id="42" xr3:uid="{77991B13-F392-41C6-BFC0-32322DF4A97D}" uniqueName="42" name="1/07 NIGHT" queryTableFieldId="42"/>
    <tableColumn id="43" xr3:uid="{06D49EF7-ECCC-4D9A-8C54-43CA0E5C230F}" uniqueName="43" name="2/07 AM" queryTableFieldId="43"/>
    <tableColumn id="44" xr3:uid="{23987DEF-18BC-458D-A3F5-3EB37D62C638}" uniqueName="44" name="2/07 PM" queryTableFieldId="44"/>
    <tableColumn id="45" xr3:uid="{D33291FB-7B28-45FB-9435-595D41BA0BCA}" uniqueName="45" name="2/07 NIGHT" queryTableFieldId="4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F02CE7-0C48-4579-AF83-90E463D03812}" name="Table_Table_Master_Avail_Alloc_ResidualMAIT" displayName="Table_Table_Master_Avail_Alloc_ResidualMAIT" ref="A1:H888" tableType="queryTable" totalsRowShown="0">
  <autoFilter ref="A1:H888" xr:uid="{81F02CE7-0C48-4579-AF83-90E463D03812}">
    <filterColumn colId="0">
      <filters>
        <filter val="Sebastian, Sintu"/>
      </filters>
    </filterColumn>
  </autoFilter>
  <tableColumns count="8">
    <tableColumn id="1" xr3:uid="{66E0ECF3-E187-4726-A86D-DA846FAE1C55}" uniqueName="1" name="Name" queryTableFieldId="1" dataDxfId="181"/>
    <tableColumn id="2" xr3:uid="{93044ECD-78E2-49EB-803E-350B78688002}" uniqueName="2" name="Role" queryTableFieldId="2" dataDxfId="180"/>
    <tableColumn id="3" xr3:uid="{7EBD712D-E320-4B69-8497-0DB84DEE4E3B}" uniqueName="3" name="Date" queryTableFieldId="3" dataDxfId="179"/>
    <tableColumn id="4" xr3:uid="{5E986F45-DBF2-4D42-8895-C88BFC1F24D8}" uniqueName="4" name="Shift" queryTableFieldId="4" dataDxfId="178"/>
    <tableColumn id="5" xr3:uid="{2EFA4E38-DC6C-4733-BD07-259586ACE1D3}" uniqueName="5" name="Status" queryTableFieldId="5" dataDxfId="177"/>
    <tableColumn id="6" xr3:uid="{211A7AB9-8925-4E4F-9895-76D7203352E7}" uniqueName="6" name="AllocationHRS" queryTableFieldId="6"/>
    <tableColumn id="7" xr3:uid="{7B8AC54B-4B67-4446-85B0-C4E9D7E28142}" uniqueName="7" name="ResidualHRS" queryTableFieldId="7"/>
    <tableColumn id="8" xr3:uid="{26261DDD-EA60-43F5-A7A8-7B13119AD473}" uniqueName="8" name="Facility" queryTableField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CF40DD-6599-43B8-8705-7C8FF8B09F8F}" name="Table_Residual_RosteredMATRIX_RN" displayName="Table_Residual_RosteredMATRIX_RN" ref="A1:AU9" tableType="queryTable" totalsRowShown="0">
  <autoFilter ref="A1:AU9" xr:uid="{59CF40DD-6599-43B8-8705-7C8FF8B09F8F}"/>
  <tableColumns count="47">
    <tableColumn id="1" xr3:uid="{D4ECFD35-7E2E-4601-8152-C8A182D18F30}" uniqueName="1" name="Facility" queryTableFieldId="1"/>
    <tableColumn id="47" xr3:uid="{B9E99095-A45E-44C3-82FA-95E40E4798BF}" uniqueName="47" name="Status" queryTableFieldId="49" dataDxfId="176"/>
    <tableColumn id="2" xr3:uid="{9ED8D044-2EEF-43AA-9345-8E0E0CDCC716}" uniqueName="2" name="Name" queryTableFieldId="2" dataDxfId="175"/>
    <tableColumn id="3" xr3:uid="{1AB7B71D-AFF1-47D4-8775-253DD000F7C6}" uniqueName="3" name="Role" queryTableFieldId="3"/>
    <tableColumn id="4" xr3:uid="{AB9834D7-81A1-412E-AA13-3AACC5FCAE94}" uniqueName="4" name="Rostered HRS" queryTableFieldId="4"/>
    <tableColumn id="5" xr3:uid="{812E4D2A-8ACF-471A-A7CE-1FC9B0321AC6}" uniqueName="5" name="19/06 AM" queryTableFieldId="5" dataDxfId="174"/>
    <tableColumn id="6" xr3:uid="{61F7DFB3-C748-4C33-8EE7-D92CE7418DE0}" uniqueName="6" name="19/06 PM" queryTableFieldId="6" dataDxfId="173"/>
    <tableColumn id="7" xr3:uid="{D1CD515B-7C92-42EF-8E64-2970CEC2E868}" uniqueName="7" name="19/06 NIGHT" queryTableFieldId="7" dataDxfId="172"/>
    <tableColumn id="8" xr3:uid="{152C0C25-6DD9-412F-A8AA-E17CAE91FBE4}" uniqueName="8" name="20/06 AM" queryTableFieldId="8" dataDxfId="171"/>
    <tableColumn id="9" xr3:uid="{1C4FB395-CEDE-4E5F-B711-ED6AB8180376}" uniqueName="9" name="20/06 PM" queryTableFieldId="9" dataDxfId="170"/>
    <tableColumn id="10" xr3:uid="{947AA93F-5EC1-4345-9686-FEE3C75DF442}" uniqueName="10" name="20/06 NIGHT" queryTableFieldId="10" dataDxfId="169"/>
    <tableColumn id="11" xr3:uid="{427B672A-DB78-4C2A-87D5-BA78180189E9}" uniqueName="11" name="21/06 AM" queryTableFieldId="11" dataDxfId="168"/>
    <tableColumn id="12" xr3:uid="{F2BA9303-A739-4FDC-A64F-C7A54D004BAD}" uniqueName="12" name="21/06 PM" queryTableFieldId="12" dataDxfId="167"/>
    <tableColumn id="13" xr3:uid="{8CF7EAB8-4F2E-43F8-869B-304F22809EED}" uniqueName="13" name="21/06 NIGHT" queryTableFieldId="13" dataDxfId="166"/>
    <tableColumn id="14" xr3:uid="{5874CDA6-20FE-4F87-BF07-5CF185AA2391}" uniqueName="14" name="22/06 AM" queryTableFieldId="14" dataDxfId="165"/>
    <tableColumn id="15" xr3:uid="{3967969D-BBF6-4F35-ACB2-76FEB5A113DB}" uniqueName="15" name="22/06 PM" queryTableFieldId="15" dataDxfId="164"/>
    <tableColumn id="16" xr3:uid="{46A917FF-BB11-4B7D-9F45-C7916F4123D0}" uniqueName="16" name="22/06 NIGHT" queryTableFieldId="16" dataDxfId="163"/>
    <tableColumn id="17" xr3:uid="{55B56D49-BEF4-4906-B413-2D0584DE5868}" uniqueName="17" name="23/06 AM" queryTableFieldId="17" dataDxfId="162"/>
    <tableColumn id="18" xr3:uid="{D1A3C86E-0B4C-4C3A-BADA-42C0C2FF7B0F}" uniqueName="18" name="23/06 PM" queryTableFieldId="18" dataDxfId="161"/>
    <tableColumn id="19" xr3:uid="{066B1444-D93E-43D7-A58F-494508E59855}" uniqueName="19" name="23/06 NIGHT" queryTableFieldId="19" dataDxfId="160"/>
    <tableColumn id="20" xr3:uid="{E51A1AD1-7604-4FB2-B91B-0ABF68ED6018}" uniqueName="20" name="24/06 AM" queryTableFieldId="20" dataDxfId="159"/>
    <tableColumn id="21" xr3:uid="{8FD36E46-E189-4694-BB4E-5D4CEBD100DE}" uniqueName="21" name="24/06 PM" queryTableFieldId="21" dataDxfId="158"/>
    <tableColumn id="22" xr3:uid="{03472D87-4CD9-47C8-A16C-90AB24981F6B}" uniqueName="22" name="24/06 NIGHT" queryTableFieldId="22" dataDxfId="157"/>
    <tableColumn id="23" xr3:uid="{13574EF1-9FDC-45C8-A9CF-669D4283A51E}" uniqueName="23" name="25/06 AM" queryTableFieldId="23" dataDxfId="156"/>
    <tableColumn id="24" xr3:uid="{42A469CA-1053-4AA4-8AEA-07063EBBE01D}" uniqueName="24" name="25/06 PM" queryTableFieldId="24" dataDxfId="155"/>
    <tableColumn id="25" xr3:uid="{794E6663-B4A5-485E-8287-4DCE505616CE}" uniqueName="25" name="25/06 NIGHT" queryTableFieldId="25" dataDxfId="154"/>
    <tableColumn id="26" xr3:uid="{31FAF00F-98A8-491E-AD75-E5A401D31CB0}" uniqueName="26" name="26/06 AM" queryTableFieldId="26" dataDxfId="153"/>
    <tableColumn id="27" xr3:uid="{FD7FA525-8BAF-481A-8B2B-E64A248B3CE6}" uniqueName="27" name="26/06 PM" queryTableFieldId="27" dataDxfId="152"/>
    <tableColumn id="28" xr3:uid="{CCC2EF86-D174-47BC-973D-936BA41B1CCD}" uniqueName="28" name="26/06 NIGHT" queryTableFieldId="28" dataDxfId="151"/>
    <tableColumn id="29" xr3:uid="{B9483BAA-AE44-403D-87D9-4307BE2EF463}" uniqueName="29" name="27/06 AM" queryTableFieldId="29" dataDxfId="150"/>
    <tableColumn id="30" xr3:uid="{09C98889-A439-44A8-A61D-185FD61BC7EB}" uniqueName="30" name="27/06 PM" queryTableFieldId="30" dataDxfId="149"/>
    <tableColumn id="31" xr3:uid="{9A17820A-C277-4B9E-B531-B41DDFBB5B02}" uniqueName="31" name="27/06 NIGHT" queryTableFieldId="31" dataDxfId="148"/>
    <tableColumn id="32" xr3:uid="{0E2ACA76-A48F-4774-AA18-4DE24CB8D9EA}" uniqueName="32" name="28/06 AM" queryTableFieldId="32" dataDxfId="147"/>
    <tableColumn id="33" xr3:uid="{F3D8FA6D-DAFF-495E-A2E4-6FF5BC0AB042}" uniqueName="33" name="28/06 PM" queryTableFieldId="33" dataDxfId="146"/>
    <tableColumn id="34" xr3:uid="{186C146B-4E97-410B-B545-445CF1801956}" uniqueName="34" name="28/06 NIGHT" queryTableFieldId="34" dataDxfId="145"/>
    <tableColumn id="35" xr3:uid="{83076B26-C8E3-4634-9128-152654413DAF}" uniqueName="35" name="29/06 AM" queryTableFieldId="35" dataDxfId="144"/>
    <tableColumn id="36" xr3:uid="{979AEE0D-3241-4D90-8149-5CC8D7C7FB06}" uniqueName="36" name="29/06 PM" queryTableFieldId="36" dataDxfId="143"/>
    <tableColumn id="37" xr3:uid="{B8453032-7306-4A2D-A956-B3F8C100BAAE}" uniqueName="37" name="29/06 NIGHT" queryTableFieldId="37" dataDxfId="142"/>
    <tableColumn id="38" xr3:uid="{5E60B1CF-2D47-4978-BA0D-EBB3CF05FE12}" uniqueName="38" name="30/06 AM" queryTableFieldId="38" dataDxfId="141"/>
    <tableColumn id="39" xr3:uid="{ED6DCBCB-0467-4995-8F0F-96A1F63B9AEC}" uniqueName="39" name="30/06 PM" queryTableFieldId="39" dataDxfId="140"/>
    <tableColumn id="40" xr3:uid="{0F7C475F-1E19-4393-9757-53578D15BE3D}" uniqueName="40" name="30/06 NIGHT" queryTableFieldId="40" dataDxfId="139"/>
    <tableColumn id="41" xr3:uid="{665721F0-D2F0-4526-ADCB-15622EAF3694}" uniqueName="41" name="1/07 AM" queryTableFieldId="41" dataDxfId="138"/>
    <tableColumn id="42" xr3:uid="{77D4E412-CC40-4EFD-99EE-952059FE344A}" uniqueName="42" name="1/07 PM" queryTableFieldId="42" dataDxfId="137"/>
    <tableColumn id="43" xr3:uid="{2A7325C2-6B76-402C-A828-DACCB7A929C6}" uniqueName="43" name="1/07 NIGHT" queryTableFieldId="43" dataDxfId="136"/>
    <tableColumn id="44" xr3:uid="{B92A2A2F-8E0B-4220-86BD-5A1B3AC77DC4}" uniqueName="44" name="2/07 AM" queryTableFieldId="44" dataDxfId="135"/>
    <tableColumn id="45" xr3:uid="{14557DF5-E0F4-43A8-9E6B-BF25820769E9}" uniqueName="45" name="2/07 PM" queryTableFieldId="45" dataDxfId="134"/>
    <tableColumn id="46" xr3:uid="{CDA010E3-7E20-4E43-9F9B-608B50E2718D}" uniqueName="46" name="2/07 NIGHT" queryTableFieldId="46" dataDxfId="13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356D3-550E-4618-A9BF-A3D88273FEBE}" name="Table_Header" displayName="Table_Header" ref="B10:AT16" tableType="queryTable" totalsRowShown="0" headerRowDxfId="132">
  <autoFilter ref="B10:AT16" xr:uid="{273356D3-550E-4618-A9BF-A3D88273FEBE}"/>
  <tableColumns count="45">
    <tableColumn id="1" xr3:uid="{A2121313-D5DA-4E29-8BF4-9721F97EC8A6}" uniqueName="1" name="Facility" queryTableFieldId="1" dataDxfId="131"/>
    <tableColumn id="3" xr3:uid="{1B2C00BE-AF4A-4EB3-9A79-2D8E8A174FF6}" uniqueName="3" name="EffortType" queryTableFieldId="3" dataDxfId="130"/>
    <tableColumn id="2" xr3:uid="{BD613F6E-A34F-446D-8E50-EAFB014C6286}" uniqueName="2" name="Role" queryTableFieldId="2" dataDxfId="129"/>
    <tableColumn id="49" xr3:uid="{167E6A07-9FCA-4785-A0BD-52FAE95262B0}" uniqueName="49" name="19/06 AM" queryTableFieldId="49" dataDxfId="128"/>
    <tableColumn id="50" xr3:uid="{BEFEE142-C1BD-451E-8493-71FA0756EEE1}" uniqueName="50" name="19/06 PM" queryTableFieldId="50" dataDxfId="127"/>
    <tableColumn id="51" xr3:uid="{A99EFF4C-36D3-474E-B6B2-4E4509CB9CB4}" uniqueName="51" name="19/06 NIGHT" queryTableFieldId="51" dataDxfId="126"/>
    <tableColumn id="55" xr3:uid="{AE99EFFB-A9C4-47C3-9C74-380F39C33E18}" uniqueName="55" name="20/06 AM" queryTableFieldId="55" dataDxfId="125"/>
    <tableColumn id="56" xr3:uid="{9A3FCC93-894D-42C3-8B1D-B1056D762414}" uniqueName="56" name="20/06 PM" queryTableFieldId="56" dataDxfId="124"/>
    <tableColumn id="57" xr3:uid="{9EF716E7-DF49-45C7-A655-1D4BECAA5F7C}" uniqueName="57" name="20/06 NIGHT" queryTableFieldId="57" dataDxfId="123"/>
    <tableColumn id="58" xr3:uid="{98592E63-D54F-4711-A69B-9461195F18F3}" uniqueName="58" name="21/06 AM" queryTableFieldId="58" dataDxfId="122"/>
    <tableColumn id="59" xr3:uid="{2B8D62DB-876D-44F4-AEA6-B29294E50918}" uniqueName="59" name="21/06 PM" queryTableFieldId="59" dataDxfId="121"/>
    <tableColumn id="60" xr3:uid="{7FC7D32B-051A-4C19-9EE0-E7A3471E24E7}" uniqueName="60" name="21/06 NIGHT" queryTableFieldId="60" dataDxfId="120"/>
    <tableColumn id="61" xr3:uid="{6C584629-15EB-4795-8B33-C1945FF46055}" uniqueName="61" name="22/06 AM" queryTableFieldId="61" dataDxfId="119"/>
    <tableColumn id="62" xr3:uid="{058D14D6-85A6-4A30-B752-2D9972BD2C21}" uniqueName="62" name="22/06 PM" queryTableFieldId="62" dataDxfId="118"/>
    <tableColumn id="63" xr3:uid="{2466F4BE-B2EE-4C90-B6EF-B8FF6037CB7C}" uniqueName="63" name="22/06 NIGHT" queryTableFieldId="63" dataDxfId="117"/>
    <tableColumn id="64" xr3:uid="{2726E5F2-4A61-4D20-9375-F3812D70BF05}" uniqueName="64" name="23/06 AM" queryTableFieldId="64" dataDxfId="116"/>
    <tableColumn id="65" xr3:uid="{59D38C70-F64A-4C06-BCEB-44D18E9986DD}" uniqueName="65" name="23/06 PM" queryTableFieldId="65" dataDxfId="115"/>
    <tableColumn id="66" xr3:uid="{3276F23B-3145-4DC4-91B7-0C8D8FC6CBA2}" uniqueName="66" name="23/06 NIGHT" queryTableFieldId="66" dataDxfId="114"/>
    <tableColumn id="67" xr3:uid="{987BE6EA-4531-4251-B48A-D8D45D02AFD5}" uniqueName="67" name="24/06 AM" queryTableFieldId="67" dataDxfId="113"/>
    <tableColumn id="68" xr3:uid="{61B2E02E-7815-4523-9AB9-00691DE49A2B}" uniqueName="68" name="24/06 PM" queryTableFieldId="68" dataDxfId="112"/>
    <tableColumn id="69" xr3:uid="{40966D45-A8FC-4824-8889-92FA9C6A39B7}" uniqueName="69" name="24/06 NIGHT" queryTableFieldId="69" dataDxfId="111"/>
    <tableColumn id="70" xr3:uid="{6E31D288-F73A-4C57-845E-D90BFB371C5C}" uniqueName="70" name="25/06 AM" queryTableFieldId="70" dataDxfId="110"/>
    <tableColumn id="71" xr3:uid="{D9944EDB-E450-4272-AF15-700A39D3740F}" uniqueName="71" name="25/06 PM" queryTableFieldId="71" dataDxfId="109"/>
    <tableColumn id="72" xr3:uid="{58E3B2A1-400E-4019-AFDA-0DA50813B033}" uniqueName="72" name="25/06 NIGHT" queryTableFieldId="72" dataDxfId="108"/>
    <tableColumn id="73" xr3:uid="{EEB21346-D460-42AB-BB21-960CA33D5D45}" uniqueName="73" name="26/06 AM" queryTableFieldId="73" dataDxfId="107"/>
    <tableColumn id="74" xr3:uid="{36486F78-7238-4086-9E16-54FB98A72526}" uniqueName="74" name="26/06 PM" queryTableFieldId="74" dataDxfId="106"/>
    <tableColumn id="75" xr3:uid="{B49CA531-D3BA-44AF-A075-1F936A2DE5FE}" uniqueName="75" name="26/06 NIGHT" queryTableFieldId="75" dataDxfId="105"/>
    <tableColumn id="76" xr3:uid="{59715EF1-C030-4B07-9C59-AF0FF3D3184C}" uniqueName="76" name="27/06 AM" queryTableFieldId="76" dataDxfId="104"/>
    <tableColumn id="77" xr3:uid="{B594FB66-1E9D-4510-B44A-7FE4DFB650AD}" uniqueName="77" name="27/06 PM" queryTableFieldId="77" dataDxfId="103"/>
    <tableColumn id="78" xr3:uid="{71432481-63F1-4512-898D-89F39C13DECB}" uniqueName="78" name="27/06 NIGHT" queryTableFieldId="78" dataDxfId="102"/>
    <tableColumn id="79" xr3:uid="{D5D91437-DC52-47D7-A3D0-CAC1ECC8A52C}" uniqueName="79" name="28/06 AM" queryTableFieldId="79" dataDxfId="101"/>
    <tableColumn id="80" xr3:uid="{A38AF1B4-3594-46ED-ACA4-C6F523DDB306}" uniqueName="80" name="28/06 PM" queryTableFieldId="80" dataDxfId="100"/>
    <tableColumn id="81" xr3:uid="{9D120666-0688-428B-B62C-3E61E4B8BF4D}" uniqueName="81" name="28/06 NIGHT" queryTableFieldId="81" dataDxfId="99"/>
    <tableColumn id="82" xr3:uid="{B307D923-A585-4EF9-873D-0C2A7705781C}" uniqueName="82" name="29/06 AM" queryTableFieldId="82" dataDxfId="98"/>
    <tableColumn id="83" xr3:uid="{AAA4D5BF-4E47-4336-8008-8D1758A8E11F}" uniqueName="83" name="29/06 PM" queryTableFieldId="83" dataDxfId="97"/>
    <tableColumn id="84" xr3:uid="{461A3443-D010-4CB7-998E-1CAED65278DC}" uniqueName="84" name="29/06 NIGHT" queryTableFieldId="84" dataDxfId="96"/>
    <tableColumn id="85" xr3:uid="{EA96BD90-DC88-470A-A9FC-E7B8DB7A2E84}" uniqueName="85" name="30/06 AM" queryTableFieldId="85" dataDxfId="95"/>
    <tableColumn id="86" xr3:uid="{943D13B8-A778-41CF-94A1-EF115BFB9183}" uniqueName="86" name="30/06 PM" queryTableFieldId="86" dataDxfId="94"/>
    <tableColumn id="87" xr3:uid="{0F74262A-2515-4A7E-84A9-7FF69110C19A}" uniqueName="87" name="30/06 NIGHT" queryTableFieldId="87" dataDxfId="93"/>
    <tableColumn id="46" xr3:uid="{DAFCA283-08A2-401A-B2A2-7B462A2380FA}" uniqueName="46" name="1/07 AM" queryTableFieldId="46" dataDxfId="92"/>
    <tableColumn id="47" xr3:uid="{F9A0B707-B73A-4A23-9F81-4EFC77C5685A}" uniqueName="47" name="1/07 PM" queryTableFieldId="47" dataDxfId="91"/>
    <tableColumn id="48" xr3:uid="{ACB8607B-0704-4444-A122-2B2A6B5B8280}" uniqueName="48" name="1/07 NIGHT" queryTableFieldId="48" dataDxfId="90"/>
    <tableColumn id="52" xr3:uid="{9CF6DAEA-3D0A-4F32-A738-B9B5F1566F0A}" uniqueName="52" name="2/07 AM" queryTableFieldId="52" dataDxfId="89"/>
    <tableColumn id="53" xr3:uid="{D66CEED5-EEC3-4881-BD91-36DB8024DC39}" uniqueName="53" name="2/07 PM" queryTableFieldId="53" dataDxfId="88"/>
    <tableColumn id="54" xr3:uid="{A57AA7F0-6595-4772-A379-9509A6D53246}" uniqueName="54" name="2/07 NIGHT" queryTableFieldId="54" dataDxfId="8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2A21D5-1AEE-4EAE-B10B-87863F372846}" name="Table_Residual_RosteredMATRIX" displayName="Table_Residual_RosteredMATRIX" ref="A1:AT2" tableType="queryTable" totalsRowShown="0" headerRowDxfId="86">
  <autoFilter ref="A1:AT2" xr:uid="{422A21D5-1AEE-4EAE-B10B-87863F372846}"/>
  <tableColumns count="46">
    <tableColumn id="2" xr3:uid="{07501B83-88B4-44A8-9C12-9AEAE7B46B5F}" uniqueName="2" name="Name" queryTableFieldId="2" dataDxfId="85"/>
    <tableColumn id="3" xr3:uid="{B5115617-CA88-4BD2-AC70-97EC994199B7}" uniqueName="3" name="Role" queryTableFieldId="3" dataDxfId="84"/>
    <tableColumn id="89" xr3:uid="{6E74BEE2-9136-45D0-B3B1-DF7A08A30987}" uniqueName="89" name="Rostered HRS" queryTableFieldId="100" dataDxfId="83"/>
    <tableColumn id="1" xr3:uid="{C7C93679-0CD7-4C1D-8B6F-9716B394CBBF}" uniqueName="1" name="Facility" queryTableFieldId="1"/>
    <tableColumn id="47" xr3:uid="{1C5BC0A7-DCBB-45C0-8E39-975F4715EF33}" uniqueName="47" name="19/06 AM" queryTableFieldId="58" dataDxfId="82"/>
    <tableColumn id="48" xr3:uid="{844E35A1-279F-47F6-89EF-7D7BD7EA3FC6}" uniqueName="48" name="19/06 PM" queryTableFieldId="59" dataDxfId="81"/>
    <tableColumn id="49" xr3:uid="{488AF005-ACCB-4215-AEDB-A53F0C2DF218}" uniqueName="49" name="19/06 NIGHT" queryTableFieldId="60" dataDxfId="80"/>
    <tableColumn id="50" xr3:uid="{5125FC19-FE2E-4B87-B4E2-6BD92E416CCF}" uniqueName="50" name="20/06 AM" queryTableFieldId="61" dataDxfId="79"/>
    <tableColumn id="51" xr3:uid="{E6E4CF2A-2F27-4B77-AA82-8938949F7499}" uniqueName="51" name="20/06 PM" queryTableFieldId="62" dataDxfId="78"/>
    <tableColumn id="52" xr3:uid="{1EBF2243-4486-4C0B-9557-8056A269FA55}" uniqueName="52" name="20/06 NIGHT" queryTableFieldId="63" dataDxfId="77"/>
    <tableColumn id="53" xr3:uid="{492727A9-3CBF-4A4C-82D0-79B141E3EAB0}" uniqueName="53" name="21/06 AM" queryTableFieldId="64" dataDxfId="76"/>
    <tableColumn id="54" xr3:uid="{844DDEA4-B1F5-41C2-BC7D-2A0AF49712FB}" uniqueName="54" name="21/06 PM" queryTableFieldId="65" dataDxfId="75"/>
    <tableColumn id="55" xr3:uid="{8323F363-CE5D-4C5D-9E26-BF06786D6A25}" uniqueName="55" name="21/06 NIGHT" queryTableFieldId="66" dataDxfId="74"/>
    <tableColumn id="56" xr3:uid="{5CD57C9A-8893-434F-B268-59EA33EA6056}" uniqueName="56" name="22/06 AM" queryTableFieldId="67" dataDxfId="73"/>
    <tableColumn id="57" xr3:uid="{875A9030-A065-4530-8CE3-F9AE873F18EF}" uniqueName="57" name="22/06 PM" queryTableFieldId="68" dataDxfId="72"/>
    <tableColumn id="58" xr3:uid="{58D69998-AF30-468F-84E2-E5AD96ED9A8D}" uniqueName="58" name="22/06 NIGHT" queryTableFieldId="69" dataDxfId="71"/>
    <tableColumn id="59" xr3:uid="{FC0C7F65-D4F1-4B9D-BF9F-9E3118B52646}" uniqueName="59" name="23/06 AM" queryTableFieldId="70" dataDxfId="70"/>
    <tableColumn id="60" xr3:uid="{37164A98-3CA9-47BB-AAA6-71E3A9897878}" uniqueName="60" name="23/06 PM" queryTableFieldId="71" dataDxfId="69"/>
    <tableColumn id="61" xr3:uid="{917E3444-3F99-4D82-BA3D-11EBDB1EE73A}" uniqueName="61" name="23/06 NIGHT" queryTableFieldId="72" dataDxfId="68"/>
    <tableColumn id="62" xr3:uid="{F7584078-29FE-4812-951E-D84F0CCD99FB}" uniqueName="62" name="24/06 AM" queryTableFieldId="73" dataDxfId="67"/>
    <tableColumn id="63" xr3:uid="{BAB6A0AC-E507-4790-B12E-267349917AD8}" uniqueName="63" name="24/06 PM" queryTableFieldId="74" dataDxfId="66"/>
    <tableColumn id="64" xr3:uid="{C21087DB-061C-40CE-BDB4-83BA7595D152}" uniqueName="64" name="24/06 NIGHT" queryTableFieldId="75" dataDxfId="65"/>
    <tableColumn id="65" xr3:uid="{A6F25A9E-EABC-4BF2-8159-8F6D38600307}" uniqueName="65" name="25/06 AM" queryTableFieldId="76" dataDxfId="64"/>
    <tableColumn id="66" xr3:uid="{BFC2CF19-8380-4864-A8E4-038A625872C8}" uniqueName="66" name="25/06 PM" queryTableFieldId="77" dataDxfId="63"/>
    <tableColumn id="67" xr3:uid="{C582BC65-609D-4AD5-A5D8-849E5A49EE56}" uniqueName="67" name="25/06 NIGHT" queryTableFieldId="78" dataDxfId="62"/>
    <tableColumn id="68" xr3:uid="{F519879C-DDBA-4073-B6CB-E414B7C2B8C2}" uniqueName="68" name="26/06 AM" queryTableFieldId="79" dataDxfId="61"/>
    <tableColumn id="69" xr3:uid="{60DFA016-F79A-45DA-A850-8A0BAF9EC862}" uniqueName="69" name="26/06 PM" queryTableFieldId="80" dataDxfId="60"/>
    <tableColumn id="70" xr3:uid="{4291FC32-F83D-4112-ABF9-ADA3B3B46660}" uniqueName="70" name="26/06 NIGHT" queryTableFieldId="81" dataDxfId="59"/>
    <tableColumn id="71" xr3:uid="{6521C130-73D4-4B33-9C4F-69E2931EFFA9}" uniqueName="71" name="27/06 AM" queryTableFieldId="82" dataDxfId="58"/>
    <tableColumn id="72" xr3:uid="{632E5B27-9B05-4C05-956B-9E5E26B6950C}" uniqueName="72" name="27/06 PM" queryTableFieldId="83" dataDxfId="57"/>
    <tableColumn id="73" xr3:uid="{EED36C85-43E7-4DC4-B80D-B8DFAF0779E1}" uniqueName="73" name="27/06 NIGHT" queryTableFieldId="84" dataDxfId="56"/>
    <tableColumn id="74" xr3:uid="{6A68C620-56D0-432A-AE68-02FE389FE064}" uniqueName="74" name="28/06 AM" queryTableFieldId="85" dataDxfId="55"/>
    <tableColumn id="75" xr3:uid="{D08FC7AA-FDD8-4B13-B123-C61F272854D3}" uniqueName="75" name="28/06 PM" queryTableFieldId="86" dataDxfId="54"/>
    <tableColumn id="76" xr3:uid="{D7D3676C-F464-4C24-A8B0-EC2AA308452D}" uniqueName="76" name="28/06 NIGHT" queryTableFieldId="87" dataDxfId="53"/>
    <tableColumn id="77" xr3:uid="{93394C68-0D40-4CF3-A688-2E62A50624DC}" uniqueName="77" name="29/06 AM" queryTableFieldId="88" dataDxfId="52"/>
    <tableColumn id="78" xr3:uid="{74EE771B-452C-410E-8397-C0026558B713}" uniqueName="78" name="29/06 PM" queryTableFieldId="89" dataDxfId="51"/>
    <tableColumn id="79" xr3:uid="{D0DD36F5-9B2E-4305-AC44-2846649032D2}" uniqueName="79" name="29/06 NIGHT" queryTableFieldId="90" dataDxfId="50"/>
    <tableColumn id="80" xr3:uid="{823273F6-F905-4528-BDA3-C55A3FB666AD}" uniqueName="80" name="30/06 AM" queryTableFieldId="91" dataDxfId="49"/>
    <tableColumn id="81" xr3:uid="{45D1AA49-5A89-4904-A288-C687C1AFEF97}" uniqueName="81" name="30/06 PM" queryTableFieldId="92" dataDxfId="48"/>
    <tableColumn id="82" xr3:uid="{21B77953-E8FC-4076-A10E-8948F71A8D62}" uniqueName="82" name="30/06 NIGHT" queryTableFieldId="93" dataDxfId="47"/>
    <tableColumn id="83" xr3:uid="{A4A699D6-FF28-4C6A-A865-B7AF6A2C945C}" uniqueName="83" name="1/07 AM" queryTableFieldId="94" dataDxfId="46"/>
    <tableColumn id="84" xr3:uid="{868C8555-EBB2-4F13-9456-E02F189755AC}" uniqueName="84" name="1/07 PM" queryTableFieldId="95" dataDxfId="45"/>
    <tableColumn id="85" xr3:uid="{B6CB1538-5A2E-408C-A1C2-0AF1B10F9EA2}" uniqueName="85" name="1/07 NIGHT" queryTableFieldId="96" dataDxfId="44"/>
    <tableColumn id="86" xr3:uid="{CB7D1144-419D-452D-A30C-BE8BE6D0E02F}" uniqueName="86" name="2/07 AM" queryTableFieldId="97" dataDxfId="43"/>
    <tableColumn id="87" xr3:uid="{1543C24A-646A-4B37-BB6C-F0075692A18D}" uniqueName="87" name="2/07 PM" queryTableFieldId="98" dataDxfId="42"/>
    <tableColumn id="88" xr3:uid="{E3D8A4FE-F6C2-4D48-94F0-A0C039E33DF0}" uniqueName="88" name="2/07 NIGHT" queryTableFieldId="99" dataDxf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25C1-AB3F-46D8-8A41-097521E5F958}">
  <dimension ref="A1:AU64"/>
  <sheetViews>
    <sheetView workbookViewId="0"/>
    <sheetView workbookViewId="1"/>
  </sheetViews>
  <sheetFormatPr defaultRowHeight="15" x14ac:dyDescent="0.25"/>
  <cols>
    <col min="1" max="1" width="5.7109375" customWidth="1"/>
    <col min="2" max="2" width="21.28515625" customWidth="1"/>
    <col min="3" max="3" width="9.7109375" customWidth="1"/>
    <col min="4" max="4" width="7" customWidth="1"/>
    <col min="5" max="45" width="7" style="11" customWidth="1"/>
  </cols>
  <sheetData>
    <row r="1" spans="1:45" ht="21.75" customHeight="1" x14ac:dyDescent="0.25">
      <c r="C1" s="52" t="s">
        <v>125</v>
      </c>
      <c r="D1" s="52"/>
      <c r="E1" s="11" t="s">
        <v>122</v>
      </c>
      <c r="F1" s="30">
        <f>_xlfn.XLOOKUP('CARER (2)'!E1,Table5[UNITS],Table5[HRS/FTE])</f>
        <v>1</v>
      </c>
    </row>
    <row r="3" spans="1:45" s="17" customFormat="1" ht="30" x14ac:dyDescent="0.25">
      <c r="A3" s="15" t="str">
        <f>Header!B10</f>
        <v>Facility</v>
      </c>
      <c r="B3" s="15" t="str">
        <f>Header!C10</f>
        <v>EffortType</v>
      </c>
      <c r="C3" s="15" t="str">
        <f>Header!D10</f>
        <v>Role</v>
      </c>
      <c r="D3" s="16" t="str">
        <f>Header!E10</f>
        <v>19/06 AM</v>
      </c>
      <c r="E3" s="16" t="str">
        <f>Header!F10</f>
        <v>19/06 PM</v>
      </c>
      <c r="F3" s="16" t="str">
        <f>Header!G10</f>
        <v>19/06 NIGHT</v>
      </c>
      <c r="G3" s="16" t="str">
        <f>Header!H10</f>
        <v>20/06 AM</v>
      </c>
      <c r="H3" s="16" t="str">
        <f>Header!I10</f>
        <v>20/06 PM</v>
      </c>
      <c r="I3" s="16" t="str">
        <f>Header!J10</f>
        <v>20/06 NIGHT</v>
      </c>
      <c r="J3" s="16" t="str">
        <f>Header!K10</f>
        <v>21/06 AM</v>
      </c>
      <c r="K3" s="16" t="str">
        <f>Header!L10</f>
        <v>21/06 PM</v>
      </c>
      <c r="L3" s="16" t="str">
        <f>Header!M10</f>
        <v>21/06 NIGHT</v>
      </c>
      <c r="M3" s="16" t="str">
        <f>Header!N10</f>
        <v>22/06 AM</v>
      </c>
      <c r="N3" s="16" t="str">
        <f>Header!O10</f>
        <v>22/06 PM</v>
      </c>
      <c r="O3" s="16" t="str">
        <f>Header!P10</f>
        <v>22/06 NIGHT</v>
      </c>
      <c r="P3" s="16" t="str">
        <f>Header!Q10</f>
        <v>23/06 AM</v>
      </c>
      <c r="Q3" s="16" t="str">
        <f>Header!R10</f>
        <v>23/06 PM</v>
      </c>
      <c r="R3" s="16" t="str">
        <f>Header!S10</f>
        <v>23/06 NIGHT</v>
      </c>
      <c r="S3" s="16" t="str">
        <f>Header!T10</f>
        <v>24/06 AM</v>
      </c>
      <c r="T3" s="16" t="str">
        <f>Header!U10</f>
        <v>24/06 PM</v>
      </c>
      <c r="U3" s="16" t="str">
        <f>Header!V10</f>
        <v>24/06 NIGHT</v>
      </c>
      <c r="V3" s="16" t="str">
        <f>Header!W10</f>
        <v>25/06 AM</v>
      </c>
      <c r="W3" s="16" t="str">
        <f>Header!X10</f>
        <v>25/06 PM</v>
      </c>
      <c r="X3" s="16" t="str">
        <f>Header!Y10</f>
        <v>25/06 NIGHT</v>
      </c>
      <c r="Y3" s="16" t="str">
        <f>Header!Z10</f>
        <v>26/06 AM</v>
      </c>
      <c r="Z3" s="16" t="str">
        <f>Header!AA10</f>
        <v>26/06 PM</v>
      </c>
      <c r="AA3" s="16" t="str">
        <f>Header!AB10</f>
        <v>26/06 NIGHT</v>
      </c>
      <c r="AB3" s="16" t="str">
        <f>Header!AC10</f>
        <v>27/06 AM</v>
      </c>
      <c r="AC3" s="16" t="str">
        <f>Header!AD10</f>
        <v>27/06 PM</v>
      </c>
      <c r="AD3" s="16" t="str">
        <f>Header!AE10</f>
        <v>27/06 NIGHT</v>
      </c>
      <c r="AE3" s="16" t="str">
        <f>Header!AF10</f>
        <v>28/06 AM</v>
      </c>
      <c r="AF3" s="16" t="str">
        <f>Header!AG10</f>
        <v>28/06 PM</v>
      </c>
      <c r="AG3" s="16" t="str">
        <f>Header!AH10</f>
        <v>28/06 NIGHT</v>
      </c>
      <c r="AH3" s="16" t="str">
        <f>Header!AI10</f>
        <v>29/06 AM</v>
      </c>
      <c r="AI3" s="16" t="str">
        <f>Header!AJ10</f>
        <v>29/06 PM</v>
      </c>
      <c r="AJ3" s="16" t="str">
        <f>Header!AK10</f>
        <v>29/06 NIGHT</v>
      </c>
      <c r="AK3" s="16" t="str">
        <f>Header!AL10</f>
        <v>30/06 AM</v>
      </c>
      <c r="AL3" s="16" t="str">
        <f>Header!AM10</f>
        <v>30/06 PM</v>
      </c>
      <c r="AM3" s="16" t="str">
        <f>Header!AN10</f>
        <v>30/06 NIGHT</v>
      </c>
      <c r="AN3" s="16" t="str">
        <f>Header!AO10</f>
        <v>1/07 AM</v>
      </c>
      <c r="AO3" s="16" t="str">
        <f>Header!AP10</f>
        <v>1/07 PM</v>
      </c>
      <c r="AP3" s="16" t="str">
        <f>Header!AQ10</f>
        <v>1/07 NIGHT</v>
      </c>
      <c r="AQ3" s="16" t="str">
        <f>Header!AR10</f>
        <v>2/07 AM</v>
      </c>
      <c r="AR3" s="16" t="str">
        <f>Header!AS10</f>
        <v>2/07 PM</v>
      </c>
      <c r="AS3" s="16" t="str">
        <f>Header!AT10</f>
        <v>2/07 NIGHT</v>
      </c>
    </row>
    <row r="4" spans="1:45" x14ac:dyDescent="0.25">
      <c r="A4" s="13" t="str">
        <f>Header!B11</f>
        <v>MAIT</v>
      </c>
      <c r="B4" s="13" t="str">
        <f>Header!C11</f>
        <v>Demand</v>
      </c>
      <c r="C4" s="13" t="str">
        <f>Header!D11</f>
        <v>Carer</v>
      </c>
      <c r="D4" s="27">
        <f>Header!E11/UNIT</f>
        <v>84.8</v>
      </c>
      <c r="E4" s="27">
        <f>Header!F11/UNIT</f>
        <v>68.3</v>
      </c>
      <c r="F4" s="27">
        <f>Header!G11/UNIT</f>
        <v>37</v>
      </c>
      <c r="G4" s="27">
        <f>Header!H11/UNIT</f>
        <v>87.5</v>
      </c>
      <c r="H4" s="27">
        <f>Header!I11/UNIT</f>
        <v>68.3</v>
      </c>
      <c r="I4" s="27">
        <f>Header!J11/UNIT</f>
        <v>37</v>
      </c>
      <c r="J4" s="27">
        <f>Header!K11/UNIT</f>
        <v>87.5</v>
      </c>
      <c r="K4" s="27">
        <f>Header!L11/UNIT</f>
        <v>68.3</v>
      </c>
      <c r="L4" s="27">
        <f>Header!M11/UNIT</f>
        <v>37</v>
      </c>
      <c r="M4" s="27">
        <f>Header!N11/UNIT</f>
        <v>87.5</v>
      </c>
      <c r="N4" s="27">
        <f>Header!O11/UNIT</f>
        <v>68.3</v>
      </c>
      <c r="O4" s="27">
        <f>Header!P11/UNIT</f>
        <v>37</v>
      </c>
      <c r="P4" s="27">
        <f>Header!Q11/UNIT</f>
        <v>87.5</v>
      </c>
      <c r="Q4" s="27">
        <f>Header!R11/UNIT</f>
        <v>68.3</v>
      </c>
      <c r="R4" s="27">
        <f>Header!S11/UNIT</f>
        <v>37</v>
      </c>
      <c r="S4" s="27">
        <f>Header!T11/UNIT</f>
        <v>87.5</v>
      </c>
      <c r="T4" s="27">
        <f>Header!U11/UNIT</f>
        <v>68.3</v>
      </c>
      <c r="U4" s="27">
        <f>Header!V11/UNIT</f>
        <v>37</v>
      </c>
      <c r="V4" s="27">
        <f>Header!W11/UNIT</f>
        <v>87.5</v>
      </c>
      <c r="W4" s="27">
        <f>Header!X11/UNIT</f>
        <v>68.3</v>
      </c>
      <c r="X4" s="27">
        <f>Header!Y11/UNIT</f>
        <v>37</v>
      </c>
      <c r="Y4" s="27">
        <f>Header!Z11/UNIT</f>
        <v>87.5</v>
      </c>
      <c r="Z4" s="27">
        <f>Header!AA11/UNIT</f>
        <v>68.3</v>
      </c>
      <c r="AA4" s="27">
        <f>Header!AB11/UNIT</f>
        <v>37</v>
      </c>
      <c r="AB4" s="27">
        <f>Header!AC11/UNIT</f>
        <v>87.5</v>
      </c>
      <c r="AC4" s="27">
        <f>Header!AD11/UNIT</f>
        <v>68.3</v>
      </c>
      <c r="AD4" s="27">
        <f>Header!AE11/UNIT</f>
        <v>37</v>
      </c>
      <c r="AE4" s="27">
        <f>Header!AF11/UNIT</f>
        <v>87.5</v>
      </c>
      <c r="AF4" s="27">
        <f>Header!AG11/UNIT</f>
        <v>68.3</v>
      </c>
      <c r="AG4" s="27">
        <f>Header!AH11/UNIT</f>
        <v>37</v>
      </c>
      <c r="AH4" s="27">
        <f>Header!AI11/UNIT</f>
        <v>87.5</v>
      </c>
      <c r="AI4" s="27">
        <f>Header!AJ11/UNIT</f>
        <v>68.3</v>
      </c>
      <c r="AJ4" s="27">
        <f>Header!AK11/UNIT</f>
        <v>37</v>
      </c>
      <c r="AK4" s="27">
        <f>Header!AL11/UNIT</f>
        <v>87.5</v>
      </c>
      <c r="AL4" s="27">
        <f>Header!AM11/UNIT</f>
        <v>68.3</v>
      </c>
      <c r="AM4" s="27">
        <f>Header!AN11/UNIT</f>
        <v>37</v>
      </c>
      <c r="AN4" s="27">
        <f>Header!AO11/UNIT</f>
        <v>87.5</v>
      </c>
      <c r="AO4" s="27">
        <f>Header!AP11/UNIT</f>
        <v>68.3</v>
      </c>
      <c r="AP4" s="27">
        <f>Header!AQ11/UNIT</f>
        <v>37</v>
      </c>
      <c r="AQ4" s="27">
        <f>Header!AR11/UNIT</f>
        <v>89.2</v>
      </c>
      <c r="AR4" s="27">
        <f>Header!AS11/UNIT</f>
        <v>68.3</v>
      </c>
      <c r="AS4" s="27">
        <f>Header!AT11/UNIT</f>
        <v>37</v>
      </c>
    </row>
    <row r="5" spans="1:45" x14ac:dyDescent="0.25">
      <c r="A5" s="13" t="str">
        <f>Header!B12</f>
        <v>MAIT</v>
      </c>
      <c r="B5" s="13" t="str">
        <f>Header!C12</f>
        <v>Allocation</v>
      </c>
      <c r="C5" s="13" t="str">
        <f>Header!D12</f>
        <v>Carer</v>
      </c>
      <c r="D5" s="28">
        <f>Header!E12/UNIT</f>
        <v>84.2</v>
      </c>
      <c r="E5" s="28">
        <f>Header!F12/UNIT</f>
        <v>65.5</v>
      </c>
      <c r="F5" s="28">
        <f>Header!G12/UNIT</f>
        <v>35.9</v>
      </c>
      <c r="G5" s="28">
        <f>Header!H12/UNIT</f>
        <v>87.5</v>
      </c>
      <c r="H5" s="28">
        <f>Header!I12/UNIT</f>
        <v>72.3</v>
      </c>
      <c r="I5" s="28">
        <f>Header!J12/UNIT</f>
        <v>35.9</v>
      </c>
      <c r="J5" s="28">
        <f>Header!K12/UNIT</f>
        <v>80.400000000000006</v>
      </c>
      <c r="K5" s="28">
        <f>Header!L12/UNIT</f>
        <v>72.3</v>
      </c>
      <c r="L5" s="28">
        <f>Header!M12/UNIT</f>
        <v>29</v>
      </c>
      <c r="M5" s="28">
        <f>Header!N12/UNIT</f>
        <v>87.3</v>
      </c>
      <c r="N5" s="28">
        <f>Header!O12/UNIT</f>
        <v>72.3</v>
      </c>
      <c r="O5" s="28">
        <f>Header!P12/UNIT</f>
        <v>22</v>
      </c>
      <c r="P5" s="28">
        <f>Header!Q12/UNIT</f>
        <v>56.3</v>
      </c>
      <c r="Q5" s="28">
        <f>Header!R12/UNIT</f>
        <v>58.9</v>
      </c>
      <c r="R5" s="28">
        <f>Header!S12/UNIT</f>
        <v>29</v>
      </c>
      <c r="S5" s="28">
        <f>Header!T12/UNIT</f>
        <v>77.900000000000006</v>
      </c>
      <c r="T5" s="28">
        <f>Header!U12/UNIT</f>
        <v>65.5</v>
      </c>
      <c r="U5" s="28">
        <f>Header!V12/UNIT</f>
        <v>29</v>
      </c>
      <c r="V5" s="28">
        <f>Header!W12/UNIT</f>
        <v>77.900000000000006</v>
      </c>
      <c r="W5" s="28">
        <f>Header!X12/UNIT</f>
        <v>65.5</v>
      </c>
      <c r="X5" s="28">
        <f>Header!Y12/UNIT</f>
        <v>29</v>
      </c>
      <c r="Y5" s="28">
        <f>Header!Z12/UNIT</f>
        <v>85</v>
      </c>
      <c r="Z5" s="28">
        <f>Header!AA12/UNIT</f>
        <v>65.5</v>
      </c>
      <c r="AA5" s="28">
        <f>Header!AB12/UNIT</f>
        <v>35.9</v>
      </c>
      <c r="AB5" s="28">
        <f>Header!AC12/UNIT</f>
        <v>87.5</v>
      </c>
      <c r="AC5" s="28">
        <f>Header!AD12/UNIT</f>
        <v>72.3</v>
      </c>
      <c r="AD5" s="28">
        <f>Header!AE12/UNIT</f>
        <v>35.9</v>
      </c>
      <c r="AE5" s="28">
        <f>Header!AF12/UNIT</f>
        <v>80.400000000000006</v>
      </c>
      <c r="AF5" s="28">
        <f>Header!AG12/UNIT</f>
        <v>71.900000000000006</v>
      </c>
      <c r="AG5" s="28">
        <f>Header!AH12/UNIT</f>
        <v>22</v>
      </c>
      <c r="AH5" s="28">
        <f>Header!AI12/UNIT</f>
        <v>87.1</v>
      </c>
      <c r="AI5" s="28">
        <f>Header!AJ12/UNIT</f>
        <v>58.3</v>
      </c>
      <c r="AJ5" s="28">
        <f>Header!AK12/UNIT</f>
        <v>35.6</v>
      </c>
      <c r="AK5" s="28">
        <f>Header!AL12/UNIT</f>
        <v>71</v>
      </c>
      <c r="AL5" s="28">
        <f>Header!AM12/UNIT</f>
        <v>58.9</v>
      </c>
      <c r="AM5" s="28">
        <f>Header!AN12/UNIT</f>
        <v>35.9</v>
      </c>
      <c r="AN5" s="28">
        <f>Header!AO12/UNIT</f>
        <v>71</v>
      </c>
      <c r="AO5" s="28">
        <f>Header!AP12/UNIT</f>
        <v>58.9</v>
      </c>
      <c r="AP5" s="28">
        <f>Header!AQ12/UNIT</f>
        <v>35.9</v>
      </c>
      <c r="AQ5" s="28">
        <f>Header!AR12/UNIT</f>
        <v>71</v>
      </c>
      <c r="AR5" s="28">
        <f>Header!AS12/UNIT</f>
        <v>65.5</v>
      </c>
      <c r="AS5" s="28">
        <f>Header!AT12/UNIT</f>
        <v>16</v>
      </c>
    </row>
    <row r="6" spans="1:45" x14ac:dyDescent="0.25">
      <c r="A6" s="13" t="e">
        <f>Header!#REF!</f>
        <v>#REF!</v>
      </c>
      <c r="B6" s="13" t="e">
        <f>Header!#REF!</f>
        <v>#REF!</v>
      </c>
      <c r="C6" s="13" t="e">
        <f>Header!#REF!</f>
        <v>#REF!</v>
      </c>
      <c r="D6" s="29" t="e">
        <f>Header!#REF!/UNIT</f>
        <v>#REF!</v>
      </c>
      <c r="E6" s="29" t="e">
        <f>Header!#REF!/UNIT</f>
        <v>#REF!</v>
      </c>
      <c r="F6" s="29" t="e">
        <f>Header!#REF!/UNIT</f>
        <v>#REF!</v>
      </c>
      <c r="G6" s="29" t="e">
        <f>Header!#REF!/UNIT</f>
        <v>#REF!</v>
      </c>
      <c r="H6" s="29" t="e">
        <f>Header!#REF!/UNIT</f>
        <v>#REF!</v>
      </c>
      <c r="I6" s="29" t="e">
        <f>Header!#REF!/UNIT</f>
        <v>#REF!</v>
      </c>
      <c r="J6" s="29" t="e">
        <f>Header!#REF!/UNIT</f>
        <v>#REF!</v>
      </c>
      <c r="K6" s="29" t="e">
        <f>Header!#REF!/UNIT</f>
        <v>#REF!</v>
      </c>
      <c r="L6" s="29" t="e">
        <f>Header!#REF!/UNIT</f>
        <v>#REF!</v>
      </c>
      <c r="M6" s="29" t="e">
        <f>Header!#REF!/UNIT</f>
        <v>#REF!</v>
      </c>
      <c r="N6" s="29" t="e">
        <f>Header!#REF!/UNIT</f>
        <v>#REF!</v>
      </c>
      <c r="O6" s="29" t="e">
        <f>Header!#REF!/UNIT</f>
        <v>#REF!</v>
      </c>
      <c r="P6" s="29" t="e">
        <f>Header!#REF!/UNIT</f>
        <v>#REF!</v>
      </c>
      <c r="Q6" s="29" t="e">
        <f>Header!#REF!/UNIT</f>
        <v>#REF!</v>
      </c>
      <c r="R6" s="29" t="e">
        <f>Header!#REF!/UNIT</f>
        <v>#REF!</v>
      </c>
      <c r="S6" s="29" t="e">
        <f>Header!#REF!/UNIT</f>
        <v>#REF!</v>
      </c>
      <c r="T6" s="29" t="e">
        <f>Header!#REF!/UNIT</f>
        <v>#REF!</v>
      </c>
      <c r="U6" s="29" t="e">
        <f>Header!#REF!/UNIT</f>
        <v>#REF!</v>
      </c>
      <c r="V6" s="29" t="e">
        <f>Header!#REF!/UNIT</f>
        <v>#REF!</v>
      </c>
      <c r="W6" s="29" t="e">
        <f>Header!#REF!/UNIT</f>
        <v>#REF!</v>
      </c>
      <c r="X6" s="29" t="e">
        <f>Header!#REF!/UNIT</f>
        <v>#REF!</v>
      </c>
      <c r="Y6" s="29" t="e">
        <f>Header!#REF!/UNIT</f>
        <v>#REF!</v>
      </c>
      <c r="Z6" s="29" t="e">
        <f>Header!#REF!/UNIT</f>
        <v>#REF!</v>
      </c>
      <c r="AA6" s="29" t="e">
        <f>Header!#REF!/UNIT</f>
        <v>#REF!</v>
      </c>
      <c r="AB6" s="29" t="e">
        <f>Header!#REF!/UNIT</f>
        <v>#REF!</v>
      </c>
      <c r="AC6" s="29" t="e">
        <f>Header!#REF!/UNIT</f>
        <v>#REF!</v>
      </c>
      <c r="AD6" s="29" t="e">
        <f>Header!#REF!/UNIT</f>
        <v>#REF!</v>
      </c>
      <c r="AE6" s="29" t="e">
        <f>Header!#REF!/UNIT</f>
        <v>#REF!</v>
      </c>
      <c r="AF6" s="29" t="e">
        <f>Header!#REF!/UNIT</f>
        <v>#REF!</v>
      </c>
      <c r="AG6" s="29" t="e">
        <f>Header!#REF!/UNIT</f>
        <v>#REF!</v>
      </c>
      <c r="AH6" s="29" t="e">
        <f>Header!#REF!/UNIT</f>
        <v>#REF!</v>
      </c>
      <c r="AI6" s="29" t="e">
        <f>Header!#REF!/UNIT</f>
        <v>#REF!</v>
      </c>
      <c r="AJ6" s="29" t="e">
        <f>Header!#REF!/UNIT</f>
        <v>#REF!</v>
      </c>
      <c r="AK6" s="29" t="e">
        <f>Header!#REF!/UNIT</f>
        <v>#REF!</v>
      </c>
      <c r="AL6" s="29" t="e">
        <f>Header!#REF!/UNIT</f>
        <v>#REF!</v>
      </c>
      <c r="AM6" s="29" t="e">
        <f>Header!#REF!/UNIT</f>
        <v>#REF!</v>
      </c>
      <c r="AN6" s="29" t="e">
        <f>Header!#REF!/UNIT</f>
        <v>#REF!</v>
      </c>
      <c r="AO6" s="29" t="e">
        <f>Header!#REF!/UNIT</f>
        <v>#REF!</v>
      </c>
      <c r="AP6" s="29" t="e">
        <f>Header!#REF!/UNIT</f>
        <v>#REF!</v>
      </c>
      <c r="AQ6" s="29" t="e">
        <f>Header!#REF!/UNIT</f>
        <v>#REF!</v>
      </c>
      <c r="AR6" s="29" t="e">
        <f>Header!#REF!/UNIT</f>
        <v>#REF!</v>
      </c>
      <c r="AS6" s="29" t="e">
        <f>Header!#REF!/UNIT</f>
        <v>#REF!</v>
      </c>
    </row>
    <row r="7" spans="1:45" x14ac:dyDescent="0.25">
      <c r="A7" s="13"/>
      <c r="B7" s="13" t="s">
        <v>118</v>
      </c>
      <c r="C7" s="13"/>
      <c r="D7" s="29" t="e">
        <f>Header!#REF!/UNIT</f>
        <v>#REF!</v>
      </c>
      <c r="E7" s="29" t="e">
        <f>Header!#REF!/UNIT</f>
        <v>#REF!</v>
      </c>
      <c r="F7" s="29" t="e">
        <f>Header!#REF!/UNIT</f>
        <v>#REF!</v>
      </c>
      <c r="G7" s="29" t="e">
        <f>Header!#REF!/UNIT</f>
        <v>#REF!</v>
      </c>
      <c r="H7" s="29" t="e">
        <f>Header!#REF!/UNIT</f>
        <v>#REF!</v>
      </c>
      <c r="I7" s="29" t="e">
        <f>Header!#REF!/UNIT</f>
        <v>#REF!</v>
      </c>
      <c r="J7" s="29" t="e">
        <f>Header!#REF!/UNIT</f>
        <v>#REF!</v>
      </c>
      <c r="K7" s="29" t="e">
        <f>Header!#REF!/UNIT</f>
        <v>#REF!</v>
      </c>
      <c r="L7" s="29" t="e">
        <f>Header!#REF!/UNIT</f>
        <v>#REF!</v>
      </c>
      <c r="M7" s="29" t="e">
        <f>Header!#REF!/UNIT</f>
        <v>#REF!</v>
      </c>
      <c r="N7" s="29" t="e">
        <f>Header!#REF!/UNIT</f>
        <v>#REF!</v>
      </c>
      <c r="O7" s="29" t="e">
        <f>Header!#REF!/UNIT</f>
        <v>#REF!</v>
      </c>
      <c r="P7" s="29" t="e">
        <f>Header!#REF!/UNIT</f>
        <v>#REF!</v>
      </c>
      <c r="Q7" s="29" t="e">
        <f>Header!#REF!/UNIT</f>
        <v>#REF!</v>
      </c>
      <c r="R7" s="29" t="e">
        <f>Header!#REF!/UNIT</f>
        <v>#REF!</v>
      </c>
      <c r="S7" s="29" t="e">
        <f>Header!#REF!/UNIT</f>
        <v>#REF!</v>
      </c>
      <c r="T7" s="29" t="e">
        <f>Header!#REF!/UNIT</f>
        <v>#REF!</v>
      </c>
      <c r="U7" s="29" t="e">
        <f>Header!#REF!/UNIT</f>
        <v>#REF!</v>
      </c>
      <c r="V7" s="29" t="e">
        <f>Header!#REF!/UNIT</f>
        <v>#REF!</v>
      </c>
      <c r="W7" s="29" t="e">
        <f>Header!#REF!/UNIT</f>
        <v>#REF!</v>
      </c>
      <c r="X7" s="29" t="e">
        <f>Header!#REF!/UNIT</f>
        <v>#REF!</v>
      </c>
      <c r="Y7" s="29" t="e">
        <f>Header!#REF!/UNIT</f>
        <v>#REF!</v>
      </c>
      <c r="Z7" s="29" t="e">
        <f>Header!#REF!/UNIT</f>
        <v>#REF!</v>
      </c>
      <c r="AA7" s="29" t="e">
        <f>Header!#REF!/UNIT</f>
        <v>#REF!</v>
      </c>
      <c r="AB7" s="29" t="e">
        <f>Header!#REF!/UNIT</f>
        <v>#REF!</v>
      </c>
      <c r="AC7" s="29" t="e">
        <f>Header!#REF!/UNIT</f>
        <v>#REF!</v>
      </c>
      <c r="AD7" s="29" t="e">
        <f>Header!#REF!/UNIT</f>
        <v>#REF!</v>
      </c>
      <c r="AE7" s="29" t="e">
        <f>Header!#REF!/UNIT</f>
        <v>#REF!</v>
      </c>
      <c r="AF7" s="29" t="e">
        <f>Header!#REF!/UNIT</f>
        <v>#REF!</v>
      </c>
      <c r="AG7" s="29" t="e">
        <f>Header!#REF!/UNIT</f>
        <v>#REF!</v>
      </c>
      <c r="AH7" s="29" t="e">
        <f>Header!#REF!/UNIT</f>
        <v>#REF!</v>
      </c>
      <c r="AI7" s="29" t="e">
        <f>Header!#REF!/UNIT</f>
        <v>#REF!</v>
      </c>
      <c r="AJ7" s="29" t="e">
        <f>Header!#REF!/UNIT</f>
        <v>#REF!</v>
      </c>
      <c r="AK7" s="29" t="e">
        <f>Header!#REF!/UNIT</f>
        <v>#REF!</v>
      </c>
      <c r="AL7" s="29" t="e">
        <f>Header!#REF!/UNIT</f>
        <v>#REF!</v>
      </c>
      <c r="AM7" s="29" t="e">
        <f>Header!#REF!/UNIT</f>
        <v>#REF!</v>
      </c>
      <c r="AN7" s="29" t="e">
        <f>Header!#REF!/UNIT</f>
        <v>#REF!</v>
      </c>
      <c r="AO7" s="29" t="e">
        <f>Header!#REF!/UNIT</f>
        <v>#REF!</v>
      </c>
      <c r="AP7" s="29" t="e">
        <f>Header!#REF!/UNIT</f>
        <v>#REF!</v>
      </c>
      <c r="AQ7" s="29" t="e">
        <f>Header!#REF!/UNIT</f>
        <v>#REF!</v>
      </c>
      <c r="AR7" s="29" t="e">
        <f>Header!#REF!/UNIT</f>
        <v>#REF!</v>
      </c>
      <c r="AS7" s="29" t="e">
        <f>Header!#REF!/UNIT</f>
        <v>#REF!</v>
      </c>
    </row>
    <row r="8" spans="1:45" x14ac:dyDescent="0.25">
      <c r="A8" s="13"/>
      <c r="B8" s="13" t="s">
        <v>119</v>
      </c>
      <c r="C8" s="13"/>
      <c r="D8" s="29" t="e">
        <f>Header!#REF!/UNIT</f>
        <v>#REF!</v>
      </c>
      <c r="E8" s="29" t="e">
        <f>Header!#REF!/UNIT</f>
        <v>#REF!</v>
      </c>
      <c r="F8" s="29" t="e">
        <f>Header!#REF!/UNIT</f>
        <v>#REF!</v>
      </c>
      <c r="G8" s="29" t="e">
        <f>Header!#REF!/UNIT</f>
        <v>#REF!</v>
      </c>
      <c r="H8" s="29" t="e">
        <f>Header!#REF!/UNIT</f>
        <v>#REF!</v>
      </c>
      <c r="I8" s="29" t="e">
        <f>Header!#REF!/UNIT</f>
        <v>#REF!</v>
      </c>
      <c r="J8" s="29" t="e">
        <f>Header!#REF!/UNIT</f>
        <v>#REF!</v>
      </c>
      <c r="K8" s="29" t="e">
        <f>Header!#REF!/UNIT</f>
        <v>#REF!</v>
      </c>
      <c r="L8" s="29" t="e">
        <f>Header!#REF!/UNIT</f>
        <v>#REF!</v>
      </c>
      <c r="M8" s="29" t="e">
        <f>Header!#REF!/UNIT</f>
        <v>#REF!</v>
      </c>
      <c r="N8" s="29" t="e">
        <f>Header!#REF!/UNIT</f>
        <v>#REF!</v>
      </c>
      <c r="O8" s="29" t="e">
        <f>Header!#REF!/UNIT</f>
        <v>#REF!</v>
      </c>
      <c r="P8" s="29" t="e">
        <f>Header!#REF!/UNIT</f>
        <v>#REF!</v>
      </c>
      <c r="Q8" s="29" t="e">
        <f>Header!#REF!/UNIT</f>
        <v>#REF!</v>
      </c>
      <c r="R8" s="29" t="e">
        <f>Header!#REF!/UNIT</f>
        <v>#REF!</v>
      </c>
      <c r="S8" s="29" t="e">
        <f>Header!#REF!/UNIT</f>
        <v>#REF!</v>
      </c>
      <c r="T8" s="29" t="e">
        <f>Header!#REF!/UNIT</f>
        <v>#REF!</v>
      </c>
      <c r="U8" s="29" t="e">
        <f>Header!#REF!/UNIT</f>
        <v>#REF!</v>
      </c>
      <c r="V8" s="29" t="e">
        <f>Header!#REF!/UNIT</f>
        <v>#REF!</v>
      </c>
      <c r="W8" s="29" t="e">
        <f>Header!#REF!/UNIT</f>
        <v>#REF!</v>
      </c>
      <c r="X8" s="29" t="e">
        <f>Header!#REF!/UNIT</f>
        <v>#REF!</v>
      </c>
      <c r="Y8" s="29" t="e">
        <f>Header!#REF!/UNIT</f>
        <v>#REF!</v>
      </c>
      <c r="Z8" s="29" t="e">
        <f>Header!#REF!/UNIT</f>
        <v>#REF!</v>
      </c>
      <c r="AA8" s="29" t="e">
        <f>Header!#REF!/UNIT</f>
        <v>#REF!</v>
      </c>
      <c r="AB8" s="29" t="e">
        <f>Header!#REF!/UNIT</f>
        <v>#REF!</v>
      </c>
      <c r="AC8" s="29" t="e">
        <f>Header!#REF!/UNIT</f>
        <v>#REF!</v>
      </c>
      <c r="AD8" s="29" t="e">
        <f>Header!#REF!/UNIT</f>
        <v>#REF!</v>
      </c>
      <c r="AE8" s="29" t="e">
        <f>Header!#REF!/UNIT</f>
        <v>#REF!</v>
      </c>
      <c r="AF8" s="29" t="e">
        <f>Header!#REF!/UNIT</f>
        <v>#REF!</v>
      </c>
      <c r="AG8" s="29" t="e">
        <f>Header!#REF!/UNIT</f>
        <v>#REF!</v>
      </c>
      <c r="AH8" s="29" t="e">
        <f>Header!#REF!/UNIT</f>
        <v>#REF!</v>
      </c>
      <c r="AI8" s="29" t="e">
        <f>Header!#REF!/UNIT</f>
        <v>#REF!</v>
      </c>
      <c r="AJ8" s="29" t="e">
        <f>Header!#REF!/UNIT</f>
        <v>#REF!</v>
      </c>
      <c r="AK8" s="29" t="e">
        <f>Header!#REF!/UNIT</f>
        <v>#REF!</v>
      </c>
      <c r="AL8" s="29" t="e">
        <f>Header!#REF!/UNIT</f>
        <v>#REF!</v>
      </c>
      <c r="AM8" s="29" t="e">
        <f>Header!#REF!/UNIT</f>
        <v>#REF!</v>
      </c>
      <c r="AN8" s="29" t="e">
        <f>Header!#REF!/UNIT</f>
        <v>#REF!</v>
      </c>
      <c r="AO8" s="29" t="e">
        <f>Header!#REF!/UNIT</f>
        <v>#REF!</v>
      </c>
      <c r="AP8" s="29" t="e">
        <f>Header!#REF!/UNIT</f>
        <v>#REF!</v>
      </c>
      <c r="AQ8" s="29" t="e">
        <f>Header!#REF!/UNIT</f>
        <v>#REF!</v>
      </c>
      <c r="AR8" s="29" t="e">
        <f>Header!#REF!/UNIT</f>
        <v>#REF!</v>
      </c>
      <c r="AS8" s="29" t="e">
        <f>Header!#REF!/UNIT</f>
        <v>#REF!</v>
      </c>
    </row>
    <row r="9" spans="1:45" x14ac:dyDescent="0.25">
      <c r="A9" s="13"/>
      <c r="B9" s="13" t="s">
        <v>120</v>
      </c>
      <c r="C9" s="13"/>
      <c r="D9" s="29" t="e">
        <f>Header!#REF!/UNIT</f>
        <v>#REF!</v>
      </c>
      <c r="E9" s="29" t="e">
        <f>Header!#REF!/UNIT</f>
        <v>#REF!</v>
      </c>
      <c r="F9" s="29" t="e">
        <f>Header!#REF!/UNIT</f>
        <v>#REF!</v>
      </c>
      <c r="G9" s="29" t="e">
        <f>Header!#REF!/UNIT</f>
        <v>#REF!</v>
      </c>
      <c r="H9" s="29" t="e">
        <f>Header!#REF!/UNIT</f>
        <v>#REF!</v>
      </c>
      <c r="I9" s="29" t="e">
        <f>Header!#REF!/UNIT</f>
        <v>#REF!</v>
      </c>
      <c r="J9" s="29" t="e">
        <f>Header!#REF!/UNIT</f>
        <v>#REF!</v>
      </c>
      <c r="K9" s="29" t="e">
        <f>Header!#REF!/UNIT</f>
        <v>#REF!</v>
      </c>
      <c r="L9" s="29" t="e">
        <f>Header!#REF!/UNIT</f>
        <v>#REF!</v>
      </c>
      <c r="M9" s="29" t="e">
        <f>Header!#REF!/UNIT</f>
        <v>#REF!</v>
      </c>
      <c r="N9" s="29" t="e">
        <f>Header!#REF!/UNIT</f>
        <v>#REF!</v>
      </c>
      <c r="O9" s="29" t="e">
        <f>Header!#REF!/UNIT</f>
        <v>#REF!</v>
      </c>
      <c r="P9" s="29" t="e">
        <f>Header!#REF!/UNIT</f>
        <v>#REF!</v>
      </c>
      <c r="Q9" s="29" t="e">
        <f>Header!#REF!/UNIT</f>
        <v>#REF!</v>
      </c>
      <c r="R9" s="29" t="e">
        <f>Header!#REF!/UNIT</f>
        <v>#REF!</v>
      </c>
      <c r="S9" s="29" t="e">
        <f>Header!#REF!/UNIT</f>
        <v>#REF!</v>
      </c>
      <c r="T9" s="29" t="e">
        <f>Header!#REF!/UNIT</f>
        <v>#REF!</v>
      </c>
      <c r="U9" s="29" t="e">
        <f>Header!#REF!/UNIT</f>
        <v>#REF!</v>
      </c>
      <c r="V9" s="29" t="e">
        <f>Header!#REF!/UNIT</f>
        <v>#REF!</v>
      </c>
      <c r="W9" s="29" t="e">
        <f>Header!#REF!/UNIT</f>
        <v>#REF!</v>
      </c>
      <c r="X9" s="29" t="e">
        <f>Header!#REF!/UNIT</f>
        <v>#REF!</v>
      </c>
      <c r="Y9" s="29" t="e">
        <f>Header!#REF!/UNIT</f>
        <v>#REF!</v>
      </c>
      <c r="Z9" s="29" t="e">
        <f>Header!#REF!/UNIT</f>
        <v>#REF!</v>
      </c>
      <c r="AA9" s="29" t="e">
        <f>Header!#REF!/UNIT</f>
        <v>#REF!</v>
      </c>
      <c r="AB9" s="29" t="e">
        <f>Header!#REF!/UNIT</f>
        <v>#REF!</v>
      </c>
      <c r="AC9" s="29" t="e">
        <f>Header!#REF!/UNIT</f>
        <v>#REF!</v>
      </c>
      <c r="AD9" s="29" t="e">
        <f>Header!#REF!/UNIT</f>
        <v>#REF!</v>
      </c>
      <c r="AE9" s="29" t="e">
        <f>Header!#REF!/UNIT</f>
        <v>#REF!</v>
      </c>
      <c r="AF9" s="29" t="e">
        <f>Header!#REF!/UNIT</f>
        <v>#REF!</v>
      </c>
      <c r="AG9" s="29" t="e">
        <f>Header!#REF!/UNIT</f>
        <v>#REF!</v>
      </c>
      <c r="AH9" s="29" t="e">
        <f>Header!#REF!/UNIT</f>
        <v>#REF!</v>
      </c>
      <c r="AI9" s="29" t="e">
        <f>Header!#REF!/UNIT</f>
        <v>#REF!</v>
      </c>
      <c r="AJ9" s="29" t="e">
        <f>Header!#REF!/UNIT</f>
        <v>#REF!</v>
      </c>
      <c r="AK9" s="29" t="e">
        <f>Header!#REF!/UNIT</f>
        <v>#REF!</v>
      </c>
      <c r="AL9" s="29" t="e">
        <f>Header!#REF!/UNIT</f>
        <v>#REF!</v>
      </c>
      <c r="AM9" s="29" t="e">
        <f>Header!#REF!/UNIT</f>
        <v>#REF!</v>
      </c>
      <c r="AN9" s="29" t="e">
        <f>Header!#REF!/UNIT</f>
        <v>#REF!</v>
      </c>
      <c r="AO9" s="29" t="e">
        <f>Header!#REF!/UNIT</f>
        <v>#REF!</v>
      </c>
      <c r="AP9" s="29" t="e">
        <f>Header!#REF!/UNIT</f>
        <v>#REF!</v>
      </c>
      <c r="AQ9" s="29" t="e">
        <f>Header!#REF!/UNIT</f>
        <v>#REF!</v>
      </c>
      <c r="AR9" s="29" t="e">
        <f>Header!#REF!/UNIT</f>
        <v>#REF!</v>
      </c>
      <c r="AS9" s="29" t="e">
        <f>Header!#REF!/UNIT</f>
        <v>#REF!</v>
      </c>
    </row>
    <row r="10" spans="1:45" x14ac:dyDescent="0.25">
      <c r="A10" s="13"/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5" x14ac:dyDescent="0.25">
      <c r="A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5" s="22" customFormat="1" x14ac:dyDescent="0.25">
      <c r="A12"/>
      <c r="B12" s="21" t="s">
        <v>74</v>
      </c>
      <c r="C12" s="22" t="s">
        <v>72</v>
      </c>
      <c r="D12" s="23" t="s">
        <v>76</v>
      </c>
      <c r="E12" s="23" t="s">
        <v>77</v>
      </c>
      <c r="F12" s="23" t="s">
        <v>78</v>
      </c>
      <c r="G12" s="23" t="s">
        <v>79</v>
      </c>
      <c r="H12" s="23" t="s">
        <v>80</v>
      </c>
      <c r="I12" s="23" t="s">
        <v>81</v>
      </c>
      <c r="J12" s="23" t="s">
        <v>82</v>
      </c>
      <c r="K12" s="23" t="s">
        <v>83</v>
      </c>
      <c r="L12" s="23" t="s">
        <v>84</v>
      </c>
      <c r="M12" s="23" t="s">
        <v>85</v>
      </c>
      <c r="N12" s="23" t="s">
        <v>86</v>
      </c>
      <c r="O12" s="23" t="s">
        <v>87</v>
      </c>
      <c r="P12" s="23" t="s">
        <v>88</v>
      </c>
      <c r="Q12" s="23" t="s">
        <v>89</v>
      </c>
      <c r="R12" s="23" t="s">
        <v>90</v>
      </c>
      <c r="S12" s="23" t="s">
        <v>91</v>
      </c>
      <c r="T12" s="23" t="s">
        <v>92</v>
      </c>
      <c r="U12" s="23" t="s">
        <v>93</v>
      </c>
      <c r="V12" s="23" t="s">
        <v>94</v>
      </c>
      <c r="W12" s="23" t="s">
        <v>95</v>
      </c>
      <c r="X12" s="23" t="s">
        <v>96</v>
      </c>
      <c r="Y12" s="23" t="s">
        <v>97</v>
      </c>
      <c r="Z12" s="23" t="s">
        <v>98</v>
      </c>
      <c r="AA12" s="23" t="s">
        <v>99</v>
      </c>
      <c r="AB12" s="23" t="s">
        <v>100</v>
      </c>
      <c r="AC12" s="23" t="s">
        <v>101</v>
      </c>
      <c r="AD12" s="23" t="s">
        <v>102</v>
      </c>
      <c r="AE12" s="23" t="s">
        <v>103</v>
      </c>
      <c r="AF12" s="23" t="s">
        <v>104</v>
      </c>
      <c r="AG12" s="23" t="s">
        <v>105</v>
      </c>
      <c r="AH12" s="23" t="s">
        <v>106</v>
      </c>
      <c r="AI12" s="23" t="s">
        <v>107</v>
      </c>
      <c r="AJ12" s="23" t="s">
        <v>108</v>
      </c>
      <c r="AK12" s="23" t="s">
        <v>109</v>
      </c>
      <c r="AL12" s="23" t="s">
        <v>110</v>
      </c>
      <c r="AM12" s="23" t="s">
        <v>111</v>
      </c>
      <c r="AN12" s="23" t="s">
        <v>112</v>
      </c>
      <c r="AO12" s="23" t="s">
        <v>113</v>
      </c>
      <c r="AP12" s="23" t="s">
        <v>114</v>
      </c>
      <c r="AQ12" s="23" t="s">
        <v>115</v>
      </c>
      <c r="AR12" s="23" t="s">
        <v>116</v>
      </c>
      <c r="AS12" s="23" t="s">
        <v>117</v>
      </c>
    </row>
    <row r="13" spans="1:45" ht="19.5" customHeight="1" x14ac:dyDescent="0.25">
      <c r="A13" s="25" t="e">
        <f>'Residual-Rostered'!#REF!</f>
        <v>#REF!</v>
      </c>
      <c r="B13" s="25" t="e">
        <f>'Residual-Rostered'!#REF!</f>
        <v>#REF!</v>
      </c>
      <c r="C13" s="25" t="e">
        <f>'Residual-Rostered'!#REF!</f>
        <v>#REF!</v>
      </c>
      <c r="D13" s="25" t="e">
        <f>IF('Residual-Rostered'!#REF!=0,"-",'Residual-Rostered'!#REF!)</f>
        <v>#REF!</v>
      </c>
      <c r="E13" s="25" t="e">
        <f>IF('Residual-Rostered'!#REF!=0,"-",'Residual-Rostered'!#REF!)</f>
        <v>#REF!</v>
      </c>
      <c r="F13" s="25" t="e">
        <f>IF('Residual-Rostered'!#REF!=0,"-",'Residual-Rostered'!#REF!)</f>
        <v>#REF!</v>
      </c>
      <c r="G13" s="25" t="e">
        <f>IF('Residual-Rostered'!#REF!=0,"-",'Residual-Rostered'!#REF!)</f>
        <v>#REF!</v>
      </c>
      <c r="H13" s="25" t="e">
        <f>IF('Residual-Rostered'!#REF!=0,"-",'Residual-Rostered'!#REF!)</f>
        <v>#REF!</v>
      </c>
      <c r="I13" s="25" t="e">
        <f>IF('Residual-Rostered'!#REF!=0,"-",'Residual-Rostered'!#REF!)</f>
        <v>#REF!</v>
      </c>
      <c r="J13" s="25" t="e">
        <f>IF('Residual-Rostered'!#REF!=0,"-",'Residual-Rostered'!#REF!)</f>
        <v>#REF!</v>
      </c>
      <c r="K13" s="25" t="e">
        <f>IF('Residual-Rostered'!#REF!=0,"-",'Residual-Rostered'!#REF!)</f>
        <v>#REF!</v>
      </c>
      <c r="L13" s="25" t="e">
        <f>IF('Residual-Rostered'!#REF!=0,"-",'Residual-Rostered'!#REF!)</f>
        <v>#REF!</v>
      </c>
      <c r="M13" s="25" t="e">
        <f>IF('Residual-Rostered'!#REF!=0,"-",'Residual-Rostered'!#REF!)</f>
        <v>#REF!</v>
      </c>
      <c r="N13" s="25" t="e">
        <f>IF('Residual-Rostered'!#REF!=0,"-",'Residual-Rostered'!#REF!)</f>
        <v>#REF!</v>
      </c>
      <c r="O13" s="25" t="e">
        <f>IF('Residual-Rostered'!#REF!=0,"-",'Residual-Rostered'!#REF!)</f>
        <v>#REF!</v>
      </c>
      <c r="P13" s="25" t="e">
        <f>IF('Residual-Rostered'!#REF!=0,"-",'Residual-Rostered'!#REF!)</f>
        <v>#REF!</v>
      </c>
      <c r="Q13" s="25" t="e">
        <f>IF('Residual-Rostered'!#REF!=0,"-",'Residual-Rostered'!#REF!)</f>
        <v>#REF!</v>
      </c>
      <c r="R13" s="25" t="e">
        <f>IF('Residual-Rostered'!#REF!=0,"-",'Residual-Rostered'!#REF!)</f>
        <v>#REF!</v>
      </c>
      <c r="S13" s="25" t="e">
        <f>IF('Residual-Rostered'!#REF!=0,"-",'Residual-Rostered'!#REF!)</f>
        <v>#REF!</v>
      </c>
      <c r="T13" s="25" t="e">
        <f>IF('Residual-Rostered'!#REF!=0,"-",'Residual-Rostered'!#REF!)</f>
        <v>#REF!</v>
      </c>
      <c r="U13" s="25" t="e">
        <f>IF('Residual-Rostered'!#REF!=0,"-",'Residual-Rostered'!#REF!)</f>
        <v>#REF!</v>
      </c>
      <c r="V13" s="25" t="e">
        <f>IF('Residual-Rostered'!#REF!=0,"-",'Residual-Rostered'!#REF!)</f>
        <v>#REF!</v>
      </c>
      <c r="W13" s="25" t="e">
        <f>IF('Residual-Rostered'!#REF!=0,"-",'Residual-Rostered'!#REF!)</f>
        <v>#REF!</v>
      </c>
      <c r="X13" s="25" t="e">
        <f>IF('Residual-Rostered'!#REF!=0,"-",'Residual-Rostered'!#REF!)</f>
        <v>#REF!</v>
      </c>
      <c r="Y13" s="25" t="e">
        <f>IF('Residual-Rostered'!#REF!=0,"-",'Residual-Rostered'!#REF!)</f>
        <v>#REF!</v>
      </c>
      <c r="Z13" s="25" t="e">
        <f>IF('Residual-Rostered'!#REF!=0,"-",'Residual-Rostered'!#REF!)</f>
        <v>#REF!</v>
      </c>
      <c r="AA13" s="25" t="e">
        <f>IF('Residual-Rostered'!#REF!=0,"-",'Residual-Rostered'!#REF!)</f>
        <v>#REF!</v>
      </c>
      <c r="AB13" s="25" t="e">
        <f>IF('Residual-Rostered'!#REF!=0,"-",'Residual-Rostered'!#REF!)</f>
        <v>#REF!</v>
      </c>
      <c r="AC13" s="25" t="e">
        <f>IF('Residual-Rostered'!#REF!=0,"-",'Residual-Rostered'!#REF!)</f>
        <v>#REF!</v>
      </c>
      <c r="AD13" s="25" t="e">
        <f>IF('Residual-Rostered'!#REF!=0,"-",'Residual-Rostered'!#REF!)</f>
        <v>#REF!</v>
      </c>
      <c r="AE13" s="25" t="e">
        <f>IF('Residual-Rostered'!#REF!=0,"-",'Residual-Rostered'!#REF!)</f>
        <v>#REF!</v>
      </c>
      <c r="AF13" s="25" t="e">
        <f>IF('Residual-Rostered'!#REF!=0,"-",'Residual-Rostered'!#REF!)</f>
        <v>#REF!</v>
      </c>
      <c r="AG13" s="25" t="e">
        <f>IF('Residual-Rostered'!#REF!=0,"-",'Residual-Rostered'!#REF!)</f>
        <v>#REF!</v>
      </c>
      <c r="AH13" s="25" t="e">
        <f>IF('Residual-Rostered'!#REF!=0,"-",'Residual-Rostered'!#REF!)</f>
        <v>#REF!</v>
      </c>
      <c r="AI13" s="25" t="e">
        <f>IF('Residual-Rostered'!#REF!=0,"-",'Residual-Rostered'!#REF!)</f>
        <v>#REF!</v>
      </c>
      <c r="AJ13" s="25" t="e">
        <f>IF('Residual-Rostered'!#REF!=0,"-",'Residual-Rostered'!#REF!)</f>
        <v>#REF!</v>
      </c>
      <c r="AK13" s="25" t="e">
        <f>IF('Residual-Rostered'!#REF!=0,"-",'Residual-Rostered'!#REF!)</f>
        <v>#REF!</v>
      </c>
      <c r="AL13" s="25" t="e">
        <f>IF('Residual-Rostered'!#REF!=0,"-",'Residual-Rostered'!#REF!)</f>
        <v>#REF!</v>
      </c>
      <c r="AM13" s="25" t="e">
        <f>IF('Residual-Rostered'!#REF!=0,"-",'Residual-Rostered'!#REF!)</f>
        <v>#REF!</v>
      </c>
      <c r="AN13" s="25" t="e">
        <f>IF('Residual-Rostered'!#REF!=0,"-",'Residual-Rostered'!#REF!)</f>
        <v>#REF!</v>
      </c>
      <c r="AO13" s="25" t="e">
        <f>IF('Residual-Rostered'!#REF!=0,"-",'Residual-Rostered'!#REF!)</f>
        <v>#REF!</v>
      </c>
      <c r="AP13" s="25" t="e">
        <f>IF('Residual-Rostered'!#REF!=0,"-",'Residual-Rostered'!#REF!)</f>
        <v>#REF!</v>
      </c>
      <c r="AQ13" s="25" t="e">
        <f>IF('Residual-Rostered'!#REF!=0,"-",'Residual-Rostered'!#REF!)</f>
        <v>#REF!</v>
      </c>
      <c r="AR13" s="25" t="e">
        <f>IF('Residual-Rostered'!#REF!=0,"-",'Residual-Rostered'!#REF!)</f>
        <v>#REF!</v>
      </c>
      <c r="AS13" s="25" t="e">
        <f>IF('Residual-Rostered'!#REF!=0,"-",'Residual-Rostered'!#REF!)</f>
        <v>#REF!</v>
      </c>
    </row>
    <row r="14" spans="1:45" x14ac:dyDescent="0.25">
      <c r="A14" s="25" t="e">
        <f>'Residual-Rostered'!#REF!</f>
        <v>#REF!</v>
      </c>
      <c r="B14" s="25" t="e">
        <f>'Residual-Rostered'!#REF!</f>
        <v>#REF!</v>
      </c>
      <c r="C14" s="25" t="e">
        <f>'Residual-Rostered'!#REF!</f>
        <v>#REF!</v>
      </c>
      <c r="D14" s="25" t="e">
        <f>IF('Residual-Rostered'!#REF!=0,"-",'Residual-Rostered'!#REF!)</f>
        <v>#REF!</v>
      </c>
      <c r="E14" s="25" t="e">
        <f>IF('Residual-Rostered'!#REF!=0,"-",'Residual-Rostered'!#REF!)</f>
        <v>#REF!</v>
      </c>
      <c r="F14" s="25" t="e">
        <f>IF('Residual-Rostered'!#REF!=0,"-",'Residual-Rostered'!#REF!)</f>
        <v>#REF!</v>
      </c>
      <c r="G14" s="25" t="e">
        <f>IF('Residual-Rostered'!#REF!=0,"-",'Residual-Rostered'!#REF!)</f>
        <v>#REF!</v>
      </c>
      <c r="H14" s="25" t="e">
        <f>IF('Residual-Rostered'!#REF!=0,"-",'Residual-Rostered'!#REF!)</f>
        <v>#REF!</v>
      </c>
      <c r="I14" s="25" t="e">
        <f>IF('Residual-Rostered'!#REF!=0,"-",'Residual-Rostered'!#REF!)</f>
        <v>#REF!</v>
      </c>
      <c r="J14" s="25" t="e">
        <f>IF('Residual-Rostered'!#REF!=0,"-",'Residual-Rostered'!#REF!)</f>
        <v>#REF!</v>
      </c>
      <c r="K14" s="25" t="e">
        <f>IF('Residual-Rostered'!#REF!=0,"-",'Residual-Rostered'!#REF!)</f>
        <v>#REF!</v>
      </c>
      <c r="L14" s="25" t="e">
        <f>IF('Residual-Rostered'!#REF!=0,"-",'Residual-Rostered'!#REF!)</f>
        <v>#REF!</v>
      </c>
      <c r="M14" s="25" t="e">
        <f>IF('Residual-Rostered'!#REF!=0,"-",'Residual-Rostered'!#REF!)</f>
        <v>#REF!</v>
      </c>
      <c r="N14" s="25" t="e">
        <f>IF('Residual-Rostered'!#REF!=0,"-",'Residual-Rostered'!#REF!)</f>
        <v>#REF!</v>
      </c>
      <c r="O14" s="25" t="e">
        <f>IF('Residual-Rostered'!#REF!=0,"-",'Residual-Rostered'!#REF!)</f>
        <v>#REF!</v>
      </c>
      <c r="P14" s="25" t="e">
        <f>IF('Residual-Rostered'!#REF!=0,"-",'Residual-Rostered'!#REF!)</f>
        <v>#REF!</v>
      </c>
      <c r="Q14" s="25" t="e">
        <f>IF('Residual-Rostered'!#REF!=0,"-",'Residual-Rostered'!#REF!)</f>
        <v>#REF!</v>
      </c>
      <c r="R14" s="25" t="e">
        <f>IF('Residual-Rostered'!#REF!=0,"-",'Residual-Rostered'!#REF!)</f>
        <v>#REF!</v>
      </c>
      <c r="S14" s="25" t="e">
        <f>IF('Residual-Rostered'!#REF!=0,"-",'Residual-Rostered'!#REF!)</f>
        <v>#REF!</v>
      </c>
      <c r="T14" s="25" t="e">
        <f>IF('Residual-Rostered'!#REF!=0,"-",'Residual-Rostered'!#REF!)</f>
        <v>#REF!</v>
      </c>
      <c r="U14" s="25" t="e">
        <f>IF('Residual-Rostered'!#REF!=0,"-",'Residual-Rostered'!#REF!)</f>
        <v>#REF!</v>
      </c>
      <c r="V14" s="25" t="e">
        <f>IF('Residual-Rostered'!#REF!=0,"-",'Residual-Rostered'!#REF!)</f>
        <v>#REF!</v>
      </c>
      <c r="W14" s="25" t="e">
        <f>IF('Residual-Rostered'!#REF!=0,"-",'Residual-Rostered'!#REF!)</f>
        <v>#REF!</v>
      </c>
      <c r="X14" s="25" t="e">
        <f>IF('Residual-Rostered'!#REF!=0,"-",'Residual-Rostered'!#REF!)</f>
        <v>#REF!</v>
      </c>
      <c r="Y14" s="25" t="e">
        <f>IF('Residual-Rostered'!#REF!=0,"-",'Residual-Rostered'!#REF!)</f>
        <v>#REF!</v>
      </c>
      <c r="Z14" s="25" t="e">
        <f>IF('Residual-Rostered'!#REF!=0,"-",'Residual-Rostered'!#REF!)</f>
        <v>#REF!</v>
      </c>
      <c r="AA14" s="25" t="e">
        <f>IF('Residual-Rostered'!#REF!=0,"-",'Residual-Rostered'!#REF!)</f>
        <v>#REF!</v>
      </c>
      <c r="AB14" s="25" t="e">
        <f>IF('Residual-Rostered'!#REF!=0,"-",'Residual-Rostered'!#REF!)</f>
        <v>#REF!</v>
      </c>
      <c r="AC14" s="25" t="e">
        <f>IF('Residual-Rostered'!#REF!=0,"-",'Residual-Rostered'!#REF!)</f>
        <v>#REF!</v>
      </c>
      <c r="AD14" s="25" t="e">
        <f>IF('Residual-Rostered'!#REF!=0,"-",'Residual-Rostered'!#REF!)</f>
        <v>#REF!</v>
      </c>
      <c r="AE14" s="25" t="e">
        <f>IF('Residual-Rostered'!#REF!=0,"-",'Residual-Rostered'!#REF!)</f>
        <v>#REF!</v>
      </c>
      <c r="AF14" s="25" t="e">
        <f>IF('Residual-Rostered'!#REF!=0,"-",'Residual-Rostered'!#REF!)</f>
        <v>#REF!</v>
      </c>
      <c r="AG14" s="25" t="e">
        <f>IF('Residual-Rostered'!#REF!=0,"-",'Residual-Rostered'!#REF!)</f>
        <v>#REF!</v>
      </c>
      <c r="AH14" s="25" t="e">
        <f>IF('Residual-Rostered'!#REF!=0,"-",'Residual-Rostered'!#REF!)</f>
        <v>#REF!</v>
      </c>
      <c r="AI14" s="25" t="e">
        <f>IF('Residual-Rostered'!#REF!=0,"-",'Residual-Rostered'!#REF!)</f>
        <v>#REF!</v>
      </c>
      <c r="AJ14" s="25" t="e">
        <f>IF('Residual-Rostered'!#REF!=0,"-",'Residual-Rostered'!#REF!)</f>
        <v>#REF!</v>
      </c>
      <c r="AK14" s="25" t="e">
        <f>IF('Residual-Rostered'!#REF!=0,"-",'Residual-Rostered'!#REF!)</f>
        <v>#REF!</v>
      </c>
      <c r="AL14" s="25" t="e">
        <f>IF('Residual-Rostered'!#REF!=0,"-",'Residual-Rostered'!#REF!)</f>
        <v>#REF!</v>
      </c>
      <c r="AM14" s="25" t="e">
        <f>IF('Residual-Rostered'!#REF!=0,"-",'Residual-Rostered'!#REF!)</f>
        <v>#REF!</v>
      </c>
      <c r="AN14" s="25" t="e">
        <f>IF('Residual-Rostered'!#REF!=0,"-",'Residual-Rostered'!#REF!)</f>
        <v>#REF!</v>
      </c>
      <c r="AO14" s="25" t="e">
        <f>IF('Residual-Rostered'!#REF!=0,"-",'Residual-Rostered'!#REF!)</f>
        <v>#REF!</v>
      </c>
      <c r="AP14" s="25" t="e">
        <f>IF('Residual-Rostered'!#REF!=0,"-",'Residual-Rostered'!#REF!)</f>
        <v>#REF!</v>
      </c>
      <c r="AQ14" s="25" t="e">
        <f>IF('Residual-Rostered'!#REF!=0,"-",'Residual-Rostered'!#REF!)</f>
        <v>#REF!</v>
      </c>
      <c r="AR14" s="25" t="e">
        <f>IF('Residual-Rostered'!#REF!=0,"-",'Residual-Rostered'!#REF!)</f>
        <v>#REF!</v>
      </c>
      <c r="AS14" s="25" t="e">
        <f>IF('Residual-Rostered'!#REF!=0,"-",'Residual-Rostered'!#REF!)</f>
        <v>#REF!</v>
      </c>
    </row>
    <row r="15" spans="1:45" x14ac:dyDescent="0.25">
      <c r="A15" s="25" t="e">
        <f>'Residual-Rostered'!#REF!</f>
        <v>#REF!</v>
      </c>
      <c r="B15" s="25" t="e">
        <f>'Residual-Rostered'!#REF!</f>
        <v>#REF!</v>
      </c>
      <c r="C15" s="25" t="e">
        <f>'Residual-Rostered'!#REF!</f>
        <v>#REF!</v>
      </c>
      <c r="D15" s="25" t="e">
        <f>IF('Residual-Rostered'!#REF!=0,"-",'Residual-Rostered'!#REF!)</f>
        <v>#REF!</v>
      </c>
      <c r="E15" s="25" t="e">
        <f>IF('Residual-Rostered'!#REF!=0,"-",'Residual-Rostered'!#REF!)</f>
        <v>#REF!</v>
      </c>
      <c r="F15" s="25" t="e">
        <f>IF('Residual-Rostered'!#REF!=0,"-",'Residual-Rostered'!#REF!)</f>
        <v>#REF!</v>
      </c>
      <c r="G15" s="25" t="e">
        <f>IF('Residual-Rostered'!#REF!=0,"-",'Residual-Rostered'!#REF!)</f>
        <v>#REF!</v>
      </c>
      <c r="H15" s="25" t="e">
        <f>IF('Residual-Rostered'!#REF!=0,"-",'Residual-Rostered'!#REF!)</f>
        <v>#REF!</v>
      </c>
      <c r="I15" s="25" t="e">
        <f>IF('Residual-Rostered'!#REF!=0,"-",'Residual-Rostered'!#REF!)</f>
        <v>#REF!</v>
      </c>
      <c r="J15" s="25" t="e">
        <f>IF('Residual-Rostered'!#REF!=0,"-",'Residual-Rostered'!#REF!)</f>
        <v>#REF!</v>
      </c>
      <c r="K15" s="25" t="e">
        <f>IF('Residual-Rostered'!#REF!=0,"-",'Residual-Rostered'!#REF!)</f>
        <v>#REF!</v>
      </c>
      <c r="L15" s="25" t="e">
        <f>IF('Residual-Rostered'!#REF!=0,"-",'Residual-Rostered'!#REF!)</f>
        <v>#REF!</v>
      </c>
      <c r="M15" s="25" t="e">
        <f>IF('Residual-Rostered'!#REF!=0,"-",'Residual-Rostered'!#REF!)</f>
        <v>#REF!</v>
      </c>
      <c r="N15" s="25" t="e">
        <f>IF('Residual-Rostered'!#REF!=0,"-",'Residual-Rostered'!#REF!)</f>
        <v>#REF!</v>
      </c>
      <c r="O15" s="25" t="e">
        <f>IF('Residual-Rostered'!#REF!=0,"-",'Residual-Rostered'!#REF!)</f>
        <v>#REF!</v>
      </c>
      <c r="P15" s="25" t="e">
        <f>IF('Residual-Rostered'!#REF!=0,"-",'Residual-Rostered'!#REF!)</f>
        <v>#REF!</v>
      </c>
      <c r="Q15" s="25" t="e">
        <f>IF('Residual-Rostered'!#REF!=0,"-",'Residual-Rostered'!#REF!)</f>
        <v>#REF!</v>
      </c>
      <c r="R15" s="25" t="e">
        <f>IF('Residual-Rostered'!#REF!=0,"-",'Residual-Rostered'!#REF!)</f>
        <v>#REF!</v>
      </c>
      <c r="S15" s="25" t="e">
        <f>IF('Residual-Rostered'!#REF!=0,"-",'Residual-Rostered'!#REF!)</f>
        <v>#REF!</v>
      </c>
      <c r="T15" s="25" t="e">
        <f>IF('Residual-Rostered'!#REF!=0,"-",'Residual-Rostered'!#REF!)</f>
        <v>#REF!</v>
      </c>
      <c r="U15" s="25" t="e">
        <f>IF('Residual-Rostered'!#REF!=0,"-",'Residual-Rostered'!#REF!)</f>
        <v>#REF!</v>
      </c>
      <c r="V15" s="25" t="e">
        <f>IF('Residual-Rostered'!#REF!=0,"-",'Residual-Rostered'!#REF!)</f>
        <v>#REF!</v>
      </c>
      <c r="W15" s="25" t="e">
        <f>IF('Residual-Rostered'!#REF!=0,"-",'Residual-Rostered'!#REF!)</f>
        <v>#REF!</v>
      </c>
      <c r="X15" s="25" t="e">
        <f>IF('Residual-Rostered'!#REF!=0,"-",'Residual-Rostered'!#REF!)</f>
        <v>#REF!</v>
      </c>
      <c r="Y15" s="25" t="e">
        <f>IF('Residual-Rostered'!#REF!=0,"-",'Residual-Rostered'!#REF!)</f>
        <v>#REF!</v>
      </c>
      <c r="Z15" s="25" t="e">
        <f>IF('Residual-Rostered'!#REF!=0,"-",'Residual-Rostered'!#REF!)</f>
        <v>#REF!</v>
      </c>
      <c r="AA15" s="25" t="e">
        <f>IF('Residual-Rostered'!#REF!=0,"-",'Residual-Rostered'!#REF!)</f>
        <v>#REF!</v>
      </c>
      <c r="AB15" s="25" t="e">
        <f>IF('Residual-Rostered'!#REF!=0,"-",'Residual-Rostered'!#REF!)</f>
        <v>#REF!</v>
      </c>
      <c r="AC15" s="25" t="e">
        <f>IF('Residual-Rostered'!#REF!=0,"-",'Residual-Rostered'!#REF!)</f>
        <v>#REF!</v>
      </c>
      <c r="AD15" s="25" t="e">
        <f>IF('Residual-Rostered'!#REF!=0,"-",'Residual-Rostered'!#REF!)</f>
        <v>#REF!</v>
      </c>
      <c r="AE15" s="25" t="e">
        <f>IF('Residual-Rostered'!#REF!=0,"-",'Residual-Rostered'!#REF!)</f>
        <v>#REF!</v>
      </c>
      <c r="AF15" s="25" t="e">
        <f>IF('Residual-Rostered'!#REF!=0,"-",'Residual-Rostered'!#REF!)</f>
        <v>#REF!</v>
      </c>
      <c r="AG15" s="25" t="e">
        <f>IF('Residual-Rostered'!#REF!=0,"-",'Residual-Rostered'!#REF!)</f>
        <v>#REF!</v>
      </c>
      <c r="AH15" s="25" t="e">
        <f>IF('Residual-Rostered'!#REF!=0,"-",'Residual-Rostered'!#REF!)</f>
        <v>#REF!</v>
      </c>
      <c r="AI15" s="25" t="e">
        <f>IF('Residual-Rostered'!#REF!=0,"-",'Residual-Rostered'!#REF!)</f>
        <v>#REF!</v>
      </c>
      <c r="AJ15" s="25" t="e">
        <f>IF('Residual-Rostered'!#REF!=0,"-",'Residual-Rostered'!#REF!)</f>
        <v>#REF!</v>
      </c>
      <c r="AK15" s="25" t="e">
        <f>IF('Residual-Rostered'!#REF!=0,"-",'Residual-Rostered'!#REF!)</f>
        <v>#REF!</v>
      </c>
      <c r="AL15" s="25" t="e">
        <f>IF('Residual-Rostered'!#REF!=0,"-",'Residual-Rostered'!#REF!)</f>
        <v>#REF!</v>
      </c>
      <c r="AM15" s="25" t="e">
        <f>IF('Residual-Rostered'!#REF!=0,"-",'Residual-Rostered'!#REF!)</f>
        <v>#REF!</v>
      </c>
      <c r="AN15" s="25" t="e">
        <f>IF('Residual-Rostered'!#REF!=0,"-",'Residual-Rostered'!#REF!)</f>
        <v>#REF!</v>
      </c>
      <c r="AO15" s="25" t="e">
        <f>IF('Residual-Rostered'!#REF!=0,"-",'Residual-Rostered'!#REF!)</f>
        <v>#REF!</v>
      </c>
      <c r="AP15" s="25" t="e">
        <f>IF('Residual-Rostered'!#REF!=0,"-",'Residual-Rostered'!#REF!)</f>
        <v>#REF!</v>
      </c>
      <c r="AQ15" s="25" t="e">
        <f>IF('Residual-Rostered'!#REF!=0,"-",'Residual-Rostered'!#REF!)</f>
        <v>#REF!</v>
      </c>
      <c r="AR15" s="25" t="e">
        <f>IF('Residual-Rostered'!#REF!=0,"-",'Residual-Rostered'!#REF!)</f>
        <v>#REF!</v>
      </c>
      <c r="AS15" s="25" t="e">
        <f>IF('Residual-Rostered'!#REF!=0,"-",'Residual-Rostered'!#REF!)</f>
        <v>#REF!</v>
      </c>
    </row>
    <row r="16" spans="1:45" x14ac:dyDescent="0.25">
      <c r="A16" s="25" t="e">
        <f>'Residual-Rostered'!#REF!</f>
        <v>#REF!</v>
      </c>
      <c r="B16" s="25" t="e">
        <f>'Residual-Rostered'!#REF!</f>
        <v>#REF!</v>
      </c>
      <c r="C16" s="25" t="e">
        <f>'Residual-Rostered'!#REF!</f>
        <v>#REF!</v>
      </c>
      <c r="D16" s="25" t="e">
        <f>IF('Residual-Rostered'!#REF!=0,"-",'Residual-Rostered'!#REF!)</f>
        <v>#REF!</v>
      </c>
      <c r="E16" s="25" t="e">
        <f>IF('Residual-Rostered'!#REF!=0,"-",'Residual-Rostered'!#REF!)</f>
        <v>#REF!</v>
      </c>
      <c r="F16" s="25" t="e">
        <f>IF('Residual-Rostered'!#REF!=0,"-",'Residual-Rostered'!#REF!)</f>
        <v>#REF!</v>
      </c>
      <c r="G16" s="25" t="e">
        <f>IF('Residual-Rostered'!#REF!=0,"-",'Residual-Rostered'!#REF!)</f>
        <v>#REF!</v>
      </c>
      <c r="H16" s="25" t="e">
        <f>IF('Residual-Rostered'!#REF!=0,"-",'Residual-Rostered'!#REF!)</f>
        <v>#REF!</v>
      </c>
      <c r="I16" s="25" t="e">
        <f>IF('Residual-Rostered'!#REF!=0,"-",'Residual-Rostered'!#REF!)</f>
        <v>#REF!</v>
      </c>
      <c r="J16" s="25" t="e">
        <f>IF('Residual-Rostered'!#REF!=0,"-",'Residual-Rostered'!#REF!)</f>
        <v>#REF!</v>
      </c>
      <c r="K16" s="25" t="e">
        <f>IF('Residual-Rostered'!#REF!=0,"-",'Residual-Rostered'!#REF!)</f>
        <v>#REF!</v>
      </c>
      <c r="L16" s="25" t="e">
        <f>IF('Residual-Rostered'!#REF!=0,"-",'Residual-Rostered'!#REF!)</f>
        <v>#REF!</v>
      </c>
      <c r="M16" s="25" t="e">
        <f>IF('Residual-Rostered'!#REF!=0,"-",'Residual-Rostered'!#REF!)</f>
        <v>#REF!</v>
      </c>
      <c r="N16" s="25" t="e">
        <f>IF('Residual-Rostered'!#REF!=0,"-",'Residual-Rostered'!#REF!)</f>
        <v>#REF!</v>
      </c>
      <c r="O16" s="25" t="e">
        <f>IF('Residual-Rostered'!#REF!=0,"-",'Residual-Rostered'!#REF!)</f>
        <v>#REF!</v>
      </c>
      <c r="P16" s="25" t="e">
        <f>IF('Residual-Rostered'!#REF!=0,"-",'Residual-Rostered'!#REF!)</f>
        <v>#REF!</v>
      </c>
      <c r="Q16" s="25" t="e">
        <f>IF('Residual-Rostered'!#REF!=0,"-",'Residual-Rostered'!#REF!)</f>
        <v>#REF!</v>
      </c>
      <c r="R16" s="25" t="e">
        <f>IF('Residual-Rostered'!#REF!=0,"-",'Residual-Rostered'!#REF!)</f>
        <v>#REF!</v>
      </c>
      <c r="S16" s="25" t="e">
        <f>IF('Residual-Rostered'!#REF!=0,"-",'Residual-Rostered'!#REF!)</f>
        <v>#REF!</v>
      </c>
      <c r="T16" s="25" t="e">
        <f>IF('Residual-Rostered'!#REF!=0,"-",'Residual-Rostered'!#REF!)</f>
        <v>#REF!</v>
      </c>
      <c r="U16" s="25" t="e">
        <f>IF('Residual-Rostered'!#REF!=0,"-",'Residual-Rostered'!#REF!)</f>
        <v>#REF!</v>
      </c>
      <c r="V16" s="25" t="e">
        <f>IF('Residual-Rostered'!#REF!=0,"-",'Residual-Rostered'!#REF!)</f>
        <v>#REF!</v>
      </c>
      <c r="W16" s="25" t="e">
        <f>IF('Residual-Rostered'!#REF!=0,"-",'Residual-Rostered'!#REF!)</f>
        <v>#REF!</v>
      </c>
      <c r="X16" s="25" t="e">
        <f>IF('Residual-Rostered'!#REF!=0,"-",'Residual-Rostered'!#REF!)</f>
        <v>#REF!</v>
      </c>
      <c r="Y16" s="25" t="e">
        <f>IF('Residual-Rostered'!#REF!=0,"-",'Residual-Rostered'!#REF!)</f>
        <v>#REF!</v>
      </c>
      <c r="Z16" s="25" t="e">
        <f>IF('Residual-Rostered'!#REF!=0,"-",'Residual-Rostered'!#REF!)</f>
        <v>#REF!</v>
      </c>
      <c r="AA16" s="25" t="e">
        <f>IF('Residual-Rostered'!#REF!=0,"-",'Residual-Rostered'!#REF!)</f>
        <v>#REF!</v>
      </c>
      <c r="AB16" s="25" t="e">
        <f>IF('Residual-Rostered'!#REF!=0,"-",'Residual-Rostered'!#REF!)</f>
        <v>#REF!</v>
      </c>
      <c r="AC16" s="25" t="e">
        <f>IF('Residual-Rostered'!#REF!=0,"-",'Residual-Rostered'!#REF!)</f>
        <v>#REF!</v>
      </c>
      <c r="AD16" s="25" t="e">
        <f>IF('Residual-Rostered'!#REF!=0,"-",'Residual-Rostered'!#REF!)</f>
        <v>#REF!</v>
      </c>
      <c r="AE16" s="25" t="e">
        <f>IF('Residual-Rostered'!#REF!=0,"-",'Residual-Rostered'!#REF!)</f>
        <v>#REF!</v>
      </c>
      <c r="AF16" s="25" t="e">
        <f>IF('Residual-Rostered'!#REF!=0,"-",'Residual-Rostered'!#REF!)</f>
        <v>#REF!</v>
      </c>
      <c r="AG16" s="25" t="e">
        <f>IF('Residual-Rostered'!#REF!=0,"-",'Residual-Rostered'!#REF!)</f>
        <v>#REF!</v>
      </c>
      <c r="AH16" s="25" t="e">
        <f>IF('Residual-Rostered'!#REF!=0,"-",'Residual-Rostered'!#REF!)</f>
        <v>#REF!</v>
      </c>
      <c r="AI16" s="25" t="e">
        <f>IF('Residual-Rostered'!#REF!=0,"-",'Residual-Rostered'!#REF!)</f>
        <v>#REF!</v>
      </c>
      <c r="AJ16" s="25" t="e">
        <f>IF('Residual-Rostered'!#REF!=0,"-",'Residual-Rostered'!#REF!)</f>
        <v>#REF!</v>
      </c>
      <c r="AK16" s="25" t="e">
        <f>IF('Residual-Rostered'!#REF!=0,"-",'Residual-Rostered'!#REF!)</f>
        <v>#REF!</v>
      </c>
      <c r="AL16" s="25" t="e">
        <f>IF('Residual-Rostered'!#REF!=0,"-",'Residual-Rostered'!#REF!)</f>
        <v>#REF!</v>
      </c>
      <c r="AM16" s="25" t="e">
        <f>IF('Residual-Rostered'!#REF!=0,"-",'Residual-Rostered'!#REF!)</f>
        <v>#REF!</v>
      </c>
      <c r="AN16" s="25" t="e">
        <f>IF('Residual-Rostered'!#REF!=0,"-",'Residual-Rostered'!#REF!)</f>
        <v>#REF!</v>
      </c>
      <c r="AO16" s="25" t="e">
        <f>IF('Residual-Rostered'!#REF!=0,"-",'Residual-Rostered'!#REF!)</f>
        <v>#REF!</v>
      </c>
      <c r="AP16" s="25" t="e">
        <f>IF('Residual-Rostered'!#REF!=0,"-",'Residual-Rostered'!#REF!)</f>
        <v>#REF!</v>
      </c>
      <c r="AQ16" s="25" t="e">
        <f>IF('Residual-Rostered'!#REF!=0,"-",'Residual-Rostered'!#REF!)</f>
        <v>#REF!</v>
      </c>
      <c r="AR16" s="25" t="e">
        <f>IF('Residual-Rostered'!#REF!=0,"-",'Residual-Rostered'!#REF!)</f>
        <v>#REF!</v>
      </c>
      <c r="AS16" s="25" t="e">
        <f>IF('Residual-Rostered'!#REF!=0,"-",'Residual-Rostered'!#REF!)</f>
        <v>#REF!</v>
      </c>
    </row>
    <row r="17" spans="1:47" hidden="1" x14ac:dyDescent="0.25">
      <c r="A17" s="25" t="e">
        <f>'Residual-Rostered'!#REF!</f>
        <v>#REF!</v>
      </c>
      <c r="B17" s="25" t="e">
        <f>'Residual-Rostered'!#REF!</f>
        <v>#REF!</v>
      </c>
      <c r="C17" s="25" t="e">
        <f>'Residual-Rostered'!#REF!</f>
        <v>#REF!</v>
      </c>
      <c r="D17" s="25" t="e">
        <f>IF('Residual-Rostered'!#REF!=0,"-",'Residual-Rostered'!#REF!)</f>
        <v>#REF!</v>
      </c>
      <c r="E17" s="25" t="e">
        <f>IF('Residual-Rostered'!#REF!=0,"-",'Residual-Rostered'!#REF!)</f>
        <v>#REF!</v>
      </c>
      <c r="F17" s="25" t="e">
        <f>IF('Residual-Rostered'!#REF!=0,"-",'Residual-Rostered'!#REF!)</f>
        <v>#REF!</v>
      </c>
      <c r="G17" s="25" t="e">
        <f>IF('Residual-Rostered'!#REF!=0,"-",'Residual-Rostered'!#REF!)</f>
        <v>#REF!</v>
      </c>
      <c r="H17" s="25" t="e">
        <f>IF('Residual-Rostered'!#REF!=0,"-",'Residual-Rostered'!#REF!)</f>
        <v>#REF!</v>
      </c>
      <c r="I17" s="25" t="e">
        <f>IF('Residual-Rostered'!#REF!=0,"-",'Residual-Rostered'!#REF!)</f>
        <v>#REF!</v>
      </c>
      <c r="J17" s="25" t="e">
        <f>IF('Residual-Rostered'!#REF!=0,"-",'Residual-Rostered'!#REF!)</f>
        <v>#REF!</v>
      </c>
      <c r="K17" s="25" t="e">
        <f>IF('Residual-Rostered'!#REF!=0,"-",'Residual-Rostered'!#REF!)</f>
        <v>#REF!</v>
      </c>
      <c r="L17" s="25" t="e">
        <f>IF('Residual-Rostered'!#REF!=0,"-",'Residual-Rostered'!#REF!)</f>
        <v>#REF!</v>
      </c>
      <c r="M17" s="25" t="e">
        <f>IF('Residual-Rostered'!#REF!=0,"-",'Residual-Rostered'!#REF!)</f>
        <v>#REF!</v>
      </c>
      <c r="N17" s="25" t="e">
        <f>IF('Residual-Rostered'!#REF!=0,"-",'Residual-Rostered'!#REF!)</f>
        <v>#REF!</v>
      </c>
      <c r="O17" s="25" t="e">
        <f>IF('Residual-Rostered'!#REF!=0,"-",'Residual-Rostered'!#REF!)</f>
        <v>#REF!</v>
      </c>
      <c r="P17" s="25" t="e">
        <f>IF('Residual-Rostered'!#REF!=0,"-",'Residual-Rostered'!#REF!)</f>
        <v>#REF!</v>
      </c>
      <c r="Q17" s="25" t="e">
        <f>IF('Residual-Rostered'!#REF!=0,"-",'Residual-Rostered'!#REF!)</f>
        <v>#REF!</v>
      </c>
      <c r="R17" s="25" t="e">
        <f>IF('Residual-Rostered'!#REF!=0,"-",'Residual-Rostered'!#REF!)</f>
        <v>#REF!</v>
      </c>
      <c r="S17" s="25" t="e">
        <f>IF('Residual-Rostered'!#REF!=0,"-",'Residual-Rostered'!#REF!)</f>
        <v>#REF!</v>
      </c>
      <c r="T17" s="25" t="e">
        <f>IF('Residual-Rostered'!#REF!=0,"-",'Residual-Rostered'!#REF!)</f>
        <v>#REF!</v>
      </c>
      <c r="U17" s="25" t="e">
        <f>IF('Residual-Rostered'!#REF!=0,"-",'Residual-Rostered'!#REF!)</f>
        <v>#REF!</v>
      </c>
      <c r="V17" s="25" t="e">
        <f>IF('Residual-Rostered'!#REF!=0,"-",'Residual-Rostered'!#REF!)</f>
        <v>#REF!</v>
      </c>
      <c r="W17" s="25" t="e">
        <f>IF('Residual-Rostered'!#REF!=0,"-",'Residual-Rostered'!#REF!)</f>
        <v>#REF!</v>
      </c>
      <c r="X17" s="25" t="e">
        <f>IF('Residual-Rostered'!#REF!=0,"-",'Residual-Rostered'!#REF!)</f>
        <v>#REF!</v>
      </c>
      <c r="Y17" s="25" t="e">
        <f>IF('Residual-Rostered'!#REF!=0,"-",'Residual-Rostered'!#REF!)</f>
        <v>#REF!</v>
      </c>
      <c r="Z17" s="25" t="e">
        <f>IF('Residual-Rostered'!#REF!=0,"-",'Residual-Rostered'!#REF!)</f>
        <v>#REF!</v>
      </c>
      <c r="AA17" s="25" t="e">
        <f>IF('Residual-Rostered'!#REF!=0,"-",'Residual-Rostered'!#REF!)</f>
        <v>#REF!</v>
      </c>
      <c r="AB17" s="25" t="e">
        <f>IF('Residual-Rostered'!#REF!=0,"-",'Residual-Rostered'!#REF!)</f>
        <v>#REF!</v>
      </c>
      <c r="AC17" s="25" t="e">
        <f>IF('Residual-Rostered'!#REF!=0,"-",'Residual-Rostered'!#REF!)</f>
        <v>#REF!</v>
      </c>
      <c r="AD17" s="25" t="e">
        <f>IF('Residual-Rostered'!#REF!=0,"-",'Residual-Rostered'!#REF!)</f>
        <v>#REF!</v>
      </c>
      <c r="AE17" s="25" t="e">
        <f>IF('Residual-Rostered'!#REF!=0,"-",'Residual-Rostered'!#REF!)</f>
        <v>#REF!</v>
      </c>
      <c r="AF17" s="25" t="e">
        <f>IF('Residual-Rostered'!#REF!=0,"-",'Residual-Rostered'!#REF!)</f>
        <v>#REF!</v>
      </c>
      <c r="AG17" s="25" t="e">
        <f>IF('Residual-Rostered'!#REF!=0,"-",'Residual-Rostered'!#REF!)</f>
        <v>#REF!</v>
      </c>
      <c r="AH17" s="25" t="e">
        <f>IF('Residual-Rostered'!#REF!=0,"-",'Residual-Rostered'!#REF!)</f>
        <v>#REF!</v>
      </c>
      <c r="AI17" s="25" t="e">
        <f>IF('Residual-Rostered'!#REF!=0,"-",'Residual-Rostered'!#REF!)</f>
        <v>#REF!</v>
      </c>
      <c r="AJ17" s="25" t="e">
        <f>IF('Residual-Rostered'!#REF!=0,"-",'Residual-Rostered'!#REF!)</f>
        <v>#REF!</v>
      </c>
      <c r="AK17" s="25" t="e">
        <f>IF('Residual-Rostered'!#REF!=0,"-",'Residual-Rostered'!#REF!)</f>
        <v>#REF!</v>
      </c>
      <c r="AL17" s="25" t="e">
        <f>IF('Residual-Rostered'!#REF!=0,"-",'Residual-Rostered'!#REF!)</f>
        <v>#REF!</v>
      </c>
      <c r="AM17" s="25" t="e">
        <f>IF('Residual-Rostered'!#REF!=0,"-",'Residual-Rostered'!#REF!)</f>
        <v>#REF!</v>
      </c>
      <c r="AN17" s="25" t="e">
        <f>IF('Residual-Rostered'!#REF!=0,"-",'Residual-Rostered'!#REF!)</f>
        <v>#REF!</v>
      </c>
      <c r="AO17" s="25" t="e">
        <f>IF('Residual-Rostered'!#REF!=0,"-",'Residual-Rostered'!#REF!)</f>
        <v>#REF!</v>
      </c>
      <c r="AP17" s="25" t="e">
        <f>IF('Residual-Rostered'!#REF!=0,"-",'Residual-Rostered'!#REF!)</f>
        <v>#REF!</v>
      </c>
      <c r="AQ17" s="25" t="e">
        <f>IF('Residual-Rostered'!#REF!=0,"-",'Residual-Rostered'!#REF!)</f>
        <v>#REF!</v>
      </c>
      <c r="AR17" s="25" t="e">
        <f>IF('Residual-Rostered'!#REF!=0,"-",'Residual-Rostered'!#REF!)</f>
        <v>#REF!</v>
      </c>
      <c r="AS17" s="25" t="e">
        <f>IF('Residual-Rostered'!#REF!=0,"-",'Residual-Rostered'!#REF!)</f>
        <v>#REF!</v>
      </c>
    </row>
    <row r="18" spans="1:47" x14ac:dyDescent="0.25">
      <c r="A18" s="25" t="e">
        <f>'Residual-Rostered'!#REF!</f>
        <v>#REF!</v>
      </c>
      <c r="B18" s="25" t="e">
        <f>'Residual-Rostered'!#REF!</f>
        <v>#REF!</v>
      </c>
      <c r="C18" s="25" t="e">
        <f>'Residual-Rostered'!#REF!</f>
        <v>#REF!</v>
      </c>
      <c r="D18" s="25" t="e">
        <f>IF('Residual-Rostered'!#REF!=0,"-",'Residual-Rostered'!#REF!)</f>
        <v>#REF!</v>
      </c>
      <c r="E18" s="25" t="e">
        <f>IF('Residual-Rostered'!#REF!=0,"-",'Residual-Rostered'!#REF!)</f>
        <v>#REF!</v>
      </c>
      <c r="F18" s="25" t="e">
        <f>IF('Residual-Rostered'!#REF!=0,"-",'Residual-Rostered'!#REF!)</f>
        <v>#REF!</v>
      </c>
      <c r="G18" s="25" t="e">
        <f>IF('Residual-Rostered'!#REF!=0,"-",'Residual-Rostered'!#REF!)</f>
        <v>#REF!</v>
      </c>
      <c r="H18" s="25" t="e">
        <f>IF('Residual-Rostered'!#REF!=0,"-",'Residual-Rostered'!#REF!)</f>
        <v>#REF!</v>
      </c>
      <c r="I18" s="25" t="e">
        <f>IF('Residual-Rostered'!#REF!=0,"-",'Residual-Rostered'!#REF!)</f>
        <v>#REF!</v>
      </c>
      <c r="J18" s="25" t="e">
        <f>IF('Residual-Rostered'!#REF!=0,"-",'Residual-Rostered'!#REF!)</f>
        <v>#REF!</v>
      </c>
      <c r="K18" s="25" t="e">
        <f>IF('Residual-Rostered'!#REF!=0,"-",'Residual-Rostered'!#REF!)</f>
        <v>#REF!</v>
      </c>
      <c r="L18" s="25" t="e">
        <f>IF('Residual-Rostered'!#REF!=0,"-",'Residual-Rostered'!#REF!)</f>
        <v>#REF!</v>
      </c>
      <c r="M18" s="25" t="e">
        <f>IF('Residual-Rostered'!#REF!=0,"-",'Residual-Rostered'!#REF!)</f>
        <v>#REF!</v>
      </c>
      <c r="N18" s="25" t="e">
        <f>IF('Residual-Rostered'!#REF!=0,"-",'Residual-Rostered'!#REF!)</f>
        <v>#REF!</v>
      </c>
      <c r="O18" s="25" t="e">
        <f>IF('Residual-Rostered'!#REF!=0,"-",'Residual-Rostered'!#REF!)</f>
        <v>#REF!</v>
      </c>
      <c r="P18" s="25" t="e">
        <f>IF('Residual-Rostered'!#REF!=0,"-",'Residual-Rostered'!#REF!)</f>
        <v>#REF!</v>
      </c>
      <c r="Q18" s="25" t="e">
        <f>IF('Residual-Rostered'!#REF!=0,"-",'Residual-Rostered'!#REF!)</f>
        <v>#REF!</v>
      </c>
      <c r="R18" s="25" t="e">
        <f>IF('Residual-Rostered'!#REF!=0,"-",'Residual-Rostered'!#REF!)</f>
        <v>#REF!</v>
      </c>
      <c r="S18" s="25" t="e">
        <f>IF('Residual-Rostered'!#REF!=0,"-",'Residual-Rostered'!#REF!)</f>
        <v>#REF!</v>
      </c>
      <c r="T18" s="25" t="e">
        <f>IF('Residual-Rostered'!#REF!=0,"-",'Residual-Rostered'!#REF!)</f>
        <v>#REF!</v>
      </c>
      <c r="U18" s="25" t="e">
        <f>IF('Residual-Rostered'!#REF!=0,"-",'Residual-Rostered'!#REF!)</f>
        <v>#REF!</v>
      </c>
      <c r="V18" s="25" t="e">
        <f>IF('Residual-Rostered'!#REF!=0,"-",'Residual-Rostered'!#REF!)</f>
        <v>#REF!</v>
      </c>
      <c r="W18" s="25" t="e">
        <f>IF('Residual-Rostered'!#REF!=0,"-",'Residual-Rostered'!#REF!)</f>
        <v>#REF!</v>
      </c>
      <c r="X18" s="25" t="e">
        <f>IF('Residual-Rostered'!#REF!=0,"-",'Residual-Rostered'!#REF!)</f>
        <v>#REF!</v>
      </c>
      <c r="Y18" s="25" t="e">
        <f>IF('Residual-Rostered'!#REF!=0,"-",'Residual-Rostered'!#REF!)</f>
        <v>#REF!</v>
      </c>
      <c r="Z18" s="25" t="e">
        <f>IF('Residual-Rostered'!#REF!=0,"-",'Residual-Rostered'!#REF!)</f>
        <v>#REF!</v>
      </c>
      <c r="AA18" s="25" t="e">
        <f>IF('Residual-Rostered'!#REF!=0,"-",'Residual-Rostered'!#REF!)</f>
        <v>#REF!</v>
      </c>
      <c r="AB18" s="25" t="e">
        <f>IF('Residual-Rostered'!#REF!=0,"-",'Residual-Rostered'!#REF!)</f>
        <v>#REF!</v>
      </c>
      <c r="AC18" s="25" t="e">
        <f>IF('Residual-Rostered'!#REF!=0,"-",'Residual-Rostered'!#REF!)</f>
        <v>#REF!</v>
      </c>
      <c r="AD18" s="25" t="e">
        <f>IF('Residual-Rostered'!#REF!=0,"-",'Residual-Rostered'!#REF!)</f>
        <v>#REF!</v>
      </c>
      <c r="AE18" s="25" t="e">
        <f>IF('Residual-Rostered'!#REF!=0,"-",'Residual-Rostered'!#REF!)</f>
        <v>#REF!</v>
      </c>
      <c r="AF18" s="25" t="e">
        <f>IF('Residual-Rostered'!#REF!=0,"-",'Residual-Rostered'!#REF!)</f>
        <v>#REF!</v>
      </c>
      <c r="AG18" s="25" t="e">
        <f>IF('Residual-Rostered'!#REF!=0,"-",'Residual-Rostered'!#REF!)</f>
        <v>#REF!</v>
      </c>
      <c r="AH18" s="25" t="e">
        <f>IF('Residual-Rostered'!#REF!=0,"-",'Residual-Rostered'!#REF!)</f>
        <v>#REF!</v>
      </c>
      <c r="AI18" s="25" t="e">
        <f>IF('Residual-Rostered'!#REF!=0,"-",'Residual-Rostered'!#REF!)</f>
        <v>#REF!</v>
      </c>
      <c r="AJ18" s="25" t="e">
        <f>IF('Residual-Rostered'!#REF!=0,"-",'Residual-Rostered'!#REF!)</f>
        <v>#REF!</v>
      </c>
      <c r="AK18" s="25" t="e">
        <f>IF('Residual-Rostered'!#REF!=0,"-",'Residual-Rostered'!#REF!)</f>
        <v>#REF!</v>
      </c>
      <c r="AL18" s="25" t="e">
        <f>IF('Residual-Rostered'!#REF!=0,"-",'Residual-Rostered'!#REF!)</f>
        <v>#REF!</v>
      </c>
      <c r="AM18" s="25" t="e">
        <f>IF('Residual-Rostered'!#REF!=0,"-",'Residual-Rostered'!#REF!)</f>
        <v>#REF!</v>
      </c>
      <c r="AN18" s="25" t="e">
        <f>IF('Residual-Rostered'!#REF!=0,"-",'Residual-Rostered'!#REF!)</f>
        <v>#REF!</v>
      </c>
      <c r="AO18" s="25" t="e">
        <f>IF('Residual-Rostered'!#REF!=0,"-",'Residual-Rostered'!#REF!)</f>
        <v>#REF!</v>
      </c>
      <c r="AP18" s="25" t="e">
        <f>IF('Residual-Rostered'!#REF!=0,"-",'Residual-Rostered'!#REF!)</f>
        <v>#REF!</v>
      </c>
      <c r="AQ18" s="25" t="e">
        <f>IF('Residual-Rostered'!#REF!=0,"-",'Residual-Rostered'!#REF!)</f>
        <v>#REF!</v>
      </c>
      <c r="AR18" s="25" t="e">
        <f>IF('Residual-Rostered'!#REF!=0,"-",'Residual-Rostered'!#REF!)</f>
        <v>#REF!</v>
      </c>
      <c r="AS18" s="25" t="e">
        <f>IF('Residual-Rostered'!#REF!=0,"-",'Residual-Rostered'!#REF!)</f>
        <v>#REF!</v>
      </c>
    </row>
    <row r="19" spans="1:47" x14ac:dyDescent="0.25">
      <c r="A19" s="25" t="e">
        <f>'Residual-Rostered'!#REF!</f>
        <v>#REF!</v>
      </c>
      <c r="B19" s="25" t="e">
        <f>'Residual-Rostered'!#REF!</f>
        <v>#REF!</v>
      </c>
      <c r="C19" s="25" t="e">
        <f>'Residual-Rostered'!#REF!</f>
        <v>#REF!</v>
      </c>
      <c r="D19" s="25" t="e">
        <f>IF('Residual-Rostered'!#REF!=0,"-",'Residual-Rostered'!#REF!)</f>
        <v>#REF!</v>
      </c>
      <c r="E19" s="25" t="e">
        <f>IF('Residual-Rostered'!#REF!=0,"-",'Residual-Rostered'!#REF!)</f>
        <v>#REF!</v>
      </c>
      <c r="F19" s="25" t="e">
        <f>IF('Residual-Rostered'!#REF!=0,"-",'Residual-Rostered'!#REF!)</f>
        <v>#REF!</v>
      </c>
      <c r="G19" s="25" t="e">
        <f>IF('Residual-Rostered'!#REF!=0,"-",'Residual-Rostered'!#REF!)</f>
        <v>#REF!</v>
      </c>
      <c r="H19" s="25" t="e">
        <f>IF('Residual-Rostered'!#REF!=0,"-",'Residual-Rostered'!#REF!)</f>
        <v>#REF!</v>
      </c>
      <c r="I19" s="25" t="e">
        <f>IF('Residual-Rostered'!#REF!=0,"-",'Residual-Rostered'!#REF!)</f>
        <v>#REF!</v>
      </c>
      <c r="J19" s="25" t="e">
        <f>IF('Residual-Rostered'!#REF!=0,"-",'Residual-Rostered'!#REF!)</f>
        <v>#REF!</v>
      </c>
      <c r="K19" s="25" t="e">
        <f>IF('Residual-Rostered'!#REF!=0,"-",'Residual-Rostered'!#REF!)</f>
        <v>#REF!</v>
      </c>
      <c r="L19" s="25" t="e">
        <f>IF('Residual-Rostered'!#REF!=0,"-",'Residual-Rostered'!#REF!)</f>
        <v>#REF!</v>
      </c>
      <c r="M19" s="25" t="e">
        <f>IF('Residual-Rostered'!#REF!=0,"-",'Residual-Rostered'!#REF!)</f>
        <v>#REF!</v>
      </c>
      <c r="N19" s="25" t="e">
        <f>IF('Residual-Rostered'!#REF!=0,"-",'Residual-Rostered'!#REF!)</f>
        <v>#REF!</v>
      </c>
      <c r="O19" s="25" t="e">
        <f>IF('Residual-Rostered'!#REF!=0,"-",'Residual-Rostered'!#REF!)</f>
        <v>#REF!</v>
      </c>
      <c r="P19" s="25" t="e">
        <f>IF('Residual-Rostered'!#REF!=0,"-",'Residual-Rostered'!#REF!)</f>
        <v>#REF!</v>
      </c>
      <c r="Q19" s="25" t="e">
        <f>IF('Residual-Rostered'!#REF!=0,"-",'Residual-Rostered'!#REF!)</f>
        <v>#REF!</v>
      </c>
      <c r="R19" s="25" t="e">
        <f>IF('Residual-Rostered'!#REF!=0,"-",'Residual-Rostered'!#REF!)</f>
        <v>#REF!</v>
      </c>
      <c r="S19" s="25" t="e">
        <f>IF('Residual-Rostered'!#REF!=0,"-",'Residual-Rostered'!#REF!)</f>
        <v>#REF!</v>
      </c>
      <c r="T19" s="25" t="e">
        <f>IF('Residual-Rostered'!#REF!=0,"-",'Residual-Rostered'!#REF!)</f>
        <v>#REF!</v>
      </c>
      <c r="U19" s="25" t="e">
        <f>IF('Residual-Rostered'!#REF!=0,"-",'Residual-Rostered'!#REF!)</f>
        <v>#REF!</v>
      </c>
      <c r="V19" s="25" t="e">
        <f>IF('Residual-Rostered'!#REF!=0,"-",'Residual-Rostered'!#REF!)</f>
        <v>#REF!</v>
      </c>
      <c r="W19" s="25" t="e">
        <f>IF('Residual-Rostered'!#REF!=0,"-",'Residual-Rostered'!#REF!)</f>
        <v>#REF!</v>
      </c>
      <c r="X19" s="25" t="e">
        <f>IF('Residual-Rostered'!#REF!=0,"-",'Residual-Rostered'!#REF!)</f>
        <v>#REF!</v>
      </c>
      <c r="Y19" s="25" t="e">
        <f>IF('Residual-Rostered'!#REF!=0,"-",'Residual-Rostered'!#REF!)</f>
        <v>#REF!</v>
      </c>
      <c r="Z19" s="25" t="e">
        <f>IF('Residual-Rostered'!#REF!=0,"-",'Residual-Rostered'!#REF!)</f>
        <v>#REF!</v>
      </c>
      <c r="AA19" s="25" t="e">
        <f>IF('Residual-Rostered'!#REF!=0,"-",'Residual-Rostered'!#REF!)</f>
        <v>#REF!</v>
      </c>
      <c r="AB19" s="25" t="e">
        <f>IF('Residual-Rostered'!#REF!=0,"-",'Residual-Rostered'!#REF!)</f>
        <v>#REF!</v>
      </c>
      <c r="AC19" s="25" t="e">
        <f>IF('Residual-Rostered'!#REF!=0,"-",'Residual-Rostered'!#REF!)</f>
        <v>#REF!</v>
      </c>
      <c r="AD19" s="25" t="e">
        <f>IF('Residual-Rostered'!#REF!=0,"-",'Residual-Rostered'!#REF!)</f>
        <v>#REF!</v>
      </c>
      <c r="AE19" s="25" t="e">
        <f>IF('Residual-Rostered'!#REF!=0,"-",'Residual-Rostered'!#REF!)</f>
        <v>#REF!</v>
      </c>
      <c r="AF19" s="25" t="e">
        <f>IF('Residual-Rostered'!#REF!=0,"-",'Residual-Rostered'!#REF!)</f>
        <v>#REF!</v>
      </c>
      <c r="AG19" s="25" t="e">
        <f>IF('Residual-Rostered'!#REF!=0,"-",'Residual-Rostered'!#REF!)</f>
        <v>#REF!</v>
      </c>
      <c r="AH19" s="25" t="e">
        <f>IF('Residual-Rostered'!#REF!=0,"-",'Residual-Rostered'!#REF!)</f>
        <v>#REF!</v>
      </c>
      <c r="AI19" s="25" t="e">
        <f>IF('Residual-Rostered'!#REF!=0,"-",'Residual-Rostered'!#REF!)</f>
        <v>#REF!</v>
      </c>
      <c r="AJ19" s="25" t="e">
        <f>IF('Residual-Rostered'!#REF!=0,"-",'Residual-Rostered'!#REF!)</f>
        <v>#REF!</v>
      </c>
      <c r="AK19" s="25" t="e">
        <f>IF('Residual-Rostered'!#REF!=0,"-",'Residual-Rostered'!#REF!)</f>
        <v>#REF!</v>
      </c>
      <c r="AL19" s="25" t="e">
        <f>IF('Residual-Rostered'!#REF!=0,"-",'Residual-Rostered'!#REF!)</f>
        <v>#REF!</v>
      </c>
      <c r="AM19" s="25" t="e">
        <f>IF('Residual-Rostered'!#REF!=0,"-",'Residual-Rostered'!#REF!)</f>
        <v>#REF!</v>
      </c>
      <c r="AN19" s="25" t="e">
        <f>IF('Residual-Rostered'!#REF!=0,"-",'Residual-Rostered'!#REF!)</f>
        <v>#REF!</v>
      </c>
      <c r="AO19" s="25" t="e">
        <f>IF('Residual-Rostered'!#REF!=0,"-",'Residual-Rostered'!#REF!)</f>
        <v>#REF!</v>
      </c>
      <c r="AP19" s="25" t="e">
        <f>IF('Residual-Rostered'!#REF!=0,"-",'Residual-Rostered'!#REF!)</f>
        <v>#REF!</v>
      </c>
      <c r="AQ19" s="25" t="e">
        <f>IF('Residual-Rostered'!#REF!=0,"-",'Residual-Rostered'!#REF!)</f>
        <v>#REF!</v>
      </c>
      <c r="AR19" s="25" t="e">
        <f>IF('Residual-Rostered'!#REF!=0,"-",'Residual-Rostered'!#REF!)</f>
        <v>#REF!</v>
      </c>
      <c r="AS19" s="25" t="e">
        <f>IF('Residual-Rostered'!#REF!=0,"-",'Residual-Rostered'!#REF!)</f>
        <v>#REF!</v>
      </c>
    </row>
    <row r="20" spans="1:47" hidden="1" x14ac:dyDescent="0.25">
      <c r="A20" s="25" t="e">
        <f>'Residual-Rostered'!#REF!</f>
        <v>#REF!</v>
      </c>
      <c r="B20" s="25" t="e">
        <f>'Residual-Rostered'!#REF!</f>
        <v>#REF!</v>
      </c>
      <c r="C20" s="25" t="e">
        <f>'Residual-Rostered'!#REF!</f>
        <v>#REF!</v>
      </c>
      <c r="D20" s="25" t="e">
        <f>IF('Residual-Rostered'!#REF!=0,"-",'Residual-Rostered'!#REF!)</f>
        <v>#REF!</v>
      </c>
      <c r="E20" s="25" t="e">
        <f>IF('Residual-Rostered'!#REF!=0,"-",'Residual-Rostered'!#REF!)</f>
        <v>#REF!</v>
      </c>
      <c r="F20" s="25" t="e">
        <f>IF('Residual-Rostered'!#REF!=0,"-",'Residual-Rostered'!#REF!)</f>
        <v>#REF!</v>
      </c>
      <c r="G20" s="25" t="e">
        <f>IF('Residual-Rostered'!#REF!=0,"-",'Residual-Rostered'!#REF!)</f>
        <v>#REF!</v>
      </c>
      <c r="H20" s="25" t="e">
        <f>IF('Residual-Rostered'!#REF!=0,"-",'Residual-Rostered'!#REF!)</f>
        <v>#REF!</v>
      </c>
      <c r="I20" s="25" t="e">
        <f>IF('Residual-Rostered'!#REF!=0,"-",'Residual-Rostered'!#REF!)</f>
        <v>#REF!</v>
      </c>
      <c r="J20" s="25" t="e">
        <f>IF('Residual-Rostered'!#REF!=0,"-",'Residual-Rostered'!#REF!)</f>
        <v>#REF!</v>
      </c>
      <c r="K20" s="25" t="e">
        <f>IF('Residual-Rostered'!#REF!=0,"-",'Residual-Rostered'!#REF!)</f>
        <v>#REF!</v>
      </c>
      <c r="L20" s="25" t="e">
        <f>IF('Residual-Rostered'!#REF!=0,"-",'Residual-Rostered'!#REF!)</f>
        <v>#REF!</v>
      </c>
      <c r="M20" s="25" t="e">
        <f>IF('Residual-Rostered'!#REF!=0,"-",'Residual-Rostered'!#REF!)</f>
        <v>#REF!</v>
      </c>
      <c r="N20" s="25" t="e">
        <f>IF('Residual-Rostered'!#REF!=0,"-",'Residual-Rostered'!#REF!)</f>
        <v>#REF!</v>
      </c>
      <c r="O20" s="25" t="e">
        <f>IF('Residual-Rostered'!#REF!=0,"-",'Residual-Rostered'!#REF!)</f>
        <v>#REF!</v>
      </c>
      <c r="P20" s="25" t="e">
        <f>IF('Residual-Rostered'!#REF!=0,"-",'Residual-Rostered'!#REF!)</f>
        <v>#REF!</v>
      </c>
      <c r="Q20" s="25" t="e">
        <f>IF('Residual-Rostered'!#REF!=0,"-",'Residual-Rostered'!#REF!)</f>
        <v>#REF!</v>
      </c>
      <c r="R20" s="25" t="e">
        <f>IF('Residual-Rostered'!#REF!=0,"-",'Residual-Rostered'!#REF!)</f>
        <v>#REF!</v>
      </c>
      <c r="S20" s="25" t="e">
        <f>IF('Residual-Rostered'!#REF!=0,"-",'Residual-Rostered'!#REF!)</f>
        <v>#REF!</v>
      </c>
      <c r="T20" s="25" t="e">
        <f>IF('Residual-Rostered'!#REF!=0,"-",'Residual-Rostered'!#REF!)</f>
        <v>#REF!</v>
      </c>
      <c r="U20" s="25" t="e">
        <f>IF('Residual-Rostered'!#REF!=0,"-",'Residual-Rostered'!#REF!)</f>
        <v>#REF!</v>
      </c>
      <c r="V20" s="25" t="e">
        <f>IF('Residual-Rostered'!#REF!=0,"-",'Residual-Rostered'!#REF!)</f>
        <v>#REF!</v>
      </c>
      <c r="W20" s="25" t="e">
        <f>IF('Residual-Rostered'!#REF!=0,"-",'Residual-Rostered'!#REF!)</f>
        <v>#REF!</v>
      </c>
      <c r="X20" s="25" t="e">
        <f>IF('Residual-Rostered'!#REF!=0,"-",'Residual-Rostered'!#REF!)</f>
        <v>#REF!</v>
      </c>
      <c r="Y20" s="25" t="e">
        <f>IF('Residual-Rostered'!#REF!=0,"-",'Residual-Rostered'!#REF!)</f>
        <v>#REF!</v>
      </c>
      <c r="Z20" s="25" t="e">
        <f>IF('Residual-Rostered'!#REF!=0,"-",'Residual-Rostered'!#REF!)</f>
        <v>#REF!</v>
      </c>
      <c r="AA20" s="25" t="e">
        <f>IF('Residual-Rostered'!#REF!=0,"-",'Residual-Rostered'!#REF!)</f>
        <v>#REF!</v>
      </c>
      <c r="AB20" s="25" t="e">
        <f>IF('Residual-Rostered'!#REF!=0,"-",'Residual-Rostered'!#REF!)</f>
        <v>#REF!</v>
      </c>
      <c r="AC20" s="25" t="e">
        <f>IF('Residual-Rostered'!#REF!=0,"-",'Residual-Rostered'!#REF!)</f>
        <v>#REF!</v>
      </c>
      <c r="AD20" s="25" t="e">
        <f>IF('Residual-Rostered'!#REF!=0,"-",'Residual-Rostered'!#REF!)</f>
        <v>#REF!</v>
      </c>
      <c r="AE20" s="25" t="e">
        <f>IF('Residual-Rostered'!#REF!=0,"-",'Residual-Rostered'!#REF!)</f>
        <v>#REF!</v>
      </c>
      <c r="AF20" s="25" t="e">
        <f>IF('Residual-Rostered'!#REF!=0,"-",'Residual-Rostered'!#REF!)</f>
        <v>#REF!</v>
      </c>
      <c r="AG20" s="25" t="e">
        <f>IF('Residual-Rostered'!#REF!=0,"-",'Residual-Rostered'!#REF!)</f>
        <v>#REF!</v>
      </c>
      <c r="AH20" s="25" t="e">
        <f>IF('Residual-Rostered'!#REF!=0,"-",'Residual-Rostered'!#REF!)</f>
        <v>#REF!</v>
      </c>
      <c r="AI20" s="25" t="e">
        <f>IF('Residual-Rostered'!#REF!=0,"-",'Residual-Rostered'!#REF!)</f>
        <v>#REF!</v>
      </c>
      <c r="AJ20" s="25" t="e">
        <f>IF('Residual-Rostered'!#REF!=0,"-",'Residual-Rostered'!#REF!)</f>
        <v>#REF!</v>
      </c>
      <c r="AK20" s="25" t="e">
        <f>IF('Residual-Rostered'!#REF!=0,"-",'Residual-Rostered'!#REF!)</f>
        <v>#REF!</v>
      </c>
      <c r="AL20" s="25" t="e">
        <f>IF('Residual-Rostered'!#REF!=0,"-",'Residual-Rostered'!#REF!)</f>
        <v>#REF!</v>
      </c>
      <c r="AM20" s="25" t="e">
        <f>IF('Residual-Rostered'!#REF!=0,"-",'Residual-Rostered'!#REF!)</f>
        <v>#REF!</v>
      </c>
      <c r="AN20" s="25" t="e">
        <f>IF('Residual-Rostered'!#REF!=0,"-",'Residual-Rostered'!#REF!)</f>
        <v>#REF!</v>
      </c>
      <c r="AO20" s="25" t="e">
        <f>IF('Residual-Rostered'!#REF!=0,"-",'Residual-Rostered'!#REF!)</f>
        <v>#REF!</v>
      </c>
      <c r="AP20" s="25" t="e">
        <f>IF('Residual-Rostered'!#REF!=0,"-",'Residual-Rostered'!#REF!)</f>
        <v>#REF!</v>
      </c>
      <c r="AQ20" s="25" t="e">
        <f>IF('Residual-Rostered'!#REF!=0,"-",'Residual-Rostered'!#REF!)</f>
        <v>#REF!</v>
      </c>
      <c r="AR20" s="25" t="e">
        <f>IF('Residual-Rostered'!#REF!=0,"-",'Residual-Rostered'!#REF!)</f>
        <v>#REF!</v>
      </c>
      <c r="AS20" s="25" t="e">
        <f>IF('Residual-Rostered'!#REF!=0,"-",'Residual-Rostered'!#REF!)</f>
        <v>#REF!</v>
      </c>
    </row>
    <row r="21" spans="1:47" x14ac:dyDescent="0.25">
      <c r="A21" s="25" t="e">
        <f>'Residual-Rostered'!#REF!</f>
        <v>#REF!</v>
      </c>
      <c r="B21" s="25" t="e">
        <f>'Residual-Rostered'!#REF!</f>
        <v>#REF!</v>
      </c>
      <c r="C21" s="25" t="e">
        <f>'Residual-Rostered'!#REF!</f>
        <v>#REF!</v>
      </c>
      <c r="D21" s="25" t="e">
        <f>IF('Residual-Rostered'!#REF!=0,"-",'Residual-Rostered'!#REF!)</f>
        <v>#REF!</v>
      </c>
      <c r="E21" s="25" t="e">
        <f>IF('Residual-Rostered'!#REF!=0,"-",'Residual-Rostered'!#REF!)</f>
        <v>#REF!</v>
      </c>
      <c r="F21" s="25" t="e">
        <f>IF('Residual-Rostered'!#REF!=0,"-",'Residual-Rostered'!#REF!)</f>
        <v>#REF!</v>
      </c>
      <c r="G21" s="25" t="e">
        <f>IF('Residual-Rostered'!#REF!=0,"-",'Residual-Rostered'!#REF!)</f>
        <v>#REF!</v>
      </c>
      <c r="H21" s="25" t="e">
        <f>IF('Residual-Rostered'!#REF!=0,"-",'Residual-Rostered'!#REF!)</f>
        <v>#REF!</v>
      </c>
      <c r="I21" s="25" t="e">
        <f>IF('Residual-Rostered'!#REF!=0,"-",'Residual-Rostered'!#REF!)</f>
        <v>#REF!</v>
      </c>
      <c r="J21" s="25" t="e">
        <f>IF('Residual-Rostered'!#REF!=0,"-",'Residual-Rostered'!#REF!)</f>
        <v>#REF!</v>
      </c>
      <c r="K21" s="25" t="e">
        <f>IF('Residual-Rostered'!#REF!=0,"-",'Residual-Rostered'!#REF!)</f>
        <v>#REF!</v>
      </c>
      <c r="L21" s="25" t="e">
        <f>IF('Residual-Rostered'!#REF!=0,"-",'Residual-Rostered'!#REF!)</f>
        <v>#REF!</v>
      </c>
      <c r="M21" s="25" t="e">
        <f>IF('Residual-Rostered'!#REF!=0,"-",'Residual-Rostered'!#REF!)</f>
        <v>#REF!</v>
      </c>
      <c r="N21" s="25" t="e">
        <f>IF('Residual-Rostered'!#REF!=0,"-",'Residual-Rostered'!#REF!)</f>
        <v>#REF!</v>
      </c>
      <c r="O21" s="25" t="e">
        <f>IF('Residual-Rostered'!#REF!=0,"-",'Residual-Rostered'!#REF!)</f>
        <v>#REF!</v>
      </c>
      <c r="P21" s="25" t="e">
        <f>IF('Residual-Rostered'!#REF!=0,"-",'Residual-Rostered'!#REF!)</f>
        <v>#REF!</v>
      </c>
      <c r="Q21" s="25" t="e">
        <f>IF('Residual-Rostered'!#REF!=0,"-",'Residual-Rostered'!#REF!)</f>
        <v>#REF!</v>
      </c>
      <c r="R21" s="25" t="e">
        <f>IF('Residual-Rostered'!#REF!=0,"-",'Residual-Rostered'!#REF!)</f>
        <v>#REF!</v>
      </c>
      <c r="S21" s="25" t="e">
        <f>IF('Residual-Rostered'!#REF!=0,"-",'Residual-Rostered'!#REF!)</f>
        <v>#REF!</v>
      </c>
      <c r="T21" s="25" t="e">
        <f>IF('Residual-Rostered'!#REF!=0,"-",'Residual-Rostered'!#REF!)</f>
        <v>#REF!</v>
      </c>
      <c r="U21" s="25" t="e">
        <f>IF('Residual-Rostered'!#REF!=0,"-",'Residual-Rostered'!#REF!)</f>
        <v>#REF!</v>
      </c>
      <c r="V21" s="25" t="e">
        <f>IF('Residual-Rostered'!#REF!=0,"-",'Residual-Rostered'!#REF!)</f>
        <v>#REF!</v>
      </c>
      <c r="W21" s="25" t="e">
        <f>IF('Residual-Rostered'!#REF!=0,"-",'Residual-Rostered'!#REF!)</f>
        <v>#REF!</v>
      </c>
      <c r="X21" s="25" t="e">
        <f>IF('Residual-Rostered'!#REF!=0,"-",'Residual-Rostered'!#REF!)</f>
        <v>#REF!</v>
      </c>
      <c r="Y21" s="25" t="e">
        <f>IF('Residual-Rostered'!#REF!=0,"-",'Residual-Rostered'!#REF!)</f>
        <v>#REF!</v>
      </c>
      <c r="Z21" s="25" t="e">
        <f>IF('Residual-Rostered'!#REF!=0,"-",'Residual-Rostered'!#REF!)</f>
        <v>#REF!</v>
      </c>
      <c r="AA21" s="25" t="e">
        <f>IF('Residual-Rostered'!#REF!=0,"-",'Residual-Rostered'!#REF!)</f>
        <v>#REF!</v>
      </c>
      <c r="AB21" s="25" t="e">
        <f>IF('Residual-Rostered'!#REF!=0,"-",'Residual-Rostered'!#REF!)</f>
        <v>#REF!</v>
      </c>
      <c r="AC21" s="25" t="e">
        <f>IF('Residual-Rostered'!#REF!=0,"-",'Residual-Rostered'!#REF!)</f>
        <v>#REF!</v>
      </c>
      <c r="AD21" s="25" t="e">
        <f>IF('Residual-Rostered'!#REF!=0,"-",'Residual-Rostered'!#REF!)</f>
        <v>#REF!</v>
      </c>
      <c r="AE21" s="25" t="e">
        <f>IF('Residual-Rostered'!#REF!=0,"-",'Residual-Rostered'!#REF!)</f>
        <v>#REF!</v>
      </c>
      <c r="AF21" s="25" t="e">
        <f>IF('Residual-Rostered'!#REF!=0,"-",'Residual-Rostered'!#REF!)</f>
        <v>#REF!</v>
      </c>
      <c r="AG21" s="25" t="e">
        <f>IF('Residual-Rostered'!#REF!=0,"-",'Residual-Rostered'!#REF!)</f>
        <v>#REF!</v>
      </c>
      <c r="AH21" s="25" t="e">
        <f>IF('Residual-Rostered'!#REF!=0,"-",'Residual-Rostered'!#REF!)</f>
        <v>#REF!</v>
      </c>
      <c r="AI21" s="25" t="e">
        <f>IF('Residual-Rostered'!#REF!=0,"-",'Residual-Rostered'!#REF!)</f>
        <v>#REF!</v>
      </c>
      <c r="AJ21" s="25" t="e">
        <f>IF('Residual-Rostered'!#REF!=0,"-",'Residual-Rostered'!#REF!)</f>
        <v>#REF!</v>
      </c>
      <c r="AK21" s="25" t="e">
        <f>IF('Residual-Rostered'!#REF!=0,"-",'Residual-Rostered'!#REF!)</f>
        <v>#REF!</v>
      </c>
      <c r="AL21" s="25" t="e">
        <f>IF('Residual-Rostered'!#REF!=0,"-",'Residual-Rostered'!#REF!)</f>
        <v>#REF!</v>
      </c>
      <c r="AM21" s="25" t="e">
        <f>IF('Residual-Rostered'!#REF!=0,"-",'Residual-Rostered'!#REF!)</f>
        <v>#REF!</v>
      </c>
      <c r="AN21" s="25" t="e">
        <f>IF('Residual-Rostered'!#REF!=0,"-",'Residual-Rostered'!#REF!)</f>
        <v>#REF!</v>
      </c>
      <c r="AO21" s="25" t="e">
        <f>IF('Residual-Rostered'!#REF!=0,"-",'Residual-Rostered'!#REF!)</f>
        <v>#REF!</v>
      </c>
      <c r="AP21" s="25" t="e">
        <f>IF('Residual-Rostered'!#REF!=0,"-",'Residual-Rostered'!#REF!)</f>
        <v>#REF!</v>
      </c>
      <c r="AQ21" s="25" t="e">
        <f>IF('Residual-Rostered'!#REF!=0,"-",'Residual-Rostered'!#REF!)</f>
        <v>#REF!</v>
      </c>
      <c r="AR21" s="25" t="e">
        <f>IF('Residual-Rostered'!#REF!=0,"-",'Residual-Rostered'!#REF!)</f>
        <v>#REF!</v>
      </c>
      <c r="AS21" s="25" t="e">
        <f>IF('Residual-Rostered'!#REF!=0,"-",'Residual-Rostered'!#REF!)</f>
        <v>#REF!</v>
      </c>
    </row>
    <row r="22" spans="1:47" x14ac:dyDescent="0.25">
      <c r="A22" s="25" t="e">
        <f>'Residual-Rostered'!#REF!</f>
        <v>#REF!</v>
      </c>
      <c r="B22" s="25" t="e">
        <f>'Residual-Rostered'!#REF!</f>
        <v>#REF!</v>
      </c>
      <c r="C22" s="25" t="e">
        <f>'Residual-Rostered'!#REF!</f>
        <v>#REF!</v>
      </c>
      <c r="D22" s="25" t="e">
        <f>IF('Residual-Rostered'!#REF!=0,"-",'Residual-Rostered'!#REF!)</f>
        <v>#REF!</v>
      </c>
      <c r="E22" s="25" t="e">
        <f>IF('Residual-Rostered'!#REF!=0,"-",'Residual-Rostered'!#REF!)</f>
        <v>#REF!</v>
      </c>
      <c r="F22" s="25" t="e">
        <f>IF('Residual-Rostered'!#REF!=0,"-",'Residual-Rostered'!#REF!)</f>
        <v>#REF!</v>
      </c>
      <c r="G22" s="25" t="e">
        <f>IF('Residual-Rostered'!#REF!=0,"-",'Residual-Rostered'!#REF!)</f>
        <v>#REF!</v>
      </c>
      <c r="H22" s="25" t="e">
        <f>IF('Residual-Rostered'!#REF!=0,"-",'Residual-Rostered'!#REF!)</f>
        <v>#REF!</v>
      </c>
      <c r="I22" s="25" t="e">
        <f>IF('Residual-Rostered'!#REF!=0,"-",'Residual-Rostered'!#REF!)</f>
        <v>#REF!</v>
      </c>
      <c r="J22" s="25" t="e">
        <f>IF('Residual-Rostered'!#REF!=0,"-",'Residual-Rostered'!#REF!)</f>
        <v>#REF!</v>
      </c>
      <c r="K22" s="25" t="e">
        <f>IF('Residual-Rostered'!#REF!=0,"-",'Residual-Rostered'!#REF!)</f>
        <v>#REF!</v>
      </c>
      <c r="L22" s="25" t="e">
        <f>IF('Residual-Rostered'!#REF!=0,"-",'Residual-Rostered'!#REF!)</f>
        <v>#REF!</v>
      </c>
      <c r="M22" s="25" t="e">
        <f>IF('Residual-Rostered'!#REF!=0,"-",'Residual-Rostered'!#REF!)</f>
        <v>#REF!</v>
      </c>
      <c r="N22" s="25" t="e">
        <f>IF('Residual-Rostered'!#REF!=0,"-",'Residual-Rostered'!#REF!)</f>
        <v>#REF!</v>
      </c>
      <c r="O22" s="25" t="e">
        <f>IF('Residual-Rostered'!#REF!=0,"-",'Residual-Rostered'!#REF!)</f>
        <v>#REF!</v>
      </c>
      <c r="P22" s="25" t="e">
        <f>IF('Residual-Rostered'!#REF!=0,"-",'Residual-Rostered'!#REF!)</f>
        <v>#REF!</v>
      </c>
      <c r="Q22" s="25" t="e">
        <f>IF('Residual-Rostered'!#REF!=0,"-",'Residual-Rostered'!#REF!)</f>
        <v>#REF!</v>
      </c>
      <c r="R22" s="25" t="e">
        <f>IF('Residual-Rostered'!#REF!=0,"-",'Residual-Rostered'!#REF!)</f>
        <v>#REF!</v>
      </c>
      <c r="S22" s="25" t="e">
        <f>IF('Residual-Rostered'!#REF!=0,"-",'Residual-Rostered'!#REF!)</f>
        <v>#REF!</v>
      </c>
      <c r="T22" s="25" t="e">
        <f>IF('Residual-Rostered'!#REF!=0,"-",'Residual-Rostered'!#REF!)</f>
        <v>#REF!</v>
      </c>
      <c r="U22" s="25" t="e">
        <f>IF('Residual-Rostered'!#REF!=0,"-",'Residual-Rostered'!#REF!)</f>
        <v>#REF!</v>
      </c>
      <c r="V22" s="25" t="e">
        <f>IF('Residual-Rostered'!#REF!=0,"-",'Residual-Rostered'!#REF!)</f>
        <v>#REF!</v>
      </c>
      <c r="W22" s="25" t="e">
        <f>IF('Residual-Rostered'!#REF!=0,"-",'Residual-Rostered'!#REF!)</f>
        <v>#REF!</v>
      </c>
      <c r="X22" s="25" t="e">
        <f>IF('Residual-Rostered'!#REF!=0,"-",'Residual-Rostered'!#REF!)</f>
        <v>#REF!</v>
      </c>
      <c r="Y22" s="25" t="e">
        <f>IF('Residual-Rostered'!#REF!=0,"-",'Residual-Rostered'!#REF!)</f>
        <v>#REF!</v>
      </c>
      <c r="Z22" s="25" t="e">
        <f>IF('Residual-Rostered'!#REF!=0,"-",'Residual-Rostered'!#REF!)</f>
        <v>#REF!</v>
      </c>
      <c r="AA22" s="25" t="e">
        <f>IF('Residual-Rostered'!#REF!=0,"-",'Residual-Rostered'!#REF!)</f>
        <v>#REF!</v>
      </c>
      <c r="AB22" s="25" t="e">
        <f>IF('Residual-Rostered'!#REF!=0,"-",'Residual-Rostered'!#REF!)</f>
        <v>#REF!</v>
      </c>
      <c r="AC22" s="25" t="e">
        <f>IF('Residual-Rostered'!#REF!=0,"-",'Residual-Rostered'!#REF!)</f>
        <v>#REF!</v>
      </c>
      <c r="AD22" s="25" t="e">
        <f>IF('Residual-Rostered'!#REF!=0,"-",'Residual-Rostered'!#REF!)</f>
        <v>#REF!</v>
      </c>
      <c r="AE22" s="25" t="e">
        <f>IF('Residual-Rostered'!#REF!=0,"-",'Residual-Rostered'!#REF!)</f>
        <v>#REF!</v>
      </c>
      <c r="AF22" s="25" t="e">
        <f>IF('Residual-Rostered'!#REF!=0,"-",'Residual-Rostered'!#REF!)</f>
        <v>#REF!</v>
      </c>
      <c r="AG22" s="25" t="e">
        <f>IF('Residual-Rostered'!#REF!=0,"-",'Residual-Rostered'!#REF!)</f>
        <v>#REF!</v>
      </c>
      <c r="AH22" s="25" t="e">
        <f>IF('Residual-Rostered'!#REF!=0,"-",'Residual-Rostered'!#REF!)</f>
        <v>#REF!</v>
      </c>
      <c r="AI22" s="25" t="e">
        <f>IF('Residual-Rostered'!#REF!=0,"-",'Residual-Rostered'!#REF!)</f>
        <v>#REF!</v>
      </c>
      <c r="AJ22" s="25" t="e">
        <f>IF('Residual-Rostered'!#REF!=0,"-",'Residual-Rostered'!#REF!)</f>
        <v>#REF!</v>
      </c>
      <c r="AK22" s="25" t="e">
        <f>IF('Residual-Rostered'!#REF!=0,"-",'Residual-Rostered'!#REF!)</f>
        <v>#REF!</v>
      </c>
      <c r="AL22" s="25" t="e">
        <f>IF('Residual-Rostered'!#REF!=0,"-",'Residual-Rostered'!#REF!)</f>
        <v>#REF!</v>
      </c>
      <c r="AM22" s="25" t="e">
        <f>IF('Residual-Rostered'!#REF!=0,"-",'Residual-Rostered'!#REF!)</f>
        <v>#REF!</v>
      </c>
      <c r="AN22" s="25" t="e">
        <f>IF('Residual-Rostered'!#REF!=0,"-",'Residual-Rostered'!#REF!)</f>
        <v>#REF!</v>
      </c>
      <c r="AO22" s="25" t="e">
        <f>IF('Residual-Rostered'!#REF!=0,"-",'Residual-Rostered'!#REF!)</f>
        <v>#REF!</v>
      </c>
      <c r="AP22" s="25" t="e">
        <f>IF('Residual-Rostered'!#REF!=0,"-",'Residual-Rostered'!#REF!)</f>
        <v>#REF!</v>
      </c>
      <c r="AQ22" s="25" t="e">
        <f>IF('Residual-Rostered'!#REF!=0,"-",'Residual-Rostered'!#REF!)</f>
        <v>#REF!</v>
      </c>
      <c r="AR22" s="25" t="e">
        <f>IF('Residual-Rostered'!#REF!=0,"-",'Residual-Rostered'!#REF!)</f>
        <v>#REF!</v>
      </c>
      <c r="AS22" s="25" t="e">
        <f>IF('Residual-Rostered'!#REF!=0,"-",'Residual-Rostered'!#REF!)</f>
        <v>#REF!</v>
      </c>
    </row>
    <row r="23" spans="1:47" x14ac:dyDescent="0.25">
      <c r="A23" s="25" t="e">
        <f>'Residual-Rostered'!#REF!</f>
        <v>#REF!</v>
      </c>
      <c r="B23" s="25" t="e">
        <f>'Residual-Rostered'!#REF!</f>
        <v>#REF!</v>
      </c>
      <c r="C23" s="25" t="e">
        <f>'Residual-Rostered'!#REF!</f>
        <v>#REF!</v>
      </c>
      <c r="D23" s="25" t="e">
        <f>IF('Residual-Rostered'!#REF!=0,"-",'Residual-Rostered'!#REF!)</f>
        <v>#REF!</v>
      </c>
      <c r="E23" s="25" t="e">
        <f>IF('Residual-Rostered'!#REF!=0,"-",'Residual-Rostered'!#REF!)</f>
        <v>#REF!</v>
      </c>
      <c r="F23" s="25" t="e">
        <f>IF('Residual-Rostered'!#REF!=0,"-",'Residual-Rostered'!#REF!)</f>
        <v>#REF!</v>
      </c>
      <c r="G23" s="25" t="e">
        <f>IF('Residual-Rostered'!#REF!=0,"-",'Residual-Rostered'!#REF!)</f>
        <v>#REF!</v>
      </c>
      <c r="H23" s="25" t="e">
        <f>IF('Residual-Rostered'!#REF!=0,"-",'Residual-Rostered'!#REF!)</f>
        <v>#REF!</v>
      </c>
      <c r="I23" s="25" t="e">
        <f>IF('Residual-Rostered'!#REF!=0,"-",'Residual-Rostered'!#REF!)</f>
        <v>#REF!</v>
      </c>
      <c r="J23" s="25" t="e">
        <f>IF('Residual-Rostered'!#REF!=0,"-",'Residual-Rostered'!#REF!)</f>
        <v>#REF!</v>
      </c>
      <c r="K23" s="25" t="e">
        <f>IF('Residual-Rostered'!#REF!=0,"-",'Residual-Rostered'!#REF!)</f>
        <v>#REF!</v>
      </c>
      <c r="L23" s="25" t="e">
        <f>IF('Residual-Rostered'!#REF!=0,"-",'Residual-Rostered'!#REF!)</f>
        <v>#REF!</v>
      </c>
      <c r="M23" s="25" t="e">
        <f>IF('Residual-Rostered'!#REF!=0,"-",'Residual-Rostered'!#REF!)</f>
        <v>#REF!</v>
      </c>
      <c r="N23" s="25" t="e">
        <f>IF('Residual-Rostered'!#REF!=0,"-",'Residual-Rostered'!#REF!)</f>
        <v>#REF!</v>
      </c>
      <c r="O23" s="25" t="e">
        <f>IF('Residual-Rostered'!#REF!=0,"-",'Residual-Rostered'!#REF!)</f>
        <v>#REF!</v>
      </c>
      <c r="P23" s="25" t="e">
        <f>IF('Residual-Rostered'!#REF!=0,"-",'Residual-Rostered'!#REF!)</f>
        <v>#REF!</v>
      </c>
      <c r="Q23" s="25" t="e">
        <f>IF('Residual-Rostered'!#REF!=0,"-",'Residual-Rostered'!#REF!)</f>
        <v>#REF!</v>
      </c>
      <c r="R23" s="25" t="e">
        <f>IF('Residual-Rostered'!#REF!=0,"-",'Residual-Rostered'!#REF!)</f>
        <v>#REF!</v>
      </c>
      <c r="S23" s="25" t="e">
        <f>IF('Residual-Rostered'!#REF!=0,"-",'Residual-Rostered'!#REF!)</f>
        <v>#REF!</v>
      </c>
      <c r="T23" s="25" t="e">
        <f>IF('Residual-Rostered'!#REF!=0,"-",'Residual-Rostered'!#REF!)</f>
        <v>#REF!</v>
      </c>
      <c r="U23" s="25" t="e">
        <f>IF('Residual-Rostered'!#REF!=0,"-",'Residual-Rostered'!#REF!)</f>
        <v>#REF!</v>
      </c>
      <c r="V23" s="25" t="e">
        <f>IF('Residual-Rostered'!#REF!=0,"-",'Residual-Rostered'!#REF!)</f>
        <v>#REF!</v>
      </c>
      <c r="W23" s="25" t="e">
        <f>IF('Residual-Rostered'!#REF!=0,"-",'Residual-Rostered'!#REF!)</f>
        <v>#REF!</v>
      </c>
      <c r="X23" s="25" t="e">
        <f>IF('Residual-Rostered'!#REF!=0,"-",'Residual-Rostered'!#REF!)</f>
        <v>#REF!</v>
      </c>
      <c r="Y23" s="25" t="e">
        <f>IF('Residual-Rostered'!#REF!=0,"-",'Residual-Rostered'!#REF!)</f>
        <v>#REF!</v>
      </c>
      <c r="Z23" s="25" t="e">
        <f>IF('Residual-Rostered'!#REF!=0,"-",'Residual-Rostered'!#REF!)</f>
        <v>#REF!</v>
      </c>
      <c r="AA23" s="25" t="e">
        <f>IF('Residual-Rostered'!#REF!=0,"-",'Residual-Rostered'!#REF!)</f>
        <v>#REF!</v>
      </c>
      <c r="AB23" s="25" t="e">
        <f>IF('Residual-Rostered'!#REF!=0,"-",'Residual-Rostered'!#REF!)</f>
        <v>#REF!</v>
      </c>
      <c r="AC23" s="25" t="e">
        <f>IF('Residual-Rostered'!#REF!=0,"-",'Residual-Rostered'!#REF!)</f>
        <v>#REF!</v>
      </c>
      <c r="AD23" s="25" t="e">
        <f>IF('Residual-Rostered'!#REF!=0,"-",'Residual-Rostered'!#REF!)</f>
        <v>#REF!</v>
      </c>
      <c r="AE23" s="25" t="e">
        <f>IF('Residual-Rostered'!#REF!=0,"-",'Residual-Rostered'!#REF!)</f>
        <v>#REF!</v>
      </c>
      <c r="AF23" s="25" t="e">
        <f>IF('Residual-Rostered'!#REF!=0,"-",'Residual-Rostered'!#REF!)</f>
        <v>#REF!</v>
      </c>
      <c r="AG23" s="25" t="e">
        <f>IF('Residual-Rostered'!#REF!=0,"-",'Residual-Rostered'!#REF!)</f>
        <v>#REF!</v>
      </c>
      <c r="AH23" s="25" t="e">
        <f>IF('Residual-Rostered'!#REF!=0,"-",'Residual-Rostered'!#REF!)</f>
        <v>#REF!</v>
      </c>
      <c r="AI23" s="25" t="e">
        <f>IF('Residual-Rostered'!#REF!=0,"-",'Residual-Rostered'!#REF!)</f>
        <v>#REF!</v>
      </c>
      <c r="AJ23" s="25" t="e">
        <f>IF('Residual-Rostered'!#REF!=0,"-",'Residual-Rostered'!#REF!)</f>
        <v>#REF!</v>
      </c>
      <c r="AK23" s="25" t="e">
        <f>IF('Residual-Rostered'!#REF!=0,"-",'Residual-Rostered'!#REF!)</f>
        <v>#REF!</v>
      </c>
      <c r="AL23" s="25" t="e">
        <f>IF('Residual-Rostered'!#REF!=0,"-",'Residual-Rostered'!#REF!)</f>
        <v>#REF!</v>
      </c>
      <c r="AM23" s="25" t="e">
        <f>IF('Residual-Rostered'!#REF!=0,"-",'Residual-Rostered'!#REF!)</f>
        <v>#REF!</v>
      </c>
      <c r="AN23" s="25" t="e">
        <f>IF('Residual-Rostered'!#REF!=0,"-",'Residual-Rostered'!#REF!)</f>
        <v>#REF!</v>
      </c>
      <c r="AO23" s="25" t="e">
        <f>IF('Residual-Rostered'!#REF!=0,"-",'Residual-Rostered'!#REF!)</f>
        <v>#REF!</v>
      </c>
      <c r="AP23" s="25" t="e">
        <f>IF('Residual-Rostered'!#REF!=0,"-",'Residual-Rostered'!#REF!)</f>
        <v>#REF!</v>
      </c>
      <c r="AQ23" s="25" t="e">
        <f>IF('Residual-Rostered'!#REF!=0,"-",'Residual-Rostered'!#REF!)</f>
        <v>#REF!</v>
      </c>
      <c r="AR23" s="25" t="e">
        <f>IF('Residual-Rostered'!#REF!=0,"-",'Residual-Rostered'!#REF!)</f>
        <v>#REF!</v>
      </c>
      <c r="AS23" s="25" t="e">
        <f>IF('Residual-Rostered'!#REF!=0,"-",'Residual-Rostered'!#REF!)</f>
        <v>#REF!</v>
      </c>
    </row>
    <row r="24" spans="1:47" x14ac:dyDescent="0.25">
      <c r="A24" s="25" t="e">
        <f>'Residual-Rostered'!#REF!</f>
        <v>#REF!</v>
      </c>
      <c r="B24" s="25" t="e">
        <f>'Residual-Rostered'!#REF!</f>
        <v>#REF!</v>
      </c>
      <c r="C24" s="25" t="e">
        <f>'Residual-Rostered'!#REF!</f>
        <v>#REF!</v>
      </c>
      <c r="D24" s="25" t="e">
        <f>IF('Residual-Rostered'!#REF!=0,"-",'Residual-Rostered'!#REF!)</f>
        <v>#REF!</v>
      </c>
      <c r="E24" s="25" t="e">
        <f>IF('Residual-Rostered'!#REF!=0,"-",'Residual-Rostered'!#REF!)</f>
        <v>#REF!</v>
      </c>
      <c r="F24" s="25" t="e">
        <f>IF('Residual-Rostered'!#REF!=0,"-",'Residual-Rostered'!#REF!)</f>
        <v>#REF!</v>
      </c>
      <c r="G24" s="25" t="e">
        <f>IF('Residual-Rostered'!#REF!=0,"-",'Residual-Rostered'!#REF!)</f>
        <v>#REF!</v>
      </c>
      <c r="H24" s="25" t="e">
        <f>IF('Residual-Rostered'!#REF!=0,"-",'Residual-Rostered'!#REF!)</f>
        <v>#REF!</v>
      </c>
      <c r="I24" s="25" t="e">
        <f>IF('Residual-Rostered'!#REF!=0,"-",'Residual-Rostered'!#REF!)</f>
        <v>#REF!</v>
      </c>
      <c r="J24" s="25" t="e">
        <f>IF('Residual-Rostered'!#REF!=0,"-",'Residual-Rostered'!#REF!)</f>
        <v>#REF!</v>
      </c>
      <c r="K24" s="25" t="e">
        <f>IF('Residual-Rostered'!#REF!=0,"-",'Residual-Rostered'!#REF!)</f>
        <v>#REF!</v>
      </c>
      <c r="L24" s="25" t="e">
        <f>IF('Residual-Rostered'!#REF!=0,"-",'Residual-Rostered'!#REF!)</f>
        <v>#REF!</v>
      </c>
      <c r="M24" s="25" t="e">
        <f>IF('Residual-Rostered'!#REF!=0,"-",'Residual-Rostered'!#REF!)</f>
        <v>#REF!</v>
      </c>
      <c r="N24" s="25" t="e">
        <f>IF('Residual-Rostered'!#REF!=0,"-",'Residual-Rostered'!#REF!)</f>
        <v>#REF!</v>
      </c>
      <c r="O24" s="25" t="e">
        <f>IF('Residual-Rostered'!#REF!=0,"-",'Residual-Rostered'!#REF!)</f>
        <v>#REF!</v>
      </c>
      <c r="P24" s="25" t="e">
        <f>IF('Residual-Rostered'!#REF!=0,"-",'Residual-Rostered'!#REF!)</f>
        <v>#REF!</v>
      </c>
      <c r="Q24" s="25" t="e">
        <f>IF('Residual-Rostered'!#REF!=0,"-",'Residual-Rostered'!#REF!)</f>
        <v>#REF!</v>
      </c>
      <c r="R24" s="25" t="e">
        <f>IF('Residual-Rostered'!#REF!=0,"-",'Residual-Rostered'!#REF!)</f>
        <v>#REF!</v>
      </c>
      <c r="S24" s="25" t="e">
        <f>IF('Residual-Rostered'!#REF!=0,"-",'Residual-Rostered'!#REF!)</f>
        <v>#REF!</v>
      </c>
      <c r="T24" s="25" t="e">
        <f>IF('Residual-Rostered'!#REF!=0,"-",'Residual-Rostered'!#REF!)</f>
        <v>#REF!</v>
      </c>
      <c r="U24" s="25" t="e">
        <f>IF('Residual-Rostered'!#REF!=0,"-",'Residual-Rostered'!#REF!)</f>
        <v>#REF!</v>
      </c>
      <c r="V24" s="25" t="e">
        <f>IF('Residual-Rostered'!#REF!=0,"-",'Residual-Rostered'!#REF!)</f>
        <v>#REF!</v>
      </c>
      <c r="W24" s="25" t="e">
        <f>IF('Residual-Rostered'!#REF!=0,"-",'Residual-Rostered'!#REF!)</f>
        <v>#REF!</v>
      </c>
      <c r="X24" s="25" t="e">
        <f>IF('Residual-Rostered'!#REF!=0,"-",'Residual-Rostered'!#REF!)</f>
        <v>#REF!</v>
      </c>
      <c r="Y24" s="25" t="e">
        <f>IF('Residual-Rostered'!#REF!=0,"-",'Residual-Rostered'!#REF!)</f>
        <v>#REF!</v>
      </c>
      <c r="Z24" s="25" t="e">
        <f>IF('Residual-Rostered'!#REF!=0,"-",'Residual-Rostered'!#REF!)</f>
        <v>#REF!</v>
      </c>
      <c r="AA24" s="25" t="e">
        <f>IF('Residual-Rostered'!#REF!=0,"-",'Residual-Rostered'!#REF!)</f>
        <v>#REF!</v>
      </c>
      <c r="AB24" s="25" t="e">
        <f>IF('Residual-Rostered'!#REF!=0,"-",'Residual-Rostered'!#REF!)</f>
        <v>#REF!</v>
      </c>
      <c r="AC24" s="25" t="e">
        <f>IF('Residual-Rostered'!#REF!=0,"-",'Residual-Rostered'!#REF!)</f>
        <v>#REF!</v>
      </c>
      <c r="AD24" s="25" t="e">
        <f>IF('Residual-Rostered'!#REF!=0,"-",'Residual-Rostered'!#REF!)</f>
        <v>#REF!</v>
      </c>
      <c r="AE24" s="25" t="e">
        <f>IF('Residual-Rostered'!#REF!=0,"-",'Residual-Rostered'!#REF!)</f>
        <v>#REF!</v>
      </c>
      <c r="AF24" s="25" t="e">
        <f>IF('Residual-Rostered'!#REF!=0,"-",'Residual-Rostered'!#REF!)</f>
        <v>#REF!</v>
      </c>
      <c r="AG24" s="25" t="e">
        <f>IF('Residual-Rostered'!#REF!=0,"-",'Residual-Rostered'!#REF!)</f>
        <v>#REF!</v>
      </c>
      <c r="AH24" s="25" t="e">
        <f>IF('Residual-Rostered'!#REF!=0,"-",'Residual-Rostered'!#REF!)</f>
        <v>#REF!</v>
      </c>
      <c r="AI24" s="25" t="e">
        <f>IF('Residual-Rostered'!#REF!=0,"-",'Residual-Rostered'!#REF!)</f>
        <v>#REF!</v>
      </c>
      <c r="AJ24" s="25" t="e">
        <f>IF('Residual-Rostered'!#REF!=0,"-",'Residual-Rostered'!#REF!)</f>
        <v>#REF!</v>
      </c>
      <c r="AK24" s="25" t="e">
        <f>IF('Residual-Rostered'!#REF!=0,"-",'Residual-Rostered'!#REF!)</f>
        <v>#REF!</v>
      </c>
      <c r="AL24" s="25" t="e">
        <f>IF('Residual-Rostered'!#REF!=0,"-",'Residual-Rostered'!#REF!)</f>
        <v>#REF!</v>
      </c>
      <c r="AM24" s="25" t="e">
        <f>IF('Residual-Rostered'!#REF!=0,"-",'Residual-Rostered'!#REF!)</f>
        <v>#REF!</v>
      </c>
      <c r="AN24" s="25" t="e">
        <f>IF('Residual-Rostered'!#REF!=0,"-",'Residual-Rostered'!#REF!)</f>
        <v>#REF!</v>
      </c>
      <c r="AO24" s="25" t="e">
        <f>IF('Residual-Rostered'!#REF!=0,"-",'Residual-Rostered'!#REF!)</f>
        <v>#REF!</v>
      </c>
      <c r="AP24" s="25" t="e">
        <f>IF('Residual-Rostered'!#REF!=0,"-",'Residual-Rostered'!#REF!)</f>
        <v>#REF!</v>
      </c>
      <c r="AQ24" s="25" t="e">
        <f>IF('Residual-Rostered'!#REF!=0,"-",'Residual-Rostered'!#REF!)</f>
        <v>#REF!</v>
      </c>
      <c r="AR24" s="25" t="e">
        <f>IF('Residual-Rostered'!#REF!=0,"-",'Residual-Rostered'!#REF!)</f>
        <v>#REF!</v>
      </c>
      <c r="AS24" s="25" t="e">
        <f>IF('Residual-Rostered'!#REF!=0,"-",'Residual-Rostered'!#REF!)</f>
        <v>#REF!</v>
      </c>
    </row>
    <row r="25" spans="1:47" ht="17.25" customHeight="1" x14ac:dyDescent="0.25">
      <c r="A25" s="25" t="e">
        <f>'Residual-Rostered'!#REF!</f>
        <v>#REF!</v>
      </c>
      <c r="B25" s="25" t="e">
        <f>'Residual-Rostered'!#REF!</f>
        <v>#REF!</v>
      </c>
      <c r="C25" s="25" t="e">
        <f>'Residual-Rostered'!#REF!</f>
        <v>#REF!</v>
      </c>
      <c r="D25" s="25" t="e">
        <f>IF('Residual-Rostered'!#REF!=0,"-",'Residual-Rostered'!#REF!)</f>
        <v>#REF!</v>
      </c>
      <c r="E25" s="25" t="e">
        <f>IF('Residual-Rostered'!#REF!=0,"-",'Residual-Rostered'!#REF!)</f>
        <v>#REF!</v>
      </c>
      <c r="F25" s="25" t="e">
        <f>IF('Residual-Rostered'!#REF!=0,"-",'Residual-Rostered'!#REF!)</f>
        <v>#REF!</v>
      </c>
      <c r="G25" s="25" t="e">
        <f>IF('Residual-Rostered'!#REF!=0,"-",'Residual-Rostered'!#REF!)</f>
        <v>#REF!</v>
      </c>
      <c r="H25" s="25" t="e">
        <f>IF('Residual-Rostered'!#REF!=0,"-",'Residual-Rostered'!#REF!)</f>
        <v>#REF!</v>
      </c>
      <c r="I25" s="25" t="e">
        <f>IF('Residual-Rostered'!#REF!=0,"-",'Residual-Rostered'!#REF!)</f>
        <v>#REF!</v>
      </c>
      <c r="J25" s="25" t="e">
        <f>IF('Residual-Rostered'!#REF!=0,"-",'Residual-Rostered'!#REF!)</f>
        <v>#REF!</v>
      </c>
      <c r="K25" s="25" t="e">
        <f>IF('Residual-Rostered'!#REF!=0,"-",'Residual-Rostered'!#REF!)</f>
        <v>#REF!</v>
      </c>
      <c r="L25" s="25" t="e">
        <f>IF('Residual-Rostered'!#REF!=0,"-",'Residual-Rostered'!#REF!)</f>
        <v>#REF!</v>
      </c>
      <c r="M25" s="25" t="e">
        <f>IF('Residual-Rostered'!#REF!=0,"-",'Residual-Rostered'!#REF!)</f>
        <v>#REF!</v>
      </c>
      <c r="N25" s="25" t="e">
        <f>IF('Residual-Rostered'!#REF!=0,"-",'Residual-Rostered'!#REF!)</f>
        <v>#REF!</v>
      </c>
      <c r="O25" s="25" t="e">
        <f>IF('Residual-Rostered'!#REF!=0,"-",'Residual-Rostered'!#REF!)</f>
        <v>#REF!</v>
      </c>
      <c r="P25" s="25" t="e">
        <f>IF('Residual-Rostered'!#REF!=0,"-",'Residual-Rostered'!#REF!)</f>
        <v>#REF!</v>
      </c>
      <c r="Q25" s="25" t="e">
        <f>IF('Residual-Rostered'!#REF!=0,"-",'Residual-Rostered'!#REF!)</f>
        <v>#REF!</v>
      </c>
      <c r="R25" s="25" t="e">
        <f>IF('Residual-Rostered'!#REF!=0,"-",'Residual-Rostered'!#REF!)</f>
        <v>#REF!</v>
      </c>
      <c r="S25" s="25" t="e">
        <f>IF('Residual-Rostered'!#REF!=0,"-",'Residual-Rostered'!#REF!)</f>
        <v>#REF!</v>
      </c>
      <c r="T25" s="25" t="e">
        <f>IF('Residual-Rostered'!#REF!=0,"-",'Residual-Rostered'!#REF!)</f>
        <v>#REF!</v>
      </c>
      <c r="U25" s="25" t="e">
        <f>IF('Residual-Rostered'!#REF!=0,"-",'Residual-Rostered'!#REF!)</f>
        <v>#REF!</v>
      </c>
      <c r="V25" s="25" t="e">
        <f>IF('Residual-Rostered'!#REF!=0,"-",'Residual-Rostered'!#REF!)</f>
        <v>#REF!</v>
      </c>
      <c r="W25" s="25" t="e">
        <f>IF('Residual-Rostered'!#REF!=0,"-",'Residual-Rostered'!#REF!)</f>
        <v>#REF!</v>
      </c>
      <c r="X25" s="25" t="e">
        <f>IF('Residual-Rostered'!#REF!=0,"-",'Residual-Rostered'!#REF!)</f>
        <v>#REF!</v>
      </c>
      <c r="Y25" s="25" t="e">
        <f>IF('Residual-Rostered'!#REF!=0,"-",'Residual-Rostered'!#REF!)</f>
        <v>#REF!</v>
      </c>
      <c r="Z25" s="25" t="e">
        <f>IF('Residual-Rostered'!#REF!=0,"-",'Residual-Rostered'!#REF!)</f>
        <v>#REF!</v>
      </c>
      <c r="AA25" s="25" t="e">
        <f>IF('Residual-Rostered'!#REF!=0,"-",'Residual-Rostered'!#REF!)</f>
        <v>#REF!</v>
      </c>
      <c r="AB25" s="25" t="e">
        <f>IF('Residual-Rostered'!#REF!=0,"-",'Residual-Rostered'!#REF!)</f>
        <v>#REF!</v>
      </c>
      <c r="AC25" s="25" t="e">
        <f>IF('Residual-Rostered'!#REF!=0,"-",'Residual-Rostered'!#REF!)</f>
        <v>#REF!</v>
      </c>
      <c r="AD25" s="25" t="e">
        <f>IF('Residual-Rostered'!#REF!=0,"-",'Residual-Rostered'!#REF!)</f>
        <v>#REF!</v>
      </c>
      <c r="AE25" s="25" t="e">
        <f>IF('Residual-Rostered'!#REF!=0,"-",'Residual-Rostered'!#REF!)</f>
        <v>#REF!</v>
      </c>
      <c r="AF25" s="25" t="e">
        <f>IF('Residual-Rostered'!#REF!=0,"-",'Residual-Rostered'!#REF!)</f>
        <v>#REF!</v>
      </c>
      <c r="AG25" s="25" t="e">
        <f>IF('Residual-Rostered'!#REF!=0,"-",'Residual-Rostered'!#REF!)</f>
        <v>#REF!</v>
      </c>
      <c r="AH25" s="25" t="e">
        <f>IF('Residual-Rostered'!#REF!=0,"-",'Residual-Rostered'!#REF!)</f>
        <v>#REF!</v>
      </c>
      <c r="AI25" s="25" t="e">
        <f>IF('Residual-Rostered'!#REF!=0,"-",'Residual-Rostered'!#REF!)</f>
        <v>#REF!</v>
      </c>
      <c r="AJ25" s="25" t="e">
        <f>IF('Residual-Rostered'!#REF!=0,"-",'Residual-Rostered'!#REF!)</f>
        <v>#REF!</v>
      </c>
      <c r="AK25" s="25" t="e">
        <f>IF('Residual-Rostered'!#REF!=0,"-",'Residual-Rostered'!#REF!)</f>
        <v>#REF!</v>
      </c>
      <c r="AL25" s="25" t="e">
        <f>IF('Residual-Rostered'!#REF!=0,"-",'Residual-Rostered'!#REF!)</f>
        <v>#REF!</v>
      </c>
      <c r="AM25" s="25" t="e">
        <f>IF('Residual-Rostered'!#REF!=0,"-",'Residual-Rostered'!#REF!)</f>
        <v>#REF!</v>
      </c>
      <c r="AN25" s="25" t="e">
        <f>IF('Residual-Rostered'!#REF!=0,"-",'Residual-Rostered'!#REF!)</f>
        <v>#REF!</v>
      </c>
      <c r="AO25" s="25" t="e">
        <f>IF('Residual-Rostered'!#REF!=0,"-",'Residual-Rostered'!#REF!)</f>
        <v>#REF!</v>
      </c>
      <c r="AP25" s="25" t="e">
        <f>IF('Residual-Rostered'!#REF!=0,"-",'Residual-Rostered'!#REF!)</f>
        <v>#REF!</v>
      </c>
      <c r="AQ25" s="25" t="e">
        <f>IF('Residual-Rostered'!#REF!=0,"-",'Residual-Rostered'!#REF!)</f>
        <v>#REF!</v>
      </c>
      <c r="AR25" s="25" t="e">
        <f>IF('Residual-Rostered'!#REF!=0,"-",'Residual-Rostered'!#REF!)</f>
        <v>#REF!</v>
      </c>
      <c r="AS25" s="25" t="e">
        <f>IF('Residual-Rostered'!#REF!=0,"-",'Residual-Rostered'!#REF!)</f>
        <v>#REF!</v>
      </c>
      <c r="AU25" s="26"/>
    </row>
    <row r="26" spans="1:47" x14ac:dyDescent="0.25">
      <c r="A26" s="25" t="e">
        <f>'Residual-Rostered'!#REF!</f>
        <v>#REF!</v>
      </c>
      <c r="B26" s="25" t="e">
        <f>'Residual-Rostered'!#REF!</f>
        <v>#REF!</v>
      </c>
      <c r="C26" s="25" t="e">
        <f>'Residual-Rostered'!#REF!</f>
        <v>#REF!</v>
      </c>
      <c r="D26" s="25" t="e">
        <f>IF('Residual-Rostered'!#REF!=0,"-",'Residual-Rostered'!#REF!)</f>
        <v>#REF!</v>
      </c>
      <c r="E26" s="25" t="e">
        <f>IF('Residual-Rostered'!#REF!=0,"-",'Residual-Rostered'!#REF!)</f>
        <v>#REF!</v>
      </c>
      <c r="F26" s="25" t="e">
        <f>IF('Residual-Rostered'!#REF!=0,"-",'Residual-Rostered'!#REF!)</f>
        <v>#REF!</v>
      </c>
      <c r="G26" s="25" t="e">
        <f>IF('Residual-Rostered'!#REF!=0,"-",'Residual-Rostered'!#REF!)</f>
        <v>#REF!</v>
      </c>
      <c r="H26" s="25" t="e">
        <f>IF('Residual-Rostered'!#REF!=0,"-",'Residual-Rostered'!#REF!)</f>
        <v>#REF!</v>
      </c>
      <c r="I26" s="25" t="e">
        <f>IF('Residual-Rostered'!#REF!=0,"-",'Residual-Rostered'!#REF!)</f>
        <v>#REF!</v>
      </c>
      <c r="J26" s="25" t="e">
        <f>IF('Residual-Rostered'!#REF!=0,"-",'Residual-Rostered'!#REF!)</f>
        <v>#REF!</v>
      </c>
      <c r="K26" s="25" t="e">
        <f>IF('Residual-Rostered'!#REF!=0,"-",'Residual-Rostered'!#REF!)</f>
        <v>#REF!</v>
      </c>
      <c r="L26" s="25" t="e">
        <f>IF('Residual-Rostered'!#REF!=0,"-",'Residual-Rostered'!#REF!)</f>
        <v>#REF!</v>
      </c>
      <c r="M26" s="25" t="e">
        <f>IF('Residual-Rostered'!#REF!=0,"-",'Residual-Rostered'!#REF!)</f>
        <v>#REF!</v>
      </c>
      <c r="N26" s="25" t="e">
        <f>IF('Residual-Rostered'!#REF!=0,"-",'Residual-Rostered'!#REF!)</f>
        <v>#REF!</v>
      </c>
      <c r="O26" s="25" t="e">
        <f>IF('Residual-Rostered'!#REF!=0,"-",'Residual-Rostered'!#REF!)</f>
        <v>#REF!</v>
      </c>
      <c r="P26" s="25" t="e">
        <f>IF('Residual-Rostered'!#REF!=0,"-",'Residual-Rostered'!#REF!)</f>
        <v>#REF!</v>
      </c>
      <c r="Q26" s="25" t="e">
        <f>IF('Residual-Rostered'!#REF!=0,"-",'Residual-Rostered'!#REF!)</f>
        <v>#REF!</v>
      </c>
      <c r="R26" s="25" t="e">
        <f>IF('Residual-Rostered'!#REF!=0,"-",'Residual-Rostered'!#REF!)</f>
        <v>#REF!</v>
      </c>
      <c r="S26" s="25" t="e">
        <f>IF('Residual-Rostered'!#REF!=0,"-",'Residual-Rostered'!#REF!)</f>
        <v>#REF!</v>
      </c>
      <c r="T26" s="25" t="e">
        <f>IF('Residual-Rostered'!#REF!=0,"-",'Residual-Rostered'!#REF!)</f>
        <v>#REF!</v>
      </c>
      <c r="U26" s="25" t="e">
        <f>IF('Residual-Rostered'!#REF!=0,"-",'Residual-Rostered'!#REF!)</f>
        <v>#REF!</v>
      </c>
      <c r="V26" s="25" t="e">
        <f>IF('Residual-Rostered'!#REF!=0,"-",'Residual-Rostered'!#REF!)</f>
        <v>#REF!</v>
      </c>
      <c r="W26" s="25" t="e">
        <f>IF('Residual-Rostered'!#REF!=0,"-",'Residual-Rostered'!#REF!)</f>
        <v>#REF!</v>
      </c>
      <c r="X26" s="25" t="e">
        <f>IF('Residual-Rostered'!#REF!=0,"-",'Residual-Rostered'!#REF!)</f>
        <v>#REF!</v>
      </c>
      <c r="Y26" s="25" t="e">
        <f>IF('Residual-Rostered'!#REF!=0,"-",'Residual-Rostered'!#REF!)</f>
        <v>#REF!</v>
      </c>
      <c r="Z26" s="25" t="e">
        <f>IF('Residual-Rostered'!#REF!=0,"-",'Residual-Rostered'!#REF!)</f>
        <v>#REF!</v>
      </c>
      <c r="AA26" s="25" t="e">
        <f>IF('Residual-Rostered'!#REF!=0,"-",'Residual-Rostered'!#REF!)</f>
        <v>#REF!</v>
      </c>
      <c r="AB26" s="25" t="e">
        <f>IF('Residual-Rostered'!#REF!=0,"-",'Residual-Rostered'!#REF!)</f>
        <v>#REF!</v>
      </c>
      <c r="AC26" s="25" t="e">
        <f>IF('Residual-Rostered'!#REF!=0,"-",'Residual-Rostered'!#REF!)</f>
        <v>#REF!</v>
      </c>
      <c r="AD26" s="25" t="e">
        <f>IF('Residual-Rostered'!#REF!=0,"-",'Residual-Rostered'!#REF!)</f>
        <v>#REF!</v>
      </c>
      <c r="AE26" s="25" t="e">
        <f>IF('Residual-Rostered'!#REF!=0,"-",'Residual-Rostered'!#REF!)</f>
        <v>#REF!</v>
      </c>
      <c r="AF26" s="25" t="e">
        <f>IF('Residual-Rostered'!#REF!=0,"-",'Residual-Rostered'!#REF!)</f>
        <v>#REF!</v>
      </c>
      <c r="AG26" s="25" t="e">
        <f>IF('Residual-Rostered'!#REF!=0,"-",'Residual-Rostered'!#REF!)</f>
        <v>#REF!</v>
      </c>
      <c r="AH26" s="25" t="e">
        <f>IF('Residual-Rostered'!#REF!=0,"-",'Residual-Rostered'!#REF!)</f>
        <v>#REF!</v>
      </c>
      <c r="AI26" s="25" t="e">
        <f>IF('Residual-Rostered'!#REF!=0,"-",'Residual-Rostered'!#REF!)</f>
        <v>#REF!</v>
      </c>
      <c r="AJ26" s="25" t="e">
        <f>IF('Residual-Rostered'!#REF!=0,"-",'Residual-Rostered'!#REF!)</f>
        <v>#REF!</v>
      </c>
      <c r="AK26" s="25" t="e">
        <f>IF('Residual-Rostered'!#REF!=0,"-",'Residual-Rostered'!#REF!)</f>
        <v>#REF!</v>
      </c>
      <c r="AL26" s="25" t="e">
        <f>IF('Residual-Rostered'!#REF!=0,"-",'Residual-Rostered'!#REF!)</f>
        <v>#REF!</v>
      </c>
      <c r="AM26" s="25" t="e">
        <f>IF('Residual-Rostered'!#REF!=0,"-",'Residual-Rostered'!#REF!)</f>
        <v>#REF!</v>
      </c>
      <c r="AN26" s="25" t="e">
        <f>IF('Residual-Rostered'!#REF!=0,"-",'Residual-Rostered'!#REF!)</f>
        <v>#REF!</v>
      </c>
      <c r="AO26" s="25" t="e">
        <f>IF('Residual-Rostered'!#REF!=0,"-",'Residual-Rostered'!#REF!)</f>
        <v>#REF!</v>
      </c>
      <c r="AP26" s="25" t="e">
        <f>IF('Residual-Rostered'!#REF!=0,"-",'Residual-Rostered'!#REF!)</f>
        <v>#REF!</v>
      </c>
      <c r="AQ26" s="25" t="e">
        <f>IF('Residual-Rostered'!#REF!=0,"-",'Residual-Rostered'!#REF!)</f>
        <v>#REF!</v>
      </c>
      <c r="AR26" s="25" t="e">
        <f>IF('Residual-Rostered'!#REF!=0,"-",'Residual-Rostered'!#REF!)</f>
        <v>#REF!</v>
      </c>
      <c r="AS26" s="25" t="e">
        <f>IF('Residual-Rostered'!#REF!=0,"-",'Residual-Rostered'!#REF!)</f>
        <v>#REF!</v>
      </c>
    </row>
    <row r="27" spans="1:47" x14ac:dyDescent="0.25">
      <c r="A27" s="25" t="e">
        <f>'Residual-Rostered'!#REF!</f>
        <v>#REF!</v>
      </c>
      <c r="B27" s="25" t="e">
        <f>'Residual-Rostered'!#REF!</f>
        <v>#REF!</v>
      </c>
      <c r="C27" s="25" t="e">
        <f>'Residual-Rostered'!#REF!</f>
        <v>#REF!</v>
      </c>
      <c r="D27" s="25" t="e">
        <f>IF('Residual-Rostered'!#REF!=0,"-",'Residual-Rostered'!#REF!)</f>
        <v>#REF!</v>
      </c>
      <c r="E27" s="25" t="e">
        <f>IF('Residual-Rostered'!#REF!=0,"-",'Residual-Rostered'!#REF!)</f>
        <v>#REF!</v>
      </c>
      <c r="F27" s="25" t="e">
        <f>IF('Residual-Rostered'!#REF!=0,"-",'Residual-Rostered'!#REF!)</f>
        <v>#REF!</v>
      </c>
      <c r="G27" s="25" t="e">
        <f>IF('Residual-Rostered'!#REF!=0,"-",'Residual-Rostered'!#REF!)</f>
        <v>#REF!</v>
      </c>
      <c r="H27" s="25" t="e">
        <f>IF('Residual-Rostered'!#REF!=0,"-",'Residual-Rostered'!#REF!)</f>
        <v>#REF!</v>
      </c>
      <c r="I27" s="25" t="e">
        <f>IF('Residual-Rostered'!#REF!=0,"-",'Residual-Rostered'!#REF!)</f>
        <v>#REF!</v>
      </c>
      <c r="J27" s="25" t="e">
        <f>IF('Residual-Rostered'!#REF!=0,"-",'Residual-Rostered'!#REF!)</f>
        <v>#REF!</v>
      </c>
      <c r="K27" s="25" t="e">
        <f>IF('Residual-Rostered'!#REF!=0,"-",'Residual-Rostered'!#REF!)</f>
        <v>#REF!</v>
      </c>
      <c r="L27" s="25" t="e">
        <f>IF('Residual-Rostered'!#REF!=0,"-",'Residual-Rostered'!#REF!)</f>
        <v>#REF!</v>
      </c>
      <c r="M27" s="25" t="e">
        <f>IF('Residual-Rostered'!#REF!=0,"-",'Residual-Rostered'!#REF!)</f>
        <v>#REF!</v>
      </c>
      <c r="N27" s="25" t="e">
        <f>IF('Residual-Rostered'!#REF!=0,"-",'Residual-Rostered'!#REF!)</f>
        <v>#REF!</v>
      </c>
      <c r="O27" s="25" t="e">
        <f>IF('Residual-Rostered'!#REF!=0,"-",'Residual-Rostered'!#REF!)</f>
        <v>#REF!</v>
      </c>
      <c r="P27" s="25" t="e">
        <f>IF('Residual-Rostered'!#REF!=0,"-",'Residual-Rostered'!#REF!)</f>
        <v>#REF!</v>
      </c>
      <c r="Q27" s="25" t="e">
        <f>IF('Residual-Rostered'!#REF!=0,"-",'Residual-Rostered'!#REF!)</f>
        <v>#REF!</v>
      </c>
      <c r="R27" s="25" t="e">
        <f>IF('Residual-Rostered'!#REF!=0,"-",'Residual-Rostered'!#REF!)</f>
        <v>#REF!</v>
      </c>
      <c r="S27" s="25" t="e">
        <f>IF('Residual-Rostered'!#REF!=0,"-",'Residual-Rostered'!#REF!)</f>
        <v>#REF!</v>
      </c>
      <c r="T27" s="25" t="e">
        <f>IF('Residual-Rostered'!#REF!=0,"-",'Residual-Rostered'!#REF!)</f>
        <v>#REF!</v>
      </c>
      <c r="U27" s="25" t="e">
        <f>IF('Residual-Rostered'!#REF!=0,"-",'Residual-Rostered'!#REF!)</f>
        <v>#REF!</v>
      </c>
      <c r="V27" s="25" t="e">
        <f>IF('Residual-Rostered'!#REF!=0,"-",'Residual-Rostered'!#REF!)</f>
        <v>#REF!</v>
      </c>
      <c r="W27" s="25" t="e">
        <f>IF('Residual-Rostered'!#REF!=0,"-",'Residual-Rostered'!#REF!)</f>
        <v>#REF!</v>
      </c>
      <c r="X27" s="25" t="e">
        <f>IF('Residual-Rostered'!#REF!=0,"-",'Residual-Rostered'!#REF!)</f>
        <v>#REF!</v>
      </c>
      <c r="Y27" s="25" t="e">
        <f>IF('Residual-Rostered'!#REF!=0,"-",'Residual-Rostered'!#REF!)</f>
        <v>#REF!</v>
      </c>
      <c r="Z27" s="25" t="e">
        <f>IF('Residual-Rostered'!#REF!=0,"-",'Residual-Rostered'!#REF!)</f>
        <v>#REF!</v>
      </c>
      <c r="AA27" s="25" t="e">
        <f>IF('Residual-Rostered'!#REF!=0,"-",'Residual-Rostered'!#REF!)</f>
        <v>#REF!</v>
      </c>
      <c r="AB27" s="25" t="e">
        <f>IF('Residual-Rostered'!#REF!=0,"-",'Residual-Rostered'!#REF!)</f>
        <v>#REF!</v>
      </c>
      <c r="AC27" s="25" t="e">
        <f>IF('Residual-Rostered'!#REF!=0,"-",'Residual-Rostered'!#REF!)</f>
        <v>#REF!</v>
      </c>
      <c r="AD27" s="25" t="e">
        <f>IF('Residual-Rostered'!#REF!=0,"-",'Residual-Rostered'!#REF!)</f>
        <v>#REF!</v>
      </c>
      <c r="AE27" s="25" t="e">
        <f>IF('Residual-Rostered'!#REF!=0,"-",'Residual-Rostered'!#REF!)</f>
        <v>#REF!</v>
      </c>
      <c r="AF27" s="25" t="e">
        <f>IF('Residual-Rostered'!#REF!=0,"-",'Residual-Rostered'!#REF!)</f>
        <v>#REF!</v>
      </c>
      <c r="AG27" s="25" t="e">
        <f>IF('Residual-Rostered'!#REF!=0,"-",'Residual-Rostered'!#REF!)</f>
        <v>#REF!</v>
      </c>
      <c r="AH27" s="25" t="e">
        <f>IF('Residual-Rostered'!#REF!=0,"-",'Residual-Rostered'!#REF!)</f>
        <v>#REF!</v>
      </c>
      <c r="AI27" s="25" t="e">
        <f>IF('Residual-Rostered'!#REF!=0,"-",'Residual-Rostered'!#REF!)</f>
        <v>#REF!</v>
      </c>
      <c r="AJ27" s="25" t="e">
        <f>IF('Residual-Rostered'!#REF!=0,"-",'Residual-Rostered'!#REF!)</f>
        <v>#REF!</v>
      </c>
      <c r="AK27" s="25" t="e">
        <f>IF('Residual-Rostered'!#REF!=0,"-",'Residual-Rostered'!#REF!)</f>
        <v>#REF!</v>
      </c>
      <c r="AL27" s="25" t="e">
        <f>IF('Residual-Rostered'!#REF!=0,"-",'Residual-Rostered'!#REF!)</f>
        <v>#REF!</v>
      </c>
      <c r="AM27" s="25" t="e">
        <f>IF('Residual-Rostered'!#REF!=0,"-",'Residual-Rostered'!#REF!)</f>
        <v>#REF!</v>
      </c>
      <c r="AN27" s="25" t="e">
        <f>IF('Residual-Rostered'!#REF!=0,"-",'Residual-Rostered'!#REF!)</f>
        <v>#REF!</v>
      </c>
      <c r="AO27" s="25" t="e">
        <f>IF('Residual-Rostered'!#REF!=0,"-",'Residual-Rostered'!#REF!)</f>
        <v>#REF!</v>
      </c>
      <c r="AP27" s="25" t="e">
        <f>IF('Residual-Rostered'!#REF!=0,"-",'Residual-Rostered'!#REF!)</f>
        <v>#REF!</v>
      </c>
      <c r="AQ27" s="25" t="e">
        <f>IF('Residual-Rostered'!#REF!=0,"-",'Residual-Rostered'!#REF!)</f>
        <v>#REF!</v>
      </c>
      <c r="AR27" s="25" t="e">
        <f>IF('Residual-Rostered'!#REF!=0,"-",'Residual-Rostered'!#REF!)</f>
        <v>#REF!</v>
      </c>
      <c r="AS27" s="25" t="e">
        <f>IF('Residual-Rostered'!#REF!=0,"-",'Residual-Rostered'!#REF!)</f>
        <v>#REF!</v>
      </c>
    </row>
    <row r="28" spans="1:47" x14ac:dyDescent="0.25">
      <c r="A28" s="25" t="e">
        <f>'Residual-Rostered'!#REF!</f>
        <v>#REF!</v>
      </c>
      <c r="B28" s="25" t="e">
        <f>'Residual-Rostered'!#REF!</f>
        <v>#REF!</v>
      </c>
      <c r="C28" s="25" t="e">
        <f>'Residual-Rostered'!#REF!</f>
        <v>#REF!</v>
      </c>
      <c r="D28" s="25" t="e">
        <f>IF('Residual-Rostered'!#REF!=0,"-",'Residual-Rostered'!#REF!)</f>
        <v>#REF!</v>
      </c>
      <c r="E28" s="25" t="e">
        <f>IF('Residual-Rostered'!#REF!=0,"-",'Residual-Rostered'!#REF!)</f>
        <v>#REF!</v>
      </c>
      <c r="F28" s="25" t="e">
        <f>IF('Residual-Rostered'!#REF!=0,"-",'Residual-Rostered'!#REF!)</f>
        <v>#REF!</v>
      </c>
      <c r="G28" s="25" t="e">
        <f>IF('Residual-Rostered'!#REF!=0,"-",'Residual-Rostered'!#REF!)</f>
        <v>#REF!</v>
      </c>
      <c r="H28" s="25" t="e">
        <f>IF('Residual-Rostered'!#REF!=0,"-",'Residual-Rostered'!#REF!)</f>
        <v>#REF!</v>
      </c>
      <c r="I28" s="25" t="e">
        <f>IF('Residual-Rostered'!#REF!=0,"-",'Residual-Rostered'!#REF!)</f>
        <v>#REF!</v>
      </c>
      <c r="J28" s="25" t="e">
        <f>IF('Residual-Rostered'!#REF!=0,"-",'Residual-Rostered'!#REF!)</f>
        <v>#REF!</v>
      </c>
      <c r="K28" s="25" t="e">
        <f>IF('Residual-Rostered'!#REF!=0,"-",'Residual-Rostered'!#REF!)</f>
        <v>#REF!</v>
      </c>
      <c r="L28" s="25" t="e">
        <f>IF('Residual-Rostered'!#REF!=0,"-",'Residual-Rostered'!#REF!)</f>
        <v>#REF!</v>
      </c>
      <c r="M28" s="25" t="e">
        <f>IF('Residual-Rostered'!#REF!=0,"-",'Residual-Rostered'!#REF!)</f>
        <v>#REF!</v>
      </c>
      <c r="N28" s="25" t="e">
        <f>IF('Residual-Rostered'!#REF!=0,"-",'Residual-Rostered'!#REF!)</f>
        <v>#REF!</v>
      </c>
      <c r="O28" s="25" t="e">
        <f>IF('Residual-Rostered'!#REF!=0,"-",'Residual-Rostered'!#REF!)</f>
        <v>#REF!</v>
      </c>
      <c r="P28" s="25" t="e">
        <f>IF('Residual-Rostered'!#REF!=0,"-",'Residual-Rostered'!#REF!)</f>
        <v>#REF!</v>
      </c>
      <c r="Q28" s="25" t="e">
        <f>IF('Residual-Rostered'!#REF!=0,"-",'Residual-Rostered'!#REF!)</f>
        <v>#REF!</v>
      </c>
      <c r="R28" s="25" t="e">
        <f>IF('Residual-Rostered'!#REF!=0,"-",'Residual-Rostered'!#REF!)</f>
        <v>#REF!</v>
      </c>
      <c r="S28" s="25" t="e">
        <f>IF('Residual-Rostered'!#REF!=0,"-",'Residual-Rostered'!#REF!)</f>
        <v>#REF!</v>
      </c>
      <c r="T28" s="25" t="e">
        <f>IF('Residual-Rostered'!#REF!=0,"-",'Residual-Rostered'!#REF!)</f>
        <v>#REF!</v>
      </c>
      <c r="U28" s="25" t="e">
        <f>IF('Residual-Rostered'!#REF!=0,"-",'Residual-Rostered'!#REF!)</f>
        <v>#REF!</v>
      </c>
      <c r="V28" s="25" t="e">
        <f>IF('Residual-Rostered'!#REF!=0,"-",'Residual-Rostered'!#REF!)</f>
        <v>#REF!</v>
      </c>
      <c r="W28" s="25" t="e">
        <f>IF('Residual-Rostered'!#REF!=0,"-",'Residual-Rostered'!#REF!)</f>
        <v>#REF!</v>
      </c>
      <c r="X28" s="25" t="e">
        <f>IF('Residual-Rostered'!#REF!=0,"-",'Residual-Rostered'!#REF!)</f>
        <v>#REF!</v>
      </c>
      <c r="Y28" s="25" t="e">
        <f>IF('Residual-Rostered'!#REF!=0,"-",'Residual-Rostered'!#REF!)</f>
        <v>#REF!</v>
      </c>
      <c r="Z28" s="25" t="e">
        <f>IF('Residual-Rostered'!#REF!=0,"-",'Residual-Rostered'!#REF!)</f>
        <v>#REF!</v>
      </c>
      <c r="AA28" s="25" t="e">
        <f>IF('Residual-Rostered'!#REF!=0,"-",'Residual-Rostered'!#REF!)</f>
        <v>#REF!</v>
      </c>
      <c r="AB28" s="25" t="e">
        <f>IF('Residual-Rostered'!#REF!=0,"-",'Residual-Rostered'!#REF!)</f>
        <v>#REF!</v>
      </c>
      <c r="AC28" s="25" t="e">
        <f>IF('Residual-Rostered'!#REF!=0,"-",'Residual-Rostered'!#REF!)</f>
        <v>#REF!</v>
      </c>
      <c r="AD28" s="25" t="e">
        <f>IF('Residual-Rostered'!#REF!=0,"-",'Residual-Rostered'!#REF!)</f>
        <v>#REF!</v>
      </c>
      <c r="AE28" s="25" t="e">
        <f>IF('Residual-Rostered'!#REF!=0,"-",'Residual-Rostered'!#REF!)</f>
        <v>#REF!</v>
      </c>
      <c r="AF28" s="25" t="e">
        <f>IF('Residual-Rostered'!#REF!=0,"-",'Residual-Rostered'!#REF!)</f>
        <v>#REF!</v>
      </c>
      <c r="AG28" s="25" t="e">
        <f>IF('Residual-Rostered'!#REF!=0,"-",'Residual-Rostered'!#REF!)</f>
        <v>#REF!</v>
      </c>
      <c r="AH28" s="25" t="e">
        <f>IF('Residual-Rostered'!#REF!=0,"-",'Residual-Rostered'!#REF!)</f>
        <v>#REF!</v>
      </c>
      <c r="AI28" s="25" t="e">
        <f>IF('Residual-Rostered'!#REF!=0,"-",'Residual-Rostered'!#REF!)</f>
        <v>#REF!</v>
      </c>
      <c r="AJ28" s="25" t="e">
        <f>IF('Residual-Rostered'!#REF!=0,"-",'Residual-Rostered'!#REF!)</f>
        <v>#REF!</v>
      </c>
      <c r="AK28" s="25" t="e">
        <f>IF('Residual-Rostered'!#REF!=0,"-",'Residual-Rostered'!#REF!)</f>
        <v>#REF!</v>
      </c>
      <c r="AL28" s="25" t="e">
        <f>IF('Residual-Rostered'!#REF!=0,"-",'Residual-Rostered'!#REF!)</f>
        <v>#REF!</v>
      </c>
      <c r="AM28" s="25" t="e">
        <f>IF('Residual-Rostered'!#REF!=0,"-",'Residual-Rostered'!#REF!)</f>
        <v>#REF!</v>
      </c>
      <c r="AN28" s="25" t="e">
        <f>IF('Residual-Rostered'!#REF!=0,"-",'Residual-Rostered'!#REF!)</f>
        <v>#REF!</v>
      </c>
      <c r="AO28" s="25" t="e">
        <f>IF('Residual-Rostered'!#REF!=0,"-",'Residual-Rostered'!#REF!)</f>
        <v>#REF!</v>
      </c>
      <c r="AP28" s="25" t="e">
        <f>IF('Residual-Rostered'!#REF!=0,"-",'Residual-Rostered'!#REF!)</f>
        <v>#REF!</v>
      </c>
      <c r="AQ28" s="25" t="e">
        <f>IF('Residual-Rostered'!#REF!=0,"-",'Residual-Rostered'!#REF!)</f>
        <v>#REF!</v>
      </c>
      <c r="AR28" s="25" t="e">
        <f>IF('Residual-Rostered'!#REF!=0,"-",'Residual-Rostered'!#REF!)</f>
        <v>#REF!</v>
      </c>
      <c r="AS28" s="25" t="e">
        <f>IF('Residual-Rostered'!#REF!=0,"-",'Residual-Rostered'!#REF!)</f>
        <v>#REF!</v>
      </c>
    </row>
    <row r="29" spans="1:47" hidden="1" x14ac:dyDescent="0.25">
      <c r="A29" s="25" t="e">
        <f>'Residual-Rostered'!#REF!</f>
        <v>#REF!</v>
      </c>
      <c r="B29" s="25" t="e">
        <f>'Residual-Rostered'!#REF!</f>
        <v>#REF!</v>
      </c>
      <c r="C29" s="25" t="e">
        <f>'Residual-Rostered'!#REF!</f>
        <v>#REF!</v>
      </c>
      <c r="D29" s="25" t="e">
        <f>IF('Residual-Rostered'!#REF!=0,"-",'Residual-Rostered'!#REF!)</f>
        <v>#REF!</v>
      </c>
      <c r="E29" s="25" t="e">
        <f>IF('Residual-Rostered'!#REF!=0,"-",'Residual-Rostered'!#REF!)</f>
        <v>#REF!</v>
      </c>
      <c r="F29" s="25" t="e">
        <f>IF('Residual-Rostered'!#REF!=0,"-",'Residual-Rostered'!#REF!)</f>
        <v>#REF!</v>
      </c>
      <c r="G29" s="25" t="e">
        <f>IF('Residual-Rostered'!#REF!=0,"-",'Residual-Rostered'!#REF!)</f>
        <v>#REF!</v>
      </c>
      <c r="H29" s="25" t="e">
        <f>IF('Residual-Rostered'!#REF!=0,"-",'Residual-Rostered'!#REF!)</f>
        <v>#REF!</v>
      </c>
      <c r="I29" s="25" t="e">
        <f>IF('Residual-Rostered'!#REF!=0,"-",'Residual-Rostered'!#REF!)</f>
        <v>#REF!</v>
      </c>
      <c r="J29" s="25" t="e">
        <f>IF('Residual-Rostered'!#REF!=0,"-",'Residual-Rostered'!#REF!)</f>
        <v>#REF!</v>
      </c>
      <c r="K29" s="25" t="e">
        <f>IF('Residual-Rostered'!#REF!=0,"-",'Residual-Rostered'!#REF!)</f>
        <v>#REF!</v>
      </c>
      <c r="L29" s="25" t="e">
        <f>IF('Residual-Rostered'!#REF!=0,"-",'Residual-Rostered'!#REF!)</f>
        <v>#REF!</v>
      </c>
      <c r="M29" s="25" t="e">
        <f>IF('Residual-Rostered'!#REF!=0,"-",'Residual-Rostered'!#REF!)</f>
        <v>#REF!</v>
      </c>
      <c r="N29" s="25" t="e">
        <f>IF('Residual-Rostered'!#REF!=0,"-",'Residual-Rostered'!#REF!)</f>
        <v>#REF!</v>
      </c>
      <c r="O29" s="25" t="e">
        <f>IF('Residual-Rostered'!#REF!=0,"-",'Residual-Rostered'!#REF!)</f>
        <v>#REF!</v>
      </c>
      <c r="P29" s="25" t="e">
        <f>IF('Residual-Rostered'!#REF!=0,"-",'Residual-Rostered'!#REF!)</f>
        <v>#REF!</v>
      </c>
      <c r="Q29" s="25" t="e">
        <f>IF('Residual-Rostered'!#REF!=0,"-",'Residual-Rostered'!#REF!)</f>
        <v>#REF!</v>
      </c>
      <c r="R29" s="25" t="e">
        <f>IF('Residual-Rostered'!#REF!=0,"-",'Residual-Rostered'!#REF!)</f>
        <v>#REF!</v>
      </c>
      <c r="S29" s="25" t="e">
        <f>IF('Residual-Rostered'!#REF!=0,"-",'Residual-Rostered'!#REF!)</f>
        <v>#REF!</v>
      </c>
      <c r="T29" s="25" t="e">
        <f>IF('Residual-Rostered'!#REF!=0,"-",'Residual-Rostered'!#REF!)</f>
        <v>#REF!</v>
      </c>
      <c r="U29" s="25" t="e">
        <f>IF('Residual-Rostered'!#REF!=0,"-",'Residual-Rostered'!#REF!)</f>
        <v>#REF!</v>
      </c>
      <c r="V29" s="25" t="e">
        <f>IF('Residual-Rostered'!#REF!=0,"-",'Residual-Rostered'!#REF!)</f>
        <v>#REF!</v>
      </c>
      <c r="W29" s="25" t="e">
        <f>IF('Residual-Rostered'!#REF!=0,"-",'Residual-Rostered'!#REF!)</f>
        <v>#REF!</v>
      </c>
      <c r="X29" s="25" t="e">
        <f>IF('Residual-Rostered'!#REF!=0,"-",'Residual-Rostered'!#REF!)</f>
        <v>#REF!</v>
      </c>
      <c r="Y29" s="25" t="e">
        <f>IF('Residual-Rostered'!#REF!=0,"-",'Residual-Rostered'!#REF!)</f>
        <v>#REF!</v>
      </c>
      <c r="Z29" s="25" t="e">
        <f>IF('Residual-Rostered'!#REF!=0,"-",'Residual-Rostered'!#REF!)</f>
        <v>#REF!</v>
      </c>
      <c r="AA29" s="25" t="e">
        <f>IF('Residual-Rostered'!#REF!=0,"-",'Residual-Rostered'!#REF!)</f>
        <v>#REF!</v>
      </c>
      <c r="AB29" s="25" t="e">
        <f>IF('Residual-Rostered'!#REF!=0,"-",'Residual-Rostered'!#REF!)</f>
        <v>#REF!</v>
      </c>
      <c r="AC29" s="25" t="e">
        <f>IF('Residual-Rostered'!#REF!=0,"-",'Residual-Rostered'!#REF!)</f>
        <v>#REF!</v>
      </c>
      <c r="AD29" s="25" t="e">
        <f>IF('Residual-Rostered'!#REF!=0,"-",'Residual-Rostered'!#REF!)</f>
        <v>#REF!</v>
      </c>
      <c r="AE29" s="25" t="e">
        <f>IF('Residual-Rostered'!#REF!=0,"-",'Residual-Rostered'!#REF!)</f>
        <v>#REF!</v>
      </c>
      <c r="AF29" s="25" t="e">
        <f>IF('Residual-Rostered'!#REF!=0,"-",'Residual-Rostered'!#REF!)</f>
        <v>#REF!</v>
      </c>
      <c r="AG29" s="25" t="e">
        <f>IF('Residual-Rostered'!#REF!=0,"-",'Residual-Rostered'!#REF!)</f>
        <v>#REF!</v>
      </c>
      <c r="AH29" s="25" t="e">
        <f>IF('Residual-Rostered'!#REF!=0,"-",'Residual-Rostered'!#REF!)</f>
        <v>#REF!</v>
      </c>
      <c r="AI29" s="25" t="e">
        <f>IF('Residual-Rostered'!#REF!=0,"-",'Residual-Rostered'!#REF!)</f>
        <v>#REF!</v>
      </c>
      <c r="AJ29" s="25" t="e">
        <f>IF('Residual-Rostered'!#REF!=0,"-",'Residual-Rostered'!#REF!)</f>
        <v>#REF!</v>
      </c>
      <c r="AK29" s="25" t="e">
        <f>IF('Residual-Rostered'!#REF!=0,"-",'Residual-Rostered'!#REF!)</f>
        <v>#REF!</v>
      </c>
      <c r="AL29" s="25" t="e">
        <f>IF('Residual-Rostered'!#REF!=0,"-",'Residual-Rostered'!#REF!)</f>
        <v>#REF!</v>
      </c>
      <c r="AM29" s="25" t="e">
        <f>IF('Residual-Rostered'!#REF!=0,"-",'Residual-Rostered'!#REF!)</f>
        <v>#REF!</v>
      </c>
      <c r="AN29" s="25" t="e">
        <f>IF('Residual-Rostered'!#REF!=0,"-",'Residual-Rostered'!#REF!)</f>
        <v>#REF!</v>
      </c>
      <c r="AO29" s="25" t="e">
        <f>IF('Residual-Rostered'!#REF!=0,"-",'Residual-Rostered'!#REF!)</f>
        <v>#REF!</v>
      </c>
      <c r="AP29" s="25" t="e">
        <f>IF('Residual-Rostered'!#REF!=0,"-",'Residual-Rostered'!#REF!)</f>
        <v>#REF!</v>
      </c>
      <c r="AQ29" s="25" t="e">
        <f>IF('Residual-Rostered'!#REF!=0,"-",'Residual-Rostered'!#REF!)</f>
        <v>#REF!</v>
      </c>
      <c r="AR29" s="25" t="e">
        <f>IF('Residual-Rostered'!#REF!=0,"-",'Residual-Rostered'!#REF!)</f>
        <v>#REF!</v>
      </c>
      <c r="AS29" s="25" t="e">
        <f>IF('Residual-Rostered'!#REF!=0,"-",'Residual-Rostered'!#REF!)</f>
        <v>#REF!</v>
      </c>
    </row>
    <row r="30" spans="1:47" x14ac:dyDescent="0.25">
      <c r="A30" s="25" t="e">
        <f>'Residual-Rostered'!#REF!</f>
        <v>#REF!</v>
      </c>
      <c r="B30" s="25" t="e">
        <f>'Residual-Rostered'!#REF!</f>
        <v>#REF!</v>
      </c>
      <c r="C30" s="25" t="e">
        <f>'Residual-Rostered'!#REF!</f>
        <v>#REF!</v>
      </c>
      <c r="D30" s="25" t="e">
        <f>IF('Residual-Rostered'!#REF!=0,"-",'Residual-Rostered'!#REF!)</f>
        <v>#REF!</v>
      </c>
      <c r="E30" s="25" t="e">
        <f>IF('Residual-Rostered'!#REF!=0,"-",'Residual-Rostered'!#REF!)</f>
        <v>#REF!</v>
      </c>
      <c r="F30" s="25" t="e">
        <f>IF('Residual-Rostered'!#REF!=0,"-",'Residual-Rostered'!#REF!)</f>
        <v>#REF!</v>
      </c>
      <c r="G30" s="25" t="e">
        <f>IF('Residual-Rostered'!#REF!=0,"-",'Residual-Rostered'!#REF!)</f>
        <v>#REF!</v>
      </c>
      <c r="H30" s="25" t="e">
        <f>IF('Residual-Rostered'!#REF!=0,"-",'Residual-Rostered'!#REF!)</f>
        <v>#REF!</v>
      </c>
      <c r="I30" s="25" t="e">
        <f>IF('Residual-Rostered'!#REF!=0,"-",'Residual-Rostered'!#REF!)</f>
        <v>#REF!</v>
      </c>
      <c r="J30" s="25" t="e">
        <f>IF('Residual-Rostered'!#REF!=0,"-",'Residual-Rostered'!#REF!)</f>
        <v>#REF!</v>
      </c>
      <c r="K30" s="25" t="e">
        <f>IF('Residual-Rostered'!#REF!=0,"-",'Residual-Rostered'!#REF!)</f>
        <v>#REF!</v>
      </c>
      <c r="L30" s="25" t="e">
        <f>IF('Residual-Rostered'!#REF!=0,"-",'Residual-Rostered'!#REF!)</f>
        <v>#REF!</v>
      </c>
      <c r="M30" s="25" t="e">
        <f>IF('Residual-Rostered'!#REF!=0,"-",'Residual-Rostered'!#REF!)</f>
        <v>#REF!</v>
      </c>
      <c r="N30" s="25" t="e">
        <f>IF('Residual-Rostered'!#REF!=0,"-",'Residual-Rostered'!#REF!)</f>
        <v>#REF!</v>
      </c>
      <c r="O30" s="25" t="e">
        <f>IF('Residual-Rostered'!#REF!=0,"-",'Residual-Rostered'!#REF!)</f>
        <v>#REF!</v>
      </c>
      <c r="P30" s="25" t="e">
        <f>IF('Residual-Rostered'!#REF!=0,"-",'Residual-Rostered'!#REF!)</f>
        <v>#REF!</v>
      </c>
      <c r="Q30" s="25" t="e">
        <f>IF('Residual-Rostered'!#REF!=0,"-",'Residual-Rostered'!#REF!)</f>
        <v>#REF!</v>
      </c>
      <c r="R30" s="25" t="e">
        <f>IF('Residual-Rostered'!#REF!=0,"-",'Residual-Rostered'!#REF!)</f>
        <v>#REF!</v>
      </c>
      <c r="S30" s="25" t="e">
        <f>IF('Residual-Rostered'!#REF!=0,"-",'Residual-Rostered'!#REF!)</f>
        <v>#REF!</v>
      </c>
      <c r="T30" s="25" t="e">
        <f>IF('Residual-Rostered'!#REF!=0,"-",'Residual-Rostered'!#REF!)</f>
        <v>#REF!</v>
      </c>
      <c r="U30" s="25" t="e">
        <f>IF('Residual-Rostered'!#REF!=0,"-",'Residual-Rostered'!#REF!)</f>
        <v>#REF!</v>
      </c>
      <c r="V30" s="25" t="e">
        <f>IF('Residual-Rostered'!#REF!=0,"-",'Residual-Rostered'!#REF!)</f>
        <v>#REF!</v>
      </c>
      <c r="W30" s="25" t="e">
        <f>IF('Residual-Rostered'!#REF!=0,"-",'Residual-Rostered'!#REF!)</f>
        <v>#REF!</v>
      </c>
      <c r="X30" s="25" t="e">
        <f>IF('Residual-Rostered'!#REF!=0,"-",'Residual-Rostered'!#REF!)</f>
        <v>#REF!</v>
      </c>
      <c r="Y30" s="25" t="e">
        <f>IF('Residual-Rostered'!#REF!=0,"-",'Residual-Rostered'!#REF!)</f>
        <v>#REF!</v>
      </c>
      <c r="Z30" s="25" t="e">
        <f>IF('Residual-Rostered'!#REF!=0,"-",'Residual-Rostered'!#REF!)</f>
        <v>#REF!</v>
      </c>
      <c r="AA30" s="25" t="e">
        <f>IF('Residual-Rostered'!#REF!=0,"-",'Residual-Rostered'!#REF!)</f>
        <v>#REF!</v>
      </c>
      <c r="AB30" s="25" t="e">
        <f>IF('Residual-Rostered'!#REF!=0,"-",'Residual-Rostered'!#REF!)</f>
        <v>#REF!</v>
      </c>
      <c r="AC30" s="25" t="e">
        <f>IF('Residual-Rostered'!#REF!=0,"-",'Residual-Rostered'!#REF!)</f>
        <v>#REF!</v>
      </c>
      <c r="AD30" s="25" t="e">
        <f>IF('Residual-Rostered'!#REF!=0,"-",'Residual-Rostered'!#REF!)</f>
        <v>#REF!</v>
      </c>
      <c r="AE30" s="25" t="e">
        <f>IF('Residual-Rostered'!#REF!=0,"-",'Residual-Rostered'!#REF!)</f>
        <v>#REF!</v>
      </c>
      <c r="AF30" s="25" t="e">
        <f>IF('Residual-Rostered'!#REF!=0,"-",'Residual-Rostered'!#REF!)</f>
        <v>#REF!</v>
      </c>
      <c r="AG30" s="25" t="e">
        <f>IF('Residual-Rostered'!#REF!=0,"-",'Residual-Rostered'!#REF!)</f>
        <v>#REF!</v>
      </c>
      <c r="AH30" s="25" t="e">
        <f>IF('Residual-Rostered'!#REF!=0,"-",'Residual-Rostered'!#REF!)</f>
        <v>#REF!</v>
      </c>
      <c r="AI30" s="25" t="e">
        <f>IF('Residual-Rostered'!#REF!=0,"-",'Residual-Rostered'!#REF!)</f>
        <v>#REF!</v>
      </c>
      <c r="AJ30" s="25" t="e">
        <f>IF('Residual-Rostered'!#REF!=0,"-",'Residual-Rostered'!#REF!)</f>
        <v>#REF!</v>
      </c>
      <c r="AK30" s="25" t="e">
        <f>IF('Residual-Rostered'!#REF!=0,"-",'Residual-Rostered'!#REF!)</f>
        <v>#REF!</v>
      </c>
      <c r="AL30" s="25" t="e">
        <f>IF('Residual-Rostered'!#REF!=0,"-",'Residual-Rostered'!#REF!)</f>
        <v>#REF!</v>
      </c>
      <c r="AM30" s="25" t="e">
        <f>IF('Residual-Rostered'!#REF!=0,"-",'Residual-Rostered'!#REF!)</f>
        <v>#REF!</v>
      </c>
      <c r="AN30" s="25" t="e">
        <f>IF('Residual-Rostered'!#REF!=0,"-",'Residual-Rostered'!#REF!)</f>
        <v>#REF!</v>
      </c>
      <c r="AO30" s="25" t="e">
        <f>IF('Residual-Rostered'!#REF!=0,"-",'Residual-Rostered'!#REF!)</f>
        <v>#REF!</v>
      </c>
      <c r="AP30" s="25" t="e">
        <f>IF('Residual-Rostered'!#REF!=0,"-",'Residual-Rostered'!#REF!)</f>
        <v>#REF!</v>
      </c>
      <c r="AQ30" s="25" t="e">
        <f>IF('Residual-Rostered'!#REF!=0,"-",'Residual-Rostered'!#REF!)</f>
        <v>#REF!</v>
      </c>
      <c r="AR30" s="25" t="e">
        <f>IF('Residual-Rostered'!#REF!=0,"-",'Residual-Rostered'!#REF!)</f>
        <v>#REF!</v>
      </c>
      <c r="AS30" s="25" t="e">
        <f>IF('Residual-Rostered'!#REF!=0,"-",'Residual-Rostered'!#REF!)</f>
        <v>#REF!</v>
      </c>
    </row>
    <row r="31" spans="1:47" hidden="1" x14ac:dyDescent="0.25">
      <c r="A31" s="25" t="e">
        <f>'Residual-Rostered'!#REF!</f>
        <v>#REF!</v>
      </c>
      <c r="B31" s="25" t="e">
        <f>'Residual-Rostered'!#REF!</f>
        <v>#REF!</v>
      </c>
      <c r="C31" s="25" t="e">
        <f>'Residual-Rostered'!#REF!</f>
        <v>#REF!</v>
      </c>
      <c r="D31" s="25" t="e">
        <f>IF('Residual-Rostered'!#REF!=0,"-",'Residual-Rostered'!#REF!)</f>
        <v>#REF!</v>
      </c>
      <c r="E31" s="25" t="e">
        <f>IF('Residual-Rostered'!#REF!=0,"-",'Residual-Rostered'!#REF!)</f>
        <v>#REF!</v>
      </c>
      <c r="F31" s="25" t="e">
        <f>IF('Residual-Rostered'!#REF!=0,"-",'Residual-Rostered'!#REF!)</f>
        <v>#REF!</v>
      </c>
      <c r="G31" s="25" t="e">
        <f>IF('Residual-Rostered'!#REF!=0,"-",'Residual-Rostered'!#REF!)</f>
        <v>#REF!</v>
      </c>
      <c r="H31" s="25" t="e">
        <f>IF('Residual-Rostered'!#REF!=0,"-",'Residual-Rostered'!#REF!)</f>
        <v>#REF!</v>
      </c>
      <c r="I31" s="25" t="e">
        <f>IF('Residual-Rostered'!#REF!=0,"-",'Residual-Rostered'!#REF!)</f>
        <v>#REF!</v>
      </c>
      <c r="J31" s="25" t="e">
        <f>IF('Residual-Rostered'!#REF!=0,"-",'Residual-Rostered'!#REF!)</f>
        <v>#REF!</v>
      </c>
      <c r="K31" s="25" t="e">
        <f>IF('Residual-Rostered'!#REF!=0,"-",'Residual-Rostered'!#REF!)</f>
        <v>#REF!</v>
      </c>
      <c r="L31" s="25" t="e">
        <f>IF('Residual-Rostered'!#REF!=0,"-",'Residual-Rostered'!#REF!)</f>
        <v>#REF!</v>
      </c>
      <c r="M31" s="25" t="e">
        <f>IF('Residual-Rostered'!#REF!=0,"-",'Residual-Rostered'!#REF!)</f>
        <v>#REF!</v>
      </c>
      <c r="N31" s="25" t="e">
        <f>IF('Residual-Rostered'!#REF!=0,"-",'Residual-Rostered'!#REF!)</f>
        <v>#REF!</v>
      </c>
      <c r="O31" s="25" t="e">
        <f>IF('Residual-Rostered'!#REF!=0,"-",'Residual-Rostered'!#REF!)</f>
        <v>#REF!</v>
      </c>
      <c r="P31" s="25" t="e">
        <f>IF('Residual-Rostered'!#REF!=0,"-",'Residual-Rostered'!#REF!)</f>
        <v>#REF!</v>
      </c>
      <c r="Q31" s="25" t="e">
        <f>IF('Residual-Rostered'!#REF!=0,"-",'Residual-Rostered'!#REF!)</f>
        <v>#REF!</v>
      </c>
      <c r="R31" s="25" t="e">
        <f>IF('Residual-Rostered'!#REF!=0,"-",'Residual-Rostered'!#REF!)</f>
        <v>#REF!</v>
      </c>
      <c r="S31" s="25" t="e">
        <f>IF('Residual-Rostered'!#REF!=0,"-",'Residual-Rostered'!#REF!)</f>
        <v>#REF!</v>
      </c>
      <c r="T31" s="25" t="e">
        <f>IF('Residual-Rostered'!#REF!=0,"-",'Residual-Rostered'!#REF!)</f>
        <v>#REF!</v>
      </c>
      <c r="U31" s="25" t="e">
        <f>IF('Residual-Rostered'!#REF!=0,"-",'Residual-Rostered'!#REF!)</f>
        <v>#REF!</v>
      </c>
      <c r="V31" s="25" t="e">
        <f>IF('Residual-Rostered'!#REF!=0,"-",'Residual-Rostered'!#REF!)</f>
        <v>#REF!</v>
      </c>
      <c r="W31" s="25" t="e">
        <f>IF('Residual-Rostered'!#REF!=0,"-",'Residual-Rostered'!#REF!)</f>
        <v>#REF!</v>
      </c>
      <c r="X31" s="25" t="e">
        <f>IF('Residual-Rostered'!#REF!=0,"-",'Residual-Rostered'!#REF!)</f>
        <v>#REF!</v>
      </c>
      <c r="Y31" s="25" t="e">
        <f>IF('Residual-Rostered'!#REF!=0,"-",'Residual-Rostered'!#REF!)</f>
        <v>#REF!</v>
      </c>
      <c r="Z31" s="25" t="e">
        <f>IF('Residual-Rostered'!#REF!=0,"-",'Residual-Rostered'!#REF!)</f>
        <v>#REF!</v>
      </c>
      <c r="AA31" s="25" t="e">
        <f>IF('Residual-Rostered'!#REF!=0,"-",'Residual-Rostered'!#REF!)</f>
        <v>#REF!</v>
      </c>
      <c r="AB31" s="25" t="e">
        <f>IF('Residual-Rostered'!#REF!=0,"-",'Residual-Rostered'!#REF!)</f>
        <v>#REF!</v>
      </c>
      <c r="AC31" s="25" t="e">
        <f>IF('Residual-Rostered'!#REF!=0,"-",'Residual-Rostered'!#REF!)</f>
        <v>#REF!</v>
      </c>
      <c r="AD31" s="25" t="e">
        <f>IF('Residual-Rostered'!#REF!=0,"-",'Residual-Rostered'!#REF!)</f>
        <v>#REF!</v>
      </c>
      <c r="AE31" s="25" t="e">
        <f>IF('Residual-Rostered'!#REF!=0,"-",'Residual-Rostered'!#REF!)</f>
        <v>#REF!</v>
      </c>
      <c r="AF31" s="25" t="e">
        <f>IF('Residual-Rostered'!#REF!=0,"-",'Residual-Rostered'!#REF!)</f>
        <v>#REF!</v>
      </c>
      <c r="AG31" s="25" t="e">
        <f>IF('Residual-Rostered'!#REF!=0,"-",'Residual-Rostered'!#REF!)</f>
        <v>#REF!</v>
      </c>
      <c r="AH31" s="25" t="e">
        <f>IF('Residual-Rostered'!#REF!=0,"-",'Residual-Rostered'!#REF!)</f>
        <v>#REF!</v>
      </c>
      <c r="AI31" s="25" t="e">
        <f>IF('Residual-Rostered'!#REF!=0,"-",'Residual-Rostered'!#REF!)</f>
        <v>#REF!</v>
      </c>
      <c r="AJ31" s="25" t="e">
        <f>IF('Residual-Rostered'!#REF!=0,"-",'Residual-Rostered'!#REF!)</f>
        <v>#REF!</v>
      </c>
      <c r="AK31" s="25" t="e">
        <f>IF('Residual-Rostered'!#REF!=0,"-",'Residual-Rostered'!#REF!)</f>
        <v>#REF!</v>
      </c>
      <c r="AL31" s="25" t="e">
        <f>IF('Residual-Rostered'!#REF!=0,"-",'Residual-Rostered'!#REF!)</f>
        <v>#REF!</v>
      </c>
      <c r="AM31" s="25" t="e">
        <f>IF('Residual-Rostered'!#REF!=0,"-",'Residual-Rostered'!#REF!)</f>
        <v>#REF!</v>
      </c>
      <c r="AN31" s="25" t="e">
        <f>IF('Residual-Rostered'!#REF!=0,"-",'Residual-Rostered'!#REF!)</f>
        <v>#REF!</v>
      </c>
      <c r="AO31" s="25" t="e">
        <f>IF('Residual-Rostered'!#REF!=0,"-",'Residual-Rostered'!#REF!)</f>
        <v>#REF!</v>
      </c>
      <c r="AP31" s="25" t="e">
        <f>IF('Residual-Rostered'!#REF!=0,"-",'Residual-Rostered'!#REF!)</f>
        <v>#REF!</v>
      </c>
      <c r="AQ31" s="25" t="e">
        <f>IF('Residual-Rostered'!#REF!=0,"-",'Residual-Rostered'!#REF!)</f>
        <v>#REF!</v>
      </c>
      <c r="AR31" s="25" t="e">
        <f>IF('Residual-Rostered'!#REF!=0,"-",'Residual-Rostered'!#REF!)</f>
        <v>#REF!</v>
      </c>
      <c r="AS31" s="25" t="e">
        <f>IF('Residual-Rostered'!#REF!=0,"-",'Residual-Rostered'!#REF!)</f>
        <v>#REF!</v>
      </c>
    </row>
    <row r="32" spans="1:47" hidden="1" x14ac:dyDescent="0.25">
      <c r="A32" s="25" t="e">
        <f>'Residual-Rostered'!#REF!</f>
        <v>#REF!</v>
      </c>
      <c r="B32" s="25" t="e">
        <f>'Residual-Rostered'!#REF!</f>
        <v>#REF!</v>
      </c>
      <c r="C32" s="25" t="e">
        <f>'Residual-Rostered'!#REF!</f>
        <v>#REF!</v>
      </c>
      <c r="D32" s="25" t="e">
        <f>IF('Residual-Rostered'!#REF!=0,"-",'Residual-Rostered'!#REF!)</f>
        <v>#REF!</v>
      </c>
      <c r="E32" s="25" t="e">
        <f>IF('Residual-Rostered'!#REF!=0,"-",'Residual-Rostered'!#REF!)</f>
        <v>#REF!</v>
      </c>
      <c r="F32" s="25" t="e">
        <f>IF('Residual-Rostered'!#REF!=0,"-",'Residual-Rostered'!#REF!)</f>
        <v>#REF!</v>
      </c>
      <c r="G32" s="25" t="e">
        <f>IF('Residual-Rostered'!#REF!=0,"-",'Residual-Rostered'!#REF!)</f>
        <v>#REF!</v>
      </c>
      <c r="H32" s="25" t="e">
        <f>IF('Residual-Rostered'!#REF!=0,"-",'Residual-Rostered'!#REF!)</f>
        <v>#REF!</v>
      </c>
      <c r="I32" s="25" t="e">
        <f>IF('Residual-Rostered'!#REF!=0,"-",'Residual-Rostered'!#REF!)</f>
        <v>#REF!</v>
      </c>
      <c r="J32" s="25" t="e">
        <f>IF('Residual-Rostered'!#REF!=0,"-",'Residual-Rostered'!#REF!)</f>
        <v>#REF!</v>
      </c>
      <c r="K32" s="25" t="e">
        <f>IF('Residual-Rostered'!#REF!=0,"-",'Residual-Rostered'!#REF!)</f>
        <v>#REF!</v>
      </c>
      <c r="L32" s="25" t="e">
        <f>IF('Residual-Rostered'!#REF!=0,"-",'Residual-Rostered'!#REF!)</f>
        <v>#REF!</v>
      </c>
      <c r="M32" s="25" t="e">
        <f>IF('Residual-Rostered'!#REF!=0,"-",'Residual-Rostered'!#REF!)</f>
        <v>#REF!</v>
      </c>
      <c r="N32" s="25" t="e">
        <f>IF('Residual-Rostered'!#REF!=0,"-",'Residual-Rostered'!#REF!)</f>
        <v>#REF!</v>
      </c>
      <c r="O32" s="25" t="e">
        <f>IF('Residual-Rostered'!#REF!=0,"-",'Residual-Rostered'!#REF!)</f>
        <v>#REF!</v>
      </c>
      <c r="P32" s="25" t="e">
        <f>IF('Residual-Rostered'!#REF!=0,"-",'Residual-Rostered'!#REF!)</f>
        <v>#REF!</v>
      </c>
      <c r="Q32" s="25" t="e">
        <f>IF('Residual-Rostered'!#REF!=0,"-",'Residual-Rostered'!#REF!)</f>
        <v>#REF!</v>
      </c>
      <c r="R32" s="25" t="e">
        <f>IF('Residual-Rostered'!#REF!=0,"-",'Residual-Rostered'!#REF!)</f>
        <v>#REF!</v>
      </c>
      <c r="S32" s="25" t="e">
        <f>IF('Residual-Rostered'!#REF!=0,"-",'Residual-Rostered'!#REF!)</f>
        <v>#REF!</v>
      </c>
      <c r="T32" s="25" t="e">
        <f>IF('Residual-Rostered'!#REF!=0,"-",'Residual-Rostered'!#REF!)</f>
        <v>#REF!</v>
      </c>
      <c r="U32" s="25" t="e">
        <f>IF('Residual-Rostered'!#REF!=0,"-",'Residual-Rostered'!#REF!)</f>
        <v>#REF!</v>
      </c>
      <c r="V32" s="25" t="e">
        <f>IF('Residual-Rostered'!#REF!=0,"-",'Residual-Rostered'!#REF!)</f>
        <v>#REF!</v>
      </c>
      <c r="W32" s="25" t="e">
        <f>IF('Residual-Rostered'!#REF!=0,"-",'Residual-Rostered'!#REF!)</f>
        <v>#REF!</v>
      </c>
      <c r="X32" s="25" t="e">
        <f>IF('Residual-Rostered'!#REF!=0,"-",'Residual-Rostered'!#REF!)</f>
        <v>#REF!</v>
      </c>
      <c r="Y32" s="25" t="e">
        <f>IF('Residual-Rostered'!#REF!=0,"-",'Residual-Rostered'!#REF!)</f>
        <v>#REF!</v>
      </c>
      <c r="Z32" s="25" t="e">
        <f>IF('Residual-Rostered'!#REF!=0,"-",'Residual-Rostered'!#REF!)</f>
        <v>#REF!</v>
      </c>
      <c r="AA32" s="25" t="e">
        <f>IF('Residual-Rostered'!#REF!=0,"-",'Residual-Rostered'!#REF!)</f>
        <v>#REF!</v>
      </c>
      <c r="AB32" s="25" t="e">
        <f>IF('Residual-Rostered'!#REF!=0,"-",'Residual-Rostered'!#REF!)</f>
        <v>#REF!</v>
      </c>
      <c r="AC32" s="25" t="e">
        <f>IF('Residual-Rostered'!#REF!=0,"-",'Residual-Rostered'!#REF!)</f>
        <v>#REF!</v>
      </c>
      <c r="AD32" s="25" t="e">
        <f>IF('Residual-Rostered'!#REF!=0,"-",'Residual-Rostered'!#REF!)</f>
        <v>#REF!</v>
      </c>
      <c r="AE32" s="25" t="e">
        <f>IF('Residual-Rostered'!#REF!=0,"-",'Residual-Rostered'!#REF!)</f>
        <v>#REF!</v>
      </c>
      <c r="AF32" s="25" t="e">
        <f>IF('Residual-Rostered'!#REF!=0,"-",'Residual-Rostered'!#REF!)</f>
        <v>#REF!</v>
      </c>
      <c r="AG32" s="25" t="e">
        <f>IF('Residual-Rostered'!#REF!=0,"-",'Residual-Rostered'!#REF!)</f>
        <v>#REF!</v>
      </c>
      <c r="AH32" s="25" t="e">
        <f>IF('Residual-Rostered'!#REF!=0,"-",'Residual-Rostered'!#REF!)</f>
        <v>#REF!</v>
      </c>
      <c r="AI32" s="25" t="e">
        <f>IF('Residual-Rostered'!#REF!=0,"-",'Residual-Rostered'!#REF!)</f>
        <v>#REF!</v>
      </c>
      <c r="AJ32" s="25" t="e">
        <f>IF('Residual-Rostered'!#REF!=0,"-",'Residual-Rostered'!#REF!)</f>
        <v>#REF!</v>
      </c>
      <c r="AK32" s="25" t="e">
        <f>IF('Residual-Rostered'!#REF!=0,"-",'Residual-Rostered'!#REF!)</f>
        <v>#REF!</v>
      </c>
      <c r="AL32" s="25" t="e">
        <f>IF('Residual-Rostered'!#REF!=0,"-",'Residual-Rostered'!#REF!)</f>
        <v>#REF!</v>
      </c>
      <c r="AM32" s="25" t="e">
        <f>IF('Residual-Rostered'!#REF!=0,"-",'Residual-Rostered'!#REF!)</f>
        <v>#REF!</v>
      </c>
      <c r="AN32" s="25" t="e">
        <f>IF('Residual-Rostered'!#REF!=0,"-",'Residual-Rostered'!#REF!)</f>
        <v>#REF!</v>
      </c>
      <c r="AO32" s="25" t="e">
        <f>IF('Residual-Rostered'!#REF!=0,"-",'Residual-Rostered'!#REF!)</f>
        <v>#REF!</v>
      </c>
      <c r="AP32" s="25" t="e">
        <f>IF('Residual-Rostered'!#REF!=0,"-",'Residual-Rostered'!#REF!)</f>
        <v>#REF!</v>
      </c>
      <c r="AQ32" s="25" t="e">
        <f>IF('Residual-Rostered'!#REF!=0,"-",'Residual-Rostered'!#REF!)</f>
        <v>#REF!</v>
      </c>
      <c r="AR32" s="25" t="e">
        <f>IF('Residual-Rostered'!#REF!=0,"-",'Residual-Rostered'!#REF!)</f>
        <v>#REF!</v>
      </c>
      <c r="AS32" s="25" t="e">
        <f>IF('Residual-Rostered'!#REF!=0,"-",'Residual-Rostered'!#REF!)</f>
        <v>#REF!</v>
      </c>
    </row>
    <row r="33" spans="1:45" x14ac:dyDescent="0.25">
      <c r="A33" s="25" t="e">
        <f>'Residual-Rostered'!#REF!</f>
        <v>#REF!</v>
      </c>
      <c r="B33" s="25" t="e">
        <f>'Residual-Rostered'!#REF!</f>
        <v>#REF!</v>
      </c>
      <c r="C33" s="25" t="e">
        <f>'Residual-Rostered'!#REF!</f>
        <v>#REF!</v>
      </c>
      <c r="D33" s="25" t="e">
        <f>IF('Residual-Rostered'!#REF!=0,"-",'Residual-Rostered'!#REF!)</f>
        <v>#REF!</v>
      </c>
      <c r="E33" s="25" t="e">
        <f>IF('Residual-Rostered'!#REF!=0,"-",'Residual-Rostered'!#REF!)</f>
        <v>#REF!</v>
      </c>
      <c r="F33" s="25" t="e">
        <f>IF('Residual-Rostered'!#REF!=0,"-",'Residual-Rostered'!#REF!)</f>
        <v>#REF!</v>
      </c>
      <c r="G33" s="25" t="e">
        <f>IF('Residual-Rostered'!#REF!=0,"-",'Residual-Rostered'!#REF!)</f>
        <v>#REF!</v>
      </c>
      <c r="H33" s="25" t="e">
        <f>IF('Residual-Rostered'!#REF!=0,"-",'Residual-Rostered'!#REF!)</f>
        <v>#REF!</v>
      </c>
      <c r="I33" s="25" t="e">
        <f>IF('Residual-Rostered'!#REF!=0,"-",'Residual-Rostered'!#REF!)</f>
        <v>#REF!</v>
      </c>
      <c r="J33" s="25" t="e">
        <f>IF('Residual-Rostered'!#REF!=0,"-",'Residual-Rostered'!#REF!)</f>
        <v>#REF!</v>
      </c>
      <c r="K33" s="25" t="e">
        <f>IF('Residual-Rostered'!#REF!=0,"-",'Residual-Rostered'!#REF!)</f>
        <v>#REF!</v>
      </c>
      <c r="L33" s="25" t="e">
        <f>IF('Residual-Rostered'!#REF!=0,"-",'Residual-Rostered'!#REF!)</f>
        <v>#REF!</v>
      </c>
      <c r="M33" s="25" t="e">
        <f>IF('Residual-Rostered'!#REF!=0,"-",'Residual-Rostered'!#REF!)</f>
        <v>#REF!</v>
      </c>
      <c r="N33" s="25" t="e">
        <f>IF('Residual-Rostered'!#REF!=0,"-",'Residual-Rostered'!#REF!)</f>
        <v>#REF!</v>
      </c>
      <c r="O33" s="25" t="e">
        <f>IF('Residual-Rostered'!#REF!=0,"-",'Residual-Rostered'!#REF!)</f>
        <v>#REF!</v>
      </c>
      <c r="P33" s="25" t="e">
        <f>IF('Residual-Rostered'!#REF!=0,"-",'Residual-Rostered'!#REF!)</f>
        <v>#REF!</v>
      </c>
      <c r="Q33" s="25" t="e">
        <f>IF('Residual-Rostered'!#REF!=0,"-",'Residual-Rostered'!#REF!)</f>
        <v>#REF!</v>
      </c>
      <c r="R33" s="25" t="e">
        <f>IF('Residual-Rostered'!#REF!=0,"-",'Residual-Rostered'!#REF!)</f>
        <v>#REF!</v>
      </c>
      <c r="S33" s="25" t="e">
        <f>IF('Residual-Rostered'!#REF!=0,"-",'Residual-Rostered'!#REF!)</f>
        <v>#REF!</v>
      </c>
      <c r="T33" s="25" t="e">
        <f>IF('Residual-Rostered'!#REF!=0,"-",'Residual-Rostered'!#REF!)</f>
        <v>#REF!</v>
      </c>
      <c r="U33" s="25" t="e">
        <f>IF('Residual-Rostered'!#REF!=0,"-",'Residual-Rostered'!#REF!)</f>
        <v>#REF!</v>
      </c>
      <c r="V33" s="25" t="e">
        <f>IF('Residual-Rostered'!#REF!=0,"-",'Residual-Rostered'!#REF!)</f>
        <v>#REF!</v>
      </c>
      <c r="W33" s="25" t="e">
        <f>IF('Residual-Rostered'!#REF!=0,"-",'Residual-Rostered'!#REF!)</f>
        <v>#REF!</v>
      </c>
      <c r="X33" s="25" t="e">
        <f>IF('Residual-Rostered'!#REF!=0,"-",'Residual-Rostered'!#REF!)</f>
        <v>#REF!</v>
      </c>
      <c r="Y33" s="25" t="e">
        <f>IF('Residual-Rostered'!#REF!=0,"-",'Residual-Rostered'!#REF!)</f>
        <v>#REF!</v>
      </c>
      <c r="Z33" s="25" t="e">
        <f>IF('Residual-Rostered'!#REF!=0,"-",'Residual-Rostered'!#REF!)</f>
        <v>#REF!</v>
      </c>
      <c r="AA33" s="25" t="e">
        <f>IF('Residual-Rostered'!#REF!=0,"-",'Residual-Rostered'!#REF!)</f>
        <v>#REF!</v>
      </c>
      <c r="AB33" s="25" t="e">
        <f>IF('Residual-Rostered'!#REF!=0,"-",'Residual-Rostered'!#REF!)</f>
        <v>#REF!</v>
      </c>
      <c r="AC33" s="25" t="e">
        <f>IF('Residual-Rostered'!#REF!=0,"-",'Residual-Rostered'!#REF!)</f>
        <v>#REF!</v>
      </c>
      <c r="AD33" s="25" t="e">
        <f>IF('Residual-Rostered'!#REF!=0,"-",'Residual-Rostered'!#REF!)</f>
        <v>#REF!</v>
      </c>
      <c r="AE33" s="25" t="e">
        <f>IF('Residual-Rostered'!#REF!=0,"-",'Residual-Rostered'!#REF!)</f>
        <v>#REF!</v>
      </c>
      <c r="AF33" s="25" t="e">
        <f>IF('Residual-Rostered'!#REF!=0,"-",'Residual-Rostered'!#REF!)</f>
        <v>#REF!</v>
      </c>
      <c r="AG33" s="25" t="e">
        <f>IF('Residual-Rostered'!#REF!=0,"-",'Residual-Rostered'!#REF!)</f>
        <v>#REF!</v>
      </c>
      <c r="AH33" s="25" t="e">
        <f>IF('Residual-Rostered'!#REF!=0,"-",'Residual-Rostered'!#REF!)</f>
        <v>#REF!</v>
      </c>
      <c r="AI33" s="25" t="e">
        <f>IF('Residual-Rostered'!#REF!=0,"-",'Residual-Rostered'!#REF!)</f>
        <v>#REF!</v>
      </c>
      <c r="AJ33" s="25" t="e">
        <f>IF('Residual-Rostered'!#REF!=0,"-",'Residual-Rostered'!#REF!)</f>
        <v>#REF!</v>
      </c>
      <c r="AK33" s="25" t="e">
        <f>IF('Residual-Rostered'!#REF!=0,"-",'Residual-Rostered'!#REF!)</f>
        <v>#REF!</v>
      </c>
      <c r="AL33" s="25" t="e">
        <f>IF('Residual-Rostered'!#REF!=0,"-",'Residual-Rostered'!#REF!)</f>
        <v>#REF!</v>
      </c>
      <c r="AM33" s="25" t="e">
        <f>IF('Residual-Rostered'!#REF!=0,"-",'Residual-Rostered'!#REF!)</f>
        <v>#REF!</v>
      </c>
      <c r="AN33" s="25" t="e">
        <f>IF('Residual-Rostered'!#REF!=0,"-",'Residual-Rostered'!#REF!)</f>
        <v>#REF!</v>
      </c>
      <c r="AO33" s="25" t="e">
        <f>IF('Residual-Rostered'!#REF!=0,"-",'Residual-Rostered'!#REF!)</f>
        <v>#REF!</v>
      </c>
      <c r="AP33" s="25" t="e">
        <f>IF('Residual-Rostered'!#REF!=0,"-",'Residual-Rostered'!#REF!)</f>
        <v>#REF!</v>
      </c>
      <c r="AQ33" s="25" t="e">
        <f>IF('Residual-Rostered'!#REF!=0,"-",'Residual-Rostered'!#REF!)</f>
        <v>#REF!</v>
      </c>
      <c r="AR33" s="25" t="e">
        <f>IF('Residual-Rostered'!#REF!=0,"-",'Residual-Rostered'!#REF!)</f>
        <v>#REF!</v>
      </c>
      <c r="AS33" s="25" t="e">
        <f>IF('Residual-Rostered'!#REF!=0,"-",'Residual-Rostered'!#REF!)</f>
        <v>#REF!</v>
      </c>
    </row>
    <row r="34" spans="1:45" x14ac:dyDescent="0.25">
      <c r="A34" s="25" t="e">
        <f>'Residual-Rostered'!#REF!</f>
        <v>#REF!</v>
      </c>
      <c r="B34" s="25" t="e">
        <f>'Residual-Rostered'!#REF!</f>
        <v>#REF!</v>
      </c>
      <c r="C34" s="25" t="e">
        <f>'Residual-Rostered'!#REF!</f>
        <v>#REF!</v>
      </c>
      <c r="D34" s="25" t="e">
        <f>IF('Residual-Rostered'!#REF!=0,"-",'Residual-Rostered'!#REF!)</f>
        <v>#REF!</v>
      </c>
      <c r="E34" s="25" t="e">
        <f>IF('Residual-Rostered'!#REF!=0,"-",'Residual-Rostered'!#REF!)</f>
        <v>#REF!</v>
      </c>
      <c r="F34" s="25" t="e">
        <f>IF('Residual-Rostered'!#REF!=0,"-",'Residual-Rostered'!#REF!)</f>
        <v>#REF!</v>
      </c>
      <c r="G34" s="25" t="e">
        <f>IF('Residual-Rostered'!#REF!=0,"-",'Residual-Rostered'!#REF!)</f>
        <v>#REF!</v>
      </c>
      <c r="H34" s="25" t="e">
        <f>IF('Residual-Rostered'!#REF!=0,"-",'Residual-Rostered'!#REF!)</f>
        <v>#REF!</v>
      </c>
      <c r="I34" s="25" t="e">
        <f>IF('Residual-Rostered'!#REF!=0,"-",'Residual-Rostered'!#REF!)</f>
        <v>#REF!</v>
      </c>
      <c r="J34" s="25" t="e">
        <f>IF('Residual-Rostered'!#REF!=0,"-",'Residual-Rostered'!#REF!)</f>
        <v>#REF!</v>
      </c>
      <c r="K34" s="25" t="e">
        <f>IF('Residual-Rostered'!#REF!=0,"-",'Residual-Rostered'!#REF!)</f>
        <v>#REF!</v>
      </c>
      <c r="L34" s="25" t="e">
        <f>IF('Residual-Rostered'!#REF!=0,"-",'Residual-Rostered'!#REF!)</f>
        <v>#REF!</v>
      </c>
      <c r="M34" s="25" t="e">
        <f>IF('Residual-Rostered'!#REF!=0,"-",'Residual-Rostered'!#REF!)</f>
        <v>#REF!</v>
      </c>
      <c r="N34" s="25" t="e">
        <f>IF('Residual-Rostered'!#REF!=0,"-",'Residual-Rostered'!#REF!)</f>
        <v>#REF!</v>
      </c>
      <c r="O34" s="25" t="e">
        <f>IF('Residual-Rostered'!#REF!=0,"-",'Residual-Rostered'!#REF!)</f>
        <v>#REF!</v>
      </c>
      <c r="P34" s="25" t="e">
        <f>IF('Residual-Rostered'!#REF!=0,"-",'Residual-Rostered'!#REF!)</f>
        <v>#REF!</v>
      </c>
      <c r="Q34" s="25" t="e">
        <f>IF('Residual-Rostered'!#REF!=0,"-",'Residual-Rostered'!#REF!)</f>
        <v>#REF!</v>
      </c>
      <c r="R34" s="25" t="e">
        <f>IF('Residual-Rostered'!#REF!=0,"-",'Residual-Rostered'!#REF!)</f>
        <v>#REF!</v>
      </c>
      <c r="S34" s="25" t="e">
        <f>IF('Residual-Rostered'!#REF!=0,"-",'Residual-Rostered'!#REF!)</f>
        <v>#REF!</v>
      </c>
      <c r="T34" s="25" t="e">
        <f>IF('Residual-Rostered'!#REF!=0,"-",'Residual-Rostered'!#REF!)</f>
        <v>#REF!</v>
      </c>
      <c r="U34" s="25" t="e">
        <f>IF('Residual-Rostered'!#REF!=0,"-",'Residual-Rostered'!#REF!)</f>
        <v>#REF!</v>
      </c>
      <c r="V34" s="25" t="e">
        <f>IF('Residual-Rostered'!#REF!=0,"-",'Residual-Rostered'!#REF!)</f>
        <v>#REF!</v>
      </c>
      <c r="W34" s="25" t="e">
        <f>IF('Residual-Rostered'!#REF!=0,"-",'Residual-Rostered'!#REF!)</f>
        <v>#REF!</v>
      </c>
      <c r="X34" s="25" t="e">
        <f>IF('Residual-Rostered'!#REF!=0,"-",'Residual-Rostered'!#REF!)</f>
        <v>#REF!</v>
      </c>
      <c r="Y34" s="25" t="e">
        <f>IF('Residual-Rostered'!#REF!=0,"-",'Residual-Rostered'!#REF!)</f>
        <v>#REF!</v>
      </c>
      <c r="Z34" s="25" t="e">
        <f>IF('Residual-Rostered'!#REF!=0,"-",'Residual-Rostered'!#REF!)</f>
        <v>#REF!</v>
      </c>
      <c r="AA34" s="25" t="e">
        <f>IF('Residual-Rostered'!#REF!=0,"-",'Residual-Rostered'!#REF!)</f>
        <v>#REF!</v>
      </c>
      <c r="AB34" s="25" t="e">
        <f>IF('Residual-Rostered'!#REF!=0,"-",'Residual-Rostered'!#REF!)</f>
        <v>#REF!</v>
      </c>
      <c r="AC34" s="25" t="e">
        <f>IF('Residual-Rostered'!#REF!=0,"-",'Residual-Rostered'!#REF!)</f>
        <v>#REF!</v>
      </c>
      <c r="AD34" s="25" t="e">
        <f>IF('Residual-Rostered'!#REF!=0,"-",'Residual-Rostered'!#REF!)</f>
        <v>#REF!</v>
      </c>
      <c r="AE34" s="25" t="e">
        <f>IF('Residual-Rostered'!#REF!=0,"-",'Residual-Rostered'!#REF!)</f>
        <v>#REF!</v>
      </c>
      <c r="AF34" s="25" t="e">
        <f>IF('Residual-Rostered'!#REF!=0,"-",'Residual-Rostered'!#REF!)</f>
        <v>#REF!</v>
      </c>
      <c r="AG34" s="25" t="e">
        <f>IF('Residual-Rostered'!#REF!=0,"-",'Residual-Rostered'!#REF!)</f>
        <v>#REF!</v>
      </c>
      <c r="AH34" s="25" t="e">
        <f>IF('Residual-Rostered'!#REF!=0,"-",'Residual-Rostered'!#REF!)</f>
        <v>#REF!</v>
      </c>
      <c r="AI34" s="25" t="e">
        <f>IF('Residual-Rostered'!#REF!=0,"-",'Residual-Rostered'!#REF!)</f>
        <v>#REF!</v>
      </c>
      <c r="AJ34" s="25" t="e">
        <f>IF('Residual-Rostered'!#REF!=0,"-",'Residual-Rostered'!#REF!)</f>
        <v>#REF!</v>
      </c>
      <c r="AK34" s="25" t="e">
        <f>IF('Residual-Rostered'!#REF!=0,"-",'Residual-Rostered'!#REF!)</f>
        <v>#REF!</v>
      </c>
      <c r="AL34" s="25" t="e">
        <f>IF('Residual-Rostered'!#REF!=0,"-",'Residual-Rostered'!#REF!)</f>
        <v>#REF!</v>
      </c>
      <c r="AM34" s="25" t="e">
        <f>IF('Residual-Rostered'!#REF!=0,"-",'Residual-Rostered'!#REF!)</f>
        <v>#REF!</v>
      </c>
      <c r="AN34" s="25" t="e">
        <f>IF('Residual-Rostered'!#REF!=0,"-",'Residual-Rostered'!#REF!)</f>
        <v>#REF!</v>
      </c>
      <c r="AO34" s="25" t="e">
        <f>IF('Residual-Rostered'!#REF!=0,"-",'Residual-Rostered'!#REF!)</f>
        <v>#REF!</v>
      </c>
      <c r="AP34" s="25" t="e">
        <f>IF('Residual-Rostered'!#REF!=0,"-",'Residual-Rostered'!#REF!)</f>
        <v>#REF!</v>
      </c>
      <c r="AQ34" s="25" t="e">
        <f>IF('Residual-Rostered'!#REF!=0,"-",'Residual-Rostered'!#REF!)</f>
        <v>#REF!</v>
      </c>
      <c r="AR34" s="25" t="e">
        <f>IF('Residual-Rostered'!#REF!=0,"-",'Residual-Rostered'!#REF!)</f>
        <v>#REF!</v>
      </c>
      <c r="AS34" s="25" t="e">
        <f>IF('Residual-Rostered'!#REF!=0,"-",'Residual-Rostered'!#REF!)</f>
        <v>#REF!</v>
      </c>
    </row>
    <row r="35" spans="1:45" hidden="1" x14ac:dyDescent="0.25">
      <c r="A35" s="25" t="e">
        <f>'Residual-Rostered'!#REF!</f>
        <v>#REF!</v>
      </c>
      <c r="B35" s="25" t="e">
        <f>'Residual-Rostered'!#REF!</f>
        <v>#REF!</v>
      </c>
      <c r="C35" s="25" t="e">
        <f>'Residual-Rostered'!#REF!</f>
        <v>#REF!</v>
      </c>
      <c r="D35" s="25" t="e">
        <f>IF('Residual-Rostered'!#REF!=0,"-",'Residual-Rostered'!#REF!)</f>
        <v>#REF!</v>
      </c>
      <c r="E35" s="25" t="e">
        <f>IF('Residual-Rostered'!#REF!=0,"-",'Residual-Rostered'!#REF!)</f>
        <v>#REF!</v>
      </c>
      <c r="F35" s="25" t="e">
        <f>IF('Residual-Rostered'!#REF!=0,"-",'Residual-Rostered'!#REF!)</f>
        <v>#REF!</v>
      </c>
      <c r="G35" s="25" t="e">
        <f>IF('Residual-Rostered'!#REF!=0,"-",'Residual-Rostered'!#REF!)</f>
        <v>#REF!</v>
      </c>
      <c r="H35" s="25" t="e">
        <f>IF('Residual-Rostered'!#REF!=0,"-",'Residual-Rostered'!#REF!)</f>
        <v>#REF!</v>
      </c>
      <c r="I35" s="25" t="e">
        <f>IF('Residual-Rostered'!#REF!=0,"-",'Residual-Rostered'!#REF!)</f>
        <v>#REF!</v>
      </c>
      <c r="J35" s="25" t="e">
        <f>IF('Residual-Rostered'!#REF!=0,"-",'Residual-Rostered'!#REF!)</f>
        <v>#REF!</v>
      </c>
      <c r="K35" s="25" t="e">
        <f>IF('Residual-Rostered'!#REF!=0,"-",'Residual-Rostered'!#REF!)</f>
        <v>#REF!</v>
      </c>
      <c r="L35" s="25" t="e">
        <f>IF('Residual-Rostered'!#REF!=0,"-",'Residual-Rostered'!#REF!)</f>
        <v>#REF!</v>
      </c>
      <c r="M35" s="25" t="e">
        <f>IF('Residual-Rostered'!#REF!=0,"-",'Residual-Rostered'!#REF!)</f>
        <v>#REF!</v>
      </c>
      <c r="N35" s="25" t="e">
        <f>IF('Residual-Rostered'!#REF!=0,"-",'Residual-Rostered'!#REF!)</f>
        <v>#REF!</v>
      </c>
      <c r="O35" s="25" t="e">
        <f>IF('Residual-Rostered'!#REF!=0,"-",'Residual-Rostered'!#REF!)</f>
        <v>#REF!</v>
      </c>
      <c r="P35" s="25" t="e">
        <f>IF('Residual-Rostered'!#REF!=0,"-",'Residual-Rostered'!#REF!)</f>
        <v>#REF!</v>
      </c>
      <c r="Q35" s="25" t="e">
        <f>IF('Residual-Rostered'!#REF!=0,"-",'Residual-Rostered'!#REF!)</f>
        <v>#REF!</v>
      </c>
      <c r="R35" s="25" t="e">
        <f>IF('Residual-Rostered'!#REF!=0,"-",'Residual-Rostered'!#REF!)</f>
        <v>#REF!</v>
      </c>
      <c r="S35" s="25" t="e">
        <f>IF('Residual-Rostered'!#REF!=0,"-",'Residual-Rostered'!#REF!)</f>
        <v>#REF!</v>
      </c>
      <c r="T35" s="25" t="e">
        <f>IF('Residual-Rostered'!#REF!=0,"-",'Residual-Rostered'!#REF!)</f>
        <v>#REF!</v>
      </c>
      <c r="U35" s="25" t="e">
        <f>IF('Residual-Rostered'!#REF!=0,"-",'Residual-Rostered'!#REF!)</f>
        <v>#REF!</v>
      </c>
      <c r="V35" s="25" t="e">
        <f>IF('Residual-Rostered'!#REF!=0,"-",'Residual-Rostered'!#REF!)</f>
        <v>#REF!</v>
      </c>
      <c r="W35" s="25" t="e">
        <f>IF('Residual-Rostered'!#REF!=0,"-",'Residual-Rostered'!#REF!)</f>
        <v>#REF!</v>
      </c>
      <c r="X35" s="25" t="e">
        <f>IF('Residual-Rostered'!#REF!=0,"-",'Residual-Rostered'!#REF!)</f>
        <v>#REF!</v>
      </c>
      <c r="Y35" s="25" t="e">
        <f>IF('Residual-Rostered'!#REF!=0,"-",'Residual-Rostered'!#REF!)</f>
        <v>#REF!</v>
      </c>
      <c r="Z35" s="25" t="e">
        <f>IF('Residual-Rostered'!#REF!=0,"-",'Residual-Rostered'!#REF!)</f>
        <v>#REF!</v>
      </c>
      <c r="AA35" s="25" t="e">
        <f>IF('Residual-Rostered'!#REF!=0,"-",'Residual-Rostered'!#REF!)</f>
        <v>#REF!</v>
      </c>
      <c r="AB35" s="25" t="e">
        <f>IF('Residual-Rostered'!#REF!=0,"-",'Residual-Rostered'!#REF!)</f>
        <v>#REF!</v>
      </c>
      <c r="AC35" s="25" t="e">
        <f>IF('Residual-Rostered'!#REF!=0,"-",'Residual-Rostered'!#REF!)</f>
        <v>#REF!</v>
      </c>
      <c r="AD35" s="25" t="e">
        <f>IF('Residual-Rostered'!#REF!=0,"-",'Residual-Rostered'!#REF!)</f>
        <v>#REF!</v>
      </c>
      <c r="AE35" s="25" t="e">
        <f>IF('Residual-Rostered'!#REF!=0,"-",'Residual-Rostered'!#REF!)</f>
        <v>#REF!</v>
      </c>
      <c r="AF35" s="25" t="e">
        <f>IF('Residual-Rostered'!#REF!=0,"-",'Residual-Rostered'!#REF!)</f>
        <v>#REF!</v>
      </c>
      <c r="AG35" s="25" t="e">
        <f>IF('Residual-Rostered'!#REF!=0,"-",'Residual-Rostered'!#REF!)</f>
        <v>#REF!</v>
      </c>
      <c r="AH35" s="25" t="e">
        <f>IF('Residual-Rostered'!#REF!=0,"-",'Residual-Rostered'!#REF!)</f>
        <v>#REF!</v>
      </c>
      <c r="AI35" s="25" t="e">
        <f>IF('Residual-Rostered'!#REF!=0,"-",'Residual-Rostered'!#REF!)</f>
        <v>#REF!</v>
      </c>
      <c r="AJ35" s="25" t="e">
        <f>IF('Residual-Rostered'!#REF!=0,"-",'Residual-Rostered'!#REF!)</f>
        <v>#REF!</v>
      </c>
      <c r="AK35" s="25" t="e">
        <f>IF('Residual-Rostered'!#REF!=0,"-",'Residual-Rostered'!#REF!)</f>
        <v>#REF!</v>
      </c>
      <c r="AL35" s="25" t="e">
        <f>IF('Residual-Rostered'!#REF!=0,"-",'Residual-Rostered'!#REF!)</f>
        <v>#REF!</v>
      </c>
      <c r="AM35" s="25" t="e">
        <f>IF('Residual-Rostered'!#REF!=0,"-",'Residual-Rostered'!#REF!)</f>
        <v>#REF!</v>
      </c>
      <c r="AN35" s="25" t="e">
        <f>IF('Residual-Rostered'!#REF!=0,"-",'Residual-Rostered'!#REF!)</f>
        <v>#REF!</v>
      </c>
      <c r="AO35" s="25" t="e">
        <f>IF('Residual-Rostered'!#REF!=0,"-",'Residual-Rostered'!#REF!)</f>
        <v>#REF!</v>
      </c>
      <c r="AP35" s="25" t="e">
        <f>IF('Residual-Rostered'!#REF!=0,"-",'Residual-Rostered'!#REF!)</f>
        <v>#REF!</v>
      </c>
      <c r="AQ35" s="25" t="e">
        <f>IF('Residual-Rostered'!#REF!=0,"-",'Residual-Rostered'!#REF!)</f>
        <v>#REF!</v>
      </c>
      <c r="AR35" s="25" t="e">
        <f>IF('Residual-Rostered'!#REF!=0,"-",'Residual-Rostered'!#REF!)</f>
        <v>#REF!</v>
      </c>
      <c r="AS35" s="25" t="e">
        <f>IF('Residual-Rostered'!#REF!=0,"-",'Residual-Rostered'!#REF!)</f>
        <v>#REF!</v>
      </c>
    </row>
    <row r="36" spans="1:45" x14ac:dyDescent="0.25">
      <c r="A36" s="25" t="e">
        <f>'Residual-Rostered'!#REF!</f>
        <v>#REF!</v>
      </c>
      <c r="B36" s="25" t="e">
        <f>'Residual-Rostered'!#REF!</f>
        <v>#REF!</v>
      </c>
      <c r="C36" s="25" t="e">
        <f>'Residual-Rostered'!#REF!</f>
        <v>#REF!</v>
      </c>
      <c r="D36" s="25" t="e">
        <f>IF('Residual-Rostered'!#REF!=0,"-",'Residual-Rostered'!#REF!)</f>
        <v>#REF!</v>
      </c>
      <c r="E36" s="25" t="e">
        <f>IF('Residual-Rostered'!#REF!=0,"-",'Residual-Rostered'!#REF!)</f>
        <v>#REF!</v>
      </c>
      <c r="F36" s="25" t="e">
        <f>IF('Residual-Rostered'!#REF!=0,"-",'Residual-Rostered'!#REF!)</f>
        <v>#REF!</v>
      </c>
      <c r="G36" s="25" t="e">
        <f>IF('Residual-Rostered'!#REF!=0,"-",'Residual-Rostered'!#REF!)</f>
        <v>#REF!</v>
      </c>
      <c r="H36" s="25" t="e">
        <f>IF('Residual-Rostered'!#REF!=0,"-",'Residual-Rostered'!#REF!)</f>
        <v>#REF!</v>
      </c>
      <c r="I36" s="25" t="e">
        <f>IF('Residual-Rostered'!#REF!=0,"-",'Residual-Rostered'!#REF!)</f>
        <v>#REF!</v>
      </c>
      <c r="J36" s="25" t="e">
        <f>IF('Residual-Rostered'!#REF!=0,"-",'Residual-Rostered'!#REF!)</f>
        <v>#REF!</v>
      </c>
      <c r="K36" s="25" t="e">
        <f>IF('Residual-Rostered'!#REF!=0,"-",'Residual-Rostered'!#REF!)</f>
        <v>#REF!</v>
      </c>
      <c r="L36" s="25" t="e">
        <f>IF('Residual-Rostered'!#REF!=0,"-",'Residual-Rostered'!#REF!)</f>
        <v>#REF!</v>
      </c>
      <c r="M36" s="25" t="e">
        <f>IF('Residual-Rostered'!#REF!=0,"-",'Residual-Rostered'!#REF!)</f>
        <v>#REF!</v>
      </c>
      <c r="N36" s="25" t="e">
        <f>IF('Residual-Rostered'!#REF!=0,"-",'Residual-Rostered'!#REF!)</f>
        <v>#REF!</v>
      </c>
      <c r="O36" s="25" t="e">
        <f>IF('Residual-Rostered'!#REF!=0,"-",'Residual-Rostered'!#REF!)</f>
        <v>#REF!</v>
      </c>
      <c r="P36" s="25" t="e">
        <f>IF('Residual-Rostered'!#REF!=0,"-",'Residual-Rostered'!#REF!)</f>
        <v>#REF!</v>
      </c>
      <c r="Q36" s="25" t="e">
        <f>IF('Residual-Rostered'!#REF!=0,"-",'Residual-Rostered'!#REF!)</f>
        <v>#REF!</v>
      </c>
      <c r="R36" s="25" t="e">
        <f>IF('Residual-Rostered'!#REF!=0,"-",'Residual-Rostered'!#REF!)</f>
        <v>#REF!</v>
      </c>
      <c r="S36" s="25" t="e">
        <f>IF('Residual-Rostered'!#REF!=0,"-",'Residual-Rostered'!#REF!)</f>
        <v>#REF!</v>
      </c>
      <c r="T36" s="25" t="e">
        <f>IF('Residual-Rostered'!#REF!=0,"-",'Residual-Rostered'!#REF!)</f>
        <v>#REF!</v>
      </c>
      <c r="U36" s="25" t="e">
        <f>IF('Residual-Rostered'!#REF!=0,"-",'Residual-Rostered'!#REF!)</f>
        <v>#REF!</v>
      </c>
      <c r="V36" s="25" t="e">
        <f>IF('Residual-Rostered'!#REF!=0,"-",'Residual-Rostered'!#REF!)</f>
        <v>#REF!</v>
      </c>
      <c r="W36" s="25" t="e">
        <f>IF('Residual-Rostered'!#REF!=0,"-",'Residual-Rostered'!#REF!)</f>
        <v>#REF!</v>
      </c>
      <c r="X36" s="25" t="e">
        <f>IF('Residual-Rostered'!#REF!=0,"-",'Residual-Rostered'!#REF!)</f>
        <v>#REF!</v>
      </c>
      <c r="Y36" s="25" t="e">
        <f>IF('Residual-Rostered'!#REF!=0,"-",'Residual-Rostered'!#REF!)</f>
        <v>#REF!</v>
      </c>
      <c r="Z36" s="25" t="e">
        <f>IF('Residual-Rostered'!#REF!=0,"-",'Residual-Rostered'!#REF!)</f>
        <v>#REF!</v>
      </c>
      <c r="AA36" s="25" t="e">
        <f>IF('Residual-Rostered'!#REF!=0,"-",'Residual-Rostered'!#REF!)</f>
        <v>#REF!</v>
      </c>
      <c r="AB36" s="25" t="e">
        <f>IF('Residual-Rostered'!#REF!=0,"-",'Residual-Rostered'!#REF!)</f>
        <v>#REF!</v>
      </c>
      <c r="AC36" s="25" t="e">
        <f>IF('Residual-Rostered'!#REF!=0,"-",'Residual-Rostered'!#REF!)</f>
        <v>#REF!</v>
      </c>
      <c r="AD36" s="25" t="e">
        <f>IF('Residual-Rostered'!#REF!=0,"-",'Residual-Rostered'!#REF!)</f>
        <v>#REF!</v>
      </c>
      <c r="AE36" s="25" t="e">
        <f>IF('Residual-Rostered'!#REF!=0,"-",'Residual-Rostered'!#REF!)</f>
        <v>#REF!</v>
      </c>
      <c r="AF36" s="25" t="e">
        <f>IF('Residual-Rostered'!#REF!=0,"-",'Residual-Rostered'!#REF!)</f>
        <v>#REF!</v>
      </c>
      <c r="AG36" s="25" t="e">
        <f>IF('Residual-Rostered'!#REF!=0,"-",'Residual-Rostered'!#REF!)</f>
        <v>#REF!</v>
      </c>
      <c r="AH36" s="25" t="e">
        <f>IF('Residual-Rostered'!#REF!=0,"-",'Residual-Rostered'!#REF!)</f>
        <v>#REF!</v>
      </c>
      <c r="AI36" s="25" t="e">
        <f>IF('Residual-Rostered'!#REF!=0,"-",'Residual-Rostered'!#REF!)</f>
        <v>#REF!</v>
      </c>
      <c r="AJ36" s="25" t="e">
        <f>IF('Residual-Rostered'!#REF!=0,"-",'Residual-Rostered'!#REF!)</f>
        <v>#REF!</v>
      </c>
      <c r="AK36" s="25" t="e">
        <f>IF('Residual-Rostered'!#REF!=0,"-",'Residual-Rostered'!#REF!)</f>
        <v>#REF!</v>
      </c>
      <c r="AL36" s="25" t="e">
        <f>IF('Residual-Rostered'!#REF!=0,"-",'Residual-Rostered'!#REF!)</f>
        <v>#REF!</v>
      </c>
      <c r="AM36" s="25" t="e">
        <f>IF('Residual-Rostered'!#REF!=0,"-",'Residual-Rostered'!#REF!)</f>
        <v>#REF!</v>
      </c>
      <c r="AN36" s="25" t="e">
        <f>IF('Residual-Rostered'!#REF!=0,"-",'Residual-Rostered'!#REF!)</f>
        <v>#REF!</v>
      </c>
      <c r="AO36" s="25" t="e">
        <f>IF('Residual-Rostered'!#REF!=0,"-",'Residual-Rostered'!#REF!)</f>
        <v>#REF!</v>
      </c>
      <c r="AP36" s="25" t="e">
        <f>IF('Residual-Rostered'!#REF!=0,"-",'Residual-Rostered'!#REF!)</f>
        <v>#REF!</v>
      </c>
      <c r="AQ36" s="25" t="e">
        <f>IF('Residual-Rostered'!#REF!=0,"-",'Residual-Rostered'!#REF!)</f>
        <v>#REF!</v>
      </c>
      <c r="AR36" s="25" t="e">
        <f>IF('Residual-Rostered'!#REF!=0,"-",'Residual-Rostered'!#REF!)</f>
        <v>#REF!</v>
      </c>
      <c r="AS36" s="25" t="e">
        <f>IF('Residual-Rostered'!#REF!=0,"-",'Residual-Rostered'!#REF!)</f>
        <v>#REF!</v>
      </c>
    </row>
    <row r="37" spans="1:45" x14ac:dyDescent="0.25">
      <c r="A37" s="25" t="e">
        <f>'Residual-Rostered'!#REF!</f>
        <v>#REF!</v>
      </c>
      <c r="B37" s="25" t="e">
        <f>'Residual-Rostered'!#REF!</f>
        <v>#REF!</v>
      </c>
      <c r="C37" s="25" t="e">
        <f>'Residual-Rostered'!#REF!</f>
        <v>#REF!</v>
      </c>
      <c r="D37" s="25" t="e">
        <f>IF('Residual-Rostered'!#REF!=0,"-",'Residual-Rostered'!#REF!)</f>
        <v>#REF!</v>
      </c>
      <c r="E37" s="25" t="e">
        <f>IF('Residual-Rostered'!#REF!=0,"-",'Residual-Rostered'!#REF!)</f>
        <v>#REF!</v>
      </c>
      <c r="F37" s="25" t="e">
        <f>IF('Residual-Rostered'!#REF!=0,"-",'Residual-Rostered'!#REF!)</f>
        <v>#REF!</v>
      </c>
      <c r="G37" s="25" t="e">
        <f>IF('Residual-Rostered'!#REF!=0,"-",'Residual-Rostered'!#REF!)</f>
        <v>#REF!</v>
      </c>
      <c r="H37" s="25" t="e">
        <f>IF('Residual-Rostered'!#REF!=0,"-",'Residual-Rostered'!#REF!)</f>
        <v>#REF!</v>
      </c>
      <c r="I37" s="25" t="e">
        <f>IF('Residual-Rostered'!#REF!=0,"-",'Residual-Rostered'!#REF!)</f>
        <v>#REF!</v>
      </c>
      <c r="J37" s="25" t="e">
        <f>IF('Residual-Rostered'!#REF!=0,"-",'Residual-Rostered'!#REF!)</f>
        <v>#REF!</v>
      </c>
      <c r="K37" s="25" t="e">
        <f>IF('Residual-Rostered'!#REF!=0,"-",'Residual-Rostered'!#REF!)</f>
        <v>#REF!</v>
      </c>
      <c r="L37" s="25" t="e">
        <f>IF('Residual-Rostered'!#REF!=0,"-",'Residual-Rostered'!#REF!)</f>
        <v>#REF!</v>
      </c>
      <c r="M37" s="25" t="e">
        <f>IF('Residual-Rostered'!#REF!=0,"-",'Residual-Rostered'!#REF!)</f>
        <v>#REF!</v>
      </c>
      <c r="N37" s="25" t="e">
        <f>IF('Residual-Rostered'!#REF!=0,"-",'Residual-Rostered'!#REF!)</f>
        <v>#REF!</v>
      </c>
      <c r="O37" s="25" t="e">
        <f>IF('Residual-Rostered'!#REF!=0,"-",'Residual-Rostered'!#REF!)</f>
        <v>#REF!</v>
      </c>
      <c r="P37" s="25" t="e">
        <f>IF('Residual-Rostered'!#REF!=0,"-",'Residual-Rostered'!#REF!)</f>
        <v>#REF!</v>
      </c>
      <c r="Q37" s="25" t="e">
        <f>IF('Residual-Rostered'!#REF!=0,"-",'Residual-Rostered'!#REF!)</f>
        <v>#REF!</v>
      </c>
      <c r="R37" s="25" t="e">
        <f>IF('Residual-Rostered'!#REF!=0,"-",'Residual-Rostered'!#REF!)</f>
        <v>#REF!</v>
      </c>
      <c r="S37" s="25" t="e">
        <f>IF('Residual-Rostered'!#REF!=0,"-",'Residual-Rostered'!#REF!)</f>
        <v>#REF!</v>
      </c>
      <c r="T37" s="25" t="e">
        <f>IF('Residual-Rostered'!#REF!=0,"-",'Residual-Rostered'!#REF!)</f>
        <v>#REF!</v>
      </c>
      <c r="U37" s="25" t="e">
        <f>IF('Residual-Rostered'!#REF!=0,"-",'Residual-Rostered'!#REF!)</f>
        <v>#REF!</v>
      </c>
      <c r="V37" s="25" t="e">
        <f>IF('Residual-Rostered'!#REF!=0,"-",'Residual-Rostered'!#REF!)</f>
        <v>#REF!</v>
      </c>
      <c r="W37" s="25" t="e">
        <f>IF('Residual-Rostered'!#REF!=0,"-",'Residual-Rostered'!#REF!)</f>
        <v>#REF!</v>
      </c>
      <c r="X37" s="25" t="e">
        <f>IF('Residual-Rostered'!#REF!=0,"-",'Residual-Rostered'!#REF!)</f>
        <v>#REF!</v>
      </c>
      <c r="Y37" s="25" t="e">
        <f>IF('Residual-Rostered'!#REF!=0,"-",'Residual-Rostered'!#REF!)</f>
        <v>#REF!</v>
      </c>
      <c r="Z37" s="25" t="e">
        <f>IF('Residual-Rostered'!#REF!=0,"-",'Residual-Rostered'!#REF!)</f>
        <v>#REF!</v>
      </c>
      <c r="AA37" s="25" t="e">
        <f>IF('Residual-Rostered'!#REF!=0,"-",'Residual-Rostered'!#REF!)</f>
        <v>#REF!</v>
      </c>
      <c r="AB37" s="25" t="e">
        <f>IF('Residual-Rostered'!#REF!=0,"-",'Residual-Rostered'!#REF!)</f>
        <v>#REF!</v>
      </c>
      <c r="AC37" s="25" t="e">
        <f>IF('Residual-Rostered'!#REF!=0,"-",'Residual-Rostered'!#REF!)</f>
        <v>#REF!</v>
      </c>
      <c r="AD37" s="25" t="e">
        <f>IF('Residual-Rostered'!#REF!=0,"-",'Residual-Rostered'!#REF!)</f>
        <v>#REF!</v>
      </c>
      <c r="AE37" s="25" t="e">
        <f>IF('Residual-Rostered'!#REF!=0,"-",'Residual-Rostered'!#REF!)</f>
        <v>#REF!</v>
      </c>
      <c r="AF37" s="25" t="e">
        <f>IF('Residual-Rostered'!#REF!=0,"-",'Residual-Rostered'!#REF!)</f>
        <v>#REF!</v>
      </c>
      <c r="AG37" s="25" t="e">
        <f>IF('Residual-Rostered'!#REF!=0,"-",'Residual-Rostered'!#REF!)</f>
        <v>#REF!</v>
      </c>
      <c r="AH37" s="25" t="e">
        <f>IF('Residual-Rostered'!#REF!=0,"-",'Residual-Rostered'!#REF!)</f>
        <v>#REF!</v>
      </c>
      <c r="AI37" s="25" t="e">
        <f>IF('Residual-Rostered'!#REF!=0,"-",'Residual-Rostered'!#REF!)</f>
        <v>#REF!</v>
      </c>
      <c r="AJ37" s="25" t="e">
        <f>IF('Residual-Rostered'!#REF!=0,"-",'Residual-Rostered'!#REF!)</f>
        <v>#REF!</v>
      </c>
      <c r="AK37" s="25" t="e">
        <f>IF('Residual-Rostered'!#REF!=0,"-",'Residual-Rostered'!#REF!)</f>
        <v>#REF!</v>
      </c>
      <c r="AL37" s="25" t="e">
        <f>IF('Residual-Rostered'!#REF!=0,"-",'Residual-Rostered'!#REF!)</f>
        <v>#REF!</v>
      </c>
      <c r="AM37" s="25" t="e">
        <f>IF('Residual-Rostered'!#REF!=0,"-",'Residual-Rostered'!#REF!)</f>
        <v>#REF!</v>
      </c>
      <c r="AN37" s="25" t="e">
        <f>IF('Residual-Rostered'!#REF!=0,"-",'Residual-Rostered'!#REF!)</f>
        <v>#REF!</v>
      </c>
      <c r="AO37" s="25" t="e">
        <f>IF('Residual-Rostered'!#REF!=0,"-",'Residual-Rostered'!#REF!)</f>
        <v>#REF!</v>
      </c>
      <c r="AP37" s="25" t="e">
        <f>IF('Residual-Rostered'!#REF!=0,"-",'Residual-Rostered'!#REF!)</f>
        <v>#REF!</v>
      </c>
      <c r="AQ37" s="25" t="e">
        <f>IF('Residual-Rostered'!#REF!=0,"-",'Residual-Rostered'!#REF!)</f>
        <v>#REF!</v>
      </c>
      <c r="AR37" s="25" t="e">
        <f>IF('Residual-Rostered'!#REF!=0,"-",'Residual-Rostered'!#REF!)</f>
        <v>#REF!</v>
      </c>
      <c r="AS37" s="25" t="e">
        <f>IF('Residual-Rostered'!#REF!=0,"-",'Residual-Rostered'!#REF!)</f>
        <v>#REF!</v>
      </c>
    </row>
    <row r="38" spans="1:45" x14ac:dyDescent="0.25">
      <c r="A38" s="25" t="e">
        <f>'Residual-Rostered'!#REF!</f>
        <v>#REF!</v>
      </c>
      <c r="B38" s="25" t="e">
        <f>'Residual-Rostered'!#REF!</f>
        <v>#REF!</v>
      </c>
      <c r="C38" s="25" t="e">
        <f>'Residual-Rostered'!#REF!</f>
        <v>#REF!</v>
      </c>
      <c r="D38" s="25" t="e">
        <f>IF('Residual-Rostered'!#REF!=0,"-",'Residual-Rostered'!#REF!)</f>
        <v>#REF!</v>
      </c>
      <c r="E38" s="25" t="e">
        <f>IF('Residual-Rostered'!#REF!=0,"-",'Residual-Rostered'!#REF!)</f>
        <v>#REF!</v>
      </c>
      <c r="F38" s="25" t="e">
        <f>IF('Residual-Rostered'!#REF!=0,"-",'Residual-Rostered'!#REF!)</f>
        <v>#REF!</v>
      </c>
      <c r="G38" s="25" t="e">
        <f>IF('Residual-Rostered'!#REF!=0,"-",'Residual-Rostered'!#REF!)</f>
        <v>#REF!</v>
      </c>
      <c r="H38" s="25" t="e">
        <f>IF('Residual-Rostered'!#REF!=0,"-",'Residual-Rostered'!#REF!)</f>
        <v>#REF!</v>
      </c>
      <c r="I38" s="25" t="e">
        <f>IF('Residual-Rostered'!#REF!=0,"-",'Residual-Rostered'!#REF!)</f>
        <v>#REF!</v>
      </c>
      <c r="J38" s="25" t="e">
        <f>IF('Residual-Rostered'!#REF!=0,"-",'Residual-Rostered'!#REF!)</f>
        <v>#REF!</v>
      </c>
      <c r="K38" s="25" t="e">
        <f>IF('Residual-Rostered'!#REF!=0,"-",'Residual-Rostered'!#REF!)</f>
        <v>#REF!</v>
      </c>
      <c r="L38" s="25" t="e">
        <f>IF('Residual-Rostered'!#REF!=0,"-",'Residual-Rostered'!#REF!)</f>
        <v>#REF!</v>
      </c>
      <c r="M38" s="25" t="e">
        <f>IF('Residual-Rostered'!#REF!=0,"-",'Residual-Rostered'!#REF!)</f>
        <v>#REF!</v>
      </c>
      <c r="N38" s="25" t="e">
        <f>IF('Residual-Rostered'!#REF!=0,"-",'Residual-Rostered'!#REF!)</f>
        <v>#REF!</v>
      </c>
      <c r="O38" s="25" t="e">
        <f>IF('Residual-Rostered'!#REF!=0,"-",'Residual-Rostered'!#REF!)</f>
        <v>#REF!</v>
      </c>
      <c r="P38" s="25" t="e">
        <f>IF('Residual-Rostered'!#REF!=0,"-",'Residual-Rostered'!#REF!)</f>
        <v>#REF!</v>
      </c>
      <c r="Q38" s="25" t="e">
        <f>IF('Residual-Rostered'!#REF!=0,"-",'Residual-Rostered'!#REF!)</f>
        <v>#REF!</v>
      </c>
      <c r="R38" s="25" t="e">
        <f>IF('Residual-Rostered'!#REF!=0,"-",'Residual-Rostered'!#REF!)</f>
        <v>#REF!</v>
      </c>
      <c r="S38" s="25" t="e">
        <f>IF('Residual-Rostered'!#REF!=0,"-",'Residual-Rostered'!#REF!)</f>
        <v>#REF!</v>
      </c>
      <c r="T38" s="25" t="e">
        <f>IF('Residual-Rostered'!#REF!=0,"-",'Residual-Rostered'!#REF!)</f>
        <v>#REF!</v>
      </c>
      <c r="U38" s="25" t="e">
        <f>IF('Residual-Rostered'!#REF!=0,"-",'Residual-Rostered'!#REF!)</f>
        <v>#REF!</v>
      </c>
      <c r="V38" s="25" t="e">
        <f>IF('Residual-Rostered'!#REF!=0,"-",'Residual-Rostered'!#REF!)</f>
        <v>#REF!</v>
      </c>
      <c r="W38" s="25" t="e">
        <f>IF('Residual-Rostered'!#REF!=0,"-",'Residual-Rostered'!#REF!)</f>
        <v>#REF!</v>
      </c>
      <c r="X38" s="25" t="e">
        <f>IF('Residual-Rostered'!#REF!=0,"-",'Residual-Rostered'!#REF!)</f>
        <v>#REF!</v>
      </c>
      <c r="Y38" s="25" t="e">
        <f>IF('Residual-Rostered'!#REF!=0,"-",'Residual-Rostered'!#REF!)</f>
        <v>#REF!</v>
      </c>
      <c r="Z38" s="25" t="e">
        <f>IF('Residual-Rostered'!#REF!=0,"-",'Residual-Rostered'!#REF!)</f>
        <v>#REF!</v>
      </c>
      <c r="AA38" s="25" t="e">
        <f>IF('Residual-Rostered'!#REF!=0,"-",'Residual-Rostered'!#REF!)</f>
        <v>#REF!</v>
      </c>
      <c r="AB38" s="25" t="e">
        <f>IF('Residual-Rostered'!#REF!=0,"-",'Residual-Rostered'!#REF!)</f>
        <v>#REF!</v>
      </c>
      <c r="AC38" s="25" t="e">
        <f>IF('Residual-Rostered'!#REF!=0,"-",'Residual-Rostered'!#REF!)</f>
        <v>#REF!</v>
      </c>
      <c r="AD38" s="25" t="e">
        <f>IF('Residual-Rostered'!#REF!=0,"-",'Residual-Rostered'!#REF!)</f>
        <v>#REF!</v>
      </c>
      <c r="AE38" s="25" t="e">
        <f>IF('Residual-Rostered'!#REF!=0,"-",'Residual-Rostered'!#REF!)</f>
        <v>#REF!</v>
      </c>
      <c r="AF38" s="25" t="e">
        <f>IF('Residual-Rostered'!#REF!=0,"-",'Residual-Rostered'!#REF!)</f>
        <v>#REF!</v>
      </c>
      <c r="AG38" s="25" t="e">
        <f>IF('Residual-Rostered'!#REF!=0,"-",'Residual-Rostered'!#REF!)</f>
        <v>#REF!</v>
      </c>
      <c r="AH38" s="25" t="e">
        <f>IF('Residual-Rostered'!#REF!=0,"-",'Residual-Rostered'!#REF!)</f>
        <v>#REF!</v>
      </c>
      <c r="AI38" s="25" t="e">
        <f>IF('Residual-Rostered'!#REF!=0,"-",'Residual-Rostered'!#REF!)</f>
        <v>#REF!</v>
      </c>
      <c r="AJ38" s="25" t="e">
        <f>IF('Residual-Rostered'!#REF!=0,"-",'Residual-Rostered'!#REF!)</f>
        <v>#REF!</v>
      </c>
      <c r="AK38" s="25" t="e">
        <f>IF('Residual-Rostered'!#REF!=0,"-",'Residual-Rostered'!#REF!)</f>
        <v>#REF!</v>
      </c>
      <c r="AL38" s="25" t="e">
        <f>IF('Residual-Rostered'!#REF!=0,"-",'Residual-Rostered'!#REF!)</f>
        <v>#REF!</v>
      </c>
      <c r="AM38" s="25" t="e">
        <f>IF('Residual-Rostered'!#REF!=0,"-",'Residual-Rostered'!#REF!)</f>
        <v>#REF!</v>
      </c>
      <c r="AN38" s="25" t="e">
        <f>IF('Residual-Rostered'!#REF!=0,"-",'Residual-Rostered'!#REF!)</f>
        <v>#REF!</v>
      </c>
      <c r="AO38" s="25" t="e">
        <f>IF('Residual-Rostered'!#REF!=0,"-",'Residual-Rostered'!#REF!)</f>
        <v>#REF!</v>
      </c>
      <c r="AP38" s="25" t="e">
        <f>IF('Residual-Rostered'!#REF!=0,"-",'Residual-Rostered'!#REF!)</f>
        <v>#REF!</v>
      </c>
      <c r="AQ38" s="25" t="e">
        <f>IF('Residual-Rostered'!#REF!=0,"-",'Residual-Rostered'!#REF!)</f>
        <v>#REF!</v>
      </c>
      <c r="AR38" s="25" t="e">
        <f>IF('Residual-Rostered'!#REF!=0,"-",'Residual-Rostered'!#REF!)</f>
        <v>#REF!</v>
      </c>
      <c r="AS38" s="25" t="e">
        <f>IF('Residual-Rostered'!#REF!=0,"-",'Residual-Rostered'!#REF!)</f>
        <v>#REF!</v>
      </c>
    </row>
    <row r="39" spans="1:45" x14ac:dyDescent="0.25">
      <c r="A39" s="25" t="e">
        <f>'Residual-Rostered'!#REF!</f>
        <v>#REF!</v>
      </c>
      <c r="B39" s="25" t="e">
        <f>'Residual-Rostered'!#REF!</f>
        <v>#REF!</v>
      </c>
      <c r="C39" s="25" t="e">
        <f>'Residual-Rostered'!#REF!</f>
        <v>#REF!</v>
      </c>
      <c r="D39" s="25" t="e">
        <f>IF('Residual-Rostered'!#REF!=0,"-",'Residual-Rostered'!#REF!)</f>
        <v>#REF!</v>
      </c>
      <c r="E39" s="25" t="e">
        <f>IF('Residual-Rostered'!#REF!=0,"-",'Residual-Rostered'!#REF!)</f>
        <v>#REF!</v>
      </c>
      <c r="F39" s="25" t="e">
        <f>IF('Residual-Rostered'!#REF!=0,"-",'Residual-Rostered'!#REF!)</f>
        <v>#REF!</v>
      </c>
      <c r="G39" s="25" t="e">
        <f>IF('Residual-Rostered'!#REF!=0,"-",'Residual-Rostered'!#REF!)</f>
        <v>#REF!</v>
      </c>
      <c r="H39" s="25" t="e">
        <f>IF('Residual-Rostered'!#REF!=0,"-",'Residual-Rostered'!#REF!)</f>
        <v>#REF!</v>
      </c>
      <c r="I39" s="25" t="e">
        <f>IF('Residual-Rostered'!#REF!=0,"-",'Residual-Rostered'!#REF!)</f>
        <v>#REF!</v>
      </c>
      <c r="J39" s="25" t="e">
        <f>IF('Residual-Rostered'!#REF!=0,"-",'Residual-Rostered'!#REF!)</f>
        <v>#REF!</v>
      </c>
      <c r="K39" s="25" t="e">
        <f>IF('Residual-Rostered'!#REF!=0,"-",'Residual-Rostered'!#REF!)</f>
        <v>#REF!</v>
      </c>
      <c r="L39" s="25" t="e">
        <f>IF('Residual-Rostered'!#REF!=0,"-",'Residual-Rostered'!#REF!)</f>
        <v>#REF!</v>
      </c>
      <c r="M39" s="25" t="e">
        <f>IF('Residual-Rostered'!#REF!=0,"-",'Residual-Rostered'!#REF!)</f>
        <v>#REF!</v>
      </c>
      <c r="N39" s="25" t="e">
        <f>IF('Residual-Rostered'!#REF!=0,"-",'Residual-Rostered'!#REF!)</f>
        <v>#REF!</v>
      </c>
      <c r="O39" s="25" t="e">
        <f>IF('Residual-Rostered'!#REF!=0,"-",'Residual-Rostered'!#REF!)</f>
        <v>#REF!</v>
      </c>
      <c r="P39" s="25" t="e">
        <f>IF('Residual-Rostered'!#REF!=0,"-",'Residual-Rostered'!#REF!)</f>
        <v>#REF!</v>
      </c>
      <c r="Q39" s="25" t="e">
        <f>IF('Residual-Rostered'!#REF!=0,"-",'Residual-Rostered'!#REF!)</f>
        <v>#REF!</v>
      </c>
      <c r="R39" s="25" t="e">
        <f>IF('Residual-Rostered'!#REF!=0,"-",'Residual-Rostered'!#REF!)</f>
        <v>#REF!</v>
      </c>
      <c r="S39" s="25" t="e">
        <f>IF('Residual-Rostered'!#REF!=0,"-",'Residual-Rostered'!#REF!)</f>
        <v>#REF!</v>
      </c>
      <c r="T39" s="25" t="e">
        <f>IF('Residual-Rostered'!#REF!=0,"-",'Residual-Rostered'!#REF!)</f>
        <v>#REF!</v>
      </c>
      <c r="U39" s="25" t="e">
        <f>IF('Residual-Rostered'!#REF!=0,"-",'Residual-Rostered'!#REF!)</f>
        <v>#REF!</v>
      </c>
      <c r="V39" s="25" t="e">
        <f>IF('Residual-Rostered'!#REF!=0,"-",'Residual-Rostered'!#REF!)</f>
        <v>#REF!</v>
      </c>
      <c r="W39" s="25" t="e">
        <f>IF('Residual-Rostered'!#REF!=0,"-",'Residual-Rostered'!#REF!)</f>
        <v>#REF!</v>
      </c>
      <c r="X39" s="25" t="e">
        <f>IF('Residual-Rostered'!#REF!=0,"-",'Residual-Rostered'!#REF!)</f>
        <v>#REF!</v>
      </c>
      <c r="Y39" s="25" t="e">
        <f>IF('Residual-Rostered'!#REF!=0,"-",'Residual-Rostered'!#REF!)</f>
        <v>#REF!</v>
      </c>
      <c r="Z39" s="25" t="e">
        <f>IF('Residual-Rostered'!#REF!=0,"-",'Residual-Rostered'!#REF!)</f>
        <v>#REF!</v>
      </c>
      <c r="AA39" s="25" t="e">
        <f>IF('Residual-Rostered'!#REF!=0,"-",'Residual-Rostered'!#REF!)</f>
        <v>#REF!</v>
      </c>
      <c r="AB39" s="25" t="e">
        <f>IF('Residual-Rostered'!#REF!=0,"-",'Residual-Rostered'!#REF!)</f>
        <v>#REF!</v>
      </c>
      <c r="AC39" s="25" t="e">
        <f>IF('Residual-Rostered'!#REF!=0,"-",'Residual-Rostered'!#REF!)</f>
        <v>#REF!</v>
      </c>
      <c r="AD39" s="25" t="e">
        <f>IF('Residual-Rostered'!#REF!=0,"-",'Residual-Rostered'!#REF!)</f>
        <v>#REF!</v>
      </c>
      <c r="AE39" s="25" t="e">
        <f>IF('Residual-Rostered'!#REF!=0,"-",'Residual-Rostered'!#REF!)</f>
        <v>#REF!</v>
      </c>
      <c r="AF39" s="25" t="e">
        <f>IF('Residual-Rostered'!#REF!=0,"-",'Residual-Rostered'!#REF!)</f>
        <v>#REF!</v>
      </c>
      <c r="AG39" s="25" t="e">
        <f>IF('Residual-Rostered'!#REF!=0,"-",'Residual-Rostered'!#REF!)</f>
        <v>#REF!</v>
      </c>
      <c r="AH39" s="25" t="e">
        <f>IF('Residual-Rostered'!#REF!=0,"-",'Residual-Rostered'!#REF!)</f>
        <v>#REF!</v>
      </c>
      <c r="AI39" s="25" t="e">
        <f>IF('Residual-Rostered'!#REF!=0,"-",'Residual-Rostered'!#REF!)</f>
        <v>#REF!</v>
      </c>
      <c r="AJ39" s="25" t="e">
        <f>IF('Residual-Rostered'!#REF!=0,"-",'Residual-Rostered'!#REF!)</f>
        <v>#REF!</v>
      </c>
      <c r="AK39" s="25" t="e">
        <f>IF('Residual-Rostered'!#REF!=0,"-",'Residual-Rostered'!#REF!)</f>
        <v>#REF!</v>
      </c>
      <c r="AL39" s="25" t="e">
        <f>IF('Residual-Rostered'!#REF!=0,"-",'Residual-Rostered'!#REF!)</f>
        <v>#REF!</v>
      </c>
      <c r="AM39" s="25" t="e">
        <f>IF('Residual-Rostered'!#REF!=0,"-",'Residual-Rostered'!#REF!)</f>
        <v>#REF!</v>
      </c>
      <c r="AN39" s="25" t="e">
        <f>IF('Residual-Rostered'!#REF!=0,"-",'Residual-Rostered'!#REF!)</f>
        <v>#REF!</v>
      </c>
      <c r="AO39" s="25" t="e">
        <f>IF('Residual-Rostered'!#REF!=0,"-",'Residual-Rostered'!#REF!)</f>
        <v>#REF!</v>
      </c>
      <c r="AP39" s="25" t="e">
        <f>IF('Residual-Rostered'!#REF!=0,"-",'Residual-Rostered'!#REF!)</f>
        <v>#REF!</v>
      </c>
      <c r="AQ39" s="25" t="e">
        <f>IF('Residual-Rostered'!#REF!=0,"-",'Residual-Rostered'!#REF!)</f>
        <v>#REF!</v>
      </c>
      <c r="AR39" s="25" t="e">
        <f>IF('Residual-Rostered'!#REF!=0,"-",'Residual-Rostered'!#REF!)</f>
        <v>#REF!</v>
      </c>
      <c r="AS39" s="25" t="e">
        <f>IF('Residual-Rostered'!#REF!=0,"-",'Residual-Rostered'!#REF!)</f>
        <v>#REF!</v>
      </c>
    </row>
    <row r="40" spans="1:45" x14ac:dyDescent="0.25">
      <c r="A40" s="25" t="e">
        <f>'Residual-Rostered'!#REF!</f>
        <v>#REF!</v>
      </c>
      <c r="B40" s="25" t="e">
        <f>'Residual-Rostered'!#REF!</f>
        <v>#REF!</v>
      </c>
      <c r="C40" s="25" t="e">
        <f>'Residual-Rostered'!#REF!</f>
        <v>#REF!</v>
      </c>
      <c r="D40" s="25" t="e">
        <f>IF('Residual-Rostered'!#REF!=0,"-",'Residual-Rostered'!#REF!)</f>
        <v>#REF!</v>
      </c>
      <c r="E40" s="25" t="e">
        <f>IF('Residual-Rostered'!#REF!=0,"-",'Residual-Rostered'!#REF!)</f>
        <v>#REF!</v>
      </c>
      <c r="F40" s="25" t="e">
        <f>IF('Residual-Rostered'!#REF!=0,"-",'Residual-Rostered'!#REF!)</f>
        <v>#REF!</v>
      </c>
      <c r="G40" s="25" t="e">
        <f>IF('Residual-Rostered'!#REF!=0,"-",'Residual-Rostered'!#REF!)</f>
        <v>#REF!</v>
      </c>
      <c r="H40" s="25" t="e">
        <f>IF('Residual-Rostered'!#REF!=0,"-",'Residual-Rostered'!#REF!)</f>
        <v>#REF!</v>
      </c>
      <c r="I40" s="25" t="e">
        <f>IF('Residual-Rostered'!#REF!=0,"-",'Residual-Rostered'!#REF!)</f>
        <v>#REF!</v>
      </c>
      <c r="J40" s="25" t="e">
        <f>IF('Residual-Rostered'!#REF!=0,"-",'Residual-Rostered'!#REF!)</f>
        <v>#REF!</v>
      </c>
      <c r="K40" s="25" t="e">
        <f>IF('Residual-Rostered'!#REF!=0,"-",'Residual-Rostered'!#REF!)</f>
        <v>#REF!</v>
      </c>
      <c r="L40" s="25" t="e">
        <f>IF('Residual-Rostered'!#REF!=0,"-",'Residual-Rostered'!#REF!)</f>
        <v>#REF!</v>
      </c>
      <c r="M40" s="25" t="e">
        <f>IF('Residual-Rostered'!#REF!=0,"-",'Residual-Rostered'!#REF!)</f>
        <v>#REF!</v>
      </c>
      <c r="N40" s="25" t="e">
        <f>IF('Residual-Rostered'!#REF!=0,"-",'Residual-Rostered'!#REF!)</f>
        <v>#REF!</v>
      </c>
      <c r="O40" s="25" t="e">
        <f>IF('Residual-Rostered'!#REF!=0,"-",'Residual-Rostered'!#REF!)</f>
        <v>#REF!</v>
      </c>
      <c r="P40" s="25" t="e">
        <f>IF('Residual-Rostered'!#REF!=0,"-",'Residual-Rostered'!#REF!)</f>
        <v>#REF!</v>
      </c>
      <c r="Q40" s="25" t="e">
        <f>IF('Residual-Rostered'!#REF!=0,"-",'Residual-Rostered'!#REF!)</f>
        <v>#REF!</v>
      </c>
      <c r="R40" s="25" t="e">
        <f>IF('Residual-Rostered'!#REF!=0,"-",'Residual-Rostered'!#REF!)</f>
        <v>#REF!</v>
      </c>
      <c r="S40" s="25" t="e">
        <f>IF('Residual-Rostered'!#REF!=0,"-",'Residual-Rostered'!#REF!)</f>
        <v>#REF!</v>
      </c>
      <c r="T40" s="25" t="e">
        <f>IF('Residual-Rostered'!#REF!=0,"-",'Residual-Rostered'!#REF!)</f>
        <v>#REF!</v>
      </c>
      <c r="U40" s="25" t="e">
        <f>IF('Residual-Rostered'!#REF!=0,"-",'Residual-Rostered'!#REF!)</f>
        <v>#REF!</v>
      </c>
      <c r="V40" s="25" t="e">
        <f>IF('Residual-Rostered'!#REF!=0,"-",'Residual-Rostered'!#REF!)</f>
        <v>#REF!</v>
      </c>
      <c r="W40" s="25" t="e">
        <f>IF('Residual-Rostered'!#REF!=0,"-",'Residual-Rostered'!#REF!)</f>
        <v>#REF!</v>
      </c>
      <c r="X40" s="25" t="e">
        <f>IF('Residual-Rostered'!#REF!=0,"-",'Residual-Rostered'!#REF!)</f>
        <v>#REF!</v>
      </c>
      <c r="Y40" s="25" t="e">
        <f>IF('Residual-Rostered'!#REF!=0,"-",'Residual-Rostered'!#REF!)</f>
        <v>#REF!</v>
      </c>
      <c r="Z40" s="25" t="e">
        <f>IF('Residual-Rostered'!#REF!=0,"-",'Residual-Rostered'!#REF!)</f>
        <v>#REF!</v>
      </c>
      <c r="AA40" s="25" t="e">
        <f>IF('Residual-Rostered'!#REF!=0,"-",'Residual-Rostered'!#REF!)</f>
        <v>#REF!</v>
      </c>
      <c r="AB40" s="25" t="e">
        <f>IF('Residual-Rostered'!#REF!=0,"-",'Residual-Rostered'!#REF!)</f>
        <v>#REF!</v>
      </c>
      <c r="AC40" s="25" t="e">
        <f>IF('Residual-Rostered'!#REF!=0,"-",'Residual-Rostered'!#REF!)</f>
        <v>#REF!</v>
      </c>
      <c r="AD40" s="25" t="e">
        <f>IF('Residual-Rostered'!#REF!=0,"-",'Residual-Rostered'!#REF!)</f>
        <v>#REF!</v>
      </c>
      <c r="AE40" s="25" t="e">
        <f>IF('Residual-Rostered'!#REF!=0,"-",'Residual-Rostered'!#REF!)</f>
        <v>#REF!</v>
      </c>
      <c r="AF40" s="25" t="e">
        <f>IF('Residual-Rostered'!#REF!=0,"-",'Residual-Rostered'!#REF!)</f>
        <v>#REF!</v>
      </c>
      <c r="AG40" s="25" t="e">
        <f>IF('Residual-Rostered'!#REF!=0,"-",'Residual-Rostered'!#REF!)</f>
        <v>#REF!</v>
      </c>
      <c r="AH40" s="25" t="e">
        <f>IF('Residual-Rostered'!#REF!=0,"-",'Residual-Rostered'!#REF!)</f>
        <v>#REF!</v>
      </c>
      <c r="AI40" s="25" t="e">
        <f>IF('Residual-Rostered'!#REF!=0,"-",'Residual-Rostered'!#REF!)</f>
        <v>#REF!</v>
      </c>
      <c r="AJ40" s="25" t="e">
        <f>IF('Residual-Rostered'!#REF!=0,"-",'Residual-Rostered'!#REF!)</f>
        <v>#REF!</v>
      </c>
      <c r="AK40" s="25" t="e">
        <f>IF('Residual-Rostered'!#REF!=0,"-",'Residual-Rostered'!#REF!)</f>
        <v>#REF!</v>
      </c>
      <c r="AL40" s="25" t="e">
        <f>IF('Residual-Rostered'!#REF!=0,"-",'Residual-Rostered'!#REF!)</f>
        <v>#REF!</v>
      </c>
      <c r="AM40" s="25" t="e">
        <f>IF('Residual-Rostered'!#REF!=0,"-",'Residual-Rostered'!#REF!)</f>
        <v>#REF!</v>
      </c>
      <c r="AN40" s="25" t="e">
        <f>IF('Residual-Rostered'!#REF!=0,"-",'Residual-Rostered'!#REF!)</f>
        <v>#REF!</v>
      </c>
      <c r="AO40" s="25" t="e">
        <f>IF('Residual-Rostered'!#REF!=0,"-",'Residual-Rostered'!#REF!)</f>
        <v>#REF!</v>
      </c>
      <c r="AP40" s="25" t="e">
        <f>IF('Residual-Rostered'!#REF!=0,"-",'Residual-Rostered'!#REF!)</f>
        <v>#REF!</v>
      </c>
      <c r="AQ40" s="25" t="e">
        <f>IF('Residual-Rostered'!#REF!=0,"-",'Residual-Rostered'!#REF!)</f>
        <v>#REF!</v>
      </c>
      <c r="AR40" s="25" t="e">
        <f>IF('Residual-Rostered'!#REF!=0,"-",'Residual-Rostered'!#REF!)</f>
        <v>#REF!</v>
      </c>
      <c r="AS40" s="25" t="e">
        <f>IF('Residual-Rostered'!#REF!=0,"-",'Residual-Rostered'!#REF!)</f>
        <v>#REF!</v>
      </c>
    </row>
    <row r="41" spans="1:45" x14ac:dyDescent="0.25">
      <c r="A41" s="25" t="e">
        <f>'Residual-Rostered'!#REF!</f>
        <v>#REF!</v>
      </c>
      <c r="B41" s="25" t="e">
        <f>'Residual-Rostered'!#REF!</f>
        <v>#REF!</v>
      </c>
      <c r="C41" s="25" t="e">
        <f>'Residual-Rostered'!#REF!</f>
        <v>#REF!</v>
      </c>
      <c r="D41" s="25" t="e">
        <f>IF('Residual-Rostered'!#REF!=0,"-",'Residual-Rostered'!#REF!)</f>
        <v>#REF!</v>
      </c>
      <c r="E41" s="25" t="e">
        <f>IF('Residual-Rostered'!#REF!=0,"-",'Residual-Rostered'!#REF!)</f>
        <v>#REF!</v>
      </c>
      <c r="F41" s="25" t="e">
        <f>IF('Residual-Rostered'!#REF!=0,"-",'Residual-Rostered'!#REF!)</f>
        <v>#REF!</v>
      </c>
      <c r="G41" s="25" t="e">
        <f>IF('Residual-Rostered'!#REF!=0,"-",'Residual-Rostered'!#REF!)</f>
        <v>#REF!</v>
      </c>
      <c r="H41" s="25" t="e">
        <f>IF('Residual-Rostered'!#REF!=0,"-",'Residual-Rostered'!#REF!)</f>
        <v>#REF!</v>
      </c>
      <c r="I41" s="25" t="e">
        <f>IF('Residual-Rostered'!#REF!=0,"-",'Residual-Rostered'!#REF!)</f>
        <v>#REF!</v>
      </c>
      <c r="J41" s="25" t="e">
        <f>IF('Residual-Rostered'!#REF!=0,"-",'Residual-Rostered'!#REF!)</f>
        <v>#REF!</v>
      </c>
      <c r="K41" s="25" t="e">
        <f>IF('Residual-Rostered'!#REF!=0,"-",'Residual-Rostered'!#REF!)</f>
        <v>#REF!</v>
      </c>
      <c r="L41" s="25" t="e">
        <f>IF('Residual-Rostered'!#REF!=0,"-",'Residual-Rostered'!#REF!)</f>
        <v>#REF!</v>
      </c>
      <c r="M41" s="25" t="e">
        <f>IF('Residual-Rostered'!#REF!=0,"-",'Residual-Rostered'!#REF!)</f>
        <v>#REF!</v>
      </c>
      <c r="N41" s="25" t="e">
        <f>IF('Residual-Rostered'!#REF!=0,"-",'Residual-Rostered'!#REF!)</f>
        <v>#REF!</v>
      </c>
      <c r="O41" s="25" t="e">
        <f>IF('Residual-Rostered'!#REF!=0,"-",'Residual-Rostered'!#REF!)</f>
        <v>#REF!</v>
      </c>
      <c r="P41" s="25" t="e">
        <f>IF('Residual-Rostered'!#REF!=0,"-",'Residual-Rostered'!#REF!)</f>
        <v>#REF!</v>
      </c>
      <c r="Q41" s="25" t="e">
        <f>IF('Residual-Rostered'!#REF!=0,"-",'Residual-Rostered'!#REF!)</f>
        <v>#REF!</v>
      </c>
      <c r="R41" s="25" t="e">
        <f>IF('Residual-Rostered'!#REF!=0,"-",'Residual-Rostered'!#REF!)</f>
        <v>#REF!</v>
      </c>
      <c r="S41" s="25" t="e">
        <f>IF('Residual-Rostered'!#REF!=0,"-",'Residual-Rostered'!#REF!)</f>
        <v>#REF!</v>
      </c>
      <c r="T41" s="25" t="e">
        <f>IF('Residual-Rostered'!#REF!=0,"-",'Residual-Rostered'!#REF!)</f>
        <v>#REF!</v>
      </c>
      <c r="U41" s="25" t="e">
        <f>IF('Residual-Rostered'!#REF!=0,"-",'Residual-Rostered'!#REF!)</f>
        <v>#REF!</v>
      </c>
      <c r="V41" s="25" t="e">
        <f>IF('Residual-Rostered'!#REF!=0,"-",'Residual-Rostered'!#REF!)</f>
        <v>#REF!</v>
      </c>
      <c r="W41" s="25" t="e">
        <f>IF('Residual-Rostered'!#REF!=0,"-",'Residual-Rostered'!#REF!)</f>
        <v>#REF!</v>
      </c>
      <c r="X41" s="25" t="e">
        <f>IF('Residual-Rostered'!#REF!=0,"-",'Residual-Rostered'!#REF!)</f>
        <v>#REF!</v>
      </c>
      <c r="Y41" s="25" t="e">
        <f>IF('Residual-Rostered'!#REF!=0,"-",'Residual-Rostered'!#REF!)</f>
        <v>#REF!</v>
      </c>
      <c r="Z41" s="25" t="e">
        <f>IF('Residual-Rostered'!#REF!=0,"-",'Residual-Rostered'!#REF!)</f>
        <v>#REF!</v>
      </c>
      <c r="AA41" s="25" t="e">
        <f>IF('Residual-Rostered'!#REF!=0,"-",'Residual-Rostered'!#REF!)</f>
        <v>#REF!</v>
      </c>
      <c r="AB41" s="25" t="e">
        <f>IF('Residual-Rostered'!#REF!=0,"-",'Residual-Rostered'!#REF!)</f>
        <v>#REF!</v>
      </c>
      <c r="AC41" s="25" t="e">
        <f>IF('Residual-Rostered'!#REF!=0,"-",'Residual-Rostered'!#REF!)</f>
        <v>#REF!</v>
      </c>
      <c r="AD41" s="25" t="e">
        <f>IF('Residual-Rostered'!#REF!=0,"-",'Residual-Rostered'!#REF!)</f>
        <v>#REF!</v>
      </c>
      <c r="AE41" s="25" t="e">
        <f>IF('Residual-Rostered'!#REF!=0,"-",'Residual-Rostered'!#REF!)</f>
        <v>#REF!</v>
      </c>
      <c r="AF41" s="25" t="e">
        <f>IF('Residual-Rostered'!#REF!=0,"-",'Residual-Rostered'!#REF!)</f>
        <v>#REF!</v>
      </c>
      <c r="AG41" s="25" t="e">
        <f>IF('Residual-Rostered'!#REF!=0,"-",'Residual-Rostered'!#REF!)</f>
        <v>#REF!</v>
      </c>
      <c r="AH41" s="25" t="e">
        <f>IF('Residual-Rostered'!#REF!=0,"-",'Residual-Rostered'!#REF!)</f>
        <v>#REF!</v>
      </c>
      <c r="AI41" s="25" t="e">
        <f>IF('Residual-Rostered'!#REF!=0,"-",'Residual-Rostered'!#REF!)</f>
        <v>#REF!</v>
      </c>
      <c r="AJ41" s="25" t="e">
        <f>IF('Residual-Rostered'!#REF!=0,"-",'Residual-Rostered'!#REF!)</f>
        <v>#REF!</v>
      </c>
      <c r="AK41" s="25" t="e">
        <f>IF('Residual-Rostered'!#REF!=0,"-",'Residual-Rostered'!#REF!)</f>
        <v>#REF!</v>
      </c>
      <c r="AL41" s="25" t="e">
        <f>IF('Residual-Rostered'!#REF!=0,"-",'Residual-Rostered'!#REF!)</f>
        <v>#REF!</v>
      </c>
      <c r="AM41" s="25" t="e">
        <f>IF('Residual-Rostered'!#REF!=0,"-",'Residual-Rostered'!#REF!)</f>
        <v>#REF!</v>
      </c>
      <c r="AN41" s="25" t="e">
        <f>IF('Residual-Rostered'!#REF!=0,"-",'Residual-Rostered'!#REF!)</f>
        <v>#REF!</v>
      </c>
      <c r="AO41" s="25" t="e">
        <f>IF('Residual-Rostered'!#REF!=0,"-",'Residual-Rostered'!#REF!)</f>
        <v>#REF!</v>
      </c>
      <c r="AP41" s="25" t="e">
        <f>IF('Residual-Rostered'!#REF!=0,"-",'Residual-Rostered'!#REF!)</f>
        <v>#REF!</v>
      </c>
      <c r="AQ41" s="25" t="e">
        <f>IF('Residual-Rostered'!#REF!=0,"-",'Residual-Rostered'!#REF!)</f>
        <v>#REF!</v>
      </c>
      <c r="AR41" s="25" t="e">
        <f>IF('Residual-Rostered'!#REF!=0,"-",'Residual-Rostered'!#REF!)</f>
        <v>#REF!</v>
      </c>
      <c r="AS41" s="25" t="e">
        <f>IF('Residual-Rostered'!#REF!=0,"-",'Residual-Rostered'!#REF!)</f>
        <v>#REF!</v>
      </c>
    </row>
    <row r="42" spans="1:45" x14ac:dyDescent="0.25">
      <c r="A42" s="25" t="e">
        <f>'Residual-Rostered'!#REF!</f>
        <v>#REF!</v>
      </c>
      <c r="B42" s="25" t="e">
        <f>'Residual-Rostered'!#REF!</f>
        <v>#REF!</v>
      </c>
      <c r="C42" s="25" t="e">
        <f>'Residual-Rostered'!#REF!</f>
        <v>#REF!</v>
      </c>
      <c r="D42" s="25" t="e">
        <f>IF('Residual-Rostered'!#REF!=0,"-",'Residual-Rostered'!#REF!)</f>
        <v>#REF!</v>
      </c>
      <c r="E42" s="25" t="e">
        <f>IF('Residual-Rostered'!#REF!=0,"-",'Residual-Rostered'!#REF!)</f>
        <v>#REF!</v>
      </c>
      <c r="F42" s="25" t="e">
        <f>IF('Residual-Rostered'!#REF!=0,"-",'Residual-Rostered'!#REF!)</f>
        <v>#REF!</v>
      </c>
      <c r="G42" s="25" t="e">
        <f>IF('Residual-Rostered'!#REF!=0,"-",'Residual-Rostered'!#REF!)</f>
        <v>#REF!</v>
      </c>
      <c r="H42" s="25" t="e">
        <f>IF('Residual-Rostered'!#REF!=0,"-",'Residual-Rostered'!#REF!)</f>
        <v>#REF!</v>
      </c>
      <c r="I42" s="25" t="e">
        <f>IF('Residual-Rostered'!#REF!=0,"-",'Residual-Rostered'!#REF!)</f>
        <v>#REF!</v>
      </c>
      <c r="J42" s="25" t="e">
        <f>IF('Residual-Rostered'!#REF!=0,"-",'Residual-Rostered'!#REF!)</f>
        <v>#REF!</v>
      </c>
      <c r="K42" s="25" t="e">
        <f>IF('Residual-Rostered'!#REF!=0,"-",'Residual-Rostered'!#REF!)</f>
        <v>#REF!</v>
      </c>
      <c r="L42" s="25" t="e">
        <f>IF('Residual-Rostered'!#REF!=0,"-",'Residual-Rostered'!#REF!)</f>
        <v>#REF!</v>
      </c>
      <c r="M42" s="25" t="e">
        <f>IF('Residual-Rostered'!#REF!=0,"-",'Residual-Rostered'!#REF!)</f>
        <v>#REF!</v>
      </c>
      <c r="N42" s="25" t="e">
        <f>IF('Residual-Rostered'!#REF!=0,"-",'Residual-Rostered'!#REF!)</f>
        <v>#REF!</v>
      </c>
      <c r="O42" s="25" t="e">
        <f>IF('Residual-Rostered'!#REF!=0,"-",'Residual-Rostered'!#REF!)</f>
        <v>#REF!</v>
      </c>
      <c r="P42" s="25" t="e">
        <f>IF('Residual-Rostered'!#REF!=0,"-",'Residual-Rostered'!#REF!)</f>
        <v>#REF!</v>
      </c>
      <c r="Q42" s="25" t="e">
        <f>IF('Residual-Rostered'!#REF!=0,"-",'Residual-Rostered'!#REF!)</f>
        <v>#REF!</v>
      </c>
      <c r="R42" s="25" t="e">
        <f>IF('Residual-Rostered'!#REF!=0,"-",'Residual-Rostered'!#REF!)</f>
        <v>#REF!</v>
      </c>
      <c r="S42" s="25" t="e">
        <f>IF('Residual-Rostered'!#REF!=0,"-",'Residual-Rostered'!#REF!)</f>
        <v>#REF!</v>
      </c>
      <c r="T42" s="25" t="e">
        <f>IF('Residual-Rostered'!#REF!=0,"-",'Residual-Rostered'!#REF!)</f>
        <v>#REF!</v>
      </c>
      <c r="U42" s="25" t="e">
        <f>IF('Residual-Rostered'!#REF!=0,"-",'Residual-Rostered'!#REF!)</f>
        <v>#REF!</v>
      </c>
      <c r="V42" s="25" t="e">
        <f>IF('Residual-Rostered'!#REF!=0,"-",'Residual-Rostered'!#REF!)</f>
        <v>#REF!</v>
      </c>
      <c r="W42" s="25" t="e">
        <f>IF('Residual-Rostered'!#REF!=0,"-",'Residual-Rostered'!#REF!)</f>
        <v>#REF!</v>
      </c>
      <c r="X42" s="25" t="e">
        <f>IF('Residual-Rostered'!#REF!=0,"-",'Residual-Rostered'!#REF!)</f>
        <v>#REF!</v>
      </c>
      <c r="Y42" s="25" t="e">
        <f>IF('Residual-Rostered'!#REF!=0,"-",'Residual-Rostered'!#REF!)</f>
        <v>#REF!</v>
      </c>
      <c r="Z42" s="25" t="e">
        <f>IF('Residual-Rostered'!#REF!=0,"-",'Residual-Rostered'!#REF!)</f>
        <v>#REF!</v>
      </c>
      <c r="AA42" s="25" t="e">
        <f>IF('Residual-Rostered'!#REF!=0,"-",'Residual-Rostered'!#REF!)</f>
        <v>#REF!</v>
      </c>
      <c r="AB42" s="25" t="e">
        <f>IF('Residual-Rostered'!#REF!=0,"-",'Residual-Rostered'!#REF!)</f>
        <v>#REF!</v>
      </c>
      <c r="AC42" s="25" t="e">
        <f>IF('Residual-Rostered'!#REF!=0,"-",'Residual-Rostered'!#REF!)</f>
        <v>#REF!</v>
      </c>
      <c r="AD42" s="25" t="e">
        <f>IF('Residual-Rostered'!#REF!=0,"-",'Residual-Rostered'!#REF!)</f>
        <v>#REF!</v>
      </c>
      <c r="AE42" s="25" t="e">
        <f>IF('Residual-Rostered'!#REF!=0,"-",'Residual-Rostered'!#REF!)</f>
        <v>#REF!</v>
      </c>
      <c r="AF42" s="25" t="e">
        <f>IF('Residual-Rostered'!#REF!=0,"-",'Residual-Rostered'!#REF!)</f>
        <v>#REF!</v>
      </c>
      <c r="AG42" s="25" t="e">
        <f>IF('Residual-Rostered'!#REF!=0,"-",'Residual-Rostered'!#REF!)</f>
        <v>#REF!</v>
      </c>
      <c r="AH42" s="25" t="e">
        <f>IF('Residual-Rostered'!#REF!=0,"-",'Residual-Rostered'!#REF!)</f>
        <v>#REF!</v>
      </c>
      <c r="AI42" s="25" t="e">
        <f>IF('Residual-Rostered'!#REF!=0,"-",'Residual-Rostered'!#REF!)</f>
        <v>#REF!</v>
      </c>
      <c r="AJ42" s="25" t="e">
        <f>IF('Residual-Rostered'!#REF!=0,"-",'Residual-Rostered'!#REF!)</f>
        <v>#REF!</v>
      </c>
      <c r="AK42" s="25" t="e">
        <f>IF('Residual-Rostered'!#REF!=0,"-",'Residual-Rostered'!#REF!)</f>
        <v>#REF!</v>
      </c>
      <c r="AL42" s="25" t="e">
        <f>IF('Residual-Rostered'!#REF!=0,"-",'Residual-Rostered'!#REF!)</f>
        <v>#REF!</v>
      </c>
      <c r="AM42" s="25" t="e">
        <f>IF('Residual-Rostered'!#REF!=0,"-",'Residual-Rostered'!#REF!)</f>
        <v>#REF!</v>
      </c>
      <c r="AN42" s="25" t="e">
        <f>IF('Residual-Rostered'!#REF!=0,"-",'Residual-Rostered'!#REF!)</f>
        <v>#REF!</v>
      </c>
      <c r="AO42" s="25" t="e">
        <f>IF('Residual-Rostered'!#REF!=0,"-",'Residual-Rostered'!#REF!)</f>
        <v>#REF!</v>
      </c>
      <c r="AP42" s="25" t="e">
        <f>IF('Residual-Rostered'!#REF!=0,"-",'Residual-Rostered'!#REF!)</f>
        <v>#REF!</v>
      </c>
      <c r="AQ42" s="25" t="e">
        <f>IF('Residual-Rostered'!#REF!=0,"-",'Residual-Rostered'!#REF!)</f>
        <v>#REF!</v>
      </c>
      <c r="AR42" s="25" t="e">
        <f>IF('Residual-Rostered'!#REF!=0,"-",'Residual-Rostered'!#REF!)</f>
        <v>#REF!</v>
      </c>
      <c r="AS42" s="25" t="e">
        <f>IF('Residual-Rostered'!#REF!=0,"-",'Residual-Rostered'!#REF!)</f>
        <v>#REF!</v>
      </c>
    </row>
    <row r="43" spans="1:45" hidden="1" x14ac:dyDescent="0.25">
      <c r="A43" s="25" t="e">
        <f>'Residual-Rostered'!#REF!</f>
        <v>#REF!</v>
      </c>
      <c r="B43" s="25" t="e">
        <f>'Residual-Rostered'!#REF!</f>
        <v>#REF!</v>
      </c>
      <c r="C43" s="25" t="e">
        <f>'Residual-Rostered'!#REF!</f>
        <v>#REF!</v>
      </c>
      <c r="D43" s="25" t="e">
        <f>IF('Residual-Rostered'!#REF!=0,"-",'Residual-Rostered'!#REF!)</f>
        <v>#REF!</v>
      </c>
      <c r="E43" s="25" t="e">
        <f>IF('Residual-Rostered'!#REF!=0,"-",'Residual-Rostered'!#REF!)</f>
        <v>#REF!</v>
      </c>
      <c r="F43" s="25" t="e">
        <f>IF('Residual-Rostered'!#REF!=0,"-",'Residual-Rostered'!#REF!)</f>
        <v>#REF!</v>
      </c>
      <c r="G43" s="25" t="e">
        <f>IF('Residual-Rostered'!#REF!=0,"-",'Residual-Rostered'!#REF!)</f>
        <v>#REF!</v>
      </c>
      <c r="H43" s="25" t="e">
        <f>IF('Residual-Rostered'!#REF!=0,"-",'Residual-Rostered'!#REF!)</f>
        <v>#REF!</v>
      </c>
      <c r="I43" s="25" t="e">
        <f>IF('Residual-Rostered'!#REF!=0,"-",'Residual-Rostered'!#REF!)</f>
        <v>#REF!</v>
      </c>
      <c r="J43" s="25" t="e">
        <f>IF('Residual-Rostered'!#REF!=0,"-",'Residual-Rostered'!#REF!)</f>
        <v>#REF!</v>
      </c>
      <c r="K43" s="25" t="e">
        <f>IF('Residual-Rostered'!#REF!=0,"-",'Residual-Rostered'!#REF!)</f>
        <v>#REF!</v>
      </c>
      <c r="L43" s="25" t="e">
        <f>IF('Residual-Rostered'!#REF!=0,"-",'Residual-Rostered'!#REF!)</f>
        <v>#REF!</v>
      </c>
      <c r="M43" s="25" t="e">
        <f>IF('Residual-Rostered'!#REF!=0,"-",'Residual-Rostered'!#REF!)</f>
        <v>#REF!</v>
      </c>
      <c r="N43" s="25" t="e">
        <f>IF('Residual-Rostered'!#REF!=0,"-",'Residual-Rostered'!#REF!)</f>
        <v>#REF!</v>
      </c>
      <c r="O43" s="25" t="e">
        <f>IF('Residual-Rostered'!#REF!=0,"-",'Residual-Rostered'!#REF!)</f>
        <v>#REF!</v>
      </c>
      <c r="P43" s="25" t="e">
        <f>IF('Residual-Rostered'!#REF!=0,"-",'Residual-Rostered'!#REF!)</f>
        <v>#REF!</v>
      </c>
      <c r="Q43" s="25" t="e">
        <f>IF('Residual-Rostered'!#REF!=0,"-",'Residual-Rostered'!#REF!)</f>
        <v>#REF!</v>
      </c>
      <c r="R43" s="25" t="e">
        <f>IF('Residual-Rostered'!#REF!=0,"-",'Residual-Rostered'!#REF!)</f>
        <v>#REF!</v>
      </c>
      <c r="S43" s="25" t="e">
        <f>IF('Residual-Rostered'!#REF!=0,"-",'Residual-Rostered'!#REF!)</f>
        <v>#REF!</v>
      </c>
      <c r="T43" s="25" t="e">
        <f>IF('Residual-Rostered'!#REF!=0,"-",'Residual-Rostered'!#REF!)</f>
        <v>#REF!</v>
      </c>
      <c r="U43" s="25" t="e">
        <f>IF('Residual-Rostered'!#REF!=0,"-",'Residual-Rostered'!#REF!)</f>
        <v>#REF!</v>
      </c>
      <c r="V43" s="25" t="e">
        <f>IF('Residual-Rostered'!#REF!=0,"-",'Residual-Rostered'!#REF!)</f>
        <v>#REF!</v>
      </c>
      <c r="W43" s="25" t="e">
        <f>IF('Residual-Rostered'!#REF!=0,"-",'Residual-Rostered'!#REF!)</f>
        <v>#REF!</v>
      </c>
      <c r="X43" s="25" t="e">
        <f>IF('Residual-Rostered'!#REF!=0,"-",'Residual-Rostered'!#REF!)</f>
        <v>#REF!</v>
      </c>
      <c r="Y43" s="25" t="e">
        <f>IF('Residual-Rostered'!#REF!=0,"-",'Residual-Rostered'!#REF!)</f>
        <v>#REF!</v>
      </c>
      <c r="Z43" s="25" t="e">
        <f>IF('Residual-Rostered'!#REF!=0,"-",'Residual-Rostered'!#REF!)</f>
        <v>#REF!</v>
      </c>
      <c r="AA43" s="25" t="e">
        <f>IF('Residual-Rostered'!#REF!=0,"-",'Residual-Rostered'!#REF!)</f>
        <v>#REF!</v>
      </c>
      <c r="AB43" s="25" t="e">
        <f>IF('Residual-Rostered'!#REF!=0,"-",'Residual-Rostered'!#REF!)</f>
        <v>#REF!</v>
      </c>
      <c r="AC43" s="25" t="e">
        <f>IF('Residual-Rostered'!#REF!=0,"-",'Residual-Rostered'!#REF!)</f>
        <v>#REF!</v>
      </c>
      <c r="AD43" s="25" t="e">
        <f>IF('Residual-Rostered'!#REF!=0,"-",'Residual-Rostered'!#REF!)</f>
        <v>#REF!</v>
      </c>
      <c r="AE43" s="25" t="e">
        <f>IF('Residual-Rostered'!#REF!=0,"-",'Residual-Rostered'!#REF!)</f>
        <v>#REF!</v>
      </c>
      <c r="AF43" s="25" t="e">
        <f>IF('Residual-Rostered'!#REF!=0,"-",'Residual-Rostered'!#REF!)</f>
        <v>#REF!</v>
      </c>
      <c r="AG43" s="25" t="e">
        <f>IF('Residual-Rostered'!#REF!=0,"-",'Residual-Rostered'!#REF!)</f>
        <v>#REF!</v>
      </c>
      <c r="AH43" s="25" t="e">
        <f>IF('Residual-Rostered'!#REF!=0,"-",'Residual-Rostered'!#REF!)</f>
        <v>#REF!</v>
      </c>
      <c r="AI43" s="25" t="e">
        <f>IF('Residual-Rostered'!#REF!=0,"-",'Residual-Rostered'!#REF!)</f>
        <v>#REF!</v>
      </c>
      <c r="AJ43" s="25" t="e">
        <f>IF('Residual-Rostered'!#REF!=0,"-",'Residual-Rostered'!#REF!)</f>
        <v>#REF!</v>
      </c>
      <c r="AK43" s="25" t="e">
        <f>IF('Residual-Rostered'!#REF!=0,"-",'Residual-Rostered'!#REF!)</f>
        <v>#REF!</v>
      </c>
      <c r="AL43" s="25" t="e">
        <f>IF('Residual-Rostered'!#REF!=0,"-",'Residual-Rostered'!#REF!)</f>
        <v>#REF!</v>
      </c>
      <c r="AM43" s="25" t="e">
        <f>IF('Residual-Rostered'!#REF!=0,"-",'Residual-Rostered'!#REF!)</f>
        <v>#REF!</v>
      </c>
      <c r="AN43" s="25" t="e">
        <f>IF('Residual-Rostered'!#REF!=0,"-",'Residual-Rostered'!#REF!)</f>
        <v>#REF!</v>
      </c>
      <c r="AO43" s="25" t="e">
        <f>IF('Residual-Rostered'!#REF!=0,"-",'Residual-Rostered'!#REF!)</f>
        <v>#REF!</v>
      </c>
      <c r="AP43" s="25" t="e">
        <f>IF('Residual-Rostered'!#REF!=0,"-",'Residual-Rostered'!#REF!)</f>
        <v>#REF!</v>
      </c>
      <c r="AQ43" s="25" t="e">
        <f>IF('Residual-Rostered'!#REF!=0,"-",'Residual-Rostered'!#REF!)</f>
        <v>#REF!</v>
      </c>
      <c r="AR43" s="25" t="e">
        <f>IF('Residual-Rostered'!#REF!=0,"-",'Residual-Rostered'!#REF!)</f>
        <v>#REF!</v>
      </c>
      <c r="AS43" s="25" t="e">
        <f>IF('Residual-Rostered'!#REF!=0,"-",'Residual-Rostered'!#REF!)</f>
        <v>#REF!</v>
      </c>
    </row>
    <row r="44" spans="1:45" x14ac:dyDescent="0.25">
      <c r="A44" s="25" t="e">
        <f>'Residual-Rostered'!#REF!</f>
        <v>#REF!</v>
      </c>
      <c r="B44" s="25" t="e">
        <f>'Residual-Rostered'!#REF!</f>
        <v>#REF!</v>
      </c>
      <c r="C44" s="25" t="e">
        <f>'Residual-Rostered'!#REF!</f>
        <v>#REF!</v>
      </c>
      <c r="D44" s="25" t="e">
        <f>IF('Residual-Rostered'!#REF!=0,"-",'Residual-Rostered'!#REF!)</f>
        <v>#REF!</v>
      </c>
      <c r="E44" s="25" t="e">
        <f>IF('Residual-Rostered'!#REF!=0,"-",'Residual-Rostered'!#REF!)</f>
        <v>#REF!</v>
      </c>
      <c r="F44" s="25" t="e">
        <f>IF('Residual-Rostered'!#REF!=0,"-",'Residual-Rostered'!#REF!)</f>
        <v>#REF!</v>
      </c>
      <c r="G44" s="25" t="e">
        <f>IF('Residual-Rostered'!#REF!=0,"-",'Residual-Rostered'!#REF!)</f>
        <v>#REF!</v>
      </c>
      <c r="H44" s="25" t="e">
        <f>IF('Residual-Rostered'!#REF!=0,"-",'Residual-Rostered'!#REF!)</f>
        <v>#REF!</v>
      </c>
      <c r="I44" s="25" t="e">
        <f>IF('Residual-Rostered'!#REF!=0,"-",'Residual-Rostered'!#REF!)</f>
        <v>#REF!</v>
      </c>
      <c r="J44" s="25" t="e">
        <f>IF('Residual-Rostered'!#REF!=0,"-",'Residual-Rostered'!#REF!)</f>
        <v>#REF!</v>
      </c>
      <c r="K44" s="25" t="e">
        <f>IF('Residual-Rostered'!#REF!=0,"-",'Residual-Rostered'!#REF!)</f>
        <v>#REF!</v>
      </c>
      <c r="L44" s="25" t="e">
        <f>IF('Residual-Rostered'!#REF!=0,"-",'Residual-Rostered'!#REF!)</f>
        <v>#REF!</v>
      </c>
      <c r="M44" s="25" t="e">
        <f>IF('Residual-Rostered'!#REF!=0,"-",'Residual-Rostered'!#REF!)</f>
        <v>#REF!</v>
      </c>
      <c r="N44" s="25" t="e">
        <f>IF('Residual-Rostered'!#REF!=0,"-",'Residual-Rostered'!#REF!)</f>
        <v>#REF!</v>
      </c>
      <c r="O44" s="25" t="e">
        <f>IF('Residual-Rostered'!#REF!=0,"-",'Residual-Rostered'!#REF!)</f>
        <v>#REF!</v>
      </c>
      <c r="P44" s="25" t="e">
        <f>IF('Residual-Rostered'!#REF!=0,"-",'Residual-Rostered'!#REF!)</f>
        <v>#REF!</v>
      </c>
      <c r="Q44" s="25" t="e">
        <f>IF('Residual-Rostered'!#REF!=0,"-",'Residual-Rostered'!#REF!)</f>
        <v>#REF!</v>
      </c>
      <c r="R44" s="25" t="e">
        <f>IF('Residual-Rostered'!#REF!=0,"-",'Residual-Rostered'!#REF!)</f>
        <v>#REF!</v>
      </c>
      <c r="S44" s="25" t="e">
        <f>IF('Residual-Rostered'!#REF!=0,"-",'Residual-Rostered'!#REF!)</f>
        <v>#REF!</v>
      </c>
      <c r="T44" s="25" t="e">
        <f>IF('Residual-Rostered'!#REF!=0,"-",'Residual-Rostered'!#REF!)</f>
        <v>#REF!</v>
      </c>
      <c r="U44" s="25" t="e">
        <f>IF('Residual-Rostered'!#REF!=0,"-",'Residual-Rostered'!#REF!)</f>
        <v>#REF!</v>
      </c>
      <c r="V44" s="25" t="e">
        <f>IF('Residual-Rostered'!#REF!=0,"-",'Residual-Rostered'!#REF!)</f>
        <v>#REF!</v>
      </c>
      <c r="W44" s="25" t="e">
        <f>IF('Residual-Rostered'!#REF!=0,"-",'Residual-Rostered'!#REF!)</f>
        <v>#REF!</v>
      </c>
      <c r="X44" s="25" t="e">
        <f>IF('Residual-Rostered'!#REF!=0,"-",'Residual-Rostered'!#REF!)</f>
        <v>#REF!</v>
      </c>
      <c r="Y44" s="25" t="e">
        <f>IF('Residual-Rostered'!#REF!=0,"-",'Residual-Rostered'!#REF!)</f>
        <v>#REF!</v>
      </c>
      <c r="Z44" s="25" t="e">
        <f>IF('Residual-Rostered'!#REF!=0,"-",'Residual-Rostered'!#REF!)</f>
        <v>#REF!</v>
      </c>
      <c r="AA44" s="25" t="e">
        <f>IF('Residual-Rostered'!#REF!=0,"-",'Residual-Rostered'!#REF!)</f>
        <v>#REF!</v>
      </c>
      <c r="AB44" s="25" t="e">
        <f>IF('Residual-Rostered'!#REF!=0,"-",'Residual-Rostered'!#REF!)</f>
        <v>#REF!</v>
      </c>
      <c r="AC44" s="25" t="e">
        <f>IF('Residual-Rostered'!#REF!=0,"-",'Residual-Rostered'!#REF!)</f>
        <v>#REF!</v>
      </c>
      <c r="AD44" s="25" t="e">
        <f>IF('Residual-Rostered'!#REF!=0,"-",'Residual-Rostered'!#REF!)</f>
        <v>#REF!</v>
      </c>
      <c r="AE44" s="25" t="e">
        <f>IF('Residual-Rostered'!#REF!=0,"-",'Residual-Rostered'!#REF!)</f>
        <v>#REF!</v>
      </c>
      <c r="AF44" s="25" t="e">
        <f>IF('Residual-Rostered'!#REF!=0,"-",'Residual-Rostered'!#REF!)</f>
        <v>#REF!</v>
      </c>
      <c r="AG44" s="25" t="e">
        <f>IF('Residual-Rostered'!#REF!=0,"-",'Residual-Rostered'!#REF!)</f>
        <v>#REF!</v>
      </c>
      <c r="AH44" s="25" t="e">
        <f>IF('Residual-Rostered'!#REF!=0,"-",'Residual-Rostered'!#REF!)</f>
        <v>#REF!</v>
      </c>
      <c r="AI44" s="25" t="e">
        <f>IF('Residual-Rostered'!#REF!=0,"-",'Residual-Rostered'!#REF!)</f>
        <v>#REF!</v>
      </c>
      <c r="AJ44" s="25" t="e">
        <f>IF('Residual-Rostered'!#REF!=0,"-",'Residual-Rostered'!#REF!)</f>
        <v>#REF!</v>
      </c>
      <c r="AK44" s="25" t="e">
        <f>IF('Residual-Rostered'!#REF!=0,"-",'Residual-Rostered'!#REF!)</f>
        <v>#REF!</v>
      </c>
      <c r="AL44" s="25" t="e">
        <f>IF('Residual-Rostered'!#REF!=0,"-",'Residual-Rostered'!#REF!)</f>
        <v>#REF!</v>
      </c>
      <c r="AM44" s="25" t="e">
        <f>IF('Residual-Rostered'!#REF!=0,"-",'Residual-Rostered'!#REF!)</f>
        <v>#REF!</v>
      </c>
      <c r="AN44" s="25" t="e">
        <f>IF('Residual-Rostered'!#REF!=0,"-",'Residual-Rostered'!#REF!)</f>
        <v>#REF!</v>
      </c>
      <c r="AO44" s="25" t="e">
        <f>IF('Residual-Rostered'!#REF!=0,"-",'Residual-Rostered'!#REF!)</f>
        <v>#REF!</v>
      </c>
      <c r="AP44" s="25" t="e">
        <f>IF('Residual-Rostered'!#REF!=0,"-",'Residual-Rostered'!#REF!)</f>
        <v>#REF!</v>
      </c>
      <c r="AQ44" s="25" t="e">
        <f>IF('Residual-Rostered'!#REF!=0,"-",'Residual-Rostered'!#REF!)</f>
        <v>#REF!</v>
      </c>
      <c r="AR44" s="25" t="e">
        <f>IF('Residual-Rostered'!#REF!=0,"-",'Residual-Rostered'!#REF!)</f>
        <v>#REF!</v>
      </c>
      <c r="AS44" s="25" t="e">
        <f>IF('Residual-Rostered'!#REF!=0,"-",'Residual-Rostered'!#REF!)</f>
        <v>#REF!</v>
      </c>
    </row>
    <row r="45" spans="1:45" x14ac:dyDescent="0.25">
      <c r="A45" s="25" t="e">
        <f>'Residual-Rostered'!#REF!</f>
        <v>#REF!</v>
      </c>
      <c r="B45" s="25" t="e">
        <f>'Residual-Rostered'!#REF!</f>
        <v>#REF!</v>
      </c>
      <c r="C45" s="25" t="e">
        <f>'Residual-Rostered'!#REF!</f>
        <v>#REF!</v>
      </c>
      <c r="D45" s="25" t="e">
        <f>IF('Residual-Rostered'!#REF!=0,"-",'Residual-Rostered'!#REF!)</f>
        <v>#REF!</v>
      </c>
      <c r="E45" s="25" t="e">
        <f>IF('Residual-Rostered'!#REF!=0,"-",'Residual-Rostered'!#REF!)</f>
        <v>#REF!</v>
      </c>
      <c r="F45" s="25" t="e">
        <f>IF('Residual-Rostered'!#REF!=0,"-",'Residual-Rostered'!#REF!)</f>
        <v>#REF!</v>
      </c>
      <c r="G45" s="25" t="e">
        <f>IF('Residual-Rostered'!#REF!=0,"-",'Residual-Rostered'!#REF!)</f>
        <v>#REF!</v>
      </c>
      <c r="H45" s="25" t="e">
        <f>IF('Residual-Rostered'!#REF!=0,"-",'Residual-Rostered'!#REF!)</f>
        <v>#REF!</v>
      </c>
      <c r="I45" s="25" t="e">
        <f>IF('Residual-Rostered'!#REF!=0,"-",'Residual-Rostered'!#REF!)</f>
        <v>#REF!</v>
      </c>
      <c r="J45" s="25" t="e">
        <f>IF('Residual-Rostered'!#REF!=0,"-",'Residual-Rostered'!#REF!)</f>
        <v>#REF!</v>
      </c>
      <c r="K45" s="25" t="e">
        <f>IF('Residual-Rostered'!#REF!=0,"-",'Residual-Rostered'!#REF!)</f>
        <v>#REF!</v>
      </c>
      <c r="L45" s="25" t="e">
        <f>IF('Residual-Rostered'!#REF!=0,"-",'Residual-Rostered'!#REF!)</f>
        <v>#REF!</v>
      </c>
      <c r="M45" s="25" t="e">
        <f>IF('Residual-Rostered'!#REF!=0,"-",'Residual-Rostered'!#REF!)</f>
        <v>#REF!</v>
      </c>
      <c r="N45" s="25" t="e">
        <f>IF('Residual-Rostered'!#REF!=0,"-",'Residual-Rostered'!#REF!)</f>
        <v>#REF!</v>
      </c>
      <c r="O45" s="25" t="e">
        <f>IF('Residual-Rostered'!#REF!=0,"-",'Residual-Rostered'!#REF!)</f>
        <v>#REF!</v>
      </c>
      <c r="P45" s="25" t="e">
        <f>IF('Residual-Rostered'!#REF!=0,"-",'Residual-Rostered'!#REF!)</f>
        <v>#REF!</v>
      </c>
      <c r="Q45" s="25" t="e">
        <f>IF('Residual-Rostered'!#REF!=0,"-",'Residual-Rostered'!#REF!)</f>
        <v>#REF!</v>
      </c>
      <c r="R45" s="25" t="e">
        <f>IF('Residual-Rostered'!#REF!=0,"-",'Residual-Rostered'!#REF!)</f>
        <v>#REF!</v>
      </c>
      <c r="S45" s="25" t="e">
        <f>IF('Residual-Rostered'!#REF!=0,"-",'Residual-Rostered'!#REF!)</f>
        <v>#REF!</v>
      </c>
      <c r="T45" s="25" t="e">
        <f>IF('Residual-Rostered'!#REF!=0,"-",'Residual-Rostered'!#REF!)</f>
        <v>#REF!</v>
      </c>
      <c r="U45" s="25" t="e">
        <f>IF('Residual-Rostered'!#REF!=0,"-",'Residual-Rostered'!#REF!)</f>
        <v>#REF!</v>
      </c>
      <c r="V45" s="25" t="e">
        <f>IF('Residual-Rostered'!#REF!=0,"-",'Residual-Rostered'!#REF!)</f>
        <v>#REF!</v>
      </c>
      <c r="W45" s="25" t="e">
        <f>IF('Residual-Rostered'!#REF!=0,"-",'Residual-Rostered'!#REF!)</f>
        <v>#REF!</v>
      </c>
      <c r="X45" s="25" t="e">
        <f>IF('Residual-Rostered'!#REF!=0,"-",'Residual-Rostered'!#REF!)</f>
        <v>#REF!</v>
      </c>
      <c r="Y45" s="25" t="e">
        <f>IF('Residual-Rostered'!#REF!=0,"-",'Residual-Rostered'!#REF!)</f>
        <v>#REF!</v>
      </c>
      <c r="Z45" s="25" t="e">
        <f>IF('Residual-Rostered'!#REF!=0,"-",'Residual-Rostered'!#REF!)</f>
        <v>#REF!</v>
      </c>
      <c r="AA45" s="25" t="e">
        <f>IF('Residual-Rostered'!#REF!=0,"-",'Residual-Rostered'!#REF!)</f>
        <v>#REF!</v>
      </c>
      <c r="AB45" s="25" t="e">
        <f>IF('Residual-Rostered'!#REF!=0,"-",'Residual-Rostered'!#REF!)</f>
        <v>#REF!</v>
      </c>
      <c r="AC45" s="25" t="e">
        <f>IF('Residual-Rostered'!#REF!=0,"-",'Residual-Rostered'!#REF!)</f>
        <v>#REF!</v>
      </c>
      <c r="AD45" s="25" t="e">
        <f>IF('Residual-Rostered'!#REF!=0,"-",'Residual-Rostered'!#REF!)</f>
        <v>#REF!</v>
      </c>
      <c r="AE45" s="25" t="e">
        <f>IF('Residual-Rostered'!#REF!=0,"-",'Residual-Rostered'!#REF!)</f>
        <v>#REF!</v>
      </c>
      <c r="AF45" s="25" t="e">
        <f>IF('Residual-Rostered'!#REF!=0,"-",'Residual-Rostered'!#REF!)</f>
        <v>#REF!</v>
      </c>
      <c r="AG45" s="25" t="e">
        <f>IF('Residual-Rostered'!#REF!=0,"-",'Residual-Rostered'!#REF!)</f>
        <v>#REF!</v>
      </c>
      <c r="AH45" s="25" t="e">
        <f>IF('Residual-Rostered'!#REF!=0,"-",'Residual-Rostered'!#REF!)</f>
        <v>#REF!</v>
      </c>
      <c r="AI45" s="25" t="e">
        <f>IF('Residual-Rostered'!#REF!=0,"-",'Residual-Rostered'!#REF!)</f>
        <v>#REF!</v>
      </c>
      <c r="AJ45" s="25" t="e">
        <f>IF('Residual-Rostered'!#REF!=0,"-",'Residual-Rostered'!#REF!)</f>
        <v>#REF!</v>
      </c>
      <c r="AK45" s="25" t="e">
        <f>IF('Residual-Rostered'!#REF!=0,"-",'Residual-Rostered'!#REF!)</f>
        <v>#REF!</v>
      </c>
      <c r="AL45" s="25" t="e">
        <f>IF('Residual-Rostered'!#REF!=0,"-",'Residual-Rostered'!#REF!)</f>
        <v>#REF!</v>
      </c>
      <c r="AM45" s="25" t="e">
        <f>IF('Residual-Rostered'!#REF!=0,"-",'Residual-Rostered'!#REF!)</f>
        <v>#REF!</v>
      </c>
      <c r="AN45" s="25" t="e">
        <f>IF('Residual-Rostered'!#REF!=0,"-",'Residual-Rostered'!#REF!)</f>
        <v>#REF!</v>
      </c>
      <c r="AO45" s="25" t="e">
        <f>IF('Residual-Rostered'!#REF!=0,"-",'Residual-Rostered'!#REF!)</f>
        <v>#REF!</v>
      </c>
      <c r="AP45" s="25" t="e">
        <f>IF('Residual-Rostered'!#REF!=0,"-",'Residual-Rostered'!#REF!)</f>
        <v>#REF!</v>
      </c>
      <c r="AQ45" s="25" t="e">
        <f>IF('Residual-Rostered'!#REF!=0,"-",'Residual-Rostered'!#REF!)</f>
        <v>#REF!</v>
      </c>
      <c r="AR45" s="25" t="e">
        <f>IF('Residual-Rostered'!#REF!=0,"-",'Residual-Rostered'!#REF!)</f>
        <v>#REF!</v>
      </c>
      <c r="AS45" s="25" t="e">
        <f>IF('Residual-Rostered'!#REF!=0,"-",'Residual-Rostered'!#REF!)</f>
        <v>#REF!</v>
      </c>
    </row>
    <row r="46" spans="1:45" x14ac:dyDescent="0.25">
      <c r="A46" s="25" t="e">
        <f>'Residual-Rostered'!#REF!</f>
        <v>#REF!</v>
      </c>
      <c r="B46" s="25" t="e">
        <f>'Residual-Rostered'!#REF!</f>
        <v>#REF!</v>
      </c>
      <c r="C46" s="25" t="e">
        <f>'Residual-Rostered'!#REF!</f>
        <v>#REF!</v>
      </c>
      <c r="D46" s="25" t="e">
        <f>IF('Residual-Rostered'!#REF!=0,"-",'Residual-Rostered'!#REF!)</f>
        <v>#REF!</v>
      </c>
      <c r="E46" s="25" t="e">
        <f>IF('Residual-Rostered'!#REF!=0,"-",'Residual-Rostered'!#REF!)</f>
        <v>#REF!</v>
      </c>
      <c r="F46" s="25" t="e">
        <f>IF('Residual-Rostered'!#REF!=0,"-",'Residual-Rostered'!#REF!)</f>
        <v>#REF!</v>
      </c>
      <c r="G46" s="25" t="e">
        <f>IF('Residual-Rostered'!#REF!=0,"-",'Residual-Rostered'!#REF!)</f>
        <v>#REF!</v>
      </c>
      <c r="H46" s="25" t="e">
        <f>IF('Residual-Rostered'!#REF!=0,"-",'Residual-Rostered'!#REF!)</f>
        <v>#REF!</v>
      </c>
      <c r="I46" s="25" t="e">
        <f>IF('Residual-Rostered'!#REF!=0,"-",'Residual-Rostered'!#REF!)</f>
        <v>#REF!</v>
      </c>
      <c r="J46" s="25" t="e">
        <f>IF('Residual-Rostered'!#REF!=0,"-",'Residual-Rostered'!#REF!)</f>
        <v>#REF!</v>
      </c>
      <c r="K46" s="25" t="e">
        <f>IF('Residual-Rostered'!#REF!=0,"-",'Residual-Rostered'!#REF!)</f>
        <v>#REF!</v>
      </c>
      <c r="L46" s="25" t="e">
        <f>IF('Residual-Rostered'!#REF!=0,"-",'Residual-Rostered'!#REF!)</f>
        <v>#REF!</v>
      </c>
      <c r="M46" s="25" t="e">
        <f>IF('Residual-Rostered'!#REF!=0,"-",'Residual-Rostered'!#REF!)</f>
        <v>#REF!</v>
      </c>
      <c r="N46" s="25" t="e">
        <f>IF('Residual-Rostered'!#REF!=0,"-",'Residual-Rostered'!#REF!)</f>
        <v>#REF!</v>
      </c>
      <c r="O46" s="25" t="e">
        <f>IF('Residual-Rostered'!#REF!=0,"-",'Residual-Rostered'!#REF!)</f>
        <v>#REF!</v>
      </c>
      <c r="P46" s="25" t="e">
        <f>IF('Residual-Rostered'!#REF!=0,"-",'Residual-Rostered'!#REF!)</f>
        <v>#REF!</v>
      </c>
      <c r="Q46" s="25" t="e">
        <f>IF('Residual-Rostered'!#REF!=0,"-",'Residual-Rostered'!#REF!)</f>
        <v>#REF!</v>
      </c>
      <c r="R46" s="25" t="e">
        <f>IF('Residual-Rostered'!#REF!=0,"-",'Residual-Rostered'!#REF!)</f>
        <v>#REF!</v>
      </c>
      <c r="S46" s="25" t="e">
        <f>IF('Residual-Rostered'!#REF!=0,"-",'Residual-Rostered'!#REF!)</f>
        <v>#REF!</v>
      </c>
      <c r="T46" s="25" t="e">
        <f>IF('Residual-Rostered'!#REF!=0,"-",'Residual-Rostered'!#REF!)</f>
        <v>#REF!</v>
      </c>
      <c r="U46" s="25" t="e">
        <f>IF('Residual-Rostered'!#REF!=0,"-",'Residual-Rostered'!#REF!)</f>
        <v>#REF!</v>
      </c>
      <c r="V46" s="25" t="e">
        <f>IF('Residual-Rostered'!#REF!=0,"-",'Residual-Rostered'!#REF!)</f>
        <v>#REF!</v>
      </c>
      <c r="W46" s="25" t="e">
        <f>IF('Residual-Rostered'!#REF!=0,"-",'Residual-Rostered'!#REF!)</f>
        <v>#REF!</v>
      </c>
      <c r="X46" s="25" t="e">
        <f>IF('Residual-Rostered'!#REF!=0,"-",'Residual-Rostered'!#REF!)</f>
        <v>#REF!</v>
      </c>
      <c r="Y46" s="25" t="e">
        <f>IF('Residual-Rostered'!#REF!=0,"-",'Residual-Rostered'!#REF!)</f>
        <v>#REF!</v>
      </c>
      <c r="Z46" s="25" t="e">
        <f>IF('Residual-Rostered'!#REF!=0,"-",'Residual-Rostered'!#REF!)</f>
        <v>#REF!</v>
      </c>
      <c r="AA46" s="25" t="e">
        <f>IF('Residual-Rostered'!#REF!=0,"-",'Residual-Rostered'!#REF!)</f>
        <v>#REF!</v>
      </c>
      <c r="AB46" s="25" t="e">
        <f>IF('Residual-Rostered'!#REF!=0,"-",'Residual-Rostered'!#REF!)</f>
        <v>#REF!</v>
      </c>
      <c r="AC46" s="25" t="e">
        <f>IF('Residual-Rostered'!#REF!=0,"-",'Residual-Rostered'!#REF!)</f>
        <v>#REF!</v>
      </c>
      <c r="AD46" s="25" t="e">
        <f>IF('Residual-Rostered'!#REF!=0,"-",'Residual-Rostered'!#REF!)</f>
        <v>#REF!</v>
      </c>
      <c r="AE46" s="25" t="e">
        <f>IF('Residual-Rostered'!#REF!=0,"-",'Residual-Rostered'!#REF!)</f>
        <v>#REF!</v>
      </c>
      <c r="AF46" s="25" t="e">
        <f>IF('Residual-Rostered'!#REF!=0,"-",'Residual-Rostered'!#REF!)</f>
        <v>#REF!</v>
      </c>
      <c r="AG46" s="25" t="e">
        <f>IF('Residual-Rostered'!#REF!=0,"-",'Residual-Rostered'!#REF!)</f>
        <v>#REF!</v>
      </c>
      <c r="AH46" s="25" t="e">
        <f>IF('Residual-Rostered'!#REF!=0,"-",'Residual-Rostered'!#REF!)</f>
        <v>#REF!</v>
      </c>
      <c r="AI46" s="25" t="e">
        <f>IF('Residual-Rostered'!#REF!=0,"-",'Residual-Rostered'!#REF!)</f>
        <v>#REF!</v>
      </c>
      <c r="AJ46" s="25" t="e">
        <f>IF('Residual-Rostered'!#REF!=0,"-",'Residual-Rostered'!#REF!)</f>
        <v>#REF!</v>
      </c>
      <c r="AK46" s="25" t="e">
        <f>IF('Residual-Rostered'!#REF!=0,"-",'Residual-Rostered'!#REF!)</f>
        <v>#REF!</v>
      </c>
      <c r="AL46" s="25" t="e">
        <f>IF('Residual-Rostered'!#REF!=0,"-",'Residual-Rostered'!#REF!)</f>
        <v>#REF!</v>
      </c>
      <c r="AM46" s="25" t="e">
        <f>IF('Residual-Rostered'!#REF!=0,"-",'Residual-Rostered'!#REF!)</f>
        <v>#REF!</v>
      </c>
      <c r="AN46" s="25" t="e">
        <f>IF('Residual-Rostered'!#REF!=0,"-",'Residual-Rostered'!#REF!)</f>
        <v>#REF!</v>
      </c>
      <c r="AO46" s="25" t="e">
        <f>IF('Residual-Rostered'!#REF!=0,"-",'Residual-Rostered'!#REF!)</f>
        <v>#REF!</v>
      </c>
      <c r="AP46" s="25" t="e">
        <f>IF('Residual-Rostered'!#REF!=0,"-",'Residual-Rostered'!#REF!)</f>
        <v>#REF!</v>
      </c>
      <c r="AQ46" s="25" t="e">
        <f>IF('Residual-Rostered'!#REF!=0,"-",'Residual-Rostered'!#REF!)</f>
        <v>#REF!</v>
      </c>
      <c r="AR46" s="25" t="e">
        <f>IF('Residual-Rostered'!#REF!=0,"-",'Residual-Rostered'!#REF!)</f>
        <v>#REF!</v>
      </c>
      <c r="AS46" s="25" t="e">
        <f>IF('Residual-Rostered'!#REF!=0,"-",'Residual-Rostered'!#REF!)</f>
        <v>#REF!</v>
      </c>
    </row>
    <row r="47" spans="1:45" hidden="1" x14ac:dyDescent="0.25">
      <c r="A47" s="25" t="e">
        <f>'Residual-Rostered'!#REF!</f>
        <v>#REF!</v>
      </c>
      <c r="B47" s="25" t="e">
        <f>'Residual-Rostered'!#REF!</f>
        <v>#REF!</v>
      </c>
      <c r="C47" s="25" t="e">
        <f>'Residual-Rostered'!#REF!</f>
        <v>#REF!</v>
      </c>
      <c r="D47" s="25" t="e">
        <f>IF('Residual-Rostered'!#REF!=0,"-",'Residual-Rostered'!#REF!)</f>
        <v>#REF!</v>
      </c>
      <c r="E47" s="25" t="e">
        <f>IF('Residual-Rostered'!#REF!=0,"-",'Residual-Rostered'!#REF!)</f>
        <v>#REF!</v>
      </c>
      <c r="F47" s="25" t="e">
        <f>IF('Residual-Rostered'!#REF!=0,"-",'Residual-Rostered'!#REF!)</f>
        <v>#REF!</v>
      </c>
      <c r="G47" s="25" t="e">
        <f>IF('Residual-Rostered'!#REF!=0,"-",'Residual-Rostered'!#REF!)</f>
        <v>#REF!</v>
      </c>
      <c r="H47" s="25" t="e">
        <f>IF('Residual-Rostered'!#REF!=0,"-",'Residual-Rostered'!#REF!)</f>
        <v>#REF!</v>
      </c>
      <c r="I47" s="25" t="e">
        <f>IF('Residual-Rostered'!#REF!=0,"-",'Residual-Rostered'!#REF!)</f>
        <v>#REF!</v>
      </c>
      <c r="J47" s="25" t="e">
        <f>IF('Residual-Rostered'!#REF!=0,"-",'Residual-Rostered'!#REF!)</f>
        <v>#REF!</v>
      </c>
      <c r="K47" s="25" t="e">
        <f>IF('Residual-Rostered'!#REF!=0,"-",'Residual-Rostered'!#REF!)</f>
        <v>#REF!</v>
      </c>
      <c r="L47" s="25" t="e">
        <f>IF('Residual-Rostered'!#REF!=0,"-",'Residual-Rostered'!#REF!)</f>
        <v>#REF!</v>
      </c>
      <c r="M47" s="25" t="e">
        <f>IF('Residual-Rostered'!#REF!=0,"-",'Residual-Rostered'!#REF!)</f>
        <v>#REF!</v>
      </c>
      <c r="N47" s="25" t="e">
        <f>IF('Residual-Rostered'!#REF!=0,"-",'Residual-Rostered'!#REF!)</f>
        <v>#REF!</v>
      </c>
      <c r="O47" s="25" t="e">
        <f>IF('Residual-Rostered'!#REF!=0,"-",'Residual-Rostered'!#REF!)</f>
        <v>#REF!</v>
      </c>
      <c r="P47" s="25" t="e">
        <f>IF('Residual-Rostered'!#REF!=0,"-",'Residual-Rostered'!#REF!)</f>
        <v>#REF!</v>
      </c>
      <c r="Q47" s="25" t="e">
        <f>IF('Residual-Rostered'!#REF!=0,"-",'Residual-Rostered'!#REF!)</f>
        <v>#REF!</v>
      </c>
      <c r="R47" s="25" t="e">
        <f>IF('Residual-Rostered'!#REF!=0,"-",'Residual-Rostered'!#REF!)</f>
        <v>#REF!</v>
      </c>
      <c r="S47" s="25" t="e">
        <f>IF('Residual-Rostered'!#REF!=0,"-",'Residual-Rostered'!#REF!)</f>
        <v>#REF!</v>
      </c>
      <c r="T47" s="25" t="e">
        <f>IF('Residual-Rostered'!#REF!=0,"-",'Residual-Rostered'!#REF!)</f>
        <v>#REF!</v>
      </c>
      <c r="U47" s="25" t="e">
        <f>IF('Residual-Rostered'!#REF!=0,"-",'Residual-Rostered'!#REF!)</f>
        <v>#REF!</v>
      </c>
      <c r="V47" s="25" t="e">
        <f>IF('Residual-Rostered'!#REF!=0,"-",'Residual-Rostered'!#REF!)</f>
        <v>#REF!</v>
      </c>
      <c r="W47" s="25" t="e">
        <f>IF('Residual-Rostered'!#REF!=0,"-",'Residual-Rostered'!#REF!)</f>
        <v>#REF!</v>
      </c>
      <c r="X47" s="25" t="e">
        <f>IF('Residual-Rostered'!#REF!=0,"-",'Residual-Rostered'!#REF!)</f>
        <v>#REF!</v>
      </c>
      <c r="Y47" s="25" t="e">
        <f>IF('Residual-Rostered'!#REF!=0,"-",'Residual-Rostered'!#REF!)</f>
        <v>#REF!</v>
      </c>
      <c r="Z47" s="25" t="e">
        <f>IF('Residual-Rostered'!#REF!=0,"-",'Residual-Rostered'!#REF!)</f>
        <v>#REF!</v>
      </c>
      <c r="AA47" s="25" t="e">
        <f>IF('Residual-Rostered'!#REF!=0,"-",'Residual-Rostered'!#REF!)</f>
        <v>#REF!</v>
      </c>
      <c r="AB47" s="25" t="e">
        <f>IF('Residual-Rostered'!#REF!=0,"-",'Residual-Rostered'!#REF!)</f>
        <v>#REF!</v>
      </c>
      <c r="AC47" s="25" t="e">
        <f>IF('Residual-Rostered'!#REF!=0,"-",'Residual-Rostered'!#REF!)</f>
        <v>#REF!</v>
      </c>
      <c r="AD47" s="25" t="e">
        <f>IF('Residual-Rostered'!#REF!=0,"-",'Residual-Rostered'!#REF!)</f>
        <v>#REF!</v>
      </c>
      <c r="AE47" s="25" t="e">
        <f>IF('Residual-Rostered'!#REF!=0,"-",'Residual-Rostered'!#REF!)</f>
        <v>#REF!</v>
      </c>
      <c r="AF47" s="25" t="e">
        <f>IF('Residual-Rostered'!#REF!=0,"-",'Residual-Rostered'!#REF!)</f>
        <v>#REF!</v>
      </c>
      <c r="AG47" s="25" t="e">
        <f>IF('Residual-Rostered'!#REF!=0,"-",'Residual-Rostered'!#REF!)</f>
        <v>#REF!</v>
      </c>
      <c r="AH47" s="25" t="e">
        <f>IF('Residual-Rostered'!#REF!=0,"-",'Residual-Rostered'!#REF!)</f>
        <v>#REF!</v>
      </c>
      <c r="AI47" s="25" t="e">
        <f>IF('Residual-Rostered'!#REF!=0,"-",'Residual-Rostered'!#REF!)</f>
        <v>#REF!</v>
      </c>
      <c r="AJ47" s="25" t="e">
        <f>IF('Residual-Rostered'!#REF!=0,"-",'Residual-Rostered'!#REF!)</f>
        <v>#REF!</v>
      </c>
      <c r="AK47" s="25" t="e">
        <f>IF('Residual-Rostered'!#REF!=0,"-",'Residual-Rostered'!#REF!)</f>
        <v>#REF!</v>
      </c>
      <c r="AL47" s="25" t="e">
        <f>IF('Residual-Rostered'!#REF!=0,"-",'Residual-Rostered'!#REF!)</f>
        <v>#REF!</v>
      </c>
      <c r="AM47" s="25" t="e">
        <f>IF('Residual-Rostered'!#REF!=0,"-",'Residual-Rostered'!#REF!)</f>
        <v>#REF!</v>
      </c>
      <c r="AN47" s="25" t="e">
        <f>IF('Residual-Rostered'!#REF!=0,"-",'Residual-Rostered'!#REF!)</f>
        <v>#REF!</v>
      </c>
      <c r="AO47" s="25" t="e">
        <f>IF('Residual-Rostered'!#REF!=0,"-",'Residual-Rostered'!#REF!)</f>
        <v>#REF!</v>
      </c>
      <c r="AP47" s="25" t="e">
        <f>IF('Residual-Rostered'!#REF!=0,"-",'Residual-Rostered'!#REF!)</f>
        <v>#REF!</v>
      </c>
      <c r="AQ47" s="25" t="e">
        <f>IF('Residual-Rostered'!#REF!=0,"-",'Residual-Rostered'!#REF!)</f>
        <v>#REF!</v>
      </c>
      <c r="AR47" s="25" t="e">
        <f>IF('Residual-Rostered'!#REF!=0,"-",'Residual-Rostered'!#REF!)</f>
        <v>#REF!</v>
      </c>
      <c r="AS47" s="25" t="e">
        <f>IF('Residual-Rostered'!#REF!=0,"-",'Residual-Rostered'!#REF!)</f>
        <v>#REF!</v>
      </c>
    </row>
    <row r="48" spans="1:45" x14ac:dyDescent="0.25">
      <c r="A48" s="25" t="e">
        <f>'Residual-Rostered'!#REF!</f>
        <v>#REF!</v>
      </c>
      <c r="B48" s="25" t="e">
        <f>'Residual-Rostered'!#REF!</f>
        <v>#REF!</v>
      </c>
      <c r="C48" s="25" t="e">
        <f>'Residual-Rostered'!#REF!</f>
        <v>#REF!</v>
      </c>
      <c r="D48" s="25" t="e">
        <f>IF('Residual-Rostered'!#REF!=0,"-",'Residual-Rostered'!#REF!)</f>
        <v>#REF!</v>
      </c>
      <c r="E48" s="25" t="e">
        <f>IF('Residual-Rostered'!#REF!=0,"-",'Residual-Rostered'!#REF!)</f>
        <v>#REF!</v>
      </c>
      <c r="F48" s="25" t="e">
        <f>IF('Residual-Rostered'!#REF!=0,"-",'Residual-Rostered'!#REF!)</f>
        <v>#REF!</v>
      </c>
      <c r="G48" s="25" t="e">
        <f>IF('Residual-Rostered'!#REF!=0,"-",'Residual-Rostered'!#REF!)</f>
        <v>#REF!</v>
      </c>
      <c r="H48" s="25" t="e">
        <f>IF('Residual-Rostered'!#REF!=0,"-",'Residual-Rostered'!#REF!)</f>
        <v>#REF!</v>
      </c>
      <c r="I48" s="25" t="e">
        <f>IF('Residual-Rostered'!#REF!=0,"-",'Residual-Rostered'!#REF!)</f>
        <v>#REF!</v>
      </c>
      <c r="J48" s="25" t="e">
        <f>IF('Residual-Rostered'!#REF!=0,"-",'Residual-Rostered'!#REF!)</f>
        <v>#REF!</v>
      </c>
      <c r="K48" s="25" t="e">
        <f>IF('Residual-Rostered'!#REF!=0,"-",'Residual-Rostered'!#REF!)</f>
        <v>#REF!</v>
      </c>
      <c r="L48" s="25" t="e">
        <f>IF('Residual-Rostered'!#REF!=0,"-",'Residual-Rostered'!#REF!)</f>
        <v>#REF!</v>
      </c>
      <c r="M48" s="25" t="e">
        <f>IF('Residual-Rostered'!#REF!=0,"-",'Residual-Rostered'!#REF!)</f>
        <v>#REF!</v>
      </c>
      <c r="N48" s="25" t="e">
        <f>IF('Residual-Rostered'!#REF!=0,"-",'Residual-Rostered'!#REF!)</f>
        <v>#REF!</v>
      </c>
      <c r="O48" s="25" t="e">
        <f>IF('Residual-Rostered'!#REF!=0,"-",'Residual-Rostered'!#REF!)</f>
        <v>#REF!</v>
      </c>
      <c r="P48" s="25" t="e">
        <f>IF('Residual-Rostered'!#REF!=0,"-",'Residual-Rostered'!#REF!)</f>
        <v>#REF!</v>
      </c>
      <c r="Q48" s="25" t="e">
        <f>IF('Residual-Rostered'!#REF!=0,"-",'Residual-Rostered'!#REF!)</f>
        <v>#REF!</v>
      </c>
      <c r="R48" s="25" t="e">
        <f>IF('Residual-Rostered'!#REF!=0,"-",'Residual-Rostered'!#REF!)</f>
        <v>#REF!</v>
      </c>
      <c r="S48" s="25" t="e">
        <f>IF('Residual-Rostered'!#REF!=0,"-",'Residual-Rostered'!#REF!)</f>
        <v>#REF!</v>
      </c>
      <c r="T48" s="25" t="e">
        <f>IF('Residual-Rostered'!#REF!=0,"-",'Residual-Rostered'!#REF!)</f>
        <v>#REF!</v>
      </c>
      <c r="U48" s="25" t="e">
        <f>IF('Residual-Rostered'!#REF!=0,"-",'Residual-Rostered'!#REF!)</f>
        <v>#REF!</v>
      </c>
      <c r="V48" s="25" t="e">
        <f>IF('Residual-Rostered'!#REF!=0,"-",'Residual-Rostered'!#REF!)</f>
        <v>#REF!</v>
      </c>
      <c r="W48" s="25" t="e">
        <f>IF('Residual-Rostered'!#REF!=0,"-",'Residual-Rostered'!#REF!)</f>
        <v>#REF!</v>
      </c>
      <c r="X48" s="25" t="e">
        <f>IF('Residual-Rostered'!#REF!=0,"-",'Residual-Rostered'!#REF!)</f>
        <v>#REF!</v>
      </c>
      <c r="Y48" s="25" t="e">
        <f>IF('Residual-Rostered'!#REF!=0,"-",'Residual-Rostered'!#REF!)</f>
        <v>#REF!</v>
      </c>
      <c r="Z48" s="25" t="e">
        <f>IF('Residual-Rostered'!#REF!=0,"-",'Residual-Rostered'!#REF!)</f>
        <v>#REF!</v>
      </c>
      <c r="AA48" s="25" t="e">
        <f>IF('Residual-Rostered'!#REF!=0,"-",'Residual-Rostered'!#REF!)</f>
        <v>#REF!</v>
      </c>
      <c r="AB48" s="25" t="e">
        <f>IF('Residual-Rostered'!#REF!=0,"-",'Residual-Rostered'!#REF!)</f>
        <v>#REF!</v>
      </c>
      <c r="AC48" s="25" t="e">
        <f>IF('Residual-Rostered'!#REF!=0,"-",'Residual-Rostered'!#REF!)</f>
        <v>#REF!</v>
      </c>
      <c r="AD48" s="25" t="e">
        <f>IF('Residual-Rostered'!#REF!=0,"-",'Residual-Rostered'!#REF!)</f>
        <v>#REF!</v>
      </c>
      <c r="AE48" s="25" t="e">
        <f>IF('Residual-Rostered'!#REF!=0,"-",'Residual-Rostered'!#REF!)</f>
        <v>#REF!</v>
      </c>
      <c r="AF48" s="25" t="e">
        <f>IF('Residual-Rostered'!#REF!=0,"-",'Residual-Rostered'!#REF!)</f>
        <v>#REF!</v>
      </c>
      <c r="AG48" s="25" t="e">
        <f>IF('Residual-Rostered'!#REF!=0,"-",'Residual-Rostered'!#REF!)</f>
        <v>#REF!</v>
      </c>
      <c r="AH48" s="25" t="e">
        <f>IF('Residual-Rostered'!#REF!=0,"-",'Residual-Rostered'!#REF!)</f>
        <v>#REF!</v>
      </c>
      <c r="AI48" s="25" t="e">
        <f>IF('Residual-Rostered'!#REF!=0,"-",'Residual-Rostered'!#REF!)</f>
        <v>#REF!</v>
      </c>
      <c r="AJ48" s="25" t="e">
        <f>IF('Residual-Rostered'!#REF!=0,"-",'Residual-Rostered'!#REF!)</f>
        <v>#REF!</v>
      </c>
      <c r="AK48" s="25" t="e">
        <f>IF('Residual-Rostered'!#REF!=0,"-",'Residual-Rostered'!#REF!)</f>
        <v>#REF!</v>
      </c>
      <c r="AL48" s="25" t="e">
        <f>IF('Residual-Rostered'!#REF!=0,"-",'Residual-Rostered'!#REF!)</f>
        <v>#REF!</v>
      </c>
      <c r="AM48" s="25" t="e">
        <f>IF('Residual-Rostered'!#REF!=0,"-",'Residual-Rostered'!#REF!)</f>
        <v>#REF!</v>
      </c>
      <c r="AN48" s="25" t="e">
        <f>IF('Residual-Rostered'!#REF!=0,"-",'Residual-Rostered'!#REF!)</f>
        <v>#REF!</v>
      </c>
      <c r="AO48" s="25" t="e">
        <f>IF('Residual-Rostered'!#REF!=0,"-",'Residual-Rostered'!#REF!)</f>
        <v>#REF!</v>
      </c>
      <c r="AP48" s="25" t="e">
        <f>IF('Residual-Rostered'!#REF!=0,"-",'Residual-Rostered'!#REF!)</f>
        <v>#REF!</v>
      </c>
      <c r="AQ48" s="25" t="e">
        <f>IF('Residual-Rostered'!#REF!=0,"-",'Residual-Rostered'!#REF!)</f>
        <v>#REF!</v>
      </c>
      <c r="AR48" s="25" t="e">
        <f>IF('Residual-Rostered'!#REF!=0,"-",'Residual-Rostered'!#REF!)</f>
        <v>#REF!</v>
      </c>
      <c r="AS48" s="25" t="e">
        <f>IF('Residual-Rostered'!#REF!=0,"-",'Residual-Rostered'!#REF!)</f>
        <v>#REF!</v>
      </c>
    </row>
    <row r="49" spans="1:45" x14ac:dyDescent="0.25">
      <c r="A49" s="25" t="e">
        <f>'Residual-Rostered'!#REF!</f>
        <v>#REF!</v>
      </c>
      <c r="B49" s="25" t="e">
        <f>'Residual-Rostered'!#REF!</f>
        <v>#REF!</v>
      </c>
      <c r="C49" s="25" t="e">
        <f>'Residual-Rostered'!#REF!</f>
        <v>#REF!</v>
      </c>
      <c r="D49" s="25" t="e">
        <f>IF('Residual-Rostered'!#REF!=0,"-",'Residual-Rostered'!#REF!)</f>
        <v>#REF!</v>
      </c>
      <c r="E49" s="25" t="e">
        <f>IF('Residual-Rostered'!#REF!=0,"-",'Residual-Rostered'!#REF!)</f>
        <v>#REF!</v>
      </c>
      <c r="F49" s="25" t="e">
        <f>IF('Residual-Rostered'!#REF!=0,"-",'Residual-Rostered'!#REF!)</f>
        <v>#REF!</v>
      </c>
      <c r="G49" s="25" t="e">
        <f>IF('Residual-Rostered'!#REF!=0,"-",'Residual-Rostered'!#REF!)</f>
        <v>#REF!</v>
      </c>
      <c r="H49" s="25" t="e">
        <f>IF('Residual-Rostered'!#REF!=0,"-",'Residual-Rostered'!#REF!)</f>
        <v>#REF!</v>
      </c>
      <c r="I49" s="25" t="e">
        <f>IF('Residual-Rostered'!#REF!=0,"-",'Residual-Rostered'!#REF!)</f>
        <v>#REF!</v>
      </c>
      <c r="J49" s="25" t="e">
        <f>IF('Residual-Rostered'!#REF!=0,"-",'Residual-Rostered'!#REF!)</f>
        <v>#REF!</v>
      </c>
      <c r="K49" s="25" t="e">
        <f>IF('Residual-Rostered'!#REF!=0,"-",'Residual-Rostered'!#REF!)</f>
        <v>#REF!</v>
      </c>
      <c r="L49" s="25" t="e">
        <f>IF('Residual-Rostered'!#REF!=0,"-",'Residual-Rostered'!#REF!)</f>
        <v>#REF!</v>
      </c>
      <c r="M49" s="25" t="e">
        <f>IF('Residual-Rostered'!#REF!=0,"-",'Residual-Rostered'!#REF!)</f>
        <v>#REF!</v>
      </c>
      <c r="N49" s="25" t="e">
        <f>IF('Residual-Rostered'!#REF!=0,"-",'Residual-Rostered'!#REF!)</f>
        <v>#REF!</v>
      </c>
      <c r="O49" s="25" t="e">
        <f>IF('Residual-Rostered'!#REF!=0,"-",'Residual-Rostered'!#REF!)</f>
        <v>#REF!</v>
      </c>
      <c r="P49" s="25" t="e">
        <f>IF('Residual-Rostered'!#REF!=0,"-",'Residual-Rostered'!#REF!)</f>
        <v>#REF!</v>
      </c>
      <c r="Q49" s="25" t="e">
        <f>IF('Residual-Rostered'!#REF!=0,"-",'Residual-Rostered'!#REF!)</f>
        <v>#REF!</v>
      </c>
      <c r="R49" s="25" t="e">
        <f>IF('Residual-Rostered'!#REF!=0,"-",'Residual-Rostered'!#REF!)</f>
        <v>#REF!</v>
      </c>
      <c r="S49" s="25" t="e">
        <f>IF('Residual-Rostered'!#REF!=0,"-",'Residual-Rostered'!#REF!)</f>
        <v>#REF!</v>
      </c>
      <c r="T49" s="25" t="e">
        <f>IF('Residual-Rostered'!#REF!=0,"-",'Residual-Rostered'!#REF!)</f>
        <v>#REF!</v>
      </c>
      <c r="U49" s="25" t="e">
        <f>IF('Residual-Rostered'!#REF!=0,"-",'Residual-Rostered'!#REF!)</f>
        <v>#REF!</v>
      </c>
      <c r="V49" s="25" t="e">
        <f>IF('Residual-Rostered'!#REF!=0,"-",'Residual-Rostered'!#REF!)</f>
        <v>#REF!</v>
      </c>
      <c r="W49" s="25" t="e">
        <f>IF('Residual-Rostered'!#REF!=0,"-",'Residual-Rostered'!#REF!)</f>
        <v>#REF!</v>
      </c>
      <c r="X49" s="25" t="e">
        <f>IF('Residual-Rostered'!#REF!=0,"-",'Residual-Rostered'!#REF!)</f>
        <v>#REF!</v>
      </c>
      <c r="Y49" s="25" t="e">
        <f>IF('Residual-Rostered'!#REF!=0,"-",'Residual-Rostered'!#REF!)</f>
        <v>#REF!</v>
      </c>
      <c r="Z49" s="25" t="e">
        <f>IF('Residual-Rostered'!#REF!=0,"-",'Residual-Rostered'!#REF!)</f>
        <v>#REF!</v>
      </c>
      <c r="AA49" s="25" t="e">
        <f>IF('Residual-Rostered'!#REF!=0,"-",'Residual-Rostered'!#REF!)</f>
        <v>#REF!</v>
      </c>
      <c r="AB49" s="25" t="e">
        <f>IF('Residual-Rostered'!#REF!=0,"-",'Residual-Rostered'!#REF!)</f>
        <v>#REF!</v>
      </c>
      <c r="AC49" s="25" t="e">
        <f>IF('Residual-Rostered'!#REF!=0,"-",'Residual-Rostered'!#REF!)</f>
        <v>#REF!</v>
      </c>
      <c r="AD49" s="25" t="e">
        <f>IF('Residual-Rostered'!#REF!=0,"-",'Residual-Rostered'!#REF!)</f>
        <v>#REF!</v>
      </c>
      <c r="AE49" s="25" t="e">
        <f>IF('Residual-Rostered'!#REF!=0,"-",'Residual-Rostered'!#REF!)</f>
        <v>#REF!</v>
      </c>
      <c r="AF49" s="25" t="e">
        <f>IF('Residual-Rostered'!#REF!=0,"-",'Residual-Rostered'!#REF!)</f>
        <v>#REF!</v>
      </c>
      <c r="AG49" s="25" t="e">
        <f>IF('Residual-Rostered'!#REF!=0,"-",'Residual-Rostered'!#REF!)</f>
        <v>#REF!</v>
      </c>
      <c r="AH49" s="25" t="e">
        <f>IF('Residual-Rostered'!#REF!=0,"-",'Residual-Rostered'!#REF!)</f>
        <v>#REF!</v>
      </c>
      <c r="AI49" s="25" t="e">
        <f>IF('Residual-Rostered'!#REF!=0,"-",'Residual-Rostered'!#REF!)</f>
        <v>#REF!</v>
      </c>
      <c r="AJ49" s="25" t="e">
        <f>IF('Residual-Rostered'!#REF!=0,"-",'Residual-Rostered'!#REF!)</f>
        <v>#REF!</v>
      </c>
      <c r="AK49" s="25" t="e">
        <f>IF('Residual-Rostered'!#REF!=0,"-",'Residual-Rostered'!#REF!)</f>
        <v>#REF!</v>
      </c>
      <c r="AL49" s="25" t="e">
        <f>IF('Residual-Rostered'!#REF!=0,"-",'Residual-Rostered'!#REF!)</f>
        <v>#REF!</v>
      </c>
      <c r="AM49" s="25" t="e">
        <f>IF('Residual-Rostered'!#REF!=0,"-",'Residual-Rostered'!#REF!)</f>
        <v>#REF!</v>
      </c>
      <c r="AN49" s="25" t="e">
        <f>IF('Residual-Rostered'!#REF!=0,"-",'Residual-Rostered'!#REF!)</f>
        <v>#REF!</v>
      </c>
      <c r="AO49" s="25" t="e">
        <f>IF('Residual-Rostered'!#REF!=0,"-",'Residual-Rostered'!#REF!)</f>
        <v>#REF!</v>
      </c>
      <c r="AP49" s="25" t="e">
        <f>IF('Residual-Rostered'!#REF!=0,"-",'Residual-Rostered'!#REF!)</f>
        <v>#REF!</v>
      </c>
      <c r="AQ49" s="25" t="e">
        <f>IF('Residual-Rostered'!#REF!=0,"-",'Residual-Rostered'!#REF!)</f>
        <v>#REF!</v>
      </c>
      <c r="AR49" s="25" t="e">
        <f>IF('Residual-Rostered'!#REF!=0,"-",'Residual-Rostered'!#REF!)</f>
        <v>#REF!</v>
      </c>
      <c r="AS49" s="25" t="e">
        <f>IF('Residual-Rostered'!#REF!=0,"-",'Residual-Rostered'!#REF!)</f>
        <v>#REF!</v>
      </c>
    </row>
    <row r="50" spans="1:45" x14ac:dyDescent="0.25">
      <c r="A50" s="25" t="e">
        <f>'Residual-Rostered'!#REF!</f>
        <v>#REF!</v>
      </c>
      <c r="B50" s="25" t="e">
        <f>'Residual-Rostered'!#REF!</f>
        <v>#REF!</v>
      </c>
      <c r="C50" s="25" t="e">
        <f>'Residual-Rostered'!#REF!</f>
        <v>#REF!</v>
      </c>
      <c r="D50" s="25" t="e">
        <f>IF('Residual-Rostered'!#REF!=0,"-",'Residual-Rostered'!#REF!)</f>
        <v>#REF!</v>
      </c>
      <c r="E50" s="25" t="e">
        <f>IF('Residual-Rostered'!#REF!=0,"-",'Residual-Rostered'!#REF!)</f>
        <v>#REF!</v>
      </c>
      <c r="F50" s="25" t="e">
        <f>IF('Residual-Rostered'!#REF!=0,"-",'Residual-Rostered'!#REF!)</f>
        <v>#REF!</v>
      </c>
      <c r="G50" s="25" t="e">
        <f>IF('Residual-Rostered'!#REF!=0,"-",'Residual-Rostered'!#REF!)</f>
        <v>#REF!</v>
      </c>
      <c r="H50" s="25" t="e">
        <f>IF('Residual-Rostered'!#REF!=0,"-",'Residual-Rostered'!#REF!)</f>
        <v>#REF!</v>
      </c>
      <c r="I50" s="25" t="e">
        <f>IF('Residual-Rostered'!#REF!=0,"-",'Residual-Rostered'!#REF!)</f>
        <v>#REF!</v>
      </c>
      <c r="J50" s="25" t="e">
        <f>IF('Residual-Rostered'!#REF!=0,"-",'Residual-Rostered'!#REF!)</f>
        <v>#REF!</v>
      </c>
      <c r="K50" s="25" t="e">
        <f>IF('Residual-Rostered'!#REF!=0,"-",'Residual-Rostered'!#REF!)</f>
        <v>#REF!</v>
      </c>
      <c r="L50" s="25" t="e">
        <f>IF('Residual-Rostered'!#REF!=0,"-",'Residual-Rostered'!#REF!)</f>
        <v>#REF!</v>
      </c>
      <c r="M50" s="25" t="e">
        <f>IF('Residual-Rostered'!#REF!=0,"-",'Residual-Rostered'!#REF!)</f>
        <v>#REF!</v>
      </c>
      <c r="N50" s="25" t="e">
        <f>IF('Residual-Rostered'!#REF!=0,"-",'Residual-Rostered'!#REF!)</f>
        <v>#REF!</v>
      </c>
      <c r="O50" s="25" t="e">
        <f>IF('Residual-Rostered'!#REF!=0,"-",'Residual-Rostered'!#REF!)</f>
        <v>#REF!</v>
      </c>
      <c r="P50" s="25" t="e">
        <f>IF('Residual-Rostered'!#REF!=0,"-",'Residual-Rostered'!#REF!)</f>
        <v>#REF!</v>
      </c>
      <c r="Q50" s="25" t="e">
        <f>IF('Residual-Rostered'!#REF!=0,"-",'Residual-Rostered'!#REF!)</f>
        <v>#REF!</v>
      </c>
      <c r="R50" s="25" t="e">
        <f>IF('Residual-Rostered'!#REF!=0,"-",'Residual-Rostered'!#REF!)</f>
        <v>#REF!</v>
      </c>
      <c r="S50" s="25" t="e">
        <f>IF('Residual-Rostered'!#REF!=0,"-",'Residual-Rostered'!#REF!)</f>
        <v>#REF!</v>
      </c>
      <c r="T50" s="25" t="e">
        <f>IF('Residual-Rostered'!#REF!=0,"-",'Residual-Rostered'!#REF!)</f>
        <v>#REF!</v>
      </c>
      <c r="U50" s="25" t="e">
        <f>IF('Residual-Rostered'!#REF!=0,"-",'Residual-Rostered'!#REF!)</f>
        <v>#REF!</v>
      </c>
      <c r="V50" s="25" t="e">
        <f>IF('Residual-Rostered'!#REF!=0,"-",'Residual-Rostered'!#REF!)</f>
        <v>#REF!</v>
      </c>
      <c r="W50" s="25" t="e">
        <f>IF('Residual-Rostered'!#REF!=0,"-",'Residual-Rostered'!#REF!)</f>
        <v>#REF!</v>
      </c>
      <c r="X50" s="25" t="e">
        <f>IF('Residual-Rostered'!#REF!=0,"-",'Residual-Rostered'!#REF!)</f>
        <v>#REF!</v>
      </c>
      <c r="Y50" s="25" t="e">
        <f>IF('Residual-Rostered'!#REF!=0,"-",'Residual-Rostered'!#REF!)</f>
        <v>#REF!</v>
      </c>
      <c r="Z50" s="25" t="e">
        <f>IF('Residual-Rostered'!#REF!=0,"-",'Residual-Rostered'!#REF!)</f>
        <v>#REF!</v>
      </c>
      <c r="AA50" s="25" t="e">
        <f>IF('Residual-Rostered'!#REF!=0,"-",'Residual-Rostered'!#REF!)</f>
        <v>#REF!</v>
      </c>
      <c r="AB50" s="25" t="e">
        <f>IF('Residual-Rostered'!#REF!=0,"-",'Residual-Rostered'!#REF!)</f>
        <v>#REF!</v>
      </c>
      <c r="AC50" s="25" t="e">
        <f>IF('Residual-Rostered'!#REF!=0,"-",'Residual-Rostered'!#REF!)</f>
        <v>#REF!</v>
      </c>
      <c r="AD50" s="25" t="e">
        <f>IF('Residual-Rostered'!#REF!=0,"-",'Residual-Rostered'!#REF!)</f>
        <v>#REF!</v>
      </c>
      <c r="AE50" s="25" t="e">
        <f>IF('Residual-Rostered'!#REF!=0,"-",'Residual-Rostered'!#REF!)</f>
        <v>#REF!</v>
      </c>
      <c r="AF50" s="25" t="e">
        <f>IF('Residual-Rostered'!#REF!=0,"-",'Residual-Rostered'!#REF!)</f>
        <v>#REF!</v>
      </c>
      <c r="AG50" s="25" t="e">
        <f>IF('Residual-Rostered'!#REF!=0,"-",'Residual-Rostered'!#REF!)</f>
        <v>#REF!</v>
      </c>
      <c r="AH50" s="25" t="e">
        <f>IF('Residual-Rostered'!#REF!=0,"-",'Residual-Rostered'!#REF!)</f>
        <v>#REF!</v>
      </c>
      <c r="AI50" s="25" t="e">
        <f>IF('Residual-Rostered'!#REF!=0,"-",'Residual-Rostered'!#REF!)</f>
        <v>#REF!</v>
      </c>
      <c r="AJ50" s="25" t="e">
        <f>IF('Residual-Rostered'!#REF!=0,"-",'Residual-Rostered'!#REF!)</f>
        <v>#REF!</v>
      </c>
      <c r="AK50" s="25" t="e">
        <f>IF('Residual-Rostered'!#REF!=0,"-",'Residual-Rostered'!#REF!)</f>
        <v>#REF!</v>
      </c>
      <c r="AL50" s="25" t="e">
        <f>IF('Residual-Rostered'!#REF!=0,"-",'Residual-Rostered'!#REF!)</f>
        <v>#REF!</v>
      </c>
      <c r="AM50" s="25" t="e">
        <f>IF('Residual-Rostered'!#REF!=0,"-",'Residual-Rostered'!#REF!)</f>
        <v>#REF!</v>
      </c>
      <c r="AN50" s="25" t="e">
        <f>IF('Residual-Rostered'!#REF!=0,"-",'Residual-Rostered'!#REF!)</f>
        <v>#REF!</v>
      </c>
      <c r="AO50" s="25" t="e">
        <f>IF('Residual-Rostered'!#REF!=0,"-",'Residual-Rostered'!#REF!)</f>
        <v>#REF!</v>
      </c>
      <c r="AP50" s="25" t="e">
        <f>IF('Residual-Rostered'!#REF!=0,"-",'Residual-Rostered'!#REF!)</f>
        <v>#REF!</v>
      </c>
      <c r="AQ50" s="25" t="e">
        <f>IF('Residual-Rostered'!#REF!=0,"-",'Residual-Rostered'!#REF!)</f>
        <v>#REF!</v>
      </c>
      <c r="AR50" s="25" t="e">
        <f>IF('Residual-Rostered'!#REF!=0,"-",'Residual-Rostered'!#REF!)</f>
        <v>#REF!</v>
      </c>
      <c r="AS50" s="25" t="e">
        <f>IF('Residual-Rostered'!#REF!=0,"-",'Residual-Rostered'!#REF!)</f>
        <v>#REF!</v>
      </c>
    </row>
    <row r="51" spans="1:45" x14ac:dyDescent="0.25">
      <c r="A51" s="25" t="e">
        <f>'Residual-Rostered'!#REF!</f>
        <v>#REF!</v>
      </c>
      <c r="B51" s="25" t="e">
        <f>'Residual-Rostered'!#REF!</f>
        <v>#REF!</v>
      </c>
      <c r="C51" s="25" t="e">
        <f>'Residual-Rostered'!#REF!</f>
        <v>#REF!</v>
      </c>
      <c r="D51" s="25" t="e">
        <f>IF('Residual-Rostered'!#REF!=0,"-",'Residual-Rostered'!#REF!)</f>
        <v>#REF!</v>
      </c>
      <c r="E51" s="25" t="e">
        <f>IF('Residual-Rostered'!#REF!=0,"-",'Residual-Rostered'!#REF!)</f>
        <v>#REF!</v>
      </c>
      <c r="F51" s="25" t="e">
        <f>IF('Residual-Rostered'!#REF!=0,"-",'Residual-Rostered'!#REF!)</f>
        <v>#REF!</v>
      </c>
      <c r="G51" s="25" t="e">
        <f>IF('Residual-Rostered'!#REF!=0,"-",'Residual-Rostered'!#REF!)</f>
        <v>#REF!</v>
      </c>
      <c r="H51" s="25" t="e">
        <f>IF('Residual-Rostered'!#REF!=0,"-",'Residual-Rostered'!#REF!)</f>
        <v>#REF!</v>
      </c>
      <c r="I51" s="25" t="e">
        <f>IF('Residual-Rostered'!#REF!=0,"-",'Residual-Rostered'!#REF!)</f>
        <v>#REF!</v>
      </c>
      <c r="J51" s="25" t="e">
        <f>IF('Residual-Rostered'!#REF!=0,"-",'Residual-Rostered'!#REF!)</f>
        <v>#REF!</v>
      </c>
      <c r="K51" s="25" t="e">
        <f>IF('Residual-Rostered'!#REF!=0,"-",'Residual-Rostered'!#REF!)</f>
        <v>#REF!</v>
      </c>
      <c r="L51" s="25" t="e">
        <f>IF('Residual-Rostered'!#REF!=0,"-",'Residual-Rostered'!#REF!)</f>
        <v>#REF!</v>
      </c>
      <c r="M51" s="25" t="e">
        <f>IF('Residual-Rostered'!#REF!=0,"-",'Residual-Rostered'!#REF!)</f>
        <v>#REF!</v>
      </c>
      <c r="N51" s="25" t="e">
        <f>IF('Residual-Rostered'!#REF!=0,"-",'Residual-Rostered'!#REF!)</f>
        <v>#REF!</v>
      </c>
      <c r="O51" s="25" t="e">
        <f>IF('Residual-Rostered'!#REF!=0,"-",'Residual-Rostered'!#REF!)</f>
        <v>#REF!</v>
      </c>
      <c r="P51" s="25" t="e">
        <f>IF('Residual-Rostered'!#REF!=0,"-",'Residual-Rostered'!#REF!)</f>
        <v>#REF!</v>
      </c>
      <c r="Q51" s="25" t="e">
        <f>IF('Residual-Rostered'!#REF!=0,"-",'Residual-Rostered'!#REF!)</f>
        <v>#REF!</v>
      </c>
      <c r="R51" s="25" t="e">
        <f>IF('Residual-Rostered'!#REF!=0,"-",'Residual-Rostered'!#REF!)</f>
        <v>#REF!</v>
      </c>
      <c r="S51" s="25" t="e">
        <f>IF('Residual-Rostered'!#REF!=0,"-",'Residual-Rostered'!#REF!)</f>
        <v>#REF!</v>
      </c>
      <c r="T51" s="25" t="e">
        <f>IF('Residual-Rostered'!#REF!=0,"-",'Residual-Rostered'!#REF!)</f>
        <v>#REF!</v>
      </c>
      <c r="U51" s="25" t="e">
        <f>IF('Residual-Rostered'!#REF!=0,"-",'Residual-Rostered'!#REF!)</f>
        <v>#REF!</v>
      </c>
      <c r="V51" s="25" t="e">
        <f>IF('Residual-Rostered'!#REF!=0,"-",'Residual-Rostered'!#REF!)</f>
        <v>#REF!</v>
      </c>
      <c r="W51" s="25" t="e">
        <f>IF('Residual-Rostered'!#REF!=0,"-",'Residual-Rostered'!#REF!)</f>
        <v>#REF!</v>
      </c>
      <c r="X51" s="25" t="e">
        <f>IF('Residual-Rostered'!#REF!=0,"-",'Residual-Rostered'!#REF!)</f>
        <v>#REF!</v>
      </c>
      <c r="Y51" s="25" t="e">
        <f>IF('Residual-Rostered'!#REF!=0,"-",'Residual-Rostered'!#REF!)</f>
        <v>#REF!</v>
      </c>
      <c r="Z51" s="25" t="e">
        <f>IF('Residual-Rostered'!#REF!=0,"-",'Residual-Rostered'!#REF!)</f>
        <v>#REF!</v>
      </c>
      <c r="AA51" s="25" t="e">
        <f>IF('Residual-Rostered'!#REF!=0,"-",'Residual-Rostered'!#REF!)</f>
        <v>#REF!</v>
      </c>
      <c r="AB51" s="25" t="e">
        <f>IF('Residual-Rostered'!#REF!=0,"-",'Residual-Rostered'!#REF!)</f>
        <v>#REF!</v>
      </c>
      <c r="AC51" s="25" t="e">
        <f>IF('Residual-Rostered'!#REF!=0,"-",'Residual-Rostered'!#REF!)</f>
        <v>#REF!</v>
      </c>
      <c r="AD51" s="25" t="e">
        <f>IF('Residual-Rostered'!#REF!=0,"-",'Residual-Rostered'!#REF!)</f>
        <v>#REF!</v>
      </c>
      <c r="AE51" s="25" t="e">
        <f>IF('Residual-Rostered'!#REF!=0,"-",'Residual-Rostered'!#REF!)</f>
        <v>#REF!</v>
      </c>
      <c r="AF51" s="25" t="e">
        <f>IF('Residual-Rostered'!#REF!=0,"-",'Residual-Rostered'!#REF!)</f>
        <v>#REF!</v>
      </c>
      <c r="AG51" s="25" t="e">
        <f>IF('Residual-Rostered'!#REF!=0,"-",'Residual-Rostered'!#REF!)</f>
        <v>#REF!</v>
      </c>
      <c r="AH51" s="25" t="e">
        <f>IF('Residual-Rostered'!#REF!=0,"-",'Residual-Rostered'!#REF!)</f>
        <v>#REF!</v>
      </c>
      <c r="AI51" s="25" t="e">
        <f>IF('Residual-Rostered'!#REF!=0,"-",'Residual-Rostered'!#REF!)</f>
        <v>#REF!</v>
      </c>
      <c r="AJ51" s="25" t="e">
        <f>IF('Residual-Rostered'!#REF!=0,"-",'Residual-Rostered'!#REF!)</f>
        <v>#REF!</v>
      </c>
      <c r="AK51" s="25" t="e">
        <f>IF('Residual-Rostered'!#REF!=0,"-",'Residual-Rostered'!#REF!)</f>
        <v>#REF!</v>
      </c>
      <c r="AL51" s="25" t="e">
        <f>IF('Residual-Rostered'!#REF!=0,"-",'Residual-Rostered'!#REF!)</f>
        <v>#REF!</v>
      </c>
      <c r="AM51" s="25" t="e">
        <f>IF('Residual-Rostered'!#REF!=0,"-",'Residual-Rostered'!#REF!)</f>
        <v>#REF!</v>
      </c>
      <c r="AN51" s="25" t="e">
        <f>IF('Residual-Rostered'!#REF!=0,"-",'Residual-Rostered'!#REF!)</f>
        <v>#REF!</v>
      </c>
      <c r="AO51" s="25" t="e">
        <f>IF('Residual-Rostered'!#REF!=0,"-",'Residual-Rostered'!#REF!)</f>
        <v>#REF!</v>
      </c>
      <c r="AP51" s="25" t="e">
        <f>IF('Residual-Rostered'!#REF!=0,"-",'Residual-Rostered'!#REF!)</f>
        <v>#REF!</v>
      </c>
      <c r="AQ51" s="25" t="e">
        <f>IF('Residual-Rostered'!#REF!=0,"-",'Residual-Rostered'!#REF!)</f>
        <v>#REF!</v>
      </c>
      <c r="AR51" s="25" t="e">
        <f>IF('Residual-Rostered'!#REF!=0,"-",'Residual-Rostered'!#REF!)</f>
        <v>#REF!</v>
      </c>
      <c r="AS51" s="25" t="e">
        <f>IF('Residual-Rostered'!#REF!=0,"-",'Residual-Rostered'!#REF!)</f>
        <v>#REF!</v>
      </c>
    </row>
    <row r="52" spans="1:45" x14ac:dyDescent="0.25">
      <c r="A52" s="25" t="e">
        <f>'Residual-Rostered'!#REF!</f>
        <v>#REF!</v>
      </c>
      <c r="B52" s="25" t="e">
        <f>'Residual-Rostered'!#REF!</f>
        <v>#REF!</v>
      </c>
      <c r="C52" s="25" t="e">
        <f>'Residual-Rostered'!#REF!</f>
        <v>#REF!</v>
      </c>
      <c r="D52" s="25" t="e">
        <f>IF('Residual-Rostered'!#REF!=0,"-",'Residual-Rostered'!#REF!)</f>
        <v>#REF!</v>
      </c>
      <c r="E52" s="25" t="e">
        <f>IF('Residual-Rostered'!#REF!=0,"-",'Residual-Rostered'!#REF!)</f>
        <v>#REF!</v>
      </c>
      <c r="F52" s="25" t="e">
        <f>IF('Residual-Rostered'!#REF!=0,"-",'Residual-Rostered'!#REF!)</f>
        <v>#REF!</v>
      </c>
      <c r="G52" s="25" t="e">
        <f>IF('Residual-Rostered'!#REF!=0,"-",'Residual-Rostered'!#REF!)</f>
        <v>#REF!</v>
      </c>
      <c r="H52" s="25" t="e">
        <f>IF('Residual-Rostered'!#REF!=0,"-",'Residual-Rostered'!#REF!)</f>
        <v>#REF!</v>
      </c>
      <c r="I52" s="25" t="e">
        <f>IF('Residual-Rostered'!#REF!=0,"-",'Residual-Rostered'!#REF!)</f>
        <v>#REF!</v>
      </c>
      <c r="J52" s="25" t="e">
        <f>IF('Residual-Rostered'!#REF!=0,"-",'Residual-Rostered'!#REF!)</f>
        <v>#REF!</v>
      </c>
      <c r="K52" s="25" t="e">
        <f>IF('Residual-Rostered'!#REF!=0,"-",'Residual-Rostered'!#REF!)</f>
        <v>#REF!</v>
      </c>
      <c r="L52" s="25" t="e">
        <f>IF('Residual-Rostered'!#REF!=0,"-",'Residual-Rostered'!#REF!)</f>
        <v>#REF!</v>
      </c>
      <c r="M52" s="25" t="e">
        <f>IF('Residual-Rostered'!#REF!=0,"-",'Residual-Rostered'!#REF!)</f>
        <v>#REF!</v>
      </c>
      <c r="N52" s="25" t="e">
        <f>IF('Residual-Rostered'!#REF!=0,"-",'Residual-Rostered'!#REF!)</f>
        <v>#REF!</v>
      </c>
      <c r="O52" s="25" t="e">
        <f>IF('Residual-Rostered'!#REF!=0,"-",'Residual-Rostered'!#REF!)</f>
        <v>#REF!</v>
      </c>
      <c r="P52" s="25" t="e">
        <f>IF('Residual-Rostered'!#REF!=0,"-",'Residual-Rostered'!#REF!)</f>
        <v>#REF!</v>
      </c>
      <c r="Q52" s="25" t="e">
        <f>IF('Residual-Rostered'!#REF!=0,"-",'Residual-Rostered'!#REF!)</f>
        <v>#REF!</v>
      </c>
      <c r="R52" s="25" t="e">
        <f>IF('Residual-Rostered'!#REF!=0,"-",'Residual-Rostered'!#REF!)</f>
        <v>#REF!</v>
      </c>
      <c r="S52" s="25" t="e">
        <f>IF('Residual-Rostered'!#REF!=0,"-",'Residual-Rostered'!#REF!)</f>
        <v>#REF!</v>
      </c>
      <c r="T52" s="25" t="e">
        <f>IF('Residual-Rostered'!#REF!=0,"-",'Residual-Rostered'!#REF!)</f>
        <v>#REF!</v>
      </c>
      <c r="U52" s="25" t="e">
        <f>IF('Residual-Rostered'!#REF!=0,"-",'Residual-Rostered'!#REF!)</f>
        <v>#REF!</v>
      </c>
      <c r="V52" s="25" t="e">
        <f>IF('Residual-Rostered'!#REF!=0,"-",'Residual-Rostered'!#REF!)</f>
        <v>#REF!</v>
      </c>
      <c r="W52" s="25" t="e">
        <f>IF('Residual-Rostered'!#REF!=0,"-",'Residual-Rostered'!#REF!)</f>
        <v>#REF!</v>
      </c>
      <c r="X52" s="25" t="e">
        <f>IF('Residual-Rostered'!#REF!=0,"-",'Residual-Rostered'!#REF!)</f>
        <v>#REF!</v>
      </c>
      <c r="Y52" s="25" t="e">
        <f>IF('Residual-Rostered'!#REF!=0,"-",'Residual-Rostered'!#REF!)</f>
        <v>#REF!</v>
      </c>
      <c r="Z52" s="25" t="e">
        <f>IF('Residual-Rostered'!#REF!=0,"-",'Residual-Rostered'!#REF!)</f>
        <v>#REF!</v>
      </c>
      <c r="AA52" s="25" t="e">
        <f>IF('Residual-Rostered'!#REF!=0,"-",'Residual-Rostered'!#REF!)</f>
        <v>#REF!</v>
      </c>
      <c r="AB52" s="25" t="e">
        <f>IF('Residual-Rostered'!#REF!=0,"-",'Residual-Rostered'!#REF!)</f>
        <v>#REF!</v>
      </c>
      <c r="AC52" s="25" t="e">
        <f>IF('Residual-Rostered'!#REF!=0,"-",'Residual-Rostered'!#REF!)</f>
        <v>#REF!</v>
      </c>
      <c r="AD52" s="25" t="e">
        <f>IF('Residual-Rostered'!#REF!=0,"-",'Residual-Rostered'!#REF!)</f>
        <v>#REF!</v>
      </c>
      <c r="AE52" s="25" t="e">
        <f>IF('Residual-Rostered'!#REF!=0,"-",'Residual-Rostered'!#REF!)</f>
        <v>#REF!</v>
      </c>
      <c r="AF52" s="25" t="e">
        <f>IF('Residual-Rostered'!#REF!=0,"-",'Residual-Rostered'!#REF!)</f>
        <v>#REF!</v>
      </c>
      <c r="AG52" s="25" t="e">
        <f>IF('Residual-Rostered'!#REF!=0,"-",'Residual-Rostered'!#REF!)</f>
        <v>#REF!</v>
      </c>
      <c r="AH52" s="25" t="e">
        <f>IF('Residual-Rostered'!#REF!=0,"-",'Residual-Rostered'!#REF!)</f>
        <v>#REF!</v>
      </c>
      <c r="AI52" s="25" t="e">
        <f>IF('Residual-Rostered'!#REF!=0,"-",'Residual-Rostered'!#REF!)</f>
        <v>#REF!</v>
      </c>
      <c r="AJ52" s="25" t="e">
        <f>IF('Residual-Rostered'!#REF!=0,"-",'Residual-Rostered'!#REF!)</f>
        <v>#REF!</v>
      </c>
      <c r="AK52" s="25" t="e">
        <f>IF('Residual-Rostered'!#REF!=0,"-",'Residual-Rostered'!#REF!)</f>
        <v>#REF!</v>
      </c>
      <c r="AL52" s="25" t="e">
        <f>IF('Residual-Rostered'!#REF!=0,"-",'Residual-Rostered'!#REF!)</f>
        <v>#REF!</v>
      </c>
      <c r="AM52" s="25" t="e">
        <f>IF('Residual-Rostered'!#REF!=0,"-",'Residual-Rostered'!#REF!)</f>
        <v>#REF!</v>
      </c>
      <c r="AN52" s="25" t="e">
        <f>IF('Residual-Rostered'!#REF!=0,"-",'Residual-Rostered'!#REF!)</f>
        <v>#REF!</v>
      </c>
      <c r="AO52" s="25" t="e">
        <f>IF('Residual-Rostered'!#REF!=0,"-",'Residual-Rostered'!#REF!)</f>
        <v>#REF!</v>
      </c>
      <c r="AP52" s="25" t="e">
        <f>IF('Residual-Rostered'!#REF!=0,"-",'Residual-Rostered'!#REF!)</f>
        <v>#REF!</v>
      </c>
      <c r="AQ52" s="25" t="e">
        <f>IF('Residual-Rostered'!#REF!=0,"-",'Residual-Rostered'!#REF!)</f>
        <v>#REF!</v>
      </c>
      <c r="AR52" s="25" t="e">
        <f>IF('Residual-Rostered'!#REF!=0,"-",'Residual-Rostered'!#REF!)</f>
        <v>#REF!</v>
      </c>
      <c r="AS52" s="25" t="e">
        <f>IF('Residual-Rostered'!#REF!=0,"-",'Residual-Rostered'!#REF!)</f>
        <v>#REF!</v>
      </c>
    </row>
    <row r="53" spans="1:45" x14ac:dyDescent="0.25">
      <c r="A53" s="25" t="e">
        <f>'Residual-Rostered'!#REF!</f>
        <v>#REF!</v>
      </c>
      <c r="B53" s="25" t="e">
        <f>'Residual-Rostered'!#REF!</f>
        <v>#REF!</v>
      </c>
      <c r="C53" s="25" t="e">
        <f>'Residual-Rostered'!#REF!</f>
        <v>#REF!</v>
      </c>
      <c r="D53" s="25" t="e">
        <f>IF('Residual-Rostered'!#REF!=0,"-",'Residual-Rostered'!#REF!)</f>
        <v>#REF!</v>
      </c>
      <c r="E53" s="25" t="e">
        <f>IF('Residual-Rostered'!#REF!=0,"-",'Residual-Rostered'!#REF!)</f>
        <v>#REF!</v>
      </c>
      <c r="F53" s="25" t="e">
        <f>IF('Residual-Rostered'!#REF!=0,"-",'Residual-Rostered'!#REF!)</f>
        <v>#REF!</v>
      </c>
      <c r="G53" s="25" t="e">
        <f>IF('Residual-Rostered'!#REF!=0,"-",'Residual-Rostered'!#REF!)</f>
        <v>#REF!</v>
      </c>
      <c r="H53" s="25" t="e">
        <f>IF('Residual-Rostered'!#REF!=0,"-",'Residual-Rostered'!#REF!)</f>
        <v>#REF!</v>
      </c>
      <c r="I53" s="25" t="e">
        <f>IF('Residual-Rostered'!#REF!=0,"-",'Residual-Rostered'!#REF!)</f>
        <v>#REF!</v>
      </c>
      <c r="J53" s="25" t="e">
        <f>IF('Residual-Rostered'!#REF!=0,"-",'Residual-Rostered'!#REF!)</f>
        <v>#REF!</v>
      </c>
      <c r="K53" s="25" t="e">
        <f>IF('Residual-Rostered'!#REF!=0,"-",'Residual-Rostered'!#REF!)</f>
        <v>#REF!</v>
      </c>
      <c r="L53" s="25" t="e">
        <f>IF('Residual-Rostered'!#REF!=0,"-",'Residual-Rostered'!#REF!)</f>
        <v>#REF!</v>
      </c>
      <c r="M53" s="25" t="e">
        <f>IF('Residual-Rostered'!#REF!=0,"-",'Residual-Rostered'!#REF!)</f>
        <v>#REF!</v>
      </c>
      <c r="N53" s="25" t="e">
        <f>IF('Residual-Rostered'!#REF!=0,"-",'Residual-Rostered'!#REF!)</f>
        <v>#REF!</v>
      </c>
      <c r="O53" s="25" t="e">
        <f>IF('Residual-Rostered'!#REF!=0,"-",'Residual-Rostered'!#REF!)</f>
        <v>#REF!</v>
      </c>
      <c r="P53" s="25" t="e">
        <f>IF('Residual-Rostered'!#REF!=0,"-",'Residual-Rostered'!#REF!)</f>
        <v>#REF!</v>
      </c>
      <c r="Q53" s="25" t="e">
        <f>IF('Residual-Rostered'!#REF!=0,"-",'Residual-Rostered'!#REF!)</f>
        <v>#REF!</v>
      </c>
      <c r="R53" s="25" t="e">
        <f>IF('Residual-Rostered'!#REF!=0,"-",'Residual-Rostered'!#REF!)</f>
        <v>#REF!</v>
      </c>
      <c r="S53" s="25" t="e">
        <f>IF('Residual-Rostered'!#REF!=0,"-",'Residual-Rostered'!#REF!)</f>
        <v>#REF!</v>
      </c>
      <c r="T53" s="25" t="e">
        <f>IF('Residual-Rostered'!#REF!=0,"-",'Residual-Rostered'!#REF!)</f>
        <v>#REF!</v>
      </c>
      <c r="U53" s="25" t="e">
        <f>IF('Residual-Rostered'!#REF!=0,"-",'Residual-Rostered'!#REF!)</f>
        <v>#REF!</v>
      </c>
      <c r="V53" s="25" t="e">
        <f>IF('Residual-Rostered'!#REF!=0,"-",'Residual-Rostered'!#REF!)</f>
        <v>#REF!</v>
      </c>
      <c r="W53" s="25" t="e">
        <f>IF('Residual-Rostered'!#REF!=0,"-",'Residual-Rostered'!#REF!)</f>
        <v>#REF!</v>
      </c>
      <c r="X53" s="25" t="e">
        <f>IF('Residual-Rostered'!#REF!=0,"-",'Residual-Rostered'!#REF!)</f>
        <v>#REF!</v>
      </c>
      <c r="Y53" s="25" t="e">
        <f>IF('Residual-Rostered'!#REF!=0,"-",'Residual-Rostered'!#REF!)</f>
        <v>#REF!</v>
      </c>
      <c r="Z53" s="25" t="e">
        <f>IF('Residual-Rostered'!#REF!=0,"-",'Residual-Rostered'!#REF!)</f>
        <v>#REF!</v>
      </c>
      <c r="AA53" s="25" t="e">
        <f>IF('Residual-Rostered'!#REF!=0,"-",'Residual-Rostered'!#REF!)</f>
        <v>#REF!</v>
      </c>
      <c r="AB53" s="25" t="e">
        <f>IF('Residual-Rostered'!#REF!=0,"-",'Residual-Rostered'!#REF!)</f>
        <v>#REF!</v>
      </c>
      <c r="AC53" s="25" t="e">
        <f>IF('Residual-Rostered'!#REF!=0,"-",'Residual-Rostered'!#REF!)</f>
        <v>#REF!</v>
      </c>
      <c r="AD53" s="25" t="e">
        <f>IF('Residual-Rostered'!#REF!=0,"-",'Residual-Rostered'!#REF!)</f>
        <v>#REF!</v>
      </c>
      <c r="AE53" s="25" t="e">
        <f>IF('Residual-Rostered'!#REF!=0,"-",'Residual-Rostered'!#REF!)</f>
        <v>#REF!</v>
      </c>
      <c r="AF53" s="25" t="e">
        <f>IF('Residual-Rostered'!#REF!=0,"-",'Residual-Rostered'!#REF!)</f>
        <v>#REF!</v>
      </c>
      <c r="AG53" s="25" t="e">
        <f>IF('Residual-Rostered'!#REF!=0,"-",'Residual-Rostered'!#REF!)</f>
        <v>#REF!</v>
      </c>
      <c r="AH53" s="25" t="e">
        <f>IF('Residual-Rostered'!#REF!=0,"-",'Residual-Rostered'!#REF!)</f>
        <v>#REF!</v>
      </c>
      <c r="AI53" s="25" t="e">
        <f>IF('Residual-Rostered'!#REF!=0,"-",'Residual-Rostered'!#REF!)</f>
        <v>#REF!</v>
      </c>
      <c r="AJ53" s="25" t="e">
        <f>IF('Residual-Rostered'!#REF!=0,"-",'Residual-Rostered'!#REF!)</f>
        <v>#REF!</v>
      </c>
      <c r="AK53" s="25" t="e">
        <f>IF('Residual-Rostered'!#REF!=0,"-",'Residual-Rostered'!#REF!)</f>
        <v>#REF!</v>
      </c>
      <c r="AL53" s="25" t="e">
        <f>IF('Residual-Rostered'!#REF!=0,"-",'Residual-Rostered'!#REF!)</f>
        <v>#REF!</v>
      </c>
      <c r="AM53" s="25" t="e">
        <f>IF('Residual-Rostered'!#REF!=0,"-",'Residual-Rostered'!#REF!)</f>
        <v>#REF!</v>
      </c>
      <c r="AN53" s="25" t="e">
        <f>IF('Residual-Rostered'!#REF!=0,"-",'Residual-Rostered'!#REF!)</f>
        <v>#REF!</v>
      </c>
      <c r="AO53" s="25" t="e">
        <f>IF('Residual-Rostered'!#REF!=0,"-",'Residual-Rostered'!#REF!)</f>
        <v>#REF!</v>
      </c>
      <c r="AP53" s="25" t="e">
        <f>IF('Residual-Rostered'!#REF!=0,"-",'Residual-Rostered'!#REF!)</f>
        <v>#REF!</v>
      </c>
      <c r="AQ53" s="25" t="e">
        <f>IF('Residual-Rostered'!#REF!=0,"-",'Residual-Rostered'!#REF!)</f>
        <v>#REF!</v>
      </c>
      <c r="AR53" s="25" t="e">
        <f>IF('Residual-Rostered'!#REF!=0,"-",'Residual-Rostered'!#REF!)</f>
        <v>#REF!</v>
      </c>
      <c r="AS53" s="25" t="e">
        <f>IF('Residual-Rostered'!#REF!=0,"-",'Residual-Rostered'!#REF!)</f>
        <v>#REF!</v>
      </c>
    </row>
    <row r="54" spans="1:45" x14ac:dyDescent="0.25">
      <c r="A54" s="25" t="e">
        <f>'Residual-Rostered'!#REF!</f>
        <v>#REF!</v>
      </c>
      <c r="B54" s="25" t="e">
        <f>'Residual-Rostered'!#REF!</f>
        <v>#REF!</v>
      </c>
      <c r="C54" s="25" t="e">
        <f>'Residual-Rostered'!#REF!</f>
        <v>#REF!</v>
      </c>
      <c r="D54" s="25" t="e">
        <f>IF('Residual-Rostered'!#REF!=0,"-",'Residual-Rostered'!#REF!)</f>
        <v>#REF!</v>
      </c>
      <c r="E54" s="25" t="e">
        <f>IF('Residual-Rostered'!#REF!=0,"-",'Residual-Rostered'!#REF!)</f>
        <v>#REF!</v>
      </c>
      <c r="F54" s="25" t="e">
        <f>IF('Residual-Rostered'!#REF!=0,"-",'Residual-Rostered'!#REF!)</f>
        <v>#REF!</v>
      </c>
      <c r="G54" s="25" t="e">
        <f>IF('Residual-Rostered'!#REF!=0,"-",'Residual-Rostered'!#REF!)</f>
        <v>#REF!</v>
      </c>
      <c r="H54" s="25" t="e">
        <f>IF('Residual-Rostered'!#REF!=0,"-",'Residual-Rostered'!#REF!)</f>
        <v>#REF!</v>
      </c>
      <c r="I54" s="25" t="e">
        <f>IF('Residual-Rostered'!#REF!=0,"-",'Residual-Rostered'!#REF!)</f>
        <v>#REF!</v>
      </c>
      <c r="J54" s="25" t="e">
        <f>IF('Residual-Rostered'!#REF!=0,"-",'Residual-Rostered'!#REF!)</f>
        <v>#REF!</v>
      </c>
      <c r="K54" s="25" t="e">
        <f>IF('Residual-Rostered'!#REF!=0,"-",'Residual-Rostered'!#REF!)</f>
        <v>#REF!</v>
      </c>
      <c r="L54" s="25" t="e">
        <f>IF('Residual-Rostered'!#REF!=0,"-",'Residual-Rostered'!#REF!)</f>
        <v>#REF!</v>
      </c>
      <c r="M54" s="25" t="e">
        <f>IF('Residual-Rostered'!#REF!=0,"-",'Residual-Rostered'!#REF!)</f>
        <v>#REF!</v>
      </c>
      <c r="N54" s="25" t="e">
        <f>IF('Residual-Rostered'!#REF!=0,"-",'Residual-Rostered'!#REF!)</f>
        <v>#REF!</v>
      </c>
      <c r="O54" s="25" t="e">
        <f>IF('Residual-Rostered'!#REF!=0,"-",'Residual-Rostered'!#REF!)</f>
        <v>#REF!</v>
      </c>
      <c r="P54" s="25" t="e">
        <f>IF('Residual-Rostered'!#REF!=0,"-",'Residual-Rostered'!#REF!)</f>
        <v>#REF!</v>
      </c>
      <c r="Q54" s="25" t="e">
        <f>IF('Residual-Rostered'!#REF!=0,"-",'Residual-Rostered'!#REF!)</f>
        <v>#REF!</v>
      </c>
      <c r="R54" s="25" t="e">
        <f>IF('Residual-Rostered'!#REF!=0,"-",'Residual-Rostered'!#REF!)</f>
        <v>#REF!</v>
      </c>
      <c r="S54" s="25" t="e">
        <f>IF('Residual-Rostered'!#REF!=0,"-",'Residual-Rostered'!#REF!)</f>
        <v>#REF!</v>
      </c>
      <c r="T54" s="25" t="e">
        <f>IF('Residual-Rostered'!#REF!=0,"-",'Residual-Rostered'!#REF!)</f>
        <v>#REF!</v>
      </c>
      <c r="U54" s="25" t="e">
        <f>IF('Residual-Rostered'!#REF!=0,"-",'Residual-Rostered'!#REF!)</f>
        <v>#REF!</v>
      </c>
      <c r="V54" s="25" t="e">
        <f>IF('Residual-Rostered'!#REF!=0,"-",'Residual-Rostered'!#REF!)</f>
        <v>#REF!</v>
      </c>
      <c r="W54" s="25" t="e">
        <f>IF('Residual-Rostered'!#REF!=0,"-",'Residual-Rostered'!#REF!)</f>
        <v>#REF!</v>
      </c>
      <c r="X54" s="25" t="e">
        <f>IF('Residual-Rostered'!#REF!=0,"-",'Residual-Rostered'!#REF!)</f>
        <v>#REF!</v>
      </c>
      <c r="Y54" s="25" t="e">
        <f>IF('Residual-Rostered'!#REF!=0,"-",'Residual-Rostered'!#REF!)</f>
        <v>#REF!</v>
      </c>
      <c r="Z54" s="25" t="e">
        <f>IF('Residual-Rostered'!#REF!=0,"-",'Residual-Rostered'!#REF!)</f>
        <v>#REF!</v>
      </c>
      <c r="AA54" s="25" t="e">
        <f>IF('Residual-Rostered'!#REF!=0,"-",'Residual-Rostered'!#REF!)</f>
        <v>#REF!</v>
      </c>
      <c r="AB54" s="25" t="e">
        <f>IF('Residual-Rostered'!#REF!=0,"-",'Residual-Rostered'!#REF!)</f>
        <v>#REF!</v>
      </c>
      <c r="AC54" s="25" t="e">
        <f>IF('Residual-Rostered'!#REF!=0,"-",'Residual-Rostered'!#REF!)</f>
        <v>#REF!</v>
      </c>
      <c r="AD54" s="25" t="e">
        <f>IF('Residual-Rostered'!#REF!=0,"-",'Residual-Rostered'!#REF!)</f>
        <v>#REF!</v>
      </c>
      <c r="AE54" s="25" t="e">
        <f>IF('Residual-Rostered'!#REF!=0,"-",'Residual-Rostered'!#REF!)</f>
        <v>#REF!</v>
      </c>
      <c r="AF54" s="25" t="e">
        <f>IF('Residual-Rostered'!#REF!=0,"-",'Residual-Rostered'!#REF!)</f>
        <v>#REF!</v>
      </c>
      <c r="AG54" s="25" t="e">
        <f>IF('Residual-Rostered'!#REF!=0,"-",'Residual-Rostered'!#REF!)</f>
        <v>#REF!</v>
      </c>
      <c r="AH54" s="25" t="e">
        <f>IF('Residual-Rostered'!#REF!=0,"-",'Residual-Rostered'!#REF!)</f>
        <v>#REF!</v>
      </c>
      <c r="AI54" s="25" t="e">
        <f>IF('Residual-Rostered'!#REF!=0,"-",'Residual-Rostered'!#REF!)</f>
        <v>#REF!</v>
      </c>
      <c r="AJ54" s="25" t="e">
        <f>IF('Residual-Rostered'!#REF!=0,"-",'Residual-Rostered'!#REF!)</f>
        <v>#REF!</v>
      </c>
      <c r="AK54" s="25" t="e">
        <f>IF('Residual-Rostered'!#REF!=0,"-",'Residual-Rostered'!#REF!)</f>
        <v>#REF!</v>
      </c>
      <c r="AL54" s="25" t="e">
        <f>IF('Residual-Rostered'!#REF!=0,"-",'Residual-Rostered'!#REF!)</f>
        <v>#REF!</v>
      </c>
      <c r="AM54" s="25" t="e">
        <f>IF('Residual-Rostered'!#REF!=0,"-",'Residual-Rostered'!#REF!)</f>
        <v>#REF!</v>
      </c>
      <c r="AN54" s="25" t="e">
        <f>IF('Residual-Rostered'!#REF!=0,"-",'Residual-Rostered'!#REF!)</f>
        <v>#REF!</v>
      </c>
      <c r="AO54" s="25" t="e">
        <f>IF('Residual-Rostered'!#REF!=0,"-",'Residual-Rostered'!#REF!)</f>
        <v>#REF!</v>
      </c>
      <c r="AP54" s="25" t="e">
        <f>IF('Residual-Rostered'!#REF!=0,"-",'Residual-Rostered'!#REF!)</f>
        <v>#REF!</v>
      </c>
      <c r="AQ54" s="25" t="e">
        <f>IF('Residual-Rostered'!#REF!=0,"-",'Residual-Rostered'!#REF!)</f>
        <v>#REF!</v>
      </c>
      <c r="AR54" s="25" t="e">
        <f>IF('Residual-Rostered'!#REF!=0,"-",'Residual-Rostered'!#REF!)</f>
        <v>#REF!</v>
      </c>
      <c r="AS54" s="25" t="e">
        <f>IF('Residual-Rostered'!#REF!=0,"-",'Residual-Rostered'!#REF!)</f>
        <v>#REF!</v>
      </c>
    </row>
    <row r="55" spans="1:45" x14ac:dyDescent="0.25">
      <c r="A55" s="25" t="e">
        <f>'Residual-Rostered'!#REF!</f>
        <v>#REF!</v>
      </c>
      <c r="B55" s="25" t="e">
        <f>'Residual-Rostered'!#REF!</f>
        <v>#REF!</v>
      </c>
      <c r="C55" s="25" t="e">
        <f>'Residual-Rostered'!#REF!</f>
        <v>#REF!</v>
      </c>
      <c r="D55" s="25" t="e">
        <f>IF('Residual-Rostered'!#REF!=0,"-",'Residual-Rostered'!#REF!)</f>
        <v>#REF!</v>
      </c>
      <c r="E55" s="25" t="e">
        <f>IF('Residual-Rostered'!#REF!=0,"-",'Residual-Rostered'!#REF!)</f>
        <v>#REF!</v>
      </c>
      <c r="F55" s="25" t="e">
        <f>IF('Residual-Rostered'!#REF!=0,"-",'Residual-Rostered'!#REF!)</f>
        <v>#REF!</v>
      </c>
      <c r="G55" s="25" t="e">
        <f>IF('Residual-Rostered'!#REF!=0,"-",'Residual-Rostered'!#REF!)</f>
        <v>#REF!</v>
      </c>
      <c r="H55" s="25" t="e">
        <f>IF('Residual-Rostered'!#REF!=0,"-",'Residual-Rostered'!#REF!)</f>
        <v>#REF!</v>
      </c>
      <c r="I55" s="25" t="e">
        <f>IF('Residual-Rostered'!#REF!=0,"-",'Residual-Rostered'!#REF!)</f>
        <v>#REF!</v>
      </c>
      <c r="J55" s="25" t="e">
        <f>IF('Residual-Rostered'!#REF!=0,"-",'Residual-Rostered'!#REF!)</f>
        <v>#REF!</v>
      </c>
      <c r="K55" s="25" t="e">
        <f>IF('Residual-Rostered'!#REF!=0,"-",'Residual-Rostered'!#REF!)</f>
        <v>#REF!</v>
      </c>
      <c r="L55" s="25" t="e">
        <f>IF('Residual-Rostered'!#REF!=0,"-",'Residual-Rostered'!#REF!)</f>
        <v>#REF!</v>
      </c>
      <c r="M55" s="25" t="e">
        <f>IF('Residual-Rostered'!#REF!=0,"-",'Residual-Rostered'!#REF!)</f>
        <v>#REF!</v>
      </c>
      <c r="N55" s="25" t="e">
        <f>IF('Residual-Rostered'!#REF!=0,"-",'Residual-Rostered'!#REF!)</f>
        <v>#REF!</v>
      </c>
      <c r="O55" s="25" t="e">
        <f>IF('Residual-Rostered'!#REF!=0,"-",'Residual-Rostered'!#REF!)</f>
        <v>#REF!</v>
      </c>
      <c r="P55" s="25" t="e">
        <f>IF('Residual-Rostered'!#REF!=0,"-",'Residual-Rostered'!#REF!)</f>
        <v>#REF!</v>
      </c>
      <c r="Q55" s="25" t="e">
        <f>IF('Residual-Rostered'!#REF!=0,"-",'Residual-Rostered'!#REF!)</f>
        <v>#REF!</v>
      </c>
      <c r="R55" s="25" t="e">
        <f>IF('Residual-Rostered'!#REF!=0,"-",'Residual-Rostered'!#REF!)</f>
        <v>#REF!</v>
      </c>
      <c r="S55" s="25" t="e">
        <f>IF('Residual-Rostered'!#REF!=0,"-",'Residual-Rostered'!#REF!)</f>
        <v>#REF!</v>
      </c>
      <c r="T55" s="25" t="e">
        <f>IF('Residual-Rostered'!#REF!=0,"-",'Residual-Rostered'!#REF!)</f>
        <v>#REF!</v>
      </c>
      <c r="U55" s="25" t="e">
        <f>IF('Residual-Rostered'!#REF!=0,"-",'Residual-Rostered'!#REF!)</f>
        <v>#REF!</v>
      </c>
      <c r="V55" s="25" t="e">
        <f>IF('Residual-Rostered'!#REF!=0,"-",'Residual-Rostered'!#REF!)</f>
        <v>#REF!</v>
      </c>
      <c r="W55" s="25" t="e">
        <f>IF('Residual-Rostered'!#REF!=0,"-",'Residual-Rostered'!#REF!)</f>
        <v>#REF!</v>
      </c>
      <c r="X55" s="25" t="e">
        <f>IF('Residual-Rostered'!#REF!=0,"-",'Residual-Rostered'!#REF!)</f>
        <v>#REF!</v>
      </c>
      <c r="Y55" s="25" t="e">
        <f>IF('Residual-Rostered'!#REF!=0,"-",'Residual-Rostered'!#REF!)</f>
        <v>#REF!</v>
      </c>
      <c r="Z55" s="25" t="e">
        <f>IF('Residual-Rostered'!#REF!=0,"-",'Residual-Rostered'!#REF!)</f>
        <v>#REF!</v>
      </c>
      <c r="AA55" s="25" t="e">
        <f>IF('Residual-Rostered'!#REF!=0,"-",'Residual-Rostered'!#REF!)</f>
        <v>#REF!</v>
      </c>
      <c r="AB55" s="25" t="e">
        <f>IF('Residual-Rostered'!#REF!=0,"-",'Residual-Rostered'!#REF!)</f>
        <v>#REF!</v>
      </c>
      <c r="AC55" s="25" t="e">
        <f>IF('Residual-Rostered'!#REF!=0,"-",'Residual-Rostered'!#REF!)</f>
        <v>#REF!</v>
      </c>
      <c r="AD55" s="25" t="e">
        <f>IF('Residual-Rostered'!#REF!=0,"-",'Residual-Rostered'!#REF!)</f>
        <v>#REF!</v>
      </c>
      <c r="AE55" s="25" t="e">
        <f>IF('Residual-Rostered'!#REF!=0,"-",'Residual-Rostered'!#REF!)</f>
        <v>#REF!</v>
      </c>
      <c r="AF55" s="25" t="e">
        <f>IF('Residual-Rostered'!#REF!=0,"-",'Residual-Rostered'!#REF!)</f>
        <v>#REF!</v>
      </c>
      <c r="AG55" s="25" t="e">
        <f>IF('Residual-Rostered'!#REF!=0,"-",'Residual-Rostered'!#REF!)</f>
        <v>#REF!</v>
      </c>
      <c r="AH55" s="25" t="e">
        <f>IF('Residual-Rostered'!#REF!=0,"-",'Residual-Rostered'!#REF!)</f>
        <v>#REF!</v>
      </c>
      <c r="AI55" s="25" t="e">
        <f>IF('Residual-Rostered'!#REF!=0,"-",'Residual-Rostered'!#REF!)</f>
        <v>#REF!</v>
      </c>
      <c r="AJ55" s="25" t="e">
        <f>IF('Residual-Rostered'!#REF!=0,"-",'Residual-Rostered'!#REF!)</f>
        <v>#REF!</v>
      </c>
      <c r="AK55" s="25" t="e">
        <f>IF('Residual-Rostered'!#REF!=0,"-",'Residual-Rostered'!#REF!)</f>
        <v>#REF!</v>
      </c>
      <c r="AL55" s="25" t="e">
        <f>IF('Residual-Rostered'!#REF!=0,"-",'Residual-Rostered'!#REF!)</f>
        <v>#REF!</v>
      </c>
      <c r="AM55" s="25" t="e">
        <f>IF('Residual-Rostered'!#REF!=0,"-",'Residual-Rostered'!#REF!)</f>
        <v>#REF!</v>
      </c>
      <c r="AN55" s="25" t="e">
        <f>IF('Residual-Rostered'!#REF!=0,"-",'Residual-Rostered'!#REF!)</f>
        <v>#REF!</v>
      </c>
      <c r="AO55" s="25" t="e">
        <f>IF('Residual-Rostered'!#REF!=0,"-",'Residual-Rostered'!#REF!)</f>
        <v>#REF!</v>
      </c>
      <c r="AP55" s="25" t="e">
        <f>IF('Residual-Rostered'!#REF!=0,"-",'Residual-Rostered'!#REF!)</f>
        <v>#REF!</v>
      </c>
      <c r="AQ55" s="25" t="e">
        <f>IF('Residual-Rostered'!#REF!=0,"-",'Residual-Rostered'!#REF!)</f>
        <v>#REF!</v>
      </c>
      <c r="AR55" s="25" t="e">
        <f>IF('Residual-Rostered'!#REF!=0,"-",'Residual-Rostered'!#REF!)</f>
        <v>#REF!</v>
      </c>
      <c r="AS55" s="25" t="e">
        <f>IF('Residual-Rostered'!#REF!=0,"-",'Residual-Rostered'!#REF!)</f>
        <v>#REF!</v>
      </c>
    </row>
    <row r="56" spans="1:45" x14ac:dyDescent="0.25">
      <c r="A56" s="25" t="e">
        <f>'Residual-Rostered'!#REF!</f>
        <v>#REF!</v>
      </c>
      <c r="B56" s="25" t="e">
        <f>'Residual-Rostered'!#REF!</f>
        <v>#REF!</v>
      </c>
      <c r="C56" s="25" t="e">
        <f>'Residual-Rostered'!#REF!</f>
        <v>#REF!</v>
      </c>
      <c r="D56" s="25" t="e">
        <f>IF('Residual-Rostered'!#REF!=0,"-",'Residual-Rostered'!#REF!)</f>
        <v>#REF!</v>
      </c>
      <c r="E56" s="25" t="e">
        <f>IF('Residual-Rostered'!#REF!=0,"-",'Residual-Rostered'!#REF!)</f>
        <v>#REF!</v>
      </c>
      <c r="F56" s="25" t="e">
        <f>IF('Residual-Rostered'!#REF!=0,"-",'Residual-Rostered'!#REF!)</f>
        <v>#REF!</v>
      </c>
      <c r="G56" s="25" t="e">
        <f>IF('Residual-Rostered'!#REF!=0,"-",'Residual-Rostered'!#REF!)</f>
        <v>#REF!</v>
      </c>
      <c r="H56" s="25" t="e">
        <f>IF('Residual-Rostered'!#REF!=0,"-",'Residual-Rostered'!#REF!)</f>
        <v>#REF!</v>
      </c>
      <c r="I56" s="25" t="e">
        <f>IF('Residual-Rostered'!#REF!=0,"-",'Residual-Rostered'!#REF!)</f>
        <v>#REF!</v>
      </c>
      <c r="J56" s="25" t="e">
        <f>IF('Residual-Rostered'!#REF!=0,"-",'Residual-Rostered'!#REF!)</f>
        <v>#REF!</v>
      </c>
      <c r="K56" s="25" t="e">
        <f>IF('Residual-Rostered'!#REF!=0,"-",'Residual-Rostered'!#REF!)</f>
        <v>#REF!</v>
      </c>
      <c r="L56" s="25" t="e">
        <f>IF('Residual-Rostered'!#REF!=0,"-",'Residual-Rostered'!#REF!)</f>
        <v>#REF!</v>
      </c>
      <c r="M56" s="25" t="e">
        <f>IF('Residual-Rostered'!#REF!=0,"-",'Residual-Rostered'!#REF!)</f>
        <v>#REF!</v>
      </c>
      <c r="N56" s="25" t="e">
        <f>IF('Residual-Rostered'!#REF!=0,"-",'Residual-Rostered'!#REF!)</f>
        <v>#REF!</v>
      </c>
      <c r="O56" s="25" t="e">
        <f>IF('Residual-Rostered'!#REF!=0,"-",'Residual-Rostered'!#REF!)</f>
        <v>#REF!</v>
      </c>
      <c r="P56" s="25" t="e">
        <f>IF('Residual-Rostered'!#REF!=0,"-",'Residual-Rostered'!#REF!)</f>
        <v>#REF!</v>
      </c>
      <c r="Q56" s="25" t="e">
        <f>IF('Residual-Rostered'!#REF!=0,"-",'Residual-Rostered'!#REF!)</f>
        <v>#REF!</v>
      </c>
      <c r="R56" s="25" t="e">
        <f>IF('Residual-Rostered'!#REF!=0,"-",'Residual-Rostered'!#REF!)</f>
        <v>#REF!</v>
      </c>
      <c r="S56" s="25" t="e">
        <f>IF('Residual-Rostered'!#REF!=0,"-",'Residual-Rostered'!#REF!)</f>
        <v>#REF!</v>
      </c>
      <c r="T56" s="25" t="e">
        <f>IF('Residual-Rostered'!#REF!=0,"-",'Residual-Rostered'!#REF!)</f>
        <v>#REF!</v>
      </c>
      <c r="U56" s="25" t="e">
        <f>IF('Residual-Rostered'!#REF!=0,"-",'Residual-Rostered'!#REF!)</f>
        <v>#REF!</v>
      </c>
      <c r="V56" s="25" t="e">
        <f>IF('Residual-Rostered'!#REF!=0,"-",'Residual-Rostered'!#REF!)</f>
        <v>#REF!</v>
      </c>
      <c r="W56" s="25" t="e">
        <f>IF('Residual-Rostered'!#REF!=0,"-",'Residual-Rostered'!#REF!)</f>
        <v>#REF!</v>
      </c>
      <c r="X56" s="25" t="e">
        <f>IF('Residual-Rostered'!#REF!=0,"-",'Residual-Rostered'!#REF!)</f>
        <v>#REF!</v>
      </c>
      <c r="Y56" s="25" t="e">
        <f>IF('Residual-Rostered'!#REF!=0,"-",'Residual-Rostered'!#REF!)</f>
        <v>#REF!</v>
      </c>
      <c r="Z56" s="25" t="e">
        <f>IF('Residual-Rostered'!#REF!=0,"-",'Residual-Rostered'!#REF!)</f>
        <v>#REF!</v>
      </c>
      <c r="AA56" s="25" t="e">
        <f>IF('Residual-Rostered'!#REF!=0,"-",'Residual-Rostered'!#REF!)</f>
        <v>#REF!</v>
      </c>
      <c r="AB56" s="25" t="e">
        <f>IF('Residual-Rostered'!#REF!=0,"-",'Residual-Rostered'!#REF!)</f>
        <v>#REF!</v>
      </c>
      <c r="AC56" s="25" t="e">
        <f>IF('Residual-Rostered'!#REF!=0,"-",'Residual-Rostered'!#REF!)</f>
        <v>#REF!</v>
      </c>
      <c r="AD56" s="25" t="e">
        <f>IF('Residual-Rostered'!#REF!=0,"-",'Residual-Rostered'!#REF!)</f>
        <v>#REF!</v>
      </c>
      <c r="AE56" s="25" t="e">
        <f>IF('Residual-Rostered'!#REF!=0,"-",'Residual-Rostered'!#REF!)</f>
        <v>#REF!</v>
      </c>
      <c r="AF56" s="25" t="e">
        <f>IF('Residual-Rostered'!#REF!=0,"-",'Residual-Rostered'!#REF!)</f>
        <v>#REF!</v>
      </c>
      <c r="AG56" s="25" t="e">
        <f>IF('Residual-Rostered'!#REF!=0,"-",'Residual-Rostered'!#REF!)</f>
        <v>#REF!</v>
      </c>
      <c r="AH56" s="25" t="e">
        <f>IF('Residual-Rostered'!#REF!=0,"-",'Residual-Rostered'!#REF!)</f>
        <v>#REF!</v>
      </c>
      <c r="AI56" s="25" t="e">
        <f>IF('Residual-Rostered'!#REF!=0,"-",'Residual-Rostered'!#REF!)</f>
        <v>#REF!</v>
      </c>
      <c r="AJ56" s="25" t="e">
        <f>IF('Residual-Rostered'!#REF!=0,"-",'Residual-Rostered'!#REF!)</f>
        <v>#REF!</v>
      </c>
      <c r="AK56" s="25" t="e">
        <f>IF('Residual-Rostered'!#REF!=0,"-",'Residual-Rostered'!#REF!)</f>
        <v>#REF!</v>
      </c>
      <c r="AL56" s="25" t="e">
        <f>IF('Residual-Rostered'!#REF!=0,"-",'Residual-Rostered'!#REF!)</f>
        <v>#REF!</v>
      </c>
      <c r="AM56" s="25" t="e">
        <f>IF('Residual-Rostered'!#REF!=0,"-",'Residual-Rostered'!#REF!)</f>
        <v>#REF!</v>
      </c>
      <c r="AN56" s="25" t="e">
        <f>IF('Residual-Rostered'!#REF!=0,"-",'Residual-Rostered'!#REF!)</f>
        <v>#REF!</v>
      </c>
      <c r="AO56" s="25" t="e">
        <f>IF('Residual-Rostered'!#REF!=0,"-",'Residual-Rostered'!#REF!)</f>
        <v>#REF!</v>
      </c>
      <c r="AP56" s="25" t="e">
        <f>IF('Residual-Rostered'!#REF!=0,"-",'Residual-Rostered'!#REF!)</f>
        <v>#REF!</v>
      </c>
      <c r="AQ56" s="25" t="e">
        <f>IF('Residual-Rostered'!#REF!=0,"-",'Residual-Rostered'!#REF!)</f>
        <v>#REF!</v>
      </c>
      <c r="AR56" s="25" t="e">
        <f>IF('Residual-Rostered'!#REF!=0,"-",'Residual-Rostered'!#REF!)</f>
        <v>#REF!</v>
      </c>
      <c r="AS56" s="25" t="e">
        <f>IF('Residual-Rostered'!#REF!=0,"-",'Residual-Rostered'!#REF!)</f>
        <v>#REF!</v>
      </c>
    </row>
    <row r="57" spans="1:45" x14ac:dyDescent="0.25">
      <c r="A57" s="25" t="e">
        <f>'Residual-Rostered'!#REF!</f>
        <v>#REF!</v>
      </c>
      <c r="B57" s="25" t="e">
        <f>'Residual-Rostered'!#REF!</f>
        <v>#REF!</v>
      </c>
      <c r="C57" s="25" t="e">
        <f>'Residual-Rostered'!#REF!</f>
        <v>#REF!</v>
      </c>
      <c r="D57" s="25" t="e">
        <f>IF('Residual-Rostered'!#REF!=0,"-",'Residual-Rostered'!#REF!)</f>
        <v>#REF!</v>
      </c>
      <c r="E57" s="25" t="e">
        <f>IF('Residual-Rostered'!#REF!=0,"-",'Residual-Rostered'!#REF!)</f>
        <v>#REF!</v>
      </c>
      <c r="F57" s="25" t="e">
        <f>IF('Residual-Rostered'!#REF!=0,"-",'Residual-Rostered'!#REF!)</f>
        <v>#REF!</v>
      </c>
      <c r="G57" s="25" t="e">
        <f>IF('Residual-Rostered'!#REF!=0,"-",'Residual-Rostered'!#REF!)</f>
        <v>#REF!</v>
      </c>
      <c r="H57" s="25" t="e">
        <f>IF('Residual-Rostered'!#REF!=0,"-",'Residual-Rostered'!#REF!)</f>
        <v>#REF!</v>
      </c>
      <c r="I57" s="25" t="e">
        <f>IF('Residual-Rostered'!#REF!=0,"-",'Residual-Rostered'!#REF!)</f>
        <v>#REF!</v>
      </c>
      <c r="J57" s="25" t="e">
        <f>IF('Residual-Rostered'!#REF!=0,"-",'Residual-Rostered'!#REF!)</f>
        <v>#REF!</v>
      </c>
      <c r="K57" s="25" t="e">
        <f>IF('Residual-Rostered'!#REF!=0,"-",'Residual-Rostered'!#REF!)</f>
        <v>#REF!</v>
      </c>
      <c r="L57" s="25" t="e">
        <f>IF('Residual-Rostered'!#REF!=0,"-",'Residual-Rostered'!#REF!)</f>
        <v>#REF!</v>
      </c>
      <c r="M57" s="25" t="e">
        <f>IF('Residual-Rostered'!#REF!=0,"-",'Residual-Rostered'!#REF!)</f>
        <v>#REF!</v>
      </c>
      <c r="N57" s="25" t="e">
        <f>IF('Residual-Rostered'!#REF!=0,"-",'Residual-Rostered'!#REF!)</f>
        <v>#REF!</v>
      </c>
      <c r="O57" s="25" t="e">
        <f>IF('Residual-Rostered'!#REF!=0,"-",'Residual-Rostered'!#REF!)</f>
        <v>#REF!</v>
      </c>
      <c r="P57" s="25" t="e">
        <f>IF('Residual-Rostered'!#REF!=0,"-",'Residual-Rostered'!#REF!)</f>
        <v>#REF!</v>
      </c>
      <c r="Q57" s="25" t="e">
        <f>IF('Residual-Rostered'!#REF!=0,"-",'Residual-Rostered'!#REF!)</f>
        <v>#REF!</v>
      </c>
      <c r="R57" s="25" t="e">
        <f>IF('Residual-Rostered'!#REF!=0,"-",'Residual-Rostered'!#REF!)</f>
        <v>#REF!</v>
      </c>
      <c r="S57" s="25" t="e">
        <f>IF('Residual-Rostered'!#REF!=0,"-",'Residual-Rostered'!#REF!)</f>
        <v>#REF!</v>
      </c>
      <c r="T57" s="25" t="e">
        <f>IF('Residual-Rostered'!#REF!=0,"-",'Residual-Rostered'!#REF!)</f>
        <v>#REF!</v>
      </c>
      <c r="U57" s="25" t="e">
        <f>IF('Residual-Rostered'!#REF!=0,"-",'Residual-Rostered'!#REF!)</f>
        <v>#REF!</v>
      </c>
      <c r="V57" s="25" t="e">
        <f>IF('Residual-Rostered'!#REF!=0,"-",'Residual-Rostered'!#REF!)</f>
        <v>#REF!</v>
      </c>
      <c r="W57" s="25" t="e">
        <f>IF('Residual-Rostered'!#REF!=0,"-",'Residual-Rostered'!#REF!)</f>
        <v>#REF!</v>
      </c>
      <c r="X57" s="25" t="e">
        <f>IF('Residual-Rostered'!#REF!=0,"-",'Residual-Rostered'!#REF!)</f>
        <v>#REF!</v>
      </c>
      <c r="Y57" s="25" t="e">
        <f>IF('Residual-Rostered'!#REF!=0,"-",'Residual-Rostered'!#REF!)</f>
        <v>#REF!</v>
      </c>
      <c r="Z57" s="25" t="e">
        <f>IF('Residual-Rostered'!#REF!=0,"-",'Residual-Rostered'!#REF!)</f>
        <v>#REF!</v>
      </c>
      <c r="AA57" s="25" t="e">
        <f>IF('Residual-Rostered'!#REF!=0,"-",'Residual-Rostered'!#REF!)</f>
        <v>#REF!</v>
      </c>
      <c r="AB57" s="25" t="e">
        <f>IF('Residual-Rostered'!#REF!=0,"-",'Residual-Rostered'!#REF!)</f>
        <v>#REF!</v>
      </c>
      <c r="AC57" s="25" t="e">
        <f>IF('Residual-Rostered'!#REF!=0,"-",'Residual-Rostered'!#REF!)</f>
        <v>#REF!</v>
      </c>
      <c r="AD57" s="25" t="e">
        <f>IF('Residual-Rostered'!#REF!=0,"-",'Residual-Rostered'!#REF!)</f>
        <v>#REF!</v>
      </c>
      <c r="AE57" s="25" t="e">
        <f>IF('Residual-Rostered'!#REF!=0,"-",'Residual-Rostered'!#REF!)</f>
        <v>#REF!</v>
      </c>
      <c r="AF57" s="25" t="e">
        <f>IF('Residual-Rostered'!#REF!=0,"-",'Residual-Rostered'!#REF!)</f>
        <v>#REF!</v>
      </c>
      <c r="AG57" s="25" t="e">
        <f>IF('Residual-Rostered'!#REF!=0,"-",'Residual-Rostered'!#REF!)</f>
        <v>#REF!</v>
      </c>
      <c r="AH57" s="25" t="e">
        <f>IF('Residual-Rostered'!#REF!=0,"-",'Residual-Rostered'!#REF!)</f>
        <v>#REF!</v>
      </c>
      <c r="AI57" s="25" t="e">
        <f>IF('Residual-Rostered'!#REF!=0,"-",'Residual-Rostered'!#REF!)</f>
        <v>#REF!</v>
      </c>
      <c r="AJ57" s="25" t="e">
        <f>IF('Residual-Rostered'!#REF!=0,"-",'Residual-Rostered'!#REF!)</f>
        <v>#REF!</v>
      </c>
      <c r="AK57" s="25" t="e">
        <f>IF('Residual-Rostered'!#REF!=0,"-",'Residual-Rostered'!#REF!)</f>
        <v>#REF!</v>
      </c>
      <c r="AL57" s="25" t="e">
        <f>IF('Residual-Rostered'!#REF!=0,"-",'Residual-Rostered'!#REF!)</f>
        <v>#REF!</v>
      </c>
      <c r="AM57" s="25" t="e">
        <f>IF('Residual-Rostered'!#REF!=0,"-",'Residual-Rostered'!#REF!)</f>
        <v>#REF!</v>
      </c>
      <c r="AN57" s="25" t="e">
        <f>IF('Residual-Rostered'!#REF!=0,"-",'Residual-Rostered'!#REF!)</f>
        <v>#REF!</v>
      </c>
      <c r="AO57" s="25" t="e">
        <f>IF('Residual-Rostered'!#REF!=0,"-",'Residual-Rostered'!#REF!)</f>
        <v>#REF!</v>
      </c>
      <c r="AP57" s="25" t="e">
        <f>IF('Residual-Rostered'!#REF!=0,"-",'Residual-Rostered'!#REF!)</f>
        <v>#REF!</v>
      </c>
      <c r="AQ57" s="25" t="e">
        <f>IF('Residual-Rostered'!#REF!=0,"-",'Residual-Rostered'!#REF!)</f>
        <v>#REF!</v>
      </c>
      <c r="AR57" s="25" t="e">
        <f>IF('Residual-Rostered'!#REF!=0,"-",'Residual-Rostered'!#REF!)</f>
        <v>#REF!</v>
      </c>
      <c r="AS57" s="25" t="e">
        <f>IF('Residual-Rostered'!#REF!=0,"-",'Residual-Rostered'!#REF!)</f>
        <v>#REF!</v>
      </c>
    </row>
    <row r="58" spans="1:45" x14ac:dyDescent="0.25">
      <c r="A58" s="25" t="e">
        <f>'Residual-Rostered'!#REF!</f>
        <v>#REF!</v>
      </c>
      <c r="B58" s="25" t="e">
        <f>'Residual-Rostered'!#REF!</f>
        <v>#REF!</v>
      </c>
      <c r="C58" s="25" t="e">
        <f>'Residual-Rostered'!#REF!</f>
        <v>#REF!</v>
      </c>
      <c r="D58" s="25" t="e">
        <f>IF('Residual-Rostered'!#REF!=0,"-",'Residual-Rostered'!#REF!)</f>
        <v>#REF!</v>
      </c>
      <c r="E58" s="25" t="e">
        <f>IF('Residual-Rostered'!#REF!=0,"-",'Residual-Rostered'!#REF!)</f>
        <v>#REF!</v>
      </c>
      <c r="F58" s="25" t="e">
        <f>IF('Residual-Rostered'!#REF!=0,"-",'Residual-Rostered'!#REF!)</f>
        <v>#REF!</v>
      </c>
      <c r="G58" s="25" t="e">
        <f>IF('Residual-Rostered'!#REF!=0,"-",'Residual-Rostered'!#REF!)</f>
        <v>#REF!</v>
      </c>
      <c r="H58" s="25" t="e">
        <f>IF('Residual-Rostered'!#REF!=0,"-",'Residual-Rostered'!#REF!)</f>
        <v>#REF!</v>
      </c>
      <c r="I58" s="25" t="e">
        <f>IF('Residual-Rostered'!#REF!=0,"-",'Residual-Rostered'!#REF!)</f>
        <v>#REF!</v>
      </c>
      <c r="J58" s="25" t="e">
        <f>IF('Residual-Rostered'!#REF!=0,"-",'Residual-Rostered'!#REF!)</f>
        <v>#REF!</v>
      </c>
      <c r="K58" s="25" t="e">
        <f>IF('Residual-Rostered'!#REF!=0,"-",'Residual-Rostered'!#REF!)</f>
        <v>#REF!</v>
      </c>
      <c r="L58" s="25" t="e">
        <f>IF('Residual-Rostered'!#REF!=0,"-",'Residual-Rostered'!#REF!)</f>
        <v>#REF!</v>
      </c>
      <c r="M58" s="25" t="e">
        <f>IF('Residual-Rostered'!#REF!=0,"-",'Residual-Rostered'!#REF!)</f>
        <v>#REF!</v>
      </c>
      <c r="N58" s="25" t="e">
        <f>IF('Residual-Rostered'!#REF!=0,"-",'Residual-Rostered'!#REF!)</f>
        <v>#REF!</v>
      </c>
      <c r="O58" s="25" t="e">
        <f>IF('Residual-Rostered'!#REF!=0,"-",'Residual-Rostered'!#REF!)</f>
        <v>#REF!</v>
      </c>
      <c r="P58" s="25" t="e">
        <f>IF('Residual-Rostered'!#REF!=0,"-",'Residual-Rostered'!#REF!)</f>
        <v>#REF!</v>
      </c>
      <c r="Q58" s="25" t="e">
        <f>IF('Residual-Rostered'!#REF!=0,"-",'Residual-Rostered'!#REF!)</f>
        <v>#REF!</v>
      </c>
      <c r="R58" s="25" t="e">
        <f>IF('Residual-Rostered'!#REF!=0,"-",'Residual-Rostered'!#REF!)</f>
        <v>#REF!</v>
      </c>
      <c r="S58" s="25" t="e">
        <f>IF('Residual-Rostered'!#REF!=0,"-",'Residual-Rostered'!#REF!)</f>
        <v>#REF!</v>
      </c>
      <c r="T58" s="25" t="e">
        <f>IF('Residual-Rostered'!#REF!=0,"-",'Residual-Rostered'!#REF!)</f>
        <v>#REF!</v>
      </c>
      <c r="U58" s="25" t="e">
        <f>IF('Residual-Rostered'!#REF!=0,"-",'Residual-Rostered'!#REF!)</f>
        <v>#REF!</v>
      </c>
      <c r="V58" s="25" t="e">
        <f>IF('Residual-Rostered'!#REF!=0,"-",'Residual-Rostered'!#REF!)</f>
        <v>#REF!</v>
      </c>
      <c r="W58" s="25" t="e">
        <f>IF('Residual-Rostered'!#REF!=0,"-",'Residual-Rostered'!#REF!)</f>
        <v>#REF!</v>
      </c>
      <c r="X58" s="25" t="e">
        <f>IF('Residual-Rostered'!#REF!=0,"-",'Residual-Rostered'!#REF!)</f>
        <v>#REF!</v>
      </c>
      <c r="Y58" s="25" t="e">
        <f>IF('Residual-Rostered'!#REF!=0,"-",'Residual-Rostered'!#REF!)</f>
        <v>#REF!</v>
      </c>
      <c r="Z58" s="25" t="e">
        <f>IF('Residual-Rostered'!#REF!=0,"-",'Residual-Rostered'!#REF!)</f>
        <v>#REF!</v>
      </c>
      <c r="AA58" s="25" t="e">
        <f>IF('Residual-Rostered'!#REF!=0,"-",'Residual-Rostered'!#REF!)</f>
        <v>#REF!</v>
      </c>
      <c r="AB58" s="25" t="e">
        <f>IF('Residual-Rostered'!#REF!=0,"-",'Residual-Rostered'!#REF!)</f>
        <v>#REF!</v>
      </c>
      <c r="AC58" s="25" t="e">
        <f>IF('Residual-Rostered'!#REF!=0,"-",'Residual-Rostered'!#REF!)</f>
        <v>#REF!</v>
      </c>
      <c r="AD58" s="25" t="e">
        <f>IF('Residual-Rostered'!#REF!=0,"-",'Residual-Rostered'!#REF!)</f>
        <v>#REF!</v>
      </c>
      <c r="AE58" s="25" t="e">
        <f>IF('Residual-Rostered'!#REF!=0,"-",'Residual-Rostered'!#REF!)</f>
        <v>#REF!</v>
      </c>
      <c r="AF58" s="25" t="e">
        <f>IF('Residual-Rostered'!#REF!=0,"-",'Residual-Rostered'!#REF!)</f>
        <v>#REF!</v>
      </c>
      <c r="AG58" s="25" t="e">
        <f>IF('Residual-Rostered'!#REF!=0,"-",'Residual-Rostered'!#REF!)</f>
        <v>#REF!</v>
      </c>
      <c r="AH58" s="25" t="e">
        <f>IF('Residual-Rostered'!#REF!=0,"-",'Residual-Rostered'!#REF!)</f>
        <v>#REF!</v>
      </c>
      <c r="AI58" s="25" t="e">
        <f>IF('Residual-Rostered'!#REF!=0,"-",'Residual-Rostered'!#REF!)</f>
        <v>#REF!</v>
      </c>
      <c r="AJ58" s="25" t="e">
        <f>IF('Residual-Rostered'!#REF!=0,"-",'Residual-Rostered'!#REF!)</f>
        <v>#REF!</v>
      </c>
      <c r="AK58" s="25" t="e">
        <f>IF('Residual-Rostered'!#REF!=0,"-",'Residual-Rostered'!#REF!)</f>
        <v>#REF!</v>
      </c>
      <c r="AL58" s="25" t="e">
        <f>IF('Residual-Rostered'!#REF!=0,"-",'Residual-Rostered'!#REF!)</f>
        <v>#REF!</v>
      </c>
      <c r="AM58" s="25" t="e">
        <f>IF('Residual-Rostered'!#REF!=0,"-",'Residual-Rostered'!#REF!)</f>
        <v>#REF!</v>
      </c>
      <c r="AN58" s="25" t="e">
        <f>IF('Residual-Rostered'!#REF!=0,"-",'Residual-Rostered'!#REF!)</f>
        <v>#REF!</v>
      </c>
      <c r="AO58" s="25" t="e">
        <f>IF('Residual-Rostered'!#REF!=0,"-",'Residual-Rostered'!#REF!)</f>
        <v>#REF!</v>
      </c>
      <c r="AP58" s="25" t="e">
        <f>IF('Residual-Rostered'!#REF!=0,"-",'Residual-Rostered'!#REF!)</f>
        <v>#REF!</v>
      </c>
      <c r="AQ58" s="25" t="e">
        <f>IF('Residual-Rostered'!#REF!=0,"-",'Residual-Rostered'!#REF!)</f>
        <v>#REF!</v>
      </c>
      <c r="AR58" s="25" t="e">
        <f>IF('Residual-Rostered'!#REF!=0,"-",'Residual-Rostered'!#REF!)</f>
        <v>#REF!</v>
      </c>
      <c r="AS58" s="25" t="e">
        <f>IF('Residual-Rostered'!#REF!=0,"-",'Residual-Rostered'!#REF!)</f>
        <v>#REF!</v>
      </c>
    </row>
    <row r="59" spans="1:45" x14ac:dyDescent="0.25">
      <c r="A59" s="25" t="e">
        <f>'Residual-Rostered'!#REF!</f>
        <v>#REF!</v>
      </c>
      <c r="B59" s="25" t="e">
        <f>'Residual-Rostered'!#REF!</f>
        <v>#REF!</v>
      </c>
      <c r="C59" s="25" t="e">
        <f>'Residual-Rostered'!#REF!</f>
        <v>#REF!</v>
      </c>
      <c r="D59" s="25" t="e">
        <f>IF('Residual-Rostered'!#REF!=0,"-",'Residual-Rostered'!#REF!)</f>
        <v>#REF!</v>
      </c>
      <c r="E59" s="25" t="e">
        <f>IF('Residual-Rostered'!#REF!=0,"-",'Residual-Rostered'!#REF!)</f>
        <v>#REF!</v>
      </c>
      <c r="F59" s="25" t="e">
        <f>IF('Residual-Rostered'!#REF!=0,"-",'Residual-Rostered'!#REF!)</f>
        <v>#REF!</v>
      </c>
      <c r="G59" s="25" t="e">
        <f>IF('Residual-Rostered'!#REF!=0,"-",'Residual-Rostered'!#REF!)</f>
        <v>#REF!</v>
      </c>
      <c r="H59" s="25" t="e">
        <f>IF('Residual-Rostered'!#REF!=0,"-",'Residual-Rostered'!#REF!)</f>
        <v>#REF!</v>
      </c>
      <c r="I59" s="25" t="e">
        <f>IF('Residual-Rostered'!#REF!=0,"-",'Residual-Rostered'!#REF!)</f>
        <v>#REF!</v>
      </c>
      <c r="J59" s="25" t="e">
        <f>IF('Residual-Rostered'!#REF!=0,"-",'Residual-Rostered'!#REF!)</f>
        <v>#REF!</v>
      </c>
      <c r="K59" s="25" t="e">
        <f>IF('Residual-Rostered'!#REF!=0,"-",'Residual-Rostered'!#REF!)</f>
        <v>#REF!</v>
      </c>
      <c r="L59" s="25" t="e">
        <f>IF('Residual-Rostered'!#REF!=0,"-",'Residual-Rostered'!#REF!)</f>
        <v>#REF!</v>
      </c>
      <c r="M59" s="25" t="e">
        <f>IF('Residual-Rostered'!#REF!=0,"-",'Residual-Rostered'!#REF!)</f>
        <v>#REF!</v>
      </c>
      <c r="N59" s="25" t="e">
        <f>IF('Residual-Rostered'!#REF!=0,"-",'Residual-Rostered'!#REF!)</f>
        <v>#REF!</v>
      </c>
      <c r="O59" s="25" t="e">
        <f>IF('Residual-Rostered'!#REF!=0,"-",'Residual-Rostered'!#REF!)</f>
        <v>#REF!</v>
      </c>
      <c r="P59" s="25" t="e">
        <f>IF('Residual-Rostered'!#REF!=0,"-",'Residual-Rostered'!#REF!)</f>
        <v>#REF!</v>
      </c>
      <c r="Q59" s="25" t="e">
        <f>IF('Residual-Rostered'!#REF!=0,"-",'Residual-Rostered'!#REF!)</f>
        <v>#REF!</v>
      </c>
      <c r="R59" s="25" t="e">
        <f>IF('Residual-Rostered'!#REF!=0,"-",'Residual-Rostered'!#REF!)</f>
        <v>#REF!</v>
      </c>
      <c r="S59" s="25" t="e">
        <f>IF('Residual-Rostered'!#REF!=0,"-",'Residual-Rostered'!#REF!)</f>
        <v>#REF!</v>
      </c>
      <c r="T59" s="25" t="e">
        <f>IF('Residual-Rostered'!#REF!=0,"-",'Residual-Rostered'!#REF!)</f>
        <v>#REF!</v>
      </c>
      <c r="U59" s="25" t="e">
        <f>IF('Residual-Rostered'!#REF!=0,"-",'Residual-Rostered'!#REF!)</f>
        <v>#REF!</v>
      </c>
      <c r="V59" s="25" t="e">
        <f>IF('Residual-Rostered'!#REF!=0,"-",'Residual-Rostered'!#REF!)</f>
        <v>#REF!</v>
      </c>
      <c r="W59" s="25" t="e">
        <f>IF('Residual-Rostered'!#REF!=0,"-",'Residual-Rostered'!#REF!)</f>
        <v>#REF!</v>
      </c>
      <c r="X59" s="25" t="e">
        <f>IF('Residual-Rostered'!#REF!=0,"-",'Residual-Rostered'!#REF!)</f>
        <v>#REF!</v>
      </c>
      <c r="Y59" s="25" t="e">
        <f>IF('Residual-Rostered'!#REF!=0,"-",'Residual-Rostered'!#REF!)</f>
        <v>#REF!</v>
      </c>
      <c r="Z59" s="25" t="e">
        <f>IF('Residual-Rostered'!#REF!=0,"-",'Residual-Rostered'!#REF!)</f>
        <v>#REF!</v>
      </c>
      <c r="AA59" s="25" t="e">
        <f>IF('Residual-Rostered'!#REF!=0,"-",'Residual-Rostered'!#REF!)</f>
        <v>#REF!</v>
      </c>
      <c r="AB59" s="25" t="e">
        <f>IF('Residual-Rostered'!#REF!=0,"-",'Residual-Rostered'!#REF!)</f>
        <v>#REF!</v>
      </c>
      <c r="AC59" s="25" t="e">
        <f>IF('Residual-Rostered'!#REF!=0,"-",'Residual-Rostered'!#REF!)</f>
        <v>#REF!</v>
      </c>
      <c r="AD59" s="25" t="e">
        <f>IF('Residual-Rostered'!#REF!=0,"-",'Residual-Rostered'!#REF!)</f>
        <v>#REF!</v>
      </c>
      <c r="AE59" s="25" t="e">
        <f>IF('Residual-Rostered'!#REF!=0,"-",'Residual-Rostered'!#REF!)</f>
        <v>#REF!</v>
      </c>
      <c r="AF59" s="25" t="e">
        <f>IF('Residual-Rostered'!#REF!=0,"-",'Residual-Rostered'!#REF!)</f>
        <v>#REF!</v>
      </c>
      <c r="AG59" s="25" t="e">
        <f>IF('Residual-Rostered'!#REF!=0,"-",'Residual-Rostered'!#REF!)</f>
        <v>#REF!</v>
      </c>
      <c r="AH59" s="25" t="e">
        <f>IF('Residual-Rostered'!#REF!=0,"-",'Residual-Rostered'!#REF!)</f>
        <v>#REF!</v>
      </c>
      <c r="AI59" s="25" t="e">
        <f>IF('Residual-Rostered'!#REF!=0,"-",'Residual-Rostered'!#REF!)</f>
        <v>#REF!</v>
      </c>
      <c r="AJ59" s="25" t="e">
        <f>IF('Residual-Rostered'!#REF!=0,"-",'Residual-Rostered'!#REF!)</f>
        <v>#REF!</v>
      </c>
      <c r="AK59" s="25" t="e">
        <f>IF('Residual-Rostered'!#REF!=0,"-",'Residual-Rostered'!#REF!)</f>
        <v>#REF!</v>
      </c>
      <c r="AL59" s="25" t="e">
        <f>IF('Residual-Rostered'!#REF!=0,"-",'Residual-Rostered'!#REF!)</f>
        <v>#REF!</v>
      </c>
      <c r="AM59" s="25" t="e">
        <f>IF('Residual-Rostered'!#REF!=0,"-",'Residual-Rostered'!#REF!)</f>
        <v>#REF!</v>
      </c>
      <c r="AN59" s="25" t="e">
        <f>IF('Residual-Rostered'!#REF!=0,"-",'Residual-Rostered'!#REF!)</f>
        <v>#REF!</v>
      </c>
      <c r="AO59" s="25" t="e">
        <f>IF('Residual-Rostered'!#REF!=0,"-",'Residual-Rostered'!#REF!)</f>
        <v>#REF!</v>
      </c>
      <c r="AP59" s="25" t="e">
        <f>IF('Residual-Rostered'!#REF!=0,"-",'Residual-Rostered'!#REF!)</f>
        <v>#REF!</v>
      </c>
      <c r="AQ59" s="25" t="e">
        <f>IF('Residual-Rostered'!#REF!=0,"-",'Residual-Rostered'!#REF!)</f>
        <v>#REF!</v>
      </c>
      <c r="AR59" s="25" t="e">
        <f>IF('Residual-Rostered'!#REF!=0,"-",'Residual-Rostered'!#REF!)</f>
        <v>#REF!</v>
      </c>
      <c r="AS59" s="25" t="e">
        <f>IF('Residual-Rostered'!#REF!=0,"-",'Residual-Rostered'!#REF!)</f>
        <v>#REF!</v>
      </c>
    </row>
    <row r="60" spans="1:45" x14ac:dyDescent="0.25">
      <c r="A60" s="25" t="e">
        <f>'Residual-Rostered'!#REF!</f>
        <v>#REF!</v>
      </c>
      <c r="B60" s="25" t="e">
        <f>'Residual-Rostered'!#REF!</f>
        <v>#REF!</v>
      </c>
      <c r="C60" s="25" t="e">
        <f>'Residual-Rostered'!#REF!</f>
        <v>#REF!</v>
      </c>
      <c r="D60" s="25" t="e">
        <f>IF('Residual-Rostered'!#REF!=0,"-",'Residual-Rostered'!#REF!)</f>
        <v>#REF!</v>
      </c>
      <c r="E60" s="25" t="e">
        <f>IF('Residual-Rostered'!#REF!=0,"-",'Residual-Rostered'!#REF!)</f>
        <v>#REF!</v>
      </c>
      <c r="F60" s="25" t="e">
        <f>IF('Residual-Rostered'!#REF!=0,"-",'Residual-Rostered'!#REF!)</f>
        <v>#REF!</v>
      </c>
      <c r="G60" s="25" t="e">
        <f>IF('Residual-Rostered'!#REF!=0,"-",'Residual-Rostered'!#REF!)</f>
        <v>#REF!</v>
      </c>
      <c r="H60" s="25" t="e">
        <f>IF('Residual-Rostered'!#REF!=0,"-",'Residual-Rostered'!#REF!)</f>
        <v>#REF!</v>
      </c>
      <c r="I60" s="25" t="e">
        <f>IF('Residual-Rostered'!#REF!=0,"-",'Residual-Rostered'!#REF!)</f>
        <v>#REF!</v>
      </c>
      <c r="J60" s="25" t="e">
        <f>IF('Residual-Rostered'!#REF!=0,"-",'Residual-Rostered'!#REF!)</f>
        <v>#REF!</v>
      </c>
      <c r="K60" s="25" t="e">
        <f>IF('Residual-Rostered'!#REF!=0,"-",'Residual-Rostered'!#REF!)</f>
        <v>#REF!</v>
      </c>
      <c r="L60" s="25" t="e">
        <f>IF('Residual-Rostered'!#REF!=0,"-",'Residual-Rostered'!#REF!)</f>
        <v>#REF!</v>
      </c>
      <c r="M60" s="25" t="e">
        <f>IF('Residual-Rostered'!#REF!=0,"-",'Residual-Rostered'!#REF!)</f>
        <v>#REF!</v>
      </c>
      <c r="N60" s="25" t="e">
        <f>IF('Residual-Rostered'!#REF!=0,"-",'Residual-Rostered'!#REF!)</f>
        <v>#REF!</v>
      </c>
      <c r="O60" s="25" t="e">
        <f>IF('Residual-Rostered'!#REF!=0,"-",'Residual-Rostered'!#REF!)</f>
        <v>#REF!</v>
      </c>
      <c r="P60" s="25" t="e">
        <f>IF('Residual-Rostered'!#REF!=0,"-",'Residual-Rostered'!#REF!)</f>
        <v>#REF!</v>
      </c>
      <c r="Q60" s="25" t="e">
        <f>IF('Residual-Rostered'!#REF!=0,"-",'Residual-Rostered'!#REF!)</f>
        <v>#REF!</v>
      </c>
      <c r="R60" s="25" t="e">
        <f>IF('Residual-Rostered'!#REF!=0,"-",'Residual-Rostered'!#REF!)</f>
        <v>#REF!</v>
      </c>
      <c r="S60" s="25" t="e">
        <f>IF('Residual-Rostered'!#REF!=0,"-",'Residual-Rostered'!#REF!)</f>
        <v>#REF!</v>
      </c>
      <c r="T60" s="25" t="e">
        <f>IF('Residual-Rostered'!#REF!=0,"-",'Residual-Rostered'!#REF!)</f>
        <v>#REF!</v>
      </c>
      <c r="U60" s="25" t="e">
        <f>IF('Residual-Rostered'!#REF!=0,"-",'Residual-Rostered'!#REF!)</f>
        <v>#REF!</v>
      </c>
      <c r="V60" s="25" t="e">
        <f>IF('Residual-Rostered'!#REF!=0,"-",'Residual-Rostered'!#REF!)</f>
        <v>#REF!</v>
      </c>
      <c r="W60" s="25" t="e">
        <f>IF('Residual-Rostered'!#REF!=0,"-",'Residual-Rostered'!#REF!)</f>
        <v>#REF!</v>
      </c>
      <c r="X60" s="25" t="e">
        <f>IF('Residual-Rostered'!#REF!=0,"-",'Residual-Rostered'!#REF!)</f>
        <v>#REF!</v>
      </c>
      <c r="Y60" s="25" t="e">
        <f>IF('Residual-Rostered'!#REF!=0,"-",'Residual-Rostered'!#REF!)</f>
        <v>#REF!</v>
      </c>
      <c r="Z60" s="25" t="e">
        <f>IF('Residual-Rostered'!#REF!=0,"-",'Residual-Rostered'!#REF!)</f>
        <v>#REF!</v>
      </c>
      <c r="AA60" s="25" t="e">
        <f>IF('Residual-Rostered'!#REF!=0,"-",'Residual-Rostered'!#REF!)</f>
        <v>#REF!</v>
      </c>
      <c r="AB60" s="25" t="e">
        <f>IF('Residual-Rostered'!#REF!=0,"-",'Residual-Rostered'!#REF!)</f>
        <v>#REF!</v>
      </c>
      <c r="AC60" s="25" t="e">
        <f>IF('Residual-Rostered'!#REF!=0,"-",'Residual-Rostered'!#REF!)</f>
        <v>#REF!</v>
      </c>
      <c r="AD60" s="25" t="e">
        <f>IF('Residual-Rostered'!#REF!=0,"-",'Residual-Rostered'!#REF!)</f>
        <v>#REF!</v>
      </c>
      <c r="AE60" s="25" t="e">
        <f>IF('Residual-Rostered'!#REF!=0,"-",'Residual-Rostered'!#REF!)</f>
        <v>#REF!</v>
      </c>
      <c r="AF60" s="25" t="e">
        <f>IF('Residual-Rostered'!#REF!=0,"-",'Residual-Rostered'!#REF!)</f>
        <v>#REF!</v>
      </c>
      <c r="AG60" s="25" t="e">
        <f>IF('Residual-Rostered'!#REF!=0,"-",'Residual-Rostered'!#REF!)</f>
        <v>#REF!</v>
      </c>
      <c r="AH60" s="25" t="e">
        <f>IF('Residual-Rostered'!#REF!=0,"-",'Residual-Rostered'!#REF!)</f>
        <v>#REF!</v>
      </c>
      <c r="AI60" s="25" t="e">
        <f>IF('Residual-Rostered'!#REF!=0,"-",'Residual-Rostered'!#REF!)</f>
        <v>#REF!</v>
      </c>
      <c r="AJ60" s="25" t="e">
        <f>IF('Residual-Rostered'!#REF!=0,"-",'Residual-Rostered'!#REF!)</f>
        <v>#REF!</v>
      </c>
      <c r="AK60" s="25" t="e">
        <f>IF('Residual-Rostered'!#REF!=0,"-",'Residual-Rostered'!#REF!)</f>
        <v>#REF!</v>
      </c>
      <c r="AL60" s="25" t="e">
        <f>IF('Residual-Rostered'!#REF!=0,"-",'Residual-Rostered'!#REF!)</f>
        <v>#REF!</v>
      </c>
      <c r="AM60" s="25" t="e">
        <f>IF('Residual-Rostered'!#REF!=0,"-",'Residual-Rostered'!#REF!)</f>
        <v>#REF!</v>
      </c>
      <c r="AN60" s="25" t="e">
        <f>IF('Residual-Rostered'!#REF!=0,"-",'Residual-Rostered'!#REF!)</f>
        <v>#REF!</v>
      </c>
      <c r="AO60" s="25" t="e">
        <f>IF('Residual-Rostered'!#REF!=0,"-",'Residual-Rostered'!#REF!)</f>
        <v>#REF!</v>
      </c>
      <c r="AP60" s="25" t="e">
        <f>IF('Residual-Rostered'!#REF!=0,"-",'Residual-Rostered'!#REF!)</f>
        <v>#REF!</v>
      </c>
      <c r="AQ60" s="25" t="e">
        <f>IF('Residual-Rostered'!#REF!=0,"-",'Residual-Rostered'!#REF!)</f>
        <v>#REF!</v>
      </c>
      <c r="AR60" s="25" t="e">
        <f>IF('Residual-Rostered'!#REF!=0,"-",'Residual-Rostered'!#REF!)</f>
        <v>#REF!</v>
      </c>
      <c r="AS60" s="25" t="e">
        <f>IF('Residual-Rostered'!#REF!=0,"-",'Residual-Rostered'!#REF!)</f>
        <v>#REF!</v>
      </c>
    </row>
    <row r="61" spans="1:45" hidden="1" x14ac:dyDescent="0.25">
      <c r="A61" s="25" t="e">
        <f>'Residual-Rostered'!#REF!</f>
        <v>#REF!</v>
      </c>
      <c r="B61" s="25" t="e">
        <f>'Residual-Rostered'!#REF!</f>
        <v>#REF!</v>
      </c>
      <c r="C61" s="25" t="e">
        <f>'Residual-Rostered'!#REF!</f>
        <v>#REF!</v>
      </c>
      <c r="D61" s="25" t="e">
        <f>IF('Residual-Rostered'!#REF!=0,"-",'Residual-Rostered'!#REF!)</f>
        <v>#REF!</v>
      </c>
      <c r="E61" s="25" t="e">
        <f>IF('Residual-Rostered'!#REF!=0,"-",'Residual-Rostered'!#REF!)</f>
        <v>#REF!</v>
      </c>
      <c r="F61" s="25" t="e">
        <f>IF('Residual-Rostered'!#REF!=0,"-",'Residual-Rostered'!#REF!)</f>
        <v>#REF!</v>
      </c>
      <c r="G61" s="25" t="e">
        <f>IF('Residual-Rostered'!#REF!=0,"-",'Residual-Rostered'!#REF!)</f>
        <v>#REF!</v>
      </c>
      <c r="H61" s="25" t="e">
        <f>IF('Residual-Rostered'!#REF!=0,"-",'Residual-Rostered'!#REF!)</f>
        <v>#REF!</v>
      </c>
      <c r="I61" s="25" t="e">
        <f>IF('Residual-Rostered'!#REF!=0,"-",'Residual-Rostered'!#REF!)</f>
        <v>#REF!</v>
      </c>
      <c r="J61" s="25" t="e">
        <f>IF('Residual-Rostered'!#REF!=0,"-",'Residual-Rostered'!#REF!)</f>
        <v>#REF!</v>
      </c>
      <c r="K61" s="25" t="e">
        <f>IF('Residual-Rostered'!#REF!=0,"-",'Residual-Rostered'!#REF!)</f>
        <v>#REF!</v>
      </c>
      <c r="L61" s="25" t="e">
        <f>IF('Residual-Rostered'!#REF!=0,"-",'Residual-Rostered'!#REF!)</f>
        <v>#REF!</v>
      </c>
      <c r="M61" s="25" t="e">
        <f>IF('Residual-Rostered'!#REF!=0,"-",'Residual-Rostered'!#REF!)</f>
        <v>#REF!</v>
      </c>
      <c r="N61" s="25" t="e">
        <f>IF('Residual-Rostered'!#REF!=0,"-",'Residual-Rostered'!#REF!)</f>
        <v>#REF!</v>
      </c>
      <c r="O61" s="25" t="e">
        <f>IF('Residual-Rostered'!#REF!=0,"-",'Residual-Rostered'!#REF!)</f>
        <v>#REF!</v>
      </c>
      <c r="P61" s="25" t="e">
        <f>IF('Residual-Rostered'!#REF!=0,"-",'Residual-Rostered'!#REF!)</f>
        <v>#REF!</v>
      </c>
      <c r="Q61" s="25" t="e">
        <f>IF('Residual-Rostered'!#REF!=0,"-",'Residual-Rostered'!#REF!)</f>
        <v>#REF!</v>
      </c>
      <c r="R61" s="25" t="e">
        <f>IF('Residual-Rostered'!#REF!=0,"-",'Residual-Rostered'!#REF!)</f>
        <v>#REF!</v>
      </c>
      <c r="S61" s="25" t="e">
        <f>IF('Residual-Rostered'!#REF!=0,"-",'Residual-Rostered'!#REF!)</f>
        <v>#REF!</v>
      </c>
      <c r="T61" s="25" t="e">
        <f>IF('Residual-Rostered'!#REF!=0,"-",'Residual-Rostered'!#REF!)</f>
        <v>#REF!</v>
      </c>
      <c r="U61" s="25" t="e">
        <f>IF('Residual-Rostered'!#REF!=0,"-",'Residual-Rostered'!#REF!)</f>
        <v>#REF!</v>
      </c>
      <c r="V61" s="25" t="e">
        <f>IF('Residual-Rostered'!#REF!=0,"-",'Residual-Rostered'!#REF!)</f>
        <v>#REF!</v>
      </c>
      <c r="W61" s="25" t="e">
        <f>IF('Residual-Rostered'!#REF!=0,"-",'Residual-Rostered'!#REF!)</f>
        <v>#REF!</v>
      </c>
      <c r="X61" s="25" t="e">
        <f>IF('Residual-Rostered'!#REF!=0,"-",'Residual-Rostered'!#REF!)</f>
        <v>#REF!</v>
      </c>
      <c r="Y61" s="25" t="e">
        <f>IF('Residual-Rostered'!#REF!=0,"-",'Residual-Rostered'!#REF!)</f>
        <v>#REF!</v>
      </c>
      <c r="Z61" s="25" t="e">
        <f>IF('Residual-Rostered'!#REF!=0,"-",'Residual-Rostered'!#REF!)</f>
        <v>#REF!</v>
      </c>
      <c r="AA61" s="25" t="e">
        <f>IF('Residual-Rostered'!#REF!=0,"-",'Residual-Rostered'!#REF!)</f>
        <v>#REF!</v>
      </c>
      <c r="AB61" s="25" t="e">
        <f>IF('Residual-Rostered'!#REF!=0,"-",'Residual-Rostered'!#REF!)</f>
        <v>#REF!</v>
      </c>
      <c r="AC61" s="25" t="e">
        <f>IF('Residual-Rostered'!#REF!=0,"-",'Residual-Rostered'!#REF!)</f>
        <v>#REF!</v>
      </c>
      <c r="AD61" s="25" t="e">
        <f>IF('Residual-Rostered'!#REF!=0,"-",'Residual-Rostered'!#REF!)</f>
        <v>#REF!</v>
      </c>
      <c r="AE61" s="25" t="e">
        <f>IF('Residual-Rostered'!#REF!=0,"-",'Residual-Rostered'!#REF!)</f>
        <v>#REF!</v>
      </c>
      <c r="AF61" s="25" t="e">
        <f>IF('Residual-Rostered'!#REF!=0,"-",'Residual-Rostered'!#REF!)</f>
        <v>#REF!</v>
      </c>
      <c r="AG61" s="25" t="e">
        <f>IF('Residual-Rostered'!#REF!=0,"-",'Residual-Rostered'!#REF!)</f>
        <v>#REF!</v>
      </c>
      <c r="AH61" s="25" t="e">
        <f>IF('Residual-Rostered'!#REF!=0,"-",'Residual-Rostered'!#REF!)</f>
        <v>#REF!</v>
      </c>
      <c r="AI61" s="25" t="e">
        <f>IF('Residual-Rostered'!#REF!=0,"-",'Residual-Rostered'!#REF!)</f>
        <v>#REF!</v>
      </c>
      <c r="AJ61" s="25" t="e">
        <f>IF('Residual-Rostered'!#REF!=0,"-",'Residual-Rostered'!#REF!)</f>
        <v>#REF!</v>
      </c>
      <c r="AK61" s="25" t="e">
        <f>IF('Residual-Rostered'!#REF!=0,"-",'Residual-Rostered'!#REF!)</f>
        <v>#REF!</v>
      </c>
      <c r="AL61" s="25" t="e">
        <f>IF('Residual-Rostered'!#REF!=0,"-",'Residual-Rostered'!#REF!)</f>
        <v>#REF!</v>
      </c>
      <c r="AM61" s="25" t="e">
        <f>IF('Residual-Rostered'!#REF!=0,"-",'Residual-Rostered'!#REF!)</f>
        <v>#REF!</v>
      </c>
      <c r="AN61" s="25" t="e">
        <f>IF('Residual-Rostered'!#REF!=0,"-",'Residual-Rostered'!#REF!)</f>
        <v>#REF!</v>
      </c>
      <c r="AO61" s="25" t="e">
        <f>IF('Residual-Rostered'!#REF!=0,"-",'Residual-Rostered'!#REF!)</f>
        <v>#REF!</v>
      </c>
      <c r="AP61" s="25" t="e">
        <f>IF('Residual-Rostered'!#REF!=0,"-",'Residual-Rostered'!#REF!)</f>
        <v>#REF!</v>
      </c>
      <c r="AQ61" s="25" t="e">
        <f>IF('Residual-Rostered'!#REF!=0,"-",'Residual-Rostered'!#REF!)</f>
        <v>#REF!</v>
      </c>
      <c r="AR61" s="25" t="e">
        <f>IF('Residual-Rostered'!#REF!=0,"-",'Residual-Rostered'!#REF!)</f>
        <v>#REF!</v>
      </c>
      <c r="AS61" s="25" t="e">
        <f>IF('Residual-Rostered'!#REF!=0,"-",'Residual-Rostered'!#REF!)</f>
        <v>#REF!</v>
      </c>
    </row>
    <row r="62" spans="1:45" x14ac:dyDescent="0.25">
      <c r="A62" s="25" t="e">
        <f>'Residual-Rostered'!#REF!</f>
        <v>#REF!</v>
      </c>
      <c r="B62" s="25" t="e">
        <f>'Residual-Rostered'!#REF!</f>
        <v>#REF!</v>
      </c>
      <c r="C62" s="25" t="e">
        <f>'Residual-Rostered'!#REF!</f>
        <v>#REF!</v>
      </c>
      <c r="D62" s="25" t="e">
        <f>IF('Residual-Rostered'!#REF!=0,"-",'Residual-Rostered'!#REF!)</f>
        <v>#REF!</v>
      </c>
      <c r="E62" s="25" t="e">
        <f>IF('Residual-Rostered'!#REF!=0,"-",'Residual-Rostered'!#REF!)</f>
        <v>#REF!</v>
      </c>
      <c r="F62" s="25" t="e">
        <f>IF('Residual-Rostered'!#REF!=0,"-",'Residual-Rostered'!#REF!)</f>
        <v>#REF!</v>
      </c>
      <c r="G62" s="25" t="e">
        <f>IF('Residual-Rostered'!#REF!=0,"-",'Residual-Rostered'!#REF!)</f>
        <v>#REF!</v>
      </c>
      <c r="H62" s="25" t="e">
        <f>IF('Residual-Rostered'!#REF!=0,"-",'Residual-Rostered'!#REF!)</f>
        <v>#REF!</v>
      </c>
      <c r="I62" s="25" t="e">
        <f>IF('Residual-Rostered'!#REF!=0,"-",'Residual-Rostered'!#REF!)</f>
        <v>#REF!</v>
      </c>
      <c r="J62" s="25" t="e">
        <f>IF('Residual-Rostered'!#REF!=0,"-",'Residual-Rostered'!#REF!)</f>
        <v>#REF!</v>
      </c>
      <c r="K62" s="25" t="e">
        <f>IF('Residual-Rostered'!#REF!=0,"-",'Residual-Rostered'!#REF!)</f>
        <v>#REF!</v>
      </c>
      <c r="L62" s="25" t="e">
        <f>IF('Residual-Rostered'!#REF!=0,"-",'Residual-Rostered'!#REF!)</f>
        <v>#REF!</v>
      </c>
      <c r="M62" s="25" t="e">
        <f>IF('Residual-Rostered'!#REF!=0,"-",'Residual-Rostered'!#REF!)</f>
        <v>#REF!</v>
      </c>
      <c r="N62" s="25" t="e">
        <f>IF('Residual-Rostered'!#REF!=0,"-",'Residual-Rostered'!#REF!)</f>
        <v>#REF!</v>
      </c>
      <c r="O62" s="25" t="e">
        <f>IF('Residual-Rostered'!#REF!=0,"-",'Residual-Rostered'!#REF!)</f>
        <v>#REF!</v>
      </c>
      <c r="P62" s="25" t="e">
        <f>IF('Residual-Rostered'!#REF!=0,"-",'Residual-Rostered'!#REF!)</f>
        <v>#REF!</v>
      </c>
      <c r="Q62" s="25" t="e">
        <f>IF('Residual-Rostered'!#REF!=0,"-",'Residual-Rostered'!#REF!)</f>
        <v>#REF!</v>
      </c>
      <c r="R62" s="25" t="e">
        <f>IF('Residual-Rostered'!#REF!=0,"-",'Residual-Rostered'!#REF!)</f>
        <v>#REF!</v>
      </c>
      <c r="S62" s="25" t="e">
        <f>IF('Residual-Rostered'!#REF!=0,"-",'Residual-Rostered'!#REF!)</f>
        <v>#REF!</v>
      </c>
      <c r="T62" s="25" t="e">
        <f>IF('Residual-Rostered'!#REF!=0,"-",'Residual-Rostered'!#REF!)</f>
        <v>#REF!</v>
      </c>
      <c r="U62" s="25" t="e">
        <f>IF('Residual-Rostered'!#REF!=0,"-",'Residual-Rostered'!#REF!)</f>
        <v>#REF!</v>
      </c>
      <c r="V62" s="25" t="e">
        <f>IF('Residual-Rostered'!#REF!=0,"-",'Residual-Rostered'!#REF!)</f>
        <v>#REF!</v>
      </c>
      <c r="W62" s="25" t="e">
        <f>IF('Residual-Rostered'!#REF!=0,"-",'Residual-Rostered'!#REF!)</f>
        <v>#REF!</v>
      </c>
      <c r="X62" s="25" t="e">
        <f>IF('Residual-Rostered'!#REF!=0,"-",'Residual-Rostered'!#REF!)</f>
        <v>#REF!</v>
      </c>
      <c r="Y62" s="25" t="e">
        <f>IF('Residual-Rostered'!#REF!=0,"-",'Residual-Rostered'!#REF!)</f>
        <v>#REF!</v>
      </c>
      <c r="Z62" s="25" t="e">
        <f>IF('Residual-Rostered'!#REF!=0,"-",'Residual-Rostered'!#REF!)</f>
        <v>#REF!</v>
      </c>
      <c r="AA62" s="25" t="e">
        <f>IF('Residual-Rostered'!#REF!=0,"-",'Residual-Rostered'!#REF!)</f>
        <v>#REF!</v>
      </c>
      <c r="AB62" s="25" t="e">
        <f>IF('Residual-Rostered'!#REF!=0,"-",'Residual-Rostered'!#REF!)</f>
        <v>#REF!</v>
      </c>
      <c r="AC62" s="25" t="e">
        <f>IF('Residual-Rostered'!#REF!=0,"-",'Residual-Rostered'!#REF!)</f>
        <v>#REF!</v>
      </c>
      <c r="AD62" s="25" t="e">
        <f>IF('Residual-Rostered'!#REF!=0,"-",'Residual-Rostered'!#REF!)</f>
        <v>#REF!</v>
      </c>
      <c r="AE62" s="25" t="e">
        <f>IF('Residual-Rostered'!#REF!=0,"-",'Residual-Rostered'!#REF!)</f>
        <v>#REF!</v>
      </c>
      <c r="AF62" s="25" t="e">
        <f>IF('Residual-Rostered'!#REF!=0,"-",'Residual-Rostered'!#REF!)</f>
        <v>#REF!</v>
      </c>
      <c r="AG62" s="25" t="e">
        <f>IF('Residual-Rostered'!#REF!=0,"-",'Residual-Rostered'!#REF!)</f>
        <v>#REF!</v>
      </c>
      <c r="AH62" s="25" t="e">
        <f>IF('Residual-Rostered'!#REF!=0,"-",'Residual-Rostered'!#REF!)</f>
        <v>#REF!</v>
      </c>
      <c r="AI62" s="25" t="e">
        <f>IF('Residual-Rostered'!#REF!=0,"-",'Residual-Rostered'!#REF!)</f>
        <v>#REF!</v>
      </c>
      <c r="AJ62" s="25" t="e">
        <f>IF('Residual-Rostered'!#REF!=0,"-",'Residual-Rostered'!#REF!)</f>
        <v>#REF!</v>
      </c>
      <c r="AK62" s="25" t="e">
        <f>IF('Residual-Rostered'!#REF!=0,"-",'Residual-Rostered'!#REF!)</f>
        <v>#REF!</v>
      </c>
      <c r="AL62" s="25" t="e">
        <f>IF('Residual-Rostered'!#REF!=0,"-",'Residual-Rostered'!#REF!)</f>
        <v>#REF!</v>
      </c>
      <c r="AM62" s="25" t="e">
        <f>IF('Residual-Rostered'!#REF!=0,"-",'Residual-Rostered'!#REF!)</f>
        <v>#REF!</v>
      </c>
      <c r="AN62" s="25" t="e">
        <f>IF('Residual-Rostered'!#REF!=0,"-",'Residual-Rostered'!#REF!)</f>
        <v>#REF!</v>
      </c>
      <c r="AO62" s="25" t="e">
        <f>IF('Residual-Rostered'!#REF!=0,"-",'Residual-Rostered'!#REF!)</f>
        <v>#REF!</v>
      </c>
      <c r="AP62" s="25" t="e">
        <f>IF('Residual-Rostered'!#REF!=0,"-",'Residual-Rostered'!#REF!)</f>
        <v>#REF!</v>
      </c>
      <c r="AQ62" s="25" t="e">
        <f>IF('Residual-Rostered'!#REF!=0,"-",'Residual-Rostered'!#REF!)</f>
        <v>#REF!</v>
      </c>
      <c r="AR62" s="25" t="e">
        <f>IF('Residual-Rostered'!#REF!=0,"-",'Residual-Rostered'!#REF!)</f>
        <v>#REF!</v>
      </c>
      <c r="AS62" s="25" t="e">
        <f>IF('Residual-Rostered'!#REF!=0,"-",'Residual-Rostered'!#REF!)</f>
        <v>#REF!</v>
      </c>
    </row>
    <row r="64" spans="1:45" x14ac:dyDescent="0.25">
      <c r="I64" s="24" t="e">
        <f>I21</f>
        <v>#REF!</v>
      </c>
    </row>
  </sheetData>
  <mergeCells count="1">
    <mergeCell ref="C1:D1"/>
  </mergeCells>
  <conditionalFormatting sqref="D6:AS11">
    <cfRule type="cellIs" dxfId="40" priority="9" operator="greaterThan">
      <formula>0.1</formula>
    </cfRule>
  </conditionalFormatting>
  <conditionalFormatting sqref="D13:AS62">
    <cfRule type="cellIs" dxfId="38" priority="5" operator="lessThan">
      <formula>-0.1</formula>
    </cfRule>
    <cfRule type="cellIs" dxfId="36" priority="8" stopIfTrue="1" operator="greaterThan">
      <formula>0.1</formula>
    </cfRule>
  </conditionalFormatting>
  <conditionalFormatting sqref="E6:AS6">
    <cfRule type="cellIs" dxfId="35" priority="4" operator="lessThan">
      <formula>-0.1</formula>
    </cfRule>
  </conditionalFormatting>
  <conditionalFormatting sqref="E8:AS9">
    <cfRule type="cellIs" dxfId="34" priority="3" operator="lessThan">
      <formula>-0.1</formula>
    </cfRule>
  </conditionalFormatting>
  <conditionalFormatting sqref="E9:AS9">
    <cfRule type="cellIs" dxfId="33" priority="2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01BC074A-34DF-4F18-8C00-D077B10E1BAF}">
            <xm:f>NOT(ISERROR(SEARCH("0/ 0",D13)))</xm:f>
            <xm:f>"0/ 0"</xm:f>
            <x14:dxf>
              <fill>
                <patternFill>
                  <bgColor theme="0" tint="-0.24994659260841701"/>
                </patternFill>
              </fill>
            </x14:dxf>
          </x14:cfRule>
          <x14:cfRule type="containsText" priority="6" stopIfTrue="1" operator="containsText" id="{3471A605-7976-4487-B6A4-BE2C36A93266}">
            <xm:f>NOT(ISERROR(SEARCH("-",D13)))</xm:f>
            <xm:f>"-"</xm:f>
            <x14:dxf/>
          </x14:cfRule>
          <x14:cfRule type="containsText" priority="7" stopIfTrue="1" operator="containsText" id="{4B2851D0-5646-4D50-BEA8-307B888FC1DD}">
            <xm:f>NOT(ISERROR(SEARCH("/",D13)))</xm:f>
            <xm:f>"/"</xm:f>
            <x14:dxf>
              <font>
                <color rgb="FF006100"/>
              </font>
              <fill>
                <patternFill>
                  <bgColor rgb="FFFFCC99"/>
                </patternFill>
              </fill>
            </x14:dxf>
          </x14:cfRule>
          <xm:sqref>D13:AS62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6C3CC1-BECE-4891-B71A-ED166EAAAE44}">
          <x14:formula1>
            <xm:f>FILEPATH!$J$2:$J$3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A921-E1DC-40C1-91F4-601B67ED3D65}">
  <dimension ref="A1:R49"/>
  <sheetViews>
    <sheetView workbookViewId="0">
      <selection activeCell="I22" sqref="I21:I22"/>
    </sheetView>
    <sheetView workbookViewId="1"/>
  </sheetViews>
  <sheetFormatPr defaultColWidth="9.140625" defaultRowHeight="12.75" x14ac:dyDescent="0.25"/>
  <cols>
    <col min="1" max="1" width="18.5703125" style="2" customWidth="1"/>
    <col min="2" max="2" width="91.42578125" style="2" customWidth="1"/>
    <col min="3" max="3" width="12.85546875" style="2" customWidth="1"/>
    <col min="4" max="4" width="9.140625" style="2"/>
    <col min="5" max="5" width="9.42578125" style="2" bestFit="1" customWidth="1"/>
    <col min="6" max="6" width="9.28515625" style="2" bestFit="1" customWidth="1"/>
    <col min="7" max="10" width="9.140625" style="2"/>
    <col min="11" max="11" width="10.5703125" style="2" customWidth="1"/>
    <col min="12" max="16384" width="9.140625" style="2"/>
  </cols>
  <sheetData>
    <row r="1" spans="1:12" ht="26.25" customHeight="1" x14ac:dyDescent="0.25">
      <c r="B1" s="18" t="s">
        <v>75</v>
      </c>
      <c r="C1" s="18">
        <f>F1-E1</f>
        <v>28</v>
      </c>
      <c r="D1" s="18"/>
      <c r="E1" s="19">
        <v>45068</v>
      </c>
      <c r="F1" s="19">
        <v>45096</v>
      </c>
      <c r="J1" s="2" t="s">
        <v>121</v>
      </c>
      <c r="K1" s="2" t="s">
        <v>124</v>
      </c>
    </row>
    <row r="2" spans="1:12" x14ac:dyDescent="0.25">
      <c r="J2" s="2" t="s">
        <v>122</v>
      </c>
      <c r="K2" s="2">
        <v>1</v>
      </c>
    </row>
    <row r="3" spans="1:12" x14ac:dyDescent="0.25">
      <c r="J3" s="2" t="s">
        <v>123</v>
      </c>
      <c r="K3" s="2">
        <v>7.6</v>
      </c>
    </row>
    <row r="4" spans="1:12" x14ac:dyDescent="0.25">
      <c r="A4" s="1" t="s">
        <v>6</v>
      </c>
      <c r="B4" s="1" t="str" cm="1">
        <f t="array" aca="1" ref="B4" ca="1">CELL("filename",E19)</f>
        <v>C:\Users\Alex\CentriNOTSYNC\ResidentialCare\CLIENT\DATExx-Whiddon\2. Calculations\Change\SS\[ResidualAllocation-ALL.xlsx]FILEPATH</v>
      </c>
    </row>
    <row r="5" spans="1:12" x14ac:dyDescent="0.25">
      <c r="A5" s="1"/>
      <c r="B5" s="1"/>
    </row>
    <row r="6" spans="1:12" x14ac:dyDescent="0.25">
      <c r="A6" s="3" t="s">
        <v>7</v>
      </c>
      <c r="B6" s="3" t="str" cm="1">
        <f t="array" ref="B6">[1]!Client</f>
        <v>04.1 PoC</v>
      </c>
      <c r="C6" s="2" t="e">
        <f ca="1">FIND(B6,B4)</f>
        <v>#VALUE!</v>
      </c>
      <c r="E6" s="2">
        <f>LEN(B6)</f>
        <v>8</v>
      </c>
      <c r="J6" s="2" t="s">
        <v>132</v>
      </c>
      <c r="L6" s="2" t="s">
        <v>133</v>
      </c>
    </row>
    <row r="7" spans="1:12" x14ac:dyDescent="0.25">
      <c r="A7" s="4" t="s">
        <v>8</v>
      </c>
      <c r="B7" s="4" t="s">
        <v>9</v>
      </c>
      <c r="C7" s="2" t="e">
        <f ca="1">FIND(B7,B4)</f>
        <v>#VALUE!</v>
      </c>
      <c r="E7" s="2">
        <f>LEN(B7)</f>
        <v>11</v>
      </c>
      <c r="J7" s="2" t="s">
        <v>2</v>
      </c>
      <c r="L7" s="2" t="s">
        <v>26</v>
      </c>
    </row>
    <row r="8" spans="1:12" x14ac:dyDescent="0.25">
      <c r="A8" s="2" t="s">
        <v>10</v>
      </c>
      <c r="B8" s="2" t="s">
        <v>11</v>
      </c>
      <c r="C8" s="5">
        <f ca="1">FIND(B8,B4)</f>
        <v>67</v>
      </c>
      <c r="D8" s="4"/>
      <c r="J8" s="2" t="s">
        <v>4</v>
      </c>
      <c r="L8" s="2" t="s">
        <v>24</v>
      </c>
    </row>
    <row r="9" spans="1:12" x14ac:dyDescent="0.25">
      <c r="C9" s="2" t="e">
        <f ca="1">C8-C7</f>
        <v>#VALUE!</v>
      </c>
      <c r="D9" s="4"/>
    </row>
    <row r="10" spans="1:12" x14ac:dyDescent="0.25">
      <c r="D10" s="4"/>
    </row>
    <row r="11" spans="1:12" x14ac:dyDescent="0.25">
      <c r="A11" s="1" t="s">
        <v>12</v>
      </c>
      <c r="B11" s="4" t="s">
        <v>13</v>
      </c>
      <c r="C11" s="5" t="e">
        <f ca="1">FIND(B11,B4)</f>
        <v>#VALUE!</v>
      </c>
    </row>
    <row r="12" spans="1:12" x14ac:dyDescent="0.25">
      <c r="J12" s="2" t="s">
        <v>123</v>
      </c>
    </row>
    <row r="13" spans="1:12" x14ac:dyDescent="0.25">
      <c r="B13" s="6" t="e">
        <f ca="1">MID(B4,C6+2+E6+E7,C9-E7-2)</f>
        <v>#VALUE!</v>
      </c>
    </row>
    <row r="14" spans="1:12" x14ac:dyDescent="0.25">
      <c r="A14" s="4"/>
      <c r="B14" s="4" t="e">
        <f ca="1">LEFT(B13,6)</f>
        <v>#VALUE!</v>
      </c>
    </row>
    <row r="15" spans="1:12" x14ac:dyDescent="0.25">
      <c r="A15" s="1" t="s">
        <v>23</v>
      </c>
      <c r="C15" s="2" t="s">
        <v>22</v>
      </c>
    </row>
    <row r="16" spans="1:12" x14ac:dyDescent="0.25">
      <c r="A16" s="1"/>
    </row>
    <row r="17" spans="1:18" x14ac:dyDescent="0.25">
      <c r="A17" s="1"/>
    </row>
    <row r="19" spans="1:18" x14ac:dyDescent="0.25">
      <c r="A19" s="7" t="s">
        <v>14</v>
      </c>
    </row>
    <row r="20" spans="1:18" x14ac:dyDescent="0.25">
      <c r="A20" s="3" t="s">
        <v>15</v>
      </c>
      <c r="B20" s="3" t="str" cm="1">
        <f t="array" ref="B20">[1]!Computerpath</f>
        <v>C:\Users\Alex\Centri\2. Accounts - 2.0 RFBI\04.1 PoC</v>
      </c>
      <c r="C20" s="2">
        <f>LEN(B20)</f>
        <v>52</v>
      </c>
    </row>
    <row r="23" spans="1:18" x14ac:dyDescent="0.25">
      <c r="A23" s="1"/>
      <c r="B23" s="1"/>
      <c r="C23" s="2">
        <f>SUM(C20:C22)</f>
        <v>52</v>
      </c>
    </row>
    <row r="24" spans="1:18" x14ac:dyDescent="0.25">
      <c r="A24" s="1"/>
      <c r="B24" s="1"/>
    </row>
    <row r="25" spans="1:18" x14ac:dyDescent="0.25">
      <c r="A25" s="1"/>
      <c r="B25" s="1"/>
    </row>
    <row r="26" spans="1:18" x14ac:dyDescent="0.25">
      <c r="A26" s="1"/>
      <c r="B26" s="2" t="str">
        <f>B20&amp;"\"</f>
        <v>C:\Users\Alex\Centri\2. Accounts - 2.0 RFBI\04.1 PoC\</v>
      </c>
    </row>
    <row r="27" spans="1:18" x14ac:dyDescent="0.25">
      <c r="A27" s="1"/>
      <c r="B27" s="1"/>
    </row>
    <row r="28" spans="1:18" ht="15" x14ac:dyDescent="0.25">
      <c r="A28" s="8"/>
      <c r="B28" s="8"/>
      <c r="M28" s="9" t="s">
        <v>16</v>
      </c>
      <c r="N28" s="9"/>
      <c r="O28" s="9"/>
      <c r="P28" s="9"/>
      <c r="Q28" s="9"/>
      <c r="R28" s="9"/>
    </row>
    <row r="29" spans="1:18" x14ac:dyDescent="0.25">
      <c r="A29" s="2" t="s">
        <v>17</v>
      </c>
      <c r="M29" s="9" t="s">
        <v>18</v>
      </c>
      <c r="N29" s="9"/>
      <c r="O29" s="9"/>
      <c r="P29" s="9"/>
      <c r="Q29" s="9"/>
      <c r="R29" s="9"/>
    </row>
    <row r="30" spans="1:18" x14ac:dyDescent="0.25">
      <c r="A30" s="10"/>
      <c r="B30" s="10"/>
      <c r="M30" s="9" t="s">
        <v>19</v>
      </c>
      <c r="N30" s="9"/>
      <c r="O30" s="9"/>
      <c r="P30" s="9"/>
      <c r="Q30" s="9"/>
      <c r="R30" s="9"/>
    </row>
    <row r="31" spans="1:18" x14ac:dyDescent="0.25">
      <c r="A31" s="4"/>
      <c r="B31" s="4"/>
      <c r="M31" s="9" t="s">
        <v>19</v>
      </c>
      <c r="N31" s="9"/>
      <c r="O31" s="9"/>
      <c r="P31" s="9"/>
      <c r="Q31" s="9"/>
      <c r="R31" s="9"/>
    </row>
    <row r="32" spans="1:18" x14ac:dyDescent="0.25">
      <c r="M32" s="9" t="s">
        <v>20</v>
      </c>
      <c r="N32" s="9"/>
      <c r="O32" s="9"/>
      <c r="P32" s="9"/>
      <c r="Q32" s="9"/>
      <c r="R32" s="9"/>
    </row>
    <row r="33" spans="2:2" x14ac:dyDescent="0.25">
      <c r="B33" s="6"/>
    </row>
    <row r="35" spans="2:2" x14ac:dyDescent="0.25">
      <c r="B35" s="2" t="s">
        <v>21</v>
      </c>
    </row>
    <row r="36" spans="2:2" x14ac:dyDescent="0.25">
      <c r="B36" s="2" t="e">
        <f ca="1">B20&amp;"\"&amp;B7&amp;"\"&amp;B14&amp;"\"&amp;B15</f>
        <v>#VALUE!</v>
      </c>
    </row>
    <row r="49" spans="2:2" x14ac:dyDescent="0.25">
      <c r="B49" s="1"/>
    </row>
  </sheetData>
  <dataValidations count="1">
    <dataValidation type="list" allowBlank="1" showInputMessage="1" showErrorMessage="1" sqref="J12" xr:uid="{1030F9E2-628B-48F2-B37B-44CEF9E81CA3}">
      <formula1>$J$2:$J$3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BD8B-E991-41AF-82AC-CC031E93EAC9}">
  <sheetPr>
    <tabColor theme="7"/>
  </sheetPr>
  <dimension ref="A1:AY87"/>
  <sheetViews>
    <sheetView tabSelected="1" zoomScale="115" zoomScaleNormal="115" workbookViewId="0">
      <pane ySplit="17" topLeftCell="A32" activePane="bottomLeft" state="frozen"/>
      <selection pane="bottomLeft" activeCell="H3" sqref="H3:AB3"/>
    </sheetView>
    <sheetView workbookViewId="1"/>
  </sheetViews>
  <sheetFormatPr defaultRowHeight="15.75" customHeight="1" x14ac:dyDescent="0.25"/>
  <cols>
    <col min="1" max="1" width="11.140625" customWidth="1"/>
    <col min="2" max="2" width="24.85546875" customWidth="1"/>
    <col min="3" max="3" width="21.28515625" customWidth="1"/>
    <col min="4" max="4" width="10.85546875" customWidth="1"/>
    <col min="5" max="6" width="11" customWidth="1"/>
    <col min="7" max="7" width="11.5703125" customWidth="1"/>
    <col min="8" max="8" width="7" customWidth="1"/>
    <col min="9" max="49" width="7" style="11" customWidth="1"/>
  </cols>
  <sheetData>
    <row r="1" spans="1:49" ht="15.75" customHeight="1" x14ac:dyDescent="0.25">
      <c r="B1" s="31" t="s">
        <v>72</v>
      </c>
      <c r="C1" t="s">
        <v>73</v>
      </c>
      <c r="E1" s="31"/>
    </row>
    <row r="2" spans="1:49" ht="15.75" customHeight="1" x14ac:dyDescent="0.25">
      <c r="B2" s="31" t="s">
        <v>134</v>
      </c>
      <c r="C2" t="s">
        <v>24</v>
      </c>
      <c r="E2" s="31"/>
      <c r="J2" s="36"/>
      <c r="K2" s="31" t="s">
        <v>125</v>
      </c>
      <c r="L2" s="11" t="s">
        <v>122</v>
      </c>
      <c r="M2" s="30">
        <f>_xlfn.XLOOKUP(Carer!L2,Table5[UNITS],Table5[HRS/FTE])</f>
        <v>1</v>
      </c>
      <c r="O2" s="31" t="s">
        <v>127</v>
      </c>
      <c r="P2" s="11">
        <v>76</v>
      </c>
    </row>
    <row r="3" spans="1:49" ht="15.75" customHeight="1" x14ac:dyDescent="0.25">
      <c r="B3" s="31"/>
      <c r="E3" s="31"/>
      <c r="H3" s="53" t="s">
        <v>257</v>
      </c>
      <c r="I3" s="53"/>
      <c r="J3" s="53"/>
      <c r="K3" s="53" t="s">
        <v>258</v>
      </c>
      <c r="L3" s="53"/>
      <c r="M3" s="53"/>
      <c r="N3" s="52" t="s">
        <v>259</v>
      </c>
      <c r="O3" s="52"/>
      <c r="P3" s="52"/>
      <c r="Q3" s="52" t="s">
        <v>260</v>
      </c>
      <c r="R3" s="52"/>
      <c r="S3" s="52"/>
      <c r="T3" s="52" t="s">
        <v>261</v>
      </c>
      <c r="U3" s="52"/>
      <c r="V3" s="52"/>
      <c r="W3" s="52" t="s">
        <v>262</v>
      </c>
      <c r="X3" s="52"/>
      <c r="Y3" s="52"/>
      <c r="Z3" s="52" t="s">
        <v>263</v>
      </c>
      <c r="AA3" s="52"/>
      <c r="AB3" s="52"/>
      <c r="AC3" t="s">
        <v>230</v>
      </c>
      <c r="AE3" s="36"/>
      <c r="AF3" s="31" t="s">
        <v>226</v>
      </c>
      <c r="AH3" s="30"/>
      <c r="AI3" s="11" t="s">
        <v>227</v>
      </c>
      <c r="AJ3" s="31"/>
      <c r="AL3" s="11" t="s">
        <v>226</v>
      </c>
      <c r="AO3" s="11" t="s">
        <v>228</v>
      </c>
      <c r="AR3" s="11" t="s">
        <v>229</v>
      </c>
      <c r="AU3" s="11" t="s">
        <v>229</v>
      </c>
    </row>
    <row r="4" spans="1:49" s="17" customFormat="1" ht="30" x14ac:dyDescent="0.25">
      <c r="A4" s="15" t="str">
        <f>Header!B10</f>
        <v>Facility</v>
      </c>
      <c r="B4" s="15" t="str">
        <f>Header!C10</f>
        <v>EffortType</v>
      </c>
      <c r="C4" s="40" t="str">
        <f>Header!D10</f>
        <v>Role</v>
      </c>
      <c r="D4" s="15" t="s">
        <v>254</v>
      </c>
      <c r="G4" s="15"/>
      <c r="H4" s="51" t="str">
        <f>Header!E10</f>
        <v>19/06 AM</v>
      </c>
      <c r="I4" s="51" t="str">
        <f>Header!F10</f>
        <v>19/06 PM</v>
      </c>
      <c r="J4" s="51" t="str">
        <f>Header!G10</f>
        <v>19/06 NIGHT</v>
      </c>
      <c r="K4" s="51" t="str">
        <f>Header!H10</f>
        <v>20/06 AM</v>
      </c>
      <c r="L4" s="51" t="str">
        <f>Header!I10</f>
        <v>20/06 PM</v>
      </c>
      <c r="M4" s="51" t="str">
        <f>Header!J10</f>
        <v>20/06 NIGHT</v>
      </c>
      <c r="N4" s="51" t="str">
        <f>Header!K10</f>
        <v>21/06 AM</v>
      </c>
      <c r="O4" s="51" t="str">
        <f>Header!L10</f>
        <v>21/06 PM</v>
      </c>
      <c r="P4" s="51" t="str">
        <f>Header!M10</f>
        <v>21/06 NIGHT</v>
      </c>
      <c r="Q4" s="51" t="str">
        <f>Header!N10</f>
        <v>22/06 AM</v>
      </c>
      <c r="R4" s="51" t="str">
        <f>Header!O10</f>
        <v>22/06 PM</v>
      </c>
      <c r="S4" s="51" t="str">
        <f>Header!P10</f>
        <v>22/06 NIGHT</v>
      </c>
      <c r="T4" s="51" t="str">
        <f>Header!Q10</f>
        <v>23/06 AM</v>
      </c>
      <c r="U4" s="51" t="str">
        <f>Header!R10</f>
        <v>23/06 PM</v>
      </c>
      <c r="V4" s="51" t="str">
        <f>Header!S10</f>
        <v>23/06 NIGHT</v>
      </c>
      <c r="W4" s="51" t="str">
        <f>Header!T10</f>
        <v>24/06 AM</v>
      </c>
      <c r="X4" s="51" t="str">
        <f>Header!U10</f>
        <v>24/06 PM</v>
      </c>
      <c r="Y4" s="51" t="str">
        <f>Header!V10</f>
        <v>24/06 NIGHT</v>
      </c>
      <c r="Z4" s="51" t="str">
        <f>Header!W10</f>
        <v>25/06 AM</v>
      </c>
      <c r="AA4" s="51" t="str">
        <f>Header!X10</f>
        <v>25/06 PM</v>
      </c>
      <c r="AB4" s="51" t="str">
        <f>Header!Y10</f>
        <v>25/06 NIGHT</v>
      </c>
      <c r="AC4" s="51" t="str">
        <f>Header!Z10</f>
        <v>26/06 AM</v>
      </c>
      <c r="AD4" s="51" t="str">
        <f>Header!AA10</f>
        <v>26/06 PM</v>
      </c>
      <c r="AE4" s="51" t="str">
        <f>Header!AB10</f>
        <v>26/06 NIGHT</v>
      </c>
      <c r="AF4" s="51" t="str">
        <f>Header!AC10</f>
        <v>27/06 AM</v>
      </c>
      <c r="AG4" s="51" t="str">
        <f>Header!AD10</f>
        <v>27/06 PM</v>
      </c>
      <c r="AH4" s="51" t="str">
        <f>Header!AE10</f>
        <v>27/06 NIGHT</v>
      </c>
      <c r="AI4" s="51" t="str">
        <f>Header!AF10</f>
        <v>28/06 AM</v>
      </c>
      <c r="AJ4" s="51" t="str">
        <f>Header!AG10</f>
        <v>28/06 PM</v>
      </c>
      <c r="AK4" s="16" t="str">
        <f>Header!AH10</f>
        <v>28/06 NIGHT</v>
      </c>
      <c r="AL4" s="16" t="str">
        <f>Header!AI10</f>
        <v>29/06 AM</v>
      </c>
      <c r="AM4" s="16" t="str">
        <f>Header!AJ10</f>
        <v>29/06 PM</v>
      </c>
      <c r="AN4" s="16" t="str">
        <f>Header!AK10</f>
        <v>29/06 NIGHT</v>
      </c>
      <c r="AO4" s="16" t="str">
        <f>Header!AL10</f>
        <v>30/06 AM</v>
      </c>
      <c r="AP4" s="16" t="str">
        <f>Header!AM10</f>
        <v>30/06 PM</v>
      </c>
      <c r="AQ4" s="16" t="str">
        <f>Header!AN10</f>
        <v>30/06 NIGHT</v>
      </c>
      <c r="AR4" s="16" t="str">
        <f>Header!AO10</f>
        <v>1/07 AM</v>
      </c>
      <c r="AS4" s="16" t="str">
        <f>Header!AP10</f>
        <v>1/07 PM</v>
      </c>
      <c r="AT4" s="16" t="str">
        <f>Header!AQ10</f>
        <v>1/07 NIGHT</v>
      </c>
      <c r="AU4" s="16" t="str">
        <f>Header!AR10</f>
        <v>2/07 AM</v>
      </c>
      <c r="AV4" s="16" t="str">
        <f>Header!AS10</f>
        <v>2/07 PM</v>
      </c>
      <c r="AW4" s="16" t="str">
        <f>Header!AT10</f>
        <v>2/07 NIGHT</v>
      </c>
    </row>
    <row r="5" spans="1:49" ht="15.75" customHeight="1" x14ac:dyDescent="0.25">
      <c r="A5" s="13" t="str">
        <f>Header!B11</f>
        <v>MAIT</v>
      </c>
      <c r="B5" s="35">
        <f>SUM(H5:AW5)</f>
        <v>2698.2000000000003</v>
      </c>
      <c r="F5" s="13"/>
      <c r="G5" s="50" t="str">
        <f>'Header-RN'!B2</f>
        <v>Demand</v>
      </c>
      <c r="H5" s="27">
        <f>'Header-CARER'!D2</f>
        <v>84.8</v>
      </c>
      <c r="I5" s="27">
        <f>'Header-CARER'!E2</f>
        <v>68.3</v>
      </c>
      <c r="J5" s="27">
        <f>'Header-CARER'!F2</f>
        <v>37</v>
      </c>
      <c r="K5" s="27">
        <f>'Header-CARER'!G2</f>
        <v>87.5</v>
      </c>
      <c r="L5" s="27">
        <f>'Header-CARER'!H2</f>
        <v>68.3</v>
      </c>
      <c r="M5" s="27">
        <f>'Header-CARER'!I2</f>
        <v>37</v>
      </c>
      <c r="N5" s="27">
        <f>'Header-CARER'!J2</f>
        <v>87.5</v>
      </c>
      <c r="O5" s="27">
        <f>'Header-CARER'!K2</f>
        <v>68.3</v>
      </c>
      <c r="P5" s="27">
        <f>'Header-CARER'!L2</f>
        <v>37</v>
      </c>
      <c r="Q5" s="27">
        <f>'Header-CARER'!M2</f>
        <v>87.5</v>
      </c>
      <c r="R5" s="27">
        <f>'Header-CARER'!N2</f>
        <v>68.3</v>
      </c>
      <c r="S5" s="27">
        <f>'Header-CARER'!O2</f>
        <v>37</v>
      </c>
      <c r="T5" s="27">
        <f>'Header-CARER'!P2</f>
        <v>87.5</v>
      </c>
      <c r="U5" s="27">
        <f>'Header-CARER'!Q2</f>
        <v>68.3</v>
      </c>
      <c r="V5" s="27">
        <f>'Header-CARER'!R2</f>
        <v>37</v>
      </c>
      <c r="W5" s="27">
        <f>'Header-CARER'!S2</f>
        <v>87.5</v>
      </c>
      <c r="X5" s="27">
        <f>'Header-CARER'!T2</f>
        <v>68.3</v>
      </c>
      <c r="Y5" s="27">
        <f>'Header-CARER'!U2</f>
        <v>37</v>
      </c>
      <c r="Z5" s="27">
        <f>'Header-CARER'!V2</f>
        <v>87.5</v>
      </c>
      <c r="AA5" s="27">
        <f>'Header-CARER'!W2</f>
        <v>68.3</v>
      </c>
      <c r="AB5" s="27">
        <f>'Header-CARER'!X2</f>
        <v>37</v>
      </c>
      <c r="AC5" s="27">
        <f>'Header-CARER'!Y2</f>
        <v>87.5</v>
      </c>
      <c r="AD5" s="27">
        <f>'Header-CARER'!Z2</f>
        <v>68.3</v>
      </c>
      <c r="AE5" s="27">
        <f>'Header-CARER'!AA2</f>
        <v>37</v>
      </c>
      <c r="AF5" s="27">
        <f>'Header-CARER'!AB2</f>
        <v>87.5</v>
      </c>
      <c r="AG5" s="27">
        <f>'Header-CARER'!AC2</f>
        <v>68.3</v>
      </c>
      <c r="AH5" s="27">
        <f>'Header-CARER'!AD2</f>
        <v>37</v>
      </c>
      <c r="AI5" s="27">
        <f>'Header-CARER'!AE2</f>
        <v>87.5</v>
      </c>
      <c r="AJ5" s="27">
        <f>'Header-CARER'!AF2</f>
        <v>68.3</v>
      </c>
      <c r="AK5" s="27">
        <f>'Header-CARER'!AG2</f>
        <v>37</v>
      </c>
      <c r="AL5" s="27">
        <f>'Header-CARER'!AH2</f>
        <v>87.5</v>
      </c>
      <c r="AM5" s="27">
        <f>'Header-CARER'!AI2</f>
        <v>68.3</v>
      </c>
      <c r="AN5" s="27">
        <f>'Header-CARER'!AJ2</f>
        <v>37</v>
      </c>
      <c r="AO5" s="27">
        <f>'Header-CARER'!AK2</f>
        <v>87.5</v>
      </c>
      <c r="AP5" s="27">
        <f>'Header-CARER'!AL2</f>
        <v>68.3</v>
      </c>
      <c r="AQ5" s="27">
        <f>'Header-CARER'!AM2</f>
        <v>37</v>
      </c>
      <c r="AR5" s="27">
        <f>'Header-CARER'!AN2</f>
        <v>87.5</v>
      </c>
      <c r="AS5" s="27">
        <f>'Header-CARER'!AO2</f>
        <v>68.3</v>
      </c>
      <c r="AT5" s="27">
        <f>'Header-CARER'!AP2</f>
        <v>37</v>
      </c>
      <c r="AU5" s="27">
        <f>'Header-CARER'!AQ2</f>
        <v>89.2</v>
      </c>
      <c r="AV5" s="27">
        <f>'Header-CARER'!AR2</f>
        <v>68.3</v>
      </c>
      <c r="AW5" s="27">
        <f>'Header-CARER'!AS2</f>
        <v>37</v>
      </c>
    </row>
    <row r="6" spans="1:49" ht="15.75" customHeight="1" x14ac:dyDescent="0.25">
      <c r="A6" s="13" t="str">
        <f>Header!B12</f>
        <v>MAIT</v>
      </c>
      <c r="B6" s="35">
        <f>SUM(H6:AW6)</f>
        <v>2455.1000000000004</v>
      </c>
      <c r="D6" s="43" t="s">
        <v>252</v>
      </c>
      <c r="E6" s="43" t="s">
        <v>253</v>
      </c>
      <c r="G6" s="50" t="str">
        <f>'Header-RN'!B3</f>
        <v>Allocation</v>
      </c>
      <c r="H6" s="28">
        <f>'Header-CARER'!D3</f>
        <v>84.2</v>
      </c>
      <c r="I6" s="28">
        <f>'Header-CARER'!E3</f>
        <v>65.5</v>
      </c>
      <c r="J6" s="28">
        <f>'Header-CARER'!F3</f>
        <v>35.9</v>
      </c>
      <c r="K6" s="28">
        <f>'Header-CARER'!G3</f>
        <v>87.5</v>
      </c>
      <c r="L6" s="28">
        <f>'Header-CARER'!H3</f>
        <v>72.3</v>
      </c>
      <c r="M6" s="28">
        <f>'Header-CARER'!I3</f>
        <v>35.9</v>
      </c>
      <c r="N6" s="28">
        <f>'Header-CARER'!J3</f>
        <v>80.400000000000006</v>
      </c>
      <c r="O6" s="28">
        <f>'Header-CARER'!K3</f>
        <v>72.3</v>
      </c>
      <c r="P6" s="28">
        <f>'Header-CARER'!L3</f>
        <v>29</v>
      </c>
      <c r="Q6" s="28">
        <f>'Header-CARER'!M3</f>
        <v>87.3</v>
      </c>
      <c r="R6" s="28">
        <f>'Header-CARER'!N3</f>
        <v>72.3</v>
      </c>
      <c r="S6" s="28">
        <f>'Header-CARER'!O3</f>
        <v>22</v>
      </c>
      <c r="T6" s="28">
        <f>'Header-CARER'!P3</f>
        <v>56.3</v>
      </c>
      <c r="U6" s="28">
        <f>'Header-CARER'!Q3</f>
        <v>58.9</v>
      </c>
      <c r="V6" s="28">
        <f>'Header-CARER'!R3</f>
        <v>29</v>
      </c>
      <c r="W6" s="28">
        <f>'Header-CARER'!S3</f>
        <v>77.900000000000006</v>
      </c>
      <c r="X6" s="28">
        <f>'Header-CARER'!T3</f>
        <v>65.5</v>
      </c>
      <c r="Y6" s="28">
        <f>'Header-CARER'!U3</f>
        <v>29</v>
      </c>
      <c r="Z6" s="28">
        <f>'Header-CARER'!V3</f>
        <v>77.900000000000006</v>
      </c>
      <c r="AA6" s="28">
        <f>'Header-CARER'!W3</f>
        <v>65.5</v>
      </c>
      <c r="AB6" s="28">
        <f>'Header-CARER'!X3</f>
        <v>29</v>
      </c>
      <c r="AC6" s="28">
        <f>'Header-CARER'!Y3</f>
        <v>85</v>
      </c>
      <c r="AD6" s="28">
        <f>'Header-CARER'!Z3</f>
        <v>65.5</v>
      </c>
      <c r="AE6" s="28">
        <f>'Header-CARER'!AA3</f>
        <v>35.9</v>
      </c>
      <c r="AF6" s="28">
        <f>'Header-CARER'!AB3</f>
        <v>87.5</v>
      </c>
      <c r="AG6" s="28">
        <f>'Header-CARER'!AC3</f>
        <v>72.3</v>
      </c>
      <c r="AH6" s="28">
        <f>'Header-CARER'!AD3</f>
        <v>35.9</v>
      </c>
      <c r="AI6" s="28">
        <f>'Header-CARER'!AE3</f>
        <v>80.400000000000006</v>
      </c>
      <c r="AJ6" s="28">
        <f>'Header-CARER'!AF3</f>
        <v>71.900000000000006</v>
      </c>
      <c r="AK6" s="28">
        <f>'Header-CARER'!AG3</f>
        <v>22</v>
      </c>
      <c r="AL6" s="28">
        <f>'Header-CARER'!AH3</f>
        <v>87.1</v>
      </c>
      <c r="AM6" s="28">
        <f>'Header-CARER'!AI3</f>
        <v>58.3</v>
      </c>
      <c r="AN6" s="28">
        <f>'Header-CARER'!AJ3</f>
        <v>35.6</v>
      </c>
      <c r="AO6" s="28">
        <f>'Header-CARER'!AK3</f>
        <v>71</v>
      </c>
      <c r="AP6" s="28">
        <f>'Header-CARER'!AL3</f>
        <v>58.9</v>
      </c>
      <c r="AQ6" s="28">
        <f>'Header-CARER'!AM3</f>
        <v>35.9</v>
      </c>
      <c r="AR6" s="28">
        <f>'Header-CARER'!AN3</f>
        <v>71</v>
      </c>
      <c r="AS6" s="28">
        <f>'Header-CARER'!AO3</f>
        <v>58.9</v>
      </c>
      <c r="AT6" s="28">
        <f>'Header-CARER'!AP3</f>
        <v>35.9</v>
      </c>
      <c r="AU6" s="28">
        <f>'Header-CARER'!AQ3</f>
        <v>71</v>
      </c>
      <c r="AV6" s="28">
        <f>'Header-CARER'!AR3</f>
        <v>65.5</v>
      </c>
      <c r="AW6" s="28">
        <f>'Header-CARER'!AS3</f>
        <v>16</v>
      </c>
    </row>
    <row r="7" spans="1:49" ht="15.75" customHeight="1" x14ac:dyDescent="0.25">
      <c r="A7" s="13" t="str">
        <f>Header!B16</f>
        <v>MAIT</v>
      </c>
      <c r="C7" s="13"/>
      <c r="D7" s="41">
        <f>SUM(H8:AW8)</f>
        <v>-263.49999999999994</v>
      </c>
      <c r="E7" s="41">
        <f>SUM(H9:AW9)</f>
        <v>19.600000000000001</v>
      </c>
      <c r="G7" s="50" t="str">
        <f>'Header-RN'!B4</f>
        <v>Initial DA Gap</v>
      </c>
      <c r="H7" s="29">
        <f>'Header-CARER'!D4</f>
        <v>-0.7</v>
      </c>
      <c r="I7" s="29">
        <f>'Header-CARER'!E4</f>
        <v>-2.8</v>
      </c>
      <c r="J7" s="29">
        <f>'Header-CARER'!F4</f>
        <v>-1.2</v>
      </c>
      <c r="K7" s="29">
        <f>'Header-CARER'!G4</f>
        <v>0</v>
      </c>
      <c r="L7" s="29">
        <f>'Header-CARER'!H4</f>
        <v>4</v>
      </c>
      <c r="M7" s="29">
        <f>'Header-CARER'!I4</f>
        <v>-1.2</v>
      </c>
      <c r="N7" s="29">
        <f>'Header-CARER'!J4</f>
        <v>-7.1</v>
      </c>
      <c r="O7" s="29">
        <f>'Header-CARER'!K4</f>
        <v>4</v>
      </c>
      <c r="P7" s="29">
        <f>'Header-CARER'!L4</f>
        <v>-8.1</v>
      </c>
      <c r="Q7" s="29">
        <f>'Header-CARER'!M4</f>
        <v>-0.2</v>
      </c>
      <c r="R7" s="29">
        <f>'Header-CARER'!N4</f>
        <v>4</v>
      </c>
      <c r="S7" s="29">
        <f>'Header-CARER'!O4</f>
        <v>-15</v>
      </c>
      <c r="T7" s="29">
        <f>'Header-CARER'!P4</f>
        <v>-31.2</v>
      </c>
      <c r="U7" s="29">
        <f>'Header-CARER'!Q4</f>
        <v>-9.4</v>
      </c>
      <c r="V7" s="29">
        <f>'Header-CARER'!R4</f>
        <v>-8.1</v>
      </c>
      <c r="W7" s="29">
        <f>'Header-CARER'!S4</f>
        <v>-9.6</v>
      </c>
      <c r="X7" s="29">
        <f>'Header-CARER'!T4</f>
        <v>-2.8</v>
      </c>
      <c r="Y7" s="29">
        <f>'Header-CARER'!U4</f>
        <v>-8.1</v>
      </c>
      <c r="Z7" s="29">
        <f>'Header-CARER'!V4</f>
        <v>-9.6</v>
      </c>
      <c r="AA7" s="29">
        <f>'Header-CARER'!W4</f>
        <v>-2.8</v>
      </c>
      <c r="AB7" s="29">
        <f>'Header-CARER'!X4</f>
        <v>-8.1</v>
      </c>
      <c r="AC7" s="29">
        <f>'Header-CARER'!Y4</f>
        <v>-2.4</v>
      </c>
      <c r="AD7" s="29">
        <f>'Header-CARER'!Z4</f>
        <v>-2.8</v>
      </c>
      <c r="AE7" s="29">
        <f>'Header-CARER'!AA4</f>
        <v>-1.2</v>
      </c>
      <c r="AF7" s="29">
        <f>'Header-CARER'!AB4</f>
        <v>0</v>
      </c>
      <c r="AG7" s="29">
        <f>'Header-CARER'!AC4</f>
        <v>4</v>
      </c>
      <c r="AH7" s="29">
        <f>'Header-CARER'!AD4</f>
        <v>-1.2</v>
      </c>
      <c r="AI7" s="29">
        <f>'Header-CARER'!AE4</f>
        <v>-7.1</v>
      </c>
      <c r="AJ7" s="29">
        <f>'Header-CARER'!AF4</f>
        <v>3.6</v>
      </c>
      <c r="AK7" s="29">
        <f>'Header-CARER'!AG4</f>
        <v>-15</v>
      </c>
      <c r="AL7" s="29">
        <f>'Header-CARER'!AH4</f>
        <v>-0.4</v>
      </c>
      <c r="AM7" s="29">
        <f>'Header-CARER'!AI4</f>
        <v>-10</v>
      </c>
      <c r="AN7" s="29">
        <f>'Header-CARER'!AJ4</f>
        <v>-1.4</v>
      </c>
      <c r="AO7" s="29">
        <f>'Header-CARER'!AK4</f>
        <v>-16.5</v>
      </c>
      <c r="AP7" s="29">
        <f>'Header-CARER'!AL4</f>
        <v>-9.4</v>
      </c>
      <c r="AQ7" s="29">
        <f>'Header-CARER'!AM4</f>
        <v>-1.2</v>
      </c>
      <c r="AR7" s="29">
        <f>'Header-CARER'!AN4</f>
        <v>-16.5</v>
      </c>
      <c r="AS7" s="29">
        <f>'Header-CARER'!AO4</f>
        <v>-9.4</v>
      </c>
      <c r="AT7" s="29">
        <f>'Header-CARER'!AP4</f>
        <v>-1.2</v>
      </c>
      <c r="AU7" s="29">
        <f>'Header-CARER'!AQ4</f>
        <v>-18.100000000000001</v>
      </c>
      <c r="AV7" s="29">
        <f>'Header-CARER'!AR4</f>
        <v>-2.8</v>
      </c>
      <c r="AW7" s="29">
        <f>'Header-CARER'!AS4</f>
        <v>-20.9</v>
      </c>
    </row>
    <row r="8" spans="1:49" ht="15.75" hidden="1" customHeight="1" x14ac:dyDescent="0.25">
      <c r="A8" s="13"/>
      <c r="C8" s="13"/>
      <c r="D8" s="41"/>
      <c r="E8" s="41"/>
      <c r="G8" s="50"/>
      <c r="H8" s="29">
        <f>IF(H7&lt;0,H7,"")</f>
        <v>-0.7</v>
      </c>
      <c r="I8" s="29">
        <f t="shared" ref="I8:AW8" si="0">IF(I7&lt;0,I7,"")</f>
        <v>-2.8</v>
      </c>
      <c r="J8" s="29">
        <f t="shared" si="0"/>
        <v>-1.2</v>
      </c>
      <c r="K8" s="29" t="str">
        <f t="shared" si="0"/>
        <v/>
      </c>
      <c r="L8" s="29" t="str">
        <f t="shared" si="0"/>
        <v/>
      </c>
      <c r="M8" s="29">
        <f t="shared" si="0"/>
        <v>-1.2</v>
      </c>
      <c r="N8" s="29">
        <f t="shared" si="0"/>
        <v>-7.1</v>
      </c>
      <c r="O8" s="29" t="str">
        <f t="shared" si="0"/>
        <v/>
      </c>
      <c r="P8" s="29">
        <f t="shared" si="0"/>
        <v>-8.1</v>
      </c>
      <c r="Q8" s="29">
        <f t="shared" si="0"/>
        <v>-0.2</v>
      </c>
      <c r="R8" s="29" t="str">
        <f t="shared" si="0"/>
        <v/>
      </c>
      <c r="S8" s="29">
        <f t="shared" si="0"/>
        <v>-15</v>
      </c>
      <c r="T8" s="29">
        <f t="shared" si="0"/>
        <v>-31.2</v>
      </c>
      <c r="U8" s="29">
        <f t="shared" si="0"/>
        <v>-9.4</v>
      </c>
      <c r="V8" s="29">
        <f t="shared" si="0"/>
        <v>-8.1</v>
      </c>
      <c r="W8" s="29">
        <f t="shared" si="0"/>
        <v>-9.6</v>
      </c>
      <c r="X8" s="29">
        <f t="shared" si="0"/>
        <v>-2.8</v>
      </c>
      <c r="Y8" s="29">
        <f t="shared" si="0"/>
        <v>-8.1</v>
      </c>
      <c r="Z8" s="29">
        <f t="shared" si="0"/>
        <v>-9.6</v>
      </c>
      <c r="AA8" s="29">
        <f t="shared" si="0"/>
        <v>-2.8</v>
      </c>
      <c r="AB8" s="29">
        <f t="shared" si="0"/>
        <v>-8.1</v>
      </c>
      <c r="AC8" s="29">
        <f t="shared" si="0"/>
        <v>-2.4</v>
      </c>
      <c r="AD8" s="29">
        <f t="shared" si="0"/>
        <v>-2.8</v>
      </c>
      <c r="AE8" s="29">
        <f t="shared" si="0"/>
        <v>-1.2</v>
      </c>
      <c r="AF8" s="29" t="str">
        <f t="shared" si="0"/>
        <v/>
      </c>
      <c r="AG8" s="29" t="str">
        <f t="shared" si="0"/>
        <v/>
      </c>
      <c r="AH8" s="29">
        <f t="shared" si="0"/>
        <v>-1.2</v>
      </c>
      <c r="AI8" s="29">
        <f t="shared" si="0"/>
        <v>-7.1</v>
      </c>
      <c r="AJ8" s="29" t="str">
        <f t="shared" si="0"/>
        <v/>
      </c>
      <c r="AK8" s="29">
        <f t="shared" si="0"/>
        <v>-15</v>
      </c>
      <c r="AL8" s="29">
        <f t="shared" si="0"/>
        <v>-0.4</v>
      </c>
      <c r="AM8" s="29">
        <f t="shared" si="0"/>
        <v>-10</v>
      </c>
      <c r="AN8" s="29">
        <f t="shared" si="0"/>
        <v>-1.4</v>
      </c>
      <c r="AO8" s="29">
        <f t="shared" si="0"/>
        <v>-16.5</v>
      </c>
      <c r="AP8" s="29">
        <f t="shared" si="0"/>
        <v>-9.4</v>
      </c>
      <c r="AQ8" s="29">
        <f t="shared" si="0"/>
        <v>-1.2</v>
      </c>
      <c r="AR8" s="29">
        <f t="shared" si="0"/>
        <v>-16.5</v>
      </c>
      <c r="AS8" s="29">
        <f t="shared" si="0"/>
        <v>-9.4</v>
      </c>
      <c r="AT8" s="29">
        <f t="shared" si="0"/>
        <v>-1.2</v>
      </c>
      <c r="AU8" s="29">
        <f t="shared" si="0"/>
        <v>-18.100000000000001</v>
      </c>
      <c r="AV8" s="29">
        <f t="shared" si="0"/>
        <v>-2.8</v>
      </c>
      <c r="AW8" s="29">
        <f t="shared" si="0"/>
        <v>-20.9</v>
      </c>
    </row>
    <row r="9" spans="1:49" ht="15.75" hidden="1" customHeight="1" x14ac:dyDescent="0.25">
      <c r="A9" s="13"/>
      <c r="C9" s="13"/>
      <c r="D9" s="41"/>
      <c r="E9" s="41"/>
      <c r="G9" s="50"/>
      <c r="H9" s="29" t="str">
        <f>IF(H7&gt;0,H7,"")</f>
        <v/>
      </c>
      <c r="I9" s="29" t="str">
        <f t="shared" ref="I9:AW9" si="1">IF(I7&gt;0,I7,"")</f>
        <v/>
      </c>
      <c r="J9" s="29" t="str">
        <f t="shared" si="1"/>
        <v/>
      </c>
      <c r="K9" s="29" t="str">
        <f t="shared" si="1"/>
        <v/>
      </c>
      <c r="L9" s="29">
        <f t="shared" si="1"/>
        <v>4</v>
      </c>
      <c r="M9" s="29" t="str">
        <f t="shared" si="1"/>
        <v/>
      </c>
      <c r="N9" s="29" t="str">
        <f t="shared" si="1"/>
        <v/>
      </c>
      <c r="O9" s="29">
        <f t="shared" si="1"/>
        <v>4</v>
      </c>
      <c r="P9" s="29" t="str">
        <f t="shared" si="1"/>
        <v/>
      </c>
      <c r="Q9" s="29" t="str">
        <f t="shared" si="1"/>
        <v/>
      </c>
      <c r="R9" s="29">
        <f t="shared" si="1"/>
        <v>4</v>
      </c>
      <c r="S9" s="29" t="str">
        <f t="shared" si="1"/>
        <v/>
      </c>
      <c r="T9" s="29" t="str">
        <f t="shared" si="1"/>
        <v/>
      </c>
      <c r="U9" s="29" t="str">
        <f t="shared" si="1"/>
        <v/>
      </c>
      <c r="V9" s="29" t="str">
        <f t="shared" si="1"/>
        <v/>
      </c>
      <c r="W9" s="29" t="str">
        <f t="shared" si="1"/>
        <v/>
      </c>
      <c r="X9" s="29" t="str">
        <f t="shared" si="1"/>
        <v/>
      </c>
      <c r="Y9" s="29" t="str">
        <f t="shared" si="1"/>
        <v/>
      </c>
      <c r="Z9" s="29" t="str">
        <f t="shared" si="1"/>
        <v/>
      </c>
      <c r="AA9" s="29" t="str">
        <f t="shared" si="1"/>
        <v/>
      </c>
      <c r="AB9" s="29" t="str">
        <f t="shared" si="1"/>
        <v/>
      </c>
      <c r="AC9" s="29" t="str">
        <f t="shared" si="1"/>
        <v/>
      </c>
      <c r="AD9" s="29" t="str">
        <f t="shared" si="1"/>
        <v/>
      </c>
      <c r="AE9" s="29" t="str">
        <f t="shared" si="1"/>
        <v/>
      </c>
      <c r="AF9" s="29" t="str">
        <f t="shared" si="1"/>
        <v/>
      </c>
      <c r="AG9" s="29">
        <f t="shared" si="1"/>
        <v>4</v>
      </c>
      <c r="AH9" s="29" t="str">
        <f t="shared" si="1"/>
        <v/>
      </c>
      <c r="AI9" s="29" t="str">
        <f t="shared" si="1"/>
        <v/>
      </c>
      <c r="AJ9" s="29">
        <f t="shared" si="1"/>
        <v>3.6</v>
      </c>
      <c r="AK9" s="29" t="str">
        <f t="shared" si="1"/>
        <v/>
      </c>
      <c r="AL9" s="29" t="str">
        <f t="shared" si="1"/>
        <v/>
      </c>
      <c r="AM9" s="29" t="str">
        <f t="shared" si="1"/>
        <v/>
      </c>
      <c r="AN9" s="29" t="str">
        <f t="shared" si="1"/>
        <v/>
      </c>
      <c r="AO9" s="29" t="str">
        <f t="shared" si="1"/>
        <v/>
      </c>
      <c r="AP9" s="29" t="str">
        <f t="shared" si="1"/>
        <v/>
      </c>
      <c r="AQ9" s="29" t="str">
        <f t="shared" si="1"/>
        <v/>
      </c>
      <c r="AR9" s="29" t="str">
        <f t="shared" si="1"/>
        <v/>
      </c>
      <c r="AS9" s="29" t="str">
        <f t="shared" si="1"/>
        <v/>
      </c>
      <c r="AT9" s="29" t="str">
        <f t="shared" si="1"/>
        <v/>
      </c>
      <c r="AU9" s="29" t="str">
        <f t="shared" si="1"/>
        <v/>
      </c>
      <c r="AV9" s="29" t="str">
        <f t="shared" si="1"/>
        <v/>
      </c>
      <c r="AW9" s="29" t="str">
        <f t="shared" si="1"/>
        <v/>
      </c>
    </row>
    <row r="10" spans="1:49" ht="15.75" customHeight="1" x14ac:dyDescent="0.25">
      <c r="A10" s="13"/>
      <c r="C10" s="13"/>
      <c r="D10" s="12"/>
      <c r="E10" s="12"/>
      <c r="G10" s="50" t="s">
        <v>118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</row>
    <row r="11" spans="1:49" ht="15.75" customHeight="1" x14ac:dyDescent="0.25">
      <c r="A11" s="13"/>
      <c r="C11" s="13"/>
      <c r="D11" s="42">
        <f>D7-D12</f>
        <v>-106.1999999999999</v>
      </c>
      <c r="E11" s="42">
        <f>E7-E12</f>
        <v>-15</v>
      </c>
      <c r="G11" s="50" t="s">
        <v>119</v>
      </c>
      <c r="H11" s="29">
        <f>SUM(Table314[2])/UNIT</f>
        <v>0</v>
      </c>
      <c r="I11" s="29">
        <f>SUM(Table314[3])/UNIT</f>
        <v>3</v>
      </c>
      <c r="J11" s="29">
        <f>SUM(Table314[4])/UNIT</f>
        <v>0</v>
      </c>
      <c r="K11" s="29">
        <f>SUM(Table314[5])/UNIT</f>
        <v>0</v>
      </c>
      <c r="L11" s="29">
        <f>SUM(Table314[6])/UNIT</f>
        <v>-1.5</v>
      </c>
      <c r="M11" s="29">
        <f>SUM(Table314[7])/UNIT</f>
        <v>0</v>
      </c>
      <c r="N11" s="29">
        <f>SUM(Table314[8])/UNIT</f>
        <v>7.8</v>
      </c>
      <c r="O11" s="29">
        <f>SUM(Table314[9])/UNIT</f>
        <v>-8.8000000000000007</v>
      </c>
      <c r="P11" s="29">
        <f>SUM(Table314[10])/UNIT</f>
        <v>7.8999999999999995</v>
      </c>
      <c r="Q11" s="29">
        <f>SUM(Table314[11])/UNIT</f>
        <v>8.8000000000000007</v>
      </c>
      <c r="R11" s="29">
        <f>SUM(Table314[12])/UNIT</f>
        <v>0</v>
      </c>
      <c r="S11" s="29">
        <f>SUM(Table314[13])/UNIT</f>
        <v>0</v>
      </c>
      <c r="T11" s="29">
        <f>SUM(Table314[14])/UNIT</f>
        <v>23.4</v>
      </c>
      <c r="U11" s="29">
        <f>SUM(Table314[15])/UNIT</f>
        <v>9.5</v>
      </c>
      <c r="V11" s="29">
        <f>SUM(Table314[16])/UNIT</f>
        <v>0.5</v>
      </c>
      <c r="W11" s="29">
        <f>SUM(Table314[17])/UNIT</f>
        <v>7.2</v>
      </c>
      <c r="X11" s="29">
        <f>SUM(Table314[18])/UNIT</f>
        <v>0</v>
      </c>
      <c r="Y11" s="29">
        <f>SUM(Table314[19])/UNIT</f>
        <v>0</v>
      </c>
      <c r="Z11" s="29">
        <f>SUM(Table314[20])/UNIT</f>
        <v>7.2</v>
      </c>
      <c r="AA11" s="29">
        <f>SUM(Table314[21])/UNIT</f>
        <v>0</v>
      </c>
      <c r="AB11" s="29">
        <f>SUM(Table314[22])/UNIT</f>
        <v>0</v>
      </c>
      <c r="AC11" s="29">
        <f>SUM(Table314[23])/UNIT</f>
        <v>0</v>
      </c>
      <c r="AD11" s="29">
        <f>SUM(Table314[24])/UNIT</f>
        <v>0</v>
      </c>
      <c r="AE11" s="29">
        <f>SUM(Table314[25])/UNIT</f>
        <v>0</v>
      </c>
      <c r="AF11" s="29">
        <f>SUM(Table314[26])/UNIT</f>
        <v>0</v>
      </c>
      <c r="AG11" s="29">
        <f>SUM(Table314[27])/UNIT</f>
        <v>0</v>
      </c>
      <c r="AH11" s="29">
        <f>SUM(Table314[28])/UNIT</f>
        <v>0</v>
      </c>
      <c r="AI11" s="29">
        <f>SUM(Table314[29])/UNIT</f>
        <v>7.8</v>
      </c>
      <c r="AJ11" s="29">
        <f>SUM(Table314[30])/UNIT</f>
        <v>7.1</v>
      </c>
      <c r="AK11" s="29">
        <f>SUM(Table314[31])/UNIT</f>
        <v>0.7</v>
      </c>
      <c r="AL11" s="29">
        <f>SUM(Table314[32])/UNIT</f>
        <v>0</v>
      </c>
      <c r="AM11" s="29">
        <f>SUM(Table314[33])/UNIT</f>
        <v>13.100000000000001</v>
      </c>
      <c r="AN11" s="29">
        <f>SUM(Table314[34])/UNIT</f>
        <v>0</v>
      </c>
      <c r="AO11" s="29">
        <f>SUM(Table314[35])/UNIT</f>
        <v>9.5</v>
      </c>
      <c r="AP11" s="29">
        <f>SUM(Table314[36])/UNIT</f>
        <v>0</v>
      </c>
      <c r="AQ11" s="29">
        <f>SUM(Table314[37])/UNIT</f>
        <v>0</v>
      </c>
      <c r="AR11" s="29">
        <f>SUM(Table314[38])/UNIT</f>
        <v>10.600000000000001</v>
      </c>
      <c r="AS11" s="29">
        <f>SUM(Table314[39])/UNIT</f>
        <v>0</v>
      </c>
      <c r="AT11" s="29">
        <f>SUM(Table314[40])/UNIT</f>
        <v>0</v>
      </c>
      <c r="AU11" s="29">
        <f>SUM(Table314[41])/UNIT</f>
        <v>7.4</v>
      </c>
      <c r="AV11" s="29">
        <f>SUM(Table314[42])/UNIT</f>
        <v>0</v>
      </c>
      <c r="AW11" s="29">
        <f>SUM(Table314[43])/UNIT</f>
        <v>0</v>
      </c>
    </row>
    <row r="12" spans="1:49" ht="15.75" customHeight="1" x14ac:dyDescent="0.25">
      <c r="A12" s="13"/>
      <c r="C12" s="13"/>
      <c r="D12" s="42">
        <f>SUM(H13:AW13)</f>
        <v>-157.30000000000004</v>
      </c>
      <c r="E12" s="42">
        <f>SUM(H14:AW14)</f>
        <v>34.6</v>
      </c>
      <c r="G12" s="50" t="s">
        <v>120</v>
      </c>
      <c r="H12" s="29">
        <f t="shared" ref="H12:AW12" si="2">H7+H11</f>
        <v>-0.7</v>
      </c>
      <c r="I12" s="29">
        <f t="shared" si="2"/>
        <v>0.20000000000000018</v>
      </c>
      <c r="J12" s="29">
        <f t="shared" si="2"/>
        <v>-1.2</v>
      </c>
      <c r="K12" s="29">
        <f t="shared" si="2"/>
        <v>0</v>
      </c>
      <c r="L12" s="29">
        <f t="shared" si="2"/>
        <v>2.5</v>
      </c>
      <c r="M12" s="29">
        <f t="shared" si="2"/>
        <v>-1.2</v>
      </c>
      <c r="N12" s="29">
        <f t="shared" si="2"/>
        <v>0.70000000000000018</v>
      </c>
      <c r="O12" s="29">
        <f t="shared" si="2"/>
        <v>-4.8000000000000007</v>
      </c>
      <c r="P12" s="29">
        <f t="shared" si="2"/>
        <v>-0.20000000000000018</v>
      </c>
      <c r="Q12" s="29">
        <f t="shared" si="2"/>
        <v>8.6000000000000014</v>
      </c>
      <c r="R12" s="29">
        <f t="shared" si="2"/>
        <v>4</v>
      </c>
      <c r="S12" s="29">
        <f t="shared" si="2"/>
        <v>-15</v>
      </c>
      <c r="T12" s="29">
        <f t="shared" si="2"/>
        <v>-7.8000000000000007</v>
      </c>
      <c r="U12" s="29">
        <f t="shared" si="2"/>
        <v>9.9999999999999645E-2</v>
      </c>
      <c r="V12" s="29">
        <f t="shared" si="2"/>
        <v>-7.6</v>
      </c>
      <c r="W12" s="29">
        <f t="shared" si="2"/>
        <v>-2.3999999999999995</v>
      </c>
      <c r="X12" s="29">
        <f t="shared" si="2"/>
        <v>-2.8</v>
      </c>
      <c r="Y12" s="29">
        <f t="shared" si="2"/>
        <v>-8.1</v>
      </c>
      <c r="Z12" s="29">
        <f t="shared" si="2"/>
        <v>-2.3999999999999995</v>
      </c>
      <c r="AA12" s="29">
        <f t="shared" si="2"/>
        <v>-2.8</v>
      </c>
      <c r="AB12" s="29">
        <f t="shared" si="2"/>
        <v>-8.1</v>
      </c>
      <c r="AC12" s="29">
        <f t="shared" si="2"/>
        <v>-2.4</v>
      </c>
      <c r="AD12" s="29">
        <f t="shared" si="2"/>
        <v>-2.8</v>
      </c>
      <c r="AE12" s="29">
        <f t="shared" si="2"/>
        <v>-1.2</v>
      </c>
      <c r="AF12" s="29">
        <f t="shared" si="2"/>
        <v>0</v>
      </c>
      <c r="AG12" s="29">
        <f t="shared" si="2"/>
        <v>4</v>
      </c>
      <c r="AH12" s="29">
        <f t="shared" si="2"/>
        <v>-1.2</v>
      </c>
      <c r="AI12" s="29">
        <f t="shared" si="2"/>
        <v>0.70000000000000018</v>
      </c>
      <c r="AJ12" s="29">
        <f t="shared" si="2"/>
        <v>10.7</v>
      </c>
      <c r="AK12" s="29">
        <f t="shared" si="2"/>
        <v>-14.3</v>
      </c>
      <c r="AL12" s="29">
        <f t="shared" si="2"/>
        <v>-0.4</v>
      </c>
      <c r="AM12" s="29">
        <f t="shared" si="2"/>
        <v>3.1000000000000014</v>
      </c>
      <c r="AN12" s="29">
        <f t="shared" si="2"/>
        <v>-1.4</v>
      </c>
      <c r="AO12" s="29">
        <f t="shared" si="2"/>
        <v>-7</v>
      </c>
      <c r="AP12" s="29">
        <f t="shared" si="2"/>
        <v>-9.4</v>
      </c>
      <c r="AQ12" s="29">
        <f t="shared" si="2"/>
        <v>-1.2</v>
      </c>
      <c r="AR12" s="29">
        <f t="shared" si="2"/>
        <v>-5.8999999999999986</v>
      </c>
      <c r="AS12" s="29">
        <f t="shared" si="2"/>
        <v>-9.4</v>
      </c>
      <c r="AT12" s="29">
        <f t="shared" si="2"/>
        <v>-1.2</v>
      </c>
      <c r="AU12" s="29">
        <f t="shared" si="2"/>
        <v>-10.700000000000001</v>
      </c>
      <c r="AV12" s="29">
        <f t="shared" si="2"/>
        <v>-2.8</v>
      </c>
      <c r="AW12" s="29">
        <f t="shared" si="2"/>
        <v>-20.9</v>
      </c>
    </row>
    <row r="13" spans="1:49" ht="15.75" hidden="1" customHeight="1" x14ac:dyDescent="0.25">
      <c r="A13" s="13"/>
      <c r="B13" s="13"/>
      <c r="C13" s="13"/>
      <c r="D13" s="35"/>
      <c r="G13" s="13"/>
      <c r="H13" s="29">
        <f>IF(H12&lt;0,H12,"")</f>
        <v>-0.7</v>
      </c>
      <c r="I13" s="29" t="str">
        <f t="shared" ref="I13:AW13" si="3">IF(I12&lt;0,I12,"")</f>
        <v/>
      </c>
      <c r="J13" s="29">
        <f t="shared" si="3"/>
        <v>-1.2</v>
      </c>
      <c r="K13" s="29" t="str">
        <f t="shared" si="3"/>
        <v/>
      </c>
      <c r="L13" s="29" t="str">
        <f t="shared" si="3"/>
        <v/>
      </c>
      <c r="M13" s="29">
        <f t="shared" si="3"/>
        <v>-1.2</v>
      </c>
      <c r="N13" s="29" t="str">
        <f t="shared" si="3"/>
        <v/>
      </c>
      <c r="O13" s="29">
        <f t="shared" si="3"/>
        <v>-4.8000000000000007</v>
      </c>
      <c r="P13" s="29">
        <f t="shared" si="3"/>
        <v>-0.20000000000000018</v>
      </c>
      <c r="Q13" s="29" t="str">
        <f t="shared" si="3"/>
        <v/>
      </c>
      <c r="R13" s="29" t="str">
        <f t="shared" si="3"/>
        <v/>
      </c>
      <c r="S13" s="29">
        <f t="shared" si="3"/>
        <v>-15</v>
      </c>
      <c r="T13" s="29">
        <f t="shared" si="3"/>
        <v>-7.8000000000000007</v>
      </c>
      <c r="U13" s="29" t="str">
        <f t="shared" si="3"/>
        <v/>
      </c>
      <c r="V13" s="29">
        <f t="shared" si="3"/>
        <v>-7.6</v>
      </c>
      <c r="W13" s="29">
        <f t="shared" si="3"/>
        <v>-2.3999999999999995</v>
      </c>
      <c r="X13" s="29">
        <f t="shared" si="3"/>
        <v>-2.8</v>
      </c>
      <c r="Y13" s="29">
        <f t="shared" si="3"/>
        <v>-8.1</v>
      </c>
      <c r="Z13" s="29">
        <f t="shared" si="3"/>
        <v>-2.3999999999999995</v>
      </c>
      <c r="AA13" s="29">
        <f t="shared" si="3"/>
        <v>-2.8</v>
      </c>
      <c r="AB13" s="29">
        <f t="shared" si="3"/>
        <v>-8.1</v>
      </c>
      <c r="AC13" s="29">
        <f t="shared" si="3"/>
        <v>-2.4</v>
      </c>
      <c r="AD13" s="29">
        <f t="shared" si="3"/>
        <v>-2.8</v>
      </c>
      <c r="AE13" s="29">
        <f t="shared" si="3"/>
        <v>-1.2</v>
      </c>
      <c r="AF13" s="29" t="str">
        <f t="shared" si="3"/>
        <v/>
      </c>
      <c r="AG13" s="29" t="str">
        <f t="shared" si="3"/>
        <v/>
      </c>
      <c r="AH13" s="29">
        <f t="shared" si="3"/>
        <v>-1.2</v>
      </c>
      <c r="AI13" s="29" t="str">
        <f t="shared" si="3"/>
        <v/>
      </c>
      <c r="AJ13" s="29" t="str">
        <f t="shared" si="3"/>
        <v/>
      </c>
      <c r="AK13" s="29">
        <f t="shared" si="3"/>
        <v>-14.3</v>
      </c>
      <c r="AL13" s="29">
        <f t="shared" si="3"/>
        <v>-0.4</v>
      </c>
      <c r="AM13" s="29" t="str">
        <f t="shared" si="3"/>
        <v/>
      </c>
      <c r="AN13" s="29">
        <f t="shared" si="3"/>
        <v>-1.4</v>
      </c>
      <c r="AO13" s="29">
        <f t="shared" si="3"/>
        <v>-7</v>
      </c>
      <c r="AP13" s="29">
        <f t="shared" si="3"/>
        <v>-9.4</v>
      </c>
      <c r="AQ13" s="29">
        <f t="shared" si="3"/>
        <v>-1.2</v>
      </c>
      <c r="AR13" s="29">
        <f t="shared" si="3"/>
        <v>-5.8999999999999986</v>
      </c>
      <c r="AS13" s="29">
        <f t="shared" si="3"/>
        <v>-9.4</v>
      </c>
      <c r="AT13" s="29">
        <f t="shared" si="3"/>
        <v>-1.2</v>
      </c>
      <c r="AU13" s="29">
        <f t="shared" si="3"/>
        <v>-10.700000000000001</v>
      </c>
      <c r="AV13" s="29">
        <f t="shared" si="3"/>
        <v>-2.8</v>
      </c>
      <c r="AW13" s="29">
        <f t="shared" si="3"/>
        <v>-20.9</v>
      </c>
    </row>
    <row r="14" spans="1:49" ht="15.75" hidden="1" customHeight="1" x14ac:dyDescent="0.25">
      <c r="A14" s="13"/>
      <c r="B14" s="13"/>
      <c r="C14" s="13"/>
      <c r="D14" s="35"/>
      <c r="E14" s="35"/>
      <c r="F14" s="35"/>
      <c r="G14" s="13"/>
      <c r="H14" s="29" t="str">
        <f>IF(H12&gt;0,H12,"")</f>
        <v/>
      </c>
      <c r="I14" s="29">
        <f t="shared" ref="I14:AW14" si="4">IF(I12&gt;0,I12,"")</f>
        <v>0.20000000000000018</v>
      </c>
      <c r="J14" s="29" t="str">
        <f t="shared" si="4"/>
        <v/>
      </c>
      <c r="K14" s="29" t="str">
        <f t="shared" si="4"/>
        <v/>
      </c>
      <c r="L14" s="29">
        <f t="shared" si="4"/>
        <v>2.5</v>
      </c>
      <c r="M14" s="29" t="str">
        <f t="shared" si="4"/>
        <v/>
      </c>
      <c r="N14" s="29">
        <f t="shared" si="4"/>
        <v>0.70000000000000018</v>
      </c>
      <c r="O14" s="29" t="str">
        <f t="shared" si="4"/>
        <v/>
      </c>
      <c r="P14" s="29" t="str">
        <f t="shared" si="4"/>
        <v/>
      </c>
      <c r="Q14" s="29">
        <f t="shared" si="4"/>
        <v>8.6000000000000014</v>
      </c>
      <c r="R14" s="29">
        <f t="shared" si="4"/>
        <v>4</v>
      </c>
      <c r="S14" s="29" t="str">
        <f t="shared" si="4"/>
        <v/>
      </c>
      <c r="T14" s="29" t="str">
        <f t="shared" si="4"/>
        <v/>
      </c>
      <c r="U14" s="29">
        <f t="shared" si="4"/>
        <v>9.9999999999999645E-2</v>
      </c>
      <c r="V14" s="29" t="str">
        <f t="shared" si="4"/>
        <v/>
      </c>
      <c r="W14" s="29" t="str">
        <f t="shared" si="4"/>
        <v/>
      </c>
      <c r="X14" s="29" t="str">
        <f t="shared" si="4"/>
        <v/>
      </c>
      <c r="Y14" s="29" t="str">
        <f t="shared" si="4"/>
        <v/>
      </c>
      <c r="Z14" s="29" t="str">
        <f t="shared" si="4"/>
        <v/>
      </c>
      <c r="AA14" s="29" t="str">
        <f t="shared" si="4"/>
        <v/>
      </c>
      <c r="AB14" s="29" t="str">
        <f t="shared" si="4"/>
        <v/>
      </c>
      <c r="AC14" s="29" t="str">
        <f t="shared" si="4"/>
        <v/>
      </c>
      <c r="AD14" s="29" t="str">
        <f t="shared" si="4"/>
        <v/>
      </c>
      <c r="AE14" s="29" t="str">
        <f t="shared" si="4"/>
        <v/>
      </c>
      <c r="AF14" s="29" t="str">
        <f t="shared" si="4"/>
        <v/>
      </c>
      <c r="AG14" s="29">
        <f t="shared" si="4"/>
        <v>4</v>
      </c>
      <c r="AH14" s="29" t="str">
        <f t="shared" si="4"/>
        <v/>
      </c>
      <c r="AI14" s="29">
        <f t="shared" si="4"/>
        <v>0.70000000000000018</v>
      </c>
      <c r="AJ14" s="29">
        <f t="shared" si="4"/>
        <v>10.7</v>
      </c>
      <c r="AK14" s="29" t="str">
        <f t="shared" si="4"/>
        <v/>
      </c>
      <c r="AL14" s="29" t="str">
        <f t="shared" si="4"/>
        <v/>
      </c>
      <c r="AM14" s="29">
        <f t="shared" si="4"/>
        <v>3.1000000000000014</v>
      </c>
      <c r="AN14" s="29" t="str">
        <f t="shared" si="4"/>
        <v/>
      </c>
      <c r="AO14" s="29" t="str">
        <f t="shared" si="4"/>
        <v/>
      </c>
      <c r="AP14" s="29" t="str">
        <f t="shared" si="4"/>
        <v/>
      </c>
      <c r="AQ14" s="29" t="str">
        <f t="shared" si="4"/>
        <v/>
      </c>
      <c r="AR14" s="29" t="str">
        <f t="shared" si="4"/>
        <v/>
      </c>
      <c r="AS14" s="29" t="str">
        <f t="shared" si="4"/>
        <v/>
      </c>
      <c r="AT14" s="29" t="str">
        <f t="shared" si="4"/>
        <v/>
      </c>
      <c r="AU14" s="29" t="str">
        <f t="shared" si="4"/>
        <v/>
      </c>
      <c r="AV14" s="29" t="str">
        <f t="shared" si="4"/>
        <v/>
      </c>
      <c r="AW14" s="29" t="str">
        <f t="shared" si="4"/>
        <v/>
      </c>
    </row>
    <row r="15" spans="1:49" ht="15.75" customHeight="1" x14ac:dyDescent="0.25">
      <c r="A15" s="13"/>
      <c r="B15" s="13"/>
      <c r="C15" s="13"/>
      <c r="D15" s="35"/>
      <c r="G15" s="1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</row>
    <row r="16" spans="1:49" ht="15.75" customHeight="1" x14ac:dyDescent="0.25">
      <c r="A16" s="13"/>
      <c r="C16" s="13"/>
      <c r="D16" s="13"/>
      <c r="E16" s="13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 spans="1:50" s="22" customFormat="1" ht="37.5" customHeight="1" x14ac:dyDescent="0.25">
      <c r="A17"/>
      <c r="B17" s="32" t="s">
        <v>135</v>
      </c>
      <c r="C17" s="32" t="s">
        <v>74</v>
      </c>
      <c r="D17" s="32" t="s">
        <v>128</v>
      </c>
      <c r="E17" s="32" t="s">
        <v>129</v>
      </c>
      <c r="F17" s="32" t="s">
        <v>130</v>
      </c>
      <c r="G17" s="32" t="s">
        <v>131</v>
      </c>
      <c r="H17" s="23" t="s">
        <v>77</v>
      </c>
      <c r="I17" s="23" t="s">
        <v>78</v>
      </c>
      <c r="J17" s="23" t="s">
        <v>79</v>
      </c>
      <c r="K17" s="23" t="s">
        <v>80</v>
      </c>
      <c r="L17" s="23" t="s">
        <v>81</v>
      </c>
      <c r="M17" s="23" t="s">
        <v>82</v>
      </c>
      <c r="N17" s="23" t="s">
        <v>83</v>
      </c>
      <c r="O17" s="23" t="s">
        <v>84</v>
      </c>
      <c r="P17" s="23" t="s">
        <v>85</v>
      </c>
      <c r="Q17" s="23" t="s">
        <v>86</v>
      </c>
      <c r="R17" s="23" t="s">
        <v>87</v>
      </c>
      <c r="S17" s="23" t="s">
        <v>88</v>
      </c>
      <c r="T17" s="23" t="s">
        <v>89</v>
      </c>
      <c r="U17" s="23" t="s">
        <v>90</v>
      </c>
      <c r="V17" s="23" t="s">
        <v>91</v>
      </c>
      <c r="W17" s="23" t="s">
        <v>92</v>
      </c>
      <c r="X17" s="23" t="s">
        <v>93</v>
      </c>
      <c r="Y17" s="23" t="s">
        <v>94</v>
      </c>
      <c r="Z17" s="23" t="s">
        <v>95</v>
      </c>
      <c r="AA17" s="23" t="s">
        <v>96</v>
      </c>
      <c r="AB17" s="23" t="s">
        <v>97</v>
      </c>
      <c r="AC17" s="23" t="s">
        <v>98</v>
      </c>
      <c r="AD17" s="23" t="s">
        <v>99</v>
      </c>
      <c r="AE17" s="23" t="s">
        <v>100</v>
      </c>
      <c r="AF17" s="23" t="s">
        <v>101</v>
      </c>
      <c r="AG17" s="23" t="s">
        <v>102</v>
      </c>
      <c r="AH17" s="23" t="s">
        <v>103</v>
      </c>
      <c r="AI17" s="23" t="s">
        <v>104</v>
      </c>
      <c r="AJ17" s="23" t="s">
        <v>105</v>
      </c>
      <c r="AK17" s="23" t="s">
        <v>106</v>
      </c>
      <c r="AL17" s="23" t="s">
        <v>107</v>
      </c>
      <c r="AM17" s="23" t="s">
        <v>108</v>
      </c>
      <c r="AN17" s="23" t="s">
        <v>109</v>
      </c>
      <c r="AO17" s="23" t="s">
        <v>110</v>
      </c>
      <c r="AP17" s="23" t="s">
        <v>111</v>
      </c>
      <c r="AQ17" s="23" t="s">
        <v>112</v>
      </c>
      <c r="AR17" s="23" t="s">
        <v>113</v>
      </c>
      <c r="AS17" s="23" t="s">
        <v>114</v>
      </c>
      <c r="AT17" s="23" t="s">
        <v>115</v>
      </c>
      <c r="AU17" s="23" t="s">
        <v>116</v>
      </c>
      <c r="AV17" s="23" t="s">
        <v>117</v>
      </c>
      <c r="AW17" s="23" t="s">
        <v>140</v>
      </c>
    </row>
    <row r="18" spans="1:50" ht="15.75" customHeight="1" x14ac:dyDescent="0.25">
      <c r="A18" s="25" t="e">
        <f>'Residual-Rostered'!#REF!</f>
        <v>#REF!</v>
      </c>
      <c r="B18" s="33">
        <f>'Residual-RosteredMATRIX-CARER'!D51</f>
        <v>0</v>
      </c>
      <c r="C18" s="33">
        <f>'Residual-RosteredMATRIX-CARER'!C51</f>
        <v>0</v>
      </c>
      <c r="D18" s="34">
        <f>'Residual-RosteredMATRIX-RN'!D51</f>
        <v>0</v>
      </c>
      <c r="E18" s="14">
        <f>Max_HRS-Table314[[#This Row],[ROSTERED TIME]]</f>
        <v>76</v>
      </c>
      <c r="F18" s="14">
        <f t="shared" ref="F18:F49" si="5">SUM(H18:AV18)</f>
        <v>0</v>
      </c>
      <c r="G18" s="14">
        <f>Table314[[#This Row],[ROSTERED TIME]]+Table314[[#This Row],[CHANGE TIME]]</f>
        <v>0</v>
      </c>
      <c r="H18" s="25" t="str">
        <f>IF('Residual-RosteredMATRIX-CARER'!F51=0,"",'Residual-RosteredMATRIX-CARER'!F51)</f>
        <v/>
      </c>
      <c r="I18" s="25" t="str">
        <f>IF('Residual-RosteredMATRIX-CARER'!G51=0,"",'Residual-RosteredMATRIX-CARER'!G51)</f>
        <v/>
      </c>
      <c r="J18" s="25" t="str">
        <f>IF('Residual-RosteredMATRIX-CARER'!H51=0,"",'Residual-RosteredMATRIX-CARER'!H51)</f>
        <v/>
      </c>
      <c r="K18" s="25" t="str">
        <f>IF('Residual-RosteredMATRIX-CARER'!I51=0,"",'Residual-RosteredMATRIX-CARER'!I51)</f>
        <v/>
      </c>
      <c r="L18" s="25" t="str">
        <f>IF('Residual-RosteredMATRIX-CARER'!J51=0,"",'Residual-RosteredMATRIX-CARER'!J51)</f>
        <v/>
      </c>
      <c r="M18" s="25" t="str">
        <f>IF('Residual-RosteredMATRIX-CARER'!K51=0,"",'Residual-RosteredMATRIX-CARER'!K51)</f>
        <v/>
      </c>
      <c r="N18" s="25" t="str">
        <f>IF('Residual-RosteredMATRIX-CARER'!L51=0,"",'Residual-RosteredMATRIX-CARER'!L51)</f>
        <v/>
      </c>
      <c r="O18" s="25" t="str">
        <f>IF('Residual-RosteredMATRIX-CARER'!M51=0,"",'Residual-RosteredMATRIX-CARER'!M51)</f>
        <v/>
      </c>
      <c r="P18" s="25" t="str">
        <f>IF('Residual-RosteredMATRIX-CARER'!N51=0,"",'Residual-RosteredMATRIX-CARER'!N51)</f>
        <v/>
      </c>
      <c r="Q18" s="25" t="str">
        <f>IF('Residual-RosteredMATRIX-CARER'!O51=0,"",'Residual-RosteredMATRIX-CARER'!O51)</f>
        <v/>
      </c>
      <c r="R18" s="25" t="str">
        <f>IF('Residual-RosteredMATRIX-CARER'!P51=0,"",'Residual-RosteredMATRIX-CARER'!P51)</f>
        <v/>
      </c>
      <c r="S18" s="25" t="str">
        <f>IF('Residual-RosteredMATRIX-CARER'!Q51=0,"",'Residual-RosteredMATRIX-CARER'!Q51)</f>
        <v/>
      </c>
      <c r="T18" s="25" t="str">
        <f>IF('Residual-RosteredMATRIX-CARER'!R51=0,"",'Residual-RosteredMATRIX-CARER'!R51)</f>
        <v/>
      </c>
      <c r="U18" s="25" t="str">
        <f>IF('Residual-RosteredMATRIX-CARER'!S51=0,"",'Residual-RosteredMATRIX-CARER'!S51)</f>
        <v/>
      </c>
      <c r="V18" s="25" t="str">
        <f>IF('Residual-RosteredMATRIX-CARER'!T51=0,"",'Residual-RosteredMATRIX-CARER'!T51)</f>
        <v/>
      </c>
      <c r="W18" s="25" t="str">
        <f>IF('Residual-RosteredMATRIX-CARER'!U51=0,"",'Residual-RosteredMATRIX-CARER'!U51)</f>
        <v/>
      </c>
      <c r="X18" s="25" t="str">
        <f>IF('Residual-RosteredMATRIX-CARER'!V51=0,"",'Residual-RosteredMATRIX-CARER'!V51)</f>
        <v/>
      </c>
      <c r="Y18" s="25" t="str">
        <f>IF('Residual-RosteredMATRIX-CARER'!W51=0,"",'Residual-RosteredMATRIX-CARER'!W51)</f>
        <v/>
      </c>
      <c r="Z18" s="25" t="str">
        <f>IF('Residual-RosteredMATRIX-CARER'!X51=0,"",'Residual-RosteredMATRIX-CARER'!X51)</f>
        <v/>
      </c>
      <c r="AA18" s="25" t="str">
        <f>IF('Residual-RosteredMATRIX-CARER'!Y51=0,"",'Residual-RosteredMATRIX-CARER'!Y51)</f>
        <v/>
      </c>
      <c r="AB18" s="25" t="str">
        <f>IF('Residual-RosteredMATRIX-CARER'!Z51=0,"",'Residual-RosteredMATRIX-CARER'!Z51)</f>
        <v/>
      </c>
      <c r="AC18" s="25" t="str">
        <f>IF('Residual-RosteredMATRIX-CARER'!AA51=0,"",'Residual-RosteredMATRIX-CARER'!AA51)</f>
        <v/>
      </c>
      <c r="AD18" s="25" t="str">
        <f>IF('Residual-RosteredMATRIX-CARER'!AB51=0,"",'Residual-RosteredMATRIX-CARER'!AB51)</f>
        <v/>
      </c>
      <c r="AE18" s="25" t="str">
        <f>IF('Residual-RosteredMATRIX-CARER'!AC51=0,"",'Residual-RosteredMATRIX-CARER'!AC51)</f>
        <v/>
      </c>
      <c r="AF18" s="25" t="str">
        <f>IF('Residual-RosteredMATRIX-CARER'!AD51=0,"",'Residual-RosteredMATRIX-CARER'!AD51)</f>
        <v/>
      </c>
      <c r="AG18" s="25" t="str">
        <f>IF('Residual-RosteredMATRIX-CARER'!AE51=0,"",'Residual-RosteredMATRIX-CARER'!AE51)</f>
        <v/>
      </c>
      <c r="AH18" s="25" t="str">
        <f>IF('Residual-RosteredMATRIX-CARER'!AF51=0,"",'Residual-RosteredMATRIX-CARER'!AF51)</f>
        <v/>
      </c>
      <c r="AI18" s="25" t="str">
        <f>IF('Residual-RosteredMATRIX-CARER'!AG51=0,"",'Residual-RosteredMATRIX-CARER'!AG51)</f>
        <v/>
      </c>
      <c r="AJ18" s="25" t="str">
        <f>IF('Residual-RosteredMATRIX-CARER'!AH51=0,"",'Residual-RosteredMATRIX-CARER'!AH51)</f>
        <v/>
      </c>
      <c r="AK18" s="25" t="str">
        <f>IF('Residual-RosteredMATRIX-CARER'!AI51=0,"",'Residual-RosteredMATRIX-CARER'!AI51)</f>
        <v/>
      </c>
      <c r="AL18" s="25" t="str">
        <f>IF('Residual-RosteredMATRIX-CARER'!AJ51=0,"",'Residual-RosteredMATRIX-CARER'!AJ51)</f>
        <v/>
      </c>
      <c r="AM18" s="25" t="str">
        <f>IF('Residual-RosteredMATRIX-CARER'!AK51=0,"",'Residual-RosteredMATRIX-CARER'!AK51)</f>
        <v/>
      </c>
      <c r="AN18" s="25" t="str">
        <f>IF('Residual-RosteredMATRIX-CARER'!AL51=0,"",'Residual-RosteredMATRIX-CARER'!AL51)</f>
        <v/>
      </c>
      <c r="AO18" s="25" t="str">
        <f>IF('Residual-RosteredMATRIX-CARER'!AM51=0,"",'Residual-RosteredMATRIX-CARER'!AM51)</f>
        <v/>
      </c>
      <c r="AP18" s="25" t="str">
        <f>IF('Residual-RosteredMATRIX-CARER'!AN51=0,"",'Residual-RosteredMATRIX-CARER'!AN51)</f>
        <v/>
      </c>
      <c r="AQ18" s="25" t="str">
        <f>IF('Residual-RosteredMATRIX-CARER'!AO51=0,"",'Residual-RosteredMATRIX-CARER'!AO51)</f>
        <v/>
      </c>
      <c r="AR18" s="25" t="str">
        <f>IF('Residual-RosteredMATRIX-CARER'!AP51=0,"",'Residual-RosteredMATRIX-CARER'!AP51)</f>
        <v/>
      </c>
      <c r="AS18" s="25" t="str">
        <f>IF('Residual-RosteredMATRIX-CARER'!AQ51=0,"",'Residual-RosteredMATRIX-CARER'!AQ51)</f>
        <v/>
      </c>
      <c r="AT18" s="25" t="str">
        <f>IF('Residual-RosteredMATRIX-CARER'!AR51=0,"",'Residual-RosteredMATRIX-CARER'!AR51)</f>
        <v/>
      </c>
      <c r="AU18" s="25" t="str">
        <f>IF('Residual-RosteredMATRIX-CARER'!AS51=0,"",'Residual-RosteredMATRIX-CARER'!AS51)</f>
        <v/>
      </c>
      <c r="AV18" s="25" t="str">
        <f>IF('Residual-RosteredMATRIX-CARER'!AT51=0,"",'Residual-RosteredMATRIX-CARER'!AT51)</f>
        <v/>
      </c>
      <c r="AW18" s="25" t="str">
        <f>IF('Residual-RosteredMATRIX-CARER'!AU51=0,"",'Residual-RosteredMATRIX-CARER'!AU51)</f>
        <v/>
      </c>
    </row>
    <row r="19" spans="1:50" ht="15.75" customHeight="1" x14ac:dyDescent="0.25">
      <c r="A19" s="25" t="e">
        <f>'Residual-Rostered'!#REF!</f>
        <v>#REF!</v>
      </c>
      <c r="B19" s="33">
        <f>'Residual-RosteredMATRIX-CARER'!D52</f>
        <v>0</v>
      </c>
      <c r="C19" s="33">
        <f>'Residual-RosteredMATRIX-CARER'!C52</f>
        <v>0</v>
      </c>
      <c r="D19" s="34">
        <f>'Residual-RosteredMATRIX-RN'!D52</f>
        <v>0</v>
      </c>
      <c r="E19" s="14">
        <f>Max_HRS-Table314[[#This Row],[ROSTERED TIME]]</f>
        <v>76</v>
      </c>
      <c r="F19" s="14">
        <f t="shared" si="5"/>
        <v>0</v>
      </c>
      <c r="G19" s="14">
        <f>Table314[[#This Row],[ROSTERED TIME]]+Table314[[#This Row],[CHANGE TIME]]</f>
        <v>0</v>
      </c>
      <c r="H19" s="25" t="str">
        <f>IF('Residual-RosteredMATRIX-CARER'!F52=0,"",'Residual-RosteredMATRIX-CARER'!F52)</f>
        <v/>
      </c>
      <c r="I19" s="25" t="str">
        <f>IF('Residual-RosteredMATRIX-CARER'!G52=0,"",'Residual-RosteredMATRIX-CARER'!G52)</f>
        <v/>
      </c>
      <c r="J19" s="25" t="str">
        <f>IF('Residual-RosteredMATRIX-CARER'!H52=0,"",'Residual-RosteredMATRIX-CARER'!H52)</f>
        <v/>
      </c>
      <c r="K19" s="25" t="str">
        <f>IF('Residual-RosteredMATRIX-CARER'!I52=0,"",'Residual-RosteredMATRIX-CARER'!I52)</f>
        <v/>
      </c>
      <c r="L19" s="25" t="str">
        <f>IF('Residual-RosteredMATRIX-CARER'!J52=0,"",'Residual-RosteredMATRIX-CARER'!J52)</f>
        <v/>
      </c>
      <c r="M19" s="25" t="str">
        <f>IF('Residual-RosteredMATRIX-CARER'!K52=0,"",'Residual-RosteredMATRIX-CARER'!K52)</f>
        <v/>
      </c>
      <c r="N19" s="25" t="str">
        <f>IF('Residual-RosteredMATRIX-CARER'!L52=0,"",'Residual-RosteredMATRIX-CARER'!L52)</f>
        <v/>
      </c>
      <c r="O19" s="25" t="str">
        <f>IF('Residual-RosteredMATRIX-CARER'!M52=0,"",'Residual-RosteredMATRIX-CARER'!M52)</f>
        <v/>
      </c>
      <c r="P19" s="25" t="str">
        <f>IF('Residual-RosteredMATRIX-CARER'!N52=0,"",'Residual-RosteredMATRIX-CARER'!N52)</f>
        <v/>
      </c>
      <c r="Q19" s="25" t="str">
        <f>IF('Residual-RosteredMATRIX-CARER'!O52=0,"",'Residual-RosteredMATRIX-CARER'!O52)</f>
        <v/>
      </c>
      <c r="R19" s="25" t="str">
        <f>IF('Residual-RosteredMATRIX-CARER'!P52=0,"",'Residual-RosteredMATRIX-CARER'!P52)</f>
        <v/>
      </c>
      <c r="S19" s="25" t="str">
        <f>IF('Residual-RosteredMATRIX-CARER'!Q52=0,"",'Residual-RosteredMATRIX-CARER'!Q52)</f>
        <v/>
      </c>
      <c r="T19" s="25" t="str">
        <f>IF('Residual-RosteredMATRIX-CARER'!R52=0,"",'Residual-RosteredMATRIX-CARER'!R52)</f>
        <v/>
      </c>
      <c r="U19" s="25" t="str">
        <f>IF('Residual-RosteredMATRIX-CARER'!S52=0,"",'Residual-RosteredMATRIX-CARER'!S52)</f>
        <v/>
      </c>
      <c r="V19" s="25" t="str">
        <f>IF('Residual-RosteredMATRIX-CARER'!T52=0,"",'Residual-RosteredMATRIX-CARER'!T52)</f>
        <v/>
      </c>
      <c r="W19" s="25" t="str">
        <f>IF('Residual-RosteredMATRIX-CARER'!U52=0,"",'Residual-RosteredMATRIX-CARER'!U52)</f>
        <v/>
      </c>
      <c r="X19" s="25" t="str">
        <f>IF('Residual-RosteredMATRIX-CARER'!V52=0,"",'Residual-RosteredMATRIX-CARER'!V52)</f>
        <v/>
      </c>
      <c r="Y19" s="25" t="str">
        <f>IF('Residual-RosteredMATRIX-CARER'!W52=0,"",'Residual-RosteredMATRIX-CARER'!W52)</f>
        <v/>
      </c>
      <c r="Z19" s="25" t="str">
        <f>IF('Residual-RosteredMATRIX-CARER'!X52=0,"",'Residual-RosteredMATRIX-CARER'!X52)</f>
        <v/>
      </c>
      <c r="AA19" s="25" t="str">
        <f>IF('Residual-RosteredMATRIX-CARER'!Y52=0,"",'Residual-RosteredMATRIX-CARER'!Y52)</f>
        <v/>
      </c>
      <c r="AB19" s="25" t="str">
        <f>IF('Residual-RosteredMATRIX-CARER'!Z52=0,"",'Residual-RosteredMATRIX-CARER'!Z52)</f>
        <v/>
      </c>
      <c r="AC19" s="25" t="str">
        <f>IF('Residual-RosteredMATRIX-CARER'!AA52=0,"",'Residual-RosteredMATRIX-CARER'!AA52)</f>
        <v/>
      </c>
      <c r="AD19" s="25" t="str">
        <f>IF('Residual-RosteredMATRIX-CARER'!AB52=0,"",'Residual-RosteredMATRIX-CARER'!AB52)</f>
        <v/>
      </c>
      <c r="AE19" s="25" t="str">
        <f>IF('Residual-RosteredMATRIX-CARER'!AC52=0,"",'Residual-RosteredMATRIX-CARER'!AC52)</f>
        <v/>
      </c>
      <c r="AF19" s="25" t="str">
        <f>IF('Residual-RosteredMATRIX-CARER'!AD52=0,"",'Residual-RosteredMATRIX-CARER'!AD52)</f>
        <v/>
      </c>
      <c r="AG19" s="25" t="str">
        <f>IF('Residual-RosteredMATRIX-CARER'!AE52=0,"",'Residual-RosteredMATRIX-CARER'!AE52)</f>
        <v/>
      </c>
      <c r="AH19" s="25" t="str">
        <f>IF('Residual-RosteredMATRIX-CARER'!AF52=0,"",'Residual-RosteredMATRIX-CARER'!AF52)</f>
        <v/>
      </c>
      <c r="AI19" s="25" t="str">
        <f>IF('Residual-RosteredMATRIX-CARER'!AG52=0,"",'Residual-RosteredMATRIX-CARER'!AG52)</f>
        <v/>
      </c>
      <c r="AJ19" s="25" t="str">
        <f>IF('Residual-RosteredMATRIX-CARER'!AH52=0,"",'Residual-RosteredMATRIX-CARER'!AH52)</f>
        <v/>
      </c>
      <c r="AK19" s="25" t="str">
        <f>IF('Residual-RosteredMATRIX-CARER'!AI52=0,"",'Residual-RosteredMATRIX-CARER'!AI52)</f>
        <v/>
      </c>
      <c r="AL19" s="25" t="str">
        <f>IF('Residual-RosteredMATRIX-CARER'!AJ52=0,"",'Residual-RosteredMATRIX-CARER'!AJ52)</f>
        <v/>
      </c>
      <c r="AM19" s="25" t="str">
        <f>IF('Residual-RosteredMATRIX-CARER'!AK52=0,"",'Residual-RosteredMATRIX-CARER'!AK52)</f>
        <v/>
      </c>
      <c r="AN19" s="25" t="str">
        <f>IF('Residual-RosteredMATRIX-CARER'!AL52=0,"",'Residual-RosteredMATRIX-CARER'!AL52)</f>
        <v/>
      </c>
      <c r="AO19" s="25" t="str">
        <f>IF('Residual-RosteredMATRIX-CARER'!AM52=0,"",'Residual-RosteredMATRIX-CARER'!AM52)</f>
        <v/>
      </c>
      <c r="AP19" s="25" t="str">
        <f>IF('Residual-RosteredMATRIX-CARER'!AN52=0,"",'Residual-RosteredMATRIX-CARER'!AN52)</f>
        <v/>
      </c>
      <c r="AQ19" s="25" t="str">
        <f>IF('Residual-RosteredMATRIX-CARER'!AO52=0,"",'Residual-RosteredMATRIX-CARER'!AO52)</f>
        <v/>
      </c>
      <c r="AR19" s="25" t="str">
        <f>IF('Residual-RosteredMATRIX-CARER'!AP52=0,"",'Residual-RosteredMATRIX-CARER'!AP52)</f>
        <v/>
      </c>
      <c r="AS19" s="25" t="str">
        <f>IF('Residual-RosteredMATRIX-CARER'!AQ52=0,"",'Residual-RosteredMATRIX-CARER'!AQ52)</f>
        <v/>
      </c>
      <c r="AT19" s="25" t="str">
        <f>IF('Residual-RosteredMATRIX-CARER'!AR52=0,"",'Residual-RosteredMATRIX-CARER'!AR52)</f>
        <v/>
      </c>
      <c r="AU19" s="25" t="str">
        <f>IF('Residual-RosteredMATRIX-CARER'!AS52=0,"",'Residual-RosteredMATRIX-CARER'!AS52)</f>
        <v/>
      </c>
      <c r="AV19" s="25" t="str">
        <f>IF('Residual-RosteredMATRIX-CARER'!AT52=0,"",'Residual-RosteredMATRIX-CARER'!AT52)</f>
        <v/>
      </c>
      <c r="AW19" s="25" t="str">
        <f>IF('Residual-RosteredMATRIX-CARER'!AU52=0,"",'Residual-RosteredMATRIX-CARER'!AU52)</f>
        <v/>
      </c>
    </row>
    <row r="20" spans="1:50" ht="15.75" customHeight="1" x14ac:dyDescent="0.25">
      <c r="A20" s="25" t="e">
        <f>'Residual-Rostered'!#REF!</f>
        <v>#REF!</v>
      </c>
      <c r="B20" s="33">
        <f>'Residual-RosteredMATRIX-CARER'!D53</f>
        <v>0</v>
      </c>
      <c r="C20" s="33">
        <f>'Residual-RosteredMATRIX-CARER'!C53</f>
        <v>0</v>
      </c>
      <c r="D20" s="34">
        <f>'Residual-RosteredMATRIX-RN'!D53</f>
        <v>0</v>
      </c>
      <c r="E20" s="14">
        <f>Max_HRS-Table314[[#This Row],[ROSTERED TIME]]</f>
        <v>76</v>
      </c>
      <c r="F20" s="14">
        <f t="shared" si="5"/>
        <v>0</v>
      </c>
      <c r="G20" s="14">
        <f>Table314[[#This Row],[ROSTERED TIME]]+Table314[[#This Row],[CHANGE TIME]]</f>
        <v>0</v>
      </c>
      <c r="H20" s="25" t="str">
        <f>IF('Residual-RosteredMATRIX-CARER'!F53=0,"",'Residual-RosteredMATRIX-CARER'!F53)</f>
        <v/>
      </c>
      <c r="I20" s="25" t="str">
        <f>IF('Residual-RosteredMATRIX-CARER'!G53=0,"",'Residual-RosteredMATRIX-CARER'!G53)</f>
        <v/>
      </c>
      <c r="J20" s="25" t="str">
        <f>IF('Residual-RosteredMATRIX-CARER'!H53=0,"",'Residual-RosteredMATRIX-CARER'!H53)</f>
        <v/>
      </c>
      <c r="K20" s="25" t="str">
        <f>IF('Residual-RosteredMATRIX-CARER'!I53=0,"",'Residual-RosteredMATRIX-CARER'!I53)</f>
        <v/>
      </c>
      <c r="L20" s="25" t="str">
        <f>IF('Residual-RosteredMATRIX-CARER'!J53=0,"",'Residual-RosteredMATRIX-CARER'!J53)</f>
        <v/>
      </c>
      <c r="M20" s="25" t="str">
        <f>IF('Residual-RosteredMATRIX-CARER'!K53=0,"",'Residual-RosteredMATRIX-CARER'!K53)</f>
        <v/>
      </c>
      <c r="N20" s="25" t="str">
        <f>IF('Residual-RosteredMATRIX-CARER'!L53=0,"",'Residual-RosteredMATRIX-CARER'!L53)</f>
        <v/>
      </c>
      <c r="O20" s="25" t="str">
        <f>IF('Residual-RosteredMATRIX-CARER'!M53=0,"",'Residual-RosteredMATRIX-CARER'!M53)</f>
        <v/>
      </c>
      <c r="P20" s="25" t="str">
        <f>IF('Residual-RosteredMATRIX-CARER'!N53=0,"",'Residual-RosteredMATRIX-CARER'!N53)</f>
        <v/>
      </c>
      <c r="Q20" s="25" t="str">
        <f>IF('Residual-RosteredMATRIX-CARER'!O53=0,"",'Residual-RosteredMATRIX-CARER'!O53)</f>
        <v/>
      </c>
      <c r="R20" s="25" t="str">
        <f>IF('Residual-RosteredMATRIX-CARER'!P53=0,"",'Residual-RosteredMATRIX-CARER'!P53)</f>
        <v/>
      </c>
      <c r="S20" s="25" t="str">
        <f>IF('Residual-RosteredMATRIX-CARER'!Q53=0,"",'Residual-RosteredMATRIX-CARER'!Q53)</f>
        <v/>
      </c>
      <c r="T20" s="25" t="str">
        <f>IF('Residual-RosteredMATRIX-CARER'!R53=0,"",'Residual-RosteredMATRIX-CARER'!R53)</f>
        <v/>
      </c>
      <c r="U20" s="25" t="str">
        <f>IF('Residual-RosteredMATRIX-CARER'!S53=0,"",'Residual-RosteredMATRIX-CARER'!S53)</f>
        <v/>
      </c>
      <c r="V20" s="25" t="str">
        <f>IF('Residual-RosteredMATRIX-CARER'!T53=0,"",'Residual-RosteredMATRIX-CARER'!T53)</f>
        <v/>
      </c>
      <c r="W20" s="25" t="str">
        <f>IF('Residual-RosteredMATRIX-CARER'!U53=0,"",'Residual-RosteredMATRIX-CARER'!U53)</f>
        <v/>
      </c>
      <c r="X20" s="25" t="str">
        <f>IF('Residual-RosteredMATRIX-CARER'!V53=0,"",'Residual-RosteredMATRIX-CARER'!V53)</f>
        <v/>
      </c>
      <c r="Y20" s="25" t="str">
        <f>IF('Residual-RosteredMATRIX-CARER'!W53=0,"",'Residual-RosteredMATRIX-CARER'!W53)</f>
        <v/>
      </c>
      <c r="Z20" s="25" t="str">
        <f>IF('Residual-RosteredMATRIX-CARER'!X53=0,"",'Residual-RosteredMATRIX-CARER'!X53)</f>
        <v/>
      </c>
      <c r="AA20" s="25" t="str">
        <f>IF('Residual-RosteredMATRIX-CARER'!Y53=0,"",'Residual-RosteredMATRIX-CARER'!Y53)</f>
        <v/>
      </c>
      <c r="AB20" s="25" t="str">
        <f>IF('Residual-RosteredMATRIX-CARER'!Z53=0,"",'Residual-RosteredMATRIX-CARER'!Z53)</f>
        <v/>
      </c>
      <c r="AC20" s="25" t="str">
        <f>IF('Residual-RosteredMATRIX-CARER'!AA53=0,"",'Residual-RosteredMATRIX-CARER'!AA53)</f>
        <v/>
      </c>
      <c r="AD20" s="25" t="str">
        <f>IF('Residual-RosteredMATRIX-CARER'!AB53=0,"",'Residual-RosteredMATRIX-CARER'!AB53)</f>
        <v/>
      </c>
      <c r="AE20" s="25" t="str">
        <f>IF('Residual-RosteredMATRIX-CARER'!AC53=0,"",'Residual-RosteredMATRIX-CARER'!AC53)</f>
        <v/>
      </c>
      <c r="AF20" s="25" t="str">
        <f>IF('Residual-RosteredMATRIX-CARER'!AD53=0,"",'Residual-RosteredMATRIX-CARER'!AD53)</f>
        <v/>
      </c>
      <c r="AG20" s="25" t="str">
        <f>IF('Residual-RosteredMATRIX-CARER'!AE53=0,"",'Residual-RosteredMATRIX-CARER'!AE53)</f>
        <v/>
      </c>
      <c r="AH20" s="25" t="str">
        <f>IF('Residual-RosteredMATRIX-CARER'!AF53=0,"",'Residual-RosteredMATRIX-CARER'!AF53)</f>
        <v/>
      </c>
      <c r="AI20" s="25" t="str">
        <f>IF('Residual-RosteredMATRIX-CARER'!AG53=0,"",'Residual-RosteredMATRIX-CARER'!AG53)</f>
        <v/>
      </c>
      <c r="AJ20" s="25" t="str">
        <f>IF('Residual-RosteredMATRIX-CARER'!AH53=0,"",'Residual-RosteredMATRIX-CARER'!AH53)</f>
        <v/>
      </c>
      <c r="AK20" s="25" t="str">
        <f>IF('Residual-RosteredMATRIX-CARER'!AI53=0,"",'Residual-RosteredMATRIX-CARER'!AI53)</f>
        <v/>
      </c>
      <c r="AL20" s="25" t="str">
        <f>IF('Residual-RosteredMATRIX-CARER'!AJ53=0,"",'Residual-RosteredMATRIX-CARER'!AJ53)</f>
        <v/>
      </c>
      <c r="AM20" s="25" t="str">
        <f>IF('Residual-RosteredMATRIX-CARER'!AK53=0,"",'Residual-RosteredMATRIX-CARER'!AK53)</f>
        <v/>
      </c>
      <c r="AN20" s="25" t="str">
        <f>IF('Residual-RosteredMATRIX-CARER'!AL53=0,"",'Residual-RosteredMATRIX-CARER'!AL53)</f>
        <v/>
      </c>
      <c r="AO20" s="25" t="str">
        <f>IF('Residual-RosteredMATRIX-CARER'!AM53=0,"",'Residual-RosteredMATRIX-CARER'!AM53)</f>
        <v/>
      </c>
      <c r="AP20" s="25" t="str">
        <f>IF('Residual-RosteredMATRIX-CARER'!AN53=0,"",'Residual-RosteredMATRIX-CARER'!AN53)</f>
        <v/>
      </c>
      <c r="AQ20" s="25" t="str">
        <f>IF('Residual-RosteredMATRIX-CARER'!AO53=0,"",'Residual-RosteredMATRIX-CARER'!AO53)</f>
        <v/>
      </c>
      <c r="AR20" s="25" t="str">
        <f>IF('Residual-RosteredMATRIX-CARER'!AP53=0,"",'Residual-RosteredMATRIX-CARER'!AP53)</f>
        <v/>
      </c>
      <c r="AS20" s="25" t="str">
        <f>IF('Residual-RosteredMATRIX-CARER'!AQ53=0,"",'Residual-RosteredMATRIX-CARER'!AQ53)</f>
        <v/>
      </c>
      <c r="AT20" s="25" t="str">
        <f>IF('Residual-RosteredMATRIX-CARER'!AR53=0,"",'Residual-RosteredMATRIX-CARER'!AR53)</f>
        <v/>
      </c>
      <c r="AU20" s="25" t="str">
        <f>IF('Residual-RosteredMATRIX-CARER'!AS53=0,"",'Residual-RosteredMATRIX-CARER'!AS53)</f>
        <v/>
      </c>
      <c r="AV20" s="25" t="str">
        <f>IF('Residual-RosteredMATRIX-CARER'!AT53=0,"",'Residual-RosteredMATRIX-CARER'!AT53)</f>
        <v/>
      </c>
      <c r="AW20" s="25" t="str">
        <f>IF('Residual-RosteredMATRIX-CARER'!AU53=0,"",'Residual-RosteredMATRIX-CARER'!AU53)</f>
        <v/>
      </c>
    </row>
    <row r="21" spans="1:50" ht="15.75" customHeight="1" x14ac:dyDescent="0.25">
      <c r="A21" s="25" t="e">
        <f>'Residual-Rostered'!#REF!</f>
        <v>#REF!</v>
      </c>
      <c r="B21" s="33">
        <f>'Residual-RosteredMATRIX-CARER'!D54</f>
        <v>0</v>
      </c>
      <c r="C21" s="33">
        <f>'Residual-RosteredMATRIX-CARER'!C54</f>
        <v>0</v>
      </c>
      <c r="D21" s="34">
        <f>'Residual-RosteredMATRIX-RN'!D54</f>
        <v>0</v>
      </c>
      <c r="E21" s="14">
        <f>Max_HRS-Table314[[#This Row],[ROSTERED TIME]]</f>
        <v>76</v>
      </c>
      <c r="F21" s="14">
        <f t="shared" si="5"/>
        <v>0</v>
      </c>
      <c r="G21" s="14">
        <f>Table314[[#This Row],[ROSTERED TIME]]+Table314[[#This Row],[CHANGE TIME]]</f>
        <v>0</v>
      </c>
      <c r="H21" s="25" t="str">
        <f>IF('Residual-RosteredMATRIX-CARER'!F54=0,"",'Residual-RosteredMATRIX-CARER'!F54)</f>
        <v/>
      </c>
      <c r="I21" s="25" t="str">
        <f>IF('Residual-RosteredMATRIX-CARER'!G54=0,"",'Residual-RosteredMATRIX-CARER'!G54)</f>
        <v/>
      </c>
      <c r="J21" s="25" t="str">
        <f>IF('Residual-RosteredMATRIX-CARER'!H54=0,"",'Residual-RosteredMATRIX-CARER'!H54)</f>
        <v/>
      </c>
      <c r="K21" s="25" t="str">
        <f>IF('Residual-RosteredMATRIX-CARER'!I54=0,"",'Residual-RosteredMATRIX-CARER'!I54)</f>
        <v/>
      </c>
      <c r="L21" s="25" t="str">
        <f>IF('Residual-RosteredMATRIX-CARER'!J54=0,"",'Residual-RosteredMATRIX-CARER'!J54)</f>
        <v/>
      </c>
      <c r="M21" s="25" t="str">
        <f>IF('Residual-RosteredMATRIX-CARER'!K54=0,"",'Residual-RosteredMATRIX-CARER'!K54)</f>
        <v/>
      </c>
      <c r="N21" s="25" t="str">
        <f>IF('Residual-RosteredMATRIX-CARER'!L54=0,"",'Residual-RosteredMATRIX-CARER'!L54)</f>
        <v/>
      </c>
      <c r="O21" s="25" t="str">
        <f>IF('Residual-RosteredMATRIX-CARER'!M54=0,"",'Residual-RosteredMATRIX-CARER'!M54)</f>
        <v/>
      </c>
      <c r="P21" s="25" t="str">
        <f>IF('Residual-RosteredMATRIX-CARER'!N54=0,"",'Residual-RosteredMATRIX-CARER'!N54)</f>
        <v/>
      </c>
      <c r="Q21" s="25" t="str">
        <f>IF('Residual-RosteredMATRIX-CARER'!O54=0,"",'Residual-RosteredMATRIX-CARER'!O54)</f>
        <v/>
      </c>
      <c r="R21" s="25" t="str">
        <f>IF('Residual-RosteredMATRIX-CARER'!P54=0,"",'Residual-RosteredMATRIX-CARER'!P54)</f>
        <v/>
      </c>
      <c r="S21" s="25" t="str">
        <f>IF('Residual-RosteredMATRIX-CARER'!Q54=0,"",'Residual-RosteredMATRIX-CARER'!Q54)</f>
        <v/>
      </c>
      <c r="T21" s="25" t="str">
        <f>IF('Residual-RosteredMATRIX-CARER'!R54=0,"",'Residual-RosteredMATRIX-CARER'!R54)</f>
        <v/>
      </c>
      <c r="U21" s="25" t="str">
        <f>IF('Residual-RosteredMATRIX-CARER'!S54=0,"",'Residual-RosteredMATRIX-CARER'!S54)</f>
        <v/>
      </c>
      <c r="V21" s="25" t="str">
        <f>IF('Residual-RosteredMATRIX-CARER'!T54=0,"",'Residual-RosteredMATRIX-CARER'!T54)</f>
        <v/>
      </c>
      <c r="W21" s="25" t="str">
        <f>IF('Residual-RosteredMATRIX-CARER'!U54=0,"",'Residual-RosteredMATRIX-CARER'!U54)</f>
        <v/>
      </c>
      <c r="X21" s="25" t="str">
        <f>IF('Residual-RosteredMATRIX-CARER'!V54=0,"",'Residual-RosteredMATRIX-CARER'!V54)</f>
        <v/>
      </c>
      <c r="Y21" s="25" t="str">
        <f>IF('Residual-RosteredMATRIX-CARER'!W54=0,"",'Residual-RosteredMATRIX-CARER'!W54)</f>
        <v/>
      </c>
      <c r="Z21" s="25" t="str">
        <f>IF('Residual-RosteredMATRIX-CARER'!X54=0,"",'Residual-RosteredMATRIX-CARER'!X54)</f>
        <v/>
      </c>
      <c r="AA21" s="25" t="str">
        <f>IF('Residual-RosteredMATRIX-CARER'!Y54=0,"",'Residual-RosteredMATRIX-CARER'!Y54)</f>
        <v/>
      </c>
      <c r="AB21" s="25" t="str">
        <f>IF('Residual-RosteredMATRIX-CARER'!Z54=0,"",'Residual-RosteredMATRIX-CARER'!Z54)</f>
        <v/>
      </c>
      <c r="AC21" s="25" t="str">
        <f>IF('Residual-RosteredMATRIX-CARER'!AA54=0,"",'Residual-RosteredMATRIX-CARER'!AA54)</f>
        <v/>
      </c>
      <c r="AD21" s="25" t="str">
        <f>IF('Residual-RosteredMATRIX-CARER'!AB54=0,"",'Residual-RosteredMATRIX-CARER'!AB54)</f>
        <v/>
      </c>
      <c r="AE21" s="25" t="str">
        <f>IF('Residual-RosteredMATRIX-CARER'!AC54=0,"",'Residual-RosteredMATRIX-CARER'!AC54)</f>
        <v/>
      </c>
      <c r="AF21" s="25" t="str">
        <f>IF('Residual-RosteredMATRIX-CARER'!AD54=0,"",'Residual-RosteredMATRIX-CARER'!AD54)</f>
        <v/>
      </c>
      <c r="AG21" s="25" t="str">
        <f>IF('Residual-RosteredMATRIX-CARER'!AE54=0,"",'Residual-RosteredMATRIX-CARER'!AE54)</f>
        <v/>
      </c>
      <c r="AH21" s="25" t="str">
        <f>IF('Residual-RosteredMATRIX-CARER'!AF54=0,"",'Residual-RosteredMATRIX-CARER'!AF54)</f>
        <v/>
      </c>
      <c r="AI21" s="25" t="str">
        <f>IF('Residual-RosteredMATRIX-CARER'!AG54=0,"",'Residual-RosteredMATRIX-CARER'!AG54)</f>
        <v/>
      </c>
      <c r="AJ21" s="25" t="str">
        <f>IF('Residual-RosteredMATRIX-CARER'!AH54=0,"",'Residual-RosteredMATRIX-CARER'!AH54)</f>
        <v/>
      </c>
      <c r="AK21" s="25" t="str">
        <f>IF('Residual-RosteredMATRIX-CARER'!AI54=0,"",'Residual-RosteredMATRIX-CARER'!AI54)</f>
        <v/>
      </c>
      <c r="AL21" s="25" t="str">
        <f>IF('Residual-RosteredMATRIX-CARER'!AJ54=0,"",'Residual-RosteredMATRIX-CARER'!AJ54)</f>
        <v/>
      </c>
      <c r="AM21" s="25" t="str">
        <f>IF('Residual-RosteredMATRIX-CARER'!AK54=0,"",'Residual-RosteredMATRIX-CARER'!AK54)</f>
        <v/>
      </c>
      <c r="AN21" s="25" t="str">
        <f>IF('Residual-RosteredMATRIX-CARER'!AL54=0,"",'Residual-RosteredMATRIX-CARER'!AL54)</f>
        <v/>
      </c>
      <c r="AO21" s="25" t="str">
        <f>IF('Residual-RosteredMATRIX-CARER'!AM54=0,"",'Residual-RosteredMATRIX-CARER'!AM54)</f>
        <v/>
      </c>
      <c r="AP21" s="25" t="str">
        <f>IF('Residual-RosteredMATRIX-CARER'!AN54=0,"",'Residual-RosteredMATRIX-CARER'!AN54)</f>
        <v/>
      </c>
      <c r="AQ21" s="25" t="str">
        <f>IF('Residual-RosteredMATRIX-CARER'!AO54=0,"",'Residual-RosteredMATRIX-CARER'!AO54)</f>
        <v/>
      </c>
      <c r="AR21" s="25" t="str">
        <f>IF('Residual-RosteredMATRIX-CARER'!AP54=0,"",'Residual-RosteredMATRIX-CARER'!AP54)</f>
        <v/>
      </c>
      <c r="AS21" s="25" t="str">
        <f>IF('Residual-RosteredMATRIX-CARER'!AQ54=0,"",'Residual-RosteredMATRIX-CARER'!AQ54)</f>
        <v/>
      </c>
      <c r="AT21" s="25" t="str">
        <f>IF('Residual-RosteredMATRIX-CARER'!AR54=0,"",'Residual-RosteredMATRIX-CARER'!AR54)</f>
        <v/>
      </c>
      <c r="AU21" s="25" t="str">
        <f>IF('Residual-RosteredMATRIX-CARER'!AS54=0,"",'Residual-RosteredMATRIX-CARER'!AS54)</f>
        <v/>
      </c>
      <c r="AV21" s="25" t="str">
        <f>IF('Residual-RosteredMATRIX-CARER'!AT54=0,"",'Residual-RosteredMATRIX-CARER'!AT54)</f>
        <v/>
      </c>
      <c r="AW21" s="25" t="str">
        <f>IF('Residual-RosteredMATRIX-CARER'!AU54=0,"",'Residual-RosteredMATRIX-CARER'!AU54)</f>
        <v/>
      </c>
    </row>
    <row r="22" spans="1:50" ht="15.75" customHeight="1" x14ac:dyDescent="0.25">
      <c r="A22" s="25" t="e">
        <f>'Residual-Rostered'!#REF!</f>
        <v>#REF!</v>
      </c>
      <c r="B22" s="33">
        <f>'Residual-RosteredMATRIX-CARER'!D55</f>
        <v>0</v>
      </c>
      <c r="C22" s="33">
        <f>'Residual-RosteredMATRIX-CARER'!C55</f>
        <v>0</v>
      </c>
      <c r="D22" s="34">
        <f>'Residual-RosteredMATRIX-RN'!D55</f>
        <v>0</v>
      </c>
      <c r="E22" s="14">
        <f>Max_HRS-Table314[[#This Row],[ROSTERED TIME]]</f>
        <v>76</v>
      </c>
      <c r="F22" s="14">
        <f t="shared" si="5"/>
        <v>0</v>
      </c>
      <c r="G22" s="14">
        <f>Table314[[#This Row],[ROSTERED TIME]]+Table314[[#This Row],[CHANGE TIME]]</f>
        <v>0</v>
      </c>
      <c r="H22" s="25" t="str">
        <f>IF('Residual-RosteredMATRIX-CARER'!F55=0,"",'Residual-RosteredMATRIX-CARER'!F55)</f>
        <v/>
      </c>
      <c r="I22" s="25" t="str">
        <f>IF('Residual-RosteredMATRIX-CARER'!G55=0,"",'Residual-RosteredMATRIX-CARER'!G55)</f>
        <v/>
      </c>
      <c r="J22" s="25" t="str">
        <f>IF('Residual-RosteredMATRIX-CARER'!H55=0,"",'Residual-RosteredMATRIX-CARER'!H55)</f>
        <v/>
      </c>
      <c r="K22" s="25" t="str">
        <f>IF('Residual-RosteredMATRIX-CARER'!I55=0,"",'Residual-RosteredMATRIX-CARER'!I55)</f>
        <v/>
      </c>
      <c r="L22" s="25" t="str">
        <f>IF('Residual-RosteredMATRIX-CARER'!J55=0,"",'Residual-RosteredMATRIX-CARER'!J55)</f>
        <v/>
      </c>
      <c r="M22" s="25" t="str">
        <f>IF('Residual-RosteredMATRIX-CARER'!K55=0,"",'Residual-RosteredMATRIX-CARER'!K55)</f>
        <v/>
      </c>
      <c r="N22" s="25" t="str">
        <f>IF('Residual-RosteredMATRIX-CARER'!L55=0,"",'Residual-RosteredMATRIX-CARER'!L55)</f>
        <v/>
      </c>
      <c r="O22" s="25" t="str">
        <f>IF('Residual-RosteredMATRIX-CARER'!M55=0,"",'Residual-RosteredMATRIX-CARER'!M55)</f>
        <v/>
      </c>
      <c r="P22" s="25" t="str">
        <f>IF('Residual-RosteredMATRIX-CARER'!N55=0,"",'Residual-RosteredMATRIX-CARER'!N55)</f>
        <v/>
      </c>
      <c r="Q22" s="25" t="str">
        <f>IF('Residual-RosteredMATRIX-CARER'!O55=0,"",'Residual-RosteredMATRIX-CARER'!O55)</f>
        <v/>
      </c>
      <c r="R22" s="25" t="str">
        <f>IF('Residual-RosteredMATRIX-CARER'!P55=0,"",'Residual-RosteredMATRIX-CARER'!P55)</f>
        <v/>
      </c>
      <c r="S22" s="25" t="str">
        <f>IF('Residual-RosteredMATRIX-CARER'!Q55=0,"",'Residual-RosteredMATRIX-CARER'!Q55)</f>
        <v/>
      </c>
      <c r="T22" s="25" t="str">
        <f>IF('Residual-RosteredMATRIX-CARER'!R55=0,"",'Residual-RosteredMATRIX-CARER'!R55)</f>
        <v/>
      </c>
      <c r="U22" s="25" t="str">
        <f>IF('Residual-RosteredMATRIX-CARER'!S55=0,"",'Residual-RosteredMATRIX-CARER'!S55)</f>
        <v/>
      </c>
      <c r="V22" s="25" t="str">
        <f>IF('Residual-RosteredMATRIX-CARER'!T55=0,"",'Residual-RosteredMATRIX-CARER'!T55)</f>
        <v/>
      </c>
      <c r="W22" s="25" t="str">
        <f>IF('Residual-RosteredMATRIX-CARER'!U55=0,"",'Residual-RosteredMATRIX-CARER'!U55)</f>
        <v/>
      </c>
      <c r="X22" s="25" t="str">
        <f>IF('Residual-RosteredMATRIX-CARER'!V55=0,"",'Residual-RosteredMATRIX-CARER'!V55)</f>
        <v/>
      </c>
      <c r="Y22" s="25" t="str">
        <f>IF('Residual-RosteredMATRIX-CARER'!W55=0,"",'Residual-RosteredMATRIX-CARER'!W55)</f>
        <v/>
      </c>
      <c r="Z22" s="25" t="str">
        <f>IF('Residual-RosteredMATRIX-CARER'!X55=0,"",'Residual-RosteredMATRIX-CARER'!X55)</f>
        <v/>
      </c>
      <c r="AA22" s="25" t="str">
        <f>IF('Residual-RosteredMATRIX-CARER'!Y55=0,"",'Residual-RosteredMATRIX-CARER'!Y55)</f>
        <v/>
      </c>
      <c r="AB22" s="25" t="str">
        <f>IF('Residual-RosteredMATRIX-CARER'!Z55=0,"",'Residual-RosteredMATRIX-CARER'!Z55)</f>
        <v/>
      </c>
      <c r="AC22" s="25" t="str">
        <f>IF('Residual-RosteredMATRIX-CARER'!AA55=0,"",'Residual-RosteredMATRIX-CARER'!AA55)</f>
        <v/>
      </c>
      <c r="AD22" s="25" t="str">
        <f>IF('Residual-RosteredMATRIX-CARER'!AB55=0,"",'Residual-RosteredMATRIX-CARER'!AB55)</f>
        <v/>
      </c>
      <c r="AE22" s="25" t="str">
        <f>IF('Residual-RosteredMATRIX-CARER'!AC55=0,"",'Residual-RosteredMATRIX-CARER'!AC55)</f>
        <v/>
      </c>
      <c r="AF22" s="25" t="str">
        <f>IF('Residual-RosteredMATRIX-CARER'!AD55=0,"",'Residual-RosteredMATRIX-CARER'!AD55)</f>
        <v/>
      </c>
      <c r="AG22" s="25" t="str">
        <f>IF('Residual-RosteredMATRIX-CARER'!AE55=0,"",'Residual-RosteredMATRIX-CARER'!AE55)</f>
        <v/>
      </c>
      <c r="AH22" s="25" t="str">
        <f>IF('Residual-RosteredMATRIX-CARER'!AF55=0,"",'Residual-RosteredMATRIX-CARER'!AF55)</f>
        <v/>
      </c>
      <c r="AI22" s="25" t="str">
        <f>IF('Residual-RosteredMATRIX-CARER'!AG55=0,"",'Residual-RosteredMATRIX-CARER'!AG55)</f>
        <v/>
      </c>
      <c r="AJ22" s="25" t="str">
        <f>IF('Residual-RosteredMATRIX-CARER'!AH55=0,"",'Residual-RosteredMATRIX-CARER'!AH55)</f>
        <v/>
      </c>
      <c r="AK22" s="25" t="str">
        <f>IF('Residual-RosteredMATRIX-CARER'!AI55=0,"",'Residual-RosteredMATRIX-CARER'!AI55)</f>
        <v/>
      </c>
      <c r="AL22" s="25" t="str">
        <f>IF('Residual-RosteredMATRIX-CARER'!AJ55=0,"",'Residual-RosteredMATRIX-CARER'!AJ55)</f>
        <v/>
      </c>
      <c r="AM22" s="25" t="str">
        <f>IF('Residual-RosteredMATRIX-CARER'!AK55=0,"",'Residual-RosteredMATRIX-CARER'!AK55)</f>
        <v/>
      </c>
      <c r="AN22" s="25" t="str">
        <f>IF('Residual-RosteredMATRIX-CARER'!AL55=0,"",'Residual-RosteredMATRIX-CARER'!AL55)</f>
        <v/>
      </c>
      <c r="AO22" s="25" t="str">
        <f>IF('Residual-RosteredMATRIX-CARER'!AM55=0,"",'Residual-RosteredMATRIX-CARER'!AM55)</f>
        <v/>
      </c>
      <c r="AP22" s="25" t="str">
        <f>IF('Residual-RosteredMATRIX-CARER'!AN55=0,"",'Residual-RosteredMATRIX-CARER'!AN55)</f>
        <v/>
      </c>
      <c r="AQ22" s="25" t="str">
        <f>IF('Residual-RosteredMATRIX-CARER'!AO55=0,"",'Residual-RosteredMATRIX-CARER'!AO55)</f>
        <v/>
      </c>
      <c r="AR22" s="25" t="str">
        <f>IF('Residual-RosteredMATRIX-CARER'!AP55=0,"",'Residual-RosteredMATRIX-CARER'!AP55)</f>
        <v/>
      </c>
      <c r="AS22" s="25" t="str">
        <f>IF('Residual-RosteredMATRIX-CARER'!AQ55=0,"",'Residual-RosteredMATRIX-CARER'!AQ55)</f>
        <v/>
      </c>
      <c r="AT22" s="25" t="str">
        <f>IF('Residual-RosteredMATRIX-CARER'!AR55=0,"",'Residual-RosteredMATRIX-CARER'!AR55)</f>
        <v/>
      </c>
      <c r="AU22" s="25" t="str">
        <f>IF('Residual-RosteredMATRIX-CARER'!AS55=0,"",'Residual-RosteredMATRIX-CARER'!AS55)</f>
        <v/>
      </c>
      <c r="AV22" s="25" t="str">
        <f>IF('Residual-RosteredMATRIX-CARER'!AT55=0,"",'Residual-RosteredMATRIX-CARER'!AT55)</f>
        <v/>
      </c>
      <c r="AW22" s="25" t="str">
        <f>IF('Residual-RosteredMATRIX-CARER'!AU55=0,"",'Residual-RosteredMATRIX-CARER'!AU55)</f>
        <v/>
      </c>
    </row>
    <row r="23" spans="1:50" ht="15.75" customHeight="1" x14ac:dyDescent="0.25">
      <c r="A23" s="25" t="e">
        <f>'Residual-Rostered'!#REF!</f>
        <v>#REF!</v>
      </c>
      <c r="B23" s="33">
        <f>'Residual-RosteredMATRIX-CARER'!D56</f>
        <v>0</v>
      </c>
      <c r="C23" s="33">
        <f>'Residual-RosteredMATRIX-CARER'!C56</f>
        <v>0</v>
      </c>
      <c r="D23" s="34">
        <f>'Residual-RosteredMATRIX-RN'!D56</f>
        <v>0</v>
      </c>
      <c r="E23" s="14">
        <f>Max_HRS-Table314[[#This Row],[ROSTERED TIME]]</f>
        <v>76</v>
      </c>
      <c r="F23" s="14">
        <f t="shared" si="5"/>
        <v>0</v>
      </c>
      <c r="G23" s="14">
        <f>Table314[[#This Row],[ROSTERED TIME]]+Table314[[#This Row],[CHANGE TIME]]</f>
        <v>0</v>
      </c>
      <c r="H23" s="25" t="str">
        <f>IF('Residual-RosteredMATRIX-CARER'!F56=0,"",'Residual-RosteredMATRIX-CARER'!F56)</f>
        <v/>
      </c>
      <c r="I23" s="25" t="str">
        <f>IF('Residual-RosteredMATRIX-CARER'!G56=0,"",'Residual-RosteredMATRIX-CARER'!G56)</f>
        <v/>
      </c>
      <c r="J23" s="25" t="str">
        <f>IF('Residual-RosteredMATRIX-CARER'!H56=0,"",'Residual-RosteredMATRIX-CARER'!H56)</f>
        <v/>
      </c>
      <c r="K23" s="25" t="str">
        <f>IF('Residual-RosteredMATRIX-CARER'!I56=0,"",'Residual-RosteredMATRIX-CARER'!I56)</f>
        <v/>
      </c>
      <c r="L23" s="25" t="str">
        <f>IF('Residual-RosteredMATRIX-CARER'!J56=0,"",'Residual-RosteredMATRIX-CARER'!J56)</f>
        <v/>
      </c>
      <c r="M23" s="25" t="str">
        <f>IF('Residual-RosteredMATRIX-CARER'!K56=0,"",'Residual-RosteredMATRIX-CARER'!K56)</f>
        <v/>
      </c>
      <c r="N23" s="25" t="str">
        <f>IF('Residual-RosteredMATRIX-CARER'!L56=0,"",'Residual-RosteredMATRIX-CARER'!L56)</f>
        <v/>
      </c>
      <c r="O23" s="25" t="str">
        <f>IF('Residual-RosteredMATRIX-CARER'!M56=0,"",'Residual-RosteredMATRIX-CARER'!M56)</f>
        <v/>
      </c>
      <c r="P23" s="25" t="str">
        <f>IF('Residual-RosteredMATRIX-CARER'!N56=0,"",'Residual-RosteredMATRIX-CARER'!N56)</f>
        <v/>
      </c>
      <c r="Q23" s="25" t="str">
        <f>IF('Residual-RosteredMATRIX-CARER'!O56=0,"",'Residual-RosteredMATRIX-CARER'!O56)</f>
        <v/>
      </c>
      <c r="R23" s="25" t="str">
        <f>IF('Residual-RosteredMATRIX-CARER'!P56=0,"",'Residual-RosteredMATRIX-CARER'!P56)</f>
        <v/>
      </c>
      <c r="S23" s="25" t="str">
        <f>IF('Residual-RosteredMATRIX-CARER'!Q56=0,"",'Residual-RosteredMATRIX-CARER'!Q56)</f>
        <v/>
      </c>
      <c r="T23" s="25" t="str">
        <f>IF('Residual-RosteredMATRIX-CARER'!R56=0,"",'Residual-RosteredMATRIX-CARER'!R56)</f>
        <v/>
      </c>
      <c r="U23" s="25" t="str">
        <f>IF('Residual-RosteredMATRIX-CARER'!S56=0,"",'Residual-RosteredMATRIX-CARER'!S56)</f>
        <v/>
      </c>
      <c r="V23" s="25" t="str">
        <f>IF('Residual-RosteredMATRIX-CARER'!T56=0,"",'Residual-RosteredMATRIX-CARER'!T56)</f>
        <v/>
      </c>
      <c r="W23" s="25" t="str">
        <f>IF('Residual-RosteredMATRIX-CARER'!U56=0,"",'Residual-RosteredMATRIX-CARER'!U56)</f>
        <v/>
      </c>
      <c r="X23" s="25" t="str">
        <f>IF('Residual-RosteredMATRIX-CARER'!V56=0,"",'Residual-RosteredMATRIX-CARER'!V56)</f>
        <v/>
      </c>
      <c r="Y23" s="25" t="str">
        <f>IF('Residual-RosteredMATRIX-CARER'!W56=0,"",'Residual-RosteredMATRIX-CARER'!W56)</f>
        <v/>
      </c>
      <c r="Z23" s="25" t="str">
        <f>IF('Residual-RosteredMATRIX-CARER'!X56=0,"",'Residual-RosteredMATRIX-CARER'!X56)</f>
        <v/>
      </c>
      <c r="AA23" s="25" t="str">
        <f>IF('Residual-RosteredMATRIX-CARER'!Y56=0,"",'Residual-RosteredMATRIX-CARER'!Y56)</f>
        <v/>
      </c>
      <c r="AB23" s="25" t="str">
        <f>IF('Residual-RosteredMATRIX-CARER'!Z56=0,"",'Residual-RosteredMATRIX-CARER'!Z56)</f>
        <v/>
      </c>
      <c r="AC23" s="25" t="str">
        <f>IF('Residual-RosteredMATRIX-CARER'!AA56=0,"",'Residual-RosteredMATRIX-CARER'!AA56)</f>
        <v/>
      </c>
      <c r="AD23" s="25" t="str">
        <f>IF('Residual-RosteredMATRIX-CARER'!AB56=0,"",'Residual-RosteredMATRIX-CARER'!AB56)</f>
        <v/>
      </c>
      <c r="AE23" s="25" t="str">
        <f>IF('Residual-RosteredMATRIX-CARER'!AC56=0,"",'Residual-RosteredMATRIX-CARER'!AC56)</f>
        <v/>
      </c>
      <c r="AF23" s="25" t="str">
        <f>IF('Residual-RosteredMATRIX-CARER'!AD56=0,"",'Residual-RosteredMATRIX-CARER'!AD56)</f>
        <v/>
      </c>
      <c r="AG23" s="25" t="str">
        <f>IF('Residual-RosteredMATRIX-CARER'!AE56=0,"",'Residual-RosteredMATRIX-CARER'!AE56)</f>
        <v/>
      </c>
      <c r="AH23" s="25" t="str">
        <f>IF('Residual-RosteredMATRIX-CARER'!AF56=0,"",'Residual-RosteredMATRIX-CARER'!AF56)</f>
        <v/>
      </c>
      <c r="AI23" s="25" t="str">
        <f>IF('Residual-RosteredMATRIX-CARER'!AG56=0,"",'Residual-RosteredMATRIX-CARER'!AG56)</f>
        <v/>
      </c>
      <c r="AJ23" s="25" t="str">
        <f>IF('Residual-RosteredMATRIX-CARER'!AH56=0,"",'Residual-RosteredMATRIX-CARER'!AH56)</f>
        <v/>
      </c>
      <c r="AK23" s="25" t="str">
        <f>IF('Residual-RosteredMATRIX-CARER'!AI56=0,"",'Residual-RosteredMATRIX-CARER'!AI56)</f>
        <v/>
      </c>
      <c r="AL23" s="25" t="str">
        <f>IF('Residual-RosteredMATRIX-CARER'!AJ56=0,"",'Residual-RosteredMATRIX-CARER'!AJ56)</f>
        <v/>
      </c>
      <c r="AM23" s="25" t="str">
        <f>IF('Residual-RosteredMATRIX-CARER'!AK56=0,"",'Residual-RosteredMATRIX-CARER'!AK56)</f>
        <v/>
      </c>
      <c r="AN23" s="25" t="str">
        <f>IF('Residual-RosteredMATRIX-CARER'!AL56=0,"",'Residual-RosteredMATRIX-CARER'!AL56)</f>
        <v/>
      </c>
      <c r="AO23" s="25" t="str">
        <f>IF('Residual-RosteredMATRIX-CARER'!AM56=0,"",'Residual-RosteredMATRIX-CARER'!AM56)</f>
        <v/>
      </c>
      <c r="AP23" s="25" t="str">
        <f>IF('Residual-RosteredMATRIX-CARER'!AN56=0,"",'Residual-RosteredMATRIX-CARER'!AN56)</f>
        <v/>
      </c>
      <c r="AQ23" s="25" t="str">
        <f>IF('Residual-RosteredMATRIX-CARER'!AO56=0,"",'Residual-RosteredMATRIX-CARER'!AO56)</f>
        <v/>
      </c>
      <c r="AR23" s="25" t="str">
        <f>IF('Residual-RosteredMATRIX-CARER'!AP56=0,"",'Residual-RosteredMATRIX-CARER'!AP56)</f>
        <v/>
      </c>
      <c r="AS23" s="25" t="str">
        <f>IF('Residual-RosteredMATRIX-CARER'!AQ56=0,"",'Residual-RosteredMATRIX-CARER'!AQ56)</f>
        <v/>
      </c>
      <c r="AT23" s="25" t="str">
        <f>IF('Residual-RosteredMATRIX-CARER'!AR56=0,"",'Residual-RosteredMATRIX-CARER'!AR56)</f>
        <v/>
      </c>
      <c r="AU23" s="25" t="str">
        <f>IF('Residual-RosteredMATRIX-CARER'!AS56=0,"",'Residual-RosteredMATRIX-CARER'!AS56)</f>
        <v/>
      </c>
      <c r="AV23" s="25" t="str">
        <f>IF('Residual-RosteredMATRIX-CARER'!AT56=0,"",'Residual-RosteredMATRIX-CARER'!AT56)</f>
        <v/>
      </c>
      <c r="AW23" s="25" t="str">
        <f>IF('Residual-RosteredMATRIX-CARER'!AU56=0,"",'Residual-RosteredMATRIX-CARER'!AU56)</f>
        <v/>
      </c>
    </row>
    <row r="24" spans="1:50" ht="15.75" customHeight="1" x14ac:dyDescent="0.25">
      <c r="A24" s="25" t="e">
        <f>'Residual-Rostered'!#REF!</f>
        <v>#REF!</v>
      </c>
      <c r="B24" s="33">
        <f>'Residual-RosteredMATRIX-CARER'!D57</f>
        <v>0</v>
      </c>
      <c r="C24" s="33">
        <f>'Residual-RosteredMATRIX-CARER'!C57</f>
        <v>0</v>
      </c>
      <c r="D24" s="34">
        <f>'Residual-RosteredMATRIX-RN'!D57</f>
        <v>0</v>
      </c>
      <c r="E24" s="14">
        <f>Max_HRS-Table314[[#This Row],[ROSTERED TIME]]</f>
        <v>76</v>
      </c>
      <c r="F24" s="14">
        <f t="shared" si="5"/>
        <v>0</v>
      </c>
      <c r="G24" s="14">
        <f>Table314[[#This Row],[ROSTERED TIME]]+Table314[[#This Row],[CHANGE TIME]]</f>
        <v>0</v>
      </c>
      <c r="H24" s="25" t="str">
        <f>IF('Residual-RosteredMATRIX-CARER'!F57=0,"",'Residual-RosteredMATRIX-CARER'!F57)</f>
        <v/>
      </c>
      <c r="I24" s="25" t="str">
        <f>IF('Residual-RosteredMATRIX-CARER'!G57=0,"",'Residual-RosteredMATRIX-CARER'!G57)</f>
        <v/>
      </c>
      <c r="J24" s="25" t="str">
        <f>IF('Residual-RosteredMATRIX-CARER'!H57=0,"",'Residual-RosteredMATRIX-CARER'!H57)</f>
        <v/>
      </c>
      <c r="K24" s="25" t="str">
        <f>IF('Residual-RosteredMATRIX-CARER'!I57=0,"",'Residual-RosteredMATRIX-CARER'!I57)</f>
        <v/>
      </c>
      <c r="L24" s="25" t="str">
        <f>IF('Residual-RosteredMATRIX-CARER'!J57=0,"",'Residual-RosteredMATRIX-CARER'!J57)</f>
        <v/>
      </c>
      <c r="M24" s="25" t="str">
        <f>IF('Residual-RosteredMATRIX-CARER'!K57=0,"",'Residual-RosteredMATRIX-CARER'!K57)</f>
        <v/>
      </c>
      <c r="N24" s="25" t="str">
        <f>IF('Residual-RosteredMATRIX-CARER'!L57=0,"",'Residual-RosteredMATRIX-CARER'!L57)</f>
        <v/>
      </c>
      <c r="O24" s="25" t="str">
        <f>IF('Residual-RosteredMATRIX-CARER'!M57=0,"",'Residual-RosteredMATRIX-CARER'!M57)</f>
        <v/>
      </c>
      <c r="P24" s="25" t="str">
        <f>IF('Residual-RosteredMATRIX-CARER'!N57=0,"",'Residual-RosteredMATRIX-CARER'!N57)</f>
        <v/>
      </c>
      <c r="Q24" s="25" t="str">
        <f>IF('Residual-RosteredMATRIX-CARER'!O57=0,"",'Residual-RosteredMATRIX-CARER'!O57)</f>
        <v/>
      </c>
      <c r="R24" s="25" t="str">
        <f>IF('Residual-RosteredMATRIX-CARER'!P57=0,"",'Residual-RosteredMATRIX-CARER'!P57)</f>
        <v/>
      </c>
      <c r="S24" s="25" t="str">
        <f>IF('Residual-RosteredMATRIX-CARER'!Q57=0,"",'Residual-RosteredMATRIX-CARER'!Q57)</f>
        <v/>
      </c>
      <c r="T24" s="25" t="str">
        <f>IF('Residual-RosteredMATRIX-CARER'!R57=0,"",'Residual-RosteredMATRIX-CARER'!R57)</f>
        <v/>
      </c>
      <c r="U24" s="25" t="str">
        <f>IF('Residual-RosteredMATRIX-CARER'!S57=0,"",'Residual-RosteredMATRIX-CARER'!S57)</f>
        <v/>
      </c>
      <c r="V24" s="25" t="str">
        <f>IF('Residual-RosteredMATRIX-CARER'!T57=0,"",'Residual-RosteredMATRIX-CARER'!T57)</f>
        <v/>
      </c>
      <c r="W24" s="25" t="str">
        <f>IF('Residual-RosteredMATRIX-CARER'!U57=0,"",'Residual-RosteredMATRIX-CARER'!U57)</f>
        <v/>
      </c>
      <c r="X24" s="25" t="str">
        <f>IF('Residual-RosteredMATRIX-CARER'!V57=0,"",'Residual-RosteredMATRIX-CARER'!V57)</f>
        <v/>
      </c>
      <c r="Y24" s="25" t="str">
        <f>IF('Residual-RosteredMATRIX-CARER'!W57=0,"",'Residual-RosteredMATRIX-CARER'!W57)</f>
        <v/>
      </c>
      <c r="Z24" s="25" t="str">
        <f>IF('Residual-RosteredMATRIX-CARER'!X57=0,"",'Residual-RosteredMATRIX-CARER'!X57)</f>
        <v/>
      </c>
      <c r="AA24" s="25" t="str">
        <f>IF('Residual-RosteredMATRIX-CARER'!Y57=0,"",'Residual-RosteredMATRIX-CARER'!Y57)</f>
        <v/>
      </c>
      <c r="AB24" s="25" t="str">
        <f>IF('Residual-RosteredMATRIX-CARER'!Z57=0,"",'Residual-RosteredMATRIX-CARER'!Z57)</f>
        <v/>
      </c>
      <c r="AC24" s="25" t="str">
        <f>IF('Residual-RosteredMATRIX-CARER'!AA57=0,"",'Residual-RosteredMATRIX-CARER'!AA57)</f>
        <v/>
      </c>
      <c r="AD24" s="25" t="str">
        <f>IF('Residual-RosteredMATRIX-CARER'!AB57=0,"",'Residual-RosteredMATRIX-CARER'!AB57)</f>
        <v/>
      </c>
      <c r="AE24" s="25" t="str">
        <f>IF('Residual-RosteredMATRIX-CARER'!AC57=0,"",'Residual-RosteredMATRIX-CARER'!AC57)</f>
        <v/>
      </c>
      <c r="AF24" s="25" t="str">
        <f>IF('Residual-RosteredMATRIX-CARER'!AD57=0,"",'Residual-RosteredMATRIX-CARER'!AD57)</f>
        <v/>
      </c>
      <c r="AG24" s="25" t="str">
        <f>IF('Residual-RosteredMATRIX-CARER'!AE57=0,"",'Residual-RosteredMATRIX-CARER'!AE57)</f>
        <v/>
      </c>
      <c r="AH24" s="25" t="str">
        <f>IF('Residual-RosteredMATRIX-CARER'!AF57=0,"",'Residual-RosteredMATRIX-CARER'!AF57)</f>
        <v/>
      </c>
      <c r="AI24" s="25" t="str">
        <f>IF('Residual-RosteredMATRIX-CARER'!AG57=0,"",'Residual-RosteredMATRIX-CARER'!AG57)</f>
        <v/>
      </c>
      <c r="AJ24" s="25" t="str">
        <f>IF('Residual-RosteredMATRIX-CARER'!AH57=0,"",'Residual-RosteredMATRIX-CARER'!AH57)</f>
        <v/>
      </c>
      <c r="AK24" s="25" t="str">
        <f>IF('Residual-RosteredMATRIX-CARER'!AI57=0,"",'Residual-RosteredMATRIX-CARER'!AI57)</f>
        <v/>
      </c>
      <c r="AL24" s="25" t="str">
        <f>IF('Residual-RosteredMATRIX-CARER'!AJ57=0,"",'Residual-RosteredMATRIX-CARER'!AJ57)</f>
        <v/>
      </c>
      <c r="AM24" s="25" t="str">
        <f>IF('Residual-RosteredMATRIX-CARER'!AK57=0,"",'Residual-RosteredMATRIX-CARER'!AK57)</f>
        <v/>
      </c>
      <c r="AN24" s="25" t="str">
        <f>IF('Residual-RosteredMATRIX-CARER'!AL57=0,"",'Residual-RosteredMATRIX-CARER'!AL57)</f>
        <v/>
      </c>
      <c r="AO24" s="25" t="str">
        <f>IF('Residual-RosteredMATRIX-CARER'!AM57=0,"",'Residual-RosteredMATRIX-CARER'!AM57)</f>
        <v/>
      </c>
      <c r="AP24" s="25" t="str">
        <f>IF('Residual-RosteredMATRIX-CARER'!AN57=0,"",'Residual-RosteredMATRIX-CARER'!AN57)</f>
        <v/>
      </c>
      <c r="AQ24" s="25" t="str">
        <f>IF('Residual-RosteredMATRIX-CARER'!AO57=0,"",'Residual-RosteredMATRIX-CARER'!AO57)</f>
        <v/>
      </c>
      <c r="AR24" s="25" t="str">
        <f>IF('Residual-RosteredMATRIX-CARER'!AP57=0,"",'Residual-RosteredMATRIX-CARER'!AP57)</f>
        <v/>
      </c>
      <c r="AS24" s="25" t="str">
        <f>IF('Residual-RosteredMATRIX-CARER'!AQ57=0,"",'Residual-RosteredMATRIX-CARER'!AQ57)</f>
        <v/>
      </c>
      <c r="AT24" s="25" t="str">
        <f>IF('Residual-RosteredMATRIX-CARER'!AR57=0,"",'Residual-RosteredMATRIX-CARER'!AR57)</f>
        <v/>
      </c>
      <c r="AU24" s="25" t="str">
        <f>IF('Residual-RosteredMATRIX-CARER'!AS57=0,"",'Residual-RosteredMATRIX-CARER'!AS57)</f>
        <v/>
      </c>
      <c r="AV24" s="25" t="str">
        <f>IF('Residual-RosteredMATRIX-CARER'!AT57=0,"",'Residual-RosteredMATRIX-CARER'!AT57)</f>
        <v/>
      </c>
      <c r="AW24" s="25" t="str">
        <f>IF('Residual-RosteredMATRIX-CARER'!AU57=0,"",'Residual-RosteredMATRIX-CARER'!AU57)</f>
        <v/>
      </c>
    </row>
    <row r="25" spans="1:50" ht="15.75" customHeight="1" x14ac:dyDescent="0.25">
      <c r="A25" s="25" t="e">
        <f>'Residual-Rostered'!#REF!</f>
        <v>#REF!</v>
      </c>
      <c r="B25" s="33">
        <f>'Residual-RosteredMATRIX-CARER'!D58</f>
        <v>0</v>
      </c>
      <c r="C25" s="33">
        <f>'Residual-RosteredMATRIX-CARER'!C58</f>
        <v>0</v>
      </c>
      <c r="D25" s="34">
        <f>'Residual-RosteredMATRIX-RN'!D58</f>
        <v>0</v>
      </c>
      <c r="E25" s="14">
        <f>Max_HRS-Table314[[#This Row],[ROSTERED TIME]]</f>
        <v>76</v>
      </c>
      <c r="F25" s="14">
        <f t="shared" si="5"/>
        <v>0</v>
      </c>
      <c r="G25" s="14">
        <f>Table314[[#This Row],[ROSTERED TIME]]+Table314[[#This Row],[CHANGE TIME]]</f>
        <v>0</v>
      </c>
      <c r="H25" s="25" t="str">
        <f>IF('Residual-RosteredMATRIX-CARER'!F58=0,"",'Residual-RosteredMATRIX-CARER'!F58)</f>
        <v/>
      </c>
      <c r="I25" s="25" t="str">
        <f>IF('Residual-RosteredMATRIX-CARER'!G58=0,"",'Residual-RosteredMATRIX-CARER'!G58)</f>
        <v/>
      </c>
      <c r="J25" s="25" t="str">
        <f>IF('Residual-RosteredMATRIX-CARER'!H58=0,"",'Residual-RosteredMATRIX-CARER'!H58)</f>
        <v/>
      </c>
      <c r="K25" s="25" t="str">
        <f>IF('Residual-RosteredMATRIX-CARER'!I58=0,"",'Residual-RosteredMATRIX-CARER'!I58)</f>
        <v/>
      </c>
      <c r="L25" s="25" t="str">
        <f>IF('Residual-RosteredMATRIX-CARER'!J58=0,"",'Residual-RosteredMATRIX-CARER'!J58)</f>
        <v/>
      </c>
      <c r="M25" s="25" t="str">
        <f>IF('Residual-RosteredMATRIX-CARER'!K58=0,"",'Residual-RosteredMATRIX-CARER'!K58)</f>
        <v/>
      </c>
      <c r="N25" s="25" t="str">
        <f>IF('Residual-RosteredMATRIX-CARER'!L58=0,"",'Residual-RosteredMATRIX-CARER'!L58)</f>
        <v/>
      </c>
      <c r="O25" s="25" t="str">
        <f>IF('Residual-RosteredMATRIX-CARER'!M58=0,"",'Residual-RosteredMATRIX-CARER'!M58)</f>
        <v/>
      </c>
      <c r="P25" s="25" t="str">
        <f>IF('Residual-RosteredMATRIX-CARER'!N58=0,"",'Residual-RosteredMATRIX-CARER'!N58)</f>
        <v/>
      </c>
      <c r="Q25" s="25" t="str">
        <f>IF('Residual-RosteredMATRIX-CARER'!O58=0,"",'Residual-RosteredMATRIX-CARER'!O58)</f>
        <v/>
      </c>
      <c r="R25" s="25" t="str">
        <f>IF('Residual-RosteredMATRIX-CARER'!P58=0,"",'Residual-RosteredMATRIX-CARER'!P58)</f>
        <v/>
      </c>
      <c r="S25" s="25" t="str">
        <f>IF('Residual-RosteredMATRIX-CARER'!Q58=0,"",'Residual-RosteredMATRIX-CARER'!Q58)</f>
        <v/>
      </c>
      <c r="T25" s="25" t="str">
        <f>IF('Residual-RosteredMATRIX-CARER'!R58=0,"",'Residual-RosteredMATRIX-CARER'!R58)</f>
        <v/>
      </c>
      <c r="U25" s="25" t="str">
        <f>IF('Residual-RosteredMATRIX-CARER'!S58=0,"",'Residual-RosteredMATRIX-CARER'!S58)</f>
        <v/>
      </c>
      <c r="V25" s="25" t="str">
        <f>IF('Residual-RosteredMATRIX-CARER'!T58=0,"",'Residual-RosteredMATRIX-CARER'!T58)</f>
        <v/>
      </c>
      <c r="W25" s="25" t="str">
        <f>IF('Residual-RosteredMATRIX-CARER'!U58=0,"",'Residual-RosteredMATRIX-CARER'!U58)</f>
        <v/>
      </c>
      <c r="X25" s="25" t="str">
        <f>IF('Residual-RosteredMATRIX-CARER'!V58=0,"",'Residual-RosteredMATRIX-CARER'!V58)</f>
        <v/>
      </c>
      <c r="Y25" s="25" t="str">
        <f>IF('Residual-RosteredMATRIX-CARER'!W58=0,"",'Residual-RosteredMATRIX-CARER'!W58)</f>
        <v/>
      </c>
      <c r="Z25" s="25" t="str">
        <f>IF('Residual-RosteredMATRIX-CARER'!X58=0,"",'Residual-RosteredMATRIX-CARER'!X58)</f>
        <v/>
      </c>
      <c r="AA25" s="25" t="str">
        <f>IF('Residual-RosteredMATRIX-CARER'!Y58=0,"",'Residual-RosteredMATRIX-CARER'!Y58)</f>
        <v/>
      </c>
      <c r="AB25" s="25" t="str">
        <f>IF('Residual-RosteredMATRIX-CARER'!Z58=0,"",'Residual-RosteredMATRIX-CARER'!Z58)</f>
        <v/>
      </c>
      <c r="AC25" s="25" t="str">
        <f>IF('Residual-RosteredMATRIX-CARER'!AA58=0,"",'Residual-RosteredMATRIX-CARER'!AA58)</f>
        <v/>
      </c>
      <c r="AD25" s="25" t="str">
        <f>IF('Residual-RosteredMATRIX-CARER'!AB58=0,"",'Residual-RosteredMATRIX-CARER'!AB58)</f>
        <v/>
      </c>
      <c r="AE25" s="25" t="str">
        <f>IF('Residual-RosteredMATRIX-CARER'!AC58=0,"",'Residual-RosteredMATRIX-CARER'!AC58)</f>
        <v/>
      </c>
      <c r="AF25" s="25" t="str">
        <f>IF('Residual-RosteredMATRIX-CARER'!AD58=0,"",'Residual-RosteredMATRIX-CARER'!AD58)</f>
        <v/>
      </c>
      <c r="AG25" s="25" t="str">
        <f>IF('Residual-RosteredMATRIX-CARER'!AE58=0,"",'Residual-RosteredMATRIX-CARER'!AE58)</f>
        <v/>
      </c>
      <c r="AH25" s="25" t="str">
        <f>IF('Residual-RosteredMATRIX-CARER'!AF58=0,"",'Residual-RosteredMATRIX-CARER'!AF58)</f>
        <v/>
      </c>
      <c r="AI25" s="25" t="str">
        <f>IF('Residual-RosteredMATRIX-CARER'!AG58=0,"",'Residual-RosteredMATRIX-CARER'!AG58)</f>
        <v/>
      </c>
      <c r="AJ25" s="25" t="str">
        <f>IF('Residual-RosteredMATRIX-CARER'!AH58=0,"",'Residual-RosteredMATRIX-CARER'!AH58)</f>
        <v/>
      </c>
      <c r="AK25" s="25" t="str">
        <f>IF('Residual-RosteredMATRIX-CARER'!AI58=0,"",'Residual-RosteredMATRIX-CARER'!AI58)</f>
        <v/>
      </c>
      <c r="AL25" s="25" t="str">
        <f>IF('Residual-RosteredMATRIX-CARER'!AJ58=0,"",'Residual-RosteredMATRIX-CARER'!AJ58)</f>
        <v/>
      </c>
      <c r="AM25" s="25" t="str">
        <f>IF('Residual-RosteredMATRIX-CARER'!AK58=0,"",'Residual-RosteredMATRIX-CARER'!AK58)</f>
        <v/>
      </c>
      <c r="AN25" s="25" t="str">
        <f>IF('Residual-RosteredMATRIX-CARER'!AL58=0,"",'Residual-RosteredMATRIX-CARER'!AL58)</f>
        <v/>
      </c>
      <c r="AO25" s="25" t="str">
        <f>IF('Residual-RosteredMATRIX-CARER'!AM58=0,"",'Residual-RosteredMATRIX-CARER'!AM58)</f>
        <v/>
      </c>
      <c r="AP25" s="25" t="str">
        <f>IF('Residual-RosteredMATRIX-CARER'!AN58=0,"",'Residual-RosteredMATRIX-CARER'!AN58)</f>
        <v/>
      </c>
      <c r="AQ25" s="25" t="str">
        <f>IF('Residual-RosteredMATRIX-CARER'!AO58=0,"",'Residual-RosteredMATRIX-CARER'!AO58)</f>
        <v/>
      </c>
      <c r="AR25" s="25" t="str">
        <f>IF('Residual-RosteredMATRIX-CARER'!AP58=0,"",'Residual-RosteredMATRIX-CARER'!AP58)</f>
        <v/>
      </c>
      <c r="AS25" s="25" t="str">
        <f>IF('Residual-RosteredMATRIX-CARER'!AQ58=0,"",'Residual-RosteredMATRIX-CARER'!AQ58)</f>
        <v/>
      </c>
      <c r="AT25" s="25" t="str">
        <f>IF('Residual-RosteredMATRIX-CARER'!AR58=0,"",'Residual-RosteredMATRIX-CARER'!AR58)</f>
        <v/>
      </c>
      <c r="AU25" s="25" t="str">
        <f>IF('Residual-RosteredMATRIX-CARER'!AS58=0,"",'Residual-RosteredMATRIX-CARER'!AS58)</f>
        <v/>
      </c>
      <c r="AV25" s="25" t="str">
        <f>IF('Residual-RosteredMATRIX-CARER'!AT58=0,"",'Residual-RosteredMATRIX-CARER'!AT58)</f>
        <v/>
      </c>
      <c r="AW25" s="25" t="str">
        <f>IF('Residual-RosteredMATRIX-CARER'!AU58=0,"",'Residual-RosteredMATRIX-CARER'!AU58)</f>
        <v/>
      </c>
    </row>
    <row r="26" spans="1:50" ht="15.75" customHeight="1" x14ac:dyDescent="0.25">
      <c r="A26" s="25" t="e">
        <f>'Residual-Rostered'!#REF!</f>
        <v>#REF!</v>
      </c>
      <c r="B26" s="33">
        <f>'Residual-RosteredMATRIX-CARER'!D59</f>
        <v>0</v>
      </c>
      <c r="C26" s="33">
        <f>'Residual-RosteredMATRIX-CARER'!C59</f>
        <v>0</v>
      </c>
      <c r="D26" s="34">
        <f>'Residual-RosteredMATRIX-RN'!D59</f>
        <v>0</v>
      </c>
      <c r="E26" s="14">
        <f>Max_HRS-Table314[[#This Row],[ROSTERED TIME]]</f>
        <v>76</v>
      </c>
      <c r="F26" s="14">
        <f t="shared" si="5"/>
        <v>0</v>
      </c>
      <c r="G26" s="14">
        <f>Table314[[#This Row],[ROSTERED TIME]]+Table314[[#This Row],[CHANGE TIME]]</f>
        <v>0</v>
      </c>
      <c r="H26" s="25" t="str">
        <f>IF('Residual-RosteredMATRIX-CARER'!F59=0,"",'Residual-RosteredMATRIX-CARER'!F59)</f>
        <v/>
      </c>
      <c r="I26" s="25" t="str">
        <f>IF('Residual-RosteredMATRIX-CARER'!G59=0,"",'Residual-RosteredMATRIX-CARER'!G59)</f>
        <v/>
      </c>
      <c r="J26" s="25" t="str">
        <f>IF('Residual-RosteredMATRIX-CARER'!H59=0,"",'Residual-RosteredMATRIX-CARER'!H59)</f>
        <v/>
      </c>
      <c r="K26" s="25" t="str">
        <f>IF('Residual-RosteredMATRIX-CARER'!I59=0,"",'Residual-RosteredMATRIX-CARER'!I59)</f>
        <v/>
      </c>
      <c r="L26" s="25" t="str">
        <f>IF('Residual-RosteredMATRIX-CARER'!J59=0,"",'Residual-RosteredMATRIX-CARER'!J59)</f>
        <v/>
      </c>
      <c r="M26" s="25" t="str">
        <f>IF('Residual-RosteredMATRIX-CARER'!K59=0,"",'Residual-RosteredMATRIX-CARER'!K59)</f>
        <v/>
      </c>
      <c r="N26" s="25" t="str">
        <f>IF('Residual-RosteredMATRIX-CARER'!L59=0,"",'Residual-RosteredMATRIX-CARER'!L59)</f>
        <v/>
      </c>
      <c r="O26" s="25" t="str">
        <f>IF('Residual-RosteredMATRIX-CARER'!M59=0,"",'Residual-RosteredMATRIX-CARER'!M59)</f>
        <v/>
      </c>
      <c r="P26" s="25" t="str">
        <f>IF('Residual-RosteredMATRIX-CARER'!N59=0,"",'Residual-RosteredMATRIX-CARER'!N59)</f>
        <v/>
      </c>
      <c r="Q26" s="25" t="str">
        <f>IF('Residual-RosteredMATRIX-CARER'!O59=0,"",'Residual-RosteredMATRIX-CARER'!O59)</f>
        <v/>
      </c>
      <c r="R26" s="25" t="str">
        <f>IF('Residual-RosteredMATRIX-CARER'!P59=0,"",'Residual-RosteredMATRIX-CARER'!P59)</f>
        <v/>
      </c>
      <c r="S26" s="25" t="str">
        <f>IF('Residual-RosteredMATRIX-CARER'!Q59=0,"",'Residual-RosteredMATRIX-CARER'!Q59)</f>
        <v/>
      </c>
      <c r="T26" s="25" t="str">
        <f>IF('Residual-RosteredMATRIX-CARER'!R59=0,"",'Residual-RosteredMATRIX-CARER'!R59)</f>
        <v/>
      </c>
      <c r="U26" s="25" t="str">
        <f>IF('Residual-RosteredMATRIX-CARER'!S59=0,"",'Residual-RosteredMATRIX-CARER'!S59)</f>
        <v/>
      </c>
      <c r="V26" s="25" t="str">
        <f>IF('Residual-RosteredMATRIX-CARER'!T59=0,"",'Residual-RosteredMATRIX-CARER'!T59)</f>
        <v/>
      </c>
      <c r="W26" s="25" t="str">
        <f>IF('Residual-RosteredMATRIX-CARER'!U59=0,"",'Residual-RosteredMATRIX-CARER'!U59)</f>
        <v/>
      </c>
      <c r="X26" s="25" t="str">
        <f>IF('Residual-RosteredMATRIX-CARER'!V59=0,"",'Residual-RosteredMATRIX-CARER'!V59)</f>
        <v/>
      </c>
      <c r="Y26" s="25" t="str">
        <f>IF('Residual-RosteredMATRIX-CARER'!W59=0,"",'Residual-RosteredMATRIX-CARER'!W59)</f>
        <v/>
      </c>
      <c r="Z26" s="25" t="str">
        <f>IF('Residual-RosteredMATRIX-CARER'!X59=0,"",'Residual-RosteredMATRIX-CARER'!X59)</f>
        <v/>
      </c>
      <c r="AA26" s="25" t="str">
        <f>IF('Residual-RosteredMATRIX-CARER'!Y59=0,"",'Residual-RosteredMATRIX-CARER'!Y59)</f>
        <v/>
      </c>
      <c r="AB26" s="25" t="str">
        <f>IF('Residual-RosteredMATRIX-CARER'!Z59=0,"",'Residual-RosteredMATRIX-CARER'!Z59)</f>
        <v/>
      </c>
      <c r="AC26" s="25" t="str">
        <f>IF('Residual-RosteredMATRIX-CARER'!AA59=0,"",'Residual-RosteredMATRIX-CARER'!AA59)</f>
        <v/>
      </c>
      <c r="AD26" s="25" t="str">
        <f>IF('Residual-RosteredMATRIX-CARER'!AB59=0,"",'Residual-RosteredMATRIX-CARER'!AB59)</f>
        <v/>
      </c>
      <c r="AE26" s="25" t="str">
        <f>IF('Residual-RosteredMATRIX-CARER'!AC59=0,"",'Residual-RosteredMATRIX-CARER'!AC59)</f>
        <v/>
      </c>
      <c r="AF26" s="25" t="str">
        <f>IF('Residual-RosteredMATRIX-CARER'!AD59=0,"",'Residual-RosteredMATRIX-CARER'!AD59)</f>
        <v/>
      </c>
      <c r="AG26" s="25" t="str">
        <f>IF('Residual-RosteredMATRIX-CARER'!AE59=0,"",'Residual-RosteredMATRIX-CARER'!AE59)</f>
        <v/>
      </c>
      <c r="AH26" s="25" t="str">
        <f>IF('Residual-RosteredMATRIX-CARER'!AF59=0,"",'Residual-RosteredMATRIX-CARER'!AF59)</f>
        <v/>
      </c>
      <c r="AI26" s="25" t="str">
        <f>IF('Residual-RosteredMATRIX-CARER'!AG59=0,"",'Residual-RosteredMATRIX-CARER'!AG59)</f>
        <v/>
      </c>
      <c r="AJ26" s="25" t="str">
        <f>IF('Residual-RosteredMATRIX-CARER'!AH59=0,"",'Residual-RosteredMATRIX-CARER'!AH59)</f>
        <v/>
      </c>
      <c r="AK26" s="25" t="str">
        <f>IF('Residual-RosteredMATRIX-CARER'!AI59=0,"",'Residual-RosteredMATRIX-CARER'!AI59)</f>
        <v/>
      </c>
      <c r="AL26" s="25" t="str">
        <f>IF('Residual-RosteredMATRIX-CARER'!AJ59=0,"",'Residual-RosteredMATRIX-CARER'!AJ59)</f>
        <v/>
      </c>
      <c r="AM26" s="25" t="str">
        <f>IF('Residual-RosteredMATRIX-CARER'!AK59=0,"",'Residual-RosteredMATRIX-CARER'!AK59)</f>
        <v/>
      </c>
      <c r="AN26" s="25" t="str">
        <f>IF('Residual-RosteredMATRIX-CARER'!AL59=0,"",'Residual-RosteredMATRIX-CARER'!AL59)</f>
        <v/>
      </c>
      <c r="AO26" s="25" t="str">
        <f>IF('Residual-RosteredMATRIX-CARER'!AM59=0,"",'Residual-RosteredMATRIX-CARER'!AM59)</f>
        <v/>
      </c>
      <c r="AP26" s="25" t="str">
        <f>IF('Residual-RosteredMATRIX-CARER'!AN59=0,"",'Residual-RosteredMATRIX-CARER'!AN59)</f>
        <v/>
      </c>
      <c r="AQ26" s="25" t="str">
        <f>IF('Residual-RosteredMATRIX-CARER'!AO59=0,"",'Residual-RosteredMATRIX-CARER'!AO59)</f>
        <v/>
      </c>
      <c r="AR26" s="25" t="str">
        <f>IF('Residual-RosteredMATRIX-CARER'!AP59=0,"",'Residual-RosteredMATRIX-CARER'!AP59)</f>
        <v/>
      </c>
      <c r="AS26" s="25" t="str">
        <f>IF('Residual-RosteredMATRIX-CARER'!AQ59=0,"",'Residual-RosteredMATRIX-CARER'!AQ59)</f>
        <v/>
      </c>
      <c r="AT26" s="25" t="str">
        <f>IF('Residual-RosteredMATRIX-CARER'!AR59=0,"",'Residual-RosteredMATRIX-CARER'!AR59)</f>
        <v/>
      </c>
      <c r="AU26" s="25" t="str">
        <f>IF('Residual-RosteredMATRIX-CARER'!AS59=0,"",'Residual-RosteredMATRIX-CARER'!AS59)</f>
        <v/>
      </c>
      <c r="AV26" s="25" t="str">
        <f>IF('Residual-RosteredMATRIX-CARER'!AT59=0,"",'Residual-RosteredMATRIX-CARER'!AT59)</f>
        <v/>
      </c>
      <c r="AW26" s="25" t="str">
        <f>IF('Residual-RosteredMATRIX-CARER'!AU59=0,"",'Residual-RosteredMATRIX-CARER'!AU59)</f>
        <v/>
      </c>
    </row>
    <row r="27" spans="1:50" ht="15.75" customHeight="1" x14ac:dyDescent="0.25">
      <c r="A27" s="25" t="e">
        <f>'Residual-Rostered'!#REF!</f>
        <v>#REF!</v>
      </c>
      <c r="B27" s="33">
        <f>'Residual-RosteredMATRIX-CARER'!D60</f>
        <v>0</v>
      </c>
      <c r="C27" s="33">
        <f>'Residual-RosteredMATRIX-CARER'!C60</f>
        <v>0</v>
      </c>
      <c r="D27" s="34">
        <f>'Residual-RosteredMATRIX-RN'!D60</f>
        <v>0</v>
      </c>
      <c r="E27" s="14">
        <f>Max_HRS-Table314[[#This Row],[ROSTERED TIME]]</f>
        <v>76</v>
      </c>
      <c r="F27" s="14">
        <f t="shared" si="5"/>
        <v>0</v>
      </c>
      <c r="G27" s="14">
        <f>Table314[[#This Row],[ROSTERED TIME]]+Table314[[#This Row],[CHANGE TIME]]</f>
        <v>0</v>
      </c>
      <c r="H27" s="25" t="str">
        <f>IF('Residual-RosteredMATRIX-CARER'!F60=0,"",'Residual-RosteredMATRIX-CARER'!F60)</f>
        <v/>
      </c>
      <c r="I27" s="25" t="str">
        <f>IF('Residual-RosteredMATRIX-CARER'!G60=0,"",'Residual-RosteredMATRIX-CARER'!G60)</f>
        <v/>
      </c>
      <c r="J27" s="25" t="str">
        <f>IF('Residual-RosteredMATRIX-CARER'!H60=0,"",'Residual-RosteredMATRIX-CARER'!H60)</f>
        <v/>
      </c>
      <c r="K27" s="25" t="str">
        <f>IF('Residual-RosteredMATRIX-CARER'!I60=0,"",'Residual-RosteredMATRIX-CARER'!I60)</f>
        <v/>
      </c>
      <c r="L27" s="25" t="str">
        <f>IF('Residual-RosteredMATRIX-CARER'!J60=0,"",'Residual-RosteredMATRIX-CARER'!J60)</f>
        <v/>
      </c>
      <c r="M27" s="25" t="str">
        <f>IF('Residual-RosteredMATRIX-CARER'!K60=0,"",'Residual-RosteredMATRIX-CARER'!K60)</f>
        <v/>
      </c>
      <c r="N27" s="25" t="str">
        <f>IF('Residual-RosteredMATRIX-CARER'!L60=0,"",'Residual-RosteredMATRIX-CARER'!L60)</f>
        <v/>
      </c>
      <c r="O27" s="25" t="str">
        <f>IF('Residual-RosteredMATRIX-CARER'!M60=0,"",'Residual-RosteredMATRIX-CARER'!M60)</f>
        <v/>
      </c>
      <c r="P27" s="25" t="str">
        <f>IF('Residual-RosteredMATRIX-CARER'!N60=0,"",'Residual-RosteredMATRIX-CARER'!N60)</f>
        <v/>
      </c>
      <c r="Q27" s="25" t="str">
        <f>IF('Residual-RosteredMATRIX-CARER'!O60=0,"",'Residual-RosteredMATRIX-CARER'!O60)</f>
        <v/>
      </c>
      <c r="R27" s="25" t="str">
        <f>IF('Residual-RosteredMATRIX-CARER'!P60=0,"",'Residual-RosteredMATRIX-CARER'!P60)</f>
        <v/>
      </c>
      <c r="S27" s="25" t="str">
        <f>IF('Residual-RosteredMATRIX-CARER'!Q60=0,"",'Residual-RosteredMATRIX-CARER'!Q60)</f>
        <v/>
      </c>
      <c r="T27" s="25" t="str">
        <f>IF('Residual-RosteredMATRIX-CARER'!R60=0,"",'Residual-RosteredMATRIX-CARER'!R60)</f>
        <v/>
      </c>
      <c r="U27" s="25" t="str">
        <f>IF('Residual-RosteredMATRIX-CARER'!S60=0,"",'Residual-RosteredMATRIX-CARER'!S60)</f>
        <v/>
      </c>
      <c r="V27" s="25" t="str">
        <f>IF('Residual-RosteredMATRIX-CARER'!T60=0,"",'Residual-RosteredMATRIX-CARER'!T60)</f>
        <v/>
      </c>
      <c r="W27" s="25" t="str">
        <f>IF('Residual-RosteredMATRIX-CARER'!U60=0,"",'Residual-RosteredMATRIX-CARER'!U60)</f>
        <v/>
      </c>
      <c r="X27" s="25" t="str">
        <f>IF('Residual-RosteredMATRIX-CARER'!V60=0,"",'Residual-RosteredMATRIX-CARER'!V60)</f>
        <v/>
      </c>
      <c r="Y27" s="25" t="str">
        <f>IF('Residual-RosteredMATRIX-CARER'!W60=0,"",'Residual-RosteredMATRIX-CARER'!W60)</f>
        <v/>
      </c>
      <c r="Z27" s="25" t="str">
        <f>IF('Residual-RosteredMATRIX-CARER'!X60=0,"",'Residual-RosteredMATRIX-CARER'!X60)</f>
        <v/>
      </c>
      <c r="AA27" s="25" t="str">
        <f>IF('Residual-RosteredMATRIX-CARER'!Y60=0,"",'Residual-RosteredMATRIX-CARER'!Y60)</f>
        <v/>
      </c>
      <c r="AB27" s="25" t="str">
        <f>IF('Residual-RosteredMATRIX-CARER'!Z60=0,"",'Residual-RosteredMATRIX-CARER'!Z60)</f>
        <v/>
      </c>
      <c r="AC27" s="25" t="str">
        <f>IF('Residual-RosteredMATRIX-CARER'!AA60=0,"",'Residual-RosteredMATRIX-CARER'!AA60)</f>
        <v/>
      </c>
      <c r="AD27" s="25" t="str">
        <f>IF('Residual-RosteredMATRIX-CARER'!AB60=0,"",'Residual-RosteredMATRIX-CARER'!AB60)</f>
        <v/>
      </c>
      <c r="AE27" s="25" t="str">
        <f>IF('Residual-RosteredMATRIX-CARER'!AC60=0,"",'Residual-RosteredMATRIX-CARER'!AC60)</f>
        <v/>
      </c>
      <c r="AF27" s="25" t="str">
        <f>IF('Residual-RosteredMATRIX-CARER'!AD60=0,"",'Residual-RosteredMATRIX-CARER'!AD60)</f>
        <v/>
      </c>
      <c r="AG27" s="25" t="str">
        <f>IF('Residual-RosteredMATRIX-CARER'!AE60=0,"",'Residual-RosteredMATRIX-CARER'!AE60)</f>
        <v/>
      </c>
      <c r="AH27" s="25" t="str">
        <f>IF('Residual-RosteredMATRIX-CARER'!AF60=0,"",'Residual-RosteredMATRIX-CARER'!AF60)</f>
        <v/>
      </c>
      <c r="AI27" s="25" t="str">
        <f>IF('Residual-RosteredMATRIX-CARER'!AG60=0,"",'Residual-RosteredMATRIX-CARER'!AG60)</f>
        <v/>
      </c>
      <c r="AJ27" s="25" t="str">
        <f>IF('Residual-RosteredMATRIX-CARER'!AH60=0,"",'Residual-RosteredMATRIX-CARER'!AH60)</f>
        <v/>
      </c>
      <c r="AK27" s="25" t="str">
        <f>IF('Residual-RosteredMATRIX-CARER'!AI60=0,"",'Residual-RosteredMATRIX-CARER'!AI60)</f>
        <v/>
      </c>
      <c r="AL27" s="25" t="str">
        <f>IF('Residual-RosteredMATRIX-CARER'!AJ60=0,"",'Residual-RosteredMATRIX-CARER'!AJ60)</f>
        <v/>
      </c>
      <c r="AM27" s="25" t="str">
        <f>IF('Residual-RosteredMATRIX-CARER'!AK60=0,"",'Residual-RosteredMATRIX-CARER'!AK60)</f>
        <v/>
      </c>
      <c r="AN27" s="25" t="str">
        <f>IF('Residual-RosteredMATRIX-CARER'!AL60=0,"",'Residual-RosteredMATRIX-CARER'!AL60)</f>
        <v/>
      </c>
      <c r="AO27" s="25" t="str">
        <f>IF('Residual-RosteredMATRIX-CARER'!AM60=0,"",'Residual-RosteredMATRIX-CARER'!AM60)</f>
        <v/>
      </c>
      <c r="AP27" s="25" t="str">
        <f>IF('Residual-RosteredMATRIX-CARER'!AN60=0,"",'Residual-RosteredMATRIX-CARER'!AN60)</f>
        <v/>
      </c>
      <c r="AQ27" s="25" t="str">
        <f>IF('Residual-RosteredMATRIX-CARER'!AO60=0,"",'Residual-RosteredMATRIX-CARER'!AO60)</f>
        <v/>
      </c>
      <c r="AR27" s="25" t="str">
        <f>IF('Residual-RosteredMATRIX-CARER'!AP60=0,"",'Residual-RosteredMATRIX-CARER'!AP60)</f>
        <v/>
      </c>
      <c r="AS27" s="25" t="str">
        <f>IF('Residual-RosteredMATRIX-CARER'!AQ60=0,"",'Residual-RosteredMATRIX-CARER'!AQ60)</f>
        <v/>
      </c>
      <c r="AT27" s="25" t="str">
        <f>IF('Residual-RosteredMATRIX-CARER'!AR60=0,"",'Residual-RosteredMATRIX-CARER'!AR60)</f>
        <v/>
      </c>
      <c r="AU27" s="25" t="str">
        <f>IF('Residual-RosteredMATRIX-CARER'!AS60=0,"",'Residual-RosteredMATRIX-CARER'!AS60)</f>
        <v/>
      </c>
      <c r="AV27" s="25" t="str">
        <f>IF('Residual-RosteredMATRIX-CARER'!AT60=0,"",'Residual-RosteredMATRIX-CARER'!AT60)</f>
        <v/>
      </c>
      <c r="AW27" s="25" t="str">
        <f>IF('Residual-RosteredMATRIX-CARER'!AU60=0,"",'Residual-RosteredMATRIX-CARER'!AU60)</f>
        <v/>
      </c>
    </row>
    <row r="28" spans="1:50" ht="15.75" customHeight="1" x14ac:dyDescent="0.25">
      <c r="A28" s="25" t="e">
        <f>'Residual-Rostered'!#REF!</f>
        <v>#REF!</v>
      </c>
      <c r="B28" s="33">
        <f>'Residual-RosteredMATRIX-CARER'!D61</f>
        <v>0</v>
      </c>
      <c r="C28" s="33">
        <f>'Residual-RosteredMATRIX-CARER'!C61</f>
        <v>0</v>
      </c>
      <c r="D28" s="34">
        <f>'Residual-RosteredMATRIX-RN'!D61</f>
        <v>0</v>
      </c>
      <c r="E28" s="14">
        <f>Max_HRS-Table314[[#This Row],[ROSTERED TIME]]</f>
        <v>76</v>
      </c>
      <c r="F28" s="14">
        <f t="shared" si="5"/>
        <v>0</v>
      </c>
      <c r="G28" s="14">
        <f>Table314[[#This Row],[ROSTERED TIME]]+Table314[[#This Row],[CHANGE TIME]]</f>
        <v>0</v>
      </c>
      <c r="H28" s="25" t="str">
        <f>IF('Residual-RosteredMATRIX-CARER'!F61=0,"",'Residual-RosteredMATRIX-CARER'!F61)</f>
        <v/>
      </c>
      <c r="I28" s="25" t="str">
        <f>IF('Residual-RosteredMATRIX-CARER'!G61=0,"",'Residual-RosteredMATRIX-CARER'!G61)</f>
        <v/>
      </c>
      <c r="J28" s="25" t="str">
        <f>IF('Residual-RosteredMATRIX-CARER'!H61=0,"",'Residual-RosteredMATRIX-CARER'!H61)</f>
        <v/>
      </c>
      <c r="K28" s="25" t="str">
        <f>IF('Residual-RosteredMATRIX-CARER'!I61=0,"",'Residual-RosteredMATRIX-CARER'!I61)</f>
        <v/>
      </c>
      <c r="L28" s="25" t="str">
        <f>IF('Residual-RosteredMATRIX-CARER'!J61=0,"",'Residual-RosteredMATRIX-CARER'!J61)</f>
        <v/>
      </c>
      <c r="M28" s="25" t="str">
        <f>IF('Residual-RosteredMATRIX-CARER'!K61=0,"",'Residual-RosteredMATRIX-CARER'!K61)</f>
        <v/>
      </c>
      <c r="N28" s="25" t="str">
        <f>IF('Residual-RosteredMATRIX-CARER'!L61=0,"",'Residual-RosteredMATRIX-CARER'!L61)</f>
        <v/>
      </c>
      <c r="O28" s="25" t="str">
        <f>IF('Residual-RosteredMATRIX-CARER'!M61=0,"",'Residual-RosteredMATRIX-CARER'!M61)</f>
        <v/>
      </c>
      <c r="P28" s="25" t="str">
        <f>IF('Residual-RosteredMATRIX-CARER'!N61=0,"",'Residual-RosteredMATRIX-CARER'!N61)</f>
        <v/>
      </c>
      <c r="Q28" s="25" t="str">
        <f>IF('Residual-RosteredMATRIX-CARER'!O61=0,"",'Residual-RosteredMATRIX-CARER'!O61)</f>
        <v/>
      </c>
      <c r="R28" s="25" t="str">
        <f>IF('Residual-RosteredMATRIX-CARER'!P61=0,"",'Residual-RosteredMATRIX-CARER'!P61)</f>
        <v/>
      </c>
      <c r="S28" s="25" t="str">
        <f>IF('Residual-RosteredMATRIX-CARER'!Q61=0,"",'Residual-RosteredMATRIX-CARER'!Q61)</f>
        <v/>
      </c>
      <c r="T28" s="25" t="str">
        <f>IF('Residual-RosteredMATRIX-CARER'!R61=0,"",'Residual-RosteredMATRIX-CARER'!R61)</f>
        <v/>
      </c>
      <c r="U28" s="25" t="str">
        <f>IF('Residual-RosteredMATRIX-CARER'!S61=0,"",'Residual-RosteredMATRIX-CARER'!S61)</f>
        <v/>
      </c>
      <c r="V28" s="25" t="str">
        <f>IF('Residual-RosteredMATRIX-CARER'!T61=0,"",'Residual-RosteredMATRIX-CARER'!T61)</f>
        <v/>
      </c>
      <c r="W28" s="25" t="str">
        <f>IF('Residual-RosteredMATRIX-CARER'!U61=0,"",'Residual-RosteredMATRIX-CARER'!U61)</f>
        <v/>
      </c>
      <c r="X28" s="25" t="str">
        <f>IF('Residual-RosteredMATRIX-CARER'!V61=0,"",'Residual-RosteredMATRIX-CARER'!V61)</f>
        <v/>
      </c>
      <c r="Y28" s="25" t="str">
        <f>IF('Residual-RosteredMATRIX-CARER'!W61=0,"",'Residual-RosteredMATRIX-CARER'!W61)</f>
        <v/>
      </c>
      <c r="Z28" s="25" t="str">
        <f>IF('Residual-RosteredMATRIX-CARER'!X61=0,"",'Residual-RosteredMATRIX-CARER'!X61)</f>
        <v/>
      </c>
      <c r="AA28" s="25" t="str">
        <f>IF('Residual-RosteredMATRIX-CARER'!Y61=0,"",'Residual-RosteredMATRIX-CARER'!Y61)</f>
        <v/>
      </c>
      <c r="AB28" s="25" t="str">
        <f>IF('Residual-RosteredMATRIX-CARER'!Z61=0,"",'Residual-RosteredMATRIX-CARER'!Z61)</f>
        <v/>
      </c>
      <c r="AC28" s="25" t="str">
        <f>IF('Residual-RosteredMATRIX-CARER'!AA61=0,"",'Residual-RosteredMATRIX-CARER'!AA61)</f>
        <v/>
      </c>
      <c r="AD28" s="25" t="str">
        <f>IF('Residual-RosteredMATRIX-CARER'!AB61=0,"",'Residual-RosteredMATRIX-CARER'!AB61)</f>
        <v/>
      </c>
      <c r="AE28" s="25" t="str">
        <f>IF('Residual-RosteredMATRIX-CARER'!AC61=0,"",'Residual-RosteredMATRIX-CARER'!AC61)</f>
        <v/>
      </c>
      <c r="AF28" s="25" t="str">
        <f>IF('Residual-RosteredMATRIX-CARER'!AD61=0,"",'Residual-RosteredMATRIX-CARER'!AD61)</f>
        <v/>
      </c>
      <c r="AG28" s="25" t="str">
        <f>IF('Residual-RosteredMATRIX-CARER'!AE61=0,"",'Residual-RosteredMATRIX-CARER'!AE61)</f>
        <v/>
      </c>
      <c r="AH28" s="25" t="str">
        <f>IF('Residual-RosteredMATRIX-CARER'!AF61=0,"",'Residual-RosteredMATRIX-CARER'!AF61)</f>
        <v/>
      </c>
      <c r="AI28" s="25" t="str">
        <f>IF('Residual-RosteredMATRIX-CARER'!AG61=0,"",'Residual-RosteredMATRIX-CARER'!AG61)</f>
        <v/>
      </c>
      <c r="AJ28" s="25" t="str">
        <f>IF('Residual-RosteredMATRIX-CARER'!AH61=0,"",'Residual-RosteredMATRIX-CARER'!AH61)</f>
        <v/>
      </c>
      <c r="AK28" s="25" t="str">
        <f>IF('Residual-RosteredMATRIX-CARER'!AI61=0,"",'Residual-RosteredMATRIX-CARER'!AI61)</f>
        <v/>
      </c>
      <c r="AL28" s="25" t="str">
        <f>IF('Residual-RosteredMATRIX-CARER'!AJ61=0,"",'Residual-RosteredMATRIX-CARER'!AJ61)</f>
        <v/>
      </c>
      <c r="AM28" s="25" t="str">
        <f>IF('Residual-RosteredMATRIX-CARER'!AK61=0,"",'Residual-RosteredMATRIX-CARER'!AK61)</f>
        <v/>
      </c>
      <c r="AN28" s="25" t="str">
        <f>IF('Residual-RosteredMATRIX-CARER'!AL61=0,"",'Residual-RosteredMATRIX-CARER'!AL61)</f>
        <v/>
      </c>
      <c r="AO28" s="25" t="str">
        <f>IF('Residual-RosteredMATRIX-CARER'!AM61=0,"",'Residual-RosteredMATRIX-CARER'!AM61)</f>
        <v/>
      </c>
      <c r="AP28" s="25" t="str">
        <f>IF('Residual-RosteredMATRIX-CARER'!AN61=0,"",'Residual-RosteredMATRIX-CARER'!AN61)</f>
        <v/>
      </c>
      <c r="AQ28" s="25" t="str">
        <f>IF('Residual-RosteredMATRIX-CARER'!AO61=0,"",'Residual-RosteredMATRIX-CARER'!AO61)</f>
        <v/>
      </c>
      <c r="AR28" s="25" t="str">
        <f>IF('Residual-RosteredMATRIX-CARER'!AP61=0,"",'Residual-RosteredMATRIX-CARER'!AP61)</f>
        <v/>
      </c>
      <c r="AS28" s="25" t="str">
        <f>IF('Residual-RosteredMATRIX-CARER'!AQ61=0,"",'Residual-RosteredMATRIX-CARER'!AQ61)</f>
        <v/>
      </c>
      <c r="AT28" s="25" t="str">
        <f>IF('Residual-RosteredMATRIX-CARER'!AR61=0,"",'Residual-RosteredMATRIX-CARER'!AR61)</f>
        <v/>
      </c>
      <c r="AU28" s="25" t="str">
        <f>IF('Residual-RosteredMATRIX-CARER'!AS61=0,"",'Residual-RosteredMATRIX-CARER'!AS61)</f>
        <v/>
      </c>
      <c r="AV28" s="25" t="str">
        <f>IF('Residual-RosteredMATRIX-CARER'!AT61=0,"",'Residual-RosteredMATRIX-CARER'!AT61)</f>
        <v/>
      </c>
      <c r="AW28" s="25" t="str">
        <f>IF('Residual-RosteredMATRIX-CARER'!AU61=0,"",'Residual-RosteredMATRIX-CARER'!AU61)</f>
        <v/>
      </c>
    </row>
    <row r="29" spans="1:50" ht="15.75" customHeight="1" x14ac:dyDescent="0.25">
      <c r="A29" s="25" t="e">
        <f>'Residual-Rostered'!#REF!</f>
        <v>#REF!</v>
      </c>
      <c r="B29" s="33">
        <f>'Residual-RosteredMATRIX-CARER'!D62</f>
        <v>0</v>
      </c>
      <c r="C29" s="33">
        <f>'Residual-RosteredMATRIX-CARER'!C62</f>
        <v>0</v>
      </c>
      <c r="D29" s="34">
        <f>'Residual-RosteredMATRIX-RN'!D62</f>
        <v>0</v>
      </c>
      <c r="E29" s="14">
        <f>Max_HRS-Table314[[#This Row],[ROSTERED TIME]]</f>
        <v>76</v>
      </c>
      <c r="F29" s="14">
        <f t="shared" si="5"/>
        <v>0</v>
      </c>
      <c r="G29" s="14">
        <f>Table314[[#This Row],[ROSTERED TIME]]+Table314[[#This Row],[CHANGE TIME]]</f>
        <v>0</v>
      </c>
      <c r="H29" s="25" t="str">
        <f>IF('Residual-RosteredMATRIX-CARER'!F62=0,"",'Residual-RosteredMATRIX-CARER'!F62)</f>
        <v/>
      </c>
      <c r="I29" s="25" t="str">
        <f>IF('Residual-RosteredMATRIX-CARER'!G62=0,"",'Residual-RosteredMATRIX-CARER'!G62)</f>
        <v/>
      </c>
      <c r="J29" s="25" t="str">
        <f>IF('Residual-RosteredMATRIX-CARER'!H62=0,"",'Residual-RosteredMATRIX-CARER'!H62)</f>
        <v/>
      </c>
      <c r="K29" s="25" t="str">
        <f>IF('Residual-RosteredMATRIX-CARER'!I62=0,"",'Residual-RosteredMATRIX-CARER'!I62)</f>
        <v/>
      </c>
      <c r="L29" s="25" t="str">
        <f>IF('Residual-RosteredMATRIX-CARER'!J62=0,"",'Residual-RosteredMATRIX-CARER'!J62)</f>
        <v/>
      </c>
      <c r="M29" s="25" t="str">
        <f>IF('Residual-RosteredMATRIX-CARER'!K62=0,"",'Residual-RosteredMATRIX-CARER'!K62)</f>
        <v/>
      </c>
      <c r="N29" s="25" t="str">
        <f>IF('Residual-RosteredMATRIX-CARER'!L62=0,"",'Residual-RosteredMATRIX-CARER'!L62)</f>
        <v/>
      </c>
      <c r="O29" s="25" t="str">
        <f>IF('Residual-RosteredMATRIX-CARER'!M62=0,"",'Residual-RosteredMATRIX-CARER'!M62)</f>
        <v/>
      </c>
      <c r="P29" s="25" t="str">
        <f>IF('Residual-RosteredMATRIX-CARER'!N62=0,"",'Residual-RosteredMATRIX-CARER'!N62)</f>
        <v/>
      </c>
      <c r="Q29" s="25" t="str">
        <f>IF('Residual-RosteredMATRIX-CARER'!O62=0,"",'Residual-RosteredMATRIX-CARER'!O62)</f>
        <v/>
      </c>
      <c r="R29" s="25" t="str">
        <f>IF('Residual-RosteredMATRIX-CARER'!P62=0,"",'Residual-RosteredMATRIX-CARER'!P62)</f>
        <v/>
      </c>
      <c r="S29" s="25" t="str">
        <f>IF('Residual-RosteredMATRIX-CARER'!Q62=0,"",'Residual-RosteredMATRIX-CARER'!Q62)</f>
        <v/>
      </c>
      <c r="T29" s="25" t="str">
        <f>IF('Residual-RosteredMATRIX-CARER'!R62=0,"",'Residual-RosteredMATRIX-CARER'!R62)</f>
        <v/>
      </c>
      <c r="U29" s="25" t="str">
        <f>IF('Residual-RosteredMATRIX-CARER'!S62=0,"",'Residual-RosteredMATRIX-CARER'!S62)</f>
        <v/>
      </c>
      <c r="V29" s="25" t="str">
        <f>IF('Residual-RosteredMATRIX-CARER'!T62=0,"",'Residual-RosteredMATRIX-CARER'!T62)</f>
        <v/>
      </c>
      <c r="W29" s="25" t="str">
        <f>IF('Residual-RosteredMATRIX-CARER'!U62=0,"",'Residual-RosteredMATRIX-CARER'!U62)</f>
        <v/>
      </c>
      <c r="X29" s="25" t="str">
        <f>IF('Residual-RosteredMATRIX-CARER'!V62=0,"",'Residual-RosteredMATRIX-CARER'!V62)</f>
        <v/>
      </c>
      <c r="Y29" s="25" t="str">
        <f>IF('Residual-RosteredMATRIX-CARER'!W62=0,"",'Residual-RosteredMATRIX-CARER'!W62)</f>
        <v/>
      </c>
      <c r="Z29" s="25" t="str">
        <f>IF('Residual-RosteredMATRIX-CARER'!X62=0,"",'Residual-RosteredMATRIX-CARER'!X62)</f>
        <v/>
      </c>
      <c r="AA29" s="25" t="str">
        <f>IF('Residual-RosteredMATRIX-CARER'!Y62=0,"",'Residual-RosteredMATRIX-CARER'!Y62)</f>
        <v/>
      </c>
      <c r="AB29" s="25" t="str">
        <f>IF('Residual-RosteredMATRIX-CARER'!Z62=0,"",'Residual-RosteredMATRIX-CARER'!Z62)</f>
        <v/>
      </c>
      <c r="AC29" s="25" t="str">
        <f>IF('Residual-RosteredMATRIX-CARER'!AA62=0,"",'Residual-RosteredMATRIX-CARER'!AA62)</f>
        <v/>
      </c>
      <c r="AD29" s="25" t="str">
        <f>IF('Residual-RosteredMATRIX-CARER'!AB62=0,"",'Residual-RosteredMATRIX-CARER'!AB62)</f>
        <v/>
      </c>
      <c r="AE29" s="25" t="str">
        <f>IF('Residual-RosteredMATRIX-CARER'!AC62=0,"",'Residual-RosteredMATRIX-CARER'!AC62)</f>
        <v/>
      </c>
      <c r="AF29" s="25" t="str">
        <f>IF('Residual-RosteredMATRIX-CARER'!AD62=0,"",'Residual-RosteredMATRIX-CARER'!AD62)</f>
        <v/>
      </c>
      <c r="AG29" s="25" t="str">
        <f>IF('Residual-RosteredMATRIX-CARER'!AE62=0,"",'Residual-RosteredMATRIX-CARER'!AE62)</f>
        <v/>
      </c>
      <c r="AH29" s="25" t="str">
        <f>IF('Residual-RosteredMATRIX-CARER'!AF62=0,"",'Residual-RosteredMATRIX-CARER'!AF62)</f>
        <v/>
      </c>
      <c r="AI29" s="25" t="str">
        <f>IF('Residual-RosteredMATRIX-CARER'!AG62=0,"",'Residual-RosteredMATRIX-CARER'!AG62)</f>
        <v/>
      </c>
      <c r="AJ29" s="25" t="str">
        <f>IF('Residual-RosteredMATRIX-CARER'!AH62=0,"",'Residual-RosteredMATRIX-CARER'!AH62)</f>
        <v/>
      </c>
      <c r="AK29" s="25" t="str">
        <f>IF('Residual-RosteredMATRIX-CARER'!AI62=0,"",'Residual-RosteredMATRIX-CARER'!AI62)</f>
        <v/>
      </c>
      <c r="AL29" s="25" t="str">
        <f>IF('Residual-RosteredMATRIX-CARER'!AJ62=0,"",'Residual-RosteredMATRIX-CARER'!AJ62)</f>
        <v/>
      </c>
      <c r="AM29" s="25" t="str">
        <f>IF('Residual-RosteredMATRIX-CARER'!AK62=0,"",'Residual-RosteredMATRIX-CARER'!AK62)</f>
        <v/>
      </c>
      <c r="AN29" s="25" t="str">
        <f>IF('Residual-RosteredMATRIX-CARER'!AL62=0,"",'Residual-RosteredMATRIX-CARER'!AL62)</f>
        <v/>
      </c>
      <c r="AO29" s="25" t="str">
        <f>IF('Residual-RosteredMATRIX-CARER'!AM62=0,"",'Residual-RosteredMATRIX-CARER'!AM62)</f>
        <v/>
      </c>
      <c r="AP29" s="25" t="str">
        <f>IF('Residual-RosteredMATRIX-CARER'!AN62=0,"",'Residual-RosteredMATRIX-CARER'!AN62)</f>
        <v/>
      </c>
      <c r="AQ29" s="25" t="str">
        <f>IF('Residual-RosteredMATRIX-CARER'!AO62=0,"",'Residual-RosteredMATRIX-CARER'!AO62)</f>
        <v/>
      </c>
      <c r="AR29" s="25" t="str">
        <f>IF('Residual-RosteredMATRIX-CARER'!AP62=0,"",'Residual-RosteredMATRIX-CARER'!AP62)</f>
        <v/>
      </c>
      <c r="AS29" s="25" t="str">
        <f>IF('Residual-RosteredMATRIX-CARER'!AQ62=0,"",'Residual-RosteredMATRIX-CARER'!AQ62)</f>
        <v/>
      </c>
      <c r="AT29" s="25" t="str">
        <f>IF('Residual-RosteredMATRIX-CARER'!AR62=0,"",'Residual-RosteredMATRIX-CARER'!AR62)</f>
        <v/>
      </c>
      <c r="AU29" s="25" t="str">
        <f>IF('Residual-RosteredMATRIX-CARER'!AS62=0,"",'Residual-RosteredMATRIX-CARER'!AS62)</f>
        <v/>
      </c>
      <c r="AV29" s="25" t="str">
        <f>IF('Residual-RosteredMATRIX-CARER'!AT62=0,"",'Residual-RosteredMATRIX-CARER'!AT62)</f>
        <v/>
      </c>
      <c r="AW29" s="25" t="str">
        <f>IF('Residual-RosteredMATRIX-CARER'!AU62=0,"",'Residual-RosteredMATRIX-CARER'!AU62)</f>
        <v/>
      </c>
    </row>
    <row r="30" spans="1:50" ht="15.75" customHeight="1" x14ac:dyDescent="0.25">
      <c r="A30" s="25" t="e">
        <f>'Residual-Rostered'!#REF!</f>
        <v>#REF!</v>
      </c>
      <c r="B30" s="33">
        <f>'Residual-RosteredMATRIX-CARER'!D63</f>
        <v>0</v>
      </c>
      <c r="C30" s="33">
        <f>'Residual-RosteredMATRIX-CARER'!C63</f>
        <v>0</v>
      </c>
      <c r="D30" s="34">
        <f>'Residual-RosteredMATRIX-RN'!D63</f>
        <v>0</v>
      </c>
      <c r="E30" s="14">
        <f>Max_HRS-Table314[[#This Row],[ROSTERED TIME]]</f>
        <v>76</v>
      </c>
      <c r="F30" s="14">
        <f t="shared" si="5"/>
        <v>0</v>
      </c>
      <c r="G30" s="14">
        <f>Table314[[#This Row],[ROSTERED TIME]]+Table314[[#This Row],[CHANGE TIME]]</f>
        <v>0</v>
      </c>
      <c r="H30" s="25" t="str">
        <f>IF('Residual-RosteredMATRIX-RN'!E63=0,"",'Residual-RosteredMATRIX-RN'!E63)</f>
        <v/>
      </c>
      <c r="I30" s="25" t="str">
        <f>IF('Residual-RosteredMATRIX-RN'!F63=0,"",'Residual-RosteredMATRIX-RN'!F63)</f>
        <v/>
      </c>
      <c r="J30" s="25" t="str">
        <f>IF('Residual-RosteredMATRIX-RN'!G63=0,"",'Residual-RosteredMATRIX-RN'!G63)</f>
        <v/>
      </c>
      <c r="K30" s="25" t="str">
        <f>IF('Residual-RosteredMATRIX-RN'!H63=0,"",'Residual-RosteredMATRIX-RN'!H63)</f>
        <v/>
      </c>
      <c r="L30" s="25" t="str">
        <f>IF('Residual-RosteredMATRIX-RN'!I63=0,"",'Residual-RosteredMATRIX-RN'!I63)</f>
        <v/>
      </c>
      <c r="M30" s="25" t="str">
        <f>IF('Residual-RosteredMATRIX-RN'!J63=0,"",'Residual-RosteredMATRIX-RN'!J63)</f>
        <v/>
      </c>
      <c r="N30" s="25" t="str">
        <f>IF('Residual-RosteredMATRIX-RN'!K63=0,"",'Residual-RosteredMATRIX-RN'!K63)</f>
        <v/>
      </c>
      <c r="O30" s="25" t="str">
        <f>IF('Residual-RosteredMATRIX-RN'!L63=0,"",'Residual-RosteredMATRIX-RN'!L63)</f>
        <v/>
      </c>
      <c r="P30" s="25" t="str">
        <f>IF('Residual-RosteredMATRIX-RN'!M63=0,"",'Residual-RosteredMATRIX-RN'!M63)</f>
        <v/>
      </c>
      <c r="Q30" s="25" t="str">
        <f>IF('Residual-RosteredMATRIX-RN'!N63=0,"",'Residual-RosteredMATRIX-RN'!N63)</f>
        <v/>
      </c>
      <c r="R30" s="25" t="str">
        <f>IF('Residual-RosteredMATRIX-RN'!O63=0,"",'Residual-RosteredMATRIX-RN'!O63)</f>
        <v/>
      </c>
      <c r="S30" s="25" t="str">
        <f>IF('Residual-RosteredMATRIX-RN'!P63=0,"",'Residual-RosteredMATRIX-RN'!P63)</f>
        <v/>
      </c>
      <c r="T30" s="25" t="str">
        <f>IF('Residual-RosteredMATRIX-RN'!Q63=0,"",'Residual-RosteredMATRIX-RN'!Q63)</f>
        <v/>
      </c>
      <c r="U30" s="25" t="str">
        <f>IF('Residual-RosteredMATRIX-RN'!R63=0,"",'Residual-RosteredMATRIX-RN'!R63)</f>
        <v/>
      </c>
      <c r="V30" s="25" t="str">
        <f>IF('Residual-RosteredMATRIX-RN'!S63=0,"",'Residual-RosteredMATRIX-RN'!S63)</f>
        <v/>
      </c>
      <c r="W30" s="25" t="str">
        <f>IF('Residual-RosteredMATRIX-RN'!T63=0,"",'Residual-RosteredMATRIX-RN'!T63)</f>
        <v/>
      </c>
      <c r="X30" s="25" t="str">
        <f>IF('Residual-RosteredMATRIX-RN'!U63=0,"",'Residual-RosteredMATRIX-RN'!U63)</f>
        <v/>
      </c>
      <c r="Y30" s="25" t="str">
        <f>IF('Residual-RosteredMATRIX-RN'!V63=0,"",'Residual-RosteredMATRIX-RN'!V63)</f>
        <v/>
      </c>
      <c r="Z30" s="25" t="str">
        <f>IF('Residual-RosteredMATRIX-RN'!W63=0,"",'Residual-RosteredMATRIX-RN'!W63)</f>
        <v/>
      </c>
      <c r="AA30" s="25" t="str">
        <f>IF('Residual-RosteredMATRIX-RN'!X63=0,"",'Residual-RosteredMATRIX-RN'!X63)</f>
        <v/>
      </c>
      <c r="AB30" s="25" t="str">
        <f>IF('Residual-RosteredMATRIX-RN'!Y63=0,"",'Residual-RosteredMATRIX-RN'!Y63)</f>
        <v/>
      </c>
      <c r="AC30" s="25" t="str">
        <f>IF('Residual-RosteredMATRIX-RN'!Z63=0,"",'Residual-RosteredMATRIX-RN'!Z63)</f>
        <v/>
      </c>
      <c r="AD30" s="25" t="str">
        <f>IF('Residual-RosteredMATRIX-RN'!AA63=0,"",'Residual-RosteredMATRIX-RN'!AA63)</f>
        <v/>
      </c>
      <c r="AE30" s="25" t="str">
        <f>IF('Residual-RosteredMATRIX-RN'!AB63=0,"",'Residual-RosteredMATRIX-RN'!AB63)</f>
        <v/>
      </c>
      <c r="AF30" s="25" t="str">
        <f>IF('Residual-RosteredMATRIX-RN'!AC63=0,"",'Residual-RosteredMATRIX-RN'!AC63)</f>
        <v/>
      </c>
      <c r="AG30" s="25" t="str">
        <f>IF('Residual-RosteredMATRIX-RN'!AD63=0,"",'Residual-RosteredMATRIX-RN'!AD63)</f>
        <v/>
      </c>
      <c r="AH30" s="25" t="str">
        <f>IF('Residual-RosteredMATRIX-RN'!AE63=0,"",'Residual-RosteredMATRIX-RN'!AE63)</f>
        <v/>
      </c>
      <c r="AI30" s="25" t="str">
        <f>IF('Residual-RosteredMATRIX-RN'!AF63=0,"",'Residual-RosteredMATRIX-RN'!AF63)</f>
        <v/>
      </c>
      <c r="AJ30" s="25" t="str">
        <f>IF('Residual-RosteredMATRIX-RN'!AG63=0,"",'Residual-RosteredMATRIX-RN'!AG63)</f>
        <v/>
      </c>
      <c r="AK30" s="25" t="str">
        <f>IF('Residual-RosteredMATRIX-RN'!AH63=0,"",'Residual-RosteredMATRIX-RN'!AH63)</f>
        <v/>
      </c>
      <c r="AL30" s="25" t="str">
        <f>IF('Residual-RosteredMATRIX-RN'!AI63=0,"",'Residual-RosteredMATRIX-RN'!AI63)</f>
        <v/>
      </c>
      <c r="AM30" s="25" t="str">
        <f>IF('Residual-RosteredMATRIX-RN'!AJ63=0,"",'Residual-RosteredMATRIX-RN'!AJ63)</f>
        <v/>
      </c>
      <c r="AN30" s="25" t="str">
        <f>IF('Residual-RosteredMATRIX-RN'!AK63=0,"",'Residual-RosteredMATRIX-RN'!AK63)</f>
        <v/>
      </c>
      <c r="AO30" s="25" t="str">
        <f>IF('Residual-RosteredMATRIX-RN'!AL63=0,"",'Residual-RosteredMATRIX-RN'!AL63)</f>
        <v/>
      </c>
      <c r="AP30" s="25" t="str">
        <f>IF('Residual-RosteredMATRIX-RN'!AM63=0,"",'Residual-RosteredMATRIX-RN'!AM63)</f>
        <v/>
      </c>
      <c r="AQ30" s="25" t="str">
        <f>IF('Residual-RosteredMATRIX-RN'!AN63=0,"",'Residual-RosteredMATRIX-RN'!AN63)</f>
        <v/>
      </c>
      <c r="AR30" s="25" t="str">
        <f>IF('Residual-RosteredMATRIX-RN'!AO63=0,"",'Residual-RosteredMATRIX-RN'!AO63)</f>
        <v/>
      </c>
      <c r="AS30" s="25" t="str">
        <f>IF('Residual-RosteredMATRIX-RN'!AP63=0,"",'Residual-RosteredMATRIX-RN'!AP63)</f>
        <v/>
      </c>
      <c r="AT30" s="25" t="str">
        <f>IF('Residual-RosteredMATRIX-RN'!AQ63=0,"",'Residual-RosteredMATRIX-RN'!AQ63)</f>
        <v/>
      </c>
      <c r="AU30" s="25" t="str">
        <f>IF('Residual-RosteredMATRIX-RN'!AR63=0,"",'Residual-RosteredMATRIX-RN'!AR63)</f>
        <v/>
      </c>
      <c r="AV30" s="25" t="str">
        <f>IF('Residual-RosteredMATRIX-RN'!AS63=0,"",'Residual-RosteredMATRIX-RN'!AS63)</f>
        <v/>
      </c>
      <c r="AW30" s="25" t="str">
        <f>IF('Residual-RosteredMATRIX-RN'!AT63=0,"",'Residual-RosteredMATRIX-RN'!AT63)</f>
        <v/>
      </c>
      <c r="AX30" s="26"/>
    </row>
    <row r="31" spans="1:50" ht="15.75" customHeight="1" x14ac:dyDescent="0.25">
      <c r="A31" s="25" t="e">
        <f>'Residual-Rostered'!#REF!</f>
        <v>#REF!</v>
      </c>
      <c r="B31" s="33">
        <f>'Residual-RosteredMATRIX-CARER'!D64</f>
        <v>0</v>
      </c>
      <c r="C31" s="33">
        <f>'Residual-RosteredMATRIX-CARER'!C64</f>
        <v>0</v>
      </c>
      <c r="D31" s="34">
        <f>'Residual-RosteredMATRIX-RN'!D64</f>
        <v>0</v>
      </c>
      <c r="E31" s="14">
        <f>Max_HRS-Table314[[#This Row],[ROSTERED TIME]]</f>
        <v>76</v>
      </c>
      <c r="F31" s="14">
        <f t="shared" si="5"/>
        <v>0</v>
      </c>
      <c r="G31" s="14">
        <f>Table314[[#This Row],[ROSTERED TIME]]+Table314[[#This Row],[CHANGE TIME]]</f>
        <v>0</v>
      </c>
      <c r="H31" s="25" t="str">
        <f>IF('Residual-RosteredMATRIX-RN'!E64=0,"",'Residual-RosteredMATRIX-RN'!E64)</f>
        <v/>
      </c>
      <c r="I31" s="25" t="str">
        <f>IF('Residual-RosteredMATRIX-RN'!F64=0,"",'Residual-RosteredMATRIX-RN'!F64)</f>
        <v/>
      </c>
      <c r="J31" s="25" t="str">
        <f>IF('Residual-RosteredMATRIX-RN'!G64=0,"",'Residual-RosteredMATRIX-RN'!G64)</f>
        <v/>
      </c>
      <c r="K31" s="25" t="str">
        <f>IF('Residual-RosteredMATRIX-RN'!H64=0,"",'Residual-RosteredMATRIX-RN'!H64)</f>
        <v/>
      </c>
      <c r="L31" s="25" t="str">
        <f>IF('Residual-RosteredMATRIX-RN'!I64=0,"",'Residual-RosteredMATRIX-RN'!I64)</f>
        <v/>
      </c>
      <c r="M31" s="25" t="str">
        <f>IF('Residual-RosteredMATRIX-RN'!J64=0,"",'Residual-RosteredMATRIX-RN'!J64)</f>
        <v/>
      </c>
      <c r="N31" s="25" t="str">
        <f>IF('Residual-RosteredMATRIX-RN'!K64=0,"",'Residual-RosteredMATRIX-RN'!K64)</f>
        <v/>
      </c>
      <c r="O31" s="25" t="str">
        <f>IF('Residual-RosteredMATRIX-RN'!L64=0,"",'Residual-RosteredMATRIX-RN'!L64)</f>
        <v/>
      </c>
      <c r="P31" s="25" t="str">
        <f>IF('Residual-RosteredMATRIX-RN'!M64=0,"",'Residual-RosteredMATRIX-RN'!M64)</f>
        <v/>
      </c>
      <c r="Q31" s="25" t="str">
        <f>IF('Residual-RosteredMATRIX-RN'!N64=0,"",'Residual-RosteredMATRIX-RN'!N64)</f>
        <v/>
      </c>
      <c r="R31" s="25" t="str">
        <f>IF('Residual-RosteredMATRIX-RN'!O64=0,"",'Residual-RosteredMATRIX-RN'!O64)</f>
        <v/>
      </c>
      <c r="S31" s="25" t="str">
        <f>IF('Residual-RosteredMATRIX-RN'!P64=0,"",'Residual-RosteredMATRIX-RN'!P64)</f>
        <v/>
      </c>
      <c r="T31" s="25" t="str">
        <f>IF('Residual-RosteredMATRIX-RN'!Q64=0,"",'Residual-RosteredMATRIX-RN'!Q64)</f>
        <v/>
      </c>
      <c r="U31" s="25" t="str">
        <f>IF('Residual-RosteredMATRIX-RN'!R64=0,"",'Residual-RosteredMATRIX-RN'!R64)</f>
        <v/>
      </c>
      <c r="V31" s="25" t="str">
        <f>IF('Residual-RosteredMATRIX-RN'!S64=0,"",'Residual-RosteredMATRIX-RN'!S64)</f>
        <v/>
      </c>
      <c r="W31" s="25" t="str">
        <f>IF('Residual-RosteredMATRIX-RN'!T64=0,"",'Residual-RosteredMATRIX-RN'!T64)</f>
        <v/>
      </c>
      <c r="X31" s="25" t="str">
        <f>IF('Residual-RosteredMATRIX-RN'!U64=0,"",'Residual-RosteredMATRIX-RN'!U64)</f>
        <v/>
      </c>
      <c r="Y31" s="25" t="str">
        <f>IF('Residual-RosteredMATRIX-RN'!V64=0,"",'Residual-RosteredMATRIX-RN'!V64)</f>
        <v/>
      </c>
      <c r="Z31" s="25" t="str">
        <f>IF('Residual-RosteredMATRIX-RN'!W64=0,"",'Residual-RosteredMATRIX-RN'!W64)</f>
        <v/>
      </c>
      <c r="AA31" s="25" t="str">
        <f>IF('Residual-RosteredMATRIX-RN'!X64=0,"",'Residual-RosteredMATRIX-RN'!X64)</f>
        <v/>
      </c>
      <c r="AB31" s="25" t="str">
        <f>IF('Residual-RosteredMATRIX-RN'!Y64=0,"",'Residual-RosteredMATRIX-RN'!Y64)</f>
        <v/>
      </c>
      <c r="AC31" s="25" t="str">
        <f>IF('Residual-RosteredMATRIX-RN'!Z64=0,"",'Residual-RosteredMATRIX-RN'!Z64)</f>
        <v/>
      </c>
      <c r="AD31" s="25" t="str">
        <f>IF('Residual-RosteredMATRIX-RN'!AA64=0,"",'Residual-RosteredMATRIX-RN'!AA64)</f>
        <v/>
      </c>
      <c r="AE31" s="25" t="str">
        <f>IF('Residual-RosteredMATRIX-RN'!AB64=0,"",'Residual-RosteredMATRIX-RN'!AB64)</f>
        <v/>
      </c>
      <c r="AF31" s="25" t="str">
        <f>IF('Residual-RosteredMATRIX-RN'!AC64=0,"",'Residual-RosteredMATRIX-RN'!AC64)</f>
        <v/>
      </c>
      <c r="AG31" s="25" t="str">
        <f>IF('Residual-RosteredMATRIX-RN'!AD64=0,"",'Residual-RosteredMATRIX-RN'!AD64)</f>
        <v/>
      </c>
      <c r="AH31" s="25" t="str">
        <f>IF('Residual-RosteredMATRIX-RN'!AE64=0,"",'Residual-RosteredMATRIX-RN'!AE64)</f>
        <v/>
      </c>
      <c r="AI31" s="25" t="str">
        <f>IF('Residual-RosteredMATRIX-RN'!AF64=0,"",'Residual-RosteredMATRIX-RN'!AF64)</f>
        <v/>
      </c>
      <c r="AJ31" s="25" t="str">
        <f>IF('Residual-RosteredMATRIX-RN'!AG64=0,"",'Residual-RosteredMATRIX-RN'!AG64)</f>
        <v/>
      </c>
      <c r="AK31" s="25" t="str">
        <f>IF('Residual-RosteredMATRIX-RN'!AH64=0,"",'Residual-RosteredMATRIX-RN'!AH64)</f>
        <v/>
      </c>
      <c r="AL31" s="25" t="str">
        <f>IF('Residual-RosteredMATRIX-RN'!AI64=0,"",'Residual-RosteredMATRIX-RN'!AI64)</f>
        <v/>
      </c>
      <c r="AM31" s="25" t="str">
        <f>IF('Residual-RosteredMATRIX-RN'!AJ64=0,"",'Residual-RosteredMATRIX-RN'!AJ64)</f>
        <v/>
      </c>
      <c r="AN31" s="25" t="str">
        <f>IF('Residual-RosteredMATRIX-RN'!AK64=0,"",'Residual-RosteredMATRIX-RN'!AK64)</f>
        <v/>
      </c>
      <c r="AO31" s="25" t="str">
        <f>IF('Residual-RosteredMATRIX-RN'!AL64=0,"",'Residual-RosteredMATRIX-RN'!AL64)</f>
        <v/>
      </c>
      <c r="AP31" s="25" t="str">
        <f>IF('Residual-RosteredMATRIX-RN'!AM64=0,"",'Residual-RosteredMATRIX-RN'!AM64)</f>
        <v/>
      </c>
      <c r="AQ31" s="25" t="str">
        <f>IF('Residual-RosteredMATRIX-RN'!AN64=0,"",'Residual-RosteredMATRIX-RN'!AN64)</f>
        <v/>
      </c>
      <c r="AR31" s="25" t="str">
        <f>IF('Residual-RosteredMATRIX-RN'!AO64=0,"",'Residual-RosteredMATRIX-RN'!AO64)</f>
        <v/>
      </c>
      <c r="AS31" s="25" t="str">
        <f>IF('Residual-RosteredMATRIX-RN'!AP64=0,"",'Residual-RosteredMATRIX-RN'!AP64)</f>
        <v/>
      </c>
      <c r="AT31" s="25" t="str">
        <f>IF('Residual-RosteredMATRIX-RN'!AQ64=0,"",'Residual-RosteredMATRIX-RN'!AQ64)</f>
        <v/>
      </c>
      <c r="AU31" s="25" t="str">
        <f>IF('Residual-RosteredMATRIX-RN'!AR64=0,"",'Residual-RosteredMATRIX-RN'!AR64)</f>
        <v/>
      </c>
      <c r="AV31" s="25" t="str">
        <f>IF('Residual-RosteredMATRIX-RN'!AS64=0,"",'Residual-RosteredMATRIX-RN'!AS64)</f>
        <v/>
      </c>
      <c r="AW31" s="25" t="str">
        <f>IF('Residual-RosteredMATRIX-RN'!AT64=0,"",'Residual-RosteredMATRIX-RN'!AT64)</f>
        <v/>
      </c>
    </row>
    <row r="32" spans="1:50" ht="15.75" customHeight="1" x14ac:dyDescent="0.25">
      <c r="A32" s="25" t="e">
        <f>'Residual-Rostered'!#REF!</f>
        <v>#REF!</v>
      </c>
      <c r="B32" s="33">
        <f>'Residual-RosteredMATRIX-CARER'!D65</f>
        <v>0</v>
      </c>
      <c r="C32" s="33">
        <f>'Residual-RosteredMATRIX-CARER'!C65</f>
        <v>0</v>
      </c>
      <c r="D32" s="34">
        <f>'Residual-RosteredMATRIX-RN'!D65</f>
        <v>0</v>
      </c>
      <c r="E32" s="14">
        <f>Max_HRS-Table314[[#This Row],[ROSTERED TIME]]</f>
        <v>76</v>
      </c>
      <c r="F32" s="14">
        <f t="shared" si="5"/>
        <v>0</v>
      </c>
      <c r="G32" s="14">
        <f>Table314[[#This Row],[ROSTERED TIME]]+Table314[[#This Row],[CHANGE TIME]]</f>
        <v>0</v>
      </c>
      <c r="H32" s="25" t="str">
        <f>IF('Residual-RosteredMATRIX-RN'!E65=0,"",'Residual-RosteredMATRIX-RN'!E65)</f>
        <v/>
      </c>
      <c r="I32" s="25" t="str">
        <f>IF('Residual-RosteredMATRIX-RN'!F65=0,"",'Residual-RosteredMATRIX-RN'!F65)</f>
        <v/>
      </c>
      <c r="J32" s="25" t="str">
        <f>IF('Residual-RosteredMATRIX-RN'!G65=0,"",'Residual-RosteredMATRIX-RN'!G65)</f>
        <v/>
      </c>
      <c r="K32" s="25" t="str">
        <f>IF('Residual-RosteredMATRIX-RN'!H65=0,"",'Residual-RosteredMATRIX-RN'!H65)</f>
        <v/>
      </c>
      <c r="L32" s="25" t="str">
        <f>IF('Residual-RosteredMATRIX-RN'!I65=0,"",'Residual-RosteredMATRIX-RN'!I65)</f>
        <v/>
      </c>
      <c r="M32" s="25" t="str">
        <f>IF('Residual-RosteredMATRIX-RN'!J65=0,"",'Residual-RosteredMATRIX-RN'!J65)</f>
        <v/>
      </c>
      <c r="N32" s="25" t="str">
        <f>IF('Residual-RosteredMATRIX-RN'!K65=0,"",'Residual-RosteredMATRIX-RN'!K65)</f>
        <v/>
      </c>
      <c r="O32" s="25" t="str">
        <f>IF('Residual-RosteredMATRIX-RN'!L65=0,"",'Residual-RosteredMATRIX-RN'!L65)</f>
        <v/>
      </c>
      <c r="P32" s="25" t="str">
        <f>IF('Residual-RosteredMATRIX-RN'!M65=0,"",'Residual-RosteredMATRIX-RN'!M65)</f>
        <v/>
      </c>
      <c r="Q32" s="25" t="str">
        <f>IF('Residual-RosteredMATRIX-RN'!N65=0,"",'Residual-RosteredMATRIX-RN'!N65)</f>
        <v/>
      </c>
      <c r="R32" s="25" t="str">
        <f>IF('Residual-RosteredMATRIX-RN'!O65=0,"",'Residual-RosteredMATRIX-RN'!O65)</f>
        <v/>
      </c>
      <c r="S32" s="25" t="str">
        <f>IF('Residual-RosteredMATRIX-RN'!P65=0,"",'Residual-RosteredMATRIX-RN'!P65)</f>
        <v/>
      </c>
      <c r="T32" s="25" t="str">
        <f>IF('Residual-RosteredMATRIX-RN'!Q65=0,"",'Residual-RosteredMATRIX-RN'!Q65)</f>
        <v/>
      </c>
      <c r="U32" s="25" t="str">
        <f>IF('Residual-RosteredMATRIX-RN'!R65=0,"",'Residual-RosteredMATRIX-RN'!R65)</f>
        <v/>
      </c>
      <c r="V32" s="25" t="str">
        <f>IF('Residual-RosteredMATRIX-RN'!S65=0,"",'Residual-RosteredMATRIX-RN'!S65)</f>
        <v/>
      </c>
      <c r="W32" s="25" t="str">
        <f>IF('Residual-RosteredMATRIX-RN'!T65=0,"",'Residual-RosteredMATRIX-RN'!T65)</f>
        <v/>
      </c>
      <c r="X32" s="25" t="str">
        <f>IF('Residual-RosteredMATRIX-RN'!U65=0,"",'Residual-RosteredMATRIX-RN'!U65)</f>
        <v/>
      </c>
      <c r="Y32" s="25" t="str">
        <f>IF('Residual-RosteredMATRIX-RN'!V65=0,"",'Residual-RosteredMATRIX-RN'!V65)</f>
        <v/>
      </c>
      <c r="Z32" s="25" t="str">
        <f>IF('Residual-RosteredMATRIX-RN'!W65=0,"",'Residual-RosteredMATRIX-RN'!W65)</f>
        <v/>
      </c>
      <c r="AA32" s="25" t="str">
        <f>IF('Residual-RosteredMATRIX-RN'!X65=0,"",'Residual-RosteredMATRIX-RN'!X65)</f>
        <v/>
      </c>
      <c r="AB32" s="25" t="str">
        <f>IF('Residual-RosteredMATRIX-RN'!Y65=0,"",'Residual-RosteredMATRIX-RN'!Y65)</f>
        <v/>
      </c>
      <c r="AC32" s="25" t="str">
        <f>IF('Residual-RosteredMATRIX-RN'!Z65=0,"",'Residual-RosteredMATRIX-RN'!Z65)</f>
        <v/>
      </c>
      <c r="AD32" s="25" t="str">
        <f>IF('Residual-RosteredMATRIX-RN'!AA65=0,"",'Residual-RosteredMATRIX-RN'!AA65)</f>
        <v/>
      </c>
      <c r="AE32" s="25" t="str">
        <f>IF('Residual-RosteredMATRIX-RN'!AB65=0,"",'Residual-RosteredMATRIX-RN'!AB65)</f>
        <v/>
      </c>
      <c r="AF32" s="25" t="str">
        <f>IF('Residual-RosteredMATRIX-RN'!AC65=0,"",'Residual-RosteredMATRIX-RN'!AC65)</f>
        <v/>
      </c>
      <c r="AG32" s="25" t="str">
        <f>IF('Residual-RosteredMATRIX-RN'!AD65=0,"",'Residual-RosteredMATRIX-RN'!AD65)</f>
        <v/>
      </c>
      <c r="AH32" s="25" t="str">
        <f>IF('Residual-RosteredMATRIX-RN'!AE65=0,"",'Residual-RosteredMATRIX-RN'!AE65)</f>
        <v/>
      </c>
      <c r="AI32" s="25" t="str">
        <f>IF('Residual-RosteredMATRIX-RN'!AF65=0,"",'Residual-RosteredMATRIX-RN'!AF65)</f>
        <v/>
      </c>
      <c r="AJ32" s="25" t="str">
        <f>IF('Residual-RosteredMATRIX-RN'!AG65=0,"",'Residual-RosteredMATRIX-RN'!AG65)</f>
        <v/>
      </c>
      <c r="AK32" s="25" t="str">
        <f>IF('Residual-RosteredMATRIX-RN'!AH65=0,"",'Residual-RosteredMATRIX-RN'!AH65)</f>
        <v/>
      </c>
      <c r="AL32" s="25" t="str">
        <f>IF('Residual-RosteredMATRIX-RN'!AI65=0,"",'Residual-RosteredMATRIX-RN'!AI65)</f>
        <v/>
      </c>
      <c r="AM32" s="25" t="str">
        <f>IF('Residual-RosteredMATRIX-RN'!AJ65=0,"",'Residual-RosteredMATRIX-RN'!AJ65)</f>
        <v/>
      </c>
      <c r="AN32" s="25" t="str">
        <f>IF('Residual-RosteredMATRIX-RN'!AK65=0,"",'Residual-RosteredMATRIX-RN'!AK65)</f>
        <v/>
      </c>
      <c r="AO32" s="25" t="str">
        <f>IF('Residual-RosteredMATRIX-RN'!AL65=0,"",'Residual-RosteredMATRIX-RN'!AL65)</f>
        <v/>
      </c>
      <c r="AP32" s="25" t="str">
        <f>IF('Residual-RosteredMATRIX-RN'!AM65=0,"",'Residual-RosteredMATRIX-RN'!AM65)</f>
        <v/>
      </c>
      <c r="AQ32" s="25" t="str">
        <f>IF('Residual-RosteredMATRIX-RN'!AN65=0,"",'Residual-RosteredMATRIX-RN'!AN65)</f>
        <v/>
      </c>
      <c r="AR32" s="25" t="str">
        <f>IF('Residual-RosteredMATRIX-RN'!AO65=0,"",'Residual-RosteredMATRIX-RN'!AO65)</f>
        <v/>
      </c>
      <c r="AS32" s="25" t="str">
        <f>IF('Residual-RosteredMATRIX-RN'!AP65=0,"",'Residual-RosteredMATRIX-RN'!AP65)</f>
        <v/>
      </c>
      <c r="AT32" s="25" t="str">
        <f>IF('Residual-RosteredMATRIX-RN'!AQ65=0,"",'Residual-RosteredMATRIX-RN'!AQ65)</f>
        <v/>
      </c>
      <c r="AU32" s="25" t="str">
        <f>IF('Residual-RosteredMATRIX-RN'!AR65=0,"",'Residual-RosteredMATRIX-RN'!AR65)</f>
        <v/>
      </c>
      <c r="AV32" s="25" t="str">
        <f>IF('Residual-RosteredMATRIX-RN'!AS65=0,"",'Residual-RosteredMATRIX-RN'!AS65)</f>
        <v/>
      </c>
      <c r="AW32" s="25" t="str">
        <f>IF('Residual-RosteredMATRIX-RN'!AT65=0,"",'Residual-RosteredMATRIX-RN'!AT65)</f>
        <v/>
      </c>
    </row>
    <row r="33" spans="1:49" ht="15.75" customHeight="1" x14ac:dyDescent="0.25">
      <c r="A33" s="25" t="e">
        <f>'Residual-Rostered'!#REF!</f>
        <v>#REF!</v>
      </c>
      <c r="B33" s="33">
        <f>'Residual-RosteredMATRIX-CARER'!D66</f>
        <v>0</v>
      </c>
      <c r="C33" s="33">
        <f>'Residual-RosteredMATRIX-CARER'!C66</f>
        <v>0</v>
      </c>
      <c r="D33" s="34">
        <f>'Residual-RosteredMATRIX-RN'!D66</f>
        <v>0</v>
      </c>
      <c r="E33" s="14">
        <f>Max_HRS-Table314[[#This Row],[ROSTERED TIME]]</f>
        <v>76</v>
      </c>
      <c r="F33" s="14">
        <f t="shared" si="5"/>
        <v>0</v>
      </c>
      <c r="G33" s="14">
        <f>Table314[[#This Row],[ROSTERED TIME]]+Table314[[#This Row],[CHANGE TIME]]</f>
        <v>0</v>
      </c>
      <c r="H33" s="25" t="str">
        <f>IF('Residual-RosteredMATRIX-RN'!E66=0,"",'Residual-RosteredMATRIX-RN'!E66)</f>
        <v/>
      </c>
      <c r="I33" s="25" t="str">
        <f>IF('Residual-RosteredMATRIX-RN'!F66=0,"",'Residual-RosteredMATRIX-RN'!F66)</f>
        <v/>
      </c>
      <c r="J33" s="25" t="str">
        <f>IF('Residual-RosteredMATRIX-RN'!G66=0,"",'Residual-RosteredMATRIX-RN'!G66)</f>
        <v/>
      </c>
      <c r="K33" s="25" t="str">
        <f>IF('Residual-RosteredMATRIX-RN'!H66=0,"",'Residual-RosteredMATRIX-RN'!H66)</f>
        <v/>
      </c>
      <c r="L33" s="25" t="str">
        <f>IF('Residual-RosteredMATRIX-RN'!I66=0,"",'Residual-RosteredMATRIX-RN'!I66)</f>
        <v/>
      </c>
      <c r="M33" s="25" t="str">
        <f>IF('Residual-RosteredMATRIX-RN'!J66=0,"",'Residual-RosteredMATRIX-RN'!J66)</f>
        <v/>
      </c>
      <c r="N33" s="25" t="str">
        <f>IF('Residual-RosteredMATRIX-RN'!K66=0,"",'Residual-RosteredMATRIX-RN'!K66)</f>
        <v/>
      </c>
      <c r="O33" s="25" t="str">
        <f>IF('Residual-RosteredMATRIX-RN'!L66=0,"",'Residual-RosteredMATRIX-RN'!L66)</f>
        <v/>
      </c>
      <c r="P33" s="25" t="str">
        <f>IF('Residual-RosteredMATRIX-RN'!M66=0,"",'Residual-RosteredMATRIX-RN'!M66)</f>
        <v/>
      </c>
      <c r="Q33" s="25" t="str">
        <f>IF('Residual-RosteredMATRIX-RN'!N66=0,"",'Residual-RosteredMATRIX-RN'!N66)</f>
        <v/>
      </c>
      <c r="R33" s="25" t="str">
        <f>IF('Residual-RosteredMATRIX-RN'!O66=0,"",'Residual-RosteredMATRIX-RN'!O66)</f>
        <v/>
      </c>
      <c r="S33" s="25" t="str">
        <f>IF('Residual-RosteredMATRIX-RN'!P66=0,"",'Residual-RosteredMATRIX-RN'!P66)</f>
        <v/>
      </c>
      <c r="T33" s="25" t="str">
        <f>IF('Residual-RosteredMATRIX-RN'!Q66=0,"",'Residual-RosteredMATRIX-RN'!Q66)</f>
        <v/>
      </c>
      <c r="U33" s="25" t="str">
        <f>IF('Residual-RosteredMATRIX-RN'!R66=0,"",'Residual-RosteredMATRIX-RN'!R66)</f>
        <v/>
      </c>
      <c r="V33" s="25" t="str">
        <f>IF('Residual-RosteredMATRIX-RN'!S66=0,"",'Residual-RosteredMATRIX-RN'!S66)</f>
        <v/>
      </c>
      <c r="W33" s="25" t="str">
        <f>IF('Residual-RosteredMATRIX-RN'!T66=0,"",'Residual-RosteredMATRIX-RN'!T66)</f>
        <v/>
      </c>
      <c r="X33" s="25" t="str">
        <f>IF('Residual-RosteredMATRIX-RN'!U66=0,"",'Residual-RosteredMATRIX-RN'!U66)</f>
        <v/>
      </c>
      <c r="Y33" s="25" t="str">
        <f>IF('Residual-RosteredMATRIX-RN'!V66=0,"",'Residual-RosteredMATRIX-RN'!V66)</f>
        <v/>
      </c>
      <c r="Z33" s="25" t="str">
        <f>IF('Residual-RosteredMATRIX-RN'!W66=0,"",'Residual-RosteredMATRIX-RN'!W66)</f>
        <v/>
      </c>
      <c r="AA33" s="25" t="str">
        <f>IF('Residual-RosteredMATRIX-RN'!X66=0,"",'Residual-RosteredMATRIX-RN'!X66)</f>
        <v/>
      </c>
      <c r="AB33" s="25" t="str">
        <f>IF('Residual-RosteredMATRIX-RN'!Y66=0,"",'Residual-RosteredMATRIX-RN'!Y66)</f>
        <v/>
      </c>
      <c r="AC33" s="25" t="str">
        <f>IF('Residual-RosteredMATRIX-RN'!Z66=0,"",'Residual-RosteredMATRIX-RN'!Z66)</f>
        <v/>
      </c>
      <c r="AD33" s="25" t="str">
        <f>IF('Residual-RosteredMATRIX-RN'!AA66=0,"",'Residual-RosteredMATRIX-RN'!AA66)</f>
        <v/>
      </c>
      <c r="AE33" s="25" t="str">
        <f>IF('Residual-RosteredMATRIX-RN'!AB66=0,"",'Residual-RosteredMATRIX-RN'!AB66)</f>
        <v/>
      </c>
      <c r="AF33" s="25" t="str">
        <f>IF('Residual-RosteredMATRIX-RN'!AC66=0,"",'Residual-RosteredMATRIX-RN'!AC66)</f>
        <v/>
      </c>
      <c r="AG33" s="25" t="str">
        <f>IF('Residual-RosteredMATRIX-RN'!AD66=0,"",'Residual-RosteredMATRIX-RN'!AD66)</f>
        <v/>
      </c>
      <c r="AH33" s="25" t="str">
        <f>IF('Residual-RosteredMATRIX-RN'!AE66=0,"",'Residual-RosteredMATRIX-RN'!AE66)</f>
        <v/>
      </c>
      <c r="AI33" s="25" t="str">
        <f>IF('Residual-RosteredMATRIX-RN'!AF66=0,"",'Residual-RosteredMATRIX-RN'!AF66)</f>
        <v/>
      </c>
      <c r="AJ33" s="25" t="str">
        <f>IF('Residual-RosteredMATRIX-RN'!AG66=0,"",'Residual-RosteredMATRIX-RN'!AG66)</f>
        <v/>
      </c>
      <c r="AK33" s="25" t="str">
        <f>IF('Residual-RosteredMATRIX-RN'!AH66=0,"",'Residual-RosteredMATRIX-RN'!AH66)</f>
        <v/>
      </c>
      <c r="AL33" s="25" t="str">
        <f>IF('Residual-RosteredMATRIX-RN'!AI66=0,"",'Residual-RosteredMATRIX-RN'!AI66)</f>
        <v/>
      </c>
      <c r="AM33" s="25" t="str">
        <f>IF('Residual-RosteredMATRIX-RN'!AJ66=0,"",'Residual-RosteredMATRIX-RN'!AJ66)</f>
        <v/>
      </c>
      <c r="AN33" s="25" t="str">
        <f>IF('Residual-RosteredMATRIX-RN'!AK66=0,"",'Residual-RosteredMATRIX-RN'!AK66)</f>
        <v/>
      </c>
      <c r="AO33" s="25" t="str">
        <f>IF('Residual-RosteredMATRIX-RN'!AL66=0,"",'Residual-RosteredMATRIX-RN'!AL66)</f>
        <v/>
      </c>
      <c r="AP33" s="25" t="str">
        <f>IF('Residual-RosteredMATRIX-RN'!AM66=0,"",'Residual-RosteredMATRIX-RN'!AM66)</f>
        <v/>
      </c>
      <c r="AQ33" s="25" t="str">
        <f>IF('Residual-RosteredMATRIX-RN'!AN66=0,"",'Residual-RosteredMATRIX-RN'!AN66)</f>
        <v/>
      </c>
      <c r="AR33" s="25" t="str">
        <f>IF('Residual-RosteredMATRIX-RN'!AO66=0,"",'Residual-RosteredMATRIX-RN'!AO66)</f>
        <v/>
      </c>
      <c r="AS33" s="25" t="str">
        <f>IF('Residual-RosteredMATRIX-RN'!AP66=0,"",'Residual-RosteredMATRIX-RN'!AP66)</f>
        <v/>
      </c>
      <c r="AT33" s="25" t="str">
        <f>IF('Residual-RosteredMATRIX-RN'!AQ66=0,"",'Residual-RosteredMATRIX-RN'!AQ66)</f>
        <v/>
      </c>
      <c r="AU33" s="25" t="str">
        <f>IF('Residual-RosteredMATRIX-RN'!AR66=0,"",'Residual-RosteredMATRIX-RN'!AR66)</f>
        <v/>
      </c>
      <c r="AV33" s="25" t="str">
        <f>IF('Residual-RosteredMATRIX-RN'!AS66=0,"",'Residual-RosteredMATRIX-RN'!AS66)</f>
        <v/>
      </c>
      <c r="AW33" s="25" t="str">
        <f>IF('Residual-RosteredMATRIX-RN'!AT66=0,"",'Residual-RosteredMATRIX-RN'!AT66)</f>
        <v/>
      </c>
    </row>
    <row r="34" spans="1:49" ht="15.75" customHeight="1" x14ac:dyDescent="0.25">
      <c r="A34" s="25" t="e">
        <f>'Residual-Rostered'!#REF!</f>
        <v>#REF!</v>
      </c>
      <c r="B34" s="33" t="str">
        <f>'Residual-RosteredMATRIX-CARER'!D2</f>
        <v>Carer</v>
      </c>
      <c r="C34" s="44" t="str">
        <f>'Residual-RosteredMATRIX-CARER'!C2</f>
        <v>Anderson, Laura</v>
      </c>
      <c r="D34" s="34">
        <f>'Residual-RosteredMATRIX-CARER'!E2</f>
        <v>59.5</v>
      </c>
      <c r="E34" s="14">
        <f>Max_HRS-Table314[[#This Row],[ROSTERED TIME]]</f>
        <v>16.5</v>
      </c>
      <c r="F34" s="14">
        <f t="shared" si="5"/>
        <v>8.1</v>
      </c>
      <c r="G34" s="14">
        <f>Table314[[#This Row],[ROSTERED TIME]]+Table314[[#This Row],[CHANGE TIME]]</f>
        <v>67.599999999999994</v>
      </c>
      <c r="H34" s="25" t="str">
        <f>IF('Residual-RosteredMATRIX-CARER'!F2=0,"",'Residual-RosteredMATRIX-CARER'!F2)</f>
        <v/>
      </c>
      <c r="I34" s="25">
        <v>1</v>
      </c>
      <c r="J34" s="25" t="str">
        <f>IF('Residual-RosteredMATRIX-CARER'!H2=0,"",'Residual-RosteredMATRIX-CARER'!H2)</f>
        <v/>
      </c>
      <c r="K34" s="25" t="str">
        <f>IF('Residual-RosteredMATRIX-CARER'!I2=0,"",'Residual-RosteredMATRIX-CARER'!I2)</f>
        <v/>
      </c>
      <c r="L34" s="25" t="str">
        <f>IF('Residual-RosteredMATRIX-CARER'!J2=0,"",'Residual-RosteredMATRIX-CARER'!J2)</f>
        <v>1/ 7</v>
      </c>
      <c r="M34" s="25" t="str">
        <f>IF('Residual-RosteredMATRIX-CARER'!K2=0,"",'Residual-RosteredMATRIX-CARER'!K2)</f>
        <v/>
      </c>
      <c r="N34" s="25" t="str">
        <f>IF('Residual-RosteredMATRIX-CARER'!L2=0,"",'Residual-RosteredMATRIX-CARER'!L2)</f>
        <v/>
      </c>
      <c r="O34" s="25"/>
      <c r="P34" s="25" t="str">
        <f>IF('Residual-RosteredMATRIX-CARER'!N2=0,"",'Residual-RosteredMATRIX-CARER'!N2)</f>
        <v/>
      </c>
      <c r="Q34" s="25" t="str">
        <f>IF('Residual-RosteredMATRIX-CARER'!O2=0,"",'Residual-RosteredMATRIX-CARER'!O2)</f>
        <v/>
      </c>
      <c r="R34" s="25" t="str">
        <f>IF('Residual-RosteredMATRIX-CARER'!P2=0,"",'Residual-RosteredMATRIX-CARER'!P2)</f>
        <v>1/ 7</v>
      </c>
      <c r="S34" s="25" t="str">
        <f>IF('Residual-RosteredMATRIX-CARER'!Q2=0,"",'Residual-RosteredMATRIX-CARER'!Q2)</f>
        <v/>
      </c>
      <c r="T34" s="25" t="str">
        <f>IF('Residual-RosteredMATRIX-CARER'!R2=0,"",'Residual-RosteredMATRIX-CARER'!R2)</f>
        <v/>
      </c>
      <c r="U34" s="25" t="str">
        <f>IF('Residual-RosteredMATRIX-CARER'!S2=0,"",'Residual-RosteredMATRIX-CARER'!S2)</f>
        <v/>
      </c>
      <c r="V34" s="25" t="str">
        <f>IF('Residual-RosteredMATRIX-CARER'!T2=0,"",'Residual-RosteredMATRIX-CARER'!T2)</f>
        <v/>
      </c>
      <c r="W34" s="25" t="str">
        <f>IF('Residual-RosteredMATRIX-CARER'!U2=0,"",'Residual-RosteredMATRIX-CARER'!U2)</f>
        <v/>
      </c>
      <c r="X34" s="25" t="str">
        <f>IF('Residual-RosteredMATRIX-CARER'!V2=0,"",'Residual-RosteredMATRIX-CARER'!V2)</f>
        <v/>
      </c>
      <c r="Y34" s="25" t="str">
        <f>IF('Residual-RosteredMATRIX-CARER'!W2=0,"",'Residual-RosteredMATRIX-CARER'!W2)</f>
        <v/>
      </c>
      <c r="Z34" s="25" t="str">
        <f>IF('Residual-RosteredMATRIX-CARER'!X2=0,"",'Residual-RosteredMATRIX-CARER'!X2)</f>
        <v/>
      </c>
      <c r="AA34" s="25" t="str">
        <f>IF('Residual-RosteredMATRIX-CARER'!Y2=0,"",'Residual-RosteredMATRIX-CARER'!Y2)</f>
        <v/>
      </c>
      <c r="AB34" s="25" t="str">
        <f>IF('Residual-RosteredMATRIX-CARER'!Z2=0,"",'Residual-RosteredMATRIX-CARER'!Z2)</f>
        <v/>
      </c>
      <c r="AC34" s="25" t="str">
        <f>IF('Residual-RosteredMATRIX-CARER'!AA2=0,"",'Residual-RosteredMATRIX-CARER'!AA2)</f>
        <v/>
      </c>
      <c r="AD34" s="25" t="str">
        <f>IF('Residual-RosteredMATRIX-CARER'!AB2=0,"",'Residual-RosteredMATRIX-CARER'!AB2)</f>
        <v>0/ 7.8</v>
      </c>
      <c r="AE34" s="25" t="str">
        <f>IF('Residual-RosteredMATRIX-CARER'!AC2=0,"",'Residual-RosteredMATRIX-CARER'!AC2)</f>
        <v>0/ 0.2</v>
      </c>
      <c r="AF34" s="25" t="str">
        <f>IF('Residual-RosteredMATRIX-CARER'!AD2=0,"",'Residual-RosteredMATRIX-CARER'!AD2)</f>
        <v/>
      </c>
      <c r="AG34" s="25" t="str">
        <f>IF('Residual-RosteredMATRIX-CARER'!AE2=0,"",'Residual-RosteredMATRIX-CARER'!AE2)</f>
        <v>0/ 7.8</v>
      </c>
      <c r="AH34" s="25" t="str">
        <f>IF('Residual-RosteredMATRIX-CARER'!AF2=0,"",'Residual-RosteredMATRIX-CARER'!AF2)</f>
        <v>0/ 0.2</v>
      </c>
      <c r="AI34" s="25" t="str">
        <f>IF('Residual-RosteredMATRIX-CARER'!AG2=0,"",'Residual-RosteredMATRIX-CARER'!AG2)</f>
        <v/>
      </c>
      <c r="AJ34" s="25">
        <v>7.1</v>
      </c>
      <c r="AK34" s="25" t="str">
        <f>IF('Residual-RosteredMATRIX-CARER'!AI2=0,"",'Residual-RosteredMATRIX-CARER'!AI2)</f>
        <v/>
      </c>
      <c r="AL34" s="25" t="str">
        <f>IF('Residual-RosteredMATRIX-CARER'!AJ2=0,"",'Residual-RosteredMATRIX-CARER'!AJ2)</f>
        <v/>
      </c>
      <c r="AM34" s="25" t="str">
        <f>IF('Residual-RosteredMATRIX-CARER'!AK2=0,"",'Residual-RosteredMATRIX-CARER'!AK2)</f>
        <v/>
      </c>
      <c r="AN34" s="25" t="str">
        <f>IF('Residual-RosteredMATRIX-CARER'!AL2=0,"",'Residual-RosteredMATRIX-CARER'!AL2)</f>
        <v/>
      </c>
      <c r="AO34" s="25"/>
      <c r="AP34" s="25" t="str">
        <f>IF('Residual-RosteredMATRIX-CARER'!AN2=0,"",'Residual-RosteredMATRIX-CARER'!AN2)</f>
        <v/>
      </c>
      <c r="AQ34" s="25" t="str">
        <f>IF('Residual-RosteredMATRIX-CARER'!AO2=0,"",'Residual-RosteredMATRIX-CARER'!AO2)</f>
        <v/>
      </c>
      <c r="AR34" s="25" t="str">
        <f>IF('Residual-RosteredMATRIX-CARER'!AP2=0,"",'Residual-RosteredMATRIX-CARER'!AP2)</f>
        <v>0.5/ 7.5</v>
      </c>
      <c r="AS34" s="25" t="str">
        <f>IF('Residual-RosteredMATRIX-CARER'!AQ2=0,"",'Residual-RosteredMATRIX-CARER'!AQ2)</f>
        <v/>
      </c>
      <c r="AT34" s="25" t="str">
        <f>IF('Residual-RosteredMATRIX-CARER'!AR2=0,"",'Residual-RosteredMATRIX-CARER'!AR2)</f>
        <v/>
      </c>
      <c r="AU34" s="25" t="str">
        <f>IF('Residual-RosteredMATRIX-CARER'!AS2=0,"",'Residual-RosteredMATRIX-CARER'!AS2)</f>
        <v>0.5/ 7.5</v>
      </c>
      <c r="AV34" s="25" t="str">
        <f>IF('Residual-RosteredMATRIX-CARER'!AT2=0,"",'Residual-RosteredMATRIX-CARER'!AT2)</f>
        <v/>
      </c>
      <c r="AW34" s="25" t="str">
        <f>IF('Residual-RosteredMATRIX-CARER'!AU2=0,"",'Residual-RosteredMATRIX-CARER'!AU2)</f>
        <v/>
      </c>
    </row>
    <row r="35" spans="1:49" ht="15.75" customHeight="1" x14ac:dyDescent="0.25">
      <c r="A35" s="25" t="e">
        <f>'Residual-Rostered'!#REF!</f>
        <v>#REF!</v>
      </c>
      <c r="B35" s="33" t="str">
        <f>'Residual-RosteredMATRIX-CARER'!D4</f>
        <v>Carer</v>
      </c>
      <c r="C35" s="33" t="str">
        <f>'Residual-RosteredMATRIX-CARER'!C4</f>
        <v>Anscombe, Misty</v>
      </c>
      <c r="D35" s="34">
        <f>'Residual-RosteredMATRIX-CARER'!E4</f>
        <v>54.5</v>
      </c>
      <c r="E35" s="14">
        <f>Max_HRS-Table314[[#This Row],[ROSTERED TIME]]</f>
        <v>21.5</v>
      </c>
      <c r="F35" s="14">
        <f t="shared" si="5"/>
        <v>0</v>
      </c>
      <c r="G35" s="14">
        <f>Table314[[#This Row],[ROSTERED TIME]]+Table314[[#This Row],[CHANGE TIME]]</f>
        <v>54.5</v>
      </c>
      <c r="H35" s="25" t="str">
        <f>IF('Residual-RosteredMATRIX-CARER'!F4=0,"",'Residual-RosteredMATRIX-CARER'!F4)</f>
        <v/>
      </c>
      <c r="I35" s="25" t="str">
        <f>IF('Residual-RosteredMATRIX-CARER'!G4=0,"",'Residual-RosteredMATRIX-CARER'!G4)</f>
        <v/>
      </c>
      <c r="J35" s="25" t="str">
        <f>IF('Residual-RosteredMATRIX-CARER'!H4=0,"",'Residual-RosteredMATRIX-CARER'!H4)</f>
        <v/>
      </c>
      <c r="K35" s="25" t="str">
        <f>IF('Residual-RosteredMATRIX-CARER'!I4=0,"",'Residual-RosteredMATRIX-CARER'!I4)</f>
        <v/>
      </c>
      <c r="L35" s="25" t="str">
        <f>IF('Residual-RosteredMATRIX-CARER'!J4=0,"",'Residual-RosteredMATRIX-CARER'!J4)</f>
        <v/>
      </c>
      <c r="M35" s="25" t="str">
        <f>IF('Residual-RosteredMATRIX-CARER'!K4=0,"",'Residual-RosteredMATRIX-CARER'!K4)</f>
        <v/>
      </c>
      <c r="N35" s="25" t="str">
        <f>IF('Residual-RosteredMATRIX-CARER'!L4=0,"",'Residual-RosteredMATRIX-CARER'!L4)</f>
        <v/>
      </c>
      <c r="O35" s="25" t="str">
        <f>IF('Residual-RosteredMATRIX-CARER'!M4=0,"",'Residual-RosteredMATRIX-CARER'!M4)</f>
        <v>0/ 7.8</v>
      </c>
      <c r="P35" s="25" t="str">
        <f>IF('Residual-RosteredMATRIX-CARER'!N4=0,"",'Residual-RosteredMATRIX-CARER'!N4)</f>
        <v>0/ 0.2</v>
      </c>
      <c r="Q35" s="25" t="str">
        <f>IF('Residual-RosteredMATRIX-CARER'!O4=0,"",'Residual-RosteredMATRIX-CARER'!O4)</f>
        <v/>
      </c>
      <c r="R35" s="25" t="str">
        <f>IF('Residual-RosteredMATRIX-CARER'!P4=0,"",'Residual-RosteredMATRIX-CARER'!P4)</f>
        <v>0/ 7.8</v>
      </c>
      <c r="S35" s="25" t="str">
        <f>IF('Residual-RosteredMATRIX-CARER'!Q4=0,"",'Residual-RosteredMATRIX-CARER'!Q4)</f>
        <v>0/ 0.2</v>
      </c>
      <c r="T35" s="25" t="str">
        <f>IF('Residual-RosteredMATRIX-CARER'!R4=0,"",'Residual-RosteredMATRIX-CARER'!R4)</f>
        <v/>
      </c>
      <c r="U35" s="25" t="str">
        <f>IF('Residual-RosteredMATRIX-CARER'!S4=0,"",'Residual-RosteredMATRIX-CARER'!S4)</f>
        <v/>
      </c>
      <c r="V35" s="25" t="str">
        <f>IF('Residual-RosteredMATRIX-CARER'!T4=0,"",'Residual-RosteredMATRIX-CARER'!T4)</f>
        <v/>
      </c>
      <c r="W35" s="25" t="str">
        <f>IF('Residual-RosteredMATRIX-CARER'!U4=0,"",'Residual-RosteredMATRIX-CARER'!U4)</f>
        <v/>
      </c>
      <c r="X35" s="25" t="str">
        <f>IF('Residual-RosteredMATRIX-CARER'!V4=0,"",'Residual-RosteredMATRIX-CARER'!V4)</f>
        <v/>
      </c>
      <c r="Y35" s="25" t="str">
        <f>IF('Residual-RosteredMATRIX-CARER'!W4=0,"",'Residual-RosteredMATRIX-CARER'!W4)</f>
        <v/>
      </c>
      <c r="Z35" s="25" t="str">
        <f>IF('Residual-RosteredMATRIX-CARER'!X4=0,"",'Residual-RosteredMATRIX-CARER'!X4)</f>
        <v/>
      </c>
      <c r="AA35" s="25" t="str">
        <f>IF('Residual-RosteredMATRIX-CARER'!Y4=0,"",'Residual-RosteredMATRIX-CARER'!Y4)</f>
        <v>0/ 7.8</v>
      </c>
      <c r="AB35" s="25" t="str">
        <f>IF('Residual-RosteredMATRIX-CARER'!Z4=0,"",'Residual-RosteredMATRIX-CARER'!Z4)</f>
        <v>0/ 0.2</v>
      </c>
      <c r="AC35" s="25" t="str">
        <f>IF('Residual-RosteredMATRIX-CARER'!AA4=0,"",'Residual-RosteredMATRIX-CARER'!AA4)</f>
        <v/>
      </c>
      <c r="AD35" s="25" t="str">
        <f>IF('Residual-RosteredMATRIX-CARER'!AB4=0,"",'Residual-RosteredMATRIX-CARER'!AB4)</f>
        <v/>
      </c>
      <c r="AE35" s="25" t="str">
        <f>IF('Residual-RosteredMATRIX-CARER'!AC4=0,"",'Residual-RosteredMATRIX-CARER'!AC4)</f>
        <v/>
      </c>
      <c r="AF35" s="25" t="str">
        <f>IF('Residual-RosteredMATRIX-CARER'!AD4=0,"",'Residual-RosteredMATRIX-CARER'!AD4)</f>
        <v/>
      </c>
      <c r="AG35" s="25" t="str">
        <f>IF('Residual-RosteredMATRIX-CARER'!AE4=0,"",'Residual-RosteredMATRIX-CARER'!AE4)</f>
        <v/>
      </c>
      <c r="AH35" s="25" t="str">
        <f>IF('Residual-RosteredMATRIX-CARER'!AF4=0,"",'Residual-RosteredMATRIX-CARER'!AF4)</f>
        <v/>
      </c>
      <c r="AI35" s="25" t="str">
        <f>IF('Residual-RosteredMATRIX-CARER'!AG4=0,"",'Residual-RosteredMATRIX-CARER'!AG4)</f>
        <v>0.5/ 7.5</v>
      </c>
      <c r="AJ35" s="25" t="str">
        <f>IF('Residual-RosteredMATRIX-CARER'!AH4=0,"",'Residual-RosteredMATRIX-CARER'!AH4)</f>
        <v/>
      </c>
      <c r="AK35" s="25" t="str">
        <f>IF('Residual-RosteredMATRIX-CARER'!AI4=0,"",'Residual-RosteredMATRIX-CARER'!AI4)</f>
        <v/>
      </c>
      <c r="AL35" s="25" t="str">
        <f>IF('Residual-RosteredMATRIX-CARER'!AJ4=0,"",'Residual-RosteredMATRIX-CARER'!AJ4)</f>
        <v>0.5/ 7.5</v>
      </c>
      <c r="AM35" s="25" t="str">
        <f>IF('Residual-RosteredMATRIX-CARER'!AK4=0,"",'Residual-RosteredMATRIX-CARER'!AK4)</f>
        <v/>
      </c>
      <c r="AN35" s="25" t="str">
        <f>IF('Residual-RosteredMATRIX-CARER'!AL4=0,"",'Residual-RosteredMATRIX-CARER'!AL4)</f>
        <v/>
      </c>
      <c r="AO35" s="25" t="str">
        <f>IF('Residual-RosteredMATRIX-CARER'!AM4=0,"",'Residual-RosteredMATRIX-CARER'!AM4)</f>
        <v>0.5/ 7.5</v>
      </c>
      <c r="AP35" s="25" t="str">
        <f>IF('Residual-RosteredMATRIX-CARER'!AN4=0,"",'Residual-RosteredMATRIX-CARER'!AN4)</f>
        <v/>
      </c>
      <c r="AQ35" s="25" t="str">
        <f>IF('Residual-RosteredMATRIX-CARER'!AO4=0,"",'Residual-RosteredMATRIX-CARER'!AO4)</f>
        <v/>
      </c>
      <c r="AR35" s="25" t="str">
        <f>IF('Residual-RosteredMATRIX-CARER'!AP4=0,"",'Residual-RosteredMATRIX-CARER'!AP4)</f>
        <v/>
      </c>
      <c r="AS35" s="25" t="str">
        <f>IF('Residual-RosteredMATRIX-CARER'!AQ4=0,"",'Residual-RosteredMATRIX-CARER'!AQ4)</f>
        <v/>
      </c>
      <c r="AT35" s="25" t="str">
        <f>IF('Residual-RosteredMATRIX-CARER'!AR4=0,"",'Residual-RosteredMATRIX-CARER'!AR4)</f>
        <v/>
      </c>
      <c r="AU35" s="25" t="str">
        <f>IF('Residual-RosteredMATRIX-CARER'!AS4=0,"",'Residual-RosteredMATRIX-CARER'!AS4)</f>
        <v/>
      </c>
      <c r="AV35" s="25" t="str">
        <f>IF('Residual-RosteredMATRIX-CARER'!AT4=0,"",'Residual-RosteredMATRIX-CARER'!AT4)</f>
        <v>0/ 7.8</v>
      </c>
      <c r="AW35" s="25" t="str">
        <f>IF('Residual-RosteredMATRIX-CARER'!AU4=0,"",'Residual-RosteredMATRIX-CARER'!AU4)</f>
        <v>0/ 0.2</v>
      </c>
    </row>
    <row r="36" spans="1:49" ht="15.75" customHeight="1" x14ac:dyDescent="0.25">
      <c r="A36" s="25" t="e">
        <f>'Residual-Rostered'!#REF!</f>
        <v>#REF!</v>
      </c>
      <c r="B36" s="33" t="str">
        <f>'Residual-RosteredMATRIX-CARER'!D6</f>
        <v>Carer</v>
      </c>
      <c r="C36" s="33" t="str">
        <f>'Residual-RosteredMATRIX-CARER'!C6</f>
        <v>Armstrong, Gillian</v>
      </c>
      <c r="D36" s="34">
        <f>'Residual-RosteredMATRIX-CARER'!E6</f>
        <v>15</v>
      </c>
      <c r="E36" s="14">
        <f>Max_HRS-Table314[[#This Row],[ROSTERED TIME]]</f>
        <v>61</v>
      </c>
      <c r="F36" s="14">
        <f t="shared" si="5"/>
        <v>0</v>
      </c>
      <c r="G36" s="14">
        <f>Table314[[#This Row],[ROSTERED TIME]]+Table314[[#This Row],[CHANGE TIME]]</f>
        <v>15</v>
      </c>
      <c r="H36" s="25" t="str">
        <f>IF('Residual-RosteredMATRIX-CARER'!F6=0,"",'Residual-RosteredMATRIX-CARER'!F6)</f>
        <v/>
      </c>
      <c r="I36" s="25" t="str">
        <f>IF('Residual-RosteredMATRIX-CARER'!G6=0,"",'Residual-RosteredMATRIX-CARER'!G6)</f>
        <v/>
      </c>
      <c r="J36" s="25" t="str">
        <f>IF('Residual-RosteredMATRIX-CARER'!H6=0,"",'Residual-RosteredMATRIX-CARER'!H6)</f>
        <v/>
      </c>
      <c r="K36" s="25" t="str">
        <f>IF('Residual-RosteredMATRIX-CARER'!I6=0,"",'Residual-RosteredMATRIX-CARER'!I6)</f>
        <v/>
      </c>
      <c r="L36" s="25" t="str">
        <f>IF('Residual-RosteredMATRIX-CARER'!J6=0,"",'Residual-RosteredMATRIX-CARER'!J6)</f>
        <v/>
      </c>
      <c r="M36" s="25" t="str">
        <f>IF('Residual-RosteredMATRIX-CARER'!K6=0,"",'Residual-RosteredMATRIX-CARER'!K6)</f>
        <v/>
      </c>
      <c r="N36" s="25" t="str">
        <f>IF('Residual-RosteredMATRIX-CARER'!L6=0,"",'Residual-RosteredMATRIX-CARER'!L6)</f>
        <v>0.5/ 7.5</v>
      </c>
      <c r="O36" s="25" t="str">
        <f>IF('Residual-RosteredMATRIX-CARER'!M6=0,"",'Residual-RosteredMATRIX-CARER'!M6)</f>
        <v/>
      </c>
      <c r="P36" s="25" t="str">
        <f>IF('Residual-RosteredMATRIX-CARER'!N6=0,"",'Residual-RosteredMATRIX-CARER'!N6)</f>
        <v/>
      </c>
      <c r="Q36" s="25" t="str">
        <f>IF('Residual-RosteredMATRIX-CARER'!O6=0,"",'Residual-RosteredMATRIX-CARER'!O6)</f>
        <v/>
      </c>
      <c r="R36" s="25" t="str">
        <f>IF('Residual-RosteredMATRIX-CARER'!P6=0,"",'Residual-RosteredMATRIX-CARER'!P6)</f>
        <v/>
      </c>
      <c r="S36" s="25" t="str">
        <f>IF('Residual-RosteredMATRIX-CARER'!Q6=0,"",'Residual-RosteredMATRIX-CARER'!Q6)</f>
        <v/>
      </c>
      <c r="T36" s="25" t="str">
        <f>IF('Residual-RosteredMATRIX-CARER'!R6=0,"",'Residual-RosteredMATRIX-CARER'!R6)</f>
        <v/>
      </c>
      <c r="U36" s="25" t="str">
        <f>IF('Residual-RosteredMATRIX-CARER'!S6=0,"",'Residual-RosteredMATRIX-CARER'!S6)</f>
        <v/>
      </c>
      <c r="V36" s="25" t="str">
        <f>IF('Residual-RosteredMATRIX-CARER'!T6=0,"",'Residual-RosteredMATRIX-CARER'!T6)</f>
        <v/>
      </c>
      <c r="W36" s="25" t="str">
        <f>IF('Residual-RosteredMATRIX-CARER'!U6=0,"",'Residual-RosteredMATRIX-CARER'!U6)</f>
        <v/>
      </c>
      <c r="X36" s="25" t="str">
        <f>IF('Residual-RosteredMATRIX-CARER'!V6=0,"",'Residual-RosteredMATRIX-CARER'!V6)</f>
        <v/>
      </c>
      <c r="Y36" s="25" t="str">
        <f>IF('Residual-RosteredMATRIX-CARER'!W6=0,"",'Residual-RosteredMATRIX-CARER'!W6)</f>
        <v/>
      </c>
      <c r="Z36" s="25" t="str">
        <f>IF('Residual-RosteredMATRIX-CARER'!X6=0,"",'Residual-RosteredMATRIX-CARER'!X6)</f>
        <v/>
      </c>
      <c r="AA36" s="25" t="str">
        <f>IF('Residual-RosteredMATRIX-CARER'!Y6=0,"",'Residual-RosteredMATRIX-CARER'!Y6)</f>
        <v/>
      </c>
      <c r="AB36" s="25" t="str">
        <f>IF('Residual-RosteredMATRIX-CARER'!Z6=0,"",'Residual-RosteredMATRIX-CARER'!Z6)</f>
        <v/>
      </c>
      <c r="AC36" s="25" t="str">
        <f>IF('Residual-RosteredMATRIX-CARER'!AA6=0,"",'Residual-RosteredMATRIX-CARER'!AA6)</f>
        <v/>
      </c>
      <c r="AD36" s="25" t="str">
        <f>IF('Residual-RosteredMATRIX-CARER'!AB6=0,"",'Residual-RosteredMATRIX-CARER'!AB6)</f>
        <v/>
      </c>
      <c r="AE36" s="25" t="str">
        <f>IF('Residual-RosteredMATRIX-CARER'!AC6=0,"",'Residual-RosteredMATRIX-CARER'!AC6)</f>
        <v/>
      </c>
      <c r="AF36" s="25" t="str">
        <f>IF('Residual-RosteredMATRIX-CARER'!AD6=0,"",'Residual-RosteredMATRIX-CARER'!AD6)</f>
        <v>0.5/ 7.5</v>
      </c>
      <c r="AG36" s="25" t="str">
        <f>IF('Residual-RosteredMATRIX-CARER'!AE5=0,"",'Residual-RosteredMATRIX-CARER'!AE5)</f>
        <v/>
      </c>
      <c r="AH36" s="25" t="str">
        <f>IF('Residual-RosteredMATRIX-CARER'!AF6=0,"",'Residual-RosteredMATRIX-CARER'!AF6)</f>
        <v/>
      </c>
      <c r="AI36" s="25" t="str">
        <f>IF('Residual-RosteredMATRIX-CARER'!AG6=0,"",'Residual-RosteredMATRIX-CARER'!AG6)</f>
        <v/>
      </c>
      <c r="AJ36" s="25" t="str">
        <f>IF('Residual-RosteredMATRIX-CARER'!AH6=0,"",'Residual-RosteredMATRIX-CARER'!AH6)</f>
        <v/>
      </c>
      <c r="AK36" s="25" t="str">
        <f>IF('Residual-RosteredMATRIX-CARER'!AI6=0,"",'Residual-RosteredMATRIX-CARER'!AI6)</f>
        <v/>
      </c>
      <c r="AL36" s="25" t="str">
        <f>IF('Residual-RosteredMATRIX-CARER'!AJ6=0,"",'Residual-RosteredMATRIX-CARER'!AJ6)</f>
        <v/>
      </c>
      <c r="AM36" s="25" t="str">
        <f>IF('Residual-RosteredMATRIX-CARER'!AK6=0,"",'Residual-RosteredMATRIX-CARER'!AK6)</f>
        <v/>
      </c>
      <c r="AN36" s="25" t="str">
        <f>IF('Residual-RosteredMATRIX-CARER'!AL6=0,"",'Residual-RosteredMATRIX-CARER'!AL6)</f>
        <v/>
      </c>
      <c r="AO36" s="25" t="str">
        <f>IF('Residual-RosteredMATRIX-CARER'!AM6=0,"",'Residual-RosteredMATRIX-CARER'!AM6)</f>
        <v/>
      </c>
      <c r="AP36" s="25" t="str">
        <f>IF('Residual-RosteredMATRIX-CARER'!AN6=0,"",'Residual-RosteredMATRIX-CARER'!AN6)</f>
        <v/>
      </c>
      <c r="AQ36" s="25" t="str">
        <f>IF('Residual-RosteredMATRIX-CARER'!AO6=0,"",'Residual-RosteredMATRIX-CARER'!AO6)</f>
        <v/>
      </c>
      <c r="AR36" s="25" t="str">
        <f>IF('Residual-RosteredMATRIX-CARER'!AP6=0,"",'Residual-RosteredMATRIX-CARER'!AP6)</f>
        <v/>
      </c>
      <c r="AS36" s="25" t="str">
        <f>IF('Residual-RosteredMATRIX-CARER'!AQ6=0,"",'Residual-RosteredMATRIX-CARER'!AQ6)</f>
        <v/>
      </c>
      <c r="AT36" s="25" t="str">
        <f>IF('Residual-RosteredMATRIX-CARER'!AR6=0,"",'Residual-RosteredMATRIX-CARER'!AR6)</f>
        <v/>
      </c>
      <c r="AU36" s="25" t="str">
        <f>IF('Residual-RosteredMATRIX-CARER'!AS6=0,"",'Residual-RosteredMATRIX-CARER'!AS6)</f>
        <v/>
      </c>
      <c r="AV36" s="25" t="str">
        <f>IF('Residual-RosteredMATRIX-CARER'!AT6=0,"",'Residual-RosteredMATRIX-CARER'!AT6)</f>
        <v/>
      </c>
      <c r="AW36" s="25" t="str">
        <f>IF('Residual-RosteredMATRIX-CARER'!AU6=0,"",'Residual-RosteredMATRIX-CARER'!AU6)</f>
        <v/>
      </c>
    </row>
    <row r="37" spans="1:49" ht="15.75" customHeight="1" x14ac:dyDescent="0.25">
      <c r="A37" s="25" t="e">
        <f>'Residual-Rostered'!#REF!</f>
        <v>#REF!</v>
      </c>
      <c r="B37" s="33" t="str">
        <f>'Residual-RosteredMATRIX-CARER'!D8</f>
        <v>Carer</v>
      </c>
      <c r="C37" s="33" t="str">
        <f>'Residual-RosteredMATRIX-CARER'!C8</f>
        <v>Aspinall, Samantha</v>
      </c>
      <c r="D37" s="34">
        <f>'Residual-RosteredMATRIX-CARER'!E8</f>
        <v>57</v>
      </c>
      <c r="E37" s="14">
        <f>Max_HRS-Table314[[#This Row],[ROSTERED TIME]]</f>
        <v>19</v>
      </c>
      <c r="F37" s="14">
        <f t="shared" si="5"/>
        <v>8.3000000000000007</v>
      </c>
      <c r="G37" s="14">
        <f>Table314[[#This Row],[ROSTERED TIME]]+Table314[[#This Row],[CHANGE TIME]]</f>
        <v>65.3</v>
      </c>
      <c r="H37" s="25" t="str">
        <f>IF('Residual-RosteredMATRIX-CARER'!F8=0,"",'Residual-RosteredMATRIX-CARER'!F8)</f>
        <v>0.5/ 7.5</v>
      </c>
      <c r="I37" s="25" t="str">
        <f>IF('Residual-RosteredMATRIX-CARER'!G8=0,"",'Residual-RosteredMATRIX-CARER'!G8)</f>
        <v/>
      </c>
      <c r="J37" s="25" t="str">
        <f>IF('Residual-RosteredMATRIX-CARER'!H8=0,"",'Residual-RosteredMATRIX-CARER'!H8)</f>
        <v/>
      </c>
      <c r="K37" s="25" t="str">
        <f>IF('Residual-RosteredMATRIX-CARER'!I8=0,"",'Residual-RosteredMATRIX-CARER'!I8)</f>
        <v>1.9/ 6</v>
      </c>
      <c r="L37" s="25" t="str">
        <f>IF('Residual-RosteredMATRIX-CARER'!J8=0,"",'Residual-RosteredMATRIX-CARER'!J8)</f>
        <v/>
      </c>
      <c r="M37" s="25" t="str">
        <f>IF('Residual-RosteredMATRIX-CARER'!K8=0,"",'Residual-RosteredMATRIX-CARER'!K8)</f>
        <v/>
      </c>
      <c r="N37" s="25" t="str">
        <f>IF('Residual-RosteredMATRIX-CARER'!L8=0,"",'Residual-RosteredMATRIX-CARER'!L8)</f>
        <v>1.9/ 6</v>
      </c>
      <c r="O37" s="25" t="str">
        <f>IF('Residual-RosteredMATRIX-CARER'!M8=0,"",'Residual-RosteredMATRIX-CARER'!M8)</f>
        <v/>
      </c>
      <c r="P37" s="25" t="str">
        <f>IF('Residual-RosteredMATRIX-CARER'!N8=0,"",'Residual-RosteredMATRIX-CARER'!N8)</f>
        <v/>
      </c>
      <c r="Q37" s="25" t="str">
        <f>IF('Residual-RosteredMATRIX-CARER'!O8=0,"",'Residual-RosteredMATRIX-CARER'!O8)</f>
        <v>0.5/ 7.5</v>
      </c>
      <c r="R37" s="25" t="str">
        <f>IF('Residual-RosteredMATRIX-CARER'!P8=0,"",'Residual-RosteredMATRIX-CARER'!P8)</f>
        <v/>
      </c>
      <c r="S37" s="25" t="str">
        <f>IF('Residual-RosteredMATRIX-CARER'!Q8=0,"",'Residual-RosteredMATRIX-CARER'!Q8)</f>
        <v/>
      </c>
      <c r="T37" s="25">
        <v>7.8</v>
      </c>
      <c r="U37" s="25">
        <v>0.5</v>
      </c>
      <c r="V37" s="25" t="str">
        <f>IF('Residual-RosteredMATRIX-CARER'!T8=0,"",'Residual-RosteredMATRIX-CARER'!T8)</f>
        <v/>
      </c>
      <c r="W37" s="25" t="str">
        <f>IF('Residual-RosteredMATRIX-CARER'!U8=0,"",'Residual-RosteredMATRIX-CARER'!U8)</f>
        <v/>
      </c>
      <c r="X37" s="25" t="str">
        <f>IF('Residual-RosteredMATRIX-CARER'!V8=0,"",'Residual-RosteredMATRIX-CARER'!V8)</f>
        <v/>
      </c>
      <c r="Y37" s="25" t="str">
        <f>IF('Residual-RosteredMATRIX-CARER'!W8=0,"",'Residual-RosteredMATRIX-CARER'!W8)</f>
        <v/>
      </c>
      <c r="Z37" s="25" t="str">
        <f>IF('Residual-RosteredMATRIX-CARER'!X8=0,"",'Residual-RosteredMATRIX-CARER'!X8)</f>
        <v/>
      </c>
      <c r="AA37" s="25" t="str">
        <f>IF('Residual-RosteredMATRIX-CARER'!Y8=0,"",'Residual-RosteredMATRIX-CARER'!Y8)</f>
        <v/>
      </c>
      <c r="AB37" s="25" t="str">
        <f>IF('Residual-RosteredMATRIX-CARER'!Z8=0,"",'Residual-RosteredMATRIX-CARER'!Z8)</f>
        <v/>
      </c>
      <c r="AC37" s="25" t="str">
        <f>IF('Residual-RosteredMATRIX-CARER'!AA8=0,"",'Residual-RosteredMATRIX-CARER'!AA8)</f>
        <v>0.5/ 7.5</v>
      </c>
      <c r="AD37" s="25" t="str">
        <f>IF('Residual-RosteredMATRIX-CARER'!AB8=0,"",'Residual-RosteredMATRIX-CARER'!AB8)</f>
        <v/>
      </c>
      <c r="AE37" s="25" t="str">
        <f>IF('Residual-RosteredMATRIX-CARER'!AC8=0,"",'Residual-RosteredMATRIX-CARER'!AC8)</f>
        <v/>
      </c>
      <c r="AF37" s="25" t="str">
        <f>IF('Residual-RosteredMATRIX-CARER'!AD8=0,"",'Residual-RosteredMATRIX-CARER'!AD8)</f>
        <v>0.5/ 7.5</v>
      </c>
      <c r="AG37" s="25" t="str">
        <f>IF('Residual-RosteredMATRIX-CARER'!AE6=0,"",'Residual-RosteredMATRIX-CARER'!AE6)</f>
        <v/>
      </c>
      <c r="AH37" s="25" t="str">
        <f>IF('Residual-RosteredMATRIX-CARER'!AF8=0,"",'Residual-RosteredMATRIX-CARER'!AF8)</f>
        <v/>
      </c>
      <c r="AI37" s="25" t="str">
        <f>IF('Residual-RosteredMATRIX-CARER'!AG8=0,"",'Residual-RosteredMATRIX-CARER'!AG8)</f>
        <v>0.5/ 7.5</v>
      </c>
      <c r="AJ37" s="25" t="str">
        <f>IF('Residual-RosteredMATRIX-CARER'!AH8=0,"",'Residual-RosteredMATRIX-CARER'!AH8)</f>
        <v/>
      </c>
      <c r="AK37" s="25" t="str">
        <f>IF('Residual-RosteredMATRIX-CARER'!AI8=0,"",'Residual-RosteredMATRIX-CARER'!AI8)</f>
        <v/>
      </c>
      <c r="AL37" s="25" t="str">
        <f>IF('Residual-RosteredMATRIX-CARER'!AJ8=0,"",'Residual-RosteredMATRIX-CARER'!AJ8)</f>
        <v>0.5/ 7.5</v>
      </c>
      <c r="AM37" s="25" t="str">
        <f>IF('Residual-RosteredMATRIX-CARER'!AK8=0,"",'Residual-RosteredMATRIX-CARER'!AK8)</f>
        <v/>
      </c>
      <c r="AN37" s="25" t="str">
        <f>IF('Residual-RosteredMATRIX-CARER'!AL8=0,"",'Residual-RosteredMATRIX-CARER'!AL8)</f>
        <v/>
      </c>
      <c r="AO37" s="25" t="str">
        <f>IF('Residual-RosteredMATRIX-CARER'!AM8=0,"",'Residual-RosteredMATRIX-CARER'!AM8)</f>
        <v/>
      </c>
      <c r="AP37" s="25" t="str">
        <f>IF('Residual-RosteredMATRIX-CARER'!AN8=0,"",'Residual-RosteredMATRIX-CARER'!AN8)</f>
        <v/>
      </c>
      <c r="AQ37" s="25" t="str">
        <f>IF('Residual-RosteredMATRIX-CARER'!AO8=0,"",'Residual-RosteredMATRIX-CARER'!AO8)</f>
        <v/>
      </c>
      <c r="AR37" s="25" t="str">
        <f>IF('Residual-RosteredMATRIX-CARER'!AP8=0,"",'Residual-RosteredMATRIX-CARER'!AP8)</f>
        <v/>
      </c>
      <c r="AS37" s="25" t="str">
        <f>IF('Residual-RosteredMATRIX-CARER'!AQ8=0,"",'Residual-RosteredMATRIX-CARER'!AQ8)</f>
        <v/>
      </c>
      <c r="AT37" s="25" t="str">
        <f>IF('Residual-RosteredMATRIX-CARER'!AR8=0,"",'Residual-RosteredMATRIX-CARER'!AR8)</f>
        <v/>
      </c>
      <c r="AU37" s="25" t="str">
        <f>IF('Residual-RosteredMATRIX-CARER'!AS8=0,"",'Residual-RosteredMATRIX-CARER'!AS8)</f>
        <v/>
      </c>
      <c r="AV37" s="25" t="str">
        <f>IF('Residual-RosteredMATRIX-CARER'!AT8=0,"",'Residual-RosteredMATRIX-CARER'!AT8)</f>
        <v/>
      </c>
      <c r="AW37" s="25" t="str">
        <f>IF('Residual-RosteredMATRIX-CARER'!AU8=0,"",'Residual-RosteredMATRIX-CARER'!AU8)</f>
        <v/>
      </c>
    </row>
    <row r="38" spans="1:49" ht="15.75" customHeight="1" x14ac:dyDescent="0.25">
      <c r="A38" s="25" t="e">
        <f>'Residual-Rostered'!#REF!</f>
        <v>#REF!</v>
      </c>
      <c r="B38" s="33">
        <f>'Residual-RosteredMATRIX-CARER'!D67</f>
        <v>0</v>
      </c>
      <c r="C38" s="46" t="s">
        <v>255</v>
      </c>
      <c r="D38" s="34">
        <f>'Residual-RosteredMATRIX-RN'!E67</f>
        <v>0</v>
      </c>
      <c r="E38" s="14">
        <f>Max_HRS-Table314[[#This Row],[ROSTERED TIME]]</f>
        <v>76</v>
      </c>
      <c r="F38" s="14">
        <f t="shared" si="5"/>
        <v>76.899999999999991</v>
      </c>
      <c r="G38" s="14">
        <f>Table314[[#This Row],[ROSTERED TIME]]+Table314[[#This Row],[CHANGE TIME]]</f>
        <v>76.899999999999991</v>
      </c>
      <c r="H38" s="25" t="str">
        <f>IF('Residual-RosteredMATRIX-RN'!F67=0,"",'Residual-RosteredMATRIX-RN'!F67)</f>
        <v/>
      </c>
      <c r="I38" s="25" t="str">
        <f>IF('Residual-RosteredMATRIX-RN'!G67=0,"",'Residual-RosteredMATRIX-RN'!G67)</f>
        <v/>
      </c>
      <c r="J38" s="25" t="str">
        <f>IF('Residual-RosteredMATRIX-RN'!H67=0,"",'Residual-RosteredMATRIX-RN'!H67)</f>
        <v/>
      </c>
      <c r="K38" s="25" t="str">
        <f>IF('Residual-RosteredMATRIX-RN'!I67=0,"",'Residual-RosteredMATRIX-RN'!I67)</f>
        <v/>
      </c>
      <c r="L38" s="25" t="str">
        <f>IF('Residual-RosteredMATRIX-RN'!J67=0,"",'Residual-RosteredMATRIX-RN'!J67)</f>
        <v/>
      </c>
      <c r="M38" s="25" t="str">
        <f>IF('Residual-RosteredMATRIX-RN'!K67=0,"",'Residual-RosteredMATRIX-RN'!K67)</f>
        <v/>
      </c>
      <c r="N38" s="25">
        <v>7.8</v>
      </c>
      <c r="O38" s="25" t="str">
        <f>IF('Residual-RosteredMATRIX-RN'!M67=0,"",'Residual-RosteredMATRIX-RN'!M67)</f>
        <v/>
      </c>
      <c r="P38" s="25" t="str">
        <f>IF('Residual-RosteredMATRIX-RN'!N67=0,"",'Residual-RosteredMATRIX-RN'!N67)</f>
        <v/>
      </c>
      <c r="Q38" s="25">
        <v>7.8</v>
      </c>
      <c r="R38" s="25"/>
      <c r="S38" s="25" t="str">
        <f>IF('Residual-RosteredMATRIX-RN'!Q67=0,"",'Residual-RosteredMATRIX-RN'!Q67)</f>
        <v/>
      </c>
      <c r="T38" s="25">
        <v>7.8</v>
      </c>
      <c r="U38" s="25">
        <v>0.5</v>
      </c>
      <c r="V38" s="25" t="str">
        <f>IF('Residual-RosteredMATRIX-RN'!T67=0,"",'Residual-RosteredMATRIX-RN'!T67)</f>
        <v/>
      </c>
      <c r="W38" s="25">
        <v>7.2</v>
      </c>
      <c r="X38" s="25" t="str">
        <f>IF('Residual-RosteredMATRIX-RN'!V67=0,"",'Residual-RosteredMATRIX-RN'!V67)</f>
        <v/>
      </c>
      <c r="Y38" s="25" t="str">
        <f>IF('Residual-RosteredMATRIX-RN'!W67=0,"",'Residual-RosteredMATRIX-RN'!W67)</f>
        <v/>
      </c>
      <c r="Z38" s="25">
        <v>7.2</v>
      </c>
      <c r="AA38" s="25"/>
      <c r="AB38" s="25" t="str">
        <f>IF('Residual-RosteredMATRIX-RN'!Z67=0,"",'Residual-RosteredMATRIX-RN'!Z67)</f>
        <v/>
      </c>
      <c r="AC38" s="25"/>
      <c r="AD38" s="25"/>
      <c r="AE38" s="25" t="str">
        <f>IF('Residual-RosteredMATRIX-RN'!AC67=0,"",'Residual-RosteredMATRIX-RN'!AC67)</f>
        <v/>
      </c>
      <c r="AF38" s="25" t="str">
        <f>IF('Residual-RosteredMATRIX-RN'!AD67=0,"",'Residual-RosteredMATRIX-RN'!AD67)</f>
        <v/>
      </c>
      <c r="AG38" s="25" t="str">
        <f>IF('Residual-RosteredMATRIX-CARER'!AE7=0,"",'Residual-RosteredMATRIX-CARER'!AE7)</f>
        <v/>
      </c>
      <c r="AH38" s="45" t="str">
        <f>IF('Residual-RosteredMATRIX-RN'!AF67=0,"",'Residual-RosteredMATRIX-RN'!AF67)</f>
        <v/>
      </c>
      <c r="AI38" s="25">
        <v>7.8</v>
      </c>
      <c r="AJ38" s="45"/>
      <c r="AK38" s="45" t="str">
        <f>IF('Residual-RosteredMATRIX-RN'!AI67=0,"",'Residual-RosteredMATRIX-RN'!AI67)</f>
        <v/>
      </c>
      <c r="AL38" s="45" t="str">
        <f>IF('Residual-RosteredMATRIX-RN'!AJ67=0,"",'Residual-RosteredMATRIX-RN'!AJ67)</f>
        <v/>
      </c>
      <c r="AM38" s="45">
        <v>7.8</v>
      </c>
      <c r="AN38" s="45" t="str">
        <f>IF('Residual-RosteredMATRIX-RN'!AL67=0,"",'Residual-RosteredMATRIX-RN'!AL67)</f>
        <v/>
      </c>
      <c r="AO38" s="45">
        <v>7.8</v>
      </c>
      <c r="AP38" s="45" t="str">
        <f>IF('Residual-RosteredMATRIX-RN'!AN67=0,"",'Residual-RosteredMATRIX-RN'!AN67)</f>
        <v/>
      </c>
      <c r="AQ38" s="45" t="str">
        <f>IF('Residual-RosteredMATRIX-RN'!AO67=0,"",'Residual-RosteredMATRIX-RN'!AO67)</f>
        <v/>
      </c>
      <c r="AR38" s="45">
        <v>7.8</v>
      </c>
      <c r="AS38" s="45" t="str">
        <f>IF('Residual-RosteredMATRIX-RN'!AQ67=0,"",'Residual-RosteredMATRIX-RN'!AQ67)</f>
        <v/>
      </c>
      <c r="AT38" s="45" t="str">
        <f>IF('Residual-RosteredMATRIX-RN'!AR67=0,"",'Residual-RosteredMATRIX-RN'!AR67)</f>
        <v/>
      </c>
      <c r="AU38" s="45">
        <v>7.4</v>
      </c>
      <c r="AV38" s="45" t="str">
        <f>IF('Residual-RosteredMATRIX-RN'!AT67=0,"",'Residual-RosteredMATRIX-RN'!AT67)</f>
        <v/>
      </c>
      <c r="AW38" s="45" t="str">
        <f>IF('Residual-RosteredMATRIX-RN'!AU67=0,"",'Residual-RosteredMATRIX-RN'!AU67)</f>
        <v/>
      </c>
    </row>
    <row r="39" spans="1:49" ht="15.75" customHeight="1" x14ac:dyDescent="0.25">
      <c r="A39" s="25" t="e">
        <f>'Residual-Rostered'!#REF!</f>
        <v>#REF!</v>
      </c>
      <c r="B39" s="33" t="str">
        <f>'Residual-RosteredMATRIX-CARER'!D10</f>
        <v>Carer</v>
      </c>
      <c r="C39" s="33" t="str">
        <f>'Residual-RosteredMATRIX-CARER'!C10</f>
        <v>Brown, Maria</v>
      </c>
      <c r="D39" s="34">
        <f>'Residual-RosteredMATRIX-CARER'!E10</f>
        <v>60</v>
      </c>
      <c r="E39" s="14">
        <f>Max_HRS-Table314[[#This Row],[ROSTERED TIME]]</f>
        <v>16</v>
      </c>
      <c r="F39" s="14">
        <f t="shared" si="5"/>
        <v>0</v>
      </c>
      <c r="G39" s="14">
        <f>Table314[[#This Row],[ROSTERED TIME]]+Table314[[#This Row],[CHANGE TIME]]</f>
        <v>60</v>
      </c>
      <c r="H39" s="25" t="str">
        <f>IF('Residual-RosteredMATRIX-CARER'!F10=0,"",'Residual-RosteredMATRIX-CARER'!F10)</f>
        <v>0.5/ 7.5</v>
      </c>
      <c r="I39" s="25" t="str">
        <f>IF('Residual-RosteredMATRIX-CARER'!G10=0,"",'Residual-RosteredMATRIX-CARER'!G10)</f>
        <v/>
      </c>
      <c r="J39" s="25" t="str">
        <f>IF('Residual-RosteredMATRIX-CARER'!H10=0,"",'Residual-RosteredMATRIX-CARER'!H10)</f>
        <v/>
      </c>
      <c r="K39" s="25" t="str">
        <f>IF('Residual-RosteredMATRIX-CARER'!I10=0,"",'Residual-RosteredMATRIX-CARER'!I10)</f>
        <v/>
      </c>
      <c r="L39" s="25" t="str">
        <f>IF('Residual-RosteredMATRIX-CARER'!J10=0,"",'Residual-RosteredMATRIX-CARER'!J10)</f>
        <v/>
      </c>
      <c r="M39" s="25" t="str">
        <f>IF('Residual-RosteredMATRIX-CARER'!K10=0,"",'Residual-RosteredMATRIX-CARER'!K10)</f>
        <v/>
      </c>
      <c r="N39" s="25" t="str">
        <f>IF('Residual-RosteredMATRIX-CARER'!L10=0,"",'Residual-RosteredMATRIX-CARER'!L10)</f>
        <v/>
      </c>
      <c r="O39" s="25" t="str">
        <f>IF('Residual-RosteredMATRIX-CARER'!M10=0,"",'Residual-RosteredMATRIX-CARER'!M10)</f>
        <v/>
      </c>
      <c r="P39" s="25" t="str">
        <f>IF('Residual-RosteredMATRIX-CARER'!N10=0,"",'Residual-RosteredMATRIX-CARER'!N10)</f>
        <v/>
      </c>
      <c r="Q39" s="25" t="str">
        <f>IF('Residual-RosteredMATRIX-CARER'!O10=0,"",'Residual-RosteredMATRIX-CARER'!O10)</f>
        <v>0.5/ 7.5</v>
      </c>
      <c r="R39" s="25" t="str">
        <f>IF('Residual-RosteredMATRIX-CARER'!P10=0,"",'Residual-RosteredMATRIX-CARER'!P10)</f>
        <v/>
      </c>
      <c r="S39" s="25" t="str">
        <f>IF('Residual-RosteredMATRIX-CARER'!Q10=0,"",'Residual-RosteredMATRIX-CARER'!Q10)</f>
        <v/>
      </c>
      <c r="T39" s="25" t="str">
        <f>IF('Residual-RosteredMATRIX-CARER'!R10=0,"",'Residual-RosteredMATRIX-CARER'!R10)</f>
        <v>0.5/ 7.5</v>
      </c>
      <c r="U39" s="25" t="str">
        <f>IF('Residual-RosteredMATRIX-CARER'!S10=0,"",'Residual-RosteredMATRIX-CARER'!S10)</f>
        <v/>
      </c>
      <c r="V39" s="25" t="str">
        <f>IF('Residual-RosteredMATRIX-CARER'!T10=0,"",'Residual-RosteredMATRIX-CARER'!T10)</f>
        <v/>
      </c>
      <c r="W39" s="25" t="str">
        <f>IF('Residual-RosteredMATRIX-CARER'!U10=0,"",'Residual-RosteredMATRIX-CARER'!U10)</f>
        <v>0.5/ 7.5</v>
      </c>
      <c r="X39" s="25" t="str">
        <f>IF('Residual-RosteredMATRIX-CARER'!V10=0,"",'Residual-RosteredMATRIX-CARER'!V10)</f>
        <v/>
      </c>
      <c r="Y39" s="25" t="str">
        <f>IF('Residual-RosteredMATRIX-CARER'!W10=0,"",'Residual-RosteredMATRIX-CARER'!W10)</f>
        <v/>
      </c>
      <c r="Z39" s="25" t="str">
        <f>IF('Residual-RosteredMATRIX-CARER'!X10=0,"",'Residual-RosteredMATRIX-CARER'!X10)</f>
        <v>0.5/ 7.5</v>
      </c>
      <c r="AA39" s="25" t="str">
        <f>IF('Residual-RosteredMATRIX-CARER'!Y10=0,"",'Residual-RosteredMATRIX-CARER'!Y10)</f>
        <v/>
      </c>
      <c r="AB39" s="25" t="str">
        <f>IF('Residual-RosteredMATRIX-CARER'!Z10=0,"",'Residual-RosteredMATRIX-CARER'!Z10)</f>
        <v/>
      </c>
      <c r="AC39" s="25" t="str">
        <f>IF('Residual-RosteredMATRIX-CARER'!AA10=0,"",'Residual-RosteredMATRIX-CARER'!AA10)</f>
        <v/>
      </c>
      <c r="AD39" s="25" t="str">
        <f>IF('Residual-RosteredMATRIX-CARER'!AB10=0,"",'Residual-RosteredMATRIX-CARER'!AB10)</f>
        <v/>
      </c>
      <c r="AE39" s="25" t="str">
        <f>IF('Residual-RosteredMATRIX-CARER'!AC10=0,"",'Residual-RosteredMATRIX-CARER'!AC10)</f>
        <v/>
      </c>
      <c r="AF39" s="25" t="str">
        <f>IF('Residual-RosteredMATRIX-CARER'!AD10=0,"",'Residual-RosteredMATRIX-CARER'!AD10)</f>
        <v/>
      </c>
      <c r="AG39" s="25" t="str">
        <f>IF('Residual-RosteredMATRIX-CARER'!AE8=0,"",'Residual-RosteredMATRIX-CARER'!AE8)</f>
        <v/>
      </c>
      <c r="AH39" s="25" t="str">
        <f>IF('Residual-RosteredMATRIX-CARER'!AF10=0,"",'Residual-RosteredMATRIX-CARER'!AF10)</f>
        <v/>
      </c>
      <c r="AI39" s="25" t="str">
        <f>IF('Residual-RosteredMATRIX-CARER'!AG10=0,"",'Residual-RosteredMATRIX-CARER'!AG10)</f>
        <v>0.5/ 7.5</v>
      </c>
      <c r="AJ39" s="25" t="str">
        <f>IF('Residual-RosteredMATRIX-CARER'!AH10=0,"",'Residual-RosteredMATRIX-CARER'!AH10)</f>
        <v/>
      </c>
      <c r="AK39" s="25" t="str">
        <f>IF('Residual-RosteredMATRIX-CARER'!AI10=0,"",'Residual-RosteredMATRIX-CARER'!AI10)</f>
        <v/>
      </c>
      <c r="AL39" s="25" t="str">
        <f>IF('Residual-RosteredMATRIX-CARER'!AJ10=0,"",'Residual-RosteredMATRIX-CARER'!AJ10)</f>
        <v>0.5/ 7.5</v>
      </c>
      <c r="AM39" s="25" t="str">
        <f>IF('Residual-RosteredMATRIX-CARER'!AK10=0,"",'Residual-RosteredMATRIX-CARER'!AK10)</f>
        <v/>
      </c>
      <c r="AN39" s="25" t="str">
        <f>IF('Residual-RosteredMATRIX-CARER'!AL10=0,"",'Residual-RosteredMATRIX-CARER'!AL10)</f>
        <v/>
      </c>
      <c r="AO39" s="25" t="str">
        <f>IF('Residual-RosteredMATRIX-CARER'!AM10=0,"",'Residual-RosteredMATRIX-CARER'!AM10)</f>
        <v>0.5/ 7.5</v>
      </c>
      <c r="AP39" s="25" t="str">
        <f>IF('Residual-RosteredMATRIX-CARER'!AN10=0,"",'Residual-RosteredMATRIX-CARER'!AN10)</f>
        <v/>
      </c>
      <c r="AQ39" s="25" t="str">
        <f>IF('Residual-RosteredMATRIX-CARER'!AO10=0,"",'Residual-RosteredMATRIX-CARER'!AO10)</f>
        <v/>
      </c>
      <c r="AR39" s="25" t="str">
        <f>IF('Residual-RosteredMATRIX-CARER'!AP10=0,"",'Residual-RosteredMATRIX-CARER'!AP10)</f>
        <v/>
      </c>
      <c r="AS39" s="25" t="str">
        <f>IF('Residual-RosteredMATRIX-CARER'!AQ10=0,"",'Residual-RosteredMATRIX-CARER'!AQ10)</f>
        <v/>
      </c>
      <c r="AT39" s="25" t="str">
        <f>IF('Residual-RosteredMATRIX-CARER'!AR10=0,"",'Residual-RosteredMATRIX-CARER'!AR10)</f>
        <v/>
      </c>
      <c r="AU39" s="25" t="str">
        <f>IF('Residual-RosteredMATRIX-CARER'!AS10=0,"",'Residual-RosteredMATRIX-CARER'!AS10)</f>
        <v/>
      </c>
      <c r="AV39" s="25" t="str">
        <f>IF('Residual-RosteredMATRIX-CARER'!AT10=0,"",'Residual-RosteredMATRIX-CARER'!AT10)</f>
        <v/>
      </c>
      <c r="AW39" s="25" t="str">
        <f>IF('Residual-RosteredMATRIX-CARER'!AU10=0,"",'Residual-RosteredMATRIX-CARER'!AU10)</f>
        <v/>
      </c>
    </row>
    <row r="40" spans="1:49" ht="15.75" customHeight="1" x14ac:dyDescent="0.25">
      <c r="A40" s="25" t="e">
        <f>'Residual-Rostered'!#REF!</f>
        <v>#REF!</v>
      </c>
      <c r="B40" s="33" t="str">
        <f>'Residual-RosteredMATRIX-CARER'!D12</f>
        <v>Carer</v>
      </c>
      <c r="C40" s="33" t="str">
        <f>'Residual-RosteredMATRIX-CARER'!C12</f>
        <v>Burgmann, Robyn</v>
      </c>
      <c r="D40" s="34">
        <f>'Residual-RosteredMATRIX-CARER'!E12</f>
        <v>64</v>
      </c>
      <c r="E40" s="14">
        <f>Max_HRS-Table314[[#This Row],[ROSTERED TIME]]</f>
        <v>12</v>
      </c>
      <c r="F40" s="14">
        <f t="shared" si="5"/>
        <v>7.8</v>
      </c>
      <c r="G40" s="14">
        <f>Table314[[#This Row],[ROSTERED TIME]]+Table314[[#This Row],[CHANGE TIME]]</f>
        <v>71.8</v>
      </c>
      <c r="H40" s="25" t="str">
        <f>IF('Residual-RosteredMATRIX-CARER'!F12=0,"",'Residual-RosteredMATRIX-CARER'!F12)</f>
        <v/>
      </c>
      <c r="I40" s="25" t="str">
        <f>IF('Residual-RosteredMATRIX-CARER'!G12=0,"",'Residual-RosteredMATRIX-CARER'!G12)</f>
        <v>0/ 7.8</v>
      </c>
      <c r="J40" s="25" t="str">
        <f>IF('Residual-RosteredMATRIX-CARER'!H12=0,"",'Residual-RosteredMATRIX-CARER'!H12)</f>
        <v>0/ 0.2</v>
      </c>
      <c r="K40" s="25" t="str">
        <f>IF('Residual-RosteredMATRIX-CARER'!I12=0,"",'Residual-RosteredMATRIX-CARER'!I12)</f>
        <v/>
      </c>
      <c r="L40" s="25" t="str">
        <f>IF('Residual-RosteredMATRIX-CARER'!J12=0,"",'Residual-RosteredMATRIX-CARER'!J12)</f>
        <v>0/ 7.8</v>
      </c>
      <c r="M40" s="25" t="str">
        <f>IF('Residual-RosteredMATRIX-CARER'!K12=0,"",'Residual-RosteredMATRIX-CARER'!K12)</f>
        <v>0/ 0.2</v>
      </c>
      <c r="N40" s="25" t="str">
        <f>IF('Residual-RosteredMATRIX-CARER'!L12=0,"",'Residual-RosteredMATRIX-CARER'!L12)</f>
        <v/>
      </c>
      <c r="O40" s="25" t="str">
        <f>IF('Residual-RosteredMATRIX-CARER'!M12=0,"",'Residual-RosteredMATRIX-CARER'!M12)</f>
        <v/>
      </c>
      <c r="P40" s="25">
        <v>7.8</v>
      </c>
      <c r="Q40" s="25" t="str">
        <f>IF('Residual-RosteredMATRIX-CARER'!O12=0,"",'Residual-RosteredMATRIX-CARER'!O12)</f>
        <v/>
      </c>
      <c r="R40" s="25" t="str">
        <f>IF('Residual-RosteredMATRIX-CARER'!P12=0,"",'Residual-RosteredMATRIX-CARER'!P12)</f>
        <v/>
      </c>
      <c r="S40" s="25"/>
      <c r="T40" s="25" t="str">
        <f>IF('Residual-RosteredMATRIX-CARER'!R12=0,"",'Residual-RosteredMATRIX-CARER'!R12)</f>
        <v/>
      </c>
      <c r="U40" s="25" t="str">
        <f>IF('Residual-RosteredMATRIX-CARER'!S12=0,"",'Residual-RosteredMATRIX-CARER'!S12)</f>
        <v/>
      </c>
      <c r="V40" s="25" t="str">
        <f>IF('Residual-RosteredMATRIX-CARER'!T12=0,"",'Residual-RosteredMATRIX-CARER'!T12)</f>
        <v/>
      </c>
      <c r="W40" s="25" t="str">
        <f>IF('Residual-RosteredMATRIX-CARER'!U12=0,"",'Residual-RosteredMATRIX-CARER'!U12)</f>
        <v/>
      </c>
      <c r="X40" s="25" t="str">
        <f>IF('Residual-RosteredMATRIX-CARER'!V12=0,"",'Residual-RosteredMATRIX-CARER'!V12)</f>
        <v/>
      </c>
      <c r="Y40" s="25" t="str">
        <f>IF('Residual-RosteredMATRIX-CARER'!W12=0,"",'Residual-RosteredMATRIX-CARER'!W12)</f>
        <v/>
      </c>
      <c r="Z40" s="25" t="str">
        <f>IF('Residual-RosteredMATRIX-CARER'!X12=0,"",'Residual-RosteredMATRIX-CARER'!X12)</f>
        <v/>
      </c>
      <c r="AA40" s="25" t="str">
        <f>IF('Residual-RosteredMATRIX-CARER'!Y12=0,"",'Residual-RosteredMATRIX-CARER'!Y12)</f>
        <v/>
      </c>
      <c r="AB40" s="25" t="str">
        <f>IF('Residual-RosteredMATRIX-CARER'!Z12=0,"",'Residual-RosteredMATRIX-CARER'!Z12)</f>
        <v/>
      </c>
      <c r="AC40" s="25" t="str">
        <f>IF('Residual-RosteredMATRIX-CARER'!AA12=0,"",'Residual-RosteredMATRIX-CARER'!AA12)</f>
        <v/>
      </c>
      <c r="AD40" s="25" t="str">
        <f>IF('Residual-RosteredMATRIX-CARER'!AB12=0,"",'Residual-RosteredMATRIX-CARER'!AB12)</f>
        <v>0/ 7.8</v>
      </c>
      <c r="AE40" s="25" t="str">
        <f>IF('Residual-RosteredMATRIX-CARER'!AC12=0,"",'Residual-RosteredMATRIX-CARER'!AC12)</f>
        <v>0/ 0.2</v>
      </c>
      <c r="AF40" s="25" t="str">
        <f>IF('Residual-RosteredMATRIX-CARER'!AD12=0,"",'Residual-RosteredMATRIX-CARER'!AD12)</f>
        <v/>
      </c>
      <c r="AG40" s="25" t="str">
        <f>IF('Residual-RosteredMATRIX-CARER'!AE9=0,"",'Residual-RosteredMATRIX-CARER'!AE9)</f>
        <v>0/ 0.5</v>
      </c>
      <c r="AH40" s="25" t="str">
        <f>IF('Residual-RosteredMATRIX-CARER'!AF12=0,"",'Residual-RosteredMATRIX-CARER'!AF12)</f>
        <v>0/ 0.2</v>
      </c>
      <c r="AI40" s="25" t="str">
        <f>IF('Residual-RosteredMATRIX-CARER'!AG12=0,"",'Residual-RosteredMATRIX-CARER'!AG12)</f>
        <v/>
      </c>
      <c r="AJ40" s="25" t="str">
        <f>IF('Residual-RosteredMATRIX-CARER'!AH12=0,"",'Residual-RosteredMATRIX-CARER'!AH12)</f>
        <v>0/ 7.8</v>
      </c>
      <c r="AK40" s="25" t="str">
        <f>IF('Residual-RosteredMATRIX-CARER'!AI12=0,"",'Residual-RosteredMATRIX-CARER'!AI12)</f>
        <v>0/ 0.2</v>
      </c>
      <c r="AL40" s="25" t="str">
        <f>IF('Residual-RosteredMATRIX-CARER'!AJ12=0,"",'Residual-RosteredMATRIX-CARER'!AJ12)</f>
        <v/>
      </c>
      <c r="AM40" s="25" t="str">
        <f>IF('Residual-RosteredMATRIX-CARER'!AK12=0,"",'Residual-RosteredMATRIX-CARER'!AK12)</f>
        <v/>
      </c>
      <c r="AN40" s="25" t="str">
        <f>IF('Residual-RosteredMATRIX-CARER'!AL12=0,"",'Residual-RosteredMATRIX-CARER'!AL12)</f>
        <v/>
      </c>
      <c r="AO40" s="25" t="str">
        <f>IF('Residual-RosteredMATRIX-CARER'!AM12=0,"",'Residual-RosteredMATRIX-CARER'!AM12)</f>
        <v/>
      </c>
      <c r="AP40" s="25" t="str">
        <f>IF('Residual-RosteredMATRIX-CARER'!AN12=0,"",'Residual-RosteredMATRIX-CARER'!AN12)</f>
        <v>0/ 7.8</v>
      </c>
      <c r="AQ40" s="25" t="str">
        <f>IF('Residual-RosteredMATRIX-CARER'!AO12=0,"",'Residual-RosteredMATRIX-CARER'!AO12)</f>
        <v>0/ 0.2</v>
      </c>
      <c r="AR40" s="25" t="str">
        <f>IF('Residual-RosteredMATRIX-CARER'!AP12=0,"",'Residual-RosteredMATRIX-CARER'!AP12)</f>
        <v/>
      </c>
      <c r="AS40" s="25" t="str">
        <f>IF('Residual-RosteredMATRIX-CARER'!AQ12=0,"",'Residual-RosteredMATRIX-CARER'!AQ12)</f>
        <v>0/ 7.8</v>
      </c>
      <c r="AT40" s="25" t="str">
        <f>IF('Residual-RosteredMATRIX-CARER'!AR12=0,"",'Residual-RosteredMATRIX-CARER'!AR12)</f>
        <v>0/ 0.2</v>
      </c>
      <c r="AU40" s="25" t="str">
        <f>IF('Residual-RosteredMATRIX-CARER'!AS12=0,"",'Residual-RosteredMATRIX-CARER'!AS12)</f>
        <v/>
      </c>
      <c r="AV40" s="25" t="str">
        <f>IF('Residual-RosteredMATRIX-CARER'!AT12=0,"",'Residual-RosteredMATRIX-CARER'!AT12)</f>
        <v>0/ 7.8</v>
      </c>
      <c r="AW40" s="25" t="str">
        <f>IF('Residual-RosteredMATRIX-CARER'!AU12=0,"",'Residual-RosteredMATRIX-CARER'!AU12)</f>
        <v>0/ 0.2</v>
      </c>
    </row>
    <row r="41" spans="1:49" ht="15.75" customHeight="1" x14ac:dyDescent="0.25">
      <c r="A41" s="25" t="e">
        <f>'Residual-Rostered'!#REF!</f>
        <v>#REF!</v>
      </c>
      <c r="B41" s="33" t="str">
        <f>'Residual-RosteredMATRIX-CARER'!D13</f>
        <v>Carer</v>
      </c>
      <c r="C41" s="33" t="str">
        <f>'Residual-RosteredMATRIX-CARER'!C13</f>
        <v>Campbell, Marley</v>
      </c>
      <c r="D41" s="34">
        <f>'Residual-RosteredMATRIX-CARER'!E13</f>
        <v>68</v>
      </c>
      <c r="E41" s="14">
        <f>Max_HRS-Table314[[#This Row],[ROSTERED TIME]]</f>
        <v>8</v>
      </c>
      <c r="F41" s="14">
        <f t="shared" si="5"/>
        <v>1</v>
      </c>
      <c r="G41" s="14">
        <f>Table314[[#This Row],[ROSTERED TIME]]+Table314[[#This Row],[CHANGE TIME]]</f>
        <v>69</v>
      </c>
      <c r="H41" s="25" t="str">
        <f>IF('Residual-RosteredMATRIX-CARER'!F13=0,"",'Residual-RosteredMATRIX-CARER'!F13)</f>
        <v/>
      </c>
      <c r="I41" s="25" t="str">
        <f>IF('Residual-RosteredMATRIX-CARER'!G13=0,"",'Residual-RosteredMATRIX-CARER'!G13)</f>
        <v>0/ 7.8</v>
      </c>
      <c r="J41" s="25" t="str">
        <f>IF('Residual-RosteredMATRIX-CARER'!H13=0,"",'Residual-RosteredMATRIX-CARER'!H13)</f>
        <v>0/ 0.2</v>
      </c>
      <c r="K41" s="25" t="str">
        <f>IF('Residual-RosteredMATRIX-CARER'!I13=0,"",'Residual-RosteredMATRIX-CARER'!I13)</f>
        <v/>
      </c>
      <c r="L41" s="25" t="str">
        <f>IF('Residual-RosteredMATRIX-CARER'!J13=0,"",'Residual-RosteredMATRIX-CARER'!J13)</f>
        <v>0/ 7.8</v>
      </c>
      <c r="M41" s="25" t="str">
        <f>IF('Residual-RosteredMATRIX-CARER'!K13=0,"",'Residual-RosteredMATRIX-CARER'!K13)</f>
        <v>0/ 0.2</v>
      </c>
      <c r="N41" s="25" t="str">
        <f>IF('Residual-RosteredMATRIX-CARER'!L13=0,"",'Residual-RosteredMATRIX-CARER'!L13)</f>
        <v/>
      </c>
      <c r="O41" s="25" t="str">
        <f>IF('Residual-RosteredMATRIX-CARER'!M13=0,"",'Residual-RosteredMATRIX-CARER'!M13)</f>
        <v/>
      </c>
      <c r="P41" s="25" t="str">
        <f>IF('Residual-RosteredMATRIX-CARER'!N13=0,"",'Residual-RosteredMATRIX-CARER'!N13)</f>
        <v/>
      </c>
      <c r="Q41" s="25" t="str">
        <f>IF('Residual-RosteredMATRIX-CARER'!O13=0,"",'Residual-RosteredMATRIX-CARER'!O13)</f>
        <v/>
      </c>
      <c r="R41" s="25" t="str">
        <f>IF('Residual-RosteredMATRIX-CARER'!P13=0,"",'Residual-RosteredMATRIX-CARER'!P13)</f>
        <v>0/ 7.8</v>
      </c>
      <c r="S41" s="25" t="str">
        <f>IF('Residual-RosteredMATRIX-CARER'!Q13=0,"",'Residual-RosteredMATRIX-CARER'!Q13)</f>
        <v>0/ 0.2</v>
      </c>
      <c r="T41" s="25" t="str">
        <f>IF('Residual-RosteredMATRIX-CARER'!R13=0,"",'Residual-RosteredMATRIX-CARER'!R13)</f>
        <v/>
      </c>
      <c r="U41" s="25" t="str">
        <f>IF('Residual-RosteredMATRIX-CARER'!S13=0,"",'Residual-RosteredMATRIX-CARER'!S13)</f>
        <v>0/ 7.8</v>
      </c>
      <c r="V41" s="25" t="str">
        <f>IF('Residual-RosteredMATRIX-CARER'!T13=0,"",'Residual-RosteredMATRIX-CARER'!T13)</f>
        <v>0/ 0.2</v>
      </c>
      <c r="W41" s="25" t="str">
        <f>IF('Residual-RosteredMATRIX-CARER'!U13=0,"",'Residual-RosteredMATRIX-CARER'!U13)</f>
        <v/>
      </c>
      <c r="X41" s="25" t="str">
        <f>IF('Residual-RosteredMATRIX-CARER'!V13=0,"",'Residual-RosteredMATRIX-CARER'!V13)</f>
        <v>0/ 7.8</v>
      </c>
      <c r="Y41" s="25" t="str">
        <f>IF('Residual-RosteredMATRIX-CARER'!W13=0,"",'Residual-RosteredMATRIX-CARER'!W13)</f>
        <v>0/ 0.2</v>
      </c>
      <c r="Z41" s="25" t="str">
        <f>IF('Residual-RosteredMATRIX-CARER'!X13=0,"",'Residual-RosteredMATRIX-CARER'!X13)</f>
        <v/>
      </c>
      <c r="AA41" s="25" t="str">
        <f>IF('Residual-RosteredMATRIX-CARER'!Y13=0,"",'Residual-RosteredMATRIX-CARER'!Y13)</f>
        <v/>
      </c>
      <c r="AB41" s="25" t="str">
        <f>IF('Residual-RosteredMATRIX-CARER'!Z13=0,"",'Residual-RosteredMATRIX-CARER'!Z13)</f>
        <v/>
      </c>
      <c r="AC41" s="25" t="str">
        <f>IF('Residual-RosteredMATRIX-CARER'!AA13=0,"",'Residual-RosteredMATRIX-CARER'!AA13)</f>
        <v/>
      </c>
      <c r="AD41" s="25" t="str">
        <f>IF('Residual-RosteredMATRIX-CARER'!AB13=0,"",'Residual-RosteredMATRIX-CARER'!AB13)</f>
        <v/>
      </c>
      <c r="AE41" s="25" t="str">
        <f>IF('Residual-RosteredMATRIX-CARER'!AC13=0,"",'Residual-RosteredMATRIX-CARER'!AC13)</f>
        <v/>
      </c>
      <c r="AF41" s="25" t="str">
        <f>IF('Residual-RosteredMATRIX-CARER'!AD13=0,"",'Residual-RosteredMATRIX-CARER'!AD13)</f>
        <v/>
      </c>
      <c r="AG41" s="25" t="str">
        <f>IF('Residual-RosteredMATRIX-CARER'!AE10=0,"",'Residual-RosteredMATRIX-CARER'!AE10)</f>
        <v/>
      </c>
      <c r="AH41" s="25" t="str">
        <f>IF('Residual-RosteredMATRIX-CARER'!AF13=0,"",'Residual-RosteredMATRIX-CARER'!AF13)</f>
        <v/>
      </c>
      <c r="AI41" s="25" t="str">
        <f>IF('Residual-RosteredMATRIX-CARER'!AG13=0,"",'Residual-RosteredMATRIX-CARER'!AG13)</f>
        <v/>
      </c>
      <c r="AJ41" s="25" t="str">
        <f>IF('Residual-RosteredMATRIX-CARER'!AH13=0,"",'Residual-RosteredMATRIX-CARER'!AH13)</f>
        <v>1/ 7</v>
      </c>
      <c r="AK41" s="25" t="str">
        <f>IF('Residual-RosteredMATRIX-CARER'!AI13=0,"",'Residual-RosteredMATRIX-CARER'!AI13)</f>
        <v/>
      </c>
      <c r="AL41" s="25" t="str">
        <f>IF('Residual-RosteredMATRIX-CARER'!AJ13=0,"",'Residual-RosteredMATRIX-CARER'!AJ13)</f>
        <v/>
      </c>
      <c r="AM41" s="25">
        <v>1</v>
      </c>
      <c r="AN41" s="25" t="str">
        <f>IF('Residual-RosteredMATRIX-CARER'!AL13=0,"",'Residual-RosteredMATRIX-CARER'!AL13)</f>
        <v/>
      </c>
      <c r="AO41" s="25" t="str">
        <f>IF('Residual-RosteredMATRIX-CARER'!AM13=0,"",'Residual-RosteredMATRIX-CARER'!AM13)</f>
        <v/>
      </c>
      <c r="AP41" s="25" t="str">
        <f>IF('Residual-RosteredMATRIX-CARER'!AN13=0,"",'Residual-RosteredMATRIX-CARER'!AN13)</f>
        <v>1/ 7</v>
      </c>
      <c r="AQ41" s="25" t="str">
        <f>IF('Residual-RosteredMATRIX-CARER'!AO13=0,"",'Residual-RosteredMATRIX-CARER'!AO13)</f>
        <v/>
      </c>
      <c r="AR41" s="25" t="str">
        <f>IF('Residual-RosteredMATRIX-CARER'!AP13=0,"",'Residual-RosteredMATRIX-CARER'!AP13)</f>
        <v/>
      </c>
      <c r="AS41" s="25" t="str">
        <f>IF('Residual-RosteredMATRIX-CARER'!AQ13=0,"",'Residual-RosteredMATRIX-CARER'!AQ13)</f>
        <v/>
      </c>
      <c r="AT41" s="25" t="str">
        <f>IF('Residual-RosteredMATRIX-CARER'!AR13=0,"",'Residual-RosteredMATRIX-CARER'!AR13)</f>
        <v/>
      </c>
      <c r="AU41" s="25" t="str">
        <f>IF('Residual-RosteredMATRIX-CARER'!AS13=0,"",'Residual-RosteredMATRIX-CARER'!AS13)</f>
        <v/>
      </c>
      <c r="AV41" s="25" t="str">
        <f>IF('Residual-RosteredMATRIX-CARER'!AT13=0,"",'Residual-RosteredMATRIX-CARER'!AT13)</f>
        <v/>
      </c>
      <c r="AW41" s="25" t="str">
        <f>IF('Residual-RosteredMATRIX-CARER'!AU13=0,"",'Residual-RosteredMATRIX-CARER'!AU13)</f>
        <v/>
      </c>
    </row>
    <row r="42" spans="1:49" ht="15.75" customHeight="1" x14ac:dyDescent="0.25">
      <c r="A42" s="25" t="e">
        <f>'Residual-Rostered'!#REF!</f>
        <v>#REF!</v>
      </c>
      <c r="B42" s="33" t="str">
        <f>'Residual-RosteredMATRIX-CARER'!D15</f>
        <v>Carer</v>
      </c>
      <c r="C42" s="33" t="str">
        <f>'Residual-RosteredMATRIX-CARER'!C15</f>
        <v>Cassidy, Ebony</v>
      </c>
      <c r="D42" s="34">
        <f>'Residual-RosteredMATRIX-CARER'!E15</f>
        <v>56</v>
      </c>
      <c r="E42" s="14">
        <f>Max_HRS-Table314[[#This Row],[ROSTERED TIME]]</f>
        <v>20</v>
      </c>
      <c r="F42" s="14">
        <f t="shared" si="5"/>
        <v>2</v>
      </c>
      <c r="G42" s="14">
        <f>Table314[[#This Row],[ROSTERED TIME]]+Table314[[#This Row],[CHANGE TIME]]</f>
        <v>58</v>
      </c>
      <c r="H42" s="25" t="str">
        <f>IF('Residual-RosteredMATRIX-CARER'!F15=0,"",'Residual-RosteredMATRIX-CARER'!F15)</f>
        <v/>
      </c>
      <c r="I42" s="25">
        <v>1</v>
      </c>
      <c r="J42" s="25" t="str">
        <f>IF('Residual-RosteredMATRIX-CARER'!H15=0,"",'Residual-RosteredMATRIX-CARER'!H15)</f>
        <v/>
      </c>
      <c r="K42" s="25" t="str">
        <f>IF('Residual-RosteredMATRIX-CARER'!I15=0,"",'Residual-RosteredMATRIX-CARER'!I15)</f>
        <v/>
      </c>
      <c r="L42" s="25" t="str">
        <f>IF('Residual-RosteredMATRIX-CARER'!J15=0,"",'Residual-RosteredMATRIX-CARER'!J15)</f>
        <v>1/ 7</v>
      </c>
      <c r="M42" s="25" t="str">
        <f>IF('Residual-RosteredMATRIX-CARER'!K15=0,"",'Residual-RosteredMATRIX-CARER'!K15)</f>
        <v/>
      </c>
      <c r="N42" s="25" t="str">
        <f>IF('Residual-RosteredMATRIX-CARER'!L15=0,"",'Residual-RosteredMATRIX-CARER'!L15)</f>
        <v/>
      </c>
      <c r="O42" s="25" t="str">
        <f>IF('Residual-RosteredMATRIX-CARER'!M15=0,"",'Residual-RosteredMATRIX-CARER'!M15)</f>
        <v>1/ 7</v>
      </c>
      <c r="P42" s="25" t="str">
        <f>IF('Residual-RosteredMATRIX-CARER'!N15=0,"",'Residual-RosteredMATRIX-CARER'!N15)</f>
        <v/>
      </c>
      <c r="Q42" s="25" t="str">
        <f>IF('Residual-RosteredMATRIX-CARER'!O15=0,"",'Residual-RosteredMATRIX-CARER'!O15)</f>
        <v/>
      </c>
      <c r="R42" s="25" t="str">
        <f>IF('Residual-RosteredMATRIX-CARER'!P15=0,"",'Residual-RosteredMATRIX-CARER'!P15)</f>
        <v/>
      </c>
      <c r="S42" s="25" t="str">
        <f>IF('Residual-RosteredMATRIX-CARER'!Q15=0,"",'Residual-RosteredMATRIX-CARER'!Q15)</f>
        <v/>
      </c>
      <c r="T42" s="25" t="str">
        <f>IF('Residual-RosteredMATRIX-CARER'!R15=0,"",'Residual-RosteredMATRIX-CARER'!R15)</f>
        <v/>
      </c>
      <c r="U42" s="25" t="str">
        <f>IF('Residual-RosteredMATRIX-CARER'!S15=0,"",'Residual-RosteredMATRIX-CARER'!S15)</f>
        <v/>
      </c>
      <c r="V42" s="25" t="str">
        <f>IF('Residual-RosteredMATRIX-CARER'!T15=0,"",'Residual-RosteredMATRIX-CARER'!T15)</f>
        <v/>
      </c>
      <c r="W42" s="25" t="str">
        <f>IF('Residual-RosteredMATRIX-CARER'!U15=0,"",'Residual-RosteredMATRIX-CARER'!U15)</f>
        <v/>
      </c>
      <c r="X42" s="25" t="str">
        <f>IF('Residual-RosteredMATRIX-CARER'!V15=0,"",'Residual-RosteredMATRIX-CARER'!V15)</f>
        <v/>
      </c>
      <c r="Y42" s="25" t="str">
        <f>IF('Residual-RosteredMATRIX-CARER'!W15=0,"",'Residual-RosteredMATRIX-CARER'!W15)</f>
        <v/>
      </c>
      <c r="Z42" s="25" t="str">
        <f>IF('Residual-RosteredMATRIX-CARER'!X15=0,"",'Residual-RosteredMATRIX-CARER'!X15)</f>
        <v/>
      </c>
      <c r="AA42" s="25" t="str">
        <f>IF('Residual-RosteredMATRIX-CARER'!Y15=0,"",'Residual-RosteredMATRIX-CARER'!Y15)</f>
        <v/>
      </c>
      <c r="AB42" s="25" t="str">
        <f>IF('Residual-RosteredMATRIX-CARER'!Z15=0,"",'Residual-RosteredMATRIX-CARER'!Z15)</f>
        <v/>
      </c>
      <c r="AC42" s="25" t="str">
        <f>IF('Residual-RosteredMATRIX-CARER'!AA15=0,"",'Residual-RosteredMATRIX-CARER'!AA15)</f>
        <v/>
      </c>
      <c r="AD42" s="25" t="str">
        <f>IF('Residual-RosteredMATRIX-CARER'!AB15=0,"",'Residual-RosteredMATRIX-CARER'!AB15)</f>
        <v>1/ 7</v>
      </c>
      <c r="AE42" s="25" t="str">
        <f>IF('Residual-RosteredMATRIX-CARER'!AC15=0,"",'Residual-RosteredMATRIX-CARER'!AC15)</f>
        <v/>
      </c>
      <c r="AF42" s="25" t="str">
        <f>IF('Residual-RosteredMATRIX-CARER'!AD15=0,"",'Residual-RosteredMATRIX-CARER'!AD15)</f>
        <v/>
      </c>
      <c r="AG42" s="25" t="str">
        <f>IF('Residual-RosteredMATRIX-CARER'!AE11=0,"",'Residual-RosteredMATRIX-CARER'!AE11)</f>
        <v/>
      </c>
      <c r="AH42" s="25" t="str">
        <f>IF('Residual-RosteredMATRIX-CARER'!AF15=0,"",'Residual-RosteredMATRIX-CARER'!AF15)</f>
        <v/>
      </c>
      <c r="AI42" s="25" t="str">
        <f>IF('Residual-RosteredMATRIX-CARER'!AG15=0,"",'Residual-RosteredMATRIX-CARER'!AG15)</f>
        <v/>
      </c>
      <c r="AJ42" s="25" t="str">
        <f>IF('Residual-RosteredMATRIX-CARER'!AH15=0,"",'Residual-RosteredMATRIX-CARER'!AH15)</f>
        <v>1/ 7</v>
      </c>
      <c r="AK42" s="25" t="str">
        <f>IF('Residual-RosteredMATRIX-CARER'!AI15=0,"",'Residual-RosteredMATRIX-CARER'!AI15)</f>
        <v/>
      </c>
      <c r="AL42" s="25" t="str">
        <f>IF('Residual-RosteredMATRIX-CARER'!AJ15=0,"",'Residual-RosteredMATRIX-CARER'!AJ15)</f>
        <v/>
      </c>
      <c r="AM42" s="25" t="str">
        <f>IF('Residual-RosteredMATRIX-CARER'!AK15=0,"",'Residual-RosteredMATRIX-CARER'!AK15)</f>
        <v/>
      </c>
      <c r="AN42" s="25" t="str">
        <f>IF('Residual-RosteredMATRIX-CARER'!AL15=0,"",'Residual-RosteredMATRIX-CARER'!AL15)</f>
        <v/>
      </c>
      <c r="AO42" s="25" t="str">
        <f>IF('Residual-RosteredMATRIX-CARER'!AM15=0,"",'Residual-RosteredMATRIX-CARER'!AM15)</f>
        <v/>
      </c>
      <c r="AP42" s="25" t="str">
        <f>IF('Residual-RosteredMATRIX-CARER'!AN15=0,"",'Residual-RosteredMATRIX-CARER'!AN15)</f>
        <v/>
      </c>
      <c r="AQ42" s="25" t="str">
        <f>IF('Residual-RosteredMATRIX-CARER'!AO15=0,"",'Residual-RosteredMATRIX-CARER'!AO15)</f>
        <v/>
      </c>
      <c r="AR42" s="25">
        <v>1</v>
      </c>
      <c r="AS42" s="25" t="str">
        <f>IF('Residual-RosteredMATRIX-CARER'!AQ15=0,"",'Residual-RosteredMATRIX-CARER'!AQ15)</f>
        <v>1/ 7</v>
      </c>
      <c r="AT42" s="25" t="str">
        <f>IF('Residual-RosteredMATRIX-CARER'!AR15=0,"",'Residual-RosteredMATRIX-CARER'!AR15)</f>
        <v/>
      </c>
      <c r="AU42" s="25" t="str">
        <f>IF('Residual-RosteredMATRIX-CARER'!AS15=0,"",'Residual-RosteredMATRIX-CARER'!AS15)</f>
        <v/>
      </c>
      <c r="AV42" s="25" t="str">
        <f>IF('Residual-RosteredMATRIX-CARER'!AT15=0,"",'Residual-RosteredMATRIX-CARER'!AT15)</f>
        <v>1/ 7</v>
      </c>
      <c r="AW42" s="25" t="str">
        <f>IF('Residual-RosteredMATRIX-CARER'!AU15=0,"",'Residual-RosteredMATRIX-CARER'!AU15)</f>
        <v/>
      </c>
    </row>
    <row r="43" spans="1:49" ht="15.75" customHeight="1" x14ac:dyDescent="0.25">
      <c r="A43" s="25" t="e">
        <f>'Residual-Rostered'!#REF!</f>
        <v>#REF!</v>
      </c>
      <c r="B43" s="33" t="str">
        <f>'Residual-RosteredMATRIX-CARER'!D19</f>
        <v>Carer</v>
      </c>
      <c r="C43" s="33" t="str">
        <f>'Residual-RosteredMATRIX-CARER'!C19</f>
        <v>Cook, Victoria</v>
      </c>
      <c r="D43" s="34">
        <f>'Residual-RosteredMATRIX-CARER'!E19</f>
        <v>48</v>
      </c>
      <c r="E43" s="14">
        <f>Max_HRS-Table314[[#This Row],[ROSTERED TIME]]</f>
        <v>28</v>
      </c>
      <c r="F43" s="14">
        <f t="shared" si="5"/>
        <v>0</v>
      </c>
      <c r="G43" s="14">
        <f>Table314[[#This Row],[ROSTERED TIME]]+Table314[[#This Row],[CHANGE TIME]]</f>
        <v>48</v>
      </c>
      <c r="H43" s="25" t="str">
        <f>IF('Residual-RosteredMATRIX-CARER'!F19=0,"",'Residual-RosteredMATRIX-CARER'!F19)</f>
        <v/>
      </c>
      <c r="I43" s="25" t="str">
        <f>IF('Residual-RosteredMATRIX-CARER'!G19=0,"",'Residual-RosteredMATRIX-CARER'!G19)</f>
        <v>0/ 7.8</v>
      </c>
      <c r="J43" s="25" t="str">
        <f>IF('Residual-RosteredMATRIX-CARER'!H19=0,"",'Residual-RosteredMATRIX-CARER'!H19)</f>
        <v>0/ 0.2</v>
      </c>
      <c r="K43" s="25" t="str">
        <f>IF('Residual-RosteredMATRIX-CARER'!I19=0,"",'Residual-RosteredMATRIX-CARER'!I19)</f>
        <v/>
      </c>
      <c r="L43" s="25" t="str">
        <f>IF('Residual-RosteredMATRIX-CARER'!J19=0,"",'Residual-RosteredMATRIX-CARER'!J19)</f>
        <v>0/ 7.8</v>
      </c>
      <c r="M43" s="25" t="str">
        <f>IF('Residual-RosteredMATRIX-CARER'!K19=0,"",'Residual-RosteredMATRIX-CARER'!K19)</f>
        <v>0/ 0.2</v>
      </c>
      <c r="N43" s="25" t="str">
        <f>IF('Residual-RosteredMATRIX-CARER'!L19=0,"",'Residual-RosteredMATRIX-CARER'!L19)</f>
        <v/>
      </c>
      <c r="O43" s="25" t="str">
        <f>IF('Residual-RosteredMATRIX-CARER'!M19=0,"",'Residual-RosteredMATRIX-CARER'!M19)</f>
        <v/>
      </c>
      <c r="P43" s="25" t="str">
        <f>IF('Residual-RosteredMATRIX-CARER'!N19=0,"",'Residual-RosteredMATRIX-CARER'!N19)</f>
        <v/>
      </c>
      <c r="Q43" s="25" t="str">
        <f>IF('Residual-RosteredMATRIX-CARER'!O19=0,"",'Residual-RosteredMATRIX-CARER'!O19)</f>
        <v/>
      </c>
      <c r="R43" s="25" t="str">
        <f>IF('Residual-RosteredMATRIX-CARER'!P19=0,"",'Residual-RosteredMATRIX-CARER'!P19)</f>
        <v/>
      </c>
      <c r="S43" s="25" t="str">
        <f>IF('Residual-RosteredMATRIX-CARER'!Q19=0,"",'Residual-RosteredMATRIX-CARER'!Q19)</f>
        <v/>
      </c>
      <c r="T43" s="25" t="str">
        <f>IF('Residual-RosteredMATRIX-CARER'!R19=0,"",'Residual-RosteredMATRIX-CARER'!R19)</f>
        <v/>
      </c>
      <c r="U43" s="25" t="str">
        <f>IF('Residual-RosteredMATRIX-CARER'!S19=0,"",'Residual-RosteredMATRIX-CARER'!S19)</f>
        <v/>
      </c>
      <c r="V43" s="25" t="str">
        <f>IF('Residual-RosteredMATRIX-CARER'!T19=0,"",'Residual-RosteredMATRIX-CARER'!T19)</f>
        <v/>
      </c>
      <c r="W43" s="25" t="str">
        <f>IF('Residual-RosteredMATRIX-CARER'!U19=0,"",'Residual-RosteredMATRIX-CARER'!U19)</f>
        <v/>
      </c>
      <c r="X43" s="25" t="str">
        <f>IF('Residual-RosteredMATRIX-CARER'!V19=0,"",'Residual-RosteredMATRIX-CARER'!V19)</f>
        <v/>
      </c>
      <c r="Y43" s="25" t="str">
        <f>IF('Residual-RosteredMATRIX-CARER'!W19=0,"",'Residual-RosteredMATRIX-CARER'!W19)</f>
        <v/>
      </c>
      <c r="Z43" s="25" t="str">
        <f>IF('Residual-RosteredMATRIX-CARER'!X19=0,"",'Residual-RosteredMATRIX-CARER'!X19)</f>
        <v/>
      </c>
      <c r="AA43" s="25" t="str">
        <f>IF('Residual-RosteredMATRIX-CARER'!Y19=0,"",'Residual-RosteredMATRIX-CARER'!Y19)</f>
        <v/>
      </c>
      <c r="AB43" s="25" t="str">
        <f>IF('Residual-RosteredMATRIX-CARER'!Z19=0,"",'Residual-RosteredMATRIX-CARER'!Z19)</f>
        <v/>
      </c>
      <c r="AC43" s="25" t="str">
        <f>IF('Residual-RosteredMATRIX-CARER'!AA19=0,"",'Residual-RosteredMATRIX-CARER'!AA19)</f>
        <v/>
      </c>
      <c r="AD43" s="25" t="str">
        <f>IF('Residual-RosteredMATRIX-CARER'!AB19=0,"",'Residual-RosteredMATRIX-CARER'!AB19)</f>
        <v>0/ 7.8</v>
      </c>
      <c r="AE43" s="25" t="str">
        <f>IF('Residual-RosteredMATRIX-CARER'!AC19=0,"",'Residual-RosteredMATRIX-CARER'!AC19)</f>
        <v>0/ 0.2</v>
      </c>
      <c r="AF43" s="25" t="str">
        <f>IF('Residual-RosteredMATRIX-CARER'!AD19=0,"",'Residual-RosteredMATRIX-CARER'!AD19)</f>
        <v/>
      </c>
      <c r="AG43" s="25" t="str">
        <f>IF('Residual-RosteredMATRIX-CARER'!AE12=0,"",'Residual-RosteredMATRIX-CARER'!AE12)</f>
        <v>0/ 7.8</v>
      </c>
      <c r="AH43" s="25" t="str">
        <f>IF('Residual-RosteredMATRIX-CARER'!AF19=0,"",'Residual-RosteredMATRIX-CARER'!AF19)</f>
        <v>0/ 0.2</v>
      </c>
      <c r="AI43" s="25" t="str">
        <f>IF('Residual-RosteredMATRIX-CARER'!AG19=0,"",'Residual-RosteredMATRIX-CARER'!AG19)</f>
        <v/>
      </c>
      <c r="AJ43" s="25" t="str">
        <f>IF('Residual-RosteredMATRIX-CARER'!AH19=0,"",'Residual-RosteredMATRIX-CARER'!AH19)</f>
        <v/>
      </c>
      <c r="AK43" s="25" t="str">
        <f>IF('Residual-RosteredMATRIX-CARER'!AI19=0,"",'Residual-RosteredMATRIX-CARER'!AI19)</f>
        <v/>
      </c>
      <c r="AL43" s="25" t="str">
        <f>IF('Residual-RosteredMATRIX-CARER'!AJ19=0,"",'Residual-RosteredMATRIX-CARER'!AJ19)</f>
        <v/>
      </c>
      <c r="AM43" s="25" t="str">
        <f>IF('Residual-RosteredMATRIX-CARER'!AK19=0,"",'Residual-RosteredMATRIX-CARER'!AK19)</f>
        <v/>
      </c>
      <c r="AN43" s="25" t="str">
        <f>IF('Residual-RosteredMATRIX-CARER'!AL19=0,"",'Residual-RosteredMATRIX-CARER'!AL19)</f>
        <v/>
      </c>
      <c r="AO43" s="25" t="str">
        <f>IF('Residual-RosteredMATRIX-CARER'!AM19=0,"",'Residual-RosteredMATRIX-CARER'!AM19)</f>
        <v/>
      </c>
      <c r="AP43" s="25" t="str">
        <f>IF('Residual-RosteredMATRIX-CARER'!AN19=0,"",'Residual-RosteredMATRIX-CARER'!AN19)</f>
        <v/>
      </c>
      <c r="AQ43" s="25" t="str">
        <f>IF('Residual-RosteredMATRIX-CARER'!AO19=0,"",'Residual-RosteredMATRIX-CARER'!AO19)</f>
        <v/>
      </c>
      <c r="AR43" s="25" t="str">
        <f>IF('Residual-RosteredMATRIX-CARER'!AP19=0,"",'Residual-RosteredMATRIX-CARER'!AP19)</f>
        <v/>
      </c>
      <c r="AS43" s="25" t="str">
        <f>IF('Residual-RosteredMATRIX-CARER'!AQ19=0,"",'Residual-RosteredMATRIX-CARER'!AQ19)</f>
        <v>0/ 7.8</v>
      </c>
      <c r="AT43" s="25" t="str">
        <f>IF('Residual-RosteredMATRIX-CARER'!AR19=0,"",'Residual-RosteredMATRIX-CARER'!AR19)</f>
        <v>0/ 0.2</v>
      </c>
      <c r="AU43" s="25" t="str">
        <f>IF('Residual-RosteredMATRIX-CARER'!AS19=0,"",'Residual-RosteredMATRIX-CARER'!AS19)</f>
        <v/>
      </c>
      <c r="AV43" s="25" t="str">
        <f>IF('Residual-RosteredMATRIX-CARER'!AT19=0,"",'Residual-RosteredMATRIX-CARER'!AT19)</f>
        <v>0/ 7.8</v>
      </c>
      <c r="AW43" s="25" t="str">
        <f>IF('Residual-RosteredMATRIX-CARER'!AU19=0,"",'Residual-RosteredMATRIX-CARER'!AU19)</f>
        <v>0/ 0.2</v>
      </c>
    </row>
    <row r="44" spans="1:49" ht="15.75" customHeight="1" x14ac:dyDescent="0.25">
      <c r="A44" s="25" t="e">
        <f>'Residual-Rostered'!#REF!</f>
        <v>#REF!</v>
      </c>
      <c r="B44" s="33" t="str">
        <f>'Residual-RosteredMATRIX-CARER'!D21</f>
        <v>Carer</v>
      </c>
      <c r="C44" s="44" t="str">
        <f>'Residual-RosteredMATRIX-CARER'!C21</f>
        <v>Fuentes, Noei</v>
      </c>
      <c r="D44" s="34">
        <f>'Residual-RosteredMATRIX-CARER'!E21</f>
        <v>48.9</v>
      </c>
      <c r="E44" s="14">
        <f>Max_HRS-Table314[[#This Row],[ROSTERED TIME]]</f>
        <v>27.1</v>
      </c>
      <c r="F44" s="14">
        <f t="shared" si="5"/>
        <v>0.5</v>
      </c>
      <c r="G44" s="14">
        <f>Table314[[#This Row],[ROSTERED TIME]]+Table314[[#This Row],[CHANGE TIME]]</f>
        <v>49.4</v>
      </c>
      <c r="H44" s="25" t="str">
        <f>IF('Residual-RosteredMATRIX-CARER'!F21=0,"",'Residual-RosteredMATRIX-CARER'!F21)</f>
        <v/>
      </c>
      <c r="I44" s="25" t="str">
        <f>IF('Residual-RosteredMATRIX-CARER'!G21=0,"",'Residual-RosteredMATRIX-CARER'!G21)</f>
        <v/>
      </c>
      <c r="J44" s="25" t="str">
        <f>IF('Residual-RosteredMATRIX-CARER'!H21=0,"",'Residual-RosteredMATRIX-CARER'!H21)</f>
        <v/>
      </c>
      <c r="K44" s="25" t="str">
        <f>IF('Residual-RosteredMATRIX-CARER'!I21=0,"",'Residual-RosteredMATRIX-CARER'!I21)</f>
        <v/>
      </c>
      <c r="L44" s="25" t="str">
        <f>IF('Residual-RosteredMATRIX-CARER'!J21=0,"",'Residual-RosteredMATRIX-CARER'!J21)</f>
        <v/>
      </c>
      <c r="M44" s="25" t="str">
        <f>IF('Residual-RosteredMATRIX-CARER'!K21=0,"",'Residual-RosteredMATRIX-CARER'!K21)</f>
        <v/>
      </c>
      <c r="N44" s="25" t="str">
        <f>IF('Residual-RosteredMATRIX-CARER'!L21=0,"",'Residual-RosteredMATRIX-CARER'!L21)</f>
        <v/>
      </c>
      <c r="O44" s="25" t="str">
        <f>IF('Residual-RosteredMATRIX-CARER'!M21=0,"",'Residual-RosteredMATRIX-CARER'!M21)</f>
        <v/>
      </c>
      <c r="P44" s="25">
        <v>0.3</v>
      </c>
      <c r="Q44" s="25" t="str">
        <f>IF('Residual-RosteredMATRIX-CARER'!O21=0,"",'Residual-RosteredMATRIX-CARER'!O21)</f>
        <v>0.5/ 0.2</v>
      </c>
      <c r="R44" s="25" t="str">
        <f>IF('Residual-RosteredMATRIX-CARER'!P21=0,"",'Residual-RosteredMATRIX-CARER'!P21)</f>
        <v/>
      </c>
      <c r="S44" s="25" t="str">
        <f>IF('Residual-RosteredMATRIX-CARER'!Q21=0,"",'Residual-RosteredMATRIX-CARER'!Q21)</f>
        <v>0.5/ 7.3</v>
      </c>
      <c r="T44" s="25" t="str">
        <f>IF('Residual-RosteredMATRIX-CARER'!R21=0,"",'Residual-RosteredMATRIX-CARER'!R21)</f>
        <v>7.4/ 0.2</v>
      </c>
      <c r="U44" s="25" t="str">
        <f>IF('Residual-RosteredMATRIX-CARER'!S21=0,"",'Residual-RosteredMATRIX-CARER'!S21)</f>
        <v/>
      </c>
      <c r="V44" s="25" t="str">
        <f>IF('Residual-RosteredMATRIX-CARER'!T21=0,"",'Residual-RosteredMATRIX-CARER'!T21)</f>
        <v/>
      </c>
      <c r="W44" s="25" t="str">
        <f>IF('Residual-RosteredMATRIX-CARER'!U21=0,"",'Residual-RosteredMATRIX-CARER'!U21)</f>
        <v/>
      </c>
      <c r="X44" s="25" t="str">
        <f>IF('Residual-RosteredMATRIX-CARER'!V21=0,"",'Residual-RosteredMATRIX-CARER'!V21)</f>
        <v/>
      </c>
      <c r="Y44" s="25" t="str">
        <f>IF('Residual-RosteredMATRIX-CARER'!W21=0,"",'Residual-RosteredMATRIX-CARER'!W21)</f>
        <v/>
      </c>
      <c r="Z44" s="25" t="str">
        <f>IF('Residual-RosteredMATRIX-CARER'!X21=0,"",'Residual-RosteredMATRIX-CARER'!X21)</f>
        <v/>
      </c>
      <c r="AA44" s="25" t="str">
        <f>IF('Residual-RosteredMATRIX-CARER'!Y21=0,"",'Residual-RosteredMATRIX-CARER'!Y21)</f>
        <v/>
      </c>
      <c r="AB44" s="25" t="str">
        <f>IF('Residual-RosteredMATRIX-CARER'!Z21=0,"",'Residual-RosteredMATRIX-CARER'!Z21)</f>
        <v/>
      </c>
      <c r="AC44" s="25" t="str">
        <f>IF('Residual-RosteredMATRIX-CARER'!AA21=0,"",'Residual-RosteredMATRIX-CARER'!AA21)</f>
        <v/>
      </c>
      <c r="AD44" s="25" t="str">
        <f>IF('Residual-RosteredMATRIX-CARER'!AB21=0,"",'Residual-RosteredMATRIX-CARER'!AB21)</f>
        <v/>
      </c>
      <c r="AE44" s="25" t="str">
        <f>IF('Residual-RosteredMATRIX-CARER'!AC21=0,"",'Residual-RosteredMATRIX-CARER'!AC21)</f>
        <v/>
      </c>
      <c r="AF44" s="25" t="str">
        <f>IF('Residual-RosteredMATRIX-CARER'!AD21=0,"",'Residual-RosteredMATRIX-CARER'!AD21)</f>
        <v/>
      </c>
      <c r="AG44" s="25" t="str">
        <f>IF('Residual-RosteredMATRIX-CARER'!AE13=0,"",'Residual-RosteredMATRIX-CARER'!AE13)</f>
        <v>1/ 7</v>
      </c>
      <c r="AH44" s="25" t="str">
        <f>IF('Residual-RosteredMATRIX-CARER'!AF21=0,"",'Residual-RosteredMATRIX-CARER'!AF21)</f>
        <v/>
      </c>
      <c r="AI44" s="25" t="str">
        <f>IF('Residual-RosteredMATRIX-CARER'!AG21=0,"",'Residual-RosteredMATRIX-CARER'!AG21)</f>
        <v/>
      </c>
      <c r="AJ44" s="25" t="str">
        <f>IF('Residual-RosteredMATRIX-CARER'!AH21=0,"",'Residual-RosteredMATRIX-CARER'!AH21)</f>
        <v/>
      </c>
      <c r="AK44" s="25">
        <v>0.2</v>
      </c>
      <c r="AL44" s="25" t="str">
        <f>IF('Residual-RosteredMATRIX-CARER'!AJ21=0,"",'Residual-RosteredMATRIX-CARER'!AJ21)</f>
        <v>0.5/ 0.2</v>
      </c>
      <c r="AM44" s="25" t="str">
        <f>IF('Residual-RosteredMATRIX-CARER'!AK21=0,"",'Residual-RosteredMATRIX-CARER'!AK21)</f>
        <v/>
      </c>
      <c r="AN44" s="25" t="str">
        <f>IF('Residual-RosteredMATRIX-CARER'!AL21=0,"",'Residual-RosteredMATRIX-CARER'!AL21)</f>
        <v>0.5/ 7.3</v>
      </c>
      <c r="AO44" s="25" t="str">
        <f>IF('Residual-RosteredMATRIX-CARER'!AM21=0,"",'Residual-RosteredMATRIX-CARER'!AM21)</f>
        <v>0.5/ 0.2</v>
      </c>
      <c r="AP44" s="25" t="str">
        <f>IF('Residual-RosteredMATRIX-CARER'!AN21=0,"",'Residual-RosteredMATRIX-CARER'!AN21)</f>
        <v/>
      </c>
      <c r="AQ44" s="25" t="str">
        <f>IF('Residual-RosteredMATRIX-CARER'!AO21=0,"",'Residual-RosteredMATRIX-CARER'!AO21)</f>
        <v>0.5/ 7.3</v>
      </c>
      <c r="AR44" s="25" t="str">
        <f>IF('Residual-RosteredMATRIX-CARER'!AP21=0,"",'Residual-RosteredMATRIX-CARER'!AP21)</f>
        <v>0.5/ 0.2</v>
      </c>
      <c r="AS44" s="25" t="str">
        <f>IF('Residual-RosteredMATRIX-CARER'!AQ21=0,"",'Residual-RosteredMATRIX-CARER'!AQ21)</f>
        <v/>
      </c>
      <c r="AT44" s="25" t="str">
        <f>IF('Residual-RosteredMATRIX-CARER'!AR21=0,"",'Residual-RosteredMATRIX-CARER'!AR21)</f>
        <v>0.5/ 7.3</v>
      </c>
      <c r="AU44" s="25" t="str">
        <f>IF('Residual-RosteredMATRIX-CARER'!AS21=0,"",'Residual-RosteredMATRIX-CARER'!AS21)</f>
        <v>3.7/ 0.2</v>
      </c>
      <c r="AV44" s="25" t="str">
        <f>IF('Residual-RosteredMATRIX-CARER'!AT21=0,"",'Residual-RosteredMATRIX-CARER'!AT21)</f>
        <v/>
      </c>
      <c r="AW44" s="25" t="str">
        <f>IF('Residual-RosteredMATRIX-CARER'!AU21=0,"",'Residual-RosteredMATRIX-CARER'!AU21)</f>
        <v>3.7/ 3.9</v>
      </c>
    </row>
    <row r="45" spans="1:49" ht="15.75" customHeight="1" x14ac:dyDescent="0.25">
      <c r="A45" s="25" t="e">
        <f>'Residual-Rostered'!#REF!</f>
        <v>#REF!</v>
      </c>
      <c r="B45" s="33" t="str">
        <f>'Residual-RosteredMATRIX-CARER'!D23</f>
        <v>Carer</v>
      </c>
      <c r="C45" s="33" t="str">
        <f>'Residual-RosteredMATRIX-CARER'!C23</f>
        <v>Hall, Andrew</v>
      </c>
      <c r="D45" s="34">
        <f>'Residual-RosteredMATRIX-CARER'!E23</f>
        <v>64</v>
      </c>
      <c r="E45" s="14">
        <f>Max_HRS-Table314[[#This Row],[ROSTERED TIME]]</f>
        <v>12</v>
      </c>
      <c r="F45" s="14">
        <f t="shared" si="5"/>
        <v>0</v>
      </c>
      <c r="G45" s="14">
        <f>Table314[[#This Row],[ROSTERED TIME]]+Table314[[#This Row],[CHANGE TIME]]</f>
        <v>64</v>
      </c>
      <c r="H45" s="25" t="str">
        <f>IF('Residual-RosteredMATRIX-CARER'!F23=0,"",'Residual-RosteredMATRIX-CARER'!F23)</f>
        <v/>
      </c>
      <c r="I45" s="25" t="str">
        <f>IF('Residual-RosteredMATRIX-CARER'!G23=0,"",'Residual-RosteredMATRIX-CARER'!G23)</f>
        <v>0/ 7.8</v>
      </c>
      <c r="J45" s="25" t="str">
        <f>IF('Residual-RosteredMATRIX-CARER'!H23=0,"",'Residual-RosteredMATRIX-CARER'!H23)</f>
        <v>0/ 0.2</v>
      </c>
      <c r="K45" s="25" t="str">
        <f>IF('Residual-RosteredMATRIX-CARER'!I23=0,"",'Residual-RosteredMATRIX-CARER'!I23)</f>
        <v/>
      </c>
      <c r="L45" s="25" t="str">
        <f>IF('Residual-RosteredMATRIX-CARER'!J23=0,"",'Residual-RosteredMATRIX-CARER'!J23)</f>
        <v>0/ 7.8</v>
      </c>
      <c r="M45" s="25" t="str">
        <f>IF('Residual-RosteredMATRIX-CARER'!K23=0,"",'Residual-RosteredMATRIX-CARER'!K23)</f>
        <v>0/ 0.2</v>
      </c>
      <c r="N45" s="25" t="str">
        <f>IF('Residual-RosteredMATRIX-CARER'!L23=0,"",'Residual-RosteredMATRIX-CARER'!L23)</f>
        <v/>
      </c>
      <c r="O45" s="25" t="str">
        <f>IF('Residual-RosteredMATRIX-CARER'!M23=0,"",'Residual-RosteredMATRIX-CARER'!M23)</f>
        <v>0/ 7.8</v>
      </c>
      <c r="P45" s="25" t="str">
        <f>IF('Residual-RosteredMATRIX-CARER'!N23=0,"",'Residual-RosteredMATRIX-CARER'!N23)</f>
        <v>0/ 0.2</v>
      </c>
      <c r="Q45" s="25" t="str">
        <f>IF('Residual-RosteredMATRIX-CARER'!O23=0,"",'Residual-RosteredMATRIX-CARER'!O23)</f>
        <v/>
      </c>
      <c r="R45" s="25" t="str">
        <f>IF('Residual-RosteredMATRIX-CARER'!P23=0,"",'Residual-RosteredMATRIX-CARER'!P23)</f>
        <v/>
      </c>
      <c r="S45" s="25" t="str">
        <f>IF('Residual-RosteredMATRIX-CARER'!Q23=0,"",'Residual-RosteredMATRIX-CARER'!Q23)</f>
        <v/>
      </c>
      <c r="T45" s="25" t="str">
        <f>IF('Residual-RosteredMATRIX-CARER'!R23=0,"",'Residual-RosteredMATRIX-CARER'!R23)</f>
        <v/>
      </c>
      <c r="U45" s="25" t="str">
        <f>IF('Residual-RosteredMATRIX-CARER'!S23=0,"",'Residual-RosteredMATRIX-CARER'!S23)</f>
        <v/>
      </c>
      <c r="V45" s="25" t="str">
        <f>IF('Residual-RosteredMATRIX-CARER'!T23=0,"",'Residual-RosteredMATRIX-CARER'!T23)</f>
        <v/>
      </c>
      <c r="W45" s="25" t="str">
        <f>IF('Residual-RosteredMATRIX-CARER'!U23=0,"",'Residual-RosteredMATRIX-CARER'!U23)</f>
        <v/>
      </c>
      <c r="X45" s="25" t="str">
        <f>IF('Residual-RosteredMATRIX-CARER'!V23=0,"",'Residual-RosteredMATRIX-CARER'!V23)</f>
        <v>0/ 7.8</v>
      </c>
      <c r="Y45" s="25" t="str">
        <f>IF('Residual-RosteredMATRIX-CARER'!W23=0,"",'Residual-RosteredMATRIX-CARER'!W23)</f>
        <v>0/ 0.2</v>
      </c>
      <c r="Z45" s="25" t="str">
        <f>IF('Residual-RosteredMATRIX-CARER'!X23=0,"",'Residual-RosteredMATRIX-CARER'!X23)</f>
        <v/>
      </c>
      <c r="AA45" s="25" t="str">
        <f>IF('Residual-RosteredMATRIX-CARER'!Y23=0,"",'Residual-RosteredMATRIX-CARER'!Y23)</f>
        <v>0/ 7.8</v>
      </c>
      <c r="AB45" s="25" t="str">
        <f>IF('Residual-RosteredMATRIX-CARER'!Z23=0,"",'Residual-RosteredMATRIX-CARER'!Z23)</f>
        <v>0/ 0.2</v>
      </c>
      <c r="AC45" s="25" t="str">
        <f>IF('Residual-RosteredMATRIX-CARER'!AA23=0,"",'Residual-RosteredMATRIX-CARER'!AA23)</f>
        <v/>
      </c>
      <c r="AD45" s="25" t="str">
        <f>IF('Residual-RosteredMATRIX-CARER'!AB23=0,"",'Residual-RosteredMATRIX-CARER'!AB23)</f>
        <v>0/ 7.8</v>
      </c>
      <c r="AE45" s="25" t="str">
        <f>IF('Residual-RosteredMATRIX-CARER'!AC23=0,"",'Residual-RosteredMATRIX-CARER'!AC23)</f>
        <v>0/ 0.2</v>
      </c>
      <c r="AF45" s="25" t="str">
        <f>IF('Residual-RosteredMATRIX-CARER'!AD23=0,"",'Residual-RosteredMATRIX-CARER'!AD23)</f>
        <v/>
      </c>
      <c r="AG45" s="25" t="str">
        <f>IF('Residual-RosteredMATRIX-CARER'!AE14=0,"",'Residual-RosteredMATRIX-CARER'!AE14)</f>
        <v>0/ 0.5</v>
      </c>
      <c r="AH45" s="25" t="str">
        <f>IF('Residual-RosteredMATRIX-CARER'!AF23=0,"",'Residual-RosteredMATRIX-CARER'!AF23)</f>
        <v>0/ 0.2</v>
      </c>
      <c r="AI45" s="25" t="str">
        <f>IF('Residual-RosteredMATRIX-CARER'!AG23=0,"",'Residual-RosteredMATRIX-CARER'!AG23)</f>
        <v/>
      </c>
      <c r="AJ45" s="25" t="str">
        <f>IF('Residual-RosteredMATRIX-CARER'!AH23=0,"",'Residual-RosteredMATRIX-CARER'!AH23)</f>
        <v>0/ 7.8</v>
      </c>
      <c r="AK45" s="25" t="str">
        <f>IF('Residual-RosteredMATRIX-CARER'!AI23=0,"",'Residual-RosteredMATRIX-CARER'!AI23)</f>
        <v>0/ 0.2</v>
      </c>
      <c r="AL45" s="25" t="str">
        <f>IF('Residual-RosteredMATRIX-CARER'!AJ23=0,"",'Residual-RosteredMATRIX-CARER'!AJ23)</f>
        <v/>
      </c>
      <c r="AM45" s="25" t="str">
        <f>IF('Residual-RosteredMATRIX-CARER'!AK23=0,"",'Residual-RosteredMATRIX-CARER'!AK23)</f>
        <v/>
      </c>
      <c r="AN45" s="25" t="str">
        <f>IF('Residual-RosteredMATRIX-CARER'!AL23=0,"",'Residual-RosteredMATRIX-CARER'!AL23)</f>
        <v/>
      </c>
      <c r="AO45" s="25" t="str">
        <f>IF('Residual-RosteredMATRIX-CARER'!AM23=0,"",'Residual-RosteredMATRIX-CARER'!AM23)</f>
        <v/>
      </c>
      <c r="AP45" s="25" t="str">
        <f>IF('Residual-RosteredMATRIX-CARER'!AN23=0,"",'Residual-RosteredMATRIX-CARER'!AN23)</f>
        <v/>
      </c>
      <c r="AQ45" s="25" t="str">
        <f>IF('Residual-RosteredMATRIX-CARER'!AO23=0,"",'Residual-RosteredMATRIX-CARER'!AO23)</f>
        <v/>
      </c>
      <c r="AR45" s="25" t="str">
        <f>IF('Residual-RosteredMATRIX-CARER'!AP23=0,"",'Residual-RosteredMATRIX-CARER'!AP23)</f>
        <v/>
      </c>
      <c r="AS45" s="25" t="str">
        <f>IF('Residual-RosteredMATRIX-CARER'!AQ23=0,"",'Residual-RosteredMATRIX-CARER'!AQ23)</f>
        <v/>
      </c>
      <c r="AT45" s="25" t="str">
        <f>IF('Residual-RosteredMATRIX-CARER'!AR23=0,"",'Residual-RosteredMATRIX-CARER'!AR23)</f>
        <v/>
      </c>
      <c r="AU45" s="25" t="str">
        <f>IF('Residual-RosteredMATRIX-CARER'!AS23=0,"",'Residual-RosteredMATRIX-CARER'!AS23)</f>
        <v/>
      </c>
      <c r="AV45" s="25" t="str">
        <f>IF('Residual-RosteredMATRIX-CARER'!AT23=0,"",'Residual-RosteredMATRIX-CARER'!AT23)</f>
        <v/>
      </c>
      <c r="AW45" s="25" t="str">
        <f>IF('Residual-RosteredMATRIX-CARER'!AU23=0,"",'Residual-RosteredMATRIX-CARER'!AU23)</f>
        <v/>
      </c>
    </row>
    <row r="46" spans="1:49" ht="15.75" customHeight="1" x14ac:dyDescent="0.25">
      <c r="A46" s="25" t="e">
        <f>'Residual-Rostered'!#REF!</f>
        <v>#REF!</v>
      </c>
      <c r="B46" s="33" t="str">
        <f>'Residual-RosteredMATRIX-CARER'!D11</f>
        <v>Carer</v>
      </c>
      <c r="C46" s="33" t="str">
        <f>'Residual-RosteredMATRIX-CARER'!C11</f>
        <v>Harman, Rowena</v>
      </c>
      <c r="D46" s="34">
        <f>'Residual-RosteredMATRIX-CARER'!E11</f>
        <v>24</v>
      </c>
      <c r="E46" s="14">
        <f>Max_HRS-Table314[[#This Row],[ROSTERED TIME]]</f>
        <v>52</v>
      </c>
      <c r="F46" s="14">
        <f t="shared" si="5"/>
        <v>3.2</v>
      </c>
      <c r="G46" s="14">
        <f>Table314[[#This Row],[ROSTERED TIME]]+Table314[[#This Row],[CHANGE TIME]]</f>
        <v>27.2</v>
      </c>
      <c r="H46" s="25" t="str">
        <f>IF('Residual-RosteredMATRIX-CARER'!F11=0,"",'Residual-RosteredMATRIX-CARER'!F11)</f>
        <v>1.9/ 6</v>
      </c>
      <c r="I46" s="25" t="str">
        <f>IF('Residual-RosteredMATRIX-CARER'!G11=0,"",'Residual-RosteredMATRIX-CARER'!G11)</f>
        <v/>
      </c>
      <c r="J46" s="25" t="str">
        <f>IF('Residual-RosteredMATRIX-CARER'!H11=0,"",'Residual-RosteredMATRIX-CARER'!H11)</f>
        <v/>
      </c>
      <c r="K46" s="25" t="str">
        <f>IF('Residual-RosteredMATRIX-CARER'!I11=0,"",'Residual-RosteredMATRIX-CARER'!I11)</f>
        <v/>
      </c>
      <c r="L46" s="25" t="str">
        <f>IF('Residual-RosteredMATRIX-CARER'!J11=0,"",'Residual-RosteredMATRIX-CARER'!J11)</f>
        <v/>
      </c>
      <c r="M46" s="25" t="str">
        <f>IF('Residual-RosteredMATRIX-CARER'!K11=0,"",'Residual-RosteredMATRIX-CARER'!K11)</f>
        <v/>
      </c>
      <c r="N46" s="25" t="str">
        <f>IF('Residual-RosteredMATRIX-CARER'!L11=0,"",'Residual-RosteredMATRIX-CARER'!L11)</f>
        <v/>
      </c>
      <c r="O46" s="25" t="str">
        <f>IF('Residual-RosteredMATRIX-CARER'!M11=0,"",'Residual-RosteredMATRIX-CARER'!M11)</f>
        <v/>
      </c>
      <c r="P46" s="25" t="str">
        <f>IF('Residual-RosteredMATRIX-CARER'!N11=0,"",'Residual-RosteredMATRIX-CARER'!N11)</f>
        <v/>
      </c>
      <c r="Q46" s="25" t="str">
        <f>IF('Residual-RosteredMATRIX-CARER'!O11=0,"",'Residual-RosteredMATRIX-CARER'!O11)</f>
        <v/>
      </c>
      <c r="R46" s="25" t="str">
        <f>IF('Residual-RosteredMATRIX-CARER'!P11=0,"",'Residual-RosteredMATRIX-CARER'!P11)</f>
        <v/>
      </c>
      <c r="S46" s="25" t="str">
        <f>IF('Residual-RosteredMATRIX-CARER'!Q11=0,"",'Residual-RosteredMATRIX-CARER'!Q11)</f>
        <v/>
      </c>
      <c r="T46" s="25" t="str">
        <f>IF('Residual-RosteredMATRIX-CARER'!R11=0,"",'Residual-RosteredMATRIX-CARER'!R11)</f>
        <v/>
      </c>
      <c r="U46" s="25" t="str">
        <f>IF('Residual-RosteredMATRIX-CARER'!S11=0,"",'Residual-RosteredMATRIX-CARER'!S11)</f>
        <v/>
      </c>
      <c r="V46" s="25" t="str">
        <f>IF('Residual-RosteredMATRIX-CARER'!T11=0,"",'Residual-RosteredMATRIX-CARER'!T11)</f>
        <v/>
      </c>
      <c r="W46" s="25" t="str">
        <f>IF('Residual-RosteredMATRIX-CARER'!U11=0,"",'Residual-RosteredMATRIX-CARER'!U11)</f>
        <v/>
      </c>
      <c r="X46" s="25" t="str">
        <f>IF('Residual-RosteredMATRIX-CARER'!V11=0,"",'Residual-RosteredMATRIX-CARER'!V11)</f>
        <v/>
      </c>
      <c r="Y46" s="25" t="str">
        <f>IF('Residual-RosteredMATRIX-CARER'!W11=0,"",'Residual-RosteredMATRIX-CARER'!W11)</f>
        <v/>
      </c>
      <c r="Z46" s="25" t="str">
        <f>IF('Residual-RosteredMATRIX-CARER'!X11=0,"",'Residual-RosteredMATRIX-CARER'!X11)</f>
        <v/>
      </c>
      <c r="AA46" s="25" t="str">
        <f>IF('Residual-RosteredMATRIX-CARER'!Y11=0,"",'Residual-RosteredMATRIX-CARER'!Y11)</f>
        <v/>
      </c>
      <c r="AB46" s="25" t="str">
        <f>IF('Residual-RosteredMATRIX-CARER'!Z11=0,"",'Residual-RosteredMATRIX-CARER'!Z11)</f>
        <v/>
      </c>
      <c r="AC46" s="25" t="str">
        <f>IF('Residual-RosteredMATRIX-CARER'!AA11=0,"",'Residual-RosteredMATRIX-CARER'!AA11)</f>
        <v/>
      </c>
      <c r="AD46" s="25" t="str">
        <f>IF('Residual-RosteredMATRIX-CARER'!AB11=0,"",'Residual-RosteredMATRIX-CARER'!AB11)</f>
        <v/>
      </c>
      <c r="AE46" s="25" t="str">
        <f>IF('Residual-RosteredMATRIX-CARER'!AC11=0,"",'Residual-RosteredMATRIX-CARER'!AC11)</f>
        <v/>
      </c>
      <c r="AF46" s="25" t="str">
        <f>IF('Residual-RosteredMATRIX-CARER'!AD11=0,"",'Residual-RosteredMATRIX-CARER'!AD11)</f>
        <v/>
      </c>
      <c r="AG46" s="25" t="str">
        <f>IF('Residual-RosteredMATRIX-CARER'!AE15=0,"",'Residual-RosteredMATRIX-CARER'!AE15)</f>
        <v>1/ 7</v>
      </c>
      <c r="AH46" s="25" t="str">
        <f>IF('Residual-RosteredMATRIX-CARER'!AF11=0,"",'Residual-RosteredMATRIX-CARER'!AF11)</f>
        <v/>
      </c>
      <c r="AI46" s="25" t="str">
        <f>IF('Residual-RosteredMATRIX-CARER'!AG11=0,"",'Residual-RosteredMATRIX-CARER'!AG11)</f>
        <v/>
      </c>
      <c r="AJ46" s="25" t="str">
        <f>IF('Residual-RosteredMATRIX-CARER'!AH11=0,"",'Residual-RosteredMATRIX-CARER'!AH11)</f>
        <v/>
      </c>
      <c r="AK46" s="25" t="str">
        <f>IF('Residual-RosteredMATRIX-CARER'!AI11=0,"",'Residual-RosteredMATRIX-CARER'!AI11)</f>
        <v/>
      </c>
      <c r="AL46" s="25" t="str">
        <f>IF('Residual-RosteredMATRIX-CARER'!AJ11=0,"",'Residual-RosteredMATRIX-CARER'!AJ11)</f>
        <v/>
      </c>
      <c r="AM46" s="25" t="str">
        <f>IF('Residual-RosteredMATRIX-CARER'!AK11=0,"",'Residual-RosteredMATRIX-CARER'!AK11)</f>
        <v/>
      </c>
      <c r="AN46" s="25" t="str">
        <f>IF('Residual-RosteredMATRIX-CARER'!AL11=0,"",'Residual-RosteredMATRIX-CARER'!AL11)</f>
        <v/>
      </c>
      <c r="AO46" s="25">
        <v>1.4</v>
      </c>
      <c r="AP46" s="25" t="str">
        <f>IF('Residual-RosteredMATRIX-CARER'!AN11=0,"",'Residual-RosteredMATRIX-CARER'!AN11)</f>
        <v/>
      </c>
      <c r="AQ46" s="25" t="str">
        <f>IF('Residual-RosteredMATRIX-CARER'!AO11=0,"",'Residual-RosteredMATRIX-CARER'!AO11)</f>
        <v/>
      </c>
      <c r="AR46" s="25">
        <v>1.8</v>
      </c>
      <c r="AS46" s="25" t="str">
        <f>IF('Residual-RosteredMATRIX-CARER'!AQ11=0,"",'Residual-RosteredMATRIX-CARER'!AQ11)</f>
        <v/>
      </c>
      <c r="AT46" s="25" t="str">
        <f>IF('Residual-RosteredMATRIX-CARER'!AR11=0,"",'Residual-RosteredMATRIX-CARER'!AR11)</f>
        <v/>
      </c>
      <c r="AU46" s="25" t="str">
        <f>IF('Residual-RosteredMATRIX-CARER'!AS11=0,"",'Residual-RosteredMATRIX-CARER'!AS11)</f>
        <v>1.9/ 6</v>
      </c>
      <c r="AV46" s="25" t="str">
        <f>IF('Residual-RosteredMATRIX-CARER'!AT11=0,"",'Residual-RosteredMATRIX-CARER'!AT11)</f>
        <v/>
      </c>
      <c r="AW46" s="25" t="str">
        <f>IF('Residual-RosteredMATRIX-CARER'!AU11=0,"",'Residual-RosteredMATRIX-CARER'!AU11)</f>
        <v/>
      </c>
    </row>
    <row r="47" spans="1:49" ht="15.75" customHeight="1" x14ac:dyDescent="0.25">
      <c r="A47" s="25" t="e">
        <f>'Residual-Rostered'!#REF!</f>
        <v>#REF!</v>
      </c>
      <c r="B47" s="33" t="str">
        <f>'Residual-RosteredMATRIX-CARER'!D26</f>
        <v>Carer</v>
      </c>
      <c r="C47" s="33" t="str">
        <f>'Residual-RosteredMATRIX-CARER'!C26</f>
        <v>Hughes, Vicki</v>
      </c>
      <c r="D47" s="34">
        <f>'Residual-RosteredMATRIX-CARER'!E26</f>
        <v>45</v>
      </c>
      <c r="E47" s="14">
        <f>Max_HRS-Table314[[#This Row],[ROSTERED TIME]]</f>
        <v>31</v>
      </c>
      <c r="F47" s="14">
        <f t="shared" si="5"/>
        <v>0.5</v>
      </c>
      <c r="G47" s="14">
        <f>Table314[[#This Row],[ROSTERED TIME]]+Table314[[#This Row],[CHANGE TIME]]</f>
        <v>45.5</v>
      </c>
      <c r="H47" s="25" t="str">
        <f>IF('Residual-RosteredMATRIX-CARER'!F26=0,"",'Residual-RosteredMATRIX-CARER'!F26)</f>
        <v/>
      </c>
      <c r="I47" s="25" t="str">
        <f>IF('Residual-RosteredMATRIX-CARER'!G26=0,"",'Residual-RosteredMATRIX-CARER'!G26)</f>
        <v/>
      </c>
      <c r="J47" s="25" t="str">
        <f>IF('Residual-RosteredMATRIX-CARER'!H26=0,"",'Residual-RosteredMATRIX-CARER'!H26)</f>
        <v/>
      </c>
      <c r="K47" s="25" t="str">
        <f>IF('Residual-RosteredMATRIX-CARER'!I26=0,"",'Residual-RosteredMATRIX-CARER'!I26)</f>
        <v/>
      </c>
      <c r="L47" s="25" t="str">
        <f>IF('Residual-RosteredMATRIX-CARER'!J26=0,"",'Residual-RosteredMATRIX-CARER'!J26)</f>
        <v/>
      </c>
      <c r="M47" s="25" t="str">
        <f>IF('Residual-RosteredMATRIX-CARER'!K26=0,"",'Residual-RosteredMATRIX-CARER'!K26)</f>
        <v/>
      </c>
      <c r="N47" s="25" t="str">
        <f>IF('Residual-RosteredMATRIX-CARER'!L26=0,"",'Residual-RosteredMATRIX-CARER'!L26)</f>
        <v>0.5/ 7.5</v>
      </c>
      <c r="O47" s="25" t="str">
        <f>IF('Residual-RosteredMATRIX-CARER'!M26=0,"",'Residual-RosteredMATRIX-CARER'!M26)</f>
        <v/>
      </c>
      <c r="P47" s="25" t="str">
        <f>IF('Residual-RosteredMATRIX-CARER'!N26=0,"",'Residual-RosteredMATRIX-CARER'!N26)</f>
        <v/>
      </c>
      <c r="Q47" s="25">
        <v>0.5</v>
      </c>
      <c r="R47" s="25" t="str">
        <f>IF('Residual-RosteredMATRIX-CARER'!P26=0,"",'Residual-RosteredMATRIX-CARER'!P26)</f>
        <v/>
      </c>
      <c r="S47" s="25" t="str">
        <f>IF('Residual-RosteredMATRIX-CARER'!Q26=0,"",'Residual-RosteredMATRIX-CARER'!Q26)</f>
        <v/>
      </c>
      <c r="T47" s="25" t="str">
        <f>IF('Residual-RosteredMATRIX-CARER'!R26=0,"",'Residual-RosteredMATRIX-CARER'!R26)</f>
        <v/>
      </c>
      <c r="U47" s="25" t="str">
        <f>IF('Residual-RosteredMATRIX-CARER'!S26=0,"",'Residual-RosteredMATRIX-CARER'!S26)</f>
        <v/>
      </c>
      <c r="V47" s="25" t="str">
        <f>IF('Residual-RosteredMATRIX-CARER'!T26=0,"",'Residual-RosteredMATRIX-CARER'!T26)</f>
        <v/>
      </c>
      <c r="W47" s="25" t="str">
        <f>IF('Residual-RosteredMATRIX-CARER'!U26=0,"",'Residual-RosteredMATRIX-CARER'!U26)</f>
        <v/>
      </c>
      <c r="X47" s="25" t="str">
        <f>IF('Residual-RosteredMATRIX-CARER'!V26=0,"",'Residual-RosteredMATRIX-CARER'!V26)</f>
        <v/>
      </c>
      <c r="Y47" s="25" t="str">
        <f>IF('Residual-RosteredMATRIX-CARER'!W26=0,"",'Residual-RosteredMATRIX-CARER'!W26)</f>
        <v/>
      </c>
      <c r="Z47" s="25" t="str">
        <f>IF('Residual-RosteredMATRIX-CARER'!X26=0,"",'Residual-RosteredMATRIX-CARER'!X26)</f>
        <v/>
      </c>
      <c r="AA47" s="25" t="str">
        <f>IF('Residual-RosteredMATRIX-CARER'!Y26=0,"",'Residual-RosteredMATRIX-CARER'!Y26)</f>
        <v/>
      </c>
      <c r="AB47" s="25" t="str">
        <f>IF('Residual-RosteredMATRIX-CARER'!Z26=0,"",'Residual-RosteredMATRIX-CARER'!Z26)</f>
        <v/>
      </c>
      <c r="AC47" s="25" t="str">
        <f>IF('Residual-RosteredMATRIX-CARER'!AA26=0,"",'Residual-RosteredMATRIX-CARER'!AA26)</f>
        <v>0.5/ 7.5</v>
      </c>
      <c r="AD47" s="25" t="str">
        <f>IF('Residual-RosteredMATRIX-CARER'!AB26=0,"",'Residual-RosteredMATRIX-CARER'!AB26)</f>
        <v/>
      </c>
      <c r="AE47" s="25" t="str">
        <f>IF('Residual-RosteredMATRIX-CARER'!AC26=0,"",'Residual-RosteredMATRIX-CARER'!AC26)</f>
        <v/>
      </c>
      <c r="AF47" s="25" t="str">
        <f>IF('Residual-RosteredMATRIX-CARER'!AD26=0,"",'Residual-RosteredMATRIX-CARER'!AD26)</f>
        <v>0.5/ 7.5</v>
      </c>
      <c r="AG47" s="25" t="str">
        <f>IF('Residual-RosteredMATRIX-CARER'!AE16=0,"",'Residual-RosteredMATRIX-CARER'!AE16)</f>
        <v/>
      </c>
      <c r="AH47" s="25" t="str">
        <f>IF('Residual-RosteredMATRIX-CARER'!AF26=0,"",'Residual-RosteredMATRIX-CARER'!AF26)</f>
        <v/>
      </c>
      <c r="AI47" s="25" t="str">
        <f>IF('Residual-RosteredMATRIX-CARER'!AG26=0,"",'Residual-RosteredMATRIX-CARER'!AG26)</f>
        <v/>
      </c>
      <c r="AJ47" s="25" t="str">
        <f>IF('Residual-RosteredMATRIX-CARER'!AH26=0,"",'Residual-RosteredMATRIX-CARER'!AH26)</f>
        <v/>
      </c>
      <c r="AK47" s="25" t="str">
        <f>IF('Residual-RosteredMATRIX-CARER'!AI26=0,"",'Residual-RosteredMATRIX-CARER'!AI26)</f>
        <v/>
      </c>
      <c r="AL47" s="25" t="str">
        <f>IF('Residual-RosteredMATRIX-CARER'!AJ26=0,"",'Residual-RosteredMATRIX-CARER'!AJ26)</f>
        <v/>
      </c>
      <c r="AM47" s="25" t="str">
        <f>IF('Residual-RosteredMATRIX-CARER'!AK26=0,"",'Residual-RosteredMATRIX-CARER'!AK26)</f>
        <v/>
      </c>
      <c r="AN47" s="25" t="str">
        <f>IF('Residual-RosteredMATRIX-CARER'!AL26=0,"",'Residual-RosteredMATRIX-CARER'!AL26)</f>
        <v/>
      </c>
      <c r="AO47" s="25" t="str">
        <f>IF('Residual-RosteredMATRIX-CARER'!AM26=0,"",'Residual-RosteredMATRIX-CARER'!AM26)</f>
        <v/>
      </c>
      <c r="AP47" s="25" t="str">
        <f>IF('Residual-RosteredMATRIX-CARER'!AN26=0,"",'Residual-RosteredMATRIX-CARER'!AN26)</f>
        <v/>
      </c>
      <c r="AQ47" s="25" t="str">
        <f>IF('Residual-RosteredMATRIX-CARER'!AO26=0,"",'Residual-RosteredMATRIX-CARER'!AO26)</f>
        <v/>
      </c>
      <c r="AR47" s="25" t="str">
        <f>IF('Residual-RosteredMATRIX-CARER'!AP26=0,"",'Residual-RosteredMATRIX-CARER'!AP26)</f>
        <v>0.5/ 7.5</v>
      </c>
      <c r="AS47" s="25" t="str">
        <f>IF('Residual-RosteredMATRIX-CARER'!AQ26=0,"",'Residual-RosteredMATRIX-CARER'!AQ26)</f>
        <v/>
      </c>
      <c r="AT47" s="25" t="str">
        <f>IF('Residual-RosteredMATRIX-CARER'!AR26=0,"",'Residual-RosteredMATRIX-CARER'!AR26)</f>
        <v/>
      </c>
      <c r="AU47" s="25" t="str">
        <f>IF('Residual-RosteredMATRIX-CARER'!AS26=0,"",'Residual-RosteredMATRIX-CARER'!AS26)</f>
        <v>0.5/ 7.5</v>
      </c>
      <c r="AV47" s="25" t="str">
        <f>IF('Residual-RosteredMATRIX-CARER'!AT26=0,"",'Residual-RosteredMATRIX-CARER'!AT26)</f>
        <v/>
      </c>
      <c r="AW47" s="25" t="str">
        <f>IF('Residual-RosteredMATRIX-CARER'!AU26=0,"",'Residual-RosteredMATRIX-CARER'!AU26)</f>
        <v/>
      </c>
    </row>
    <row r="48" spans="1:49" ht="15.75" customHeight="1" x14ac:dyDescent="0.25">
      <c r="A48" s="25" t="e">
        <f>'Residual-Rostered'!#REF!</f>
        <v>#REF!</v>
      </c>
      <c r="B48" s="33" t="str">
        <f>'Residual-RosteredMATRIX-CARER'!D3</f>
        <v>Carer</v>
      </c>
      <c r="C48" s="33" t="str">
        <f>'Residual-RosteredMATRIX-CARER'!C3</f>
        <v>Hyde, Honey</v>
      </c>
      <c r="D48" s="34">
        <f>'Residual-RosteredMATRIX-CARER'!E3</f>
        <v>63</v>
      </c>
      <c r="E48" s="14">
        <f>Max_HRS-Table314[[#This Row],[ROSTERED TIME]]</f>
        <v>13</v>
      </c>
      <c r="F48" s="14">
        <f t="shared" si="5"/>
        <v>0.5</v>
      </c>
      <c r="G48" s="14">
        <f>Table314[[#This Row],[ROSTERED TIME]]+Table314[[#This Row],[CHANGE TIME]]</f>
        <v>63.5</v>
      </c>
      <c r="H48" s="25" t="str">
        <f>IF('Residual-RosteredMATRIX-CARER'!F3=0,"",'Residual-RosteredMATRIX-CARER'!F3)</f>
        <v>0/ 7.5</v>
      </c>
      <c r="I48" s="25" t="str">
        <f>IF('Residual-RosteredMATRIX-CARER'!G3=0,"",'Residual-RosteredMATRIX-CARER'!G3)</f>
        <v/>
      </c>
      <c r="J48" s="25" t="str">
        <f>IF('Residual-RosteredMATRIX-CARER'!H3=0,"",'Residual-RosteredMATRIX-CARER'!H3)</f>
        <v/>
      </c>
      <c r="K48" s="25" t="str">
        <f>IF('Residual-RosteredMATRIX-CARER'!I3=0,"",'Residual-RosteredMATRIX-CARER'!I3)</f>
        <v>0/ 7.5</v>
      </c>
      <c r="L48" s="25" t="str">
        <f>IF('Residual-RosteredMATRIX-CARER'!J3=0,"",'Residual-RosteredMATRIX-CARER'!J3)</f>
        <v/>
      </c>
      <c r="M48" s="25" t="str">
        <f>IF('Residual-RosteredMATRIX-CARER'!K3=0,"",'Residual-RosteredMATRIX-CARER'!K3)</f>
        <v/>
      </c>
      <c r="N48" s="25" t="str">
        <f>IF('Residual-RosteredMATRIX-CARER'!L3=0,"",'Residual-RosteredMATRIX-CARER'!L3)</f>
        <v/>
      </c>
      <c r="O48" s="25" t="str">
        <f>IF('Residual-RosteredMATRIX-CARER'!M3=0,"",'Residual-RosteredMATRIX-CARER'!M3)</f>
        <v/>
      </c>
      <c r="P48" s="25" t="str">
        <f>IF('Residual-RosteredMATRIX-CARER'!N3=0,"",'Residual-RosteredMATRIX-CARER'!N3)</f>
        <v/>
      </c>
      <c r="Q48" s="25" t="str">
        <f>IF('Residual-RosteredMATRIX-CARER'!O3=0,"",'Residual-RosteredMATRIX-CARER'!O3)</f>
        <v>0/ 7.5</v>
      </c>
      <c r="R48" s="25" t="str">
        <f>IF('Residual-RosteredMATRIX-CARER'!P3=0,"",'Residual-RosteredMATRIX-CARER'!P3)</f>
        <v/>
      </c>
      <c r="S48" s="25" t="str">
        <f>IF('Residual-RosteredMATRIX-CARER'!Q3=0,"",'Residual-RosteredMATRIX-CARER'!Q3)</f>
        <v/>
      </c>
      <c r="T48" s="25" t="str">
        <f>IF('Residual-RosteredMATRIX-CARER'!R3=0,"",'Residual-RosteredMATRIX-CARER'!R3)</f>
        <v>0/ 7.5</v>
      </c>
      <c r="U48" s="25">
        <v>0.5</v>
      </c>
      <c r="V48" s="25" t="str">
        <f>IF('Residual-RosteredMATRIX-CARER'!T3=0,"",'Residual-RosteredMATRIX-CARER'!T3)</f>
        <v/>
      </c>
      <c r="W48" s="25" t="str">
        <f>IF('Residual-RosteredMATRIX-CARER'!U3=0,"",'Residual-RosteredMATRIX-CARER'!U3)</f>
        <v>1.9/ 6</v>
      </c>
      <c r="X48" s="25" t="str">
        <f>IF('Residual-RosteredMATRIX-CARER'!V3=0,"",'Residual-RosteredMATRIX-CARER'!V3)</f>
        <v/>
      </c>
      <c r="Y48" s="25" t="str">
        <f>IF('Residual-RosteredMATRIX-CARER'!W3=0,"",'Residual-RosteredMATRIX-CARER'!W3)</f>
        <v/>
      </c>
      <c r="Z48" s="25" t="str">
        <f>IF('Residual-RosteredMATRIX-CARER'!X3=0,"",'Residual-RosteredMATRIX-CARER'!X3)</f>
        <v>0/ 6</v>
      </c>
      <c r="AA48" s="25" t="str">
        <f>IF('Residual-RosteredMATRIX-CARER'!Y3=0,"",'Residual-RosteredMATRIX-CARER'!Y3)</f>
        <v/>
      </c>
      <c r="AB48" s="25" t="str">
        <f>IF('Residual-RosteredMATRIX-CARER'!Z3=0,"",'Residual-RosteredMATRIX-CARER'!Z3)</f>
        <v/>
      </c>
      <c r="AC48" s="25" t="str">
        <f>IF('Residual-RosteredMATRIX-CARER'!AA3=0,"",'Residual-RosteredMATRIX-CARER'!AA3)</f>
        <v>0/ 6</v>
      </c>
      <c r="AD48" s="25" t="str">
        <f>IF('Residual-RosteredMATRIX-CARER'!AB3=0,"",'Residual-RosteredMATRIX-CARER'!AB3)</f>
        <v/>
      </c>
      <c r="AE48" s="25" t="str">
        <f>IF('Residual-RosteredMATRIX-CARER'!AC3=0,"",'Residual-RosteredMATRIX-CARER'!AC3)</f>
        <v/>
      </c>
      <c r="AF48" s="25" t="str">
        <f>IF('Residual-RosteredMATRIX-CARER'!AD3=0,"",'Residual-RosteredMATRIX-CARER'!AD3)</f>
        <v/>
      </c>
      <c r="AG48" s="25" t="str">
        <f>IF('Residual-RosteredMATRIX-CARER'!AE17=0,"",'Residual-RosteredMATRIX-CARER'!AE17)</f>
        <v>1/ 7</v>
      </c>
      <c r="AH48" s="25" t="str">
        <f>IF('Residual-RosteredMATRIX-CARER'!AF3=0,"",'Residual-RosteredMATRIX-CARER'!AF3)</f>
        <v/>
      </c>
      <c r="AI48" s="25" t="str">
        <f>IF('Residual-RosteredMATRIX-CARER'!AG3=0,"",'Residual-RosteredMATRIX-CARER'!AG3)</f>
        <v/>
      </c>
      <c r="AJ48" s="25" t="str">
        <f>IF('Residual-RosteredMATRIX-CARER'!AH3=0,"",'Residual-RosteredMATRIX-CARER'!AH3)</f>
        <v/>
      </c>
      <c r="AK48" s="25" t="str">
        <f>IF('Residual-RosteredMATRIX-CARER'!AI3=0,"",'Residual-RosteredMATRIX-CARER'!AI3)</f>
        <v/>
      </c>
      <c r="AL48" s="25" t="str">
        <f>IF('Residual-RosteredMATRIX-CARER'!AJ3=0,"",'Residual-RosteredMATRIX-CARER'!AJ3)</f>
        <v>0.5/ 7.5</v>
      </c>
      <c r="AM48" s="25" t="str">
        <f>IF('Residual-RosteredMATRIX-CARER'!AK3=0,"",'Residual-RosteredMATRIX-CARER'!AK3)</f>
        <v/>
      </c>
      <c r="AN48" s="25" t="str">
        <f>IF('Residual-RosteredMATRIX-CARER'!AL3=0,"",'Residual-RosteredMATRIX-CARER'!AL3)</f>
        <v/>
      </c>
      <c r="AO48" s="25" t="str">
        <f>IF('Residual-RosteredMATRIX-CARER'!AM3=0,"",'Residual-RosteredMATRIX-CARER'!AM3)</f>
        <v>0.5/ 7.5</v>
      </c>
      <c r="AP48" s="25" t="str">
        <f>IF('Residual-RosteredMATRIX-CARER'!AN3=0,"",'Residual-RosteredMATRIX-CARER'!AN3)</f>
        <v/>
      </c>
      <c r="AQ48" s="25" t="str">
        <f>IF('Residual-RosteredMATRIX-CARER'!AO3=0,"",'Residual-RosteredMATRIX-CARER'!AO3)</f>
        <v/>
      </c>
      <c r="AR48" s="25" t="str">
        <f>IF('Residual-RosteredMATRIX-CARER'!AP3=0,"",'Residual-RosteredMATRIX-CARER'!AP3)</f>
        <v/>
      </c>
      <c r="AS48" s="25" t="str">
        <f>IF('Residual-RosteredMATRIX-CARER'!AQ3=0,"",'Residual-RosteredMATRIX-CARER'!AQ3)</f>
        <v/>
      </c>
      <c r="AT48" s="25" t="str">
        <f>IF('Residual-RosteredMATRIX-CARER'!AR3=0,"",'Residual-RosteredMATRIX-CARER'!AR3)</f>
        <v/>
      </c>
      <c r="AU48" s="25" t="str">
        <f>IF('Residual-RosteredMATRIX-CARER'!AS3=0,"",'Residual-RosteredMATRIX-CARER'!AS3)</f>
        <v/>
      </c>
      <c r="AV48" s="25" t="str">
        <f>IF('Residual-RosteredMATRIX-CARER'!AT3=0,"",'Residual-RosteredMATRIX-CARER'!AT3)</f>
        <v/>
      </c>
      <c r="AW48" s="25" t="str">
        <f>IF('Residual-RosteredMATRIX-CARER'!AU3=0,"",'Residual-RosteredMATRIX-CARER'!AU3)</f>
        <v/>
      </c>
    </row>
    <row r="49" spans="1:51" ht="15.75" customHeight="1" x14ac:dyDescent="0.25">
      <c r="A49" s="25" t="e">
        <f>'Residual-Rostered'!#REF!</f>
        <v>#REF!</v>
      </c>
      <c r="B49" s="33" t="str">
        <f>'Residual-RosteredMATRIX-CARER'!D27</f>
        <v>Carer</v>
      </c>
      <c r="C49" s="33" t="str">
        <f>'Residual-RosteredMATRIX-CARER'!C27</f>
        <v>Jenkins, Rana</v>
      </c>
      <c r="D49" s="34">
        <f>'Residual-RosteredMATRIX-CARER'!E27</f>
        <v>45</v>
      </c>
      <c r="E49" s="14">
        <f>Max_HRS-Table314[[#This Row],[ROSTERED TIME]]</f>
        <v>31</v>
      </c>
      <c r="F49" s="14">
        <f t="shared" si="5"/>
        <v>0</v>
      </c>
      <c r="G49" s="14">
        <f>Table314[[#This Row],[ROSTERED TIME]]+Table314[[#This Row],[CHANGE TIME]]</f>
        <v>45</v>
      </c>
      <c r="H49" s="25" t="str">
        <f>IF('Residual-RosteredMATRIX-CARER'!F27=0,"",'Residual-RosteredMATRIX-CARER'!F27)</f>
        <v/>
      </c>
      <c r="I49" s="25" t="str">
        <f>IF('Residual-RosteredMATRIX-CARER'!G27=0,"",'Residual-RosteredMATRIX-CARER'!G27)</f>
        <v/>
      </c>
      <c r="J49" s="25" t="str">
        <f>IF('Residual-RosteredMATRIX-CARER'!H27=0,"",'Residual-RosteredMATRIX-CARER'!H27)</f>
        <v/>
      </c>
      <c r="K49" s="25" t="str">
        <f>IF('Residual-RosteredMATRIX-CARER'!I27=0,"",'Residual-RosteredMATRIX-CARER'!I27)</f>
        <v>0.5/ 7.5</v>
      </c>
      <c r="L49" s="25" t="str">
        <f>IF('Residual-RosteredMATRIX-CARER'!J27=0,"",'Residual-RosteredMATRIX-CARER'!J27)</f>
        <v/>
      </c>
      <c r="M49" s="25" t="str">
        <f>IF('Residual-RosteredMATRIX-CARER'!K27=0,"",'Residual-RosteredMATRIX-CARER'!K27)</f>
        <v/>
      </c>
      <c r="N49" s="25" t="str">
        <f>IF('Residual-RosteredMATRIX-CARER'!L27=0,"",'Residual-RosteredMATRIX-CARER'!L27)</f>
        <v>0.5/ 7.5</v>
      </c>
      <c r="O49" s="25" t="str">
        <f>IF('Residual-RosteredMATRIX-CARER'!M27=0,"",'Residual-RosteredMATRIX-CARER'!M27)</f>
        <v/>
      </c>
      <c r="P49" s="25" t="str">
        <f>IF('Residual-RosteredMATRIX-CARER'!N27=0,"",'Residual-RosteredMATRIX-CARER'!N27)</f>
        <v/>
      </c>
      <c r="Q49" s="25" t="str">
        <f>IF('Residual-RosteredMATRIX-CARER'!O27=0,"",'Residual-RosteredMATRIX-CARER'!O27)</f>
        <v>0.5/ 7.5</v>
      </c>
      <c r="R49" s="25" t="str">
        <f>IF('Residual-RosteredMATRIX-CARER'!P27=0,"",'Residual-RosteredMATRIX-CARER'!P27)</f>
        <v/>
      </c>
      <c r="S49" s="25" t="str">
        <f>IF('Residual-RosteredMATRIX-CARER'!Q27=0,"",'Residual-RosteredMATRIX-CARER'!Q27)</f>
        <v/>
      </c>
      <c r="T49" s="25" t="str">
        <f>IF('Residual-RosteredMATRIX-CARER'!R27=0,"",'Residual-RosteredMATRIX-CARER'!R27)</f>
        <v/>
      </c>
      <c r="U49" s="25" t="str">
        <f>IF('Residual-RosteredMATRIX-CARER'!S27=0,"",'Residual-RosteredMATRIX-CARER'!S27)</f>
        <v/>
      </c>
      <c r="V49" s="25" t="str">
        <f>IF('Residual-RosteredMATRIX-CARER'!T27=0,"",'Residual-RosteredMATRIX-CARER'!T27)</f>
        <v/>
      </c>
      <c r="W49" s="25" t="str">
        <f>IF('Residual-RosteredMATRIX-CARER'!U27=0,"",'Residual-RosteredMATRIX-CARER'!U27)</f>
        <v/>
      </c>
      <c r="X49" s="25" t="str">
        <f>IF('Residual-RosteredMATRIX-CARER'!V27=0,"",'Residual-RosteredMATRIX-CARER'!V27)</f>
        <v/>
      </c>
      <c r="Y49" s="25" t="str">
        <f>IF('Residual-RosteredMATRIX-CARER'!W27=0,"",'Residual-RosteredMATRIX-CARER'!W27)</f>
        <v/>
      </c>
      <c r="Z49" s="25" t="str">
        <f>IF('Residual-RosteredMATRIX-CARER'!X27=0,"",'Residual-RosteredMATRIX-CARER'!X27)</f>
        <v/>
      </c>
      <c r="AA49" s="25" t="str">
        <f>IF('Residual-RosteredMATRIX-CARER'!Y27=0,"",'Residual-RosteredMATRIX-CARER'!Y27)</f>
        <v/>
      </c>
      <c r="AB49" s="25" t="str">
        <f>IF('Residual-RosteredMATRIX-CARER'!Z27=0,"",'Residual-RosteredMATRIX-CARER'!Z27)</f>
        <v/>
      </c>
      <c r="AC49" s="25" t="str">
        <f>IF('Residual-RosteredMATRIX-CARER'!AA27=0,"",'Residual-RosteredMATRIX-CARER'!AA27)</f>
        <v/>
      </c>
      <c r="AD49" s="25" t="str">
        <f>IF('Residual-RosteredMATRIX-CARER'!AB27=0,"",'Residual-RosteredMATRIX-CARER'!AB27)</f>
        <v/>
      </c>
      <c r="AE49" s="25" t="str">
        <f>IF('Residual-RosteredMATRIX-CARER'!AC27=0,"",'Residual-RosteredMATRIX-CARER'!AC27)</f>
        <v/>
      </c>
      <c r="AF49" s="25" t="str">
        <f>IF('Residual-RosteredMATRIX-CARER'!AD27=0,"",'Residual-RosteredMATRIX-CARER'!AD27)</f>
        <v/>
      </c>
      <c r="AG49" s="25" t="str">
        <f>IF('Residual-RosteredMATRIX-CARER'!AE18=0,"",'Residual-RosteredMATRIX-CARER'!AE18)</f>
        <v/>
      </c>
      <c r="AH49" s="25" t="str">
        <f>IF('Residual-RosteredMATRIX-CARER'!AF27=0,"",'Residual-RosteredMATRIX-CARER'!AF27)</f>
        <v/>
      </c>
      <c r="AI49" s="25" t="str">
        <f>IF('Residual-RosteredMATRIX-CARER'!AG27=0,"",'Residual-RosteredMATRIX-CARER'!AG27)</f>
        <v>0.5/ 7.5</v>
      </c>
      <c r="AJ49" s="25" t="str">
        <f>IF('Residual-RosteredMATRIX-CARER'!AH27=0,"",'Residual-RosteredMATRIX-CARER'!AH27)</f>
        <v/>
      </c>
      <c r="AK49" s="25" t="str">
        <f>IF('Residual-RosteredMATRIX-CARER'!AI27=0,"",'Residual-RosteredMATRIX-CARER'!AI27)</f>
        <v/>
      </c>
      <c r="AL49" s="25" t="str">
        <f>IF('Residual-RosteredMATRIX-CARER'!AJ27=0,"",'Residual-RosteredMATRIX-CARER'!AJ27)</f>
        <v>0.5/ 7.5</v>
      </c>
      <c r="AM49" s="25" t="str">
        <f>IF('Residual-RosteredMATRIX-CARER'!AK27=0,"",'Residual-RosteredMATRIX-CARER'!AK27)</f>
        <v/>
      </c>
      <c r="AN49" s="25" t="str">
        <f>IF('Residual-RosteredMATRIX-CARER'!AL27=0,"",'Residual-RosteredMATRIX-CARER'!AL27)</f>
        <v/>
      </c>
      <c r="AO49" s="25" t="str">
        <f>IF('Residual-RosteredMATRIX-CARER'!AM27=0,"",'Residual-RosteredMATRIX-CARER'!AM27)</f>
        <v/>
      </c>
      <c r="AP49" s="25" t="str">
        <f>IF('Residual-RosteredMATRIX-CARER'!AN27=0,"",'Residual-RosteredMATRIX-CARER'!AN27)</f>
        <v/>
      </c>
      <c r="AQ49" s="25" t="str">
        <f>IF('Residual-RosteredMATRIX-CARER'!AO27=0,"",'Residual-RosteredMATRIX-CARER'!AO27)</f>
        <v/>
      </c>
      <c r="AR49" s="25" t="str">
        <f>IF('Residual-RosteredMATRIX-CARER'!AP27=0,"",'Residual-RosteredMATRIX-CARER'!AP27)</f>
        <v/>
      </c>
      <c r="AS49" s="25" t="str">
        <f>IF('Residual-RosteredMATRIX-CARER'!AQ27=0,"",'Residual-RosteredMATRIX-CARER'!AQ27)</f>
        <v/>
      </c>
      <c r="AT49" s="25" t="str">
        <f>IF('Residual-RosteredMATRIX-CARER'!AR27=0,"",'Residual-RosteredMATRIX-CARER'!AR27)</f>
        <v/>
      </c>
      <c r="AU49" s="25" t="str">
        <f>IF('Residual-RosteredMATRIX-CARER'!AS27=0,"",'Residual-RosteredMATRIX-CARER'!AS27)</f>
        <v>0.5/ 7.5</v>
      </c>
      <c r="AV49" s="25" t="str">
        <f>IF('Residual-RosteredMATRIX-CARER'!AT27=0,"",'Residual-RosteredMATRIX-CARER'!AT27)</f>
        <v/>
      </c>
      <c r="AW49" s="25" t="str">
        <f>IF('Residual-RosteredMATRIX-CARER'!AU27=0,"",'Residual-RosteredMATRIX-CARER'!AU27)</f>
        <v/>
      </c>
    </row>
    <row r="50" spans="1:51" ht="15.75" customHeight="1" x14ac:dyDescent="0.25">
      <c r="A50" s="25" t="e">
        <f>'Residual-Rostered'!#REF!</f>
        <v>#REF!</v>
      </c>
      <c r="B50" s="33" t="str">
        <f>'Residual-RosteredMATRIX-CARER'!D28</f>
        <v>Carer</v>
      </c>
      <c r="C50" s="33" t="str">
        <f>'Residual-RosteredMATRIX-CARER'!C28</f>
        <v>Karki, Pramila</v>
      </c>
      <c r="D50" s="34">
        <f>'Residual-RosteredMATRIX-CARER'!E28</f>
        <v>31</v>
      </c>
      <c r="E50" s="14">
        <f>Max_HRS-Table314[[#This Row],[ROSTERED TIME]]</f>
        <v>45</v>
      </c>
      <c r="F50" s="14">
        <f t="shared" ref="F50:F83" si="6">SUM(H50:AV50)</f>
        <v>0</v>
      </c>
      <c r="G50" s="14">
        <f>Table314[[#This Row],[ROSTERED TIME]]+Table314[[#This Row],[CHANGE TIME]]</f>
        <v>31</v>
      </c>
      <c r="H50" s="25" t="str">
        <f>IF('Residual-RosteredMATRIX-CARER'!F28=0,"",'Residual-RosteredMATRIX-CARER'!F28)</f>
        <v/>
      </c>
      <c r="I50" s="25" t="str">
        <f>IF('Residual-RosteredMATRIX-CARER'!G28=0,"",'Residual-RosteredMATRIX-CARER'!G28)</f>
        <v/>
      </c>
      <c r="J50" s="25" t="str">
        <f>IF('Residual-RosteredMATRIX-CARER'!H28=0,"",'Residual-RosteredMATRIX-CARER'!H28)</f>
        <v/>
      </c>
      <c r="K50" s="25" t="str">
        <f>IF('Residual-RosteredMATRIX-CARER'!I28=0,"",'Residual-RosteredMATRIX-CARER'!I28)</f>
        <v/>
      </c>
      <c r="L50" s="25" t="str">
        <f>IF('Residual-RosteredMATRIX-CARER'!J28=0,"",'Residual-RosteredMATRIX-CARER'!J28)</f>
        <v/>
      </c>
      <c r="M50" s="25" t="str">
        <f>IF('Residual-RosteredMATRIX-CARER'!K28=0,"",'Residual-RosteredMATRIX-CARER'!K28)</f>
        <v/>
      </c>
      <c r="N50" s="25" t="str">
        <f>IF('Residual-RosteredMATRIX-CARER'!L28=0,"",'Residual-RosteredMATRIX-CARER'!L28)</f>
        <v/>
      </c>
      <c r="O50" s="25" t="str">
        <f>IF('Residual-RosteredMATRIX-CARER'!M28=0,"",'Residual-RosteredMATRIX-CARER'!M28)</f>
        <v/>
      </c>
      <c r="P50" s="25" t="str">
        <f>IF('Residual-RosteredMATRIX-CARER'!N28=0,"",'Residual-RosteredMATRIX-CARER'!N28)</f>
        <v/>
      </c>
      <c r="Q50" s="25" t="str">
        <f>IF('Residual-RosteredMATRIX-CARER'!O28=0,"",'Residual-RosteredMATRIX-CARER'!O28)</f>
        <v/>
      </c>
      <c r="R50" s="25" t="str">
        <f>IF('Residual-RosteredMATRIX-CARER'!P28=0,"",'Residual-RosteredMATRIX-CARER'!P28)</f>
        <v/>
      </c>
      <c r="S50" s="25" t="str">
        <f>IF('Residual-RosteredMATRIX-CARER'!Q28=0,"",'Residual-RosteredMATRIX-CARER'!Q28)</f>
        <v/>
      </c>
      <c r="T50" s="25" t="str">
        <f>IF('Residual-RosteredMATRIX-CARER'!R28=0,"",'Residual-RosteredMATRIX-CARER'!R28)</f>
        <v/>
      </c>
      <c r="U50" s="25" t="str">
        <f>IF('Residual-RosteredMATRIX-CARER'!S28=0,"",'Residual-RosteredMATRIX-CARER'!S28)</f>
        <v/>
      </c>
      <c r="V50" s="25" t="str">
        <f>IF('Residual-RosteredMATRIX-CARER'!T28=0,"",'Residual-RosteredMATRIX-CARER'!T28)</f>
        <v/>
      </c>
      <c r="W50" s="25" t="str">
        <f>IF('Residual-RosteredMATRIX-CARER'!U28=0,"",'Residual-RosteredMATRIX-CARER'!U28)</f>
        <v>0/ 7.5</v>
      </c>
      <c r="X50" s="25" t="str">
        <f>IF('Residual-RosteredMATRIX-CARER'!V28=0,"",'Residual-RosteredMATRIX-CARER'!V28)</f>
        <v>0/ 0.5</v>
      </c>
      <c r="Y50" s="25" t="str">
        <f>IF('Residual-RosteredMATRIX-CARER'!W28=0,"",'Residual-RosteredMATRIX-CARER'!W28)</f>
        <v/>
      </c>
      <c r="Z50" s="25" t="str">
        <f>IF('Residual-RosteredMATRIX-CARER'!X28=0,"",'Residual-RosteredMATRIX-CARER'!X28)</f>
        <v>0/ 7.5</v>
      </c>
      <c r="AA50" s="25" t="str">
        <f>IF('Residual-RosteredMATRIX-CARER'!Y28=0,"",'Residual-RosteredMATRIX-CARER'!Y28)</f>
        <v>0/ 0.5</v>
      </c>
      <c r="AB50" s="25" t="str">
        <f>IF('Residual-RosteredMATRIX-CARER'!Z28=0,"",'Residual-RosteredMATRIX-CARER'!Z28)</f>
        <v/>
      </c>
      <c r="AC50" s="25" t="str">
        <f>IF('Residual-RosteredMATRIX-CARER'!AA28=0,"",'Residual-RosteredMATRIX-CARER'!AA28)</f>
        <v/>
      </c>
      <c r="AD50" s="25" t="str">
        <f>IF('Residual-RosteredMATRIX-CARER'!AB28=0,"",'Residual-RosteredMATRIX-CARER'!AB28)</f>
        <v/>
      </c>
      <c r="AE50" s="25" t="str">
        <f>IF('Residual-RosteredMATRIX-CARER'!AC28=0,"",'Residual-RosteredMATRIX-CARER'!AC28)</f>
        <v/>
      </c>
      <c r="AF50" s="25" t="str">
        <f>IF('Residual-RosteredMATRIX-CARER'!AD28=0,"",'Residual-RosteredMATRIX-CARER'!AD28)</f>
        <v/>
      </c>
      <c r="AG50" s="25" t="str">
        <f>IF('Residual-RosteredMATRIX-CARER'!AE19=0,"",'Residual-RosteredMATRIX-CARER'!AE19)</f>
        <v>0/ 7.8</v>
      </c>
      <c r="AH50" s="25" t="str">
        <f>IF('Residual-RosteredMATRIX-CARER'!AF28=0,"",'Residual-RosteredMATRIX-CARER'!AF28)</f>
        <v/>
      </c>
      <c r="AI50" s="25" t="str">
        <f>IF('Residual-RosteredMATRIX-CARER'!AG28=0,"",'Residual-RosteredMATRIX-CARER'!AG28)</f>
        <v/>
      </c>
      <c r="AJ50" s="25" t="str">
        <f>IF('Residual-RosteredMATRIX-CARER'!AH28=0,"",'Residual-RosteredMATRIX-CARER'!AH28)</f>
        <v/>
      </c>
      <c r="AK50" s="25" t="str">
        <f>IF('Residual-RosteredMATRIX-CARER'!AI28=0,"",'Residual-RosteredMATRIX-CARER'!AI28)</f>
        <v/>
      </c>
      <c r="AL50" s="25" t="str">
        <f>IF('Residual-RosteredMATRIX-CARER'!AJ28=0,"",'Residual-RosteredMATRIX-CARER'!AJ28)</f>
        <v/>
      </c>
      <c r="AM50" s="25" t="str">
        <f>IF('Residual-RosteredMATRIX-CARER'!AK28=0,"",'Residual-RosteredMATRIX-CARER'!AK28)</f>
        <v/>
      </c>
      <c r="AN50" s="25" t="str">
        <f>IF('Residual-RosteredMATRIX-CARER'!AL28=0,"",'Residual-RosteredMATRIX-CARER'!AL28)</f>
        <v/>
      </c>
      <c r="AO50" s="25" t="str">
        <f>IF('Residual-RosteredMATRIX-CARER'!AM28=0,"",'Residual-RosteredMATRIX-CARER'!AM28)</f>
        <v/>
      </c>
      <c r="AP50" s="25" t="str">
        <f>IF('Residual-RosteredMATRIX-CARER'!AN28=0,"",'Residual-RosteredMATRIX-CARER'!AN28)</f>
        <v/>
      </c>
      <c r="AQ50" s="25" t="str">
        <f>IF('Residual-RosteredMATRIX-CARER'!AO28=0,"",'Residual-RosteredMATRIX-CARER'!AO28)</f>
        <v/>
      </c>
      <c r="AR50" s="25" t="str">
        <f>IF('Residual-RosteredMATRIX-CARER'!AP28=0,"",'Residual-RosteredMATRIX-CARER'!AP28)</f>
        <v>0.5/ 7.5</v>
      </c>
      <c r="AS50" s="25" t="str">
        <f>IF('Residual-RosteredMATRIX-CARER'!AQ28=0,"",'Residual-RosteredMATRIX-CARER'!AQ28)</f>
        <v/>
      </c>
      <c r="AT50" s="25" t="str">
        <f>IF('Residual-RosteredMATRIX-CARER'!AR28=0,"",'Residual-RosteredMATRIX-CARER'!AR28)</f>
        <v/>
      </c>
      <c r="AU50" s="25" t="str">
        <f>IF('Residual-RosteredMATRIX-CARER'!AS28=0,"",'Residual-RosteredMATRIX-CARER'!AS28)</f>
        <v>0.5/ 7.5</v>
      </c>
      <c r="AV50" s="25" t="str">
        <f>IF('Residual-RosteredMATRIX-CARER'!AT28=0,"",'Residual-RosteredMATRIX-CARER'!AT28)</f>
        <v/>
      </c>
      <c r="AW50" s="25" t="str">
        <f>IF('Residual-RosteredMATRIX-CARER'!AU28=0,"",'Residual-RosteredMATRIX-CARER'!AU28)</f>
        <v/>
      </c>
    </row>
    <row r="51" spans="1:51" ht="15.75" customHeight="1" x14ac:dyDescent="0.25">
      <c r="A51" s="25" t="e">
        <f>'Residual-Rostered'!#REF!</f>
        <v>#REF!</v>
      </c>
      <c r="B51" s="33" t="str">
        <f>'Residual-RosteredMATRIX-CARER'!D33</f>
        <v>Carer</v>
      </c>
      <c r="C51" s="33" t="str">
        <f>'Residual-RosteredMATRIX-CARER'!C33</f>
        <v>Treay, Sylvia</v>
      </c>
      <c r="D51" s="34">
        <f>'Residual-RosteredMATRIX-CARER'!E33</f>
        <v>56</v>
      </c>
      <c r="E51" s="14">
        <f>Max_HRS-Table314[[#This Row],[ROSTERED TIME]]</f>
        <v>20</v>
      </c>
      <c r="F51" s="14">
        <f t="shared" si="6"/>
        <v>1.8</v>
      </c>
      <c r="G51" s="14">
        <f>Table314[[#This Row],[ROSTERED TIME]]+Table314[[#This Row],[CHANGE TIME]]</f>
        <v>57.8</v>
      </c>
      <c r="H51" s="25" t="str">
        <f>IF('Residual-RosteredMATRIX-CARER'!F33=0,"",'Residual-RosteredMATRIX-CARER'!F33)</f>
        <v/>
      </c>
      <c r="I51" s="25">
        <v>1</v>
      </c>
      <c r="J51" s="25" t="str">
        <f>IF('Residual-RosteredMATRIX-CARER'!H33=0,"",'Residual-RosteredMATRIX-CARER'!H33)</f>
        <v/>
      </c>
      <c r="K51" s="25" t="str">
        <f>IF('Residual-RosteredMATRIX-CARER'!I33=0,"",'Residual-RosteredMATRIX-CARER'!I33)</f>
        <v/>
      </c>
      <c r="L51" s="25" t="str">
        <f>IF('Residual-RosteredMATRIX-CARER'!J33=0,"",'Residual-RosteredMATRIX-CARER'!J33)</f>
        <v/>
      </c>
      <c r="M51" s="25" t="str">
        <f>IF('Residual-RosteredMATRIX-CARER'!K33=0,"",'Residual-RosteredMATRIX-CARER'!K33)</f>
        <v/>
      </c>
      <c r="N51" s="25" t="str">
        <f>IF('Residual-RosteredMATRIX-CARER'!L33=0,"",'Residual-RosteredMATRIX-CARER'!L33)</f>
        <v/>
      </c>
      <c r="O51" s="25" t="str">
        <f>IF('Residual-RosteredMATRIX-CARER'!M33=0,"",'Residual-RosteredMATRIX-CARER'!M33)</f>
        <v/>
      </c>
      <c r="P51" s="25" t="str">
        <f>IF('Residual-RosteredMATRIX-CARER'!N33=0,"",'Residual-RosteredMATRIX-CARER'!N33)</f>
        <v/>
      </c>
      <c r="Q51" s="25" t="str">
        <f>IF('Residual-RosteredMATRIX-CARER'!O33=0,"",'Residual-RosteredMATRIX-CARER'!O33)</f>
        <v/>
      </c>
      <c r="R51" s="25" t="str">
        <f>IF('Residual-RosteredMATRIX-CARER'!P33=0,"",'Residual-RosteredMATRIX-CARER'!P33)</f>
        <v/>
      </c>
      <c r="S51" s="25" t="str">
        <f>IF('Residual-RosteredMATRIX-CARER'!Q33=0,"",'Residual-RosteredMATRIX-CARER'!Q33)</f>
        <v/>
      </c>
      <c r="T51" s="25" t="str">
        <f>IF('Residual-RosteredMATRIX-CARER'!R33=0,"",'Residual-RosteredMATRIX-CARER'!R33)</f>
        <v/>
      </c>
      <c r="U51" s="25" t="str">
        <f>IF('Residual-RosteredMATRIX-CARER'!S33=0,"",'Residual-RosteredMATRIX-CARER'!S33)</f>
        <v>1/ 7</v>
      </c>
      <c r="V51" s="25" t="str">
        <f>IF('Residual-RosteredMATRIX-CARER'!T33=0,"",'Residual-RosteredMATRIX-CARER'!T33)</f>
        <v/>
      </c>
      <c r="W51" s="25" t="str">
        <f>IF('Residual-RosteredMATRIX-CARER'!U33=0,"",'Residual-RosteredMATRIX-CARER'!U33)</f>
        <v/>
      </c>
      <c r="X51" s="25" t="str">
        <f>IF('Residual-RosteredMATRIX-CARER'!V33=0,"",'Residual-RosteredMATRIX-CARER'!V33)</f>
        <v>1/ 7</v>
      </c>
      <c r="Y51" s="25" t="str">
        <f>IF('Residual-RosteredMATRIX-CARER'!W33=0,"",'Residual-RosteredMATRIX-CARER'!W33)</f>
        <v/>
      </c>
      <c r="Z51" s="25" t="str">
        <f>IF('Residual-RosteredMATRIX-CARER'!X33=0,"",'Residual-RosteredMATRIX-CARER'!X33)</f>
        <v/>
      </c>
      <c r="AA51" s="25" t="str">
        <f>IF('Residual-RosteredMATRIX-CARER'!Y33=0,"",'Residual-RosteredMATRIX-CARER'!Y33)</f>
        <v>1/ 7</v>
      </c>
      <c r="AB51" s="25" t="str">
        <f>IF('Residual-RosteredMATRIX-CARER'!Z33=0,"",'Residual-RosteredMATRIX-CARER'!Z33)</f>
        <v/>
      </c>
      <c r="AC51" s="25" t="str">
        <f>IF('Residual-RosteredMATRIX-CARER'!AA33=0,"",'Residual-RosteredMATRIX-CARER'!AA33)</f>
        <v/>
      </c>
      <c r="AD51" s="25" t="str">
        <f>IF('Residual-RosteredMATRIX-CARER'!AB33=0,"",'Residual-RosteredMATRIX-CARER'!AB33)</f>
        <v>1/ 7</v>
      </c>
      <c r="AE51" s="25" t="str">
        <f>IF('Residual-RosteredMATRIX-CARER'!AC33=0,"",'Residual-RosteredMATRIX-CARER'!AC33)</f>
        <v/>
      </c>
      <c r="AF51" s="25" t="str">
        <f>IF('Residual-RosteredMATRIX-CARER'!AD33=0,"",'Residual-RosteredMATRIX-CARER'!AD33)</f>
        <v/>
      </c>
      <c r="AG51" s="25" t="str">
        <f>IF('Residual-RosteredMATRIX-CARER'!AE20=0,"",'Residual-RosteredMATRIX-CARER'!AE20)</f>
        <v/>
      </c>
      <c r="AH51" s="25" t="str">
        <f>IF('Residual-RosteredMATRIX-CARER'!AF33=0,"",'Residual-RosteredMATRIX-CARER'!AF33)</f>
        <v/>
      </c>
      <c r="AI51" s="25" t="str">
        <f>IF('Residual-RosteredMATRIX-CARER'!AG33=0,"",'Residual-RosteredMATRIX-CARER'!AG33)</f>
        <v/>
      </c>
      <c r="AJ51" s="25" t="str">
        <f>IF('Residual-RosteredMATRIX-CARER'!AH33=0,"",'Residual-RosteredMATRIX-CARER'!AH33)</f>
        <v/>
      </c>
      <c r="AK51" s="25" t="str">
        <f>IF('Residual-RosteredMATRIX-CARER'!AI33=0,"",'Residual-RosteredMATRIX-CARER'!AI33)</f>
        <v/>
      </c>
      <c r="AL51" s="25" t="str">
        <f>IF('Residual-RosteredMATRIX-CARER'!AJ33=0,"",'Residual-RosteredMATRIX-CARER'!AJ33)</f>
        <v/>
      </c>
      <c r="AM51" s="25">
        <v>0.8</v>
      </c>
      <c r="AN51" s="25" t="str">
        <f>IF('Residual-RosteredMATRIX-CARER'!AL33=0,"",'Residual-RosteredMATRIX-CARER'!AL33)</f>
        <v/>
      </c>
      <c r="AO51" s="25" t="str">
        <f>IF('Residual-RosteredMATRIX-CARER'!AM33=0,"",'Residual-RosteredMATRIX-CARER'!AM33)</f>
        <v/>
      </c>
      <c r="AP51" s="25" t="str">
        <f>IF('Residual-RosteredMATRIX-CARER'!AN33=0,"",'Residual-RosteredMATRIX-CARER'!AN33)</f>
        <v>1/ 7</v>
      </c>
      <c r="AQ51" s="25" t="str">
        <f>IF('Residual-RosteredMATRIX-CARER'!AO33=0,"",'Residual-RosteredMATRIX-CARER'!AO33)</f>
        <v/>
      </c>
      <c r="AR51" s="25" t="str">
        <f>IF('Residual-RosteredMATRIX-CARER'!AP33=0,"",'Residual-RosteredMATRIX-CARER'!AP33)</f>
        <v/>
      </c>
      <c r="AS51" s="25" t="str">
        <f>IF('Residual-RosteredMATRIX-CARER'!AQ33=0,"",'Residual-RosteredMATRIX-CARER'!AQ33)</f>
        <v/>
      </c>
      <c r="AT51" s="25" t="str">
        <f>IF('Residual-RosteredMATRIX-CARER'!AR33=0,"",'Residual-RosteredMATRIX-CARER'!AR33)</f>
        <v/>
      </c>
      <c r="AU51" s="25" t="str">
        <f>IF('Residual-RosteredMATRIX-CARER'!AS33=0,"",'Residual-RosteredMATRIX-CARER'!AS33)</f>
        <v/>
      </c>
      <c r="AV51" s="25" t="str">
        <f>IF('Residual-RosteredMATRIX-CARER'!AT33=0,"",'Residual-RosteredMATRIX-CARER'!AT33)</f>
        <v>1/ 7</v>
      </c>
      <c r="AW51" s="25" t="str">
        <f>IF('Residual-RosteredMATRIX-CARER'!AU33=0,"",'Residual-RosteredMATRIX-CARER'!AU33)</f>
        <v/>
      </c>
    </row>
    <row r="52" spans="1:51" ht="15.75" customHeight="1" x14ac:dyDescent="0.25">
      <c r="A52" s="25" t="e">
        <f>'Residual-Rostered'!#REF!</f>
        <v>#REF!</v>
      </c>
      <c r="B52" s="33" t="str">
        <f>'Residual-RosteredMATRIX-CARER'!D30</f>
        <v>Carer</v>
      </c>
      <c r="C52" s="33" t="str">
        <f>'Residual-RosteredMATRIX-CARER'!C30</f>
        <v>Kaur, Kuljeet</v>
      </c>
      <c r="D52" s="34">
        <f>'Residual-RosteredMATRIX-CARER'!E30</f>
        <v>38</v>
      </c>
      <c r="E52" s="14">
        <f>Max_HRS-Table314[[#This Row],[ROSTERED TIME]]</f>
        <v>38</v>
      </c>
      <c r="F52" s="14">
        <f t="shared" si="6"/>
        <v>0</v>
      </c>
      <c r="G52" s="14">
        <f>Table314[[#This Row],[ROSTERED TIME]]+Table314[[#This Row],[CHANGE TIME]]</f>
        <v>38</v>
      </c>
      <c r="H52" s="25" t="str">
        <f>IF('Residual-RosteredMATRIX-CARER'!F30=0,"",'Residual-RosteredMATRIX-CARER'!F30)</f>
        <v/>
      </c>
      <c r="I52" s="25" t="str">
        <f>IF('Residual-RosteredMATRIX-CARER'!G30=0,"",'Residual-RosteredMATRIX-CARER'!G30)</f>
        <v/>
      </c>
      <c r="J52" s="25" t="str">
        <f>IF('Residual-RosteredMATRIX-CARER'!H30=0,"",'Residual-RosteredMATRIX-CARER'!H30)</f>
        <v/>
      </c>
      <c r="K52" s="25" t="str">
        <f>IF('Residual-RosteredMATRIX-CARER'!I30=0,"",'Residual-RosteredMATRIX-CARER'!I30)</f>
        <v/>
      </c>
      <c r="L52" s="25" t="str">
        <f>IF('Residual-RosteredMATRIX-CARER'!J30=0,"",'Residual-RosteredMATRIX-CARER'!J30)</f>
        <v/>
      </c>
      <c r="M52" s="25" t="str">
        <f>IF('Residual-RosteredMATRIX-CARER'!K30=0,"",'Residual-RosteredMATRIX-CARER'!K30)</f>
        <v/>
      </c>
      <c r="N52" s="25" t="str">
        <f>IF('Residual-RosteredMATRIX-CARER'!L30=0,"",'Residual-RosteredMATRIX-CARER'!L30)</f>
        <v/>
      </c>
      <c r="O52" s="25" t="str">
        <f>IF('Residual-RosteredMATRIX-CARER'!M30=0,"",'Residual-RosteredMATRIX-CARER'!M30)</f>
        <v/>
      </c>
      <c r="P52" s="25" t="str">
        <f>IF('Residual-RosteredMATRIX-CARER'!N30=0,"",'Residual-RosteredMATRIX-CARER'!N30)</f>
        <v/>
      </c>
      <c r="Q52" s="25" t="str">
        <f>IF('Residual-RosteredMATRIX-CARER'!O30=0,"",'Residual-RosteredMATRIX-CARER'!O30)</f>
        <v/>
      </c>
      <c r="R52" s="25" t="str">
        <f>IF('Residual-RosteredMATRIX-CARER'!P30=0,"",'Residual-RosteredMATRIX-CARER'!P30)</f>
        <v/>
      </c>
      <c r="S52" s="25" t="str">
        <f>IF('Residual-RosteredMATRIX-CARER'!Q30=0,"",'Residual-RosteredMATRIX-CARER'!Q30)</f>
        <v/>
      </c>
      <c r="T52" s="25" t="str">
        <f>IF('Residual-RosteredMATRIX-CARER'!R30=0,"",'Residual-RosteredMATRIX-CARER'!R30)</f>
        <v/>
      </c>
      <c r="U52" s="25" t="str">
        <f>IF('Residual-RosteredMATRIX-CARER'!S30=0,"",'Residual-RosteredMATRIX-CARER'!S30)</f>
        <v/>
      </c>
      <c r="V52" s="25" t="str">
        <f>IF('Residual-RosteredMATRIX-CARER'!T30=0,"",'Residual-RosteredMATRIX-CARER'!T30)</f>
        <v/>
      </c>
      <c r="W52" s="25" t="str">
        <f>IF('Residual-RosteredMATRIX-CARER'!U30=0,"",'Residual-RosteredMATRIX-CARER'!U30)</f>
        <v>0.5/ 7.5</v>
      </c>
      <c r="X52" s="25" t="str">
        <f>IF('Residual-RosteredMATRIX-CARER'!V30=0,"",'Residual-RosteredMATRIX-CARER'!V30)</f>
        <v/>
      </c>
      <c r="Y52" s="25" t="str">
        <f>IF('Residual-RosteredMATRIX-CARER'!W30=0,"",'Residual-RosteredMATRIX-CARER'!W30)</f>
        <v/>
      </c>
      <c r="Z52" s="25" t="str">
        <f>IF('Residual-RosteredMATRIX-CARER'!X30=0,"",'Residual-RosteredMATRIX-CARER'!X30)</f>
        <v>0.5/ 7.5</v>
      </c>
      <c r="AA52" s="25" t="str">
        <f>IF('Residual-RosteredMATRIX-CARER'!Y30=0,"",'Residual-RosteredMATRIX-CARER'!Y30)</f>
        <v/>
      </c>
      <c r="AB52" s="25" t="str">
        <f>IF('Residual-RosteredMATRIX-CARER'!Z30=0,"",'Residual-RosteredMATRIX-CARER'!Z30)</f>
        <v/>
      </c>
      <c r="AC52" s="25" t="str">
        <f>IF('Residual-RosteredMATRIX-CARER'!AA30=0,"",'Residual-RosteredMATRIX-CARER'!AA30)</f>
        <v/>
      </c>
      <c r="AD52" s="25" t="str">
        <f>IF('Residual-RosteredMATRIX-CARER'!AB30=0,"",'Residual-RosteredMATRIX-CARER'!AB30)</f>
        <v/>
      </c>
      <c r="AE52" s="25" t="str">
        <f>IF('Residual-RosteredMATRIX-CARER'!AC30=0,"",'Residual-RosteredMATRIX-CARER'!AC30)</f>
        <v/>
      </c>
      <c r="AF52" s="25" t="str">
        <f>IF('Residual-RosteredMATRIX-CARER'!AD30=0,"",'Residual-RosteredMATRIX-CARER'!AD30)</f>
        <v/>
      </c>
      <c r="AG52" s="25" t="str">
        <f>IF('Residual-RosteredMATRIX-CARER'!AE21=0,"",'Residual-RosteredMATRIX-CARER'!AE21)</f>
        <v/>
      </c>
      <c r="AH52" s="25" t="str">
        <f>IF('Residual-RosteredMATRIX-CARER'!AF30=0,"",'Residual-RosteredMATRIX-CARER'!AF30)</f>
        <v/>
      </c>
      <c r="AI52" s="25" t="str">
        <f>IF('Residual-RosteredMATRIX-CARER'!AG30=0,"",'Residual-RosteredMATRIX-CARER'!AG30)</f>
        <v/>
      </c>
      <c r="AJ52" s="25" t="str">
        <f>IF('Residual-RosteredMATRIX-CARER'!AH30=0,"",'Residual-RosteredMATRIX-CARER'!AH30)</f>
        <v/>
      </c>
      <c r="AK52" s="25" t="str">
        <f>IF('Residual-RosteredMATRIX-CARER'!AI30=0,"",'Residual-RosteredMATRIX-CARER'!AI30)</f>
        <v/>
      </c>
      <c r="AL52" s="25" t="str">
        <f>IF('Residual-RosteredMATRIX-CARER'!AJ30=0,"",'Residual-RosteredMATRIX-CARER'!AJ30)</f>
        <v/>
      </c>
      <c r="AM52" s="25" t="str">
        <f>IF('Residual-RosteredMATRIX-CARER'!AK30=0,"",'Residual-RosteredMATRIX-CARER'!AK30)</f>
        <v/>
      </c>
      <c r="AN52" s="25" t="str">
        <f>IF('Residual-RosteredMATRIX-CARER'!AL30=0,"",'Residual-RosteredMATRIX-CARER'!AL30)</f>
        <v/>
      </c>
      <c r="AO52" s="25" t="str">
        <f>IF('Residual-RosteredMATRIX-CARER'!AM30=0,"",'Residual-RosteredMATRIX-CARER'!AM30)</f>
        <v/>
      </c>
      <c r="AP52" s="25" t="str">
        <f>IF('Residual-RosteredMATRIX-CARER'!AN30=0,"",'Residual-RosteredMATRIX-CARER'!AN30)</f>
        <v>0/ 7.8</v>
      </c>
      <c r="AQ52" s="25" t="str">
        <f>IF('Residual-RosteredMATRIX-CARER'!AO30=0,"",'Residual-RosteredMATRIX-CARER'!AO30)</f>
        <v>0/ 0.2</v>
      </c>
      <c r="AR52" s="25" t="str">
        <f>IF('Residual-RosteredMATRIX-CARER'!AP30=0,"",'Residual-RosteredMATRIX-CARER'!AP30)</f>
        <v/>
      </c>
      <c r="AS52" s="25" t="str">
        <f>IF('Residual-RosteredMATRIX-CARER'!AQ30=0,"",'Residual-RosteredMATRIX-CARER'!AQ30)</f>
        <v>0/ 7.8</v>
      </c>
      <c r="AT52" s="25" t="str">
        <f>IF('Residual-RosteredMATRIX-CARER'!AR30=0,"",'Residual-RosteredMATRIX-CARER'!AR30)</f>
        <v>0/ 0.2</v>
      </c>
      <c r="AU52" s="25" t="str">
        <f>IF('Residual-RosteredMATRIX-CARER'!AS30=0,"",'Residual-RosteredMATRIX-CARER'!AS30)</f>
        <v/>
      </c>
      <c r="AV52" s="25" t="str">
        <f>IF('Residual-RosteredMATRIX-CARER'!AT30=0,"",'Residual-RosteredMATRIX-CARER'!AT30)</f>
        <v>1/ 7</v>
      </c>
      <c r="AW52" s="25" t="str">
        <f>IF('Residual-RosteredMATRIX-CARER'!AU30=0,"",'Residual-RosteredMATRIX-CARER'!AU30)</f>
        <v/>
      </c>
    </row>
    <row r="53" spans="1:51" ht="15.75" customHeight="1" x14ac:dyDescent="0.25">
      <c r="A53" s="25" t="e">
        <f>'Residual-Rostered'!#REF!</f>
        <v>#REF!</v>
      </c>
      <c r="B53" s="33" t="str">
        <f>'Residual-RosteredMATRIX-CARER'!D32</f>
        <v>Carer</v>
      </c>
      <c r="C53" s="33" t="str">
        <f>'Residual-RosteredMATRIX-CARER'!C32</f>
        <v>Kaur, Rajdwinder</v>
      </c>
      <c r="D53" s="34">
        <f>'Residual-RosteredMATRIX-CARER'!E32</f>
        <v>45</v>
      </c>
      <c r="E53" s="14">
        <f>Max_HRS-Table314[[#This Row],[ROSTERED TIME]]</f>
        <v>31</v>
      </c>
      <c r="F53" s="14">
        <f t="shared" si="6"/>
        <v>0.5</v>
      </c>
      <c r="G53" s="14">
        <f>Table314[[#This Row],[ROSTERED TIME]]+Table314[[#This Row],[CHANGE TIME]]</f>
        <v>45.5</v>
      </c>
      <c r="H53" s="25" t="str">
        <f>IF('Residual-RosteredMATRIX-CARER'!F32=0,"",'Residual-RosteredMATRIX-CARER'!F32)</f>
        <v/>
      </c>
      <c r="I53" s="25" t="str">
        <f>IF('Residual-RosteredMATRIX-CARER'!G32=0,"",'Residual-RosteredMATRIX-CARER'!G32)</f>
        <v/>
      </c>
      <c r="J53" s="25" t="str">
        <f>IF('Residual-RosteredMATRIX-CARER'!H32=0,"",'Residual-RosteredMATRIX-CARER'!H32)</f>
        <v/>
      </c>
      <c r="K53" s="25" t="str">
        <f>IF('Residual-RosteredMATRIX-CARER'!I32=0,"",'Residual-RosteredMATRIX-CARER'!I32)</f>
        <v/>
      </c>
      <c r="L53" s="25" t="str">
        <f>IF('Residual-RosteredMATRIX-CARER'!J32=0,"",'Residual-RosteredMATRIX-CARER'!J32)</f>
        <v/>
      </c>
      <c r="M53" s="25" t="str">
        <f>IF('Residual-RosteredMATRIX-CARER'!K32=0,"",'Residual-RosteredMATRIX-CARER'!K32)</f>
        <v/>
      </c>
      <c r="N53" s="25" t="str">
        <f>IF('Residual-RosteredMATRIX-CARER'!L32=0,"",'Residual-RosteredMATRIX-CARER'!L32)</f>
        <v/>
      </c>
      <c r="O53" s="25" t="str">
        <f>IF('Residual-RosteredMATRIX-CARER'!M32=0,"",'Residual-RosteredMATRIX-CARER'!M32)</f>
        <v/>
      </c>
      <c r="P53" s="25" t="str">
        <f>IF('Residual-RosteredMATRIX-CARER'!N32=0,"",'Residual-RosteredMATRIX-CARER'!N32)</f>
        <v>0.7/ 7.3</v>
      </c>
      <c r="Q53" s="25" t="str">
        <f>IF('Residual-RosteredMATRIX-CARER'!O32=0,"",'Residual-RosteredMATRIX-CARER'!O32)</f>
        <v>7.4/ 0.2</v>
      </c>
      <c r="R53" s="25" t="str">
        <f>IF('Residual-RosteredMATRIX-CARER'!P32=0,"",'Residual-RosteredMATRIX-CARER'!P32)</f>
        <v/>
      </c>
      <c r="S53" s="25" t="str">
        <f>IF('Residual-RosteredMATRIX-CARER'!Q32=0,"",'Residual-RosteredMATRIX-CARER'!Q32)</f>
        <v/>
      </c>
      <c r="T53" s="25" t="str">
        <f>IF('Residual-RosteredMATRIX-CARER'!R32=0,"",'Residual-RosteredMATRIX-CARER'!R32)</f>
        <v/>
      </c>
      <c r="U53" s="25" t="str">
        <f>IF('Residual-RosteredMATRIX-CARER'!S32=0,"",'Residual-RosteredMATRIX-CARER'!S32)</f>
        <v/>
      </c>
      <c r="V53" s="25" t="str">
        <f>IF('Residual-RosteredMATRIX-CARER'!T32=0,"",'Residual-RosteredMATRIX-CARER'!T32)</f>
        <v>0.7/ 7.3</v>
      </c>
      <c r="W53" s="25" t="str">
        <f>IF('Residual-RosteredMATRIX-CARER'!U32=0,"",'Residual-RosteredMATRIX-CARER'!U32)</f>
        <v>0.5/ 0.2</v>
      </c>
      <c r="X53" s="25" t="str">
        <f>IF('Residual-RosteredMATRIX-CARER'!V32=0,"",'Residual-RosteredMATRIX-CARER'!V32)</f>
        <v/>
      </c>
      <c r="Y53" s="25" t="str">
        <f>IF('Residual-RosteredMATRIX-CARER'!W32=0,"",'Residual-RosteredMATRIX-CARER'!W32)</f>
        <v>0.5/ 7.3</v>
      </c>
      <c r="Z53" s="25" t="str">
        <f>IF('Residual-RosteredMATRIX-CARER'!X32=0,"",'Residual-RosteredMATRIX-CARER'!X32)</f>
        <v>7.4/ 0.2</v>
      </c>
      <c r="AA53" s="25" t="str">
        <f>IF('Residual-RosteredMATRIX-CARER'!Y32=0,"",'Residual-RosteredMATRIX-CARER'!Y32)</f>
        <v/>
      </c>
      <c r="AB53" s="25" t="str">
        <f>IF('Residual-RosteredMATRIX-CARER'!Z32=0,"",'Residual-RosteredMATRIX-CARER'!Z32)</f>
        <v/>
      </c>
      <c r="AC53" s="25" t="str">
        <f>IF('Residual-RosteredMATRIX-CARER'!AA32=0,"",'Residual-RosteredMATRIX-CARER'!AA32)</f>
        <v/>
      </c>
      <c r="AD53" s="25" t="str">
        <f>IF('Residual-RosteredMATRIX-CARER'!AB32=0,"",'Residual-RosteredMATRIX-CARER'!AB32)</f>
        <v/>
      </c>
      <c r="AE53" s="25" t="str">
        <f>IF('Residual-RosteredMATRIX-CARER'!AC32=0,"",'Residual-RosteredMATRIX-CARER'!AC32)</f>
        <v/>
      </c>
      <c r="AF53" s="25" t="str">
        <f>IF('Residual-RosteredMATRIX-CARER'!AD32=0,"",'Residual-RosteredMATRIX-CARER'!AD32)</f>
        <v/>
      </c>
      <c r="AG53" s="25" t="str">
        <f>IF('Residual-RosteredMATRIX-CARER'!AE22=0,"",'Residual-RosteredMATRIX-CARER'!AE22)</f>
        <v/>
      </c>
      <c r="AH53" s="25" t="str">
        <f>IF('Residual-RosteredMATRIX-CARER'!AF32=0,"",'Residual-RosteredMATRIX-CARER'!AF32)</f>
        <v/>
      </c>
      <c r="AI53" s="25" t="str">
        <f>IF('Residual-RosteredMATRIX-CARER'!AG32=0,"",'Residual-RosteredMATRIX-CARER'!AG32)</f>
        <v/>
      </c>
      <c r="AJ53" s="25" t="str">
        <f>IF('Residual-RosteredMATRIX-CARER'!AH32=0,"",'Residual-RosteredMATRIX-CARER'!AH32)</f>
        <v/>
      </c>
      <c r="AK53" s="25">
        <v>0.5</v>
      </c>
      <c r="AL53" s="25" t="str">
        <f>IF('Residual-RosteredMATRIX-CARER'!AJ32=0,"",'Residual-RosteredMATRIX-CARER'!AJ32)</f>
        <v>7.4/ 0.2</v>
      </c>
      <c r="AM53" s="25" t="str">
        <f>IF('Residual-RosteredMATRIX-CARER'!AK32=0,"",'Residual-RosteredMATRIX-CARER'!AK32)</f>
        <v/>
      </c>
      <c r="AN53" s="25" t="str">
        <f>IF('Residual-RosteredMATRIX-CARER'!AL32=0,"",'Residual-RosteredMATRIX-CARER'!AL32)</f>
        <v/>
      </c>
      <c r="AO53" s="25" t="str">
        <f>IF('Residual-RosteredMATRIX-CARER'!AM32=0,"",'Residual-RosteredMATRIX-CARER'!AM32)</f>
        <v/>
      </c>
      <c r="AP53" s="25" t="str">
        <f>IF('Residual-RosteredMATRIX-CARER'!AN32=0,"",'Residual-RosteredMATRIX-CARER'!AN32)</f>
        <v/>
      </c>
      <c r="AQ53" s="25" t="str">
        <f>IF('Residual-RosteredMATRIX-CARER'!AO32=0,"",'Residual-RosteredMATRIX-CARER'!AO32)</f>
        <v>0.7/ 7.3</v>
      </c>
      <c r="AR53" s="25" t="str">
        <f>IF('Residual-RosteredMATRIX-CARER'!AP32=0,"",'Residual-RosteredMATRIX-CARER'!AP32)</f>
        <v>0.5/ 0.2</v>
      </c>
      <c r="AS53" s="25" t="str">
        <f>IF('Residual-RosteredMATRIX-CARER'!AQ32=0,"",'Residual-RosteredMATRIX-CARER'!AQ32)</f>
        <v/>
      </c>
      <c r="AT53" s="25" t="str">
        <f>IF('Residual-RosteredMATRIX-CARER'!AR32=0,"",'Residual-RosteredMATRIX-CARER'!AR32)</f>
        <v>0.5/ 7.3</v>
      </c>
      <c r="AU53" s="25" t="str">
        <f>IF('Residual-RosteredMATRIX-CARER'!AS32=0,"",'Residual-RosteredMATRIX-CARER'!AS32)</f>
        <v>7.4/ 0.2</v>
      </c>
      <c r="AV53" s="25" t="str">
        <f>IF('Residual-RosteredMATRIX-CARER'!AT32=0,"",'Residual-RosteredMATRIX-CARER'!AT32)</f>
        <v/>
      </c>
      <c r="AW53" s="25" t="str">
        <f>IF('Residual-RosteredMATRIX-CARER'!AU32=0,"",'Residual-RosteredMATRIX-CARER'!AU32)</f>
        <v/>
      </c>
    </row>
    <row r="54" spans="1:51" ht="15.75" customHeight="1" x14ac:dyDescent="0.25">
      <c r="A54" s="25" t="e">
        <f>'Residual-Rostered'!#REF!</f>
        <v>#REF!</v>
      </c>
      <c r="B54" s="33" t="str">
        <f>'Residual-RosteredMATRIX-CARER'!D16</f>
        <v>Carer</v>
      </c>
      <c r="C54" s="33" t="str">
        <f>'Residual-RosteredMATRIX-CARER'!C16</f>
        <v>Waddell, Melissa</v>
      </c>
      <c r="D54" s="34">
        <f>'Residual-RosteredMATRIX-CARER'!E16</f>
        <v>52</v>
      </c>
      <c r="E54" s="14">
        <f>Max_HRS-Table314[[#This Row],[ROSTERED TIME]]</f>
        <v>24</v>
      </c>
      <c r="F54" s="14">
        <f t="shared" si="6"/>
        <v>0</v>
      </c>
      <c r="G54" s="14">
        <f>Table314[[#This Row],[ROSTERED TIME]]+Table314[[#This Row],[CHANGE TIME]]</f>
        <v>52</v>
      </c>
      <c r="H54" s="25" t="str">
        <f>IF('Residual-RosteredMATRIX-CARER'!F16=0,"",'Residual-RosteredMATRIX-CARER'!F16)</f>
        <v>0/ 0</v>
      </c>
      <c r="I54" s="25" t="str">
        <f>IF('Residual-RosteredMATRIX-CARER'!G16=0,"",'Residual-RosteredMATRIX-CARER'!G16)</f>
        <v>0/ 0</v>
      </c>
      <c r="J54" s="25" t="str">
        <f>IF('Residual-RosteredMATRIX-CARER'!H16=0,"",'Residual-RosteredMATRIX-CARER'!H16)</f>
        <v/>
      </c>
      <c r="K54" s="25" t="str">
        <f>IF('Residual-RosteredMATRIX-CARER'!I16=0,"",'Residual-RosteredMATRIX-CARER'!I16)</f>
        <v/>
      </c>
      <c r="L54" s="25" t="str">
        <f>IF('Residual-RosteredMATRIX-CARER'!J16=0,"",'Residual-RosteredMATRIX-CARER'!J16)</f>
        <v>0/ 0</v>
      </c>
      <c r="M54" s="25" t="str">
        <f>IF('Residual-RosteredMATRIX-CARER'!K16=0,"",'Residual-RosteredMATRIX-CARER'!K16)</f>
        <v/>
      </c>
      <c r="N54" s="25" t="str">
        <f>IF('Residual-RosteredMATRIX-CARER'!L16=0,"",'Residual-RosteredMATRIX-CARER'!L16)</f>
        <v/>
      </c>
      <c r="O54" s="25" t="str">
        <f>IF('Residual-RosteredMATRIX-CARER'!M16=0,"",'Residual-RosteredMATRIX-CARER'!M16)</f>
        <v>0/ 0</v>
      </c>
      <c r="P54" s="25" t="str">
        <f>IF('Residual-RosteredMATRIX-CARER'!N16=0,"",'Residual-RosteredMATRIX-CARER'!N16)</f>
        <v/>
      </c>
      <c r="Q54" s="25" t="str">
        <f>IF('Residual-RosteredMATRIX-CARER'!O16=0,"",'Residual-RosteredMATRIX-CARER'!O16)</f>
        <v>0/ 0</v>
      </c>
      <c r="R54" s="25" t="str">
        <f>IF('Residual-RosteredMATRIX-CARER'!P16=0,"",'Residual-RosteredMATRIX-CARER'!P16)</f>
        <v>0/ 0</v>
      </c>
      <c r="S54" s="25" t="str">
        <f>IF('Residual-RosteredMATRIX-CARER'!Q16=0,"",'Residual-RosteredMATRIX-CARER'!Q16)</f>
        <v/>
      </c>
      <c r="T54" s="25" t="str">
        <f>IF('Residual-RosteredMATRIX-CARER'!R16=0,"",'Residual-RosteredMATRIX-CARER'!R16)</f>
        <v/>
      </c>
      <c r="U54" s="25" t="str">
        <f>IF('Residual-RosteredMATRIX-CARER'!S16=0,"",'Residual-RosteredMATRIX-CARER'!S16)</f>
        <v/>
      </c>
      <c r="V54" s="25" t="str">
        <f>IF('Residual-RosteredMATRIX-CARER'!T16=0,"",'Residual-RosteredMATRIX-CARER'!T16)</f>
        <v/>
      </c>
      <c r="W54" s="25" t="str">
        <f>IF('Residual-RosteredMATRIX-CARER'!U16=0,"",'Residual-RosteredMATRIX-CARER'!U16)</f>
        <v/>
      </c>
      <c r="X54" s="25" t="str">
        <f>IF('Residual-RosteredMATRIX-CARER'!V16=0,"",'Residual-RosteredMATRIX-CARER'!V16)</f>
        <v/>
      </c>
      <c r="Y54" s="25" t="str">
        <f>IF('Residual-RosteredMATRIX-CARER'!W16=0,"",'Residual-RosteredMATRIX-CARER'!W16)</f>
        <v/>
      </c>
      <c r="Z54" s="25" t="str">
        <f>IF('Residual-RosteredMATRIX-CARER'!X16=0,"",'Residual-RosteredMATRIX-CARER'!X16)</f>
        <v/>
      </c>
      <c r="AA54" s="25" t="str">
        <f>IF('Residual-RosteredMATRIX-CARER'!Y16=0,"",'Residual-RosteredMATRIX-CARER'!Y16)</f>
        <v/>
      </c>
      <c r="AB54" s="25" t="str">
        <f>IF('Residual-RosteredMATRIX-CARER'!Z16=0,"",'Residual-RosteredMATRIX-CARER'!Z16)</f>
        <v/>
      </c>
      <c r="AC54" s="25" t="str">
        <f>IF('Residual-RosteredMATRIX-CARER'!AA16=0,"",'Residual-RosteredMATRIX-CARER'!AA16)</f>
        <v>0/ 0</v>
      </c>
      <c r="AD54" s="25" t="str">
        <f>IF('Residual-RosteredMATRIX-CARER'!AB16=0,"",'Residual-RosteredMATRIX-CARER'!AB16)</f>
        <v/>
      </c>
      <c r="AE54" s="25" t="str">
        <f>IF('Residual-RosteredMATRIX-CARER'!AC16=0,"",'Residual-RosteredMATRIX-CARER'!AC16)</f>
        <v/>
      </c>
      <c r="AF54" s="25" t="str">
        <f>IF('Residual-RosteredMATRIX-CARER'!AD16=0,"",'Residual-RosteredMATRIX-CARER'!AD16)</f>
        <v>0/ 0</v>
      </c>
      <c r="AG54" s="25" t="str">
        <f>IF('Residual-RosteredMATRIX-CARER'!AE23=0,"",'Residual-RosteredMATRIX-CARER'!AE23)</f>
        <v>0/ 7.8</v>
      </c>
      <c r="AH54" s="25" t="str">
        <f>IF('Residual-RosteredMATRIX-CARER'!AF16=0,"",'Residual-RosteredMATRIX-CARER'!AF16)</f>
        <v/>
      </c>
      <c r="AI54" s="25" t="str">
        <f>IF('Residual-RosteredMATRIX-CARER'!AG16=0,"",'Residual-RosteredMATRIX-CARER'!AG16)</f>
        <v>0/ 0</v>
      </c>
      <c r="AJ54" s="25" t="str">
        <f>IF('Residual-RosteredMATRIX-CARER'!AH16=0,"",'Residual-RosteredMATRIX-CARER'!AH16)</f>
        <v>0/ 0</v>
      </c>
      <c r="AK54" s="25" t="str">
        <f>IF('Residual-RosteredMATRIX-CARER'!AI16=0,"",'Residual-RosteredMATRIX-CARER'!AI16)</f>
        <v/>
      </c>
      <c r="AL54" s="25" t="str">
        <f>IF('Residual-RosteredMATRIX-CARER'!AJ16=0,"",'Residual-RosteredMATRIX-CARER'!AJ16)</f>
        <v/>
      </c>
      <c r="AM54" s="25" t="str">
        <f>IF('Residual-RosteredMATRIX-CARER'!AK16=0,"",'Residual-RosteredMATRIX-CARER'!AK16)</f>
        <v>0/ 0</v>
      </c>
      <c r="AN54" s="25" t="str">
        <f>IF('Residual-RosteredMATRIX-CARER'!AL16=0,"",'Residual-RosteredMATRIX-CARER'!AL16)</f>
        <v/>
      </c>
      <c r="AO54" s="25" t="str">
        <f>IF('Residual-RosteredMATRIX-CARER'!AM16=0,"",'Residual-RosteredMATRIX-CARER'!AM16)</f>
        <v/>
      </c>
      <c r="AP54" s="25" t="str">
        <f>IF('Residual-RosteredMATRIX-CARER'!AN16=0,"",'Residual-RosteredMATRIX-CARER'!AN16)</f>
        <v/>
      </c>
      <c r="AQ54" s="25" t="str">
        <f>IF('Residual-RosteredMATRIX-CARER'!AO16=0,"",'Residual-RosteredMATRIX-CARER'!AO16)</f>
        <v/>
      </c>
      <c r="AR54" s="25" t="str">
        <f>IF('Residual-RosteredMATRIX-CARER'!AP16=0,"",'Residual-RosteredMATRIX-CARER'!AP16)</f>
        <v/>
      </c>
      <c r="AS54" s="25" t="str">
        <f>IF('Residual-RosteredMATRIX-CARER'!AQ16=0,"",'Residual-RosteredMATRIX-CARER'!AQ16)</f>
        <v/>
      </c>
      <c r="AT54" s="25" t="str">
        <f>IF('Residual-RosteredMATRIX-CARER'!AR16=0,"",'Residual-RosteredMATRIX-CARER'!AR16)</f>
        <v/>
      </c>
      <c r="AU54" s="25" t="str">
        <f>IF('Residual-RosteredMATRIX-CARER'!AS16=0,"",'Residual-RosteredMATRIX-CARER'!AS16)</f>
        <v/>
      </c>
      <c r="AV54" s="25" t="str">
        <f>IF('Residual-RosteredMATRIX-CARER'!AT16=0,"",'Residual-RosteredMATRIX-CARER'!AT16)</f>
        <v/>
      </c>
      <c r="AW54" s="25" t="str">
        <f>IF('Residual-RosteredMATRIX-CARER'!AU16=0,"",'Residual-RosteredMATRIX-CARER'!AU16)</f>
        <v/>
      </c>
    </row>
    <row r="55" spans="1:51" ht="15.75" customHeight="1" x14ac:dyDescent="0.25">
      <c r="A55" s="25" t="e">
        <f>'Residual-Rostered'!#REF!</f>
        <v>#REF!</v>
      </c>
      <c r="B55" s="33" t="str">
        <f>'Residual-RosteredMATRIX-CARER'!D35</f>
        <v>Carer</v>
      </c>
      <c r="C55" s="33" t="str">
        <f>'Residual-RosteredMATRIX-CARER'!C35</f>
        <v>Ludick, Collette</v>
      </c>
      <c r="D55" s="34">
        <f>'Residual-RosteredMATRIX-CARER'!E35</f>
        <v>63</v>
      </c>
      <c r="E55" s="14">
        <f>Max_HRS-Table314[[#This Row],[ROSTERED TIME]]</f>
        <v>13</v>
      </c>
      <c r="F55" s="14">
        <f t="shared" si="6"/>
        <v>2</v>
      </c>
      <c r="G55" s="14">
        <f>Table314[[#This Row],[ROSTERED TIME]]+Table314[[#This Row],[CHANGE TIME]]</f>
        <v>65</v>
      </c>
      <c r="H55" s="25" t="str">
        <f>IF('Residual-RosteredMATRIX-CARER'!F35=0,"",'Residual-RosteredMATRIX-CARER'!F35)</f>
        <v/>
      </c>
      <c r="I55" s="25" t="str">
        <f>IF('Residual-RosteredMATRIX-CARER'!G35=0,"",'Residual-RosteredMATRIX-CARER'!G35)</f>
        <v/>
      </c>
      <c r="J55" s="25" t="str">
        <f>IF('Residual-RosteredMATRIX-CARER'!H35=0,"",'Residual-RosteredMATRIX-CARER'!H35)</f>
        <v/>
      </c>
      <c r="K55" s="25" t="str">
        <f>IF('Residual-RosteredMATRIX-CARER'!I35=0,"",'Residual-RosteredMATRIX-CARER'!I35)</f>
        <v>0.5/ 7.5</v>
      </c>
      <c r="L55" s="25" t="str">
        <f>IF('Residual-RosteredMATRIX-CARER'!J35=0,"",'Residual-RosteredMATRIX-CARER'!J35)</f>
        <v/>
      </c>
      <c r="M55" s="25" t="str">
        <f>IF('Residual-RosteredMATRIX-CARER'!K35=0,"",'Residual-RosteredMATRIX-CARER'!K35)</f>
        <v/>
      </c>
      <c r="N55" s="25" t="str">
        <f>IF('Residual-RosteredMATRIX-CARER'!L35=0,"",'Residual-RosteredMATRIX-CARER'!L35)</f>
        <v>0.5/ 7.5</v>
      </c>
      <c r="O55" s="25" t="str">
        <f>IF('Residual-RosteredMATRIX-CARER'!M35=0,"",'Residual-RosteredMATRIX-CARER'!M35)</f>
        <v/>
      </c>
      <c r="P55" s="25" t="str">
        <f>IF('Residual-RosteredMATRIX-CARER'!N35=0,"",'Residual-RosteredMATRIX-CARER'!N35)</f>
        <v/>
      </c>
      <c r="Q55" s="25" t="str">
        <f>IF('Residual-RosteredMATRIX-CARER'!O35=0,"",'Residual-RosteredMATRIX-CARER'!O35)</f>
        <v>1.9/ 6</v>
      </c>
      <c r="R55" s="25" t="str">
        <f>IF('Residual-RosteredMATRIX-CARER'!P35=0,"",'Residual-RosteredMATRIX-CARER'!P35)</f>
        <v/>
      </c>
      <c r="S55" s="25" t="str">
        <f>IF('Residual-RosteredMATRIX-CARER'!Q35=0,"",'Residual-RosteredMATRIX-CARER'!Q35)</f>
        <v/>
      </c>
      <c r="T55" s="25" t="str">
        <f>IF('Residual-RosteredMATRIX-CARER'!R35=0,"",'Residual-RosteredMATRIX-CARER'!R35)</f>
        <v/>
      </c>
      <c r="U55" s="25" t="str">
        <f>IF('Residual-RosteredMATRIX-CARER'!S35=0,"",'Residual-RosteredMATRIX-CARER'!S35)</f>
        <v/>
      </c>
      <c r="V55" s="25" t="str">
        <f>IF('Residual-RosteredMATRIX-CARER'!T35=0,"",'Residual-RosteredMATRIX-CARER'!T35)</f>
        <v/>
      </c>
      <c r="W55" s="25" t="str">
        <f>IF('Residual-RosteredMATRIX-CARER'!U35=0,"",'Residual-RosteredMATRIX-CARER'!U35)</f>
        <v/>
      </c>
      <c r="X55" s="25" t="str">
        <f>IF('Residual-RosteredMATRIX-CARER'!V35=0,"",'Residual-RosteredMATRIX-CARER'!V35)</f>
        <v/>
      </c>
      <c r="Y55" s="25" t="str">
        <f>IF('Residual-RosteredMATRIX-CARER'!W35=0,"",'Residual-RosteredMATRIX-CARER'!W35)</f>
        <v/>
      </c>
      <c r="Z55" s="25" t="str">
        <f>IF('Residual-RosteredMATRIX-CARER'!X35=0,"",'Residual-RosteredMATRIX-CARER'!X35)</f>
        <v/>
      </c>
      <c r="AA55" s="25" t="str">
        <f>IF('Residual-RosteredMATRIX-CARER'!Y35=0,"",'Residual-RosteredMATRIX-CARER'!Y35)</f>
        <v/>
      </c>
      <c r="AB55" s="25" t="str">
        <f>IF('Residual-RosteredMATRIX-CARER'!Z35=0,"",'Residual-RosteredMATRIX-CARER'!Z35)</f>
        <v/>
      </c>
      <c r="AC55" s="25" t="str">
        <f>IF('Residual-RosteredMATRIX-CARER'!AA35=0,"",'Residual-RosteredMATRIX-CARER'!AA35)</f>
        <v>0/ 7.5</v>
      </c>
      <c r="AD55" s="25" t="str">
        <f>IF('Residual-RosteredMATRIX-CARER'!AB35=0,"",'Residual-RosteredMATRIX-CARER'!AB35)</f>
        <v/>
      </c>
      <c r="AE55" s="25" t="str">
        <f>IF('Residual-RosteredMATRIX-CARER'!AC35=0,"",'Residual-RosteredMATRIX-CARER'!AC35)</f>
        <v/>
      </c>
      <c r="AF55" s="25" t="str">
        <f>IF('Residual-RosteredMATRIX-CARER'!AD35=0,"",'Residual-RosteredMATRIX-CARER'!AD35)</f>
        <v>0.5/ 7.5</v>
      </c>
      <c r="AG55" s="25" t="str">
        <f>IF('Residual-RosteredMATRIX-CARER'!AE24=0,"",'Residual-RosteredMATRIX-CARER'!AE24)</f>
        <v/>
      </c>
      <c r="AH55" s="25" t="str">
        <f>IF('Residual-RosteredMATRIX-CARER'!AF35=0,"",'Residual-RosteredMATRIX-CARER'!AF35)</f>
        <v/>
      </c>
      <c r="AI55" s="25" t="str">
        <f>IF('Residual-RosteredMATRIX-CARER'!AG35=0,"",'Residual-RosteredMATRIX-CARER'!AG35)</f>
        <v>1.9/ 6</v>
      </c>
      <c r="AJ55" s="25" t="str">
        <f>IF('Residual-RosteredMATRIX-CARER'!AH35=0,"",'Residual-RosteredMATRIX-CARER'!AH35)</f>
        <v/>
      </c>
      <c r="AK55" s="25" t="str">
        <f>IF('Residual-RosteredMATRIX-CARER'!AI35=0,"",'Residual-RosteredMATRIX-CARER'!AI35)</f>
        <v/>
      </c>
      <c r="AL55" s="25" t="str">
        <f>IF('Residual-RosteredMATRIX-CARER'!AJ35=0,"",'Residual-RosteredMATRIX-CARER'!AJ35)</f>
        <v>0/ 6</v>
      </c>
      <c r="AM55" s="25">
        <v>2</v>
      </c>
      <c r="AN55" s="25" t="str">
        <f>IF('Residual-RosteredMATRIX-CARER'!AL35=0,"",'Residual-RosteredMATRIX-CARER'!AL35)</f>
        <v/>
      </c>
      <c r="AO55" s="25" t="str">
        <f>IF('Residual-RosteredMATRIX-CARER'!AM35=0,"",'Residual-RosteredMATRIX-CARER'!AM35)</f>
        <v/>
      </c>
      <c r="AP55" s="25" t="str">
        <f>IF('Residual-RosteredMATRIX-CARER'!AN35=0,"",'Residual-RosteredMATRIX-CARER'!AN35)</f>
        <v/>
      </c>
      <c r="AQ55" s="25" t="str">
        <f>IF('Residual-RosteredMATRIX-CARER'!AO35=0,"",'Residual-RosteredMATRIX-CARER'!AO35)</f>
        <v/>
      </c>
      <c r="AR55" s="25" t="str">
        <f>IF('Residual-RosteredMATRIX-CARER'!AP35=0,"",'Residual-RosteredMATRIX-CARER'!AP35)</f>
        <v>0.5/ 7.5</v>
      </c>
      <c r="AS55" s="25" t="str">
        <f>IF('Residual-RosteredMATRIX-CARER'!AQ35=0,"",'Residual-RosteredMATRIX-CARER'!AQ35)</f>
        <v/>
      </c>
      <c r="AT55" s="25" t="str">
        <f>IF('Residual-RosteredMATRIX-CARER'!AR35=0,"",'Residual-RosteredMATRIX-CARER'!AR35)</f>
        <v/>
      </c>
      <c r="AU55" s="25" t="str">
        <f>IF('Residual-RosteredMATRIX-CARER'!AS35=0,"",'Residual-RosteredMATRIX-CARER'!AS35)</f>
        <v>0/ 7.5</v>
      </c>
      <c r="AV55" s="25" t="str">
        <f>IF('Residual-RosteredMATRIX-CARER'!AT35=0,"",'Residual-RosteredMATRIX-CARER'!AT35)</f>
        <v/>
      </c>
      <c r="AW55" s="25" t="str">
        <f>IF('Residual-RosteredMATRIX-CARER'!AU35=0,"",'Residual-RosteredMATRIX-CARER'!AU35)</f>
        <v/>
      </c>
    </row>
    <row r="56" spans="1:51" ht="15.75" customHeight="1" x14ac:dyDescent="0.25">
      <c r="A56" s="25" t="e">
        <f>'Residual-Rostered'!#REF!</f>
        <v>#REF!</v>
      </c>
      <c r="B56" s="33" t="str">
        <f>'Residual-RosteredMATRIX-CARER'!D9</f>
        <v>Carer</v>
      </c>
      <c r="C56" s="33" t="str">
        <f>'Residual-RosteredMATRIX-CARER'!C9</f>
        <v>Banister, Nicole</v>
      </c>
      <c r="D56" s="34">
        <f>'Residual-RosteredMATRIX-CARER'!E9</f>
        <v>72</v>
      </c>
      <c r="E56" s="14">
        <f>Max_HRS-Table314[[#This Row],[ROSTERED TIME]]</f>
        <v>4</v>
      </c>
      <c r="F56" s="14">
        <f t="shared" si="6"/>
        <v>-0.5</v>
      </c>
      <c r="G56" s="14">
        <f>Table314[[#This Row],[ROSTERED TIME]]+Table314[[#This Row],[CHANGE TIME]]</f>
        <v>71.5</v>
      </c>
      <c r="H56" s="25" t="str">
        <f>IF('Residual-RosteredMATRIX-CARER'!F9=0,"",'Residual-RosteredMATRIX-CARER'!F9)</f>
        <v>0/ 7.5</v>
      </c>
      <c r="I56" s="25" t="str">
        <f>IF('Residual-RosteredMATRIX-CARER'!G9=0,"",'Residual-RosteredMATRIX-CARER'!G9)</f>
        <v>0/ 0.5</v>
      </c>
      <c r="J56" s="25" t="str">
        <f>IF('Residual-RosteredMATRIX-CARER'!H9=0,"",'Residual-RosteredMATRIX-CARER'!H9)</f>
        <v/>
      </c>
      <c r="K56" s="25" t="str">
        <f>IF('Residual-RosteredMATRIX-CARER'!I9=0,"",'Residual-RosteredMATRIX-CARER'!I9)</f>
        <v>0/ 7.5</v>
      </c>
      <c r="L56" s="25">
        <v>-0.5</v>
      </c>
      <c r="M56" s="25" t="str">
        <f>IF('Residual-RosteredMATRIX-CARER'!K9=0,"",'Residual-RosteredMATRIX-CARER'!K9)</f>
        <v/>
      </c>
      <c r="N56" s="25" t="str">
        <f>IF('Residual-RosteredMATRIX-CARER'!L9=0,"",'Residual-RosteredMATRIX-CARER'!L9)</f>
        <v/>
      </c>
      <c r="O56" s="25" t="str">
        <f>IF('Residual-RosteredMATRIX-CARER'!M9=0,"",'Residual-RosteredMATRIX-CARER'!M9)</f>
        <v/>
      </c>
      <c r="P56" s="25" t="str">
        <f>IF('Residual-RosteredMATRIX-CARER'!N9=0,"",'Residual-RosteredMATRIX-CARER'!N9)</f>
        <v/>
      </c>
      <c r="Q56" s="25" t="str">
        <f>IF('Residual-RosteredMATRIX-CARER'!O9=0,"",'Residual-RosteredMATRIX-CARER'!O9)</f>
        <v/>
      </c>
      <c r="R56" s="25" t="str">
        <f>IF('Residual-RosteredMATRIX-CARER'!P9=0,"",'Residual-RosteredMATRIX-CARER'!P9)</f>
        <v/>
      </c>
      <c r="S56" s="25" t="str">
        <f>IF('Residual-RosteredMATRIX-CARER'!Q9=0,"",'Residual-RosteredMATRIX-CARER'!Q9)</f>
        <v/>
      </c>
      <c r="T56" s="25" t="str">
        <f>IF('Residual-RosteredMATRIX-CARER'!R9=0,"",'Residual-RosteredMATRIX-CARER'!R9)</f>
        <v>0/ 7.5</v>
      </c>
      <c r="U56" s="25" t="str">
        <f>IF('Residual-RosteredMATRIX-CARER'!S9=0,"",'Residual-RosteredMATRIX-CARER'!S9)</f>
        <v>0/ 0.5</v>
      </c>
      <c r="V56" s="25" t="str">
        <f>IF('Residual-RosteredMATRIX-CARER'!T9=0,"",'Residual-RosteredMATRIX-CARER'!T9)</f>
        <v/>
      </c>
      <c r="W56" s="25" t="str">
        <f>IF('Residual-RosteredMATRIX-CARER'!U9=0,"",'Residual-RosteredMATRIX-CARER'!U9)</f>
        <v>0/ 7.5</v>
      </c>
      <c r="X56" s="25" t="str">
        <f>IF('Residual-RosteredMATRIX-CARER'!V9=0,"",'Residual-RosteredMATRIX-CARER'!V9)</f>
        <v>0/ 0.5</v>
      </c>
      <c r="Y56" s="25" t="str">
        <f>IF('Residual-RosteredMATRIX-CARER'!W9=0,"",'Residual-RosteredMATRIX-CARER'!W9)</f>
        <v/>
      </c>
      <c r="Z56" s="25" t="str">
        <f>IF('Residual-RosteredMATRIX-CARER'!X9=0,"",'Residual-RosteredMATRIX-CARER'!X9)</f>
        <v>0/ 7.5</v>
      </c>
      <c r="AA56" s="25" t="str">
        <f>IF('Residual-RosteredMATRIX-CARER'!Y9=0,"",'Residual-RosteredMATRIX-CARER'!Y9)</f>
        <v>0/ 0.5</v>
      </c>
      <c r="AB56" s="25" t="str">
        <f>IF('Residual-RosteredMATRIX-CARER'!Z9=0,"",'Residual-RosteredMATRIX-CARER'!Z9)</f>
        <v/>
      </c>
      <c r="AC56" s="25" t="str">
        <f>IF('Residual-RosteredMATRIX-CARER'!AA9=0,"",'Residual-RosteredMATRIX-CARER'!AA9)</f>
        <v>0/ 7.5</v>
      </c>
      <c r="AD56" s="25" t="str">
        <f>IF('Residual-RosteredMATRIX-CARER'!AB9=0,"",'Residual-RosteredMATRIX-CARER'!AB9)</f>
        <v>0/ 0.5</v>
      </c>
      <c r="AE56" s="25" t="str">
        <f>IF('Residual-RosteredMATRIX-CARER'!AC9=0,"",'Residual-RosteredMATRIX-CARER'!AC9)</f>
        <v/>
      </c>
      <c r="AF56" s="25" t="str">
        <f>IF('Residual-RosteredMATRIX-CARER'!AD9=0,"",'Residual-RosteredMATRIX-CARER'!AD9)</f>
        <v>0/ 7.5</v>
      </c>
      <c r="AG56" s="25" t="str">
        <f>IF('Residual-RosteredMATRIX-CARER'!AE25=0,"",'Residual-RosteredMATRIX-CARER'!AE25)</f>
        <v>0/ 0.5</v>
      </c>
      <c r="AH56" s="25" t="str">
        <f>IF('Residual-RosteredMATRIX-CARER'!AF9=0,"",'Residual-RosteredMATRIX-CARER'!AF9)</f>
        <v/>
      </c>
      <c r="AI56" s="25" t="str">
        <f>IF('Residual-RosteredMATRIX-CARER'!AG9=0,"",'Residual-RosteredMATRIX-CARER'!AG9)</f>
        <v/>
      </c>
      <c r="AJ56" s="25" t="str">
        <f>IF('Residual-RosteredMATRIX-CARER'!AH9=0,"",'Residual-RosteredMATRIX-CARER'!AH9)</f>
        <v/>
      </c>
      <c r="AK56" s="25" t="str">
        <f>IF('Residual-RosteredMATRIX-CARER'!AI9=0,"",'Residual-RosteredMATRIX-CARER'!AI9)</f>
        <v/>
      </c>
      <c r="AL56" s="25" t="str">
        <f>IF('Residual-RosteredMATRIX-CARER'!AJ9=0,"",'Residual-RosteredMATRIX-CARER'!AJ9)</f>
        <v>0/ 7.5</v>
      </c>
      <c r="AM56" s="25" t="str">
        <f>IF('Residual-RosteredMATRIX-CARER'!AK9=0,"",'Residual-RosteredMATRIX-CARER'!AK9)</f>
        <v>0/ 0.5</v>
      </c>
      <c r="AN56" s="25" t="str">
        <f>IF('Residual-RosteredMATRIX-CARER'!AL9=0,"",'Residual-RosteredMATRIX-CARER'!AL9)</f>
        <v/>
      </c>
      <c r="AO56" s="25" t="str">
        <f>IF('Residual-RosteredMATRIX-CARER'!AM9=0,"",'Residual-RosteredMATRIX-CARER'!AM9)</f>
        <v>0/ 7.5</v>
      </c>
      <c r="AP56" s="25" t="str">
        <f>IF('Residual-RosteredMATRIX-CARER'!AN9=0,"",'Residual-RosteredMATRIX-CARER'!AN9)</f>
        <v>0/ 0.5</v>
      </c>
      <c r="AQ56" s="25" t="str">
        <f>IF('Residual-RosteredMATRIX-CARER'!AO9=0,"",'Residual-RosteredMATRIX-CARER'!AO9)</f>
        <v/>
      </c>
      <c r="AR56" s="25" t="str">
        <f>IF('Residual-RosteredMATRIX-CARER'!AP9=0,"",'Residual-RosteredMATRIX-CARER'!AP9)</f>
        <v/>
      </c>
      <c r="AS56" s="25" t="str">
        <f>IF('Residual-RosteredMATRIX-CARER'!AQ9=0,"",'Residual-RosteredMATRIX-CARER'!AQ9)</f>
        <v/>
      </c>
      <c r="AT56" s="25" t="str">
        <f>IF('Residual-RosteredMATRIX-CARER'!AR9=0,"",'Residual-RosteredMATRIX-CARER'!AR9)</f>
        <v/>
      </c>
      <c r="AU56" s="25" t="str">
        <f>IF('Residual-RosteredMATRIX-CARER'!AS9=0,"",'Residual-RosteredMATRIX-CARER'!AS9)</f>
        <v/>
      </c>
      <c r="AV56" s="25" t="str">
        <f>IF('Residual-RosteredMATRIX-CARER'!AT9=0,"",'Residual-RosteredMATRIX-CARER'!AT9)</f>
        <v/>
      </c>
      <c r="AW56" s="25" t="str">
        <f>IF('Residual-RosteredMATRIX-CARER'!AU9=0,"",'Residual-RosteredMATRIX-CARER'!AU9)</f>
        <v/>
      </c>
    </row>
    <row r="57" spans="1:51" ht="15.75" customHeight="1" x14ac:dyDescent="0.25">
      <c r="A57" s="25" t="e">
        <f>'Residual-Rostered'!#REF!</f>
        <v>#REF!</v>
      </c>
      <c r="B57" s="33" t="str">
        <f>'Residual-RosteredMATRIX-CARER'!D39</f>
        <v>Carer</v>
      </c>
      <c r="C57" s="33" t="str">
        <f>'Residual-RosteredMATRIX-CARER'!C39</f>
        <v>Mathew, Toms</v>
      </c>
      <c r="D57" s="34">
        <f>'Residual-RosteredMATRIX-CARER'!E39</f>
        <v>41.4</v>
      </c>
      <c r="E57" s="14">
        <f>Max_HRS-Table314[[#This Row],[ROSTERED TIME]]</f>
        <v>34.6</v>
      </c>
      <c r="F57" s="14">
        <f t="shared" si="6"/>
        <v>0</v>
      </c>
      <c r="G57" s="14">
        <f>Table314[[#This Row],[ROSTERED TIME]]+Table314[[#This Row],[CHANGE TIME]]</f>
        <v>41.4</v>
      </c>
      <c r="H57" s="25" t="str">
        <f>IF('Residual-RosteredMATRIX-CARER'!F39=0,"",'Residual-RosteredMATRIX-CARER'!F39)</f>
        <v/>
      </c>
      <c r="I57" s="25" t="str">
        <f>IF('Residual-RosteredMATRIX-CARER'!G39=0,"",'Residual-RosteredMATRIX-CARER'!G39)</f>
        <v/>
      </c>
      <c r="J57" s="25" t="str">
        <f>IF('Residual-RosteredMATRIX-CARER'!H39=0,"",'Residual-RosteredMATRIX-CARER'!H39)</f>
        <v/>
      </c>
      <c r="K57" s="25" t="str">
        <f>IF('Residual-RosteredMATRIX-CARER'!I39=0,"",'Residual-RosteredMATRIX-CARER'!I39)</f>
        <v/>
      </c>
      <c r="L57" s="25" t="str">
        <f>IF('Residual-RosteredMATRIX-CARER'!J39=0,"",'Residual-RosteredMATRIX-CARER'!J39)</f>
        <v/>
      </c>
      <c r="M57" s="25" t="str">
        <f>IF('Residual-RosteredMATRIX-CARER'!K39=0,"",'Residual-RosteredMATRIX-CARER'!K39)</f>
        <v/>
      </c>
      <c r="N57" s="25" t="str">
        <f>IF('Residual-RosteredMATRIX-CARER'!L39=0,"",'Residual-RosteredMATRIX-CARER'!L39)</f>
        <v/>
      </c>
      <c r="O57" s="25" t="str">
        <f>IF('Residual-RosteredMATRIX-CARER'!M39=0,"",'Residual-RosteredMATRIX-CARER'!M39)</f>
        <v/>
      </c>
      <c r="P57" s="25" t="str">
        <f>IF('Residual-RosteredMATRIX-CARER'!N39=0,"",'Residual-RosteredMATRIX-CARER'!N39)</f>
        <v/>
      </c>
      <c r="Q57" s="25" t="str">
        <f>IF('Residual-RosteredMATRIX-CARER'!O39=0,"",'Residual-RosteredMATRIX-CARER'!O39)</f>
        <v/>
      </c>
      <c r="R57" s="25" t="str">
        <f>IF('Residual-RosteredMATRIX-CARER'!P39=0,"",'Residual-RosteredMATRIX-CARER'!P39)</f>
        <v/>
      </c>
      <c r="S57" s="25" t="str">
        <f>IF('Residual-RosteredMATRIX-CARER'!Q39=0,"",'Residual-RosteredMATRIX-CARER'!Q39)</f>
        <v/>
      </c>
      <c r="T57" s="25" t="str">
        <f>IF('Residual-RosteredMATRIX-CARER'!R39=0,"",'Residual-RosteredMATRIX-CARER'!R39)</f>
        <v/>
      </c>
      <c r="U57" s="25" t="str">
        <f>IF('Residual-RosteredMATRIX-CARER'!S39=0,"",'Residual-RosteredMATRIX-CARER'!S39)</f>
        <v/>
      </c>
      <c r="V57" s="25" t="str">
        <f>IF('Residual-RosteredMATRIX-CARER'!T39=0,"",'Residual-RosteredMATRIX-CARER'!T39)</f>
        <v>0.7/ 7.3</v>
      </c>
      <c r="W57" s="25" t="str">
        <f>IF('Residual-RosteredMATRIX-CARER'!U39=0,"",'Residual-RosteredMATRIX-CARER'!U39)</f>
        <v>0.5/ 0.2</v>
      </c>
      <c r="X57" s="25" t="str">
        <f>IF('Residual-RosteredMATRIX-CARER'!V39=0,"",'Residual-RosteredMATRIX-CARER'!V39)</f>
        <v/>
      </c>
      <c r="Y57" s="25" t="str">
        <f>IF('Residual-RosteredMATRIX-CARER'!W39=0,"",'Residual-RosteredMATRIX-CARER'!W39)</f>
        <v>0.5/ 7.3</v>
      </c>
      <c r="Z57" s="25" t="str">
        <f>IF('Residual-RosteredMATRIX-CARER'!X39=0,"",'Residual-RosteredMATRIX-CARER'!X39)</f>
        <v>0.5/ 0.2</v>
      </c>
      <c r="AA57" s="25" t="str">
        <f>IF('Residual-RosteredMATRIX-CARER'!Y39=0,"",'Residual-RosteredMATRIX-CARER'!Y39)</f>
        <v/>
      </c>
      <c r="AB57" s="25" t="str">
        <f>IF('Residual-RosteredMATRIX-CARER'!Z39=0,"",'Residual-RosteredMATRIX-CARER'!Z39)</f>
        <v>0.5/ 7.3</v>
      </c>
      <c r="AC57" s="25" t="str">
        <f>IF('Residual-RosteredMATRIX-CARER'!AA39=0,"",'Residual-RosteredMATRIX-CARER'!AA39)</f>
        <v>7.4/ 0.2</v>
      </c>
      <c r="AD57" s="25" t="str">
        <f>IF('Residual-RosteredMATRIX-CARER'!AB39=0,"",'Residual-RosteredMATRIX-CARER'!AB39)</f>
        <v/>
      </c>
      <c r="AE57" s="25" t="str">
        <f>IF('Residual-RosteredMATRIX-CARER'!AC39=0,"",'Residual-RosteredMATRIX-CARER'!AC39)</f>
        <v/>
      </c>
      <c r="AF57" s="25" t="str">
        <f>IF('Residual-RosteredMATRIX-CARER'!AD39=0,"",'Residual-RosteredMATRIX-CARER'!AD39)</f>
        <v/>
      </c>
      <c r="AG57" s="25" t="str">
        <f>IF('Residual-RosteredMATRIX-CARER'!AE26=0,"",'Residual-RosteredMATRIX-CARER'!AE26)</f>
        <v/>
      </c>
      <c r="AH57" s="25" t="str">
        <f>IF('Residual-RosteredMATRIX-CARER'!AF39=0,"",'Residual-RosteredMATRIX-CARER'!AF39)</f>
        <v/>
      </c>
      <c r="AI57" s="25" t="str">
        <f>IF('Residual-RosteredMATRIX-CARER'!AG39=0,"",'Residual-RosteredMATRIX-CARER'!AG39)</f>
        <v/>
      </c>
      <c r="AJ57" s="25" t="str">
        <f>IF('Residual-RosteredMATRIX-CARER'!AH39=0,"",'Residual-RosteredMATRIX-CARER'!AH39)</f>
        <v/>
      </c>
      <c r="AK57" s="25" t="str">
        <f>IF('Residual-RosteredMATRIX-CARER'!AI39=0,"",'Residual-RosteredMATRIX-CARER'!AI39)</f>
        <v/>
      </c>
      <c r="AL57" s="25" t="str">
        <f>IF('Residual-RosteredMATRIX-CARER'!AJ39=0,"",'Residual-RosteredMATRIX-CARER'!AJ39)</f>
        <v/>
      </c>
      <c r="AM57" s="25" t="str">
        <f>IF('Residual-RosteredMATRIX-CARER'!AK39=0,"",'Residual-RosteredMATRIX-CARER'!AK39)</f>
        <v/>
      </c>
      <c r="AN57" s="25" t="str">
        <f>IF('Residual-RosteredMATRIX-CARER'!AL39=0,"",'Residual-RosteredMATRIX-CARER'!AL39)</f>
        <v/>
      </c>
      <c r="AO57" s="25" t="str">
        <f>IF('Residual-RosteredMATRIX-CARER'!AM39=0,"",'Residual-RosteredMATRIX-CARER'!AM39)</f>
        <v/>
      </c>
      <c r="AP57" s="25" t="str">
        <f>IF('Residual-RosteredMATRIX-CARER'!AN39=0,"",'Residual-RosteredMATRIX-CARER'!AN39)</f>
        <v/>
      </c>
      <c r="AQ57" s="25" t="str">
        <f>IF('Residual-RosteredMATRIX-CARER'!AO39=0,"",'Residual-RosteredMATRIX-CARER'!AO39)</f>
        <v>0.7/ 7.3</v>
      </c>
      <c r="AR57" s="25" t="str">
        <f>IF('Residual-RosteredMATRIX-CARER'!AP39=0,"",'Residual-RosteredMATRIX-CARER'!AP39)</f>
        <v>0.5/ 0.2</v>
      </c>
      <c r="AS57" s="25" t="str">
        <f>IF('Residual-RosteredMATRIX-CARER'!AQ39=0,"",'Residual-RosteredMATRIX-CARER'!AQ39)</f>
        <v/>
      </c>
      <c r="AT57" s="25" t="str">
        <f>IF('Residual-RosteredMATRIX-CARER'!AR39=0,"",'Residual-RosteredMATRIX-CARER'!AR39)</f>
        <v>0.5/ 7.3</v>
      </c>
      <c r="AU57" s="25" t="str">
        <f>IF('Residual-RosteredMATRIX-CARER'!AS39=0,"",'Residual-RosteredMATRIX-CARER'!AS39)</f>
        <v>3.7/ 0.2</v>
      </c>
      <c r="AV57" s="25" t="str">
        <f>IF('Residual-RosteredMATRIX-CARER'!AT39=0,"",'Residual-RosteredMATRIX-CARER'!AT39)</f>
        <v/>
      </c>
      <c r="AW57" s="25" t="str">
        <f>IF('Residual-RosteredMATRIX-CARER'!AU39=0,"",'Residual-RosteredMATRIX-CARER'!AU39)</f>
        <v>3.7/ 3.9</v>
      </c>
    </row>
    <row r="58" spans="1:51" ht="15.75" customHeight="1" x14ac:dyDescent="0.25">
      <c r="A58" s="25" t="e">
        <f>'Residual-Rostered'!#REF!</f>
        <v>#REF!</v>
      </c>
      <c r="B58" s="33" t="str">
        <f>'Residual-RosteredMATRIX-CARER'!D5</f>
        <v>Carer</v>
      </c>
      <c r="C58" s="33" t="str">
        <f>'Residual-RosteredMATRIX-CARER'!C5</f>
        <v>McDonald, Margaret</v>
      </c>
      <c r="D58" s="34">
        <f>'Residual-RosteredMATRIX-CARER'!E5</f>
        <v>37.5</v>
      </c>
      <c r="E58" s="14">
        <f>Max_HRS-Table314[[#This Row],[ROSTERED TIME]]</f>
        <v>38.5</v>
      </c>
      <c r="F58" s="14">
        <f t="shared" si="6"/>
        <v>0.3</v>
      </c>
      <c r="G58" s="14">
        <f>Table314[[#This Row],[ROSTERED TIME]]+Table314[[#This Row],[CHANGE TIME]]</f>
        <v>37.799999999999997</v>
      </c>
      <c r="H58" s="25" t="str">
        <f>IF('Residual-RosteredMATRIX-CARER'!F5=0,"",'Residual-RosteredMATRIX-CARER'!F5)</f>
        <v>0.5/ 7.5</v>
      </c>
      <c r="I58" s="25" t="str">
        <f>IF('Residual-RosteredMATRIX-CARER'!G5=0,"",'Residual-RosteredMATRIX-CARER'!G5)</f>
        <v/>
      </c>
      <c r="J58" s="25" t="str">
        <f>IF('Residual-RosteredMATRIX-CARER'!H5=0,"",'Residual-RosteredMATRIX-CARER'!H5)</f>
        <v/>
      </c>
      <c r="K58" s="25" t="str">
        <f>IF('Residual-RosteredMATRIX-CARER'!I5=0,"",'Residual-RosteredMATRIX-CARER'!I5)</f>
        <v/>
      </c>
      <c r="L58" s="25" t="str">
        <f>IF('Residual-RosteredMATRIX-CARER'!J5=0,"",'Residual-RosteredMATRIX-CARER'!J5)</f>
        <v/>
      </c>
      <c r="M58" s="25" t="str">
        <f>IF('Residual-RosteredMATRIX-CARER'!K5=0,"",'Residual-RosteredMATRIX-CARER'!K5)</f>
        <v/>
      </c>
      <c r="N58" s="25" t="str">
        <f>IF('Residual-RosteredMATRIX-CARER'!L5=0,"",'Residual-RosteredMATRIX-CARER'!L5)</f>
        <v/>
      </c>
      <c r="O58" s="25" t="str">
        <f>IF('Residual-RosteredMATRIX-CARER'!M5=0,"",'Residual-RosteredMATRIX-CARER'!M5)</f>
        <v/>
      </c>
      <c r="P58" s="25" t="str">
        <f>IF('Residual-RosteredMATRIX-CARER'!N5=0,"",'Residual-RosteredMATRIX-CARER'!N5)</f>
        <v/>
      </c>
      <c r="Q58" s="25" t="str">
        <f>IF('Residual-RosteredMATRIX-CARER'!O5=0,"",'Residual-RosteredMATRIX-CARER'!O5)</f>
        <v/>
      </c>
      <c r="R58" s="25" t="str">
        <f>IF('Residual-RosteredMATRIX-CARER'!P5=0,"",'Residual-RosteredMATRIX-CARER'!P5)</f>
        <v/>
      </c>
      <c r="S58" s="25" t="str">
        <f>IF('Residual-RosteredMATRIX-CARER'!Q5=0,"",'Residual-RosteredMATRIX-CARER'!Q5)</f>
        <v/>
      </c>
      <c r="T58" s="25" t="str">
        <f>IF('Residual-RosteredMATRIX-CARER'!R5=0,"",'Residual-RosteredMATRIX-CARER'!R5)</f>
        <v>0.5/ 7.5</v>
      </c>
      <c r="U58" s="25" t="str">
        <f>IF('Residual-RosteredMATRIX-CARER'!S5=0,"",'Residual-RosteredMATRIX-CARER'!S5)</f>
        <v/>
      </c>
      <c r="V58" s="25" t="str">
        <f>IF('Residual-RosteredMATRIX-CARER'!T5=0,"",'Residual-RosteredMATRIX-CARER'!T5)</f>
        <v/>
      </c>
      <c r="W58" s="25" t="str">
        <f>IF('Residual-RosteredMATRIX-CARER'!U5=0,"",'Residual-RosteredMATRIX-CARER'!U5)</f>
        <v>0.5/ 7.5</v>
      </c>
      <c r="X58" s="25" t="str">
        <f>IF('Residual-RosteredMATRIX-CARER'!V5=0,"",'Residual-RosteredMATRIX-CARER'!V5)</f>
        <v/>
      </c>
      <c r="Y58" s="25" t="str">
        <f>IF('Residual-RosteredMATRIX-CARER'!W5=0,"",'Residual-RosteredMATRIX-CARER'!W5)</f>
        <v/>
      </c>
      <c r="Z58" s="25" t="str">
        <f>IF('Residual-RosteredMATRIX-CARER'!X5=0,"",'Residual-RosteredMATRIX-CARER'!X5)</f>
        <v>0.5/ 7.5</v>
      </c>
      <c r="AA58" s="25" t="str">
        <f>IF('Residual-RosteredMATRIX-CARER'!Y5=0,"",'Residual-RosteredMATRIX-CARER'!Y5)</f>
        <v/>
      </c>
      <c r="AB58" s="25" t="str">
        <f>IF('Residual-RosteredMATRIX-CARER'!Z5=0,"",'Residual-RosteredMATRIX-CARER'!Z5)</f>
        <v/>
      </c>
      <c r="AC58" s="25" t="str">
        <f>IF('Residual-RosteredMATRIX-CARER'!AA5=0,"",'Residual-RosteredMATRIX-CARER'!AA5)</f>
        <v/>
      </c>
      <c r="AD58" s="25" t="str">
        <f>IF('Residual-RosteredMATRIX-CARER'!AB5=0,"",'Residual-RosteredMATRIX-CARER'!AB5)</f>
        <v/>
      </c>
      <c r="AE58" s="25" t="str">
        <f>IF('Residual-RosteredMATRIX-CARER'!AC5=0,"",'Residual-RosteredMATRIX-CARER'!AC5)</f>
        <v/>
      </c>
      <c r="AF58" s="25" t="str">
        <f>IF('Residual-RosteredMATRIX-CARER'!AD5=0,"",'Residual-RosteredMATRIX-CARER'!AD5)</f>
        <v/>
      </c>
      <c r="AG58" s="25" t="str">
        <f>IF('Residual-RosteredMATRIX-CARER'!AE27=0,"",'Residual-RosteredMATRIX-CARER'!AE27)</f>
        <v/>
      </c>
      <c r="AH58" s="25" t="str">
        <f>IF('Residual-RosteredMATRIX-CARER'!AF5=0,"",'Residual-RosteredMATRIX-CARER'!AF5)</f>
        <v/>
      </c>
      <c r="AI58" s="25" t="str">
        <f>IF('Residual-RosteredMATRIX-CARER'!AG5=0,"",'Residual-RosteredMATRIX-CARER'!AG5)</f>
        <v/>
      </c>
      <c r="AJ58" s="25" t="str">
        <f>IF('Residual-RosteredMATRIX-CARER'!AH5=0,"",'Residual-RosteredMATRIX-CARER'!AH5)</f>
        <v/>
      </c>
      <c r="AK58" s="25" t="str">
        <f>IF('Residual-RosteredMATRIX-CARER'!AI5=0,"",'Residual-RosteredMATRIX-CARER'!AI5)</f>
        <v/>
      </c>
      <c r="AL58" s="25" t="str">
        <f>IF('Residual-RosteredMATRIX-CARER'!AJ5=0,"",'Residual-RosteredMATRIX-CARER'!AJ5)</f>
        <v/>
      </c>
      <c r="AM58" s="25" t="str">
        <f>IF('Residual-RosteredMATRIX-CARER'!AK5=0,"",'Residual-RosteredMATRIX-CARER'!AK5)</f>
        <v/>
      </c>
      <c r="AN58" s="25" t="str">
        <f>IF('Residual-RosteredMATRIX-CARER'!AL5=0,"",'Residual-RosteredMATRIX-CARER'!AL5)</f>
        <v/>
      </c>
      <c r="AO58" s="25">
        <v>0.3</v>
      </c>
      <c r="AP58" s="25" t="str">
        <f>IF('Residual-RosteredMATRIX-CARER'!AN5=0,"",'Residual-RosteredMATRIX-CARER'!AN5)</f>
        <v/>
      </c>
      <c r="AQ58" s="25" t="str">
        <f>IF('Residual-RosteredMATRIX-CARER'!AO5=0,"",'Residual-RosteredMATRIX-CARER'!AO5)</f>
        <v/>
      </c>
      <c r="AR58" s="25" t="str">
        <f>IF('Residual-RosteredMATRIX-CARER'!AP5=0,"",'Residual-RosteredMATRIX-CARER'!AP5)</f>
        <v/>
      </c>
      <c r="AS58" s="25" t="str">
        <f>IF('Residual-RosteredMATRIX-CARER'!AQ5=0,"",'Residual-RosteredMATRIX-CARER'!AQ5)</f>
        <v/>
      </c>
      <c r="AT58" s="25" t="str">
        <f>IF('Residual-RosteredMATRIX-CARER'!AR5=0,"",'Residual-RosteredMATRIX-CARER'!AR5)</f>
        <v/>
      </c>
      <c r="AU58" s="25" t="str">
        <f>IF('Residual-RosteredMATRIX-CARER'!AS5=0,"",'Residual-RosteredMATRIX-CARER'!AS5)</f>
        <v/>
      </c>
      <c r="AV58" s="25" t="str">
        <f>IF('Residual-RosteredMATRIX-CARER'!AT5=0,"",'Residual-RosteredMATRIX-CARER'!AT5)</f>
        <v/>
      </c>
      <c r="AW58" s="25" t="str">
        <f>IF('Residual-RosteredMATRIX-CARER'!AU5=0,"",'Residual-RosteredMATRIX-CARER'!AU5)</f>
        <v/>
      </c>
    </row>
    <row r="59" spans="1:51" ht="15.75" customHeight="1" x14ac:dyDescent="0.25">
      <c r="A59" s="25" t="e">
        <f>'Residual-Rostered'!#REF!</f>
        <v>#REF!</v>
      </c>
      <c r="B59" s="33" t="str">
        <f>'Residual-RosteredMATRIX-CARER'!D7</f>
        <v>Carer</v>
      </c>
      <c r="C59" s="33" t="str">
        <f>'Residual-RosteredMATRIX-CARER'!C7</f>
        <v>Mead, Nadeen</v>
      </c>
      <c r="D59" s="34">
        <f>'Residual-RosteredMATRIX-CARER'!E7</f>
        <v>68.5</v>
      </c>
      <c r="E59" s="14">
        <f>Max_HRS-Table314[[#This Row],[ROSTERED TIME]]</f>
        <v>7.5</v>
      </c>
      <c r="F59" s="14">
        <f t="shared" si="6"/>
        <v>-0.5</v>
      </c>
      <c r="G59" s="14">
        <f>Table314[[#This Row],[ROSTERED TIME]]+Table314[[#This Row],[CHANGE TIME]]</f>
        <v>68</v>
      </c>
      <c r="H59" s="25" t="str">
        <f>IF('Residual-RosteredMATRIX-CARER'!F7=0,"",'Residual-RosteredMATRIX-CARER'!F7)</f>
        <v>0/ 7.5</v>
      </c>
      <c r="I59" s="25" t="str">
        <f>IF('Residual-RosteredMATRIX-CARER'!G7=0,"",'Residual-RosteredMATRIX-CARER'!G7)</f>
        <v/>
      </c>
      <c r="J59" s="25" t="str">
        <f>IF('Residual-RosteredMATRIX-CARER'!H7=0,"",'Residual-RosteredMATRIX-CARER'!H7)</f>
        <v/>
      </c>
      <c r="K59" s="25" t="str">
        <f>IF('Residual-RosteredMATRIX-CARER'!I7=0,"",'Residual-RosteredMATRIX-CARER'!I7)</f>
        <v>0/ 7.5</v>
      </c>
      <c r="L59" s="25" t="str">
        <f>IF('Residual-RosteredMATRIX-CARER'!J7=0,"",'Residual-RosteredMATRIX-CARER'!J7)</f>
        <v/>
      </c>
      <c r="M59" s="25" t="str">
        <f>IF('Residual-RosteredMATRIX-CARER'!K7=0,"",'Residual-RosteredMATRIX-CARER'!K7)</f>
        <v/>
      </c>
      <c r="N59" s="25" t="str">
        <f>IF('Residual-RosteredMATRIX-CARER'!L7=0,"",'Residual-RosteredMATRIX-CARER'!L7)</f>
        <v>0/ 7.5</v>
      </c>
      <c r="O59" s="25">
        <v>-0.5</v>
      </c>
      <c r="P59" s="25" t="str">
        <f>IF('Residual-RosteredMATRIX-CARER'!N7=0,"",'Residual-RosteredMATRIX-CARER'!N7)</f>
        <v/>
      </c>
      <c r="Q59" s="25" t="str">
        <f>IF('Residual-RosteredMATRIX-CARER'!O7=0,"",'Residual-RosteredMATRIX-CARER'!O7)</f>
        <v>0/ 7.5</v>
      </c>
      <c r="R59" s="25" t="str">
        <f>IF('Residual-RosteredMATRIX-CARER'!P7=0,"",'Residual-RosteredMATRIX-CARER'!P7)</f>
        <v>0/ 0.5</v>
      </c>
      <c r="S59" s="25" t="str">
        <f>IF('Residual-RosteredMATRIX-CARER'!Q7=0,"",'Residual-RosteredMATRIX-CARER'!Q7)</f>
        <v/>
      </c>
      <c r="T59" s="25" t="str">
        <f>IF('Residual-RosteredMATRIX-CARER'!R7=0,"",'Residual-RosteredMATRIX-CARER'!R7)</f>
        <v/>
      </c>
      <c r="U59" s="25" t="str">
        <f>IF('Residual-RosteredMATRIX-CARER'!S7=0,"",'Residual-RosteredMATRIX-CARER'!S7)</f>
        <v/>
      </c>
      <c r="V59" s="25" t="str">
        <f>IF('Residual-RosteredMATRIX-CARER'!T7=0,"",'Residual-RosteredMATRIX-CARER'!T7)</f>
        <v/>
      </c>
      <c r="W59" s="25" t="str">
        <f>IF('Residual-RosteredMATRIX-CARER'!U7=0,"",'Residual-RosteredMATRIX-CARER'!U7)</f>
        <v>0/ 7.5</v>
      </c>
      <c r="X59" s="25" t="str">
        <f>IF('Residual-RosteredMATRIX-CARER'!V7=0,"",'Residual-RosteredMATRIX-CARER'!V7)</f>
        <v/>
      </c>
      <c r="Y59" s="25" t="str">
        <f>IF('Residual-RosteredMATRIX-CARER'!W7=0,"",'Residual-RosteredMATRIX-CARER'!W7)</f>
        <v/>
      </c>
      <c r="Z59" s="25" t="str">
        <f>IF('Residual-RosteredMATRIX-CARER'!X7=0,"",'Residual-RosteredMATRIX-CARER'!X7)</f>
        <v>0/ 7.5</v>
      </c>
      <c r="AA59" s="25" t="str">
        <f>IF('Residual-RosteredMATRIX-CARER'!Y7=0,"",'Residual-RosteredMATRIX-CARER'!Y7)</f>
        <v/>
      </c>
      <c r="AB59" s="25" t="str">
        <f>IF('Residual-RosteredMATRIX-CARER'!Z7=0,"",'Residual-RosteredMATRIX-CARER'!Z7)</f>
        <v/>
      </c>
      <c r="AC59" s="25" t="str">
        <f>IF('Residual-RosteredMATRIX-CARER'!AA7=0,"",'Residual-RosteredMATRIX-CARER'!AA7)</f>
        <v>0/ 7.5</v>
      </c>
      <c r="AD59" s="25" t="str">
        <f>IF('Residual-RosteredMATRIX-CARER'!AB7=0,"",'Residual-RosteredMATRIX-CARER'!AB7)</f>
        <v/>
      </c>
      <c r="AE59" s="25" t="str">
        <f>IF('Residual-RosteredMATRIX-CARER'!AC7=0,"",'Residual-RosteredMATRIX-CARER'!AC7)</f>
        <v/>
      </c>
      <c r="AF59" s="25" t="str">
        <f>IF('Residual-RosteredMATRIX-CARER'!AD7=0,"",'Residual-RosteredMATRIX-CARER'!AD7)</f>
        <v>0/ 7.5</v>
      </c>
      <c r="AG59" s="25" t="str">
        <f>IF('Residual-RosteredMATRIX-CARER'!AE28=0,"",'Residual-RosteredMATRIX-CARER'!AE28)</f>
        <v/>
      </c>
      <c r="AH59" s="25" t="str">
        <f>IF('Residual-RosteredMATRIX-CARER'!AF7=0,"",'Residual-RosteredMATRIX-CARER'!AF7)</f>
        <v/>
      </c>
      <c r="AI59" s="25" t="str">
        <f>IF('Residual-RosteredMATRIX-CARER'!AG7=0,"",'Residual-RosteredMATRIX-CARER'!AG7)</f>
        <v>0/ 7.5</v>
      </c>
      <c r="AJ59" s="25" t="str">
        <f>IF('Residual-RosteredMATRIX-CARER'!AH7=0,"",'Residual-RosteredMATRIX-CARER'!AH7)</f>
        <v/>
      </c>
      <c r="AK59" s="25" t="str">
        <f>IF('Residual-RosteredMATRIX-CARER'!AI7=0,"",'Residual-RosteredMATRIX-CARER'!AI7)</f>
        <v/>
      </c>
      <c r="AL59" s="25" t="str">
        <f>IF('Residual-RosteredMATRIX-CARER'!AJ7=0,"",'Residual-RosteredMATRIX-CARER'!AJ7)</f>
        <v/>
      </c>
      <c r="AM59" s="25" t="str">
        <f>IF('Residual-RosteredMATRIX-CARER'!AK7=0,"",'Residual-RosteredMATRIX-CARER'!AK7)</f>
        <v/>
      </c>
      <c r="AN59" s="25" t="str">
        <f>IF('Residual-RosteredMATRIX-CARER'!AL7=0,"",'Residual-RosteredMATRIX-CARER'!AL7)</f>
        <v/>
      </c>
      <c r="AO59" s="25" t="str">
        <f>IF('Residual-RosteredMATRIX-CARER'!AM7=0,"",'Residual-RosteredMATRIX-CARER'!AM7)</f>
        <v/>
      </c>
      <c r="AP59" s="25" t="str">
        <f>IF('Residual-RosteredMATRIX-CARER'!AN7=0,"",'Residual-RosteredMATRIX-CARER'!AN7)</f>
        <v/>
      </c>
      <c r="AQ59" s="25" t="str">
        <f>IF('Residual-RosteredMATRIX-CARER'!AO7=0,"",'Residual-RosteredMATRIX-CARER'!AO7)</f>
        <v/>
      </c>
      <c r="AR59" s="25" t="str">
        <f>IF('Residual-RosteredMATRIX-CARER'!AP7=0,"",'Residual-RosteredMATRIX-CARER'!AP7)</f>
        <v/>
      </c>
      <c r="AS59" s="25" t="str">
        <f>IF('Residual-RosteredMATRIX-CARER'!AQ7=0,"",'Residual-RosteredMATRIX-CARER'!AQ7)</f>
        <v/>
      </c>
      <c r="AT59" s="25" t="str">
        <f>IF('Residual-RosteredMATRIX-CARER'!AR7=0,"",'Residual-RosteredMATRIX-CARER'!AR7)</f>
        <v/>
      </c>
      <c r="AU59" s="25" t="str">
        <f>IF('Residual-RosteredMATRIX-CARER'!AS7=0,"",'Residual-RosteredMATRIX-CARER'!AS7)</f>
        <v/>
      </c>
      <c r="AV59" s="25" t="str">
        <f>IF('Residual-RosteredMATRIX-CARER'!AT7=0,"",'Residual-RosteredMATRIX-CARER'!AT7)</f>
        <v/>
      </c>
      <c r="AW59" s="25" t="str">
        <f>IF('Residual-RosteredMATRIX-CARER'!AU7=0,"",'Residual-RosteredMATRIX-CARER'!AU7)</f>
        <v/>
      </c>
    </row>
    <row r="60" spans="1:51" ht="15.75" customHeight="1" x14ac:dyDescent="0.25">
      <c r="A60" s="25" t="e">
        <f>'Residual-Rostered'!#REF!</f>
        <v>#REF!</v>
      </c>
      <c r="B60" s="33" t="str">
        <f>'Residual-RosteredMATRIX-CARER'!D38</f>
        <v>Carer</v>
      </c>
      <c r="C60" s="33" t="str">
        <f>'Residual-RosteredMATRIX-CARER'!C38</f>
        <v>Morgan, Breanna</v>
      </c>
      <c r="D60" s="34">
        <f>'Residual-RosteredMATRIX-CARER'!E38</f>
        <v>67.5</v>
      </c>
      <c r="E60" s="14">
        <f>Max_HRS-Table314[[#This Row],[ROSTERED TIME]]</f>
        <v>8.5</v>
      </c>
      <c r="F60" s="14">
        <f t="shared" si="6"/>
        <v>0</v>
      </c>
      <c r="G60" s="14">
        <f>Table314[[#This Row],[ROSTERED TIME]]+Table314[[#This Row],[CHANGE TIME]]</f>
        <v>67.5</v>
      </c>
      <c r="H60" s="25" t="str">
        <f>IF('Residual-RosteredMATRIX-CARER'!F38=0,"",'Residual-RosteredMATRIX-CARER'!F38)</f>
        <v/>
      </c>
      <c r="I60" s="25" t="str">
        <f>IF('Residual-RosteredMATRIX-CARER'!G38=0,"",'Residual-RosteredMATRIX-CARER'!G38)</f>
        <v/>
      </c>
      <c r="J60" s="25" t="str">
        <f>IF('Residual-RosteredMATRIX-CARER'!H38=0,"",'Residual-RosteredMATRIX-CARER'!H38)</f>
        <v>0.7/ 7.3</v>
      </c>
      <c r="K60" s="25" t="str">
        <f>IF('Residual-RosteredMATRIX-CARER'!I38=0,"",'Residual-RosteredMATRIX-CARER'!I38)</f>
        <v>0.5/ 0.2</v>
      </c>
      <c r="L60" s="25" t="str">
        <f>IF('Residual-RosteredMATRIX-CARER'!J38=0,"",'Residual-RosteredMATRIX-CARER'!J38)</f>
        <v/>
      </c>
      <c r="M60" s="25" t="str">
        <f>IF('Residual-RosteredMATRIX-CARER'!K38=0,"",'Residual-RosteredMATRIX-CARER'!K38)</f>
        <v>0.5/ 7.3</v>
      </c>
      <c r="N60" s="25" t="str">
        <f>IF('Residual-RosteredMATRIX-CARER'!L38=0,"",'Residual-RosteredMATRIX-CARER'!L38)</f>
        <v>0.5/ 0.2</v>
      </c>
      <c r="O60" s="25" t="str">
        <f>IF('Residual-RosteredMATRIX-CARER'!M38=0,"",'Residual-RosteredMATRIX-CARER'!M38)</f>
        <v/>
      </c>
      <c r="P60" s="25" t="str">
        <f>IF('Residual-RosteredMATRIX-CARER'!N38=0,"",'Residual-RosteredMATRIX-CARER'!N38)</f>
        <v>0.5/ 7.3</v>
      </c>
      <c r="Q60" s="25" t="str">
        <f>IF('Residual-RosteredMATRIX-CARER'!O38=0,"",'Residual-RosteredMATRIX-CARER'!O38)</f>
        <v>2.6/ 0.2</v>
      </c>
      <c r="R60" s="25" t="str">
        <f>IF('Residual-RosteredMATRIX-CARER'!P38=0,"",'Residual-RosteredMATRIX-CARER'!P38)</f>
        <v/>
      </c>
      <c r="S60" s="25" t="str">
        <f>IF('Residual-RosteredMATRIX-CARER'!Q38=0,"",'Residual-RosteredMATRIX-CARER'!Q38)</f>
        <v/>
      </c>
      <c r="T60" s="25" t="str">
        <f>IF('Residual-RosteredMATRIX-CARER'!R38=0,"",'Residual-RosteredMATRIX-CARER'!R38)</f>
        <v/>
      </c>
      <c r="U60" s="25" t="str">
        <f>IF('Residual-RosteredMATRIX-CARER'!S38=0,"",'Residual-RosteredMATRIX-CARER'!S38)</f>
        <v/>
      </c>
      <c r="V60" s="25" t="str">
        <f>IF('Residual-RosteredMATRIX-CARER'!T38=0,"",'Residual-RosteredMATRIX-CARER'!T38)</f>
        <v/>
      </c>
      <c r="W60" s="25" t="str">
        <f>IF('Residual-RosteredMATRIX-CARER'!U38=0,"",'Residual-RosteredMATRIX-CARER'!U38)</f>
        <v/>
      </c>
      <c r="X60" s="25" t="str">
        <f>IF('Residual-RosteredMATRIX-CARER'!V38=0,"",'Residual-RosteredMATRIX-CARER'!V38)</f>
        <v/>
      </c>
      <c r="Y60" s="25" t="str">
        <f>IF('Residual-RosteredMATRIX-CARER'!W38=0,"",'Residual-RosteredMATRIX-CARER'!W38)</f>
        <v>0/ 7.3</v>
      </c>
      <c r="Z60" s="25" t="str">
        <f>IF('Residual-RosteredMATRIX-CARER'!X38=0,"",'Residual-RosteredMATRIX-CARER'!X38)</f>
        <v>0.5/ 0.2</v>
      </c>
      <c r="AA60" s="25" t="str">
        <f>IF('Residual-RosteredMATRIX-CARER'!Y38=0,"",'Residual-RosteredMATRIX-CARER'!Y38)</f>
        <v/>
      </c>
      <c r="AB60" s="25" t="str">
        <f>IF('Residual-RosteredMATRIX-CARER'!Z38=0,"",'Residual-RosteredMATRIX-CARER'!Z38)</f>
        <v>0.5/ 7.3</v>
      </c>
      <c r="AC60" s="25" t="str">
        <f>IF('Residual-RosteredMATRIX-CARER'!AA38=0,"",'Residual-RosteredMATRIX-CARER'!AA38)</f>
        <v>0.5/ 0.2</v>
      </c>
      <c r="AD60" s="25" t="str">
        <f>IF('Residual-RosteredMATRIX-CARER'!AB38=0,"",'Residual-RosteredMATRIX-CARER'!AB38)</f>
        <v/>
      </c>
      <c r="AE60" s="25" t="str">
        <f>IF('Residual-RosteredMATRIX-CARER'!AC38=0,"",'Residual-RosteredMATRIX-CARER'!AC38)</f>
        <v>0.5/ 7.3</v>
      </c>
      <c r="AF60" s="25" t="str">
        <f>IF('Residual-RosteredMATRIX-CARER'!AD38=0,"",'Residual-RosteredMATRIX-CARER'!AD38)</f>
        <v>0/ 0.2</v>
      </c>
      <c r="AG60" s="25" t="str">
        <f>IF('Residual-RosteredMATRIX-CARER'!AE29=0,"",'Residual-RosteredMATRIX-CARER'!AE29)</f>
        <v/>
      </c>
      <c r="AH60" s="25" t="str">
        <f>IF('Residual-RosteredMATRIX-CARER'!AF38=0,"",'Residual-RosteredMATRIX-CARER'!AF38)</f>
        <v>0/ 7.3</v>
      </c>
      <c r="AI60" s="25" t="str">
        <f>IF('Residual-RosteredMATRIX-CARER'!AG38=0,"",'Residual-RosteredMATRIX-CARER'!AG38)</f>
        <v>2.2000000000000002/ 0.2</v>
      </c>
      <c r="AJ60" s="25" t="str">
        <f>IF('Residual-RosteredMATRIX-CARER'!AH38=0,"",'Residual-RosteredMATRIX-CARER'!AH38)</f>
        <v/>
      </c>
      <c r="AK60" s="25" t="str">
        <f>IF('Residual-RosteredMATRIX-CARER'!AI38=0,"",'Residual-RosteredMATRIX-CARER'!AI38)</f>
        <v/>
      </c>
      <c r="AL60" s="25" t="str">
        <f>IF('Residual-RosteredMATRIX-CARER'!AJ38=0,"",'Residual-RosteredMATRIX-CARER'!AJ38)</f>
        <v/>
      </c>
      <c r="AM60" s="25" t="str">
        <f>IF('Residual-RosteredMATRIX-CARER'!AK38=0,"",'Residual-RosteredMATRIX-CARER'!AK38)</f>
        <v/>
      </c>
      <c r="AN60" s="25" t="str">
        <f>IF('Residual-RosteredMATRIX-CARER'!AL38=0,"",'Residual-RosteredMATRIX-CARER'!AL38)</f>
        <v>0.7/ 7.3</v>
      </c>
      <c r="AO60" s="25" t="str">
        <f>IF('Residual-RosteredMATRIX-CARER'!AM38=0,"",'Residual-RosteredMATRIX-CARER'!AM38)</f>
        <v>0/ 0.2</v>
      </c>
      <c r="AP60" s="25" t="str">
        <f>IF('Residual-RosteredMATRIX-CARER'!AN38=0,"",'Residual-RosteredMATRIX-CARER'!AN38)</f>
        <v/>
      </c>
      <c r="AQ60" s="25" t="str">
        <f>IF('Residual-RosteredMATRIX-CARER'!AO38=0,"",'Residual-RosteredMATRIX-CARER'!AO38)</f>
        <v>0/ 7.3</v>
      </c>
      <c r="AR60" s="49" t="str">
        <f>IF('Residual-RosteredMATRIX-CARER'!AP38=0,"",'Residual-RosteredMATRIX-CARER'!AP38)</f>
        <v>2.2000000000000002/ 0.2</v>
      </c>
      <c r="AS60" s="25" t="str">
        <f>IF('Residual-RosteredMATRIX-CARER'!AQ38=0,"",'Residual-RosteredMATRIX-CARER'!AQ38)</f>
        <v/>
      </c>
      <c r="AT60" s="25" t="str">
        <f>IF('Residual-RosteredMATRIX-CARER'!AR38=0,"",'Residual-RosteredMATRIX-CARER'!AR38)</f>
        <v/>
      </c>
      <c r="AU60" s="25" t="str">
        <f>IF('Residual-RosteredMATRIX-CARER'!AS38=0,"",'Residual-RosteredMATRIX-CARER'!AS38)</f>
        <v/>
      </c>
      <c r="AV60" s="25" t="str">
        <f>IF('Residual-RosteredMATRIX-CARER'!AT38=0,"",'Residual-RosteredMATRIX-CARER'!AT38)</f>
        <v/>
      </c>
      <c r="AW60" s="25" t="str">
        <f>IF('Residual-RosteredMATRIX-CARER'!AU38=0,"",'Residual-RosteredMATRIX-CARER'!AU38)</f>
        <v/>
      </c>
      <c r="AY60" s="48"/>
    </row>
    <row r="61" spans="1:51" ht="15.75" customHeight="1" x14ac:dyDescent="0.25">
      <c r="A61" s="25" t="e">
        <f>'Residual-Rostered'!#REF!</f>
        <v>#REF!</v>
      </c>
      <c r="B61" s="33" t="str">
        <f>'Residual-RosteredMATRIX-CARER'!D36</f>
        <v>Carer</v>
      </c>
      <c r="C61" s="33" t="str">
        <f>'Residual-RosteredMATRIX-CARER'!C36</f>
        <v>Nandeeni, Muni</v>
      </c>
      <c r="D61" s="34">
        <f>'Residual-RosteredMATRIX-CARER'!E36</f>
        <v>80</v>
      </c>
      <c r="E61" s="14">
        <f>Max_HRS-Table314[[#This Row],[ROSTERED TIME]]</f>
        <v>-4</v>
      </c>
      <c r="F61" s="14">
        <f t="shared" si="6"/>
        <v>0</v>
      </c>
      <c r="G61" s="14">
        <f>Table314[[#This Row],[ROSTERED TIME]]+Table314[[#This Row],[CHANGE TIME]]</f>
        <v>80</v>
      </c>
      <c r="H61" s="25" t="str">
        <f>IF('Residual-RosteredMATRIX-CARER'!F36=0,"",'Residual-RosteredMATRIX-CARER'!F36)</f>
        <v/>
      </c>
      <c r="I61" s="25" t="str">
        <f>IF('Residual-RosteredMATRIX-CARER'!G36=0,"",'Residual-RosteredMATRIX-CARER'!G36)</f>
        <v>0/ 7.8</v>
      </c>
      <c r="J61" s="25" t="str">
        <f>IF('Residual-RosteredMATRIX-CARER'!H36=0,"",'Residual-RosteredMATRIX-CARER'!H36)</f>
        <v>0/ 0.2</v>
      </c>
      <c r="K61" s="25" t="str">
        <f>IF('Residual-RosteredMATRIX-CARER'!I36=0,"",'Residual-RosteredMATRIX-CARER'!I36)</f>
        <v/>
      </c>
      <c r="L61" s="25" t="str">
        <f>IF('Residual-RosteredMATRIX-CARER'!J36=0,"",'Residual-RosteredMATRIX-CARER'!J36)</f>
        <v>0/ 7.8</v>
      </c>
      <c r="M61" s="25" t="str">
        <f>IF('Residual-RosteredMATRIX-CARER'!K36=0,"",'Residual-RosteredMATRIX-CARER'!K36)</f>
        <v>0/ 0.2</v>
      </c>
      <c r="N61" s="25" t="str">
        <f>IF('Residual-RosteredMATRIX-CARER'!L36=0,"",'Residual-RosteredMATRIX-CARER'!L36)</f>
        <v/>
      </c>
      <c r="O61" s="25" t="str">
        <f>IF('Residual-RosteredMATRIX-CARER'!M36=0,"",'Residual-RosteredMATRIX-CARER'!M36)</f>
        <v>0/ 7.8</v>
      </c>
      <c r="P61" s="25" t="str">
        <f>IF('Residual-RosteredMATRIX-CARER'!N36=0,"",'Residual-RosteredMATRIX-CARER'!N36)</f>
        <v>0/ 0.2</v>
      </c>
      <c r="Q61" s="25" t="str">
        <f>IF('Residual-RosteredMATRIX-CARER'!O36=0,"",'Residual-RosteredMATRIX-CARER'!O36)</f>
        <v/>
      </c>
      <c r="R61" s="25" t="str">
        <f>IF('Residual-RosteredMATRIX-CARER'!P36=0,"",'Residual-RosteredMATRIX-CARER'!P36)</f>
        <v>0/ 7.8</v>
      </c>
      <c r="S61" s="25" t="str">
        <f>IF('Residual-RosteredMATRIX-CARER'!Q36=0,"",'Residual-RosteredMATRIX-CARER'!Q36)</f>
        <v>0/ 0.2</v>
      </c>
      <c r="T61" s="25" t="str">
        <f>IF('Residual-RosteredMATRIX-CARER'!R36=0,"",'Residual-RosteredMATRIX-CARER'!R36)</f>
        <v/>
      </c>
      <c r="U61" s="25" t="str">
        <f>IF('Residual-RosteredMATRIX-CARER'!S36=0,"",'Residual-RosteredMATRIX-CARER'!S36)</f>
        <v>0/ 7.8</v>
      </c>
      <c r="V61" s="25" t="str">
        <f>IF('Residual-RosteredMATRIX-CARER'!T36=0,"",'Residual-RosteredMATRIX-CARER'!T36)</f>
        <v>0/ 0.2</v>
      </c>
      <c r="W61" s="25" t="str">
        <f>IF('Residual-RosteredMATRIX-CARER'!U36=0,"",'Residual-RosteredMATRIX-CARER'!U36)</f>
        <v/>
      </c>
      <c r="X61" s="25" t="str">
        <f>IF('Residual-RosteredMATRIX-CARER'!V36=0,"",'Residual-RosteredMATRIX-CARER'!V36)</f>
        <v/>
      </c>
      <c r="Y61" s="25" t="str">
        <f>IF('Residual-RosteredMATRIX-CARER'!W36=0,"",'Residual-RosteredMATRIX-CARER'!W36)</f>
        <v/>
      </c>
      <c r="Z61" s="25" t="str">
        <f>IF('Residual-RosteredMATRIX-CARER'!X36=0,"",'Residual-RosteredMATRIX-CARER'!X36)</f>
        <v/>
      </c>
      <c r="AA61" s="25" t="str">
        <f>IF('Residual-RosteredMATRIX-CARER'!Y36=0,"",'Residual-RosteredMATRIX-CARER'!Y36)</f>
        <v>0/ 7.8</v>
      </c>
      <c r="AB61" s="25" t="str">
        <f>IF('Residual-RosteredMATRIX-CARER'!Z36=0,"",'Residual-RosteredMATRIX-CARER'!Z36)</f>
        <v>0/ 0.2</v>
      </c>
      <c r="AC61" s="25" t="str">
        <f>IF('Residual-RosteredMATRIX-CARER'!AA36=0,"",'Residual-RosteredMATRIX-CARER'!AA36)</f>
        <v/>
      </c>
      <c r="AD61" s="25" t="str">
        <f>IF('Residual-RosteredMATRIX-CARER'!AB36=0,"",'Residual-RosteredMATRIX-CARER'!AB36)</f>
        <v>0/ 7.8</v>
      </c>
      <c r="AE61" s="25" t="str">
        <f>IF('Residual-RosteredMATRIX-CARER'!AC36=0,"",'Residual-RosteredMATRIX-CARER'!AC36)</f>
        <v>0/ 0.2</v>
      </c>
      <c r="AF61" s="25" t="str">
        <f>IF('Residual-RosteredMATRIX-CARER'!AD36=0,"",'Residual-RosteredMATRIX-CARER'!AD36)</f>
        <v/>
      </c>
      <c r="AG61" s="25" t="str">
        <f>IF('Residual-RosteredMATRIX-CARER'!AE30=0,"",'Residual-RosteredMATRIX-CARER'!AE30)</f>
        <v/>
      </c>
      <c r="AH61" s="25" t="str">
        <f>IF('Residual-RosteredMATRIX-CARER'!AF36=0,"",'Residual-RosteredMATRIX-CARER'!AF36)</f>
        <v>0/ 0.2</v>
      </c>
      <c r="AI61" s="25" t="str">
        <f>IF('Residual-RosteredMATRIX-CARER'!AG36=0,"",'Residual-RosteredMATRIX-CARER'!AG36)</f>
        <v/>
      </c>
      <c r="AJ61" s="25" t="str">
        <f>IF('Residual-RosteredMATRIX-CARER'!AH36=0,"",'Residual-RosteredMATRIX-CARER'!AH36)</f>
        <v/>
      </c>
      <c r="AK61" s="25" t="str">
        <f>IF('Residual-RosteredMATRIX-CARER'!AI36=0,"",'Residual-RosteredMATRIX-CARER'!AI36)</f>
        <v/>
      </c>
      <c r="AL61" s="25" t="str">
        <f>IF('Residual-RosteredMATRIX-CARER'!AJ36=0,"",'Residual-RosteredMATRIX-CARER'!AJ36)</f>
        <v/>
      </c>
      <c r="AM61" s="25" t="str">
        <f>IF('Residual-RosteredMATRIX-CARER'!AK36=0,"",'Residual-RosteredMATRIX-CARER'!AK36)</f>
        <v/>
      </c>
      <c r="AN61" s="25" t="str">
        <f>IF('Residual-RosteredMATRIX-CARER'!AL36=0,"",'Residual-RosteredMATRIX-CARER'!AL36)</f>
        <v/>
      </c>
      <c r="AO61" s="25" t="str">
        <f>IF('Residual-RosteredMATRIX-CARER'!AM36=0,"",'Residual-RosteredMATRIX-CARER'!AM36)</f>
        <v/>
      </c>
      <c r="AP61" s="25" t="str">
        <f>IF('Residual-RosteredMATRIX-CARER'!AN36=0,"",'Residual-RosteredMATRIX-CARER'!AN36)</f>
        <v/>
      </c>
      <c r="AQ61" s="25" t="str">
        <f>IF('Residual-RosteredMATRIX-CARER'!AO36=0,"",'Residual-RosteredMATRIX-CARER'!AO36)</f>
        <v/>
      </c>
      <c r="AR61" s="25" t="str">
        <f>IF('Residual-RosteredMATRIX-CARER'!AP36=0,"",'Residual-RosteredMATRIX-CARER'!AP36)</f>
        <v/>
      </c>
      <c r="AS61" s="25" t="str">
        <f>IF('Residual-RosteredMATRIX-CARER'!AQ36=0,"",'Residual-RosteredMATRIX-CARER'!AQ36)</f>
        <v>0/ 7.8</v>
      </c>
      <c r="AT61" s="25" t="str">
        <f>IF('Residual-RosteredMATRIX-CARER'!AR36=0,"",'Residual-RosteredMATRIX-CARER'!AR36)</f>
        <v>0/ 0.2</v>
      </c>
      <c r="AU61" s="25" t="str">
        <f>IF('Residual-RosteredMATRIX-CARER'!AS36=0,"",'Residual-RosteredMATRIX-CARER'!AS36)</f>
        <v/>
      </c>
      <c r="AV61" s="25" t="str">
        <f>IF('Residual-RosteredMATRIX-CARER'!AT36=0,"",'Residual-RosteredMATRIX-CARER'!AT36)</f>
        <v>0/ 7.8</v>
      </c>
      <c r="AW61" s="25" t="str">
        <f>IF('Residual-RosteredMATRIX-CARER'!AU36=0,"",'Residual-RosteredMATRIX-CARER'!AU36)</f>
        <v>0/ 0.2</v>
      </c>
    </row>
    <row r="62" spans="1:51" ht="15.75" customHeight="1" x14ac:dyDescent="0.25">
      <c r="A62" s="25" t="e">
        <f>'Residual-Rostered'!#REF!</f>
        <v>#REF!</v>
      </c>
      <c r="B62" s="33" t="str">
        <f>'Residual-RosteredMATRIX-CARER'!D20</f>
        <v>Carer</v>
      </c>
      <c r="C62" s="33" t="str">
        <f>'Residual-RosteredMATRIX-CARER'!C20</f>
        <v>OH, In Song</v>
      </c>
      <c r="D62" s="34">
        <f>'Residual-RosteredMATRIX-CARER'!E20</f>
        <v>60</v>
      </c>
      <c r="E62" s="14">
        <f>Max_HRS-Table314[[#This Row],[ROSTERED TIME]]</f>
        <v>16</v>
      </c>
      <c r="F62" s="14">
        <f t="shared" si="6"/>
        <v>0</v>
      </c>
      <c r="G62" s="14">
        <f>Table314[[#This Row],[ROSTERED TIME]]+Table314[[#This Row],[CHANGE TIME]]</f>
        <v>60</v>
      </c>
      <c r="H62" s="25" t="str">
        <f>IF('Residual-RosteredMATRIX-CARER'!F20=0,"",'Residual-RosteredMATRIX-CARER'!F20)</f>
        <v>0.5/ 7.5</v>
      </c>
      <c r="I62" s="25" t="str">
        <f>IF('Residual-RosteredMATRIX-CARER'!G20=0,"",'Residual-RosteredMATRIX-CARER'!G20)</f>
        <v/>
      </c>
      <c r="J62" s="25" t="str">
        <f>IF('Residual-RosteredMATRIX-CARER'!H20=0,"",'Residual-RosteredMATRIX-CARER'!H20)</f>
        <v/>
      </c>
      <c r="K62" s="25" t="str">
        <f>IF('Residual-RosteredMATRIX-CARER'!I20=0,"",'Residual-RosteredMATRIX-CARER'!I20)</f>
        <v>0.5/ 7.5</v>
      </c>
      <c r="L62" s="25" t="str">
        <f>IF('Residual-RosteredMATRIX-CARER'!J20=0,"",'Residual-RosteredMATRIX-CARER'!J20)</f>
        <v/>
      </c>
      <c r="M62" s="25" t="str">
        <f>IF('Residual-RosteredMATRIX-CARER'!K20=0,"",'Residual-RosteredMATRIX-CARER'!K20)</f>
        <v/>
      </c>
      <c r="N62" s="25" t="str">
        <f>IF('Residual-RosteredMATRIX-CARER'!L20=0,"",'Residual-RosteredMATRIX-CARER'!L20)</f>
        <v/>
      </c>
      <c r="O62" s="25" t="str">
        <f>IF('Residual-RosteredMATRIX-CARER'!M20=0,"",'Residual-RosteredMATRIX-CARER'!M20)</f>
        <v/>
      </c>
      <c r="P62" s="25" t="str">
        <f>IF('Residual-RosteredMATRIX-CARER'!N20=0,"",'Residual-RosteredMATRIX-CARER'!N20)</f>
        <v/>
      </c>
      <c r="Q62" s="25" t="str">
        <f>IF('Residual-RosteredMATRIX-CARER'!O20=0,"",'Residual-RosteredMATRIX-CARER'!O20)</f>
        <v/>
      </c>
      <c r="R62" s="25" t="str">
        <f>IF('Residual-RosteredMATRIX-CARER'!P20=0,"",'Residual-RosteredMATRIX-CARER'!P20)</f>
        <v/>
      </c>
      <c r="S62" s="25" t="str">
        <f>IF('Residual-RosteredMATRIX-CARER'!Q20=0,"",'Residual-RosteredMATRIX-CARER'!Q20)</f>
        <v/>
      </c>
      <c r="T62" s="25" t="str">
        <f>IF('Residual-RosteredMATRIX-CARER'!R20=0,"",'Residual-RosteredMATRIX-CARER'!R20)</f>
        <v>0.5/ 7.5</v>
      </c>
      <c r="U62" s="25" t="str">
        <f>IF('Residual-RosteredMATRIX-CARER'!S20=0,"",'Residual-RosteredMATRIX-CARER'!S20)</f>
        <v/>
      </c>
      <c r="V62" s="25" t="str">
        <f>IF('Residual-RosteredMATRIX-CARER'!T20=0,"",'Residual-RosteredMATRIX-CARER'!T20)</f>
        <v/>
      </c>
      <c r="W62" s="25" t="str">
        <f>IF('Residual-RosteredMATRIX-CARER'!U20=0,"",'Residual-RosteredMATRIX-CARER'!U20)</f>
        <v>0.5/ 7.5</v>
      </c>
      <c r="X62" s="25" t="str">
        <f>IF('Residual-RosteredMATRIX-CARER'!V20=0,"",'Residual-RosteredMATRIX-CARER'!V20)</f>
        <v/>
      </c>
      <c r="Y62" s="25" t="str">
        <f>IF('Residual-RosteredMATRIX-CARER'!W20=0,"",'Residual-RosteredMATRIX-CARER'!W20)</f>
        <v/>
      </c>
      <c r="Z62" s="25" t="str">
        <f>IF('Residual-RosteredMATRIX-CARER'!X20=0,"",'Residual-RosteredMATRIX-CARER'!X20)</f>
        <v/>
      </c>
      <c r="AA62" s="25" t="str">
        <f>IF('Residual-RosteredMATRIX-CARER'!Y20=0,"",'Residual-RosteredMATRIX-CARER'!Y20)</f>
        <v/>
      </c>
      <c r="AB62" s="25" t="str">
        <f>IF('Residual-RosteredMATRIX-CARER'!Z20=0,"",'Residual-RosteredMATRIX-CARER'!Z20)</f>
        <v/>
      </c>
      <c r="AC62" s="25" t="str">
        <f>IF('Residual-RosteredMATRIX-CARER'!AA20=0,"",'Residual-RosteredMATRIX-CARER'!AA20)</f>
        <v>0.5/ 7.5</v>
      </c>
      <c r="AD62" s="25" t="str">
        <f>IF('Residual-RosteredMATRIX-CARER'!AB20=0,"",'Residual-RosteredMATRIX-CARER'!AB20)</f>
        <v/>
      </c>
      <c r="AE62" s="25" t="str">
        <f>IF('Residual-RosteredMATRIX-CARER'!AC20=0,"",'Residual-RosteredMATRIX-CARER'!AC20)</f>
        <v/>
      </c>
      <c r="AF62" s="25" t="str">
        <f>IF('Residual-RosteredMATRIX-CARER'!AD20=0,"",'Residual-RosteredMATRIX-CARER'!AD20)</f>
        <v>0.5/ 7.5</v>
      </c>
      <c r="AG62" s="25" t="str">
        <f>IF('Residual-RosteredMATRIX-CARER'!AE31=0,"",'Residual-RosteredMATRIX-CARER'!AE31)</f>
        <v/>
      </c>
      <c r="AH62" s="25" t="str">
        <f>IF('Residual-RosteredMATRIX-CARER'!AF20=0,"",'Residual-RosteredMATRIX-CARER'!AF20)</f>
        <v/>
      </c>
      <c r="AI62" s="25" t="str">
        <f>IF('Residual-RosteredMATRIX-CARER'!AG20=0,"",'Residual-RosteredMATRIX-CARER'!AG20)</f>
        <v>0.5/ 7.5</v>
      </c>
      <c r="AJ62" s="25" t="str">
        <f>IF('Residual-RosteredMATRIX-CARER'!AH20=0,"",'Residual-RosteredMATRIX-CARER'!AH20)</f>
        <v/>
      </c>
      <c r="AK62" s="25" t="str">
        <f>IF('Residual-RosteredMATRIX-CARER'!AI20=0,"",'Residual-RosteredMATRIX-CARER'!AI20)</f>
        <v/>
      </c>
      <c r="AL62" s="25" t="str">
        <f>IF('Residual-RosteredMATRIX-CARER'!AJ20=0,"",'Residual-RosteredMATRIX-CARER'!AJ20)</f>
        <v/>
      </c>
      <c r="AM62" s="25" t="str">
        <f>IF('Residual-RosteredMATRIX-CARER'!AK20=0,"",'Residual-RosteredMATRIX-CARER'!AK20)</f>
        <v/>
      </c>
      <c r="AN62" s="25" t="str">
        <f>IF('Residual-RosteredMATRIX-CARER'!AL20=0,"",'Residual-RosteredMATRIX-CARER'!AL20)</f>
        <v/>
      </c>
      <c r="AO62" s="25" t="str">
        <f>IF('Residual-RosteredMATRIX-CARER'!AM20=0,"",'Residual-RosteredMATRIX-CARER'!AM20)</f>
        <v/>
      </c>
      <c r="AP62" s="25" t="str">
        <f>IF('Residual-RosteredMATRIX-CARER'!AN20=0,"",'Residual-RosteredMATRIX-CARER'!AN20)</f>
        <v/>
      </c>
      <c r="AQ62" s="25" t="str">
        <f>IF('Residual-RosteredMATRIX-CARER'!AO20=0,"",'Residual-RosteredMATRIX-CARER'!AO20)</f>
        <v/>
      </c>
      <c r="AR62" s="25" t="str">
        <f>IF('Residual-RosteredMATRIX-CARER'!AP20=0,"",'Residual-RosteredMATRIX-CARER'!AP20)</f>
        <v>0.5/ 7.5</v>
      </c>
      <c r="AS62" s="25" t="str">
        <f>IF('Residual-RosteredMATRIX-CARER'!AQ20=0,"",'Residual-RosteredMATRIX-CARER'!AQ20)</f>
        <v/>
      </c>
      <c r="AT62" s="25" t="str">
        <f>IF('Residual-RosteredMATRIX-CARER'!AR20=0,"",'Residual-RosteredMATRIX-CARER'!AR20)</f>
        <v/>
      </c>
      <c r="AU62" s="25" t="str">
        <f>IF('Residual-RosteredMATRIX-CARER'!AS20=0,"",'Residual-RosteredMATRIX-CARER'!AS20)</f>
        <v/>
      </c>
      <c r="AV62" s="25" t="str">
        <f>IF('Residual-RosteredMATRIX-CARER'!AT20=0,"",'Residual-RosteredMATRIX-CARER'!AT20)</f>
        <v/>
      </c>
      <c r="AW62" s="25" t="str">
        <f>IF('Residual-RosteredMATRIX-CARER'!AU20=0,"",'Residual-RosteredMATRIX-CARER'!AU20)</f>
        <v/>
      </c>
    </row>
    <row r="63" spans="1:51" ht="15.75" customHeight="1" x14ac:dyDescent="0.25">
      <c r="A63" s="25" t="e">
        <f>'Residual-Rostered'!#REF!</f>
        <v>#REF!</v>
      </c>
      <c r="B63" s="33" t="str">
        <f>'Residual-RosteredMATRIX-CARER'!D45</f>
        <v>Carer</v>
      </c>
      <c r="C63" s="33" t="str">
        <f>'Residual-RosteredMATRIX-CARER'!C45</f>
        <v>Paudel, Madu</v>
      </c>
      <c r="D63" s="34">
        <f>'Residual-RosteredMATRIX-CARER'!E45</f>
        <v>32</v>
      </c>
      <c r="E63" s="14">
        <f>Max_HRS-Table314[[#This Row],[ROSTERED TIME]]</f>
        <v>44</v>
      </c>
      <c r="F63" s="14">
        <f t="shared" si="6"/>
        <v>0</v>
      </c>
      <c r="G63" s="14">
        <f>Table314[[#This Row],[ROSTERED TIME]]+Table314[[#This Row],[CHANGE TIME]]</f>
        <v>32</v>
      </c>
      <c r="H63" s="25" t="str">
        <f>IF('Residual-RosteredMATRIX-CARER'!F45=0,"",'Residual-RosteredMATRIX-CARER'!F45)</f>
        <v/>
      </c>
      <c r="I63" s="25" t="str">
        <f>IF('Residual-RosteredMATRIX-CARER'!G45=0,"",'Residual-RosteredMATRIX-CARER'!G45)</f>
        <v/>
      </c>
      <c r="J63" s="25" t="str">
        <f>IF('Residual-RosteredMATRIX-CARER'!H45=0,"",'Residual-RosteredMATRIX-CARER'!H45)</f>
        <v/>
      </c>
      <c r="K63" s="25" t="str">
        <f>IF('Residual-RosteredMATRIX-CARER'!I45=0,"",'Residual-RosteredMATRIX-CARER'!I45)</f>
        <v/>
      </c>
      <c r="L63" s="25" t="str">
        <f>IF('Residual-RosteredMATRIX-CARER'!J45=0,"",'Residual-RosteredMATRIX-CARER'!J45)</f>
        <v/>
      </c>
      <c r="M63" s="25" t="str">
        <f>IF('Residual-RosteredMATRIX-CARER'!K45=0,"",'Residual-RosteredMATRIX-CARER'!K45)</f>
        <v/>
      </c>
      <c r="N63" s="25" t="str">
        <f>IF('Residual-RosteredMATRIX-CARER'!L45=0,"",'Residual-RosteredMATRIX-CARER'!L45)</f>
        <v/>
      </c>
      <c r="O63" s="25" t="str">
        <f>IF('Residual-RosteredMATRIX-CARER'!M45=0,"",'Residual-RosteredMATRIX-CARER'!M45)</f>
        <v/>
      </c>
      <c r="P63" s="25" t="str">
        <f>IF('Residual-RosteredMATRIX-CARER'!N45=0,"",'Residual-RosteredMATRIX-CARER'!N45)</f>
        <v/>
      </c>
      <c r="Q63" s="25" t="str">
        <f>IF('Residual-RosteredMATRIX-CARER'!O45=0,"",'Residual-RosteredMATRIX-CARER'!O45)</f>
        <v/>
      </c>
      <c r="R63" s="25" t="str">
        <f>IF('Residual-RosteredMATRIX-CARER'!P45=0,"",'Residual-RosteredMATRIX-CARER'!P45)</f>
        <v/>
      </c>
      <c r="S63" s="25" t="str">
        <f>IF('Residual-RosteredMATRIX-CARER'!Q45=0,"",'Residual-RosteredMATRIX-CARER'!Q45)</f>
        <v/>
      </c>
      <c r="T63" s="25" t="str">
        <f>IF('Residual-RosteredMATRIX-CARER'!R45=0,"",'Residual-RosteredMATRIX-CARER'!R45)</f>
        <v/>
      </c>
      <c r="U63" s="25" t="str">
        <f>IF('Residual-RosteredMATRIX-CARER'!S45=0,"",'Residual-RosteredMATRIX-CARER'!S45)</f>
        <v/>
      </c>
      <c r="V63" s="25" t="str">
        <f>IF('Residual-RosteredMATRIX-CARER'!T45=0,"",'Residual-RosteredMATRIX-CARER'!T45)</f>
        <v/>
      </c>
      <c r="W63" s="25" t="str">
        <f>IF('Residual-RosteredMATRIX-CARER'!U45=0,"",'Residual-RosteredMATRIX-CARER'!U45)</f>
        <v/>
      </c>
      <c r="X63" s="25" t="str">
        <f>IF('Residual-RosteredMATRIX-CARER'!V45=0,"",'Residual-RosteredMATRIX-CARER'!V45)</f>
        <v>0/ 7.8</v>
      </c>
      <c r="Y63" s="25" t="str">
        <f>IF('Residual-RosteredMATRIX-CARER'!W45=0,"",'Residual-RosteredMATRIX-CARER'!W45)</f>
        <v>0/ 0.2</v>
      </c>
      <c r="Z63" s="25" t="str">
        <f>IF('Residual-RosteredMATRIX-CARER'!X45=0,"",'Residual-RosteredMATRIX-CARER'!X45)</f>
        <v/>
      </c>
      <c r="AA63" s="25" t="str">
        <f>IF('Residual-RosteredMATRIX-CARER'!Y45=0,"",'Residual-RosteredMATRIX-CARER'!Y45)</f>
        <v>0/ 7.8</v>
      </c>
      <c r="AB63" s="25" t="str">
        <f>IF('Residual-RosteredMATRIX-CARER'!Z45=0,"",'Residual-RosteredMATRIX-CARER'!Z45)</f>
        <v>0/ 0.2</v>
      </c>
      <c r="AC63" s="25" t="str">
        <f>IF('Residual-RosteredMATRIX-CARER'!AA45=0,"",'Residual-RosteredMATRIX-CARER'!AA45)</f>
        <v/>
      </c>
      <c r="AD63" s="25" t="str">
        <f>IF('Residual-RosteredMATRIX-CARER'!AB45=0,"",'Residual-RosteredMATRIX-CARER'!AB45)</f>
        <v/>
      </c>
      <c r="AE63" s="25" t="str">
        <f>IF('Residual-RosteredMATRIX-CARER'!AC45=0,"",'Residual-RosteredMATRIX-CARER'!AC45)</f>
        <v/>
      </c>
      <c r="AF63" s="25" t="str">
        <f>IF('Residual-RosteredMATRIX-CARER'!AD45=0,"",'Residual-RosteredMATRIX-CARER'!AD45)</f>
        <v/>
      </c>
      <c r="AG63" s="25" t="str">
        <f>IF('Residual-RosteredMATRIX-CARER'!AE32=0,"",'Residual-RosteredMATRIX-CARER'!AE32)</f>
        <v/>
      </c>
      <c r="AH63" s="25" t="str">
        <f>IF('Residual-RosteredMATRIX-CARER'!AF45=0,"",'Residual-RosteredMATRIX-CARER'!AF45)</f>
        <v/>
      </c>
      <c r="AI63" s="25" t="str">
        <f>IF('Residual-RosteredMATRIX-CARER'!AG45=0,"",'Residual-RosteredMATRIX-CARER'!AG45)</f>
        <v/>
      </c>
      <c r="AJ63" s="25" t="str">
        <f>IF('Residual-RosteredMATRIX-CARER'!AH45=0,"",'Residual-RosteredMATRIX-CARER'!AH45)</f>
        <v/>
      </c>
      <c r="AK63" s="25" t="str">
        <f>IF('Residual-RosteredMATRIX-CARER'!AI45=0,"",'Residual-RosteredMATRIX-CARER'!AI45)</f>
        <v/>
      </c>
      <c r="AL63" s="25" t="str">
        <f>IF('Residual-RosteredMATRIX-CARER'!AJ45=0,"",'Residual-RosteredMATRIX-CARER'!AJ45)</f>
        <v/>
      </c>
      <c r="AM63" s="25" t="str">
        <f>IF('Residual-RosteredMATRIX-CARER'!AK45=0,"",'Residual-RosteredMATRIX-CARER'!AK45)</f>
        <v/>
      </c>
      <c r="AN63" s="25" t="str">
        <f>IF('Residual-RosteredMATRIX-CARER'!AL45=0,"",'Residual-RosteredMATRIX-CARER'!AL45)</f>
        <v/>
      </c>
      <c r="AO63" s="25" t="str">
        <f>IF('Residual-RosteredMATRIX-CARER'!AM45=0,"",'Residual-RosteredMATRIX-CARER'!AM45)</f>
        <v/>
      </c>
      <c r="AP63" s="25" t="str">
        <f>IF('Residual-RosteredMATRIX-CARER'!AN45=0,"",'Residual-RosteredMATRIX-CARER'!AN45)</f>
        <v/>
      </c>
      <c r="AQ63" s="25" t="str">
        <f>IF('Residual-RosteredMATRIX-CARER'!AO45=0,"",'Residual-RosteredMATRIX-CARER'!AO45)</f>
        <v/>
      </c>
      <c r="AR63" s="25" t="str">
        <f>IF('Residual-RosteredMATRIX-CARER'!AP45=0,"",'Residual-RosteredMATRIX-CARER'!AP45)</f>
        <v>0/ 7.5</v>
      </c>
      <c r="AS63" s="25" t="str">
        <f>IF('Residual-RosteredMATRIX-CARER'!AQ45=0,"",'Residual-RosteredMATRIX-CARER'!AQ45)</f>
        <v>0/ 0.5</v>
      </c>
      <c r="AT63" s="25" t="str">
        <f>IF('Residual-RosteredMATRIX-CARER'!AR45=0,"",'Residual-RosteredMATRIX-CARER'!AR45)</f>
        <v/>
      </c>
      <c r="AU63" s="25" t="str">
        <f>IF('Residual-RosteredMATRIX-CARER'!AS45=0,"",'Residual-RosteredMATRIX-CARER'!AS45)</f>
        <v>0/ 7.5</v>
      </c>
      <c r="AV63" s="25" t="str">
        <f>IF('Residual-RosteredMATRIX-CARER'!AT45=0,"",'Residual-RosteredMATRIX-CARER'!AT45)</f>
        <v>0/ 0.5</v>
      </c>
      <c r="AW63" s="25" t="str">
        <f>IF('Residual-RosteredMATRIX-CARER'!AU45=0,"",'Residual-RosteredMATRIX-CARER'!AU45)</f>
        <v/>
      </c>
    </row>
    <row r="64" spans="1:51" ht="15.75" customHeight="1" x14ac:dyDescent="0.25">
      <c r="A64" s="25" t="e">
        <f>'Residual-Rostered'!#REF!</f>
        <v>#REF!</v>
      </c>
      <c r="B64" s="33" t="str">
        <f>'Residual-RosteredMATRIX-CARER'!D41</f>
        <v>Carer</v>
      </c>
      <c r="C64" s="33" t="str">
        <f>'Residual-RosteredMATRIX-CARER'!C41</f>
        <v>Pearson, Glenn</v>
      </c>
      <c r="D64" s="34">
        <f>'Residual-RosteredMATRIX-CARER'!E41</f>
        <v>30</v>
      </c>
      <c r="E64" s="14">
        <f>Max_HRS-Table314[[#This Row],[ROSTERED TIME]]</f>
        <v>46</v>
      </c>
      <c r="F64" s="14">
        <f t="shared" si="6"/>
        <v>0</v>
      </c>
      <c r="G64" s="14">
        <f>Table314[[#This Row],[ROSTERED TIME]]+Table314[[#This Row],[CHANGE TIME]]</f>
        <v>30</v>
      </c>
      <c r="H64" s="25" t="str">
        <f>IF('Residual-RosteredMATRIX-CARER'!F41=0,"",'Residual-RosteredMATRIX-CARER'!F41)</f>
        <v/>
      </c>
      <c r="I64" s="25" t="str">
        <f>IF('Residual-RosteredMATRIX-CARER'!G41=0,"",'Residual-RosteredMATRIX-CARER'!G41)</f>
        <v/>
      </c>
      <c r="J64" s="25" t="str">
        <f>IF('Residual-RosteredMATRIX-CARER'!H41=0,"",'Residual-RosteredMATRIX-CARER'!H41)</f>
        <v>0.7/ 7.3</v>
      </c>
      <c r="K64" s="25" t="str">
        <f>IF('Residual-RosteredMATRIX-CARER'!I41=0,"",'Residual-RosteredMATRIX-CARER'!I41)</f>
        <v>0.5/ 0.2</v>
      </c>
      <c r="L64" s="25" t="str">
        <f>IF('Residual-RosteredMATRIX-CARER'!J41=0,"",'Residual-RosteredMATRIX-CARER'!J41)</f>
        <v/>
      </c>
      <c r="M64" s="25" t="str">
        <f>IF('Residual-RosteredMATRIX-CARER'!K41=0,"",'Residual-RosteredMATRIX-CARER'!K41)</f>
        <v>0.5/ 7.3</v>
      </c>
      <c r="N64" s="25" t="str">
        <f>IF('Residual-RosteredMATRIX-CARER'!L41=0,"",'Residual-RosteredMATRIX-CARER'!L41)</f>
        <v>7.4/ 0.2</v>
      </c>
      <c r="O64" s="25" t="str">
        <f>IF('Residual-RosteredMATRIX-CARER'!M41=0,"",'Residual-RosteredMATRIX-CARER'!M41)</f>
        <v/>
      </c>
      <c r="P64" s="25" t="str">
        <f>IF('Residual-RosteredMATRIX-CARER'!N41=0,"",'Residual-RosteredMATRIX-CARER'!N41)</f>
        <v/>
      </c>
      <c r="Q64" s="25" t="str">
        <f>IF('Residual-RosteredMATRIX-CARER'!O41=0,"",'Residual-RosteredMATRIX-CARER'!O41)</f>
        <v/>
      </c>
      <c r="R64" s="25" t="str">
        <f>IF('Residual-RosteredMATRIX-CARER'!P41=0,"",'Residual-RosteredMATRIX-CARER'!P41)</f>
        <v/>
      </c>
      <c r="S64" s="25" t="str">
        <f>IF('Residual-RosteredMATRIX-CARER'!Q41=0,"",'Residual-RosteredMATRIX-CARER'!Q41)</f>
        <v/>
      </c>
      <c r="T64" s="25" t="str">
        <f>IF('Residual-RosteredMATRIX-CARER'!R41=0,"",'Residual-RosteredMATRIX-CARER'!R41)</f>
        <v/>
      </c>
      <c r="U64" s="25" t="str">
        <f>IF('Residual-RosteredMATRIX-CARER'!S41=0,"",'Residual-RosteredMATRIX-CARER'!S41)</f>
        <v/>
      </c>
      <c r="V64" s="25" t="str">
        <f>IF('Residual-RosteredMATRIX-CARER'!T41=0,"",'Residual-RosteredMATRIX-CARER'!T41)</f>
        <v/>
      </c>
      <c r="W64" s="25" t="str">
        <f>IF('Residual-RosteredMATRIX-CARER'!U41=0,"",'Residual-RosteredMATRIX-CARER'!U41)</f>
        <v/>
      </c>
      <c r="X64" s="25" t="str">
        <f>IF('Residual-RosteredMATRIX-CARER'!V41=0,"",'Residual-RosteredMATRIX-CARER'!V41)</f>
        <v/>
      </c>
      <c r="Y64" s="25" t="str">
        <f>IF('Residual-RosteredMATRIX-CARER'!W41=0,"",'Residual-RosteredMATRIX-CARER'!W41)</f>
        <v/>
      </c>
      <c r="Z64" s="25" t="str">
        <f>IF('Residual-RosteredMATRIX-CARER'!X41=0,"",'Residual-RosteredMATRIX-CARER'!X41)</f>
        <v/>
      </c>
      <c r="AA64" s="25" t="str">
        <f>IF('Residual-RosteredMATRIX-CARER'!Y41=0,"",'Residual-RosteredMATRIX-CARER'!Y41)</f>
        <v/>
      </c>
      <c r="AB64" s="25" t="str">
        <f>IF('Residual-RosteredMATRIX-CARER'!Z41=0,"",'Residual-RosteredMATRIX-CARER'!Z41)</f>
        <v/>
      </c>
      <c r="AC64" s="25" t="str">
        <f>IF('Residual-RosteredMATRIX-CARER'!AA41=0,"",'Residual-RosteredMATRIX-CARER'!AA41)</f>
        <v/>
      </c>
      <c r="AD64" s="25" t="str">
        <f>IF('Residual-RosteredMATRIX-CARER'!AB41=0,"",'Residual-RosteredMATRIX-CARER'!AB41)</f>
        <v/>
      </c>
      <c r="AE64" s="25" t="str">
        <f>IF('Residual-RosteredMATRIX-CARER'!AC41=0,"",'Residual-RosteredMATRIX-CARER'!AC41)</f>
        <v>0.7/ 7.3</v>
      </c>
      <c r="AF64" s="25" t="str">
        <f>IF('Residual-RosteredMATRIX-CARER'!AD41=0,"",'Residual-RosteredMATRIX-CARER'!AD41)</f>
        <v>0.5/ 0.2</v>
      </c>
      <c r="AG64" s="25" t="str">
        <f>IF('Residual-RosteredMATRIX-CARER'!AE33=0,"",'Residual-RosteredMATRIX-CARER'!AE33)</f>
        <v/>
      </c>
      <c r="AH64" s="25" t="str">
        <f>IF('Residual-RosteredMATRIX-CARER'!AF41=0,"",'Residual-RosteredMATRIX-CARER'!AF41)</f>
        <v>0.5/ 7.3</v>
      </c>
      <c r="AI64" s="25" t="str">
        <f>IF('Residual-RosteredMATRIX-CARER'!AG41=0,"",'Residual-RosteredMATRIX-CARER'!AG41)</f>
        <v>7.4/ 0.2</v>
      </c>
      <c r="AJ64" s="25" t="str">
        <f>IF('Residual-RosteredMATRIX-CARER'!AH41=0,"",'Residual-RosteredMATRIX-CARER'!AH41)</f>
        <v/>
      </c>
      <c r="AK64" s="25" t="str">
        <f>IF('Residual-RosteredMATRIX-CARER'!AI41=0,"",'Residual-RosteredMATRIX-CARER'!AI41)</f>
        <v/>
      </c>
      <c r="AL64" s="25" t="str">
        <f>IF('Residual-RosteredMATRIX-CARER'!AJ41=0,"",'Residual-RosteredMATRIX-CARER'!AJ41)</f>
        <v/>
      </c>
      <c r="AM64" s="25" t="str">
        <f>IF('Residual-RosteredMATRIX-CARER'!AK41=0,"",'Residual-RosteredMATRIX-CARER'!AK41)</f>
        <v/>
      </c>
      <c r="AN64" s="25" t="str">
        <f>IF('Residual-RosteredMATRIX-CARER'!AL41=0,"",'Residual-RosteredMATRIX-CARER'!AL41)</f>
        <v/>
      </c>
      <c r="AO64" s="25" t="str">
        <f>IF('Residual-RosteredMATRIX-CARER'!AM41=0,"",'Residual-RosteredMATRIX-CARER'!AM41)</f>
        <v/>
      </c>
      <c r="AP64" s="25" t="str">
        <f>IF('Residual-RosteredMATRIX-CARER'!AN41=0,"",'Residual-RosteredMATRIX-CARER'!AN41)</f>
        <v/>
      </c>
      <c r="AQ64" s="25" t="str">
        <f>IF('Residual-RosteredMATRIX-CARER'!AO41=0,"",'Residual-RosteredMATRIX-CARER'!AO41)</f>
        <v/>
      </c>
      <c r="AR64" s="25" t="str">
        <f>IF('Residual-RosteredMATRIX-CARER'!AP41=0,"",'Residual-RosteredMATRIX-CARER'!AP41)</f>
        <v/>
      </c>
      <c r="AS64" s="25" t="str">
        <f>IF('Residual-RosteredMATRIX-CARER'!AQ41=0,"",'Residual-RosteredMATRIX-CARER'!AQ41)</f>
        <v/>
      </c>
      <c r="AT64" s="25" t="str">
        <f>IF('Residual-RosteredMATRIX-CARER'!AR41=0,"",'Residual-RosteredMATRIX-CARER'!AR41)</f>
        <v/>
      </c>
      <c r="AU64" s="25" t="str">
        <f>IF('Residual-RosteredMATRIX-CARER'!AS41=0,"",'Residual-RosteredMATRIX-CARER'!AS41)</f>
        <v/>
      </c>
      <c r="AV64" s="25" t="str">
        <f>IF('Residual-RosteredMATRIX-CARER'!AT41=0,"",'Residual-RosteredMATRIX-CARER'!AT41)</f>
        <v/>
      </c>
      <c r="AW64" s="25" t="str">
        <f>IF('Residual-RosteredMATRIX-CARER'!AU41=0,"",'Residual-RosteredMATRIX-CARER'!AU41)</f>
        <v/>
      </c>
    </row>
    <row r="65" spans="1:49" ht="15.75" customHeight="1" x14ac:dyDescent="0.25">
      <c r="A65" s="25" t="e">
        <f>'Residual-Rostered'!#REF!</f>
        <v>#REF!</v>
      </c>
      <c r="B65" s="33" t="str">
        <f>'Residual-RosteredMATRIX-CARER'!D34</f>
        <v>Carer</v>
      </c>
      <c r="C65" s="33" t="str">
        <f>'Residual-RosteredMATRIX-CARER'!C34</f>
        <v>Krishna, Sharda</v>
      </c>
      <c r="D65" s="34">
        <f>'Residual-RosteredMATRIX-CARER'!E34</f>
        <v>71.5</v>
      </c>
      <c r="E65" s="14">
        <f>Max_HRS-Table314[[#This Row],[ROSTERED TIME]]</f>
        <v>4.5</v>
      </c>
      <c r="F65" s="14">
        <f t="shared" si="6"/>
        <v>0</v>
      </c>
      <c r="G65" s="14">
        <f>Table314[[#This Row],[ROSTERED TIME]]+Table314[[#This Row],[CHANGE TIME]]</f>
        <v>71.5</v>
      </c>
      <c r="H65" s="25" t="str">
        <f>IF('Residual-RosteredMATRIX-CARER'!F34=0,"",'Residual-RosteredMATRIX-CARER'!F34)</f>
        <v/>
      </c>
      <c r="I65" s="25" t="str">
        <f>IF('Residual-RosteredMATRIX-CARER'!G34=0,"",'Residual-RosteredMATRIX-CARER'!G34)</f>
        <v/>
      </c>
      <c r="J65" s="25" t="str">
        <f>IF('Residual-RosteredMATRIX-CARER'!H34=0,"",'Residual-RosteredMATRIX-CARER'!H34)</f>
        <v/>
      </c>
      <c r="K65" s="25" t="str">
        <f>IF('Residual-RosteredMATRIX-CARER'!I34=0,"",'Residual-RosteredMATRIX-CARER'!I34)</f>
        <v/>
      </c>
      <c r="L65" s="25" t="str">
        <f>IF('Residual-RosteredMATRIX-CARER'!J34=0,"",'Residual-RosteredMATRIX-CARER'!J34)</f>
        <v/>
      </c>
      <c r="M65" s="25" t="str">
        <f>IF('Residual-RosteredMATRIX-CARER'!K34=0,"",'Residual-RosteredMATRIX-CARER'!K34)</f>
        <v/>
      </c>
      <c r="N65" s="25" t="str">
        <f>IF('Residual-RosteredMATRIX-CARER'!L34=0,"",'Residual-RosteredMATRIX-CARER'!L34)</f>
        <v/>
      </c>
      <c r="O65" s="25" t="str">
        <f>IF('Residual-RosteredMATRIX-CARER'!M34=0,"",'Residual-RosteredMATRIX-CARER'!M34)</f>
        <v/>
      </c>
      <c r="P65" s="25" t="str">
        <f>IF('Residual-RosteredMATRIX-CARER'!N34=0,"",'Residual-RosteredMATRIX-CARER'!N34)</f>
        <v/>
      </c>
      <c r="Q65" s="25" t="str">
        <f>IF('Residual-RosteredMATRIX-CARER'!O34=0,"",'Residual-RosteredMATRIX-CARER'!O34)</f>
        <v>0.5/ 7.5</v>
      </c>
      <c r="R65" s="25" t="str">
        <f>IF('Residual-RosteredMATRIX-CARER'!P34=0,"",'Residual-RosteredMATRIX-CARER'!P34)</f>
        <v/>
      </c>
      <c r="S65" s="25" t="str">
        <f>IF('Residual-RosteredMATRIX-CARER'!Q34=0,"",'Residual-RosteredMATRIX-CARER'!Q34)</f>
        <v/>
      </c>
      <c r="T65" s="25" t="str">
        <f>IF('Residual-RosteredMATRIX-CARER'!R34=0,"",'Residual-RosteredMATRIX-CARER'!R34)</f>
        <v>0/ 7.5</v>
      </c>
      <c r="U65" s="25" t="str">
        <f>IF('Residual-RosteredMATRIX-CARER'!S34=0,"",'Residual-RosteredMATRIX-CARER'!S34)</f>
        <v>0/ 0.5</v>
      </c>
      <c r="V65" s="25" t="str">
        <f>IF('Residual-RosteredMATRIX-CARER'!T34=0,"",'Residual-RosteredMATRIX-CARER'!T34)</f>
        <v/>
      </c>
      <c r="W65" s="25" t="str">
        <f>IF('Residual-RosteredMATRIX-CARER'!U34=0,"",'Residual-RosteredMATRIX-CARER'!U34)</f>
        <v>0/ 7.5</v>
      </c>
      <c r="X65" s="25" t="str">
        <f>IF('Residual-RosteredMATRIX-CARER'!V34=0,"",'Residual-RosteredMATRIX-CARER'!V34)</f>
        <v>0/ 0.5</v>
      </c>
      <c r="Y65" s="25" t="str">
        <f>IF('Residual-RosteredMATRIX-CARER'!W34=0,"",'Residual-RosteredMATRIX-CARER'!W34)</f>
        <v/>
      </c>
      <c r="Z65" s="25" t="str">
        <f>IF('Residual-RosteredMATRIX-CARER'!X34=0,"",'Residual-RosteredMATRIX-CARER'!X34)</f>
        <v>0/ 7.5</v>
      </c>
      <c r="AA65" s="25" t="str">
        <f>IF('Residual-RosteredMATRIX-CARER'!Y34=0,"",'Residual-RosteredMATRIX-CARER'!Y34)</f>
        <v>0/ 0.5</v>
      </c>
      <c r="AB65" s="25" t="str">
        <f>IF('Residual-RosteredMATRIX-CARER'!Z34=0,"",'Residual-RosteredMATRIX-CARER'!Z34)</f>
        <v/>
      </c>
      <c r="AC65" s="25" t="str">
        <f>IF('Residual-RosteredMATRIX-CARER'!AA34=0,"",'Residual-RosteredMATRIX-CARER'!AA34)</f>
        <v/>
      </c>
      <c r="AD65" s="25" t="str">
        <f>IF('Residual-RosteredMATRIX-CARER'!AB34=0,"",'Residual-RosteredMATRIX-CARER'!AB34)</f>
        <v/>
      </c>
      <c r="AE65" s="25" t="str">
        <f>IF('Residual-RosteredMATRIX-CARER'!AC34=0,"",'Residual-RosteredMATRIX-CARER'!AC34)</f>
        <v/>
      </c>
      <c r="AF65" s="25" t="str">
        <f>IF('Residual-RosteredMATRIX-CARER'!AD34=0,"",'Residual-RosteredMATRIX-CARER'!AD34)</f>
        <v/>
      </c>
      <c r="AG65" s="25" t="str">
        <f>IF('Residual-RosteredMATRIX-CARER'!AE34=0,"",'Residual-RosteredMATRIX-CARER'!AE34)</f>
        <v/>
      </c>
      <c r="AH65" s="25" t="str">
        <f>IF('Residual-RosteredMATRIX-CARER'!AF34=0,"",'Residual-RosteredMATRIX-CARER'!AF34)</f>
        <v/>
      </c>
      <c r="AI65" s="25" t="str">
        <f>IF('Residual-RosteredMATRIX-CARER'!AG34=0,"",'Residual-RosteredMATRIX-CARER'!AG34)</f>
        <v>0/ 7.5</v>
      </c>
      <c r="AJ65" s="25" t="str">
        <f>IF('Residual-RosteredMATRIX-CARER'!AH34=0,"",'Residual-RosteredMATRIX-CARER'!AH34)</f>
        <v>0/ 0.5</v>
      </c>
      <c r="AK65" s="25" t="str">
        <f>IF('Residual-RosteredMATRIX-CARER'!AI34=0,"",'Residual-RosteredMATRIX-CARER'!AI34)</f>
        <v/>
      </c>
      <c r="AL65" s="25" t="str">
        <f>IF('Residual-RosteredMATRIX-CARER'!AJ34=0,"",'Residual-RosteredMATRIX-CARER'!AJ34)</f>
        <v>0/ 7.5</v>
      </c>
      <c r="AM65" s="25" t="str">
        <f>IF('Residual-RosteredMATRIX-CARER'!AK34=0,"",'Residual-RosteredMATRIX-CARER'!AK34)</f>
        <v>0/ 0.5</v>
      </c>
      <c r="AN65" s="25" t="str">
        <f>IF('Residual-RosteredMATRIX-CARER'!AL34=0,"",'Residual-RosteredMATRIX-CARER'!AL34)</f>
        <v/>
      </c>
      <c r="AO65" s="25" t="str">
        <f>IF('Residual-RosteredMATRIX-CARER'!AM34=0,"",'Residual-RosteredMATRIX-CARER'!AM34)</f>
        <v>0/ 7.5</v>
      </c>
      <c r="AP65" s="25" t="str">
        <f>IF('Residual-RosteredMATRIX-CARER'!AN34=0,"",'Residual-RosteredMATRIX-CARER'!AN34)</f>
        <v>0/ 0.5</v>
      </c>
      <c r="AQ65" s="25" t="str">
        <f>IF('Residual-RosteredMATRIX-CARER'!AO34=0,"",'Residual-RosteredMATRIX-CARER'!AO34)</f>
        <v/>
      </c>
      <c r="AR65" s="25" t="str">
        <f>IF('Residual-RosteredMATRIX-CARER'!AP34=0,"",'Residual-RosteredMATRIX-CARER'!AP34)</f>
        <v>0/ 7.5</v>
      </c>
      <c r="AS65" s="25" t="str">
        <f>IF('Residual-RosteredMATRIX-CARER'!AQ34=0,"",'Residual-RosteredMATRIX-CARER'!AQ34)</f>
        <v>0/ 0.5</v>
      </c>
      <c r="AT65" s="25" t="str">
        <f>IF('Residual-RosteredMATRIX-CARER'!AR34=0,"",'Residual-RosteredMATRIX-CARER'!AR34)</f>
        <v/>
      </c>
      <c r="AU65" s="25" t="str">
        <f>IF('Residual-RosteredMATRIX-CARER'!AS34=0,"",'Residual-RosteredMATRIX-CARER'!AS34)</f>
        <v>0/ 7.5</v>
      </c>
      <c r="AV65" s="25" t="str">
        <f>IF('Residual-RosteredMATRIX-CARER'!AT34=0,"",'Residual-RosteredMATRIX-CARER'!AT34)</f>
        <v>0/ 0.5</v>
      </c>
      <c r="AW65" s="25" t="str">
        <f>IF('Residual-RosteredMATRIX-CARER'!AU34=0,"",'Residual-RosteredMATRIX-CARER'!AU34)</f>
        <v/>
      </c>
    </row>
    <row r="66" spans="1:49" ht="15.75" customHeight="1" x14ac:dyDescent="0.25">
      <c r="A66" s="25" t="e">
        <f>'Residual-Rostered'!#REF!</f>
        <v>#REF!</v>
      </c>
      <c r="B66" s="33" t="str">
        <f>'Residual-RosteredMATRIX-CARER'!D22</f>
        <v>Carer</v>
      </c>
      <c r="C66" s="33" t="str">
        <f>'Residual-RosteredMATRIX-CARER'!C22</f>
        <v>Randall, Jessica</v>
      </c>
      <c r="D66" s="34">
        <f>'Residual-RosteredMATRIX-CARER'!E22</f>
        <v>43.5</v>
      </c>
      <c r="E66" s="14">
        <f>Max_HRS-Table314[[#This Row],[ROSTERED TIME]]</f>
        <v>32.5</v>
      </c>
      <c r="F66" s="14">
        <f t="shared" si="6"/>
        <v>0.5</v>
      </c>
      <c r="G66" s="14">
        <f>Table314[[#This Row],[ROSTERED TIME]]+Table314[[#This Row],[CHANGE TIME]]</f>
        <v>44</v>
      </c>
      <c r="H66" s="25" t="str">
        <f>IF('Residual-RosteredMATRIX-CARER'!F22=0,"",'Residual-RosteredMATRIX-CARER'!F22)</f>
        <v>0.5/ 7.5</v>
      </c>
      <c r="I66" s="25" t="str">
        <f>IF('Residual-RosteredMATRIX-CARER'!G22=0,"",'Residual-RosteredMATRIX-CARER'!G22)</f>
        <v/>
      </c>
      <c r="J66" s="25" t="str">
        <f>IF('Residual-RosteredMATRIX-CARER'!H22=0,"",'Residual-RosteredMATRIX-CARER'!H22)</f>
        <v/>
      </c>
      <c r="K66" s="25" t="str">
        <f>IF('Residual-RosteredMATRIX-CARER'!I22=0,"",'Residual-RosteredMATRIX-CARER'!I22)</f>
        <v>0.5/ 7.5</v>
      </c>
      <c r="L66" s="25" t="str">
        <f>IF('Residual-RosteredMATRIX-CARER'!J22=0,"",'Residual-RosteredMATRIX-CARER'!J22)</f>
        <v/>
      </c>
      <c r="M66" s="25" t="str">
        <f>IF('Residual-RosteredMATRIX-CARER'!K22=0,"",'Residual-RosteredMATRIX-CARER'!K22)</f>
        <v/>
      </c>
      <c r="N66" s="25" t="str">
        <f>IF('Residual-RosteredMATRIX-CARER'!L22=0,"",'Residual-RosteredMATRIX-CARER'!L22)</f>
        <v>0.5/ 7.5</v>
      </c>
      <c r="O66" s="25" t="str">
        <f>IF('Residual-RosteredMATRIX-CARER'!M22=0,"",'Residual-RosteredMATRIX-CARER'!M22)</f>
        <v/>
      </c>
      <c r="P66" s="25" t="str">
        <f>IF('Residual-RosteredMATRIX-CARER'!N22=0,"",'Residual-RosteredMATRIX-CARER'!N22)</f>
        <v/>
      </c>
      <c r="Q66" s="25">
        <v>0.5</v>
      </c>
      <c r="R66" s="25" t="str">
        <f>IF('Residual-RosteredMATRIX-CARER'!P22=0,"",'Residual-RosteredMATRIX-CARER'!P22)</f>
        <v/>
      </c>
      <c r="S66" s="25" t="str">
        <f>IF('Residual-RosteredMATRIX-CARER'!Q22=0,"",'Residual-RosteredMATRIX-CARER'!Q22)</f>
        <v/>
      </c>
      <c r="T66" s="25" t="str">
        <f>IF('Residual-RosteredMATRIX-CARER'!R22=0,"",'Residual-RosteredMATRIX-CARER'!R22)</f>
        <v/>
      </c>
      <c r="U66" s="25" t="str">
        <f>IF('Residual-RosteredMATRIX-CARER'!S22=0,"",'Residual-RosteredMATRIX-CARER'!S22)</f>
        <v/>
      </c>
      <c r="V66" s="25" t="str">
        <f>IF('Residual-RosteredMATRIX-CARER'!T22=0,"",'Residual-RosteredMATRIX-CARER'!T22)</f>
        <v/>
      </c>
      <c r="W66" s="25" t="str">
        <f>IF('Residual-RosteredMATRIX-CARER'!U22=0,"",'Residual-RosteredMATRIX-CARER'!U22)</f>
        <v/>
      </c>
      <c r="X66" s="25" t="str">
        <f>IF('Residual-RosteredMATRIX-CARER'!V22=0,"",'Residual-RosteredMATRIX-CARER'!V22)</f>
        <v/>
      </c>
      <c r="Y66" s="25" t="str">
        <f>IF('Residual-RosteredMATRIX-CARER'!W22=0,"",'Residual-RosteredMATRIX-CARER'!W22)</f>
        <v/>
      </c>
      <c r="Z66" s="25" t="str">
        <f>IF('Residual-RosteredMATRIX-CARER'!X22=0,"",'Residual-RosteredMATRIX-CARER'!X22)</f>
        <v/>
      </c>
      <c r="AA66" s="25" t="str">
        <f>IF('Residual-RosteredMATRIX-CARER'!Y22=0,"",'Residual-RosteredMATRIX-CARER'!Y22)</f>
        <v/>
      </c>
      <c r="AB66" s="25" t="str">
        <f>IF('Residual-RosteredMATRIX-CARER'!Z22=0,"",'Residual-RosteredMATRIX-CARER'!Z22)</f>
        <v/>
      </c>
      <c r="AC66" s="25" t="str">
        <f>IF('Residual-RosteredMATRIX-CARER'!AA22=0,"",'Residual-RosteredMATRIX-CARER'!AA22)</f>
        <v>0.5/ 7.5</v>
      </c>
      <c r="AD66" s="25" t="str">
        <f>IF('Residual-RosteredMATRIX-CARER'!AB22=0,"",'Residual-RosteredMATRIX-CARER'!AB22)</f>
        <v/>
      </c>
      <c r="AE66" s="25" t="str">
        <f>IF('Residual-RosteredMATRIX-CARER'!AC22=0,"",'Residual-RosteredMATRIX-CARER'!AC22)</f>
        <v/>
      </c>
      <c r="AF66" s="25" t="str">
        <f>IF('Residual-RosteredMATRIX-CARER'!AD22=0,"",'Residual-RosteredMATRIX-CARER'!AD22)</f>
        <v>1.9/ 6</v>
      </c>
      <c r="AG66" s="25" t="str">
        <f>IF('Residual-RosteredMATRIX-CARER'!AE35=0,"",'Residual-RosteredMATRIX-CARER'!AE35)</f>
        <v/>
      </c>
      <c r="AH66" s="25" t="str">
        <f>IF('Residual-RosteredMATRIX-CARER'!AF22=0,"",'Residual-RosteredMATRIX-CARER'!AF22)</f>
        <v/>
      </c>
      <c r="AI66" s="25" t="str">
        <f>IF('Residual-RosteredMATRIX-CARER'!AG22=0,"",'Residual-RosteredMATRIX-CARER'!AG22)</f>
        <v/>
      </c>
      <c r="AJ66" s="25" t="str">
        <f>IF('Residual-RosteredMATRIX-CARER'!AH22=0,"",'Residual-RosteredMATRIX-CARER'!AH22)</f>
        <v/>
      </c>
      <c r="AK66" s="25" t="str">
        <f>IF('Residual-RosteredMATRIX-CARER'!AI22=0,"",'Residual-RosteredMATRIX-CARER'!AI22)</f>
        <v/>
      </c>
      <c r="AL66" s="25" t="str">
        <f>IF('Residual-RosteredMATRIX-CARER'!AJ22=0,"",'Residual-RosteredMATRIX-CARER'!AJ22)</f>
        <v/>
      </c>
      <c r="AM66" s="25" t="str">
        <f>IF('Residual-RosteredMATRIX-CARER'!AK22=0,"",'Residual-RosteredMATRIX-CARER'!AK22)</f>
        <v/>
      </c>
      <c r="AN66" s="25" t="str">
        <f>IF('Residual-RosteredMATRIX-CARER'!AL22=0,"",'Residual-RosteredMATRIX-CARER'!AL22)</f>
        <v/>
      </c>
      <c r="AO66" s="25" t="str">
        <f>IF('Residual-RosteredMATRIX-CARER'!AM22=0,"",'Residual-RosteredMATRIX-CARER'!AM22)</f>
        <v/>
      </c>
      <c r="AP66" s="25" t="str">
        <f>IF('Residual-RosteredMATRIX-CARER'!AN22=0,"",'Residual-RosteredMATRIX-CARER'!AN22)</f>
        <v/>
      </c>
      <c r="AQ66" s="25" t="str">
        <f>IF('Residual-RosteredMATRIX-CARER'!AO22=0,"",'Residual-RosteredMATRIX-CARER'!AO22)</f>
        <v/>
      </c>
      <c r="AR66" s="25" t="str">
        <f>IF('Residual-RosteredMATRIX-CARER'!AP22=0,"",'Residual-RosteredMATRIX-CARER'!AP22)</f>
        <v/>
      </c>
      <c r="AS66" s="25" t="str">
        <f>IF('Residual-RosteredMATRIX-CARER'!AQ22=0,"",'Residual-RosteredMATRIX-CARER'!AQ22)</f>
        <v/>
      </c>
      <c r="AT66" s="25" t="str">
        <f>IF('Residual-RosteredMATRIX-CARER'!AR22=0,"",'Residual-RosteredMATRIX-CARER'!AR22)</f>
        <v/>
      </c>
      <c r="AU66" s="25" t="str">
        <f>IF('Residual-RosteredMATRIX-CARER'!AS22=0,"",'Residual-RosteredMATRIX-CARER'!AS22)</f>
        <v/>
      </c>
      <c r="AV66" s="25" t="str">
        <f>IF('Residual-RosteredMATRIX-CARER'!AT22=0,"",'Residual-RosteredMATRIX-CARER'!AT22)</f>
        <v/>
      </c>
      <c r="AW66" s="25" t="str">
        <f>IF('Residual-RosteredMATRIX-CARER'!AU22=0,"",'Residual-RosteredMATRIX-CARER'!AU22)</f>
        <v/>
      </c>
    </row>
    <row r="67" spans="1:49" ht="15.75" customHeight="1" x14ac:dyDescent="0.25">
      <c r="A67" s="25" t="e">
        <f>'Residual-Rostered'!#REF!</f>
        <v>#REF!</v>
      </c>
      <c r="B67" s="33" t="str">
        <f>'Residual-RosteredMATRIX-CARER'!D24</f>
        <v>Carer</v>
      </c>
      <c r="C67" s="33" t="str">
        <f>'Residual-RosteredMATRIX-CARER'!C24</f>
        <v>Randla, Sandra</v>
      </c>
      <c r="D67" s="34">
        <f>'Residual-RosteredMATRIX-CARER'!E24</f>
        <v>43.5</v>
      </c>
      <c r="E67" s="14">
        <f>Max_HRS-Table314[[#This Row],[ROSTERED TIME]]</f>
        <v>32.5</v>
      </c>
      <c r="F67" s="14">
        <f t="shared" si="6"/>
        <v>0.5</v>
      </c>
      <c r="G67" s="14">
        <f>Table314[[#This Row],[ROSTERED TIME]]+Table314[[#This Row],[CHANGE TIME]]</f>
        <v>44</v>
      </c>
      <c r="H67" s="25" t="str">
        <f>IF('Residual-RosteredMATRIX-CARER'!F24=0,"",'Residual-RosteredMATRIX-CARER'!F24)</f>
        <v>0.5/ 7.5</v>
      </c>
      <c r="I67" s="25" t="str">
        <f>IF('Residual-RosteredMATRIX-CARER'!G24=0,"",'Residual-RosteredMATRIX-CARER'!G24)</f>
        <v/>
      </c>
      <c r="J67" s="25" t="str">
        <f>IF('Residual-RosteredMATRIX-CARER'!H24=0,"",'Residual-RosteredMATRIX-CARER'!H24)</f>
        <v/>
      </c>
      <c r="K67" s="25" t="str">
        <f>IF('Residual-RosteredMATRIX-CARER'!I24=0,"",'Residual-RosteredMATRIX-CARER'!I24)</f>
        <v>0.5/ 7.5</v>
      </c>
      <c r="L67" s="25" t="str">
        <f>IF('Residual-RosteredMATRIX-CARER'!J24=0,"",'Residual-RosteredMATRIX-CARER'!J24)</f>
        <v/>
      </c>
      <c r="M67" s="25" t="str">
        <f>IF('Residual-RosteredMATRIX-CARER'!K24=0,"",'Residual-RosteredMATRIX-CARER'!K24)</f>
        <v/>
      </c>
      <c r="N67" s="25" t="str">
        <f>IF('Residual-RosteredMATRIX-CARER'!L24=0,"",'Residual-RosteredMATRIX-CARER'!L24)</f>
        <v/>
      </c>
      <c r="O67" s="25" t="str">
        <f>IF('Residual-RosteredMATRIX-CARER'!M24=0,"",'Residual-RosteredMATRIX-CARER'!M24)</f>
        <v/>
      </c>
      <c r="P67" s="25" t="str">
        <f>IF('Residual-RosteredMATRIX-CARER'!N24=0,"",'Residual-RosteredMATRIX-CARER'!N24)</f>
        <v/>
      </c>
      <c r="Q67" s="25" t="str">
        <f>IF('Residual-RosteredMATRIX-CARER'!O24=0,"",'Residual-RosteredMATRIX-CARER'!O24)</f>
        <v/>
      </c>
      <c r="R67" s="25" t="str">
        <f>IF('Residual-RosteredMATRIX-CARER'!P24=0,"",'Residual-RosteredMATRIX-CARER'!P24)</f>
        <v/>
      </c>
      <c r="S67" s="25" t="str">
        <f>IF('Residual-RosteredMATRIX-CARER'!Q24=0,"",'Residual-RosteredMATRIX-CARER'!Q24)</f>
        <v/>
      </c>
      <c r="T67" s="25" t="str">
        <f>IF('Residual-RosteredMATRIX-CARER'!R24=0,"",'Residual-RosteredMATRIX-CARER'!R24)</f>
        <v>1.9/ 6</v>
      </c>
      <c r="U67" s="25" t="str">
        <f>IF('Residual-RosteredMATRIX-CARER'!S24=0,"",'Residual-RosteredMATRIX-CARER'!S24)</f>
        <v/>
      </c>
      <c r="V67" s="25" t="str">
        <f>IF('Residual-RosteredMATRIX-CARER'!T24=0,"",'Residual-RosteredMATRIX-CARER'!T24)</f>
        <v/>
      </c>
      <c r="W67" s="25" t="str">
        <f>IF('Residual-RosteredMATRIX-CARER'!U24=0,"",'Residual-RosteredMATRIX-CARER'!U24)</f>
        <v/>
      </c>
      <c r="X67" s="25" t="str">
        <f>IF('Residual-RosteredMATRIX-CARER'!V24=0,"",'Residual-RosteredMATRIX-CARER'!V24)</f>
        <v/>
      </c>
      <c r="Y67" s="25" t="str">
        <f>IF('Residual-RosteredMATRIX-CARER'!W24=0,"",'Residual-RosteredMATRIX-CARER'!W24)</f>
        <v/>
      </c>
      <c r="Z67" s="25" t="str">
        <f>IF('Residual-RosteredMATRIX-CARER'!X24=0,"",'Residual-RosteredMATRIX-CARER'!X24)</f>
        <v>0.5/ 7.5</v>
      </c>
      <c r="AA67" s="25" t="str">
        <f>IF('Residual-RosteredMATRIX-CARER'!Y24=0,"",'Residual-RosteredMATRIX-CARER'!Y24)</f>
        <v/>
      </c>
      <c r="AB67" s="25" t="str">
        <f>IF('Residual-RosteredMATRIX-CARER'!Z24=0,"",'Residual-RosteredMATRIX-CARER'!Z24)</f>
        <v/>
      </c>
      <c r="AC67" s="25" t="str">
        <f>IF('Residual-RosteredMATRIX-CARER'!AA24=0,"",'Residual-RosteredMATRIX-CARER'!AA24)</f>
        <v/>
      </c>
      <c r="AD67" s="25" t="str">
        <f>IF('Residual-RosteredMATRIX-CARER'!AB24=0,"",'Residual-RosteredMATRIX-CARER'!AB24)</f>
        <v/>
      </c>
      <c r="AE67" s="25" t="str">
        <f>IF('Residual-RosteredMATRIX-CARER'!AC24=0,"",'Residual-RosteredMATRIX-CARER'!AC24)</f>
        <v/>
      </c>
      <c r="AF67" s="25" t="str">
        <f>IF('Residual-RosteredMATRIX-CARER'!AD24=0,"",'Residual-RosteredMATRIX-CARER'!AD24)</f>
        <v/>
      </c>
      <c r="AG67" s="25" t="str">
        <f>IF('Residual-RosteredMATRIX-CARER'!AE36=0,"",'Residual-RosteredMATRIX-CARER'!AE36)</f>
        <v>0/ 7.8</v>
      </c>
      <c r="AH67" s="25" t="str">
        <f>IF('Residual-RosteredMATRIX-CARER'!AF24=0,"",'Residual-RosteredMATRIX-CARER'!AF24)</f>
        <v/>
      </c>
      <c r="AI67" s="25" t="str">
        <f>IF('Residual-RosteredMATRIX-CARER'!AG24=0,"",'Residual-RosteredMATRIX-CARER'!AG24)</f>
        <v>0.5/ 7.5</v>
      </c>
      <c r="AJ67" s="25" t="str">
        <f>IF('Residual-RosteredMATRIX-CARER'!AH24=0,"",'Residual-RosteredMATRIX-CARER'!AH24)</f>
        <v/>
      </c>
      <c r="AK67" s="25" t="str">
        <f>IF('Residual-RosteredMATRIX-CARER'!AI24=0,"",'Residual-RosteredMATRIX-CARER'!AI24)</f>
        <v/>
      </c>
      <c r="AL67" s="25" t="str">
        <f>IF('Residual-RosteredMATRIX-CARER'!AJ24=0,"",'Residual-RosteredMATRIX-CARER'!AJ24)</f>
        <v>0.5/ 7.5</v>
      </c>
      <c r="AM67" s="25">
        <v>0.5</v>
      </c>
      <c r="AN67" s="25" t="str">
        <f>IF('Residual-RosteredMATRIX-CARER'!AL24=0,"",'Residual-RosteredMATRIX-CARER'!AL24)</f>
        <v/>
      </c>
      <c r="AO67" s="25" t="str">
        <f>IF('Residual-RosteredMATRIX-CARER'!AM24=0,"",'Residual-RosteredMATRIX-CARER'!AM24)</f>
        <v/>
      </c>
      <c r="AP67" s="25" t="str">
        <f>IF('Residual-RosteredMATRIX-CARER'!AN24=0,"",'Residual-RosteredMATRIX-CARER'!AN24)</f>
        <v/>
      </c>
      <c r="AQ67" s="25" t="str">
        <f>IF('Residual-RosteredMATRIX-CARER'!AO24=0,"",'Residual-RosteredMATRIX-CARER'!AO24)</f>
        <v/>
      </c>
      <c r="AR67" s="25" t="str">
        <f>IF('Residual-RosteredMATRIX-CARER'!AP24=0,"",'Residual-RosteredMATRIX-CARER'!AP24)</f>
        <v/>
      </c>
      <c r="AS67" s="25" t="str">
        <f>IF('Residual-RosteredMATRIX-CARER'!AQ24=0,"",'Residual-RosteredMATRIX-CARER'!AQ24)</f>
        <v/>
      </c>
      <c r="AT67" s="25" t="str">
        <f>IF('Residual-RosteredMATRIX-CARER'!AR24=0,"",'Residual-RosteredMATRIX-CARER'!AR24)</f>
        <v/>
      </c>
      <c r="AU67" s="25" t="str">
        <f>IF('Residual-RosteredMATRIX-CARER'!AS24=0,"",'Residual-RosteredMATRIX-CARER'!AS24)</f>
        <v/>
      </c>
      <c r="AV67" s="25" t="str">
        <f>IF('Residual-RosteredMATRIX-CARER'!AT24=0,"",'Residual-RosteredMATRIX-CARER'!AT24)</f>
        <v/>
      </c>
      <c r="AW67" s="25" t="str">
        <f>IF('Residual-RosteredMATRIX-CARER'!AU24=0,"",'Residual-RosteredMATRIX-CARER'!AU24)</f>
        <v/>
      </c>
    </row>
    <row r="68" spans="1:49" ht="15.75" customHeight="1" x14ac:dyDescent="0.25">
      <c r="A68" s="25" t="e">
        <f>'Residual-Rostered'!#REF!</f>
        <v>#REF!</v>
      </c>
      <c r="B68" s="33" t="str">
        <f>'Residual-RosteredMATRIX-CARER'!D25</f>
        <v>Carer</v>
      </c>
      <c r="C68" s="33" t="str">
        <f>'Residual-RosteredMATRIX-CARER'!C25</f>
        <v>Randle, Rebecca</v>
      </c>
      <c r="D68" s="34">
        <f>'Residual-RosteredMATRIX-CARER'!E25</f>
        <v>72</v>
      </c>
      <c r="E68" s="14">
        <f>Max_HRS-Table314[[#This Row],[ROSTERED TIME]]</f>
        <v>4</v>
      </c>
      <c r="F68" s="14">
        <f t="shared" si="6"/>
        <v>-0.5</v>
      </c>
      <c r="G68" s="14">
        <f>Table314[[#This Row],[ROSTERED TIME]]+Table314[[#This Row],[CHANGE TIME]]</f>
        <v>71.5</v>
      </c>
      <c r="H68" s="25" t="str">
        <f>IF('Residual-RosteredMATRIX-CARER'!F25=0,"",'Residual-RosteredMATRIX-CARER'!F25)</f>
        <v>0/ 7.5</v>
      </c>
      <c r="I68" s="25" t="str">
        <f>IF('Residual-RosteredMATRIX-CARER'!G25=0,"",'Residual-RosteredMATRIX-CARER'!G25)</f>
        <v>0/ 0.5</v>
      </c>
      <c r="J68" s="25" t="str">
        <f>IF('Residual-RosteredMATRIX-CARER'!H25=0,"",'Residual-RosteredMATRIX-CARER'!H25)</f>
        <v/>
      </c>
      <c r="K68" s="25" t="str">
        <f>IF('Residual-RosteredMATRIX-CARER'!I25=0,"",'Residual-RosteredMATRIX-CARER'!I25)</f>
        <v>0/ 7.5</v>
      </c>
      <c r="L68" s="25">
        <v>-0.5</v>
      </c>
      <c r="M68" s="25" t="str">
        <f>IF('Residual-RosteredMATRIX-CARER'!K25=0,"",'Residual-RosteredMATRIX-CARER'!K25)</f>
        <v/>
      </c>
      <c r="N68" s="25" t="str">
        <f>IF('Residual-RosteredMATRIX-CARER'!L25=0,"",'Residual-RosteredMATRIX-CARER'!L25)</f>
        <v>0/ 7.5</v>
      </c>
      <c r="O68" s="25" t="s">
        <v>256</v>
      </c>
      <c r="P68" s="25" t="str">
        <f>IF('Residual-RosteredMATRIX-CARER'!N25=0,"",'Residual-RosteredMATRIX-CARER'!N25)</f>
        <v/>
      </c>
      <c r="Q68" s="25" t="str">
        <f>IF('Residual-RosteredMATRIX-CARER'!O25=0,"",'Residual-RosteredMATRIX-CARER'!O25)</f>
        <v>0/ 7.5</v>
      </c>
      <c r="R68" s="25" t="str">
        <f>IF('Residual-RosteredMATRIX-CARER'!P25=0,"",'Residual-RosteredMATRIX-CARER'!P25)</f>
        <v>0/ 0.5</v>
      </c>
      <c r="S68" s="25" t="str">
        <f>IF('Residual-RosteredMATRIX-CARER'!Q25=0,"",'Residual-RosteredMATRIX-CARER'!Q25)</f>
        <v/>
      </c>
      <c r="T68" s="25" t="str">
        <f>IF('Residual-RosteredMATRIX-CARER'!R25=0,"",'Residual-RosteredMATRIX-CARER'!R25)</f>
        <v>0/ 7.5</v>
      </c>
      <c r="U68" s="25" t="str">
        <f>IF('Residual-RosteredMATRIX-CARER'!S25=0,"",'Residual-RosteredMATRIX-CARER'!S25)</f>
        <v>0/ 0.5</v>
      </c>
      <c r="V68" s="25" t="str">
        <f>IF('Residual-RosteredMATRIX-CARER'!T25=0,"",'Residual-RosteredMATRIX-CARER'!T25)</f>
        <v/>
      </c>
      <c r="W68" s="25" t="str">
        <f>IF('Residual-RosteredMATRIX-CARER'!U25=0,"",'Residual-RosteredMATRIX-CARER'!U25)</f>
        <v/>
      </c>
      <c r="X68" s="25" t="str">
        <f>IF('Residual-RosteredMATRIX-CARER'!V25=0,"",'Residual-RosteredMATRIX-CARER'!V25)</f>
        <v/>
      </c>
      <c r="Y68" s="25" t="str">
        <f>IF('Residual-RosteredMATRIX-CARER'!W25=0,"",'Residual-RosteredMATRIX-CARER'!W25)</f>
        <v/>
      </c>
      <c r="Z68" s="25" t="str">
        <f>IF('Residual-RosteredMATRIX-CARER'!X25=0,"",'Residual-RosteredMATRIX-CARER'!X25)</f>
        <v/>
      </c>
      <c r="AA68" s="25" t="str">
        <f>IF('Residual-RosteredMATRIX-CARER'!Y25=0,"",'Residual-RosteredMATRIX-CARER'!Y25)</f>
        <v/>
      </c>
      <c r="AB68" s="25" t="str">
        <f>IF('Residual-RosteredMATRIX-CARER'!Z25=0,"",'Residual-RosteredMATRIX-CARER'!Z25)</f>
        <v/>
      </c>
      <c r="AC68" s="25" t="str">
        <f>IF('Residual-RosteredMATRIX-CARER'!AA25=0,"",'Residual-RosteredMATRIX-CARER'!AA25)</f>
        <v>0/ 7.5</v>
      </c>
      <c r="AD68" s="25" t="str">
        <f>IF('Residual-RosteredMATRIX-CARER'!AB25=0,"",'Residual-RosteredMATRIX-CARER'!AB25)</f>
        <v>0/ 0.5</v>
      </c>
      <c r="AE68" s="25" t="str">
        <f>IF('Residual-RosteredMATRIX-CARER'!AC25=0,"",'Residual-RosteredMATRIX-CARER'!AC25)</f>
        <v/>
      </c>
      <c r="AF68" s="25" t="str">
        <f>IF('Residual-RosteredMATRIX-CARER'!AD25=0,"",'Residual-RosteredMATRIX-CARER'!AD25)</f>
        <v>0/ 7.5</v>
      </c>
      <c r="AG68" s="25" t="str">
        <f>IF('Residual-RosteredMATRIX-CARER'!AE37=0,"",'Residual-RosteredMATRIX-CARER'!AE37)</f>
        <v/>
      </c>
      <c r="AH68" s="25" t="str">
        <f>IF('Residual-RosteredMATRIX-CARER'!AF25=0,"",'Residual-RosteredMATRIX-CARER'!AF25)</f>
        <v/>
      </c>
      <c r="AI68" s="25" t="str">
        <f>IF('Residual-RosteredMATRIX-CARER'!AG25=0,"",'Residual-RosteredMATRIX-CARER'!AG25)</f>
        <v/>
      </c>
      <c r="AJ68" s="25" t="str">
        <f>IF('Residual-RosteredMATRIX-CARER'!AH25=0,"",'Residual-RosteredMATRIX-CARER'!AH25)</f>
        <v/>
      </c>
      <c r="AK68" s="25" t="str">
        <f>IF('Residual-RosteredMATRIX-CARER'!AI25=0,"",'Residual-RosteredMATRIX-CARER'!AI25)</f>
        <v/>
      </c>
      <c r="AL68" s="25" t="str">
        <f>IF('Residual-RosteredMATRIX-CARER'!AJ25=0,"",'Residual-RosteredMATRIX-CARER'!AJ25)</f>
        <v>0/ 7.5</v>
      </c>
      <c r="AM68" s="25" t="str">
        <f>IF('Residual-RosteredMATRIX-CARER'!AK25=0,"",'Residual-RosteredMATRIX-CARER'!AK25)</f>
        <v>0/ 0.5</v>
      </c>
      <c r="AN68" s="25" t="str">
        <f>IF('Residual-RosteredMATRIX-CARER'!AL25=0,"",'Residual-RosteredMATRIX-CARER'!AL25)</f>
        <v/>
      </c>
      <c r="AO68" s="25" t="str">
        <f>IF('Residual-RosteredMATRIX-CARER'!AM25=0,"",'Residual-RosteredMATRIX-CARER'!AM25)</f>
        <v>0/ 7.5</v>
      </c>
      <c r="AP68" s="25" t="str">
        <f>IF('Residual-RosteredMATRIX-CARER'!AN25=0,"",'Residual-RosteredMATRIX-CARER'!AN25)</f>
        <v>0/ 0.5</v>
      </c>
      <c r="AQ68" s="25" t="str">
        <f>IF('Residual-RosteredMATRIX-CARER'!AO25=0,"",'Residual-RosteredMATRIX-CARER'!AO25)</f>
        <v/>
      </c>
      <c r="AR68" s="25" t="str">
        <f>IF('Residual-RosteredMATRIX-CARER'!AP25=0,"",'Residual-RosteredMATRIX-CARER'!AP25)</f>
        <v/>
      </c>
      <c r="AS68" s="25" t="str">
        <f>IF('Residual-RosteredMATRIX-CARER'!AQ25=0,"",'Residual-RosteredMATRIX-CARER'!AQ25)</f>
        <v/>
      </c>
      <c r="AT68" s="25" t="str">
        <f>IF('Residual-RosteredMATRIX-CARER'!AR25=0,"",'Residual-RosteredMATRIX-CARER'!AR25)</f>
        <v/>
      </c>
      <c r="AU68" s="25" t="str">
        <f>IF('Residual-RosteredMATRIX-CARER'!AS25=0,"",'Residual-RosteredMATRIX-CARER'!AS25)</f>
        <v/>
      </c>
      <c r="AV68" s="25" t="str">
        <f>IF('Residual-RosteredMATRIX-CARER'!AT25=0,"",'Residual-RosteredMATRIX-CARER'!AT25)</f>
        <v/>
      </c>
      <c r="AW68" s="25" t="str">
        <f>IF('Residual-RosteredMATRIX-CARER'!AU25=0,"",'Residual-RosteredMATRIX-CARER'!AU25)</f>
        <v/>
      </c>
    </row>
    <row r="69" spans="1:49" ht="33" customHeight="1" x14ac:dyDescent="0.25">
      <c r="A69" s="25" t="e">
        <f>'Residual-Rostered'!#REF!</f>
        <v>#REF!</v>
      </c>
      <c r="B69" s="33" t="str">
        <f>'Residual-RosteredMATRIX-CARER'!D46</f>
        <v>Carer</v>
      </c>
      <c r="C69" s="33" t="str">
        <f>'Residual-RosteredMATRIX-CARER'!C46</f>
        <v>Ropin, Amelia</v>
      </c>
      <c r="D69" s="34">
        <f>'Residual-RosteredMATRIX-CARER'!E46</f>
        <v>64</v>
      </c>
      <c r="E69" s="14">
        <f>Max_HRS-Table314[[#This Row],[ROSTERED TIME]]</f>
        <v>12</v>
      </c>
      <c r="F69" s="14">
        <f t="shared" si="6"/>
        <v>0</v>
      </c>
      <c r="G69" s="14">
        <f>Table314[[#This Row],[ROSTERED TIME]]+Table314[[#This Row],[CHANGE TIME]]</f>
        <v>64</v>
      </c>
      <c r="H69" s="25" t="str">
        <f>IF('Residual-RosteredMATRIX-CARER'!F46=0,"",'Residual-RosteredMATRIX-CARER'!F46)</f>
        <v/>
      </c>
      <c r="I69" s="25" t="str">
        <f>IF('Residual-RosteredMATRIX-CARER'!G46=0,"",'Residual-RosteredMATRIX-CARER'!G46)</f>
        <v/>
      </c>
      <c r="J69" s="25" t="str">
        <f>IF('Residual-RosteredMATRIX-CARER'!H46=0,"",'Residual-RosteredMATRIX-CARER'!H46)</f>
        <v/>
      </c>
      <c r="K69" s="25" t="str">
        <f>IF('Residual-RosteredMATRIX-CARER'!I46=0,"",'Residual-RosteredMATRIX-CARER'!I46)</f>
        <v/>
      </c>
      <c r="L69" s="25" t="str">
        <f>IF('Residual-RosteredMATRIX-CARER'!J46=0,"",'Residual-RosteredMATRIX-CARER'!J46)</f>
        <v>0/ 7.8</v>
      </c>
      <c r="M69" s="25" t="str">
        <f>IF('Residual-RosteredMATRIX-CARER'!K46=0,"",'Residual-RosteredMATRIX-CARER'!K46)</f>
        <v>0/ 0.2</v>
      </c>
      <c r="N69" s="25" t="str">
        <f>IF('Residual-RosteredMATRIX-CARER'!L46=0,"",'Residual-RosteredMATRIX-CARER'!L46)</f>
        <v/>
      </c>
      <c r="O69" s="25">
        <v>-7.8</v>
      </c>
      <c r="P69" s="25">
        <v>-0.2</v>
      </c>
      <c r="Q69" s="25" t="str">
        <f>IF('Residual-RosteredMATRIX-CARER'!O46=0,"",'Residual-RosteredMATRIX-CARER'!O46)</f>
        <v/>
      </c>
      <c r="R69" s="25" t="str">
        <f>IF('Residual-RosteredMATRIX-CARER'!P46=0,"",'Residual-RosteredMATRIX-CARER'!P46)</f>
        <v/>
      </c>
      <c r="S69" s="25" t="str">
        <f>IF('Residual-RosteredMATRIX-CARER'!Q46=0,"",'Residual-RosteredMATRIX-CARER'!Q46)</f>
        <v/>
      </c>
      <c r="T69" s="25">
        <v>7.8</v>
      </c>
      <c r="U69" s="25">
        <v>0.2</v>
      </c>
      <c r="V69" s="25" t="str">
        <f>IF('Residual-RosteredMATRIX-CARER'!T46=0,"",'Residual-RosteredMATRIX-CARER'!T46)</f>
        <v/>
      </c>
      <c r="W69" s="25" t="str">
        <f>IF('Residual-RosteredMATRIX-CARER'!U46=0,"",'Residual-RosteredMATRIX-CARER'!U46)</f>
        <v/>
      </c>
      <c r="X69" s="25" t="str">
        <f>IF('Residual-RosteredMATRIX-CARER'!V46=0,"",'Residual-RosteredMATRIX-CARER'!V46)</f>
        <v>0/ 7.8</v>
      </c>
      <c r="Y69" s="25" t="str">
        <f>IF('Residual-RosteredMATRIX-CARER'!W46=0,"",'Residual-RosteredMATRIX-CARER'!W46)</f>
        <v>0/ 0.2</v>
      </c>
      <c r="Z69" s="25" t="str">
        <f>IF('Residual-RosteredMATRIX-CARER'!X46=0,"",'Residual-RosteredMATRIX-CARER'!X46)</f>
        <v/>
      </c>
      <c r="AA69" s="25" t="str">
        <f>IF('Residual-RosteredMATRIX-CARER'!Y46=0,"",'Residual-RosteredMATRIX-CARER'!Y46)</f>
        <v>0/ 7.8</v>
      </c>
      <c r="AB69" s="25" t="str">
        <f>IF('Residual-RosteredMATRIX-CARER'!Z46=0,"",'Residual-RosteredMATRIX-CARER'!Z46)</f>
        <v>0/ 0.2</v>
      </c>
      <c r="AC69" s="25" t="str">
        <f>IF('Residual-RosteredMATRIX-CARER'!AA46=0,"",'Residual-RosteredMATRIX-CARER'!AA46)</f>
        <v/>
      </c>
      <c r="AD69" s="25" t="str">
        <f>IF('Residual-RosteredMATRIX-CARER'!AB46=0,"",'Residual-RosteredMATRIX-CARER'!AB46)</f>
        <v/>
      </c>
      <c r="AE69" s="25" t="str">
        <f>IF('Residual-RosteredMATRIX-CARER'!AC46=0,"",'Residual-RosteredMATRIX-CARER'!AC46)</f>
        <v/>
      </c>
      <c r="AF69" s="25" t="str">
        <f>IF('Residual-RosteredMATRIX-CARER'!AD46=0,"",'Residual-RosteredMATRIX-CARER'!AD46)</f>
        <v/>
      </c>
      <c r="AG69" s="25" t="str">
        <f>IF('Residual-RosteredMATRIX-CARER'!AE38=0,"",'Residual-RosteredMATRIX-CARER'!AE38)</f>
        <v/>
      </c>
      <c r="AH69" s="25" t="str">
        <f>IF('Residual-RosteredMATRIX-CARER'!AF46=0,"",'Residual-RosteredMATRIX-CARER'!AF46)</f>
        <v>0/ 0.2</v>
      </c>
      <c r="AI69" s="25" t="str">
        <f>IF('Residual-RosteredMATRIX-CARER'!AG46=0,"",'Residual-RosteredMATRIX-CARER'!AG46)</f>
        <v/>
      </c>
      <c r="AJ69" s="25" t="str">
        <f>IF('Residual-RosteredMATRIX-CARER'!AH46=0,"",'Residual-RosteredMATRIX-CARER'!AH46)</f>
        <v>0/ 7.8</v>
      </c>
      <c r="AK69" s="25" t="str">
        <f>IF('Residual-RosteredMATRIX-CARER'!AI46=0,"",'Residual-RosteredMATRIX-CARER'!AI46)</f>
        <v>0/ 0.2</v>
      </c>
      <c r="AL69" s="25" t="str">
        <f>IF('Residual-RosteredMATRIX-CARER'!AJ46=0,"",'Residual-RosteredMATRIX-CARER'!AJ46)</f>
        <v/>
      </c>
      <c r="AM69" s="25" t="str">
        <f>IF('Residual-RosteredMATRIX-CARER'!AK46=0,"",'Residual-RosteredMATRIX-CARER'!AK46)</f>
        <v/>
      </c>
      <c r="AN69" s="25" t="str">
        <f>IF('Residual-RosteredMATRIX-CARER'!AL46=0,"",'Residual-RosteredMATRIX-CARER'!AL46)</f>
        <v/>
      </c>
      <c r="AO69" s="25" t="str">
        <f>IF('Residual-RosteredMATRIX-CARER'!AM46=0,"",'Residual-RosteredMATRIX-CARER'!AM46)</f>
        <v/>
      </c>
      <c r="AP69" s="25" t="str">
        <f>IF('Residual-RosteredMATRIX-CARER'!AN46=0,"",'Residual-RosteredMATRIX-CARER'!AN46)</f>
        <v/>
      </c>
      <c r="AQ69" s="25" t="str">
        <f>IF('Residual-RosteredMATRIX-CARER'!AO46=0,"",'Residual-RosteredMATRIX-CARER'!AO46)</f>
        <v/>
      </c>
      <c r="AR69" s="25" t="str">
        <f>IF('Residual-RosteredMATRIX-CARER'!AP46=0,"",'Residual-RosteredMATRIX-CARER'!AP46)</f>
        <v/>
      </c>
      <c r="AS69" s="25" t="str">
        <f>IF('Residual-RosteredMATRIX-CARER'!AQ46=0,"",'Residual-RosteredMATRIX-CARER'!AQ46)</f>
        <v>0/ 7.8</v>
      </c>
      <c r="AT69" s="25" t="str">
        <f>IF('Residual-RosteredMATRIX-CARER'!AR46=0,"",'Residual-RosteredMATRIX-CARER'!AR46)</f>
        <v>0/ 0.2</v>
      </c>
      <c r="AU69" s="25" t="str">
        <f>IF('Residual-RosteredMATRIX-CARER'!AS46=0,"",'Residual-RosteredMATRIX-CARER'!AS46)</f>
        <v/>
      </c>
      <c r="AV69" s="25" t="str">
        <f>IF('Residual-RosteredMATRIX-CARER'!AT46=0,"",'Residual-RosteredMATRIX-CARER'!AT46)</f>
        <v>0/ 7.8</v>
      </c>
      <c r="AW69" s="25" t="str">
        <f>IF('Residual-RosteredMATRIX-CARER'!AU46=0,"",'Residual-RosteredMATRIX-CARER'!AU46)</f>
        <v>0/ 0.2</v>
      </c>
    </row>
    <row r="70" spans="1:49" ht="15.75" customHeight="1" x14ac:dyDescent="0.25">
      <c r="A70" s="25" t="e">
        <f>'Residual-Rostered'!#REF!</f>
        <v>#REF!</v>
      </c>
      <c r="B70" s="33" t="str">
        <f>'Residual-RosteredMATRIX-CARER'!D50</f>
        <v>Carer</v>
      </c>
      <c r="C70" s="33" t="str">
        <f>'Residual-RosteredMATRIX-CARER'!C50</f>
        <v>Sales, Lorraine</v>
      </c>
      <c r="D70" s="34">
        <f>'Residual-RosteredMATRIX-CARER'!E50</f>
        <v>63.9</v>
      </c>
      <c r="E70" s="14">
        <f>Max_HRS-Table314[[#This Row],[ROSTERED TIME]]</f>
        <v>12.100000000000001</v>
      </c>
      <c r="F70" s="14">
        <f t="shared" si="6"/>
        <v>0</v>
      </c>
      <c r="G70" s="14">
        <f>Table314[[#This Row],[ROSTERED TIME]]+Table314[[#This Row],[CHANGE TIME]]</f>
        <v>63.9</v>
      </c>
      <c r="H70" s="25" t="str">
        <f>IF('Residual-RosteredMATRIX-CARER'!F50=0,"",'Residual-RosteredMATRIX-CARER'!F50)</f>
        <v/>
      </c>
      <c r="I70" s="25" t="str">
        <f>IF('Residual-RosteredMATRIX-CARER'!G50=0,"",'Residual-RosteredMATRIX-CARER'!G50)</f>
        <v/>
      </c>
      <c r="J70" s="25" t="str">
        <f>IF('Residual-RosteredMATRIX-CARER'!H50=0,"",'Residual-RosteredMATRIX-CARER'!H50)</f>
        <v/>
      </c>
      <c r="K70" s="25" t="str">
        <f>IF('Residual-RosteredMATRIX-CARER'!I50=0,"",'Residual-RosteredMATRIX-CARER'!I50)</f>
        <v/>
      </c>
      <c r="L70" s="25" t="str">
        <f>IF('Residual-RosteredMATRIX-CARER'!J50=0,"",'Residual-RosteredMATRIX-CARER'!J50)</f>
        <v/>
      </c>
      <c r="M70" s="25" t="str">
        <f>IF('Residual-RosteredMATRIX-CARER'!K50=0,"",'Residual-RosteredMATRIX-CARER'!K50)</f>
        <v/>
      </c>
      <c r="N70" s="25" t="str">
        <f>IF('Residual-RosteredMATRIX-CARER'!L50=0,"",'Residual-RosteredMATRIX-CARER'!L50)</f>
        <v/>
      </c>
      <c r="O70" s="25" t="str">
        <f>IF('Residual-RosteredMATRIX-CARER'!M50=0,"",'Residual-RosteredMATRIX-CARER'!M50)</f>
        <v/>
      </c>
      <c r="P70" s="25" t="str">
        <f>IF('Residual-RosteredMATRIX-CARER'!N50=0,"",'Residual-RosteredMATRIX-CARER'!N50)</f>
        <v>0.7/ 7.3</v>
      </c>
      <c r="Q70" s="25" t="str">
        <f>IF('Residual-RosteredMATRIX-CARER'!O50=0,"",'Residual-RosteredMATRIX-CARER'!O50)</f>
        <v>0.5/ 0.2</v>
      </c>
      <c r="R70" s="25" t="str">
        <f>IF('Residual-RosteredMATRIX-CARER'!P50=0,"",'Residual-RosteredMATRIX-CARER'!P50)</f>
        <v/>
      </c>
      <c r="S70" s="25" t="str">
        <f>IF('Residual-RosteredMATRIX-CARER'!Q50=0,"",'Residual-RosteredMATRIX-CARER'!Q50)</f>
        <v>0.5/ 7.3</v>
      </c>
      <c r="T70" s="25" t="str">
        <f>IF('Residual-RosteredMATRIX-CARER'!R50=0,"",'Residual-RosteredMATRIX-CARER'!R50)</f>
        <v>0.5/ 0.2</v>
      </c>
      <c r="U70" s="25" t="str">
        <f>IF('Residual-RosteredMATRIX-CARER'!S50=0,"",'Residual-RosteredMATRIX-CARER'!S50)</f>
        <v/>
      </c>
      <c r="V70" s="25" t="str">
        <f>IF('Residual-RosteredMATRIX-CARER'!T50=0,"",'Residual-RosteredMATRIX-CARER'!T50)</f>
        <v>0.5/ 7.3</v>
      </c>
      <c r="W70" s="25" t="str">
        <f>IF('Residual-RosteredMATRIX-CARER'!U50=0,"",'Residual-RosteredMATRIX-CARER'!U50)</f>
        <v>2.6/ 0.2</v>
      </c>
      <c r="X70" s="25" t="str">
        <f>IF('Residual-RosteredMATRIX-CARER'!V50=0,"",'Residual-RosteredMATRIX-CARER'!V50)</f>
        <v/>
      </c>
      <c r="Y70" s="25" t="str">
        <f>IF('Residual-RosteredMATRIX-CARER'!W50=0,"",'Residual-RosteredMATRIX-CARER'!W50)</f>
        <v/>
      </c>
      <c r="Z70" s="25" t="str">
        <f>IF('Residual-RosteredMATRIX-CARER'!X50=0,"",'Residual-RosteredMATRIX-CARER'!X50)</f>
        <v/>
      </c>
      <c r="AA70" s="25" t="str">
        <f>IF('Residual-RosteredMATRIX-CARER'!Y50=0,"",'Residual-RosteredMATRIX-CARER'!Y50)</f>
        <v/>
      </c>
      <c r="AB70" s="25" t="str">
        <f>IF('Residual-RosteredMATRIX-CARER'!Z50=0,"",'Residual-RosteredMATRIX-CARER'!Z50)</f>
        <v/>
      </c>
      <c r="AC70" s="25" t="str">
        <f>IF('Residual-RosteredMATRIX-CARER'!AA50=0,"",'Residual-RosteredMATRIX-CARER'!AA50)</f>
        <v/>
      </c>
      <c r="AD70" s="25" t="str">
        <f>IF('Residual-RosteredMATRIX-CARER'!AB50=0,"",'Residual-RosteredMATRIX-CARER'!AB50)</f>
        <v/>
      </c>
      <c r="AE70" s="25" t="str">
        <f>IF('Residual-RosteredMATRIX-CARER'!AC50=0,"",'Residual-RosteredMATRIX-CARER'!AC50)</f>
        <v>0/ 7.3</v>
      </c>
      <c r="AF70" s="25" t="str">
        <f>IF('Residual-RosteredMATRIX-CARER'!AD50=0,"",'Residual-RosteredMATRIX-CARER'!AD50)</f>
        <v>0.5/ 0.2</v>
      </c>
      <c r="AG70" s="25" t="str">
        <f>IF('Residual-RosteredMATRIX-CARER'!AE39=0,"",'Residual-RosteredMATRIX-CARER'!AE39)</f>
        <v/>
      </c>
      <c r="AH70" s="25" t="str">
        <f>IF('Residual-RosteredMATRIX-CARER'!AF50=0,"",'Residual-RosteredMATRIX-CARER'!AF50)</f>
        <v>0.5/ 7.3</v>
      </c>
      <c r="AI70" s="25" t="str">
        <f>IF('Residual-RosteredMATRIX-CARER'!AG50=0,"",'Residual-RosteredMATRIX-CARER'!AG50)</f>
        <v>2.6/ 0.2</v>
      </c>
      <c r="AJ70" s="25" t="str">
        <f>IF('Residual-RosteredMATRIX-CARER'!AH50=0,"",'Residual-RosteredMATRIX-CARER'!AH50)</f>
        <v/>
      </c>
      <c r="AK70" s="25" t="str">
        <f>IF('Residual-RosteredMATRIX-CARER'!AI50=0,"",'Residual-RosteredMATRIX-CARER'!AI50)</f>
        <v/>
      </c>
      <c r="AL70" s="25" t="str">
        <f>IF('Residual-RosteredMATRIX-CARER'!AJ50=0,"",'Residual-RosteredMATRIX-CARER'!AJ50)</f>
        <v/>
      </c>
      <c r="AM70" s="25" t="str">
        <f>IF('Residual-RosteredMATRIX-CARER'!AK50=0,"",'Residual-RosteredMATRIX-CARER'!AK50)</f>
        <v/>
      </c>
      <c r="AN70" s="25" t="str">
        <f>IF('Residual-RosteredMATRIX-CARER'!AL50=0,"",'Residual-RosteredMATRIX-CARER'!AL50)</f>
        <v>0/ 7.3</v>
      </c>
      <c r="AO70" s="25" t="str">
        <f>IF('Residual-RosteredMATRIX-CARER'!AM50=0,"",'Residual-RosteredMATRIX-CARER'!AM50)</f>
        <v>0.5/ 0.2</v>
      </c>
      <c r="AP70" s="25" t="str">
        <f>IF('Residual-RosteredMATRIX-CARER'!AN50=0,"",'Residual-RosteredMATRIX-CARER'!AN50)</f>
        <v/>
      </c>
      <c r="AQ70" s="25" t="str">
        <f>IF('Residual-RosteredMATRIX-CARER'!AO50=0,"",'Residual-RosteredMATRIX-CARER'!AO50)</f>
        <v>0.5/ 7.3</v>
      </c>
      <c r="AR70" s="25" t="str">
        <f>IF('Residual-RosteredMATRIX-CARER'!AP50=0,"",'Residual-RosteredMATRIX-CARER'!AP50)</f>
        <v>0.5/ 0.2</v>
      </c>
      <c r="AS70" s="25" t="str">
        <f>IF('Residual-RosteredMATRIX-CARER'!AQ50=0,"",'Residual-RosteredMATRIX-CARER'!AQ50)</f>
        <v/>
      </c>
      <c r="AT70" s="25" t="str">
        <f>IF('Residual-RosteredMATRIX-CARER'!AR50=0,"",'Residual-RosteredMATRIX-CARER'!AR50)</f>
        <v>0.5/ 7.3</v>
      </c>
      <c r="AU70" s="25" t="str">
        <f>IF('Residual-RosteredMATRIX-CARER'!AS50=0,"",'Residual-RosteredMATRIX-CARER'!AS50)</f>
        <v>0/ 0.2</v>
      </c>
      <c r="AV70" s="25" t="str">
        <f>IF('Residual-RosteredMATRIX-CARER'!AT50=0,"",'Residual-RosteredMATRIX-CARER'!AT50)</f>
        <v/>
      </c>
      <c r="AW70" s="25" t="str">
        <f>IF('Residual-RosteredMATRIX-CARER'!AU50=0,"",'Residual-RosteredMATRIX-CARER'!AU50)</f>
        <v>0/ 3.9</v>
      </c>
    </row>
    <row r="71" spans="1:49" ht="15.75" customHeight="1" x14ac:dyDescent="0.25">
      <c r="A71" s="25" t="e">
        <f>'Residual-Rostered'!#REF!</f>
        <v>#REF!</v>
      </c>
      <c r="B71" s="33" t="str">
        <f>'Residual-RosteredMATRIX-CARER'!D43</f>
        <v>Carer</v>
      </c>
      <c r="C71" s="33" t="str">
        <f>'Residual-RosteredMATRIX-CARER'!C43</f>
        <v>Sandhu, Mehakpreet</v>
      </c>
      <c r="D71" s="34">
        <f>'Residual-RosteredMATRIX-CARER'!E43</f>
        <v>57</v>
      </c>
      <c r="E71" s="14">
        <f>Max_HRS-Table314[[#This Row],[ROSTERED TIME]]</f>
        <v>19</v>
      </c>
      <c r="F71" s="14">
        <f t="shared" si="6"/>
        <v>0</v>
      </c>
      <c r="G71" s="14">
        <f>Table314[[#This Row],[ROSTERED TIME]]+Table314[[#This Row],[CHANGE TIME]]</f>
        <v>57</v>
      </c>
      <c r="H71" s="25" t="str">
        <f>IF('Residual-RosteredMATRIX-CARER'!F43=0,"",'Residual-RosteredMATRIX-CARER'!F43)</f>
        <v/>
      </c>
      <c r="I71" s="25" t="str">
        <f>IF('Residual-RosteredMATRIX-CARER'!G43=0,"",'Residual-RosteredMATRIX-CARER'!G43)</f>
        <v/>
      </c>
      <c r="J71" s="25" t="str">
        <f>IF('Residual-RosteredMATRIX-CARER'!H43=0,"",'Residual-RosteredMATRIX-CARER'!H43)</f>
        <v/>
      </c>
      <c r="K71" s="25" t="str">
        <f>IF('Residual-RosteredMATRIX-CARER'!I43=0,"",'Residual-RosteredMATRIX-CARER'!I43)</f>
        <v>0/ 2.4</v>
      </c>
      <c r="L71" s="25" t="str">
        <f>IF('Residual-RosteredMATRIX-CARER'!J43=0,"",'Residual-RosteredMATRIX-CARER'!J43)</f>
        <v>0/ 7.1</v>
      </c>
      <c r="M71" s="25" t="str">
        <f>IF('Residual-RosteredMATRIX-CARER'!K43=0,"",'Residual-RosteredMATRIX-CARER'!K43)</f>
        <v/>
      </c>
      <c r="N71" s="25" t="str">
        <f>IF('Residual-RosteredMATRIX-CARER'!L43=0,"",'Residual-RosteredMATRIX-CARER'!L43)</f>
        <v>0/ 2.4</v>
      </c>
      <c r="O71" s="25" t="str">
        <f>IF('Residual-RosteredMATRIX-CARER'!M43=0,"",'Residual-RosteredMATRIX-CARER'!M43)</f>
        <v>0/ 7.1</v>
      </c>
      <c r="P71" s="25" t="str">
        <f>IF('Residual-RosteredMATRIX-CARER'!N43=0,"",'Residual-RosteredMATRIX-CARER'!N43)</f>
        <v/>
      </c>
      <c r="Q71" s="25" t="str">
        <f>IF('Residual-RosteredMATRIX-CARER'!O43=0,"",'Residual-RosteredMATRIX-CARER'!O43)</f>
        <v>0/ 2.4</v>
      </c>
      <c r="R71" s="25" t="str">
        <f>IF('Residual-RosteredMATRIX-CARER'!P43=0,"",'Residual-RosteredMATRIX-CARER'!P43)</f>
        <v>0/ 7.1</v>
      </c>
      <c r="S71" s="25" t="str">
        <f>IF('Residual-RosteredMATRIX-CARER'!Q43=0,"",'Residual-RosteredMATRIX-CARER'!Q43)</f>
        <v/>
      </c>
      <c r="T71" s="25" t="str">
        <f>IF('Residual-RosteredMATRIX-CARER'!R43=0,"",'Residual-RosteredMATRIX-CARER'!R43)</f>
        <v/>
      </c>
      <c r="U71" s="25" t="str">
        <f>IF('Residual-RosteredMATRIX-CARER'!S43=0,"",'Residual-RosteredMATRIX-CARER'!S43)</f>
        <v/>
      </c>
      <c r="V71" s="25" t="str">
        <f>IF('Residual-RosteredMATRIX-CARER'!T43=0,"",'Residual-RosteredMATRIX-CARER'!T43)</f>
        <v/>
      </c>
      <c r="W71" s="25" t="str">
        <f>IF('Residual-RosteredMATRIX-CARER'!U43=0,"",'Residual-RosteredMATRIX-CARER'!U43)</f>
        <v/>
      </c>
      <c r="X71" s="25" t="str">
        <f>IF('Residual-RosteredMATRIX-CARER'!V43=0,"",'Residual-RosteredMATRIX-CARER'!V43)</f>
        <v/>
      </c>
      <c r="Y71" s="25" t="str">
        <f>IF('Residual-RosteredMATRIX-CARER'!W43=0,"",'Residual-RosteredMATRIX-CARER'!W43)</f>
        <v/>
      </c>
      <c r="Z71" s="25" t="str">
        <f>IF('Residual-RosteredMATRIX-CARER'!X43=0,"",'Residual-RosteredMATRIX-CARER'!X43)</f>
        <v/>
      </c>
      <c r="AA71" s="25" t="str">
        <f>IF('Residual-RosteredMATRIX-CARER'!Y43=0,"",'Residual-RosteredMATRIX-CARER'!Y43)</f>
        <v/>
      </c>
      <c r="AB71" s="25" t="str">
        <f>IF('Residual-RosteredMATRIX-CARER'!Z43=0,"",'Residual-RosteredMATRIX-CARER'!Z43)</f>
        <v/>
      </c>
      <c r="AC71" s="25" t="str">
        <f>IF('Residual-RosteredMATRIX-CARER'!AA43=0,"",'Residual-RosteredMATRIX-CARER'!AA43)</f>
        <v/>
      </c>
      <c r="AD71" s="25" t="str">
        <f>IF('Residual-RosteredMATRIX-CARER'!AB43=0,"",'Residual-RosteredMATRIX-CARER'!AB43)</f>
        <v/>
      </c>
      <c r="AE71" s="25" t="str">
        <f>IF('Residual-RosteredMATRIX-CARER'!AC43=0,"",'Residual-RosteredMATRIX-CARER'!AC43)</f>
        <v/>
      </c>
      <c r="AF71" s="25" t="str">
        <f>IF('Residual-RosteredMATRIX-CARER'!AD43=0,"",'Residual-RosteredMATRIX-CARER'!AD43)</f>
        <v>0/ 2.4</v>
      </c>
      <c r="AG71" s="25" t="str">
        <f>IF('Residual-RosteredMATRIX-CARER'!AE40=0,"",'Residual-RosteredMATRIX-CARER'!AE40)</f>
        <v/>
      </c>
      <c r="AH71" s="25" t="str">
        <f>IF('Residual-RosteredMATRIX-CARER'!AF43=0,"",'Residual-RosteredMATRIX-CARER'!AF43)</f>
        <v/>
      </c>
      <c r="AI71" s="25" t="str">
        <f>IF('Residual-RosteredMATRIX-CARER'!AG43=0,"",'Residual-RosteredMATRIX-CARER'!AG43)</f>
        <v>0/ 2.4</v>
      </c>
      <c r="AJ71" s="25" t="str">
        <f>IF('Residual-RosteredMATRIX-CARER'!AH43=0,"",'Residual-RosteredMATRIX-CARER'!AH43)</f>
        <v>0/ 7.1</v>
      </c>
      <c r="AK71" s="25" t="str">
        <f>IF('Residual-RosteredMATRIX-CARER'!AI43=0,"",'Residual-RosteredMATRIX-CARER'!AI43)</f>
        <v/>
      </c>
      <c r="AL71" s="25" t="str">
        <f>IF('Residual-RosteredMATRIX-CARER'!AJ43=0,"",'Residual-RosteredMATRIX-CARER'!AJ43)</f>
        <v>0/ 2.4</v>
      </c>
      <c r="AM71" s="25" t="str">
        <f>IF('Residual-RosteredMATRIX-CARER'!AK43=0,"",'Residual-RosteredMATRIX-CARER'!AK43)</f>
        <v>0/ 7.1</v>
      </c>
      <c r="AN71" s="25" t="str">
        <f>IF('Residual-RosteredMATRIX-CARER'!AL43=0,"",'Residual-RosteredMATRIX-CARER'!AL43)</f>
        <v/>
      </c>
      <c r="AO71" s="25" t="str">
        <f>IF('Residual-RosteredMATRIX-CARER'!AM43=0,"",'Residual-RosteredMATRIX-CARER'!AM43)</f>
        <v/>
      </c>
      <c r="AP71" s="25" t="str">
        <f>IF('Residual-RosteredMATRIX-CARER'!AN43=0,"",'Residual-RosteredMATRIX-CARER'!AN43)</f>
        <v/>
      </c>
      <c r="AQ71" s="25" t="str">
        <f>IF('Residual-RosteredMATRIX-CARER'!AO43=0,"",'Residual-RosteredMATRIX-CARER'!AO43)</f>
        <v/>
      </c>
      <c r="AR71" s="25" t="str">
        <f>IF('Residual-RosteredMATRIX-CARER'!AP43=0,"",'Residual-RosteredMATRIX-CARER'!AP43)</f>
        <v/>
      </c>
      <c r="AS71" s="25" t="str">
        <f>IF('Residual-RosteredMATRIX-CARER'!AQ43=0,"",'Residual-RosteredMATRIX-CARER'!AQ43)</f>
        <v/>
      </c>
      <c r="AT71" s="25" t="str">
        <f>IF('Residual-RosteredMATRIX-CARER'!AR43=0,"",'Residual-RosteredMATRIX-CARER'!AR43)</f>
        <v/>
      </c>
      <c r="AU71" s="25" t="str">
        <f>IF('Residual-RosteredMATRIX-CARER'!AS43=0,"",'Residual-RosteredMATRIX-CARER'!AS43)</f>
        <v/>
      </c>
      <c r="AV71" s="25" t="str">
        <f>IF('Residual-RosteredMATRIX-CARER'!AT43=0,"",'Residual-RosteredMATRIX-CARER'!AT43)</f>
        <v/>
      </c>
      <c r="AW71" s="25" t="str">
        <f>IF('Residual-RosteredMATRIX-CARER'!AU43=0,"",'Residual-RosteredMATRIX-CARER'!AU43)</f>
        <v/>
      </c>
    </row>
    <row r="72" spans="1:49" ht="15.75" customHeight="1" x14ac:dyDescent="0.25">
      <c r="B72" s="33" t="str">
        <f>'Residual-RosteredMATRIX-CARER'!D42</f>
        <v>Carer</v>
      </c>
      <c r="C72" s="33" t="str">
        <f>'Residual-RosteredMATRIX-CARER'!C42</f>
        <v>Shanahan, Leanne</v>
      </c>
      <c r="D72" s="34">
        <f>'Residual-RosteredMATRIX-CARER'!E42</f>
        <v>52.5</v>
      </c>
      <c r="E72" s="14">
        <f>Max_HRS-Table314[[#This Row],[ROSTERED TIME]]</f>
        <v>23.5</v>
      </c>
      <c r="F72" s="14">
        <f t="shared" si="6"/>
        <v>0</v>
      </c>
      <c r="G72" s="14">
        <f>Table314[[#This Row],[ROSTERED TIME]]+Table314[[#This Row],[CHANGE TIME]]</f>
        <v>52.5</v>
      </c>
      <c r="H72" s="25" t="str">
        <f>IF('Residual-RosteredMATRIX-CARER'!F42=0,"",'Residual-RosteredMATRIX-CARER'!F42)</f>
        <v/>
      </c>
      <c r="I72" s="25" t="str">
        <f>IF('Residual-RosteredMATRIX-CARER'!G42=0,"",'Residual-RosteredMATRIX-CARER'!G42)</f>
        <v/>
      </c>
      <c r="J72" s="25" t="str">
        <f>IF('Residual-RosteredMATRIX-CARER'!H42=0,"",'Residual-RosteredMATRIX-CARER'!H42)</f>
        <v>0.7/ 7.3</v>
      </c>
      <c r="K72" s="25" t="str">
        <f>IF('Residual-RosteredMATRIX-CARER'!I42=0,"",'Residual-RosteredMATRIX-CARER'!I42)</f>
        <v>0.5/ 0.2</v>
      </c>
      <c r="L72" s="25" t="str">
        <f>IF('Residual-RosteredMATRIX-CARER'!J42=0,"",'Residual-RosteredMATRIX-CARER'!J42)</f>
        <v/>
      </c>
      <c r="M72" s="25" t="str">
        <f>IF('Residual-RosteredMATRIX-CARER'!K42=0,"",'Residual-RosteredMATRIX-CARER'!K42)</f>
        <v>0.5/ 7.3</v>
      </c>
      <c r="N72" s="25" t="str">
        <f>IF('Residual-RosteredMATRIX-CARER'!L42=0,"",'Residual-RosteredMATRIX-CARER'!L42)</f>
        <v>2.4/ 0.2</v>
      </c>
      <c r="O72" s="25" t="str">
        <f>IF('Residual-RosteredMATRIX-CARER'!M42=0,"",'Residual-RosteredMATRIX-CARER'!M42)</f>
        <v/>
      </c>
      <c r="P72" s="25" t="str">
        <f>IF('Residual-RosteredMATRIX-CARER'!N42=0,"",'Residual-RosteredMATRIX-CARER'!N42)</f>
        <v/>
      </c>
      <c r="Q72" s="25" t="str">
        <f>IF('Residual-RosteredMATRIX-CARER'!O42=0,"",'Residual-RosteredMATRIX-CARER'!O42)</f>
        <v/>
      </c>
      <c r="R72" s="25" t="str">
        <f>IF('Residual-RosteredMATRIX-CARER'!P42=0,"",'Residual-RosteredMATRIX-CARER'!P42)</f>
        <v/>
      </c>
      <c r="S72" s="25" t="str">
        <f>IF('Residual-RosteredMATRIX-CARER'!Q42=0,"",'Residual-RosteredMATRIX-CARER'!Q42)</f>
        <v/>
      </c>
      <c r="T72" s="25" t="str">
        <f>IF('Residual-RosteredMATRIX-CARER'!R42=0,"",'Residual-RosteredMATRIX-CARER'!R42)</f>
        <v/>
      </c>
      <c r="U72" s="25" t="str">
        <f>IF('Residual-RosteredMATRIX-CARER'!S42=0,"",'Residual-RosteredMATRIX-CARER'!S42)</f>
        <v/>
      </c>
      <c r="V72" s="25" t="str">
        <f>IF('Residual-RosteredMATRIX-CARER'!T42=0,"",'Residual-RosteredMATRIX-CARER'!T42)</f>
        <v>0.7/ 7.3</v>
      </c>
      <c r="W72" s="25" t="str">
        <f>IF('Residual-RosteredMATRIX-CARER'!U42=0,"",'Residual-RosteredMATRIX-CARER'!U42)</f>
        <v>0.5/ 0.2</v>
      </c>
      <c r="X72" s="25" t="str">
        <f>IF('Residual-RosteredMATRIX-CARER'!V42=0,"",'Residual-RosteredMATRIX-CARER'!V42)</f>
        <v/>
      </c>
      <c r="Y72" s="25" t="str">
        <f>IF('Residual-RosteredMATRIX-CARER'!W42=0,"",'Residual-RosteredMATRIX-CARER'!W42)</f>
        <v>0.5/ 7.3</v>
      </c>
      <c r="Z72" s="25" t="str">
        <f>IF('Residual-RosteredMATRIX-CARER'!X42=0,"",'Residual-RosteredMATRIX-CARER'!X42)</f>
        <v>0.5/ 0.2</v>
      </c>
      <c r="AA72" s="25" t="str">
        <f>IF('Residual-RosteredMATRIX-CARER'!Y42=0,"",'Residual-RosteredMATRIX-CARER'!Y42)</f>
        <v/>
      </c>
      <c r="AB72" s="25" t="str">
        <f>IF('Residual-RosteredMATRIX-CARER'!Z42=0,"",'Residual-RosteredMATRIX-CARER'!Z42)</f>
        <v>0.5/ 7.3</v>
      </c>
      <c r="AC72" s="25" t="str">
        <f>IF('Residual-RosteredMATRIX-CARER'!AA42=0,"",'Residual-RosteredMATRIX-CARER'!AA42)</f>
        <v>0.5/ 0.2</v>
      </c>
      <c r="AD72" s="25" t="str">
        <f>IF('Residual-RosteredMATRIX-CARER'!AB42=0,"",'Residual-RosteredMATRIX-CARER'!AB42)</f>
        <v/>
      </c>
      <c r="AE72" s="25" t="str">
        <f>IF('Residual-RosteredMATRIX-CARER'!AC42=0,"",'Residual-RosteredMATRIX-CARER'!AC42)</f>
        <v>0.5/ 7.3</v>
      </c>
      <c r="AF72" s="25" t="str">
        <f>IF('Residual-RosteredMATRIX-CARER'!AD42=0,"",'Residual-RosteredMATRIX-CARER'!AD42)</f>
        <v>0.5/ 0.2</v>
      </c>
      <c r="AG72" s="25" t="str">
        <f>IF('Residual-RosteredMATRIX-CARER'!AE41=0,"",'Residual-RosteredMATRIX-CARER'!AE41)</f>
        <v/>
      </c>
      <c r="AH72" s="25" t="str">
        <f>IF('Residual-RosteredMATRIX-CARER'!AF42=0,"",'Residual-RosteredMATRIX-CARER'!AF42)</f>
        <v>0.5/ 7.3</v>
      </c>
      <c r="AI72" s="25" t="str">
        <f>IF('Residual-RosteredMATRIX-CARER'!AG42=0,"",'Residual-RosteredMATRIX-CARER'!AG42)</f>
        <v>2.4/ 0.2</v>
      </c>
      <c r="AJ72" s="25" t="str">
        <f>IF('Residual-RosteredMATRIX-CARER'!AH42=0,"",'Residual-RosteredMATRIX-CARER'!AH42)</f>
        <v/>
      </c>
      <c r="AK72" s="25" t="str">
        <f>IF('Residual-RosteredMATRIX-CARER'!AI42=0,"",'Residual-RosteredMATRIX-CARER'!AI42)</f>
        <v/>
      </c>
      <c r="AL72" s="25" t="str">
        <f>IF('Residual-RosteredMATRIX-CARER'!AJ42=0,"",'Residual-RosteredMATRIX-CARER'!AJ42)</f>
        <v/>
      </c>
      <c r="AM72" s="25" t="str">
        <f>IF('Residual-RosteredMATRIX-CARER'!AK42=0,"",'Residual-RosteredMATRIX-CARER'!AK42)</f>
        <v/>
      </c>
      <c r="AN72" s="25" t="str">
        <f>IF('Residual-RosteredMATRIX-CARER'!AL42=0,"",'Residual-RosteredMATRIX-CARER'!AL42)</f>
        <v/>
      </c>
      <c r="AO72" s="25" t="str">
        <f>IF('Residual-RosteredMATRIX-CARER'!AM42=0,"",'Residual-RosteredMATRIX-CARER'!AM42)</f>
        <v/>
      </c>
      <c r="AP72" s="25" t="str">
        <f>IF('Residual-RosteredMATRIX-CARER'!AN42=0,"",'Residual-RosteredMATRIX-CARER'!AN42)</f>
        <v/>
      </c>
      <c r="AQ72" s="25" t="str">
        <f>IF('Residual-RosteredMATRIX-CARER'!AO42=0,"",'Residual-RosteredMATRIX-CARER'!AO42)</f>
        <v/>
      </c>
      <c r="AR72" s="25" t="str">
        <f>IF('Residual-RosteredMATRIX-CARER'!AP42=0,"",'Residual-RosteredMATRIX-CARER'!AP42)</f>
        <v/>
      </c>
      <c r="AS72" s="25" t="str">
        <f>IF('Residual-RosteredMATRIX-CARER'!AQ42=0,"",'Residual-RosteredMATRIX-CARER'!AQ42)</f>
        <v/>
      </c>
      <c r="AT72" s="25" t="str">
        <f>IF('Residual-RosteredMATRIX-CARER'!AR42=0,"",'Residual-RosteredMATRIX-CARER'!AR42)</f>
        <v/>
      </c>
      <c r="AU72" s="25" t="str">
        <f>IF('Residual-RosteredMATRIX-CARER'!AS42=0,"",'Residual-RosteredMATRIX-CARER'!AS42)</f>
        <v/>
      </c>
      <c r="AV72" s="25" t="str">
        <f>IF('Residual-RosteredMATRIX-CARER'!AT42=0,"",'Residual-RosteredMATRIX-CARER'!AT42)</f>
        <v/>
      </c>
      <c r="AW72" s="25" t="str">
        <f>IF('Residual-RosteredMATRIX-CARER'!AU42=0,"",'Residual-RosteredMATRIX-CARER'!AU42)</f>
        <v/>
      </c>
    </row>
    <row r="73" spans="1:49" ht="15.75" customHeight="1" x14ac:dyDescent="0.25">
      <c r="B73" s="33" t="str">
        <f>'Residual-RosteredMATRIX-CARER'!D29</f>
        <v>Carer</v>
      </c>
      <c r="C73" s="33" t="str">
        <f>'Residual-RosteredMATRIX-CARER'!C29</f>
        <v>Kaur, Kuldeep</v>
      </c>
      <c r="D73" s="34">
        <f>'Residual-RosteredMATRIX-CARER'!E29</f>
        <v>59</v>
      </c>
      <c r="E73" s="14">
        <f>Max_HRS-Table314[[#This Row],[ROSTERED TIME]]</f>
        <v>17</v>
      </c>
      <c r="F73" s="14">
        <f t="shared" si="6"/>
        <v>0</v>
      </c>
      <c r="G73" s="14">
        <f>Table314[[#This Row],[ROSTERED TIME]]+Table314[[#This Row],[CHANGE TIME]]</f>
        <v>59</v>
      </c>
      <c r="H73" s="25" t="str">
        <f>IF('Residual-RosteredMATRIX-CARER'!F29=0,"",'Residual-RosteredMATRIX-CARER'!F29)</f>
        <v/>
      </c>
      <c r="I73" s="25" t="str">
        <f>IF('Residual-RosteredMATRIX-CARER'!G29=0,"",'Residual-RosteredMATRIX-CARER'!G29)</f>
        <v/>
      </c>
      <c r="J73" s="25" t="str">
        <f>IF('Residual-RosteredMATRIX-CARER'!H29=0,"",'Residual-RosteredMATRIX-CARER'!H29)</f>
        <v/>
      </c>
      <c r="K73" s="25" t="str">
        <f>IF('Residual-RosteredMATRIX-CARER'!I29=0,"",'Residual-RosteredMATRIX-CARER'!I29)</f>
        <v/>
      </c>
      <c r="L73" s="25" t="str">
        <f>IF('Residual-RosteredMATRIX-CARER'!J29=0,"",'Residual-RosteredMATRIX-CARER'!J29)</f>
        <v/>
      </c>
      <c r="M73" s="25" t="str">
        <f>IF('Residual-RosteredMATRIX-CARER'!K29=0,"",'Residual-RosteredMATRIX-CARER'!K29)</f>
        <v/>
      </c>
      <c r="N73" s="25" t="str">
        <f>IF('Residual-RosteredMATRIX-CARER'!L29=0,"",'Residual-RosteredMATRIX-CARER'!L29)</f>
        <v/>
      </c>
      <c r="O73" s="25" t="str">
        <f>IF('Residual-RosteredMATRIX-CARER'!M29=0,"",'Residual-RosteredMATRIX-CARER'!M29)</f>
        <v/>
      </c>
      <c r="P73" s="25" t="str">
        <f>IF('Residual-RosteredMATRIX-CARER'!N29=0,"",'Residual-RosteredMATRIX-CARER'!N29)</f>
        <v/>
      </c>
      <c r="Q73" s="25" t="str">
        <f>IF('Residual-RosteredMATRIX-CARER'!O29=0,"",'Residual-RosteredMATRIX-CARER'!O29)</f>
        <v/>
      </c>
      <c r="R73" s="25" t="str">
        <f>IF('Residual-RosteredMATRIX-CARER'!P29=0,"",'Residual-RosteredMATRIX-CARER'!P29)</f>
        <v>1/ 7</v>
      </c>
      <c r="S73" s="25" t="str">
        <f>IF('Residual-RosteredMATRIX-CARER'!Q29=0,"",'Residual-RosteredMATRIX-CARER'!Q29)</f>
        <v/>
      </c>
      <c r="T73" s="25" t="str">
        <f>IF('Residual-RosteredMATRIX-CARER'!R29=0,"",'Residual-RosteredMATRIX-CARER'!R29)</f>
        <v/>
      </c>
      <c r="U73" s="25" t="str">
        <f>IF('Residual-RosteredMATRIX-CARER'!S29=0,"",'Residual-RosteredMATRIX-CARER'!S29)</f>
        <v>1/ 7</v>
      </c>
      <c r="V73" s="25" t="str">
        <f>IF('Residual-RosteredMATRIX-CARER'!T29=0,"",'Residual-RosteredMATRIX-CARER'!T29)</f>
        <v/>
      </c>
      <c r="W73" s="25" t="str">
        <f>IF('Residual-RosteredMATRIX-CARER'!U29=0,"",'Residual-RosteredMATRIX-CARER'!U29)</f>
        <v/>
      </c>
      <c r="X73" s="25" t="str">
        <f>IF('Residual-RosteredMATRIX-CARER'!V29=0,"",'Residual-RosteredMATRIX-CARER'!V29)</f>
        <v>1/ 7</v>
      </c>
      <c r="Y73" s="25" t="str">
        <f>IF('Residual-RosteredMATRIX-CARER'!W29=0,"",'Residual-RosteredMATRIX-CARER'!W29)</f>
        <v/>
      </c>
      <c r="Z73" s="25" t="str">
        <f>IF('Residual-RosteredMATRIX-CARER'!X29=0,"",'Residual-RosteredMATRIX-CARER'!X29)</f>
        <v/>
      </c>
      <c r="AA73" s="25" t="str">
        <f>IF('Residual-RosteredMATRIX-CARER'!Y29=0,"",'Residual-RosteredMATRIX-CARER'!Y29)</f>
        <v>1/ 7</v>
      </c>
      <c r="AB73" s="25" t="str">
        <f>IF('Residual-RosteredMATRIX-CARER'!Z29=0,"",'Residual-RosteredMATRIX-CARER'!Z29)</f>
        <v/>
      </c>
      <c r="AC73" s="25" t="str">
        <f>IF('Residual-RosteredMATRIX-CARER'!AA29=0,"",'Residual-RosteredMATRIX-CARER'!AA29)</f>
        <v/>
      </c>
      <c r="AD73" s="25" t="str">
        <f>IF('Residual-RosteredMATRIX-CARER'!AB29=0,"",'Residual-RosteredMATRIX-CARER'!AB29)</f>
        <v/>
      </c>
      <c r="AE73" s="25" t="str">
        <f>IF('Residual-RosteredMATRIX-CARER'!AC29=0,"",'Residual-RosteredMATRIX-CARER'!AC29)</f>
        <v/>
      </c>
      <c r="AF73" s="25" t="str">
        <f>IF('Residual-RosteredMATRIX-CARER'!AD29=0,"",'Residual-RosteredMATRIX-CARER'!AD29)</f>
        <v/>
      </c>
      <c r="AG73" s="25" t="str">
        <f>IF('Residual-RosteredMATRIX-CARER'!AE42=0,"",'Residual-RosteredMATRIX-CARER'!AE42)</f>
        <v/>
      </c>
      <c r="AH73" s="25" t="str">
        <f>IF('Residual-RosteredMATRIX-CARER'!AF29=0,"",'Residual-RosteredMATRIX-CARER'!AF29)</f>
        <v/>
      </c>
      <c r="AI73" s="25" t="str">
        <f>IF('Residual-RosteredMATRIX-CARER'!AG29=0,"",'Residual-RosteredMATRIX-CARER'!AG29)</f>
        <v/>
      </c>
      <c r="AJ73" s="25" t="str">
        <f>IF('Residual-RosteredMATRIX-CARER'!AH29=0,"",'Residual-RosteredMATRIX-CARER'!AH29)</f>
        <v>0/ 7.8</v>
      </c>
      <c r="AK73" s="25" t="str">
        <f>IF('Residual-RosteredMATRIX-CARER'!AI29=0,"",'Residual-RosteredMATRIX-CARER'!AI29)</f>
        <v>0/ 0.2</v>
      </c>
      <c r="AL73" s="25" t="str">
        <f>IF('Residual-RosteredMATRIX-CARER'!AJ29=0,"",'Residual-RosteredMATRIX-CARER'!AJ29)</f>
        <v/>
      </c>
      <c r="AM73" s="25" t="str">
        <f>IF('Residual-RosteredMATRIX-CARER'!AK29=0,"",'Residual-RosteredMATRIX-CARER'!AK29)</f>
        <v>0/ 7.8</v>
      </c>
      <c r="AN73" s="25" t="str">
        <f>IF('Residual-RosteredMATRIX-CARER'!AL29=0,"",'Residual-RosteredMATRIX-CARER'!AL29)</f>
        <v>0/ 0.2</v>
      </c>
      <c r="AO73" s="25" t="str">
        <f>IF('Residual-RosteredMATRIX-CARER'!AM29=0,"",'Residual-RosteredMATRIX-CARER'!AM29)</f>
        <v/>
      </c>
      <c r="AP73" s="25" t="str">
        <f>IF('Residual-RosteredMATRIX-CARER'!AN29=0,"",'Residual-RosteredMATRIX-CARER'!AN29)</f>
        <v/>
      </c>
      <c r="AQ73" s="25" t="str">
        <f>IF('Residual-RosteredMATRIX-CARER'!AO29=0,"",'Residual-RosteredMATRIX-CARER'!AO29)</f>
        <v/>
      </c>
      <c r="AR73" s="25" t="str">
        <f>IF('Residual-RosteredMATRIX-CARER'!AP29=0,"",'Residual-RosteredMATRIX-CARER'!AP29)</f>
        <v>0.5/ 7.5</v>
      </c>
      <c r="AS73" s="25" t="str">
        <f>IF('Residual-RosteredMATRIX-CARER'!AQ29=0,"",'Residual-RosteredMATRIX-CARER'!AQ29)</f>
        <v/>
      </c>
      <c r="AT73" s="25" t="str">
        <f>IF('Residual-RosteredMATRIX-CARER'!AR29=0,"",'Residual-RosteredMATRIX-CARER'!AR29)</f>
        <v/>
      </c>
      <c r="AU73" s="25" t="str">
        <f>IF('Residual-RosteredMATRIX-CARER'!AS29=0,"",'Residual-RosteredMATRIX-CARER'!AS29)</f>
        <v>0.5/ 7.5</v>
      </c>
      <c r="AV73" s="25" t="str">
        <f>IF('Residual-RosteredMATRIX-CARER'!AT29=0,"",'Residual-RosteredMATRIX-CARER'!AT29)</f>
        <v/>
      </c>
      <c r="AW73" s="25" t="str">
        <f>IF('Residual-RosteredMATRIX-CARER'!AU29=0,"",'Residual-RosteredMATRIX-CARER'!AU29)</f>
        <v/>
      </c>
    </row>
    <row r="74" spans="1:49" ht="15.75" customHeight="1" x14ac:dyDescent="0.25">
      <c r="B74" s="33" t="str">
        <f>'Residual-RosteredMATRIX-CARER'!D48</f>
        <v>Carer</v>
      </c>
      <c r="C74" s="33" t="str">
        <f>'Residual-RosteredMATRIX-CARER'!C48</f>
        <v>Taylor, Glenda</v>
      </c>
      <c r="D74" s="34">
        <f>'Residual-RosteredMATRIX-CARER'!E48</f>
        <v>52.5</v>
      </c>
      <c r="E74" s="14">
        <f>Max_HRS-Table314[[#This Row],[ROSTERED TIME]]</f>
        <v>23.5</v>
      </c>
      <c r="F74" s="14">
        <f t="shared" si="6"/>
        <v>0.5</v>
      </c>
      <c r="G74" s="14">
        <f>Table314[[#This Row],[ROSTERED TIME]]+Table314[[#This Row],[CHANGE TIME]]</f>
        <v>53</v>
      </c>
      <c r="H74" s="25" t="str">
        <f>IF('Residual-RosteredMATRIX-CARER'!F48=0,"",'Residual-RosteredMATRIX-CARER'!F48)</f>
        <v/>
      </c>
      <c r="I74" s="25" t="str">
        <f>IF('Residual-RosteredMATRIX-CARER'!G48=0,"",'Residual-RosteredMATRIX-CARER'!G48)</f>
        <v/>
      </c>
      <c r="J74" s="25" t="str">
        <f>IF('Residual-RosteredMATRIX-CARER'!H48=0,"",'Residual-RosteredMATRIX-CARER'!H48)</f>
        <v/>
      </c>
      <c r="K74" s="25" t="str">
        <f>IF('Residual-RosteredMATRIX-CARER'!I48=0,"",'Residual-RosteredMATRIX-CARER'!I48)</f>
        <v/>
      </c>
      <c r="L74" s="25" t="str">
        <f>IF('Residual-RosteredMATRIX-CARER'!J48=0,"",'Residual-RosteredMATRIX-CARER'!J48)</f>
        <v/>
      </c>
      <c r="M74" s="25" t="str">
        <f>IF('Residual-RosteredMATRIX-CARER'!K48=0,"",'Residual-RosteredMATRIX-CARER'!K48)</f>
        <v/>
      </c>
      <c r="N74" s="25" t="str">
        <f>IF('Residual-RosteredMATRIX-CARER'!L48=0,"",'Residual-RosteredMATRIX-CARER'!L48)</f>
        <v>0.5/ 7.5</v>
      </c>
      <c r="O74" s="25" t="str">
        <f>IF('Residual-RosteredMATRIX-CARER'!M48=0,"",'Residual-RosteredMATRIX-CARER'!M48)</f>
        <v/>
      </c>
      <c r="P74" s="25" t="str">
        <f>IF('Residual-RosteredMATRIX-CARER'!N48=0,"",'Residual-RosteredMATRIX-CARER'!N48)</f>
        <v/>
      </c>
      <c r="Q74" s="25" t="str">
        <f>IF('Residual-RosteredMATRIX-CARER'!O48=0,"",'Residual-RosteredMATRIX-CARER'!O48)</f>
        <v>0.5/ 7.5</v>
      </c>
      <c r="R74" s="25" t="str">
        <f>IF('Residual-RosteredMATRIX-CARER'!P48=0,"",'Residual-RosteredMATRIX-CARER'!P48)</f>
        <v/>
      </c>
      <c r="S74" s="25" t="str">
        <f>IF('Residual-RosteredMATRIX-CARER'!Q48=0,"",'Residual-RosteredMATRIX-CARER'!Q48)</f>
        <v/>
      </c>
      <c r="T74" s="25" t="str">
        <f>IF('Residual-RosteredMATRIX-CARER'!R48=0,"",'Residual-RosteredMATRIX-CARER'!R48)</f>
        <v/>
      </c>
      <c r="U74" s="25" t="str">
        <f>IF('Residual-RosteredMATRIX-CARER'!S48=0,"",'Residual-RosteredMATRIX-CARER'!S48)</f>
        <v/>
      </c>
      <c r="V74" s="25" t="str">
        <f>IF('Residual-RosteredMATRIX-CARER'!T48=0,"",'Residual-RosteredMATRIX-CARER'!T48)</f>
        <v/>
      </c>
      <c r="W74" s="25" t="str">
        <f>IF('Residual-RosteredMATRIX-CARER'!U48=0,"",'Residual-RosteredMATRIX-CARER'!U48)</f>
        <v>0.5/ 7.5</v>
      </c>
      <c r="X74" s="25" t="str">
        <f>IF('Residual-RosteredMATRIX-CARER'!V48=0,"",'Residual-RosteredMATRIX-CARER'!V48)</f>
        <v/>
      </c>
      <c r="Y74" s="25" t="str">
        <f>IF('Residual-RosteredMATRIX-CARER'!W48=0,"",'Residual-RosteredMATRIX-CARER'!W48)</f>
        <v/>
      </c>
      <c r="Z74" s="25" t="str">
        <f>IF('Residual-RosteredMATRIX-CARER'!X48=0,"",'Residual-RosteredMATRIX-CARER'!X48)</f>
        <v>0.5/ 7.5</v>
      </c>
      <c r="AA74" s="25" t="str">
        <f>IF('Residual-RosteredMATRIX-CARER'!Y48=0,"",'Residual-RosteredMATRIX-CARER'!Y48)</f>
        <v/>
      </c>
      <c r="AB74" s="25" t="str">
        <f>IF('Residual-RosteredMATRIX-CARER'!Z48=0,"",'Residual-RosteredMATRIX-CARER'!Z48)</f>
        <v/>
      </c>
      <c r="AC74" s="25" t="str">
        <f>IF('Residual-RosteredMATRIX-CARER'!AA48=0,"",'Residual-RosteredMATRIX-CARER'!AA48)</f>
        <v>0.5/ 7.5</v>
      </c>
      <c r="AD74" s="25" t="str">
        <f>IF('Residual-RosteredMATRIX-CARER'!AB48=0,"",'Residual-RosteredMATRIX-CARER'!AB48)</f>
        <v/>
      </c>
      <c r="AE74" s="25" t="str">
        <f>IF('Residual-RosteredMATRIX-CARER'!AC48=0,"",'Residual-RosteredMATRIX-CARER'!AC48)</f>
        <v/>
      </c>
      <c r="AF74" s="25" t="str">
        <f>IF('Residual-RosteredMATRIX-CARER'!AD48=0,"",'Residual-RosteredMATRIX-CARER'!AD48)</f>
        <v/>
      </c>
      <c r="AG74" s="25" t="str">
        <f>IF('Residual-RosteredMATRIX-CARER'!AE43=0,"",'Residual-RosteredMATRIX-CARER'!AE43)</f>
        <v>0/ 7.1</v>
      </c>
      <c r="AH74" s="25" t="str">
        <f>IF('Residual-RosteredMATRIX-CARER'!AF48=0,"",'Residual-RosteredMATRIX-CARER'!AF48)</f>
        <v/>
      </c>
      <c r="AI74" s="25" t="str">
        <f>IF('Residual-RosteredMATRIX-CARER'!AG48=0,"",'Residual-RosteredMATRIX-CARER'!AG48)</f>
        <v>0.5/ 7.5</v>
      </c>
      <c r="AJ74" s="25" t="str">
        <f>IF('Residual-RosteredMATRIX-CARER'!AH48=0,"",'Residual-RosteredMATRIX-CARER'!AH48)</f>
        <v/>
      </c>
      <c r="AK74" s="25" t="str">
        <f>IF('Residual-RosteredMATRIX-CARER'!AI48=0,"",'Residual-RosteredMATRIX-CARER'!AI48)</f>
        <v/>
      </c>
      <c r="AL74" s="25" t="str">
        <f>IF('Residual-RosteredMATRIX-CARER'!AJ48=0,"",'Residual-RosteredMATRIX-CARER'!AJ48)</f>
        <v>0.5/ 7.5</v>
      </c>
      <c r="AM74" s="25">
        <v>0.5</v>
      </c>
      <c r="AN74" s="25" t="str">
        <f>IF('Residual-RosteredMATRIX-CARER'!AL48=0,"",'Residual-RosteredMATRIX-CARER'!AL48)</f>
        <v/>
      </c>
      <c r="AO74" s="25" t="str">
        <f>IF('Residual-RosteredMATRIX-CARER'!AM48=0,"",'Residual-RosteredMATRIX-CARER'!AM48)</f>
        <v/>
      </c>
      <c r="AP74" s="25" t="str">
        <f>IF('Residual-RosteredMATRIX-CARER'!AN48=0,"",'Residual-RosteredMATRIX-CARER'!AN48)</f>
        <v/>
      </c>
      <c r="AQ74" s="25" t="str">
        <f>IF('Residual-RosteredMATRIX-CARER'!AO48=0,"",'Residual-RosteredMATRIX-CARER'!AO48)</f>
        <v/>
      </c>
      <c r="AR74" s="25" t="str">
        <f>IF('Residual-RosteredMATRIX-CARER'!AP48=0,"",'Residual-RosteredMATRIX-CARER'!AP48)</f>
        <v/>
      </c>
      <c r="AS74" s="25" t="str">
        <f>IF('Residual-RosteredMATRIX-CARER'!AQ48=0,"",'Residual-RosteredMATRIX-CARER'!AQ48)</f>
        <v/>
      </c>
      <c r="AT74" s="25" t="str">
        <f>IF('Residual-RosteredMATRIX-CARER'!AR48=0,"",'Residual-RosteredMATRIX-CARER'!AR48)</f>
        <v/>
      </c>
      <c r="AU74" s="25" t="str">
        <f>IF('Residual-RosteredMATRIX-CARER'!AS48=0,"",'Residual-RosteredMATRIX-CARER'!AS48)</f>
        <v/>
      </c>
      <c r="AV74" s="25" t="str">
        <f>IF('Residual-RosteredMATRIX-CARER'!AT48=0,"",'Residual-RosteredMATRIX-CARER'!AT48)</f>
        <v/>
      </c>
      <c r="AW74" s="25" t="str">
        <f>IF('Residual-RosteredMATRIX-CARER'!AU48=0,"",'Residual-RosteredMATRIX-CARER'!AU48)</f>
        <v/>
      </c>
    </row>
    <row r="75" spans="1:49" ht="15.75" customHeight="1" x14ac:dyDescent="0.25">
      <c r="B75" s="33" t="str">
        <f>'Residual-RosteredMATRIX-CARER'!D37</f>
        <v>Carer</v>
      </c>
      <c r="C75" s="33" t="str">
        <f>'Residual-RosteredMATRIX-CARER'!C37</f>
        <v>Luke, Roslyne</v>
      </c>
      <c r="D75" s="34">
        <f>'Residual-RosteredMATRIX-CARER'!E37</f>
        <v>60</v>
      </c>
      <c r="E75" s="14">
        <f>Max_HRS-Table314[[#This Row],[ROSTERED TIME]]</f>
        <v>16</v>
      </c>
      <c r="F75" s="14">
        <f t="shared" si="6"/>
        <v>0</v>
      </c>
      <c r="G75" s="14">
        <f>Table314[[#This Row],[ROSTERED TIME]]+Table314[[#This Row],[CHANGE TIME]]</f>
        <v>60</v>
      </c>
      <c r="H75" s="25" t="str">
        <f>IF('Residual-RosteredMATRIX-CARER'!F37=0,"",'Residual-RosteredMATRIX-CARER'!F37)</f>
        <v/>
      </c>
      <c r="I75" s="25" t="str">
        <f>IF('Residual-RosteredMATRIX-CARER'!G37=0,"",'Residual-RosteredMATRIX-CARER'!G37)</f>
        <v/>
      </c>
      <c r="J75" s="25" t="str">
        <f>IF('Residual-RosteredMATRIX-CARER'!H37=0,"",'Residual-RosteredMATRIX-CARER'!H37)</f>
        <v/>
      </c>
      <c r="K75" s="25" t="str">
        <f>IF('Residual-RosteredMATRIX-CARER'!I37=0,"",'Residual-RosteredMATRIX-CARER'!I37)</f>
        <v/>
      </c>
      <c r="L75" s="25" t="str">
        <f>IF('Residual-RosteredMATRIX-CARER'!J37=0,"",'Residual-RosteredMATRIX-CARER'!J37)</f>
        <v/>
      </c>
      <c r="M75" s="25" t="str">
        <f>IF('Residual-RosteredMATRIX-CARER'!K37=0,"",'Residual-RosteredMATRIX-CARER'!K37)</f>
        <v/>
      </c>
      <c r="N75" s="25" t="str">
        <f>IF('Residual-RosteredMATRIX-CARER'!L37=0,"",'Residual-RosteredMATRIX-CARER'!L37)</f>
        <v/>
      </c>
      <c r="O75" s="25" t="str">
        <f>IF('Residual-RosteredMATRIX-CARER'!M37=0,"",'Residual-RosteredMATRIX-CARER'!M37)</f>
        <v>1/ 7</v>
      </c>
      <c r="P75" s="25" t="str">
        <f>IF('Residual-RosteredMATRIX-CARER'!N37=0,"",'Residual-RosteredMATRIX-CARER'!N37)</f>
        <v/>
      </c>
      <c r="Q75" s="25" t="str">
        <f>IF('Residual-RosteredMATRIX-CARER'!O37=0,"",'Residual-RosteredMATRIX-CARER'!O37)</f>
        <v/>
      </c>
      <c r="R75" s="25" t="str">
        <f>IF('Residual-RosteredMATRIX-CARER'!P37=0,"",'Residual-RosteredMATRIX-CARER'!P37)</f>
        <v>0/ 7.8</v>
      </c>
      <c r="S75" s="25" t="str">
        <f>IF('Residual-RosteredMATRIX-CARER'!Q37=0,"",'Residual-RosteredMATRIX-CARER'!Q37)</f>
        <v>0/ 0.2</v>
      </c>
      <c r="T75" s="25" t="str">
        <f>IF('Residual-RosteredMATRIX-CARER'!R37=0,"",'Residual-RosteredMATRIX-CARER'!R37)</f>
        <v/>
      </c>
      <c r="U75" s="25" t="str">
        <f>IF('Residual-RosteredMATRIX-CARER'!S37=0,"",'Residual-RosteredMATRIX-CARER'!S37)</f>
        <v>0/ 7.8</v>
      </c>
      <c r="V75" s="25" t="str">
        <f>IF('Residual-RosteredMATRIX-CARER'!T37=0,"",'Residual-RosteredMATRIX-CARER'!T37)</f>
        <v>0/ 0.2</v>
      </c>
      <c r="W75" s="25" t="str">
        <f>IF('Residual-RosteredMATRIX-CARER'!U37=0,"",'Residual-RosteredMATRIX-CARER'!U37)</f>
        <v/>
      </c>
      <c r="X75" s="25" t="str">
        <f>IF('Residual-RosteredMATRIX-CARER'!V37=0,"",'Residual-RosteredMATRIX-CARER'!V37)</f>
        <v>1/ 7</v>
      </c>
      <c r="Y75" s="25" t="str">
        <f>IF('Residual-RosteredMATRIX-CARER'!W37=0,"",'Residual-RosteredMATRIX-CARER'!W37)</f>
        <v/>
      </c>
      <c r="Z75" s="25" t="str">
        <f>IF('Residual-RosteredMATRIX-CARER'!X37=0,"",'Residual-RosteredMATRIX-CARER'!X37)</f>
        <v/>
      </c>
      <c r="AA75" s="25" t="str">
        <f>IF('Residual-RosteredMATRIX-CARER'!Y37=0,"",'Residual-RosteredMATRIX-CARER'!Y37)</f>
        <v>1/ 7</v>
      </c>
      <c r="AB75" s="25" t="str">
        <f>IF('Residual-RosteredMATRIX-CARER'!Z37=0,"",'Residual-RosteredMATRIX-CARER'!Z37)</f>
        <v/>
      </c>
      <c r="AC75" s="25" t="str">
        <f>IF('Residual-RosteredMATRIX-CARER'!AA37=0,"",'Residual-RosteredMATRIX-CARER'!AA37)</f>
        <v/>
      </c>
      <c r="AD75" s="25" t="str">
        <f>IF('Residual-RosteredMATRIX-CARER'!AB37=0,"",'Residual-RosteredMATRIX-CARER'!AB37)</f>
        <v/>
      </c>
      <c r="AE75" s="25" t="str">
        <f>IF('Residual-RosteredMATRIX-CARER'!AC37=0,"",'Residual-RosteredMATRIX-CARER'!AC37)</f>
        <v/>
      </c>
      <c r="AF75" s="25" t="str">
        <f>IF('Residual-RosteredMATRIX-CARER'!AD37=0,"",'Residual-RosteredMATRIX-CARER'!AD37)</f>
        <v/>
      </c>
      <c r="AG75" s="25" t="str">
        <f>IF('Residual-RosteredMATRIX-CARER'!AE44=0,"",'Residual-RosteredMATRIX-CARER'!AE44)</f>
        <v/>
      </c>
      <c r="AH75" s="25" t="str">
        <f>IF('Residual-RosteredMATRIX-CARER'!AF37=0,"",'Residual-RosteredMATRIX-CARER'!AF37)</f>
        <v/>
      </c>
      <c r="AI75" s="25" t="str">
        <f>IF('Residual-RosteredMATRIX-CARER'!AG37=0,"",'Residual-RosteredMATRIX-CARER'!AG37)</f>
        <v/>
      </c>
      <c r="AJ75" s="25" t="str">
        <f>IF('Residual-RosteredMATRIX-CARER'!AH37=0,"",'Residual-RosteredMATRIX-CARER'!AH37)</f>
        <v>1/ 7</v>
      </c>
      <c r="AK75" s="25" t="str">
        <f>IF('Residual-RosteredMATRIX-CARER'!AI37=0,"",'Residual-RosteredMATRIX-CARER'!AI37)</f>
        <v/>
      </c>
      <c r="AL75" s="25" t="str">
        <f>IF('Residual-RosteredMATRIX-CARER'!AJ37=0,"",'Residual-RosteredMATRIX-CARER'!AJ37)</f>
        <v/>
      </c>
      <c r="AM75" s="25" t="str">
        <f>IF('Residual-RosteredMATRIX-CARER'!AK37=0,"",'Residual-RosteredMATRIX-CARER'!AK37)</f>
        <v>0/ 7.8</v>
      </c>
      <c r="AN75" s="25" t="str">
        <f>IF('Residual-RosteredMATRIX-CARER'!AL37=0,"",'Residual-RosteredMATRIX-CARER'!AL37)</f>
        <v>0/ 0.2</v>
      </c>
      <c r="AO75" s="25" t="str">
        <f>IF('Residual-RosteredMATRIX-CARER'!AM37=0,"",'Residual-RosteredMATRIX-CARER'!AM37)</f>
        <v/>
      </c>
      <c r="AP75" s="25" t="str">
        <f>IF('Residual-RosteredMATRIX-CARER'!AN37=0,"",'Residual-RosteredMATRIX-CARER'!AN37)</f>
        <v>0/ 7.8</v>
      </c>
      <c r="AQ75" s="25" t="str">
        <f>IF('Residual-RosteredMATRIX-CARER'!AO37=0,"",'Residual-RosteredMATRIX-CARER'!AO37)</f>
        <v>0/ 0.2</v>
      </c>
      <c r="AR75" s="25" t="str">
        <f>IF('Residual-RosteredMATRIX-CARER'!AP37=0,"",'Residual-RosteredMATRIX-CARER'!AP37)</f>
        <v/>
      </c>
      <c r="AS75" s="25" t="str">
        <f>IF('Residual-RosteredMATRIX-CARER'!AQ37=0,"",'Residual-RosteredMATRIX-CARER'!AQ37)</f>
        <v/>
      </c>
      <c r="AT75" s="25" t="str">
        <f>IF('Residual-RosteredMATRIX-CARER'!AR37=0,"",'Residual-RosteredMATRIX-CARER'!AR37)</f>
        <v/>
      </c>
      <c r="AU75" s="25" t="str">
        <f>IF('Residual-RosteredMATRIX-CARER'!AS37=0,"",'Residual-RosteredMATRIX-CARER'!AS37)</f>
        <v/>
      </c>
      <c r="AV75" s="25" t="str">
        <f>IF('Residual-RosteredMATRIX-CARER'!AT37=0,"",'Residual-RosteredMATRIX-CARER'!AT37)</f>
        <v/>
      </c>
      <c r="AW75" s="25" t="str">
        <f>IF('Residual-RosteredMATRIX-CARER'!AU37=0,"",'Residual-RosteredMATRIX-CARER'!AU37)</f>
        <v/>
      </c>
    </row>
    <row r="76" spans="1:49" ht="15.75" customHeight="1" x14ac:dyDescent="0.25">
      <c r="B76" s="33" t="str">
        <f>'Residual-RosteredMATRIX-CARER'!D47</f>
        <v>Carer</v>
      </c>
      <c r="C76" s="33" t="str">
        <f>'Residual-RosteredMATRIX-CARER'!C47</f>
        <v>Perera, Ishaka</v>
      </c>
      <c r="D76" s="34">
        <f>'Residual-RosteredMATRIX-CARER'!E47</f>
        <v>71.5</v>
      </c>
      <c r="E76" s="14">
        <f>Max_HRS-Table314[[#This Row],[ROSTERED TIME]]</f>
        <v>4.5</v>
      </c>
      <c r="F76" s="14">
        <f t="shared" si="6"/>
        <v>0</v>
      </c>
      <c r="G76" s="14">
        <f>Table314[[#This Row],[ROSTERED TIME]]+Table314[[#This Row],[CHANGE TIME]]</f>
        <v>71.5</v>
      </c>
      <c r="H76" s="25" t="str">
        <f>IF('Residual-RosteredMATRIX-CARER'!F47=0,"",'Residual-RosteredMATRIX-CARER'!F47)</f>
        <v/>
      </c>
      <c r="I76" s="25" t="str">
        <f>IF('Residual-RosteredMATRIX-CARER'!G47=0,"",'Residual-RosteredMATRIX-CARER'!G47)</f>
        <v/>
      </c>
      <c r="J76" s="25" t="str">
        <f>IF('Residual-RosteredMATRIX-CARER'!H47=0,"",'Residual-RosteredMATRIX-CARER'!H47)</f>
        <v/>
      </c>
      <c r="K76" s="25" t="str">
        <f>IF('Residual-RosteredMATRIX-CARER'!I47=0,"",'Residual-RosteredMATRIX-CARER'!I47)</f>
        <v/>
      </c>
      <c r="L76" s="25" t="str">
        <f>IF('Residual-RosteredMATRIX-CARER'!J47=0,"",'Residual-RosteredMATRIX-CARER'!J47)</f>
        <v/>
      </c>
      <c r="M76" s="25" t="str">
        <f>IF('Residual-RosteredMATRIX-CARER'!K47=0,"",'Residual-RosteredMATRIX-CARER'!K47)</f>
        <v/>
      </c>
      <c r="N76" s="25" t="str">
        <f>IF('Residual-RosteredMATRIX-CARER'!L47=0,"",'Residual-RosteredMATRIX-CARER'!L47)</f>
        <v/>
      </c>
      <c r="O76" s="25" t="str">
        <f>IF('Residual-RosteredMATRIX-CARER'!M47=0,"",'Residual-RosteredMATRIX-CARER'!M47)</f>
        <v>0/ 7.8</v>
      </c>
      <c r="P76" s="25" t="str">
        <f>IF('Residual-RosteredMATRIX-CARER'!N47=0,"",'Residual-RosteredMATRIX-CARER'!N47)</f>
        <v>0/ 0.2</v>
      </c>
      <c r="Q76" s="25" t="str">
        <f>IF('Residual-RosteredMATRIX-CARER'!O47=0,"",'Residual-RosteredMATRIX-CARER'!O47)</f>
        <v/>
      </c>
      <c r="R76" s="25" t="str">
        <f>IF('Residual-RosteredMATRIX-CARER'!P47=0,"",'Residual-RosteredMATRIX-CARER'!P47)</f>
        <v>0/ 7.8</v>
      </c>
      <c r="S76" s="25" t="str">
        <f>IF('Residual-RosteredMATRIX-CARER'!Q47=0,"",'Residual-RosteredMATRIX-CARER'!Q47)</f>
        <v>0/ 0.2</v>
      </c>
      <c r="T76" s="25" t="str">
        <f>IF('Residual-RosteredMATRIX-CARER'!R47=0,"",'Residual-RosteredMATRIX-CARER'!R47)</f>
        <v/>
      </c>
      <c r="U76" s="25" t="str">
        <f>IF('Residual-RosteredMATRIX-CARER'!S47=0,"",'Residual-RosteredMATRIX-CARER'!S47)</f>
        <v>0/ 7.8</v>
      </c>
      <c r="V76" s="25" t="str">
        <f>IF('Residual-RosteredMATRIX-CARER'!T47=0,"",'Residual-RosteredMATRIX-CARER'!T47)</f>
        <v>0/ 0.2</v>
      </c>
      <c r="W76" s="25" t="str">
        <f>IF('Residual-RosteredMATRIX-CARER'!U47=0,"",'Residual-RosteredMATRIX-CARER'!U47)</f>
        <v/>
      </c>
      <c r="X76" s="25" t="str">
        <f>IF('Residual-RosteredMATRIX-CARER'!V47=0,"",'Residual-RosteredMATRIX-CARER'!V47)</f>
        <v>0/ 7.8</v>
      </c>
      <c r="Y76" s="25" t="str">
        <f>IF('Residual-RosteredMATRIX-CARER'!W47=0,"",'Residual-RosteredMATRIX-CARER'!W47)</f>
        <v>0/ 0.2</v>
      </c>
      <c r="Z76" s="25" t="str">
        <f>IF('Residual-RosteredMATRIX-CARER'!X47=0,"",'Residual-RosteredMATRIX-CARER'!X47)</f>
        <v/>
      </c>
      <c r="AA76" s="25" t="str">
        <f>IF('Residual-RosteredMATRIX-CARER'!Y47=0,"",'Residual-RosteredMATRIX-CARER'!Y47)</f>
        <v/>
      </c>
      <c r="AB76" s="25" t="str">
        <f>IF('Residual-RosteredMATRIX-CARER'!Z47=0,"",'Residual-RosteredMATRIX-CARER'!Z47)</f>
        <v/>
      </c>
      <c r="AC76" s="25" t="str">
        <f>IF('Residual-RosteredMATRIX-CARER'!AA47=0,"",'Residual-RosteredMATRIX-CARER'!AA47)</f>
        <v/>
      </c>
      <c r="AD76" s="25" t="str">
        <f>IF('Residual-RosteredMATRIX-CARER'!AB47=0,"",'Residual-RosteredMATRIX-CARER'!AB47)</f>
        <v/>
      </c>
      <c r="AE76" s="25" t="str">
        <f>IF('Residual-RosteredMATRIX-CARER'!AC47=0,"",'Residual-RosteredMATRIX-CARER'!AC47)</f>
        <v/>
      </c>
      <c r="AF76" s="25" t="str">
        <f>IF('Residual-RosteredMATRIX-CARER'!AD47=0,"",'Residual-RosteredMATRIX-CARER'!AD47)</f>
        <v>0.5/ 7.5</v>
      </c>
      <c r="AG76" s="25" t="str">
        <f>IF('Residual-RosteredMATRIX-CARER'!AE45=0,"",'Residual-RosteredMATRIX-CARER'!AE45)</f>
        <v/>
      </c>
      <c r="AH76" s="25" t="str">
        <f>IF('Residual-RosteredMATRIX-CARER'!AF47=0,"",'Residual-RosteredMATRIX-CARER'!AF47)</f>
        <v/>
      </c>
      <c r="AI76" s="25" t="str">
        <f>IF('Residual-RosteredMATRIX-CARER'!AG47=0,"",'Residual-RosteredMATRIX-CARER'!AG47)</f>
        <v/>
      </c>
      <c r="AJ76" s="25" t="str">
        <f>IF('Residual-RosteredMATRIX-CARER'!AH47=0,"",'Residual-RosteredMATRIX-CARER'!AH47)</f>
        <v>0/ 7.8</v>
      </c>
      <c r="AK76" s="25" t="str">
        <f>IF('Residual-RosteredMATRIX-CARER'!AI47=0,"",'Residual-RosteredMATRIX-CARER'!AI47)</f>
        <v>0/ 0.2</v>
      </c>
      <c r="AL76" s="25" t="str">
        <f>IF('Residual-RosteredMATRIX-CARER'!AJ47=0,"",'Residual-RosteredMATRIX-CARER'!AJ47)</f>
        <v/>
      </c>
      <c r="AM76" s="25" t="str">
        <f>IF('Residual-RosteredMATRIX-CARER'!AK47=0,"",'Residual-RosteredMATRIX-CARER'!AK47)</f>
        <v>0/ 7.8</v>
      </c>
      <c r="AN76" s="25" t="str">
        <f>IF('Residual-RosteredMATRIX-CARER'!AL47=0,"",'Residual-RosteredMATRIX-CARER'!AL47)</f>
        <v>0/ 0.2</v>
      </c>
      <c r="AO76" s="25" t="str">
        <f>IF('Residual-RosteredMATRIX-CARER'!AM47=0,"",'Residual-RosteredMATRIX-CARER'!AM47)</f>
        <v/>
      </c>
      <c r="AP76" s="25" t="str">
        <f>IF('Residual-RosteredMATRIX-CARER'!AN47=0,"",'Residual-RosteredMATRIX-CARER'!AN47)</f>
        <v>0/ 7.8</v>
      </c>
      <c r="AQ76" s="25" t="str">
        <f>IF('Residual-RosteredMATRIX-CARER'!AO47=0,"",'Residual-RosteredMATRIX-CARER'!AO47)</f>
        <v>0/ 0.2</v>
      </c>
      <c r="AR76" s="25" t="str">
        <f>IF('Residual-RosteredMATRIX-CARER'!AP47=0,"",'Residual-RosteredMATRIX-CARER'!AP47)</f>
        <v/>
      </c>
      <c r="AS76" s="25" t="str">
        <f>IF('Residual-RosteredMATRIX-CARER'!AQ47=0,"",'Residual-RosteredMATRIX-CARER'!AQ47)</f>
        <v>0/ 7.8</v>
      </c>
      <c r="AT76" s="25" t="str">
        <f>IF('Residual-RosteredMATRIX-CARER'!AR47=0,"",'Residual-RosteredMATRIX-CARER'!AR47)</f>
        <v>0/ 0.2</v>
      </c>
      <c r="AU76" s="25" t="str">
        <f>IF('Residual-RosteredMATRIX-CARER'!AS47=0,"",'Residual-RosteredMATRIX-CARER'!AS47)</f>
        <v/>
      </c>
      <c r="AV76" s="25" t="str">
        <f>IF('Residual-RosteredMATRIX-CARER'!AT47=0,"",'Residual-RosteredMATRIX-CARER'!AT47)</f>
        <v/>
      </c>
      <c r="AW76" s="25" t="str">
        <f>IF('Residual-RosteredMATRIX-CARER'!AU47=0,"",'Residual-RosteredMATRIX-CARER'!AU47)</f>
        <v/>
      </c>
    </row>
    <row r="77" spans="1:49" ht="15.75" customHeight="1" x14ac:dyDescent="0.25">
      <c r="B77" s="33" t="str">
        <f>'Residual-RosteredMATRIX-CARER'!D49</f>
        <v>Carer</v>
      </c>
      <c r="C77" s="33" t="str">
        <f>'Residual-RosteredMATRIX-CARER'!C49</f>
        <v>Stothard, Leanne</v>
      </c>
      <c r="D77" s="34">
        <f>'Residual-RosteredMATRIX-CARER'!E49</f>
        <v>64</v>
      </c>
      <c r="E77" s="14">
        <f>Max_HRS-Table314[[#This Row],[ROSTERED TIME]]</f>
        <v>12</v>
      </c>
      <c r="F77" s="14">
        <f t="shared" si="6"/>
        <v>0</v>
      </c>
      <c r="G77" s="14">
        <f>Table314[[#This Row],[ROSTERED TIME]]+Table314[[#This Row],[CHANGE TIME]]</f>
        <v>64</v>
      </c>
      <c r="H77" s="25" t="str">
        <f>IF('Residual-RosteredMATRIX-CARER'!F49=0,"",'Residual-RosteredMATRIX-CARER'!F49)</f>
        <v/>
      </c>
      <c r="I77" s="25" t="str">
        <f>IF('Residual-RosteredMATRIX-CARER'!G49=0,"",'Residual-RosteredMATRIX-CARER'!G49)</f>
        <v/>
      </c>
      <c r="J77" s="25" t="str">
        <f>IF('Residual-RosteredMATRIX-CARER'!H49=0,"",'Residual-RosteredMATRIX-CARER'!H49)</f>
        <v/>
      </c>
      <c r="K77" s="25" t="str">
        <f>IF('Residual-RosteredMATRIX-CARER'!I49=0,"",'Residual-RosteredMATRIX-CARER'!I49)</f>
        <v/>
      </c>
      <c r="L77" s="25" t="str">
        <f>IF('Residual-RosteredMATRIX-CARER'!J49=0,"",'Residual-RosteredMATRIX-CARER'!J49)</f>
        <v/>
      </c>
      <c r="M77" s="25" t="str">
        <f>IF('Residual-RosteredMATRIX-CARER'!K49=0,"",'Residual-RosteredMATRIX-CARER'!K49)</f>
        <v/>
      </c>
      <c r="N77" s="25" t="str">
        <f>IF('Residual-RosteredMATRIX-CARER'!L49=0,"",'Residual-RosteredMATRIX-CARER'!L49)</f>
        <v/>
      </c>
      <c r="O77" s="25" t="str">
        <f>IF('Residual-RosteredMATRIX-CARER'!M49=0,"",'Residual-RosteredMATRIX-CARER'!M49)</f>
        <v>0/ 7.8</v>
      </c>
      <c r="P77" s="25" t="str">
        <f>IF('Residual-RosteredMATRIX-CARER'!N49=0,"",'Residual-RosteredMATRIX-CARER'!N49)</f>
        <v>0/ 0.2</v>
      </c>
      <c r="Q77" s="25" t="str">
        <f>IF('Residual-RosteredMATRIX-CARER'!O49=0,"",'Residual-RosteredMATRIX-CARER'!O49)</f>
        <v/>
      </c>
      <c r="R77" s="25" t="str">
        <f>IF('Residual-RosteredMATRIX-CARER'!P49=0,"",'Residual-RosteredMATRIX-CARER'!P49)</f>
        <v>0/ 7.8</v>
      </c>
      <c r="S77" s="25" t="str">
        <f>IF('Residual-RosteredMATRIX-CARER'!Q49=0,"",'Residual-RosteredMATRIX-CARER'!Q49)</f>
        <v>0/ 0.2</v>
      </c>
      <c r="T77" s="25" t="str">
        <f>IF('Residual-RosteredMATRIX-CARER'!R49=0,"",'Residual-RosteredMATRIX-CARER'!R49)</f>
        <v/>
      </c>
      <c r="U77" s="25" t="str">
        <f>IF('Residual-RosteredMATRIX-CARER'!S49=0,"",'Residual-RosteredMATRIX-CARER'!S49)</f>
        <v>0/ 7.8</v>
      </c>
      <c r="V77" s="25" t="str">
        <f>IF('Residual-RosteredMATRIX-CARER'!T49=0,"",'Residual-RosteredMATRIX-CARER'!T49)</f>
        <v>0/ 0.2</v>
      </c>
      <c r="W77" s="25" t="str">
        <f>IF('Residual-RosteredMATRIX-CARER'!U49=0,"",'Residual-RosteredMATRIX-CARER'!U49)</f>
        <v/>
      </c>
      <c r="X77" s="25" t="str">
        <f>IF('Residual-RosteredMATRIX-CARER'!V49=0,"",'Residual-RosteredMATRIX-CARER'!V49)</f>
        <v>0/ 7.8</v>
      </c>
      <c r="Y77" s="25" t="str">
        <f>IF('Residual-RosteredMATRIX-CARER'!W49=0,"",'Residual-RosteredMATRIX-CARER'!W49)</f>
        <v>0/ 0.2</v>
      </c>
      <c r="Z77" s="25" t="str">
        <f>IF('Residual-RosteredMATRIX-CARER'!X49=0,"",'Residual-RosteredMATRIX-CARER'!X49)</f>
        <v/>
      </c>
      <c r="AA77" s="25" t="str">
        <f>IF('Residual-RosteredMATRIX-CARER'!Y49=0,"",'Residual-RosteredMATRIX-CARER'!Y49)</f>
        <v>0/ 7.8</v>
      </c>
      <c r="AB77" s="25" t="str">
        <f>IF('Residual-RosteredMATRIX-CARER'!Z49=0,"",'Residual-RosteredMATRIX-CARER'!Z49)</f>
        <v>0/ 0.2</v>
      </c>
      <c r="AC77" s="25" t="str">
        <f>IF('Residual-RosteredMATRIX-CARER'!AA49=0,"",'Residual-RosteredMATRIX-CARER'!AA49)</f>
        <v/>
      </c>
      <c r="AD77" s="25" t="str">
        <f>IF('Residual-RosteredMATRIX-CARER'!AB49=0,"",'Residual-RosteredMATRIX-CARER'!AB49)</f>
        <v/>
      </c>
      <c r="AE77" s="25" t="str">
        <f>IF('Residual-RosteredMATRIX-CARER'!AC49=0,"",'Residual-RosteredMATRIX-CARER'!AC49)</f>
        <v/>
      </c>
      <c r="AF77" s="25" t="str">
        <f>IF('Residual-RosteredMATRIX-CARER'!AD49=0,"",'Residual-RosteredMATRIX-CARER'!AD49)</f>
        <v/>
      </c>
      <c r="AG77" s="25" t="str">
        <f>IF('Residual-RosteredMATRIX-CARER'!AE46=0,"",'Residual-RosteredMATRIX-CARER'!AE46)</f>
        <v>0/ 7.8</v>
      </c>
      <c r="AH77" s="25" t="str">
        <f>IF('Residual-RosteredMATRIX-CARER'!AF49=0,"",'Residual-RosteredMATRIX-CARER'!AF49)</f>
        <v/>
      </c>
      <c r="AI77" s="25" t="str">
        <f>IF('Residual-RosteredMATRIX-CARER'!AG49=0,"",'Residual-RosteredMATRIX-CARER'!AG49)</f>
        <v/>
      </c>
      <c r="AJ77" s="25" t="str">
        <f>IF('Residual-RosteredMATRIX-CARER'!AH49=0,"",'Residual-RosteredMATRIX-CARER'!AH49)</f>
        <v>0/ 7.8</v>
      </c>
      <c r="AK77" s="25" t="str">
        <f>IF('Residual-RosteredMATRIX-CARER'!AI49=0,"",'Residual-RosteredMATRIX-CARER'!AI49)</f>
        <v>0/ 0.2</v>
      </c>
      <c r="AL77" s="25" t="str">
        <f>IF('Residual-RosteredMATRIX-CARER'!AJ49=0,"",'Residual-RosteredMATRIX-CARER'!AJ49)</f>
        <v/>
      </c>
      <c r="AM77" s="25" t="str">
        <f>IF('Residual-RosteredMATRIX-CARER'!AK49=0,"",'Residual-RosteredMATRIX-CARER'!AK49)</f>
        <v>0/ 7.8</v>
      </c>
      <c r="AN77" s="25" t="str">
        <f>IF('Residual-RosteredMATRIX-CARER'!AL49=0,"",'Residual-RosteredMATRIX-CARER'!AL49)</f>
        <v>0/ 0.2</v>
      </c>
      <c r="AO77" s="25" t="str">
        <f>IF('Residual-RosteredMATRIX-CARER'!AM49=0,"",'Residual-RosteredMATRIX-CARER'!AM49)</f>
        <v/>
      </c>
      <c r="AP77" s="25" t="str">
        <f>IF('Residual-RosteredMATRIX-CARER'!AN49=0,"",'Residual-RosteredMATRIX-CARER'!AN49)</f>
        <v>0/ 7.8</v>
      </c>
      <c r="AQ77" s="25" t="str">
        <f>IF('Residual-RosteredMATRIX-CARER'!AO49=0,"",'Residual-RosteredMATRIX-CARER'!AO49)</f>
        <v>0/ 0.2</v>
      </c>
      <c r="AR77" s="25" t="str">
        <f>IF('Residual-RosteredMATRIX-CARER'!AP49=0,"",'Residual-RosteredMATRIX-CARER'!AP49)</f>
        <v/>
      </c>
      <c r="AS77" s="25" t="str">
        <f>IF('Residual-RosteredMATRIX-CARER'!AQ49=0,"",'Residual-RosteredMATRIX-CARER'!AQ49)</f>
        <v/>
      </c>
      <c r="AT77" s="25" t="str">
        <f>IF('Residual-RosteredMATRIX-CARER'!AR49=0,"",'Residual-RosteredMATRIX-CARER'!AR49)</f>
        <v/>
      </c>
      <c r="AU77" s="25" t="str">
        <f>IF('Residual-RosteredMATRIX-CARER'!AS49=0,"",'Residual-RosteredMATRIX-CARER'!AS49)</f>
        <v/>
      </c>
      <c r="AV77" s="25" t="str">
        <f>IF('Residual-RosteredMATRIX-CARER'!AT49=0,"",'Residual-RosteredMATRIX-CARER'!AT49)</f>
        <v/>
      </c>
      <c r="AW77" s="25" t="str">
        <f>IF('Residual-RosteredMATRIX-CARER'!AU49=0,"",'Residual-RosteredMATRIX-CARER'!AU49)</f>
        <v/>
      </c>
    </row>
    <row r="78" spans="1:49" ht="15.75" customHeight="1" x14ac:dyDescent="0.25">
      <c r="B78" s="33" t="str">
        <f>'Residual-RosteredMATRIX-CARER'!D17</f>
        <v>Carer</v>
      </c>
      <c r="C78" s="44" t="str">
        <f>'Residual-RosteredMATRIX-CARER'!C17</f>
        <v>Waddell, Melissa</v>
      </c>
      <c r="D78" s="34">
        <f>'Residual-RosteredMATRIX-CARER'!E17</f>
        <v>52</v>
      </c>
      <c r="E78" s="14">
        <f>Max_HRS-Table314[[#This Row],[ROSTERED TIME]]</f>
        <v>24</v>
      </c>
      <c r="F78" s="14">
        <f t="shared" si="6"/>
        <v>0</v>
      </c>
      <c r="G78" s="14">
        <f>Table314[[#This Row],[ROSTERED TIME]]+Table314[[#This Row],[CHANGE TIME]]</f>
        <v>52</v>
      </c>
      <c r="H78" s="25" t="str">
        <f>IF('Residual-RosteredMATRIX-CARER'!F17=0,"",'Residual-RosteredMATRIX-CARER'!F17)</f>
        <v/>
      </c>
      <c r="I78" s="25" t="str">
        <f>IF('Residual-RosteredMATRIX-CARER'!G17=0,"",'Residual-RosteredMATRIX-CARER'!G17)</f>
        <v/>
      </c>
      <c r="J78" s="25" t="str">
        <f>IF('Residual-RosteredMATRIX-CARER'!H17=0,"",'Residual-RosteredMATRIX-CARER'!H17)</f>
        <v/>
      </c>
      <c r="K78" s="25" t="str">
        <f>IF('Residual-RosteredMATRIX-CARER'!I17=0,"",'Residual-RosteredMATRIX-CARER'!I17)</f>
        <v>0.5/ 0.2</v>
      </c>
      <c r="L78" s="25" t="str">
        <f>IF('Residual-RosteredMATRIX-CARER'!J17=0,"",'Residual-RosteredMATRIX-CARER'!J17)</f>
        <v/>
      </c>
      <c r="M78" s="25" t="str">
        <f>IF('Residual-RosteredMATRIX-CARER'!K17=0,"",'Residual-RosteredMATRIX-CARER'!K17)</f>
        <v/>
      </c>
      <c r="N78" s="25" t="str">
        <f>IF('Residual-RosteredMATRIX-CARER'!L17=0,"",'Residual-RosteredMATRIX-CARER'!L17)</f>
        <v>7.4/ 0.2</v>
      </c>
      <c r="O78" s="25" t="str">
        <f>IF('Residual-RosteredMATRIX-CARER'!M17=0,"",'Residual-RosteredMATRIX-CARER'!M17)</f>
        <v/>
      </c>
      <c r="P78" s="25" t="str">
        <f>IF('Residual-RosteredMATRIX-CARER'!N17=0,"",'Residual-RosteredMATRIX-CARER'!N17)</f>
        <v/>
      </c>
      <c r="Q78" s="25" t="str">
        <f>IF('Residual-RosteredMATRIX-CARER'!O17=0,"",'Residual-RosteredMATRIX-CARER'!O17)</f>
        <v/>
      </c>
      <c r="R78" s="25" t="str">
        <f>IF('Residual-RosteredMATRIX-CARER'!P17=0,"",'Residual-RosteredMATRIX-CARER'!P17)</f>
        <v/>
      </c>
      <c r="S78" s="25" t="str">
        <f>IF('Residual-RosteredMATRIX-CARER'!Q17=0,"",'Residual-RosteredMATRIX-CARER'!Q17)</f>
        <v/>
      </c>
      <c r="T78" s="25" t="str">
        <f>IF('Residual-RosteredMATRIX-CARER'!R17=0,"",'Residual-RosteredMATRIX-CARER'!R17)</f>
        <v/>
      </c>
      <c r="U78" s="25" t="str">
        <f>IF('Residual-RosteredMATRIX-CARER'!S17=0,"",'Residual-RosteredMATRIX-CARER'!S17)</f>
        <v/>
      </c>
      <c r="V78" s="25" t="str">
        <f>IF('Residual-RosteredMATRIX-CARER'!T17=0,"",'Residual-RosteredMATRIX-CARER'!T17)</f>
        <v/>
      </c>
      <c r="W78" s="25" t="str">
        <f>IF('Residual-RosteredMATRIX-CARER'!U17=0,"",'Residual-RosteredMATRIX-CARER'!U17)</f>
        <v/>
      </c>
      <c r="X78" s="25" t="str">
        <f>IF('Residual-RosteredMATRIX-CARER'!V17=0,"",'Residual-RosteredMATRIX-CARER'!V17)</f>
        <v/>
      </c>
      <c r="Y78" s="25" t="str">
        <f>IF('Residual-RosteredMATRIX-CARER'!W17=0,"",'Residual-RosteredMATRIX-CARER'!W17)</f>
        <v/>
      </c>
      <c r="Z78" s="25" t="str">
        <f>IF('Residual-RosteredMATRIX-CARER'!X17=0,"",'Residual-RosteredMATRIX-CARER'!X17)</f>
        <v/>
      </c>
      <c r="AA78" s="25" t="str">
        <f>IF('Residual-RosteredMATRIX-CARER'!Y17=0,"",'Residual-RosteredMATRIX-CARER'!Y17)</f>
        <v/>
      </c>
      <c r="AB78" s="25" t="str">
        <f>IF('Residual-RosteredMATRIX-CARER'!Z17=0,"",'Residual-RosteredMATRIX-CARER'!Z17)</f>
        <v/>
      </c>
      <c r="AC78" s="25" t="str">
        <f>IF('Residual-RosteredMATRIX-CARER'!AA17=0,"",'Residual-RosteredMATRIX-CARER'!AA17)</f>
        <v/>
      </c>
      <c r="AD78" s="25" t="str">
        <f>IF('Residual-RosteredMATRIX-CARER'!AB17=0,"",'Residual-RosteredMATRIX-CARER'!AB17)</f>
        <v>1/ 7</v>
      </c>
      <c r="AE78" s="25" t="str">
        <f>IF('Residual-RosteredMATRIX-CARER'!AC17=0,"",'Residual-RosteredMATRIX-CARER'!AC17)</f>
        <v/>
      </c>
      <c r="AF78" s="25" t="str">
        <f>IF('Residual-RosteredMATRIX-CARER'!AD17=0,"",'Residual-RosteredMATRIX-CARER'!AD17)</f>
        <v/>
      </c>
      <c r="AG78" s="25" t="str">
        <f>IF('Residual-RosteredMATRIX-CARER'!AE47=0,"",'Residual-RosteredMATRIX-CARER'!AE47)</f>
        <v/>
      </c>
      <c r="AH78" s="25" t="str">
        <f>IF('Residual-RosteredMATRIX-CARER'!AF17=0,"",'Residual-RosteredMATRIX-CARER'!AF17)</f>
        <v/>
      </c>
      <c r="AI78" s="25" t="str">
        <f>IF('Residual-RosteredMATRIX-CARER'!AG17=0,"",'Residual-RosteredMATRIX-CARER'!AG17)</f>
        <v/>
      </c>
      <c r="AJ78" s="25" t="str">
        <f>IF('Residual-RosteredMATRIX-CARER'!AH17=0,"",'Residual-RosteredMATRIX-CARER'!AH17)</f>
        <v/>
      </c>
      <c r="AK78" s="25" t="str">
        <f>IF('Residual-RosteredMATRIX-CARER'!AI17=0,"",'Residual-RosteredMATRIX-CARER'!AI17)</f>
        <v/>
      </c>
      <c r="AL78" s="25" t="str">
        <f>IF('Residual-RosteredMATRIX-CARER'!AJ17=0,"",'Residual-RosteredMATRIX-CARER'!AJ17)</f>
        <v>0.5/ 0.2</v>
      </c>
      <c r="AM78" s="25" t="str">
        <f>IF('Residual-RosteredMATRIX-CARER'!AK17=0,"",'Residual-RosteredMATRIX-CARER'!AK17)</f>
        <v/>
      </c>
      <c r="AN78" s="25" t="str">
        <f>IF('Residual-RosteredMATRIX-CARER'!AL17=0,"",'Residual-RosteredMATRIX-CARER'!AL17)</f>
        <v/>
      </c>
      <c r="AO78" s="25" t="str">
        <f>IF('Residual-RosteredMATRIX-CARER'!AM17=0,"",'Residual-RosteredMATRIX-CARER'!AM17)</f>
        <v/>
      </c>
      <c r="AP78" s="25" t="str">
        <f>IF('Residual-RosteredMATRIX-CARER'!AN17=0,"",'Residual-RosteredMATRIX-CARER'!AN17)</f>
        <v/>
      </c>
      <c r="AQ78" s="25" t="str">
        <f>IF('Residual-RosteredMATRIX-CARER'!AO17=0,"",'Residual-RosteredMATRIX-CARER'!AO17)</f>
        <v/>
      </c>
      <c r="AR78" s="25" t="str">
        <f>IF('Residual-RosteredMATRIX-CARER'!AP17=0,"",'Residual-RosteredMATRIX-CARER'!AP17)</f>
        <v/>
      </c>
      <c r="AS78" s="25" t="str">
        <f>IF('Residual-RosteredMATRIX-CARER'!AQ17=0,"",'Residual-RosteredMATRIX-CARER'!AQ17)</f>
        <v/>
      </c>
      <c r="AT78" s="25" t="str">
        <f>IF('Residual-RosteredMATRIX-CARER'!AR17=0,"",'Residual-RosteredMATRIX-CARER'!AR17)</f>
        <v/>
      </c>
      <c r="AU78" s="25" t="str">
        <f>IF('Residual-RosteredMATRIX-CARER'!AS17=0,"",'Residual-RosteredMATRIX-CARER'!AS17)</f>
        <v/>
      </c>
      <c r="AV78" s="25" t="str">
        <f>IF('Residual-RosteredMATRIX-CARER'!AT17=0,"",'Residual-RosteredMATRIX-CARER'!AT17)</f>
        <v/>
      </c>
      <c r="AW78" s="25" t="str">
        <f>IF('Residual-RosteredMATRIX-CARER'!AU17=0,"",'Residual-RosteredMATRIX-CARER'!AU17)</f>
        <v/>
      </c>
    </row>
    <row r="79" spans="1:49" ht="15.75" customHeight="1" x14ac:dyDescent="0.25">
      <c r="B79" s="33" t="str">
        <f>'Residual-RosteredMATRIX-CARER'!D18</f>
        <v>Carer</v>
      </c>
      <c r="C79" s="33" t="str">
        <f>'Residual-RosteredMATRIX-CARER'!C18</f>
        <v>Waddell, Melissa</v>
      </c>
      <c r="D79" s="34">
        <f>'Residual-RosteredMATRIX-CARER'!E18</f>
        <v>52</v>
      </c>
      <c r="E79" s="14">
        <f>Max_HRS-Table314[[#This Row],[ROSTERED TIME]]</f>
        <v>24</v>
      </c>
      <c r="F79" s="14">
        <f t="shared" si="6"/>
        <v>0</v>
      </c>
      <c r="G79" s="14">
        <f>Table314[[#This Row],[ROSTERED TIME]]+Table314[[#This Row],[CHANGE TIME]]</f>
        <v>52</v>
      </c>
      <c r="H79" s="25" t="str">
        <f>IF('Residual-RosteredMATRIX-CARER'!F18=0,"",'Residual-RosteredMATRIX-CARER'!F18)</f>
        <v/>
      </c>
      <c r="I79" s="25" t="str">
        <f>IF('Residual-RosteredMATRIX-CARER'!G18=0,"",'Residual-RosteredMATRIX-CARER'!G18)</f>
        <v/>
      </c>
      <c r="J79" s="25" t="str">
        <f>IF('Residual-RosteredMATRIX-CARER'!H18=0,"",'Residual-RosteredMATRIX-CARER'!H18)</f>
        <v>0.7/ 7.3</v>
      </c>
      <c r="K79" s="25" t="str">
        <f>IF('Residual-RosteredMATRIX-CARER'!I18=0,"",'Residual-RosteredMATRIX-CARER'!I18)</f>
        <v/>
      </c>
      <c r="L79" s="25" t="str">
        <f>IF('Residual-RosteredMATRIX-CARER'!J18=0,"",'Residual-RosteredMATRIX-CARER'!J18)</f>
        <v/>
      </c>
      <c r="M79" s="25" t="str">
        <f>IF('Residual-RosteredMATRIX-CARER'!K18=0,"",'Residual-RosteredMATRIX-CARER'!K18)</f>
        <v>0.5/ 7.3</v>
      </c>
      <c r="N79" s="25" t="str">
        <f>IF('Residual-RosteredMATRIX-CARER'!L18=0,"",'Residual-RosteredMATRIX-CARER'!L18)</f>
        <v/>
      </c>
      <c r="O79" s="25" t="str">
        <f>IF('Residual-RosteredMATRIX-CARER'!M18=0,"",'Residual-RosteredMATRIX-CARER'!M18)</f>
        <v/>
      </c>
      <c r="P79" s="25" t="str">
        <f>IF('Residual-RosteredMATRIX-CARER'!N18=0,"",'Residual-RosteredMATRIX-CARER'!N18)</f>
        <v/>
      </c>
      <c r="Q79" s="25" t="str">
        <f>IF('Residual-RosteredMATRIX-CARER'!O18=0,"",'Residual-RosteredMATRIX-CARER'!O18)</f>
        <v/>
      </c>
      <c r="R79" s="25" t="str">
        <f>IF('Residual-RosteredMATRIX-CARER'!P18=0,"",'Residual-RosteredMATRIX-CARER'!P18)</f>
        <v/>
      </c>
      <c r="S79" s="25" t="str">
        <f>IF('Residual-RosteredMATRIX-CARER'!Q18=0,"",'Residual-RosteredMATRIX-CARER'!Q18)</f>
        <v/>
      </c>
      <c r="T79" s="25" t="str">
        <f>IF('Residual-RosteredMATRIX-CARER'!R18=0,"",'Residual-RosteredMATRIX-CARER'!R18)</f>
        <v/>
      </c>
      <c r="U79" s="25" t="str">
        <f>IF('Residual-RosteredMATRIX-CARER'!S18=0,"",'Residual-RosteredMATRIX-CARER'!S18)</f>
        <v>0/ 7.8</v>
      </c>
      <c r="V79" s="25" t="str">
        <f>IF('Residual-RosteredMATRIX-CARER'!T18=0,"",'Residual-RosteredMATRIX-CARER'!T18)</f>
        <v>0/ 0.2</v>
      </c>
      <c r="W79" s="25" t="str">
        <f>IF('Residual-RosteredMATRIX-CARER'!U18=0,"",'Residual-RosteredMATRIX-CARER'!U18)</f>
        <v/>
      </c>
      <c r="X79" s="25" t="str">
        <f>IF('Residual-RosteredMATRIX-CARER'!V18=0,"",'Residual-RosteredMATRIX-CARER'!V18)</f>
        <v/>
      </c>
      <c r="Y79" s="25" t="str">
        <f>IF('Residual-RosteredMATRIX-CARER'!W18=0,"",'Residual-RosteredMATRIX-CARER'!W18)</f>
        <v/>
      </c>
      <c r="Z79" s="25" t="str">
        <f>IF('Residual-RosteredMATRIX-CARER'!X18=0,"",'Residual-RosteredMATRIX-CARER'!X18)</f>
        <v/>
      </c>
      <c r="AA79" s="25" t="str">
        <f>IF('Residual-RosteredMATRIX-CARER'!Y18=0,"",'Residual-RosteredMATRIX-CARER'!Y18)</f>
        <v/>
      </c>
      <c r="AB79" s="25" t="str">
        <f>IF('Residual-RosteredMATRIX-CARER'!Z18=0,"",'Residual-RosteredMATRIX-CARER'!Z18)</f>
        <v/>
      </c>
      <c r="AC79" s="25" t="str">
        <f>IF('Residual-RosteredMATRIX-CARER'!AA18=0,"",'Residual-RosteredMATRIX-CARER'!AA18)</f>
        <v/>
      </c>
      <c r="AD79" s="25" t="str">
        <f>IF('Residual-RosteredMATRIX-CARER'!AB18=0,"",'Residual-RosteredMATRIX-CARER'!AB18)</f>
        <v/>
      </c>
      <c r="AE79" s="25" t="str">
        <f>IF('Residual-RosteredMATRIX-CARER'!AC18=0,"",'Residual-RosteredMATRIX-CARER'!AC18)</f>
        <v/>
      </c>
      <c r="AF79" s="25" t="str">
        <f>IF('Residual-RosteredMATRIX-CARER'!AD18=0,"",'Residual-RosteredMATRIX-CARER'!AD18)</f>
        <v/>
      </c>
      <c r="AG79" s="25" t="str">
        <f>IF('Residual-RosteredMATRIX-CARER'!AE48=0,"",'Residual-RosteredMATRIX-CARER'!AE48)</f>
        <v/>
      </c>
      <c r="AH79" s="25" t="str">
        <f>IF('Residual-RosteredMATRIX-CARER'!AF18=0,"",'Residual-RosteredMATRIX-CARER'!AF18)</f>
        <v/>
      </c>
      <c r="AI79" s="25" t="str">
        <f>IF('Residual-RosteredMATRIX-CARER'!AG18=0,"",'Residual-RosteredMATRIX-CARER'!AG18)</f>
        <v/>
      </c>
      <c r="AJ79" s="25" t="str">
        <f>IF('Residual-RosteredMATRIX-CARER'!AH18=0,"",'Residual-RosteredMATRIX-CARER'!AH18)</f>
        <v/>
      </c>
      <c r="AK79" s="25" t="str">
        <f>IF('Residual-RosteredMATRIX-CARER'!AI18=0,"",'Residual-RosteredMATRIX-CARER'!AI18)</f>
        <v>0.7/ 7.3</v>
      </c>
      <c r="AL79" s="25" t="str">
        <f>IF('Residual-RosteredMATRIX-CARER'!AJ18=0,"",'Residual-RosteredMATRIX-CARER'!AJ18)</f>
        <v/>
      </c>
      <c r="AM79" s="25" t="str">
        <f>IF('Residual-RosteredMATRIX-CARER'!AK18=0,"",'Residual-RosteredMATRIX-CARER'!AK18)</f>
        <v/>
      </c>
      <c r="AN79" s="25" t="str">
        <f>IF('Residual-RosteredMATRIX-CARER'!AL18=0,"",'Residual-RosteredMATRIX-CARER'!AL18)</f>
        <v>0.5/ 7.3</v>
      </c>
      <c r="AO79" s="47"/>
      <c r="AP79" s="25" t="str">
        <f>IF('Residual-RosteredMATRIX-CARER'!AN18=0,"",'Residual-RosteredMATRIX-CARER'!AN18)</f>
        <v/>
      </c>
      <c r="AQ79" s="25" t="str">
        <f>IF('Residual-RosteredMATRIX-CARER'!AO18=0,"",'Residual-RosteredMATRIX-CARER'!AO18)</f>
        <v/>
      </c>
      <c r="AR79" s="25" t="str">
        <f>IF('Residual-RosteredMATRIX-CARER'!AP18=0,"",'Residual-RosteredMATRIX-CARER'!AP18)</f>
        <v/>
      </c>
      <c r="AS79" s="25" t="str">
        <f>IF('Residual-RosteredMATRIX-CARER'!AQ18=0,"",'Residual-RosteredMATRIX-CARER'!AQ18)</f>
        <v/>
      </c>
      <c r="AT79" s="25" t="str">
        <f>IF('Residual-RosteredMATRIX-CARER'!AR18=0,"",'Residual-RosteredMATRIX-CARER'!AR18)</f>
        <v/>
      </c>
      <c r="AU79" s="25" t="str">
        <f>IF('Residual-RosteredMATRIX-CARER'!AS18=0,"",'Residual-RosteredMATRIX-CARER'!AS18)</f>
        <v/>
      </c>
      <c r="AV79" s="25" t="str">
        <f>IF('Residual-RosteredMATRIX-CARER'!AT18=0,"",'Residual-RosteredMATRIX-CARER'!AT18)</f>
        <v/>
      </c>
      <c r="AW79" s="25" t="str">
        <f>IF('Residual-RosteredMATRIX-CARER'!AU18=0,"",'Residual-RosteredMATRIX-CARER'!AU18)</f>
        <v/>
      </c>
    </row>
    <row r="80" spans="1:49" ht="15.75" customHeight="1" x14ac:dyDescent="0.25">
      <c r="B80" s="33" t="str">
        <f>'Residual-RosteredMATRIX-CARER'!D40</f>
        <v>Carer</v>
      </c>
      <c r="C80" s="33" t="str">
        <f>'Residual-RosteredMATRIX-CARER'!C40</f>
        <v>Walkley, Bianca</v>
      </c>
      <c r="D80" s="34">
        <f>'Residual-RosteredMATRIX-CARER'!E40</f>
        <v>63.9</v>
      </c>
      <c r="E80" s="14">
        <f>Max_HRS-Table314[[#This Row],[ROSTERED TIME]]</f>
        <v>12.100000000000001</v>
      </c>
      <c r="F80" s="14">
        <f t="shared" si="6"/>
        <v>0</v>
      </c>
      <c r="G80" s="14">
        <f>Table314[[#This Row],[ROSTERED TIME]]+Table314[[#This Row],[CHANGE TIME]]</f>
        <v>63.9</v>
      </c>
      <c r="H80" s="25" t="str">
        <f>IF('Residual-RosteredMATRIX-CARER'!F40=0,"",'Residual-RosteredMATRIX-CARER'!F40)</f>
        <v/>
      </c>
      <c r="I80" s="25" t="str">
        <f>IF('Residual-RosteredMATRIX-CARER'!G40=0,"",'Residual-RosteredMATRIX-CARER'!G40)</f>
        <v/>
      </c>
      <c r="J80" s="25" t="str">
        <f>IF('Residual-RosteredMATRIX-CARER'!H40=0,"",'Residual-RosteredMATRIX-CARER'!H40)</f>
        <v>0.7/ 7.3</v>
      </c>
      <c r="K80" s="25" t="str">
        <f>IF('Residual-RosteredMATRIX-CARER'!I40=0,"",'Residual-RosteredMATRIX-CARER'!I40)</f>
        <v>0.5/ 0.2</v>
      </c>
      <c r="L80" s="25" t="str">
        <f>IF('Residual-RosteredMATRIX-CARER'!J40=0,"",'Residual-RosteredMATRIX-CARER'!J40)</f>
        <v/>
      </c>
      <c r="M80" s="25" t="str">
        <f>IF('Residual-RosteredMATRIX-CARER'!K40=0,"",'Residual-RosteredMATRIX-CARER'!K40)</f>
        <v>0.5/ 7.3</v>
      </c>
      <c r="N80" s="25" t="str">
        <f>IF('Residual-RosteredMATRIX-CARER'!L40=0,"",'Residual-RosteredMATRIX-CARER'!L40)</f>
        <v>7.4/ 0.2</v>
      </c>
      <c r="O80" s="25" t="str">
        <f>IF('Residual-RosteredMATRIX-CARER'!M40=0,"",'Residual-RosteredMATRIX-CARER'!M40)</f>
        <v/>
      </c>
      <c r="P80" s="25" t="str">
        <f>IF('Residual-RosteredMATRIX-CARER'!N40=0,"",'Residual-RosteredMATRIX-CARER'!N40)</f>
        <v/>
      </c>
      <c r="Q80" s="25" t="str">
        <f>IF('Residual-RosteredMATRIX-CARER'!O40=0,"",'Residual-RosteredMATRIX-CARER'!O40)</f>
        <v/>
      </c>
      <c r="R80" s="25" t="str">
        <f>IF('Residual-RosteredMATRIX-CARER'!P40=0,"",'Residual-RosteredMATRIX-CARER'!P40)</f>
        <v/>
      </c>
      <c r="S80" s="25" t="str">
        <f>IF('Residual-RosteredMATRIX-CARER'!Q40=0,"",'Residual-RosteredMATRIX-CARER'!Q40)</f>
        <v>0.7/ 7.3</v>
      </c>
      <c r="T80" s="25" t="str">
        <f>IF('Residual-RosteredMATRIX-CARER'!R40=0,"",'Residual-RosteredMATRIX-CARER'!R40)</f>
        <v>7.4/ 0.2</v>
      </c>
      <c r="U80" s="25" t="str">
        <f>IF('Residual-RosteredMATRIX-CARER'!S40=0,"",'Residual-RosteredMATRIX-CARER'!S40)</f>
        <v/>
      </c>
      <c r="V80" s="25" t="str">
        <f>IF('Residual-RosteredMATRIX-CARER'!T40=0,"",'Residual-RosteredMATRIX-CARER'!T40)</f>
        <v/>
      </c>
      <c r="W80" s="25" t="str">
        <f>IF('Residual-RosteredMATRIX-CARER'!U40=0,"",'Residual-RosteredMATRIX-CARER'!U40)</f>
        <v/>
      </c>
      <c r="X80" s="25" t="str">
        <f>IF('Residual-RosteredMATRIX-CARER'!V40=0,"",'Residual-RosteredMATRIX-CARER'!V40)</f>
        <v/>
      </c>
      <c r="Y80" s="25" t="str">
        <f>IF('Residual-RosteredMATRIX-CARER'!W40=0,"",'Residual-RosteredMATRIX-CARER'!W40)</f>
        <v/>
      </c>
      <c r="Z80" s="25" t="str">
        <f>IF('Residual-RosteredMATRIX-CARER'!X40=0,"",'Residual-RosteredMATRIX-CARER'!X40)</f>
        <v/>
      </c>
      <c r="AA80" s="25" t="str">
        <f>IF('Residual-RosteredMATRIX-CARER'!Y40=0,"",'Residual-RosteredMATRIX-CARER'!Y40)</f>
        <v/>
      </c>
      <c r="AB80" s="25" t="str">
        <f>IF('Residual-RosteredMATRIX-CARER'!Z40=0,"",'Residual-RosteredMATRIX-CARER'!Z40)</f>
        <v>0.7/ 7.3</v>
      </c>
      <c r="AC80" s="25" t="str">
        <f>IF('Residual-RosteredMATRIX-CARER'!AA40=0,"",'Residual-RosteredMATRIX-CARER'!AA40)</f>
        <v>0.5/ 0.2</v>
      </c>
      <c r="AD80" s="25" t="str">
        <f>IF('Residual-RosteredMATRIX-CARER'!AB40=0,"",'Residual-RosteredMATRIX-CARER'!AB40)</f>
        <v/>
      </c>
      <c r="AE80" s="25" t="str">
        <f>IF('Residual-RosteredMATRIX-CARER'!AC40=0,"",'Residual-RosteredMATRIX-CARER'!AC40)</f>
        <v>0.5/ 7.3</v>
      </c>
      <c r="AF80" s="25" t="str">
        <f>IF('Residual-RosteredMATRIX-CARER'!AD40=0,"",'Residual-RosteredMATRIX-CARER'!AD40)</f>
        <v>0.5/ 0.2</v>
      </c>
      <c r="AG80" s="25" t="str">
        <f>IF('Residual-RosteredMATRIX-CARER'!AE49=0,"",'Residual-RosteredMATRIX-CARER'!AE49)</f>
        <v/>
      </c>
      <c r="AH80" s="25" t="str">
        <f>IF('Residual-RosteredMATRIX-CARER'!AF40=0,"",'Residual-RosteredMATRIX-CARER'!AF40)</f>
        <v>0.5/ 7.3</v>
      </c>
      <c r="AI80" s="25" t="str">
        <f>IF('Residual-RosteredMATRIX-CARER'!AG40=0,"",'Residual-RosteredMATRIX-CARER'!AG40)</f>
        <v>2.6/ 0.2</v>
      </c>
      <c r="AJ80" s="25" t="str">
        <f>IF('Residual-RosteredMATRIX-CARER'!AH40=0,"",'Residual-RosteredMATRIX-CARER'!AH40)</f>
        <v/>
      </c>
      <c r="AK80" s="25" t="str">
        <f>IF('Residual-RosteredMATRIX-CARER'!AI40=0,"",'Residual-RosteredMATRIX-CARER'!AI40)</f>
        <v/>
      </c>
      <c r="AL80" s="25" t="str">
        <f>IF('Residual-RosteredMATRIX-CARER'!AJ40=0,"",'Residual-RosteredMATRIX-CARER'!AJ40)</f>
        <v/>
      </c>
      <c r="AM80" s="25" t="str">
        <f>IF('Residual-RosteredMATRIX-CARER'!AK40=0,"",'Residual-RosteredMATRIX-CARER'!AK40)</f>
        <v/>
      </c>
      <c r="AN80" s="25" t="str">
        <f>IF('Residual-RosteredMATRIX-CARER'!AL40=0,"",'Residual-RosteredMATRIX-CARER'!AL40)</f>
        <v>0.7/ 7.3</v>
      </c>
      <c r="AO80" s="25" t="str">
        <f>IF('Residual-RosteredMATRIX-CARER'!AM40=0,"",'Residual-RosteredMATRIX-CARER'!AM40)</f>
        <v>7.4/ 0.2</v>
      </c>
      <c r="AP80" s="25" t="str">
        <f>IF('Residual-RosteredMATRIX-CARER'!AN40=0,"",'Residual-RosteredMATRIX-CARER'!AN40)</f>
        <v/>
      </c>
      <c r="AQ80" s="25" t="str">
        <f>IF('Residual-RosteredMATRIX-CARER'!AO40=0,"",'Residual-RosteredMATRIX-CARER'!AO40)</f>
        <v/>
      </c>
      <c r="AR80" s="25" t="str">
        <f>IF('Residual-RosteredMATRIX-CARER'!AP40=0,"",'Residual-RosteredMATRIX-CARER'!AP40)</f>
        <v/>
      </c>
      <c r="AS80" s="25" t="str">
        <f>IF('Residual-RosteredMATRIX-CARER'!AQ40=0,"",'Residual-RosteredMATRIX-CARER'!AQ40)</f>
        <v/>
      </c>
      <c r="AT80" s="25" t="str">
        <f>IF('Residual-RosteredMATRIX-CARER'!AR40=0,"",'Residual-RosteredMATRIX-CARER'!AR40)</f>
        <v>0.7/ 7.3</v>
      </c>
      <c r="AU80" s="25" t="str">
        <f>IF('Residual-RosteredMATRIX-CARER'!AS40=0,"",'Residual-RosteredMATRIX-CARER'!AS40)</f>
        <v>3.7/ 0.2</v>
      </c>
      <c r="AV80" s="25" t="str">
        <f>IF('Residual-RosteredMATRIX-CARER'!AT40=0,"",'Residual-RosteredMATRIX-CARER'!AT40)</f>
        <v/>
      </c>
      <c r="AW80" s="25" t="str">
        <f>IF('Residual-RosteredMATRIX-CARER'!AU40=0,"",'Residual-RosteredMATRIX-CARER'!AU40)</f>
        <v>3.7/ 3.9</v>
      </c>
    </row>
    <row r="81" spans="2:49" ht="15.75" customHeight="1" x14ac:dyDescent="0.25">
      <c r="B81" s="33" t="str">
        <f>'Residual-RosteredMATRIX-CARER'!D44</f>
        <v>Carer</v>
      </c>
      <c r="C81" s="33" t="str">
        <f>'Residual-RosteredMATRIX-CARER'!C44</f>
        <v>Whatson, Jodie</v>
      </c>
      <c r="D81" s="34">
        <f>'Residual-RosteredMATRIX-CARER'!E44</f>
        <v>60</v>
      </c>
      <c r="E81" s="14">
        <f>Max_HRS-Table314[[#This Row],[ROSTERED TIME]]</f>
        <v>16</v>
      </c>
      <c r="F81" s="14">
        <f t="shared" si="6"/>
        <v>0.5</v>
      </c>
      <c r="G81" s="14">
        <f>Table314[[#This Row],[ROSTERED TIME]]+Table314[[#This Row],[CHANGE TIME]]</f>
        <v>60.5</v>
      </c>
      <c r="H81" s="25" t="str">
        <f>IF('Residual-RosteredMATRIX-CARER'!F44=0,"",'Residual-RosteredMATRIX-CARER'!F44)</f>
        <v/>
      </c>
      <c r="I81" s="25" t="str">
        <f>IF('Residual-RosteredMATRIX-CARER'!G44=0,"",'Residual-RosteredMATRIX-CARER'!G44)</f>
        <v/>
      </c>
      <c r="J81" s="25" t="str">
        <f>IF('Residual-RosteredMATRIX-CARER'!H44=0,"",'Residual-RosteredMATRIX-CARER'!H44)</f>
        <v/>
      </c>
      <c r="K81" s="25" t="str">
        <f>IF('Residual-RosteredMATRIX-CARER'!I44=0,"",'Residual-RosteredMATRIX-CARER'!I44)</f>
        <v>0.5/ 7.5</v>
      </c>
      <c r="L81" s="25" t="str">
        <f>IF('Residual-RosteredMATRIX-CARER'!J44=0,"",'Residual-RosteredMATRIX-CARER'!J44)</f>
        <v/>
      </c>
      <c r="M81" s="25" t="str">
        <f>IF('Residual-RosteredMATRIX-CARER'!K44=0,"",'Residual-RosteredMATRIX-CARER'!K44)</f>
        <v/>
      </c>
      <c r="N81" s="25" t="str">
        <f>IF('Residual-RosteredMATRIX-CARER'!L44=0,"",'Residual-RosteredMATRIX-CARER'!L44)</f>
        <v>0.5/ 7.5</v>
      </c>
      <c r="O81" s="25" t="str">
        <f>IF('Residual-RosteredMATRIX-CARER'!M44=0,"",'Residual-RosteredMATRIX-CARER'!M44)</f>
        <v/>
      </c>
      <c r="P81" s="25" t="str">
        <f>IF('Residual-RosteredMATRIX-CARER'!N44=0,"",'Residual-RosteredMATRIX-CARER'!N44)</f>
        <v/>
      </c>
      <c r="Q81" s="25" t="str">
        <f>IF('Residual-RosteredMATRIX-CARER'!O44=0,"",'Residual-RosteredMATRIX-CARER'!O44)</f>
        <v/>
      </c>
      <c r="R81" s="25" t="str">
        <f>IF('Residual-RosteredMATRIX-CARER'!P44=0,"",'Residual-RosteredMATRIX-CARER'!P44)</f>
        <v/>
      </c>
      <c r="S81" s="25" t="str">
        <f>IF('Residual-RosteredMATRIX-CARER'!Q44=0,"",'Residual-RosteredMATRIX-CARER'!Q44)</f>
        <v/>
      </c>
      <c r="T81" s="25" t="str">
        <f>IF('Residual-RosteredMATRIX-CARER'!R44=0,"",'Residual-RosteredMATRIX-CARER'!R44)</f>
        <v/>
      </c>
      <c r="U81" s="25" t="str">
        <f>IF('Residual-RosteredMATRIX-CARER'!S44=0,"",'Residual-RosteredMATRIX-CARER'!S44)</f>
        <v/>
      </c>
      <c r="V81" s="25" t="str">
        <f>IF('Residual-RosteredMATRIX-CARER'!T44=0,"",'Residual-RosteredMATRIX-CARER'!T44)</f>
        <v/>
      </c>
      <c r="W81" s="25" t="str">
        <f>IF('Residual-RosteredMATRIX-CARER'!U44=0,"",'Residual-RosteredMATRIX-CARER'!U44)</f>
        <v>0/ 7.5</v>
      </c>
      <c r="X81" s="25" t="str">
        <f>IF('Residual-RosteredMATRIX-CARER'!V44=0,"",'Residual-RosteredMATRIX-CARER'!V44)</f>
        <v/>
      </c>
      <c r="Y81" s="25" t="str">
        <f>IF('Residual-RosteredMATRIX-CARER'!W44=0,"",'Residual-RosteredMATRIX-CARER'!W44)</f>
        <v/>
      </c>
      <c r="Z81" s="25" t="str">
        <f>IF('Residual-RosteredMATRIX-CARER'!X44=0,"",'Residual-RosteredMATRIX-CARER'!X44)</f>
        <v>0.5/ 7.5</v>
      </c>
      <c r="AA81" s="25" t="str">
        <f>IF('Residual-RosteredMATRIX-CARER'!Y44=0,"",'Residual-RosteredMATRIX-CARER'!Y44)</f>
        <v/>
      </c>
      <c r="AB81" s="25" t="str">
        <f>IF('Residual-RosteredMATRIX-CARER'!Z44=0,"",'Residual-RosteredMATRIX-CARER'!Z44)</f>
        <v/>
      </c>
      <c r="AC81" s="25" t="str">
        <f>IF('Residual-RosteredMATRIX-CARER'!AA44=0,"",'Residual-RosteredMATRIX-CARER'!AA44)</f>
        <v>0.5/ 7.5</v>
      </c>
      <c r="AD81" s="25" t="str">
        <f>IF('Residual-RosteredMATRIX-CARER'!AB44=0,"",'Residual-RosteredMATRIX-CARER'!AB44)</f>
        <v/>
      </c>
      <c r="AE81" s="25" t="str">
        <f>IF('Residual-RosteredMATRIX-CARER'!AC44=0,"",'Residual-RosteredMATRIX-CARER'!AC44)</f>
        <v/>
      </c>
      <c r="AF81" s="25" t="str">
        <f>IF('Residual-RosteredMATRIX-CARER'!AD44=0,"",'Residual-RosteredMATRIX-CARER'!AD44)</f>
        <v>0/ 7.5</v>
      </c>
      <c r="AG81" s="25" t="str">
        <f>IF('Residual-RosteredMATRIX-CARER'!AE50=0,"",'Residual-RosteredMATRIX-CARER'!AE50)</f>
        <v/>
      </c>
      <c r="AH81" s="25" t="str">
        <f>IF('Residual-RosteredMATRIX-CARER'!AF44=0,"",'Residual-RosteredMATRIX-CARER'!AF44)</f>
        <v/>
      </c>
      <c r="AI81" s="25" t="str">
        <f>IF('Residual-RosteredMATRIX-CARER'!AG44=0,"",'Residual-RosteredMATRIX-CARER'!AG44)</f>
        <v/>
      </c>
      <c r="AJ81" s="25" t="str">
        <f>IF('Residual-RosteredMATRIX-CARER'!AH44=0,"",'Residual-RosteredMATRIX-CARER'!AH44)</f>
        <v/>
      </c>
      <c r="AK81" s="25" t="str">
        <f>IF('Residual-RosteredMATRIX-CARER'!AI44=0,"",'Residual-RosteredMATRIX-CARER'!AI44)</f>
        <v/>
      </c>
      <c r="AL81" s="25" t="str">
        <f>IF('Residual-RosteredMATRIX-CARER'!AJ44=0,"",'Residual-RosteredMATRIX-CARER'!AJ44)</f>
        <v>0.5/ 7.5</v>
      </c>
      <c r="AM81" s="25">
        <v>0.5</v>
      </c>
      <c r="AN81" s="25" t="str">
        <f>IF('Residual-RosteredMATRIX-CARER'!AL44=0,"",'Residual-RosteredMATRIX-CARER'!AL44)</f>
        <v/>
      </c>
      <c r="AO81" s="25" t="str">
        <f>IF('Residual-RosteredMATRIX-CARER'!AM44=0,"",'Residual-RosteredMATRIX-CARER'!AM44)</f>
        <v>0/ 7.5</v>
      </c>
      <c r="AP81" s="25" t="str">
        <f>IF('Residual-RosteredMATRIX-CARER'!AN44=0,"",'Residual-RosteredMATRIX-CARER'!AN44)</f>
        <v/>
      </c>
      <c r="AQ81" s="25" t="str">
        <f>IF('Residual-RosteredMATRIX-CARER'!AO44=0,"",'Residual-RosteredMATRIX-CARER'!AO44)</f>
        <v/>
      </c>
      <c r="AR81" s="25" t="str">
        <f>IF('Residual-RosteredMATRIX-CARER'!AP44=0,"",'Residual-RosteredMATRIX-CARER'!AP44)</f>
        <v/>
      </c>
      <c r="AS81" s="25" t="str">
        <f>IF('Residual-RosteredMATRIX-CARER'!AQ44=0,"",'Residual-RosteredMATRIX-CARER'!AQ44)</f>
        <v/>
      </c>
      <c r="AT81" s="25" t="str">
        <f>IF('Residual-RosteredMATRIX-CARER'!AR44=0,"",'Residual-RosteredMATRIX-CARER'!AR44)</f>
        <v/>
      </c>
      <c r="AU81" s="25" t="str">
        <f>IF('Residual-RosteredMATRIX-CARER'!AS44=0,"",'Residual-RosteredMATRIX-CARER'!AS44)</f>
        <v/>
      </c>
      <c r="AV81" s="25" t="str">
        <f>IF('Residual-RosteredMATRIX-CARER'!AT44=0,"",'Residual-RosteredMATRIX-CARER'!AT44)</f>
        <v/>
      </c>
      <c r="AW81" s="25" t="str">
        <f>IF('Residual-RosteredMATRIX-CARER'!AU44=0,"",'Residual-RosteredMATRIX-CARER'!AU44)</f>
        <v/>
      </c>
    </row>
    <row r="82" spans="2:49" ht="15.75" customHeight="1" x14ac:dyDescent="0.25">
      <c r="B82" s="33" t="str">
        <f>'Residual-RosteredMATRIX-CARER'!D14</f>
        <v>Carer</v>
      </c>
      <c r="C82" s="33" t="str">
        <f>'Residual-RosteredMATRIX-CARER'!C14</f>
        <v>Wynyard, Zoe</v>
      </c>
      <c r="D82" s="34">
        <f>'Residual-RosteredMATRIX-CARER'!E14</f>
        <v>72</v>
      </c>
      <c r="E82" s="14">
        <f>Max_HRS-Table314[[#This Row],[ROSTERED TIME]]</f>
        <v>4</v>
      </c>
      <c r="F82" s="14">
        <f t="shared" si="6"/>
        <v>-1</v>
      </c>
      <c r="G82" s="14">
        <f>Table314[[#This Row],[ROSTERED TIME]]+Table314[[#This Row],[CHANGE TIME]]</f>
        <v>71</v>
      </c>
      <c r="H82" s="25" t="str">
        <f>IF('Residual-RosteredMATRIX-CARER'!F14=0,"",'Residual-RosteredMATRIX-CARER'!F14)</f>
        <v>0/ 7.5</v>
      </c>
      <c r="I82" s="25" t="str">
        <f>IF('Residual-RosteredMATRIX-CARER'!G14=0,"",'Residual-RosteredMATRIX-CARER'!G14)</f>
        <v>0/ 0.5</v>
      </c>
      <c r="J82" s="25" t="str">
        <f>IF('Residual-RosteredMATRIX-CARER'!H14=0,"",'Residual-RosteredMATRIX-CARER'!H14)</f>
        <v/>
      </c>
      <c r="K82" s="25" t="str">
        <f>IF('Residual-RosteredMATRIX-CARER'!I14=0,"",'Residual-RosteredMATRIX-CARER'!I14)</f>
        <v>0/ 7.5</v>
      </c>
      <c r="L82" s="25">
        <v>-0.5</v>
      </c>
      <c r="M82" s="25" t="str">
        <f>IF('Residual-RosteredMATRIX-CARER'!K14=0,"",'Residual-RosteredMATRIX-CARER'!K14)</f>
        <v/>
      </c>
      <c r="N82" s="25" t="str">
        <f>IF('Residual-RosteredMATRIX-CARER'!L14=0,"",'Residual-RosteredMATRIX-CARER'!L14)</f>
        <v>0/ 7.5</v>
      </c>
      <c r="O82" s="25">
        <v>-0.5</v>
      </c>
      <c r="P82" s="25" t="str">
        <f>IF('Residual-RosteredMATRIX-CARER'!N14=0,"",'Residual-RosteredMATRIX-CARER'!N14)</f>
        <v/>
      </c>
      <c r="Q82" s="25" t="str">
        <f>IF('Residual-RosteredMATRIX-CARER'!O14=0,"",'Residual-RosteredMATRIX-CARER'!O14)</f>
        <v>0/ 7.5</v>
      </c>
      <c r="R82" s="25" t="str">
        <f>IF('Residual-RosteredMATRIX-CARER'!P14=0,"",'Residual-RosteredMATRIX-CARER'!P14)</f>
        <v>0/ 0.5</v>
      </c>
      <c r="S82" s="25" t="str">
        <f>IF('Residual-RosteredMATRIX-CARER'!Q14=0,"",'Residual-RosteredMATRIX-CARER'!Q14)</f>
        <v/>
      </c>
      <c r="T82" s="25" t="str">
        <f>IF('Residual-RosteredMATRIX-CARER'!R14=0,"",'Residual-RosteredMATRIX-CARER'!R14)</f>
        <v/>
      </c>
      <c r="U82" s="25" t="str">
        <f>IF('Residual-RosteredMATRIX-CARER'!S14=0,"",'Residual-RosteredMATRIX-CARER'!S14)</f>
        <v/>
      </c>
      <c r="V82" s="25" t="str">
        <f>IF('Residual-RosteredMATRIX-CARER'!T14=0,"",'Residual-RosteredMATRIX-CARER'!T14)</f>
        <v/>
      </c>
      <c r="W82" s="25" t="str">
        <f>IF('Residual-RosteredMATRIX-CARER'!U14=0,"",'Residual-RosteredMATRIX-CARER'!U14)</f>
        <v/>
      </c>
      <c r="X82" s="25" t="str">
        <f>IF('Residual-RosteredMATRIX-CARER'!V14=0,"",'Residual-RosteredMATRIX-CARER'!V14)</f>
        <v/>
      </c>
      <c r="Y82" s="25" t="str">
        <f>IF('Residual-RosteredMATRIX-CARER'!W14=0,"",'Residual-RosteredMATRIX-CARER'!W14)</f>
        <v/>
      </c>
      <c r="Z82" s="25" t="str">
        <f>IF('Residual-RosteredMATRIX-CARER'!X14=0,"",'Residual-RosteredMATRIX-CARER'!X14)</f>
        <v/>
      </c>
      <c r="AA82" s="25" t="str">
        <f>IF('Residual-RosteredMATRIX-CARER'!Y14=0,"",'Residual-RosteredMATRIX-CARER'!Y14)</f>
        <v/>
      </c>
      <c r="AB82" s="25" t="str">
        <f>IF('Residual-RosteredMATRIX-CARER'!Z14=0,"",'Residual-RosteredMATRIX-CARER'!Z14)</f>
        <v/>
      </c>
      <c r="AC82" s="25" t="str">
        <f>IF('Residual-RosteredMATRIX-CARER'!AA14=0,"",'Residual-RosteredMATRIX-CARER'!AA14)</f>
        <v>0/ 7.5</v>
      </c>
      <c r="AD82" s="25" t="str">
        <f>IF('Residual-RosteredMATRIX-CARER'!AB14=0,"",'Residual-RosteredMATRIX-CARER'!AB14)</f>
        <v>0/ 0.5</v>
      </c>
      <c r="AE82" s="25" t="str">
        <f>IF('Residual-RosteredMATRIX-CARER'!AC14=0,"",'Residual-RosteredMATRIX-CARER'!AC14)</f>
        <v/>
      </c>
      <c r="AF82" s="25" t="str">
        <f>IF('Residual-RosteredMATRIX-CARER'!AD14=0,"",'Residual-RosteredMATRIX-CARER'!AD14)</f>
        <v>0/ 7.5</v>
      </c>
      <c r="AG82" s="25" t="str">
        <f>IF('Residual-RosteredMATRIX-CARER'!AE51=0,"",'Residual-RosteredMATRIX-CARER'!AE51)</f>
        <v/>
      </c>
      <c r="AH82" s="25" t="str">
        <f>IF('Residual-RosteredMATRIX-CARER'!AF14=0,"",'Residual-RosteredMATRIX-CARER'!AF14)</f>
        <v/>
      </c>
      <c r="AI82" s="25" t="str">
        <f>IF('Residual-RosteredMATRIX-CARER'!AG14=0,"",'Residual-RosteredMATRIX-CARER'!AG14)</f>
        <v>0/ 7.5</v>
      </c>
      <c r="AJ82" s="25" t="str">
        <f>IF('Residual-RosteredMATRIX-CARER'!AH14=0,"",'Residual-RosteredMATRIX-CARER'!AH14)</f>
        <v>0/ 0.5</v>
      </c>
      <c r="AK82" s="25" t="str">
        <f>IF('Residual-RosteredMATRIX-CARER'!AI14=0,"",'Residual-RosteredMATRIX-CARER'!AI14)</f>
        <v/>
      </c>
      <c r="AL82" s="25" t="str">
        <f>IF('Residual-RosteredMATRIX-CARER'!AJ14=0,"",'Residual-RosteredMATRIX-CARER'!AJ14)</f>
        <v/>
      </c>
      <c r="AM82" s="25" t="str">
        <f>IF('Residual-RosteredMATRIX-CARER'!AK14=0,"",'Residual-RosteredMATRIX-CARER'!AK14)</f>
        <v/>
      </c>
      <c r="AN82" s="25" t="str">
        <f>IF('Residual-RosteredMATRIX-CARER'!AL14=0,"",'Residual-RosteredMATRIX-CARER'!AL14)</f>
        <v/>
      </c>
      <c r="AO82" s="25" t="str">
        <f>IF('Residual-RosteredMATRIX-CARER'!AM14=0,"",'Residual-RosteredMATRIX-CARER'!AM14)</f>
        <v/>
      </c>
      <c r="AP82" s="25" t="str">
        <f>IF('Residual-RosteredMATRIX-CARER'!AN14=0,"",'Residual-RosteredMATRIX-CARER'!AN14)</f>
        <v/>
      </c>
      <c r="AQ82" s="25" t="str">
        <f>IF('Residual-RosteredMATRIX-CARER'!AO14=0,"",'Residual-RosteredMATRIX-CARER'!AO14)</f>
        <v/>
      </c>
      <c r="AR82" s="25" t="str">
        <f>IF('Residual-RosteredMATRIX-CARER'!AP14=0,"",'Residual-RosteredMATRIX-CARER'!AP14)</f>
        <v>0/ 7.5</v>
      </c>
      <c r="AS82" s="25" t="str">
        <f>IF('Residual-RosteredMATRIX-CARER'!AQ14=0,"",'Residual-RosteredMATRIX-CARER'!AQ14)</f>
        <v>0/ 0.5</v>
      </c>
      <c r="AT82" s="25" t="str">
        <f>IF('Residual-RosteredMATRIX-CARER'!AR14=0,"",'Residual-RosteredMATRIX-CARER'!AR14)</f>
        <v/>
      </c>
      <c r="AU82" s="25" t="str">
        <f>IF('Residual-RosteredMATRIX-CARER'!AS14=0,"",'Residual-RosteredMATRIX-CARER'!AS14)</f>
        <v>0/ 7.5</v>
      </c>
      <c r="AV82" s="25" t="str">
        <f>IF('Residual-RosteredMATRIX-CARER'!AT14=0,"",'Residual-RosteredMATRIX-CARER'!AT14)</f>
        <v>0/ 0.5</v>
      </c>
      <c r="AW82" s="25" t="str">
        <f>IF('Residual-RosteredMATRIX-CARER'!AU14=0,"",'Residual-RosteredMATRIX-CARER'!AU14)</f>
        <v/>
      </c>
    </row>
    <row r="83" spans="2:49" ht="15.75" customHeight="1" x14ac:dyDescent="0.25">
      <c r="B83" s="33" t="str">
        <f>'Residual-RosteredMATRIX-CARER'!D31</f>
        <v>Carer</v>
      </c>
      <c r="C83" s="33" t="str">
        <f>'Residual-RosteredMATRIX-CARER'!C31</f>
        <v>Thurling, Sharn</v>
      </c>
      <c r="D83" s="34">
        <f>'Residual-RosteredMATRIX-CARER'!E31</f>
        <v>68</v>
      </c>
      <c r="E83" s="14">
        <f>Max_HRS-Table314[[#This Row],[ROSTERED TIME]]</f>
        <v>8</v>
      </c>
      <c r="F83" s="14">
        <f t="shared" si="6"/>
        <v>8.3000000000000007</v>
      </c>
      <c r="G83" s="14">
        <f>Table314[[#This Row],[ROSTERED TIME]]+Table314[[#This Row],[CHANGE TIME]]</f>
        <v>76.3</v>
      </c>
      <c r="H83" s="25" t="str">
        <f>IF('Residual-RosteredMATRIX-CARER'!F31=0,"",'Residual-RosteredMATRIX-CARER'!F31)</f>
        <v/>
      </c>
      <c r="I83" s="25" t="str">
        <f>IF('Residual-RosteredMATRIX-CARER'!G31=0,"",'Residual-RosteredMATRIX-CARER'!G31)</f>
        <v>0/ 7.8</v>
      </c>
      <c r="J83" s="25" t="str">
        <f>IF('Residual-RosteredMATRIX-CARER'!H31=0,"",'Residual-RosteredMATRIX-CARER'!H31)</f>
        <v>0/ 0.2</v>
      </c>
      <c r="K83" s="25" t="str">
        <f>IF('Residual-RosteredMATRIX-CARER'!I31=0,"",'Residual-RosteredMATRIX-CARER'!I31)</f>
        <v/>
      </c>
      <c r="L83" s="25"/>
      <c r="M83" s="25" t="str">
        <f>IF('Residual-RosteredMATRIX-CARER'!K31=0,"",'Residual-RosteredMATRIX-CARER'!K31)</f>
        <v/>
      </c>
      <c r="N83" s="25" t="str">
        <f>IF('Residual-RosteredMATRIX-CARER'!L31=0,"",'Residual-RosteredMATRIX-CARER'!L31)</f>
        <v/>
      </c>
      <c r="O83" s="25" t="str">
        <f>IF('Residual-RosteredMATRIX-CARER'!M31=0,"",'Residual-RosteredMATRIX-CARER'!M31)</f>
        <v>1/ 7</v>
      </c>
      <c r="P83" s="25" t="str">
        <f>IF('Residual-RosteredMATRIX-CARER'!N31=0,"",'Residual-RosteredMATRIX-CARER'!N31)</f>
        <v/>
      </c>
      <c r="Q83" s="25" t="str">
        <f>IF('Residual-RosteredMATRIX-CARER'!O31=0,"",'Residual-RosteredMATRIX-CARER'!O31)</f>
        <v/>
      </c>
      <c r="R83" s="25" t="str">
        <f>IF('Residual-RosteredMATRIX-CARER'!P31=0,"",'Residual-RosteredMATRIX-CARER'!P31)</f>
        <v>1/ 7</v>
      </c>
      <c r="S83" s="25" t="str">
        <f>IF('Residual-RosteredMATRIX-CARER'!Q31=0,"",'Residual-RosteredMATRIX-CARER'!Q31)</f>
        <v/>
      </c>
      <c r="T83" s="25" t="str">
        <f>IF('Residual-RosteredMATRIX-CARER'!R31=0,"",'Residual-RosteredMATRIX-CARER'!R31)</f>
        <v/>
      </c>
      <c r="U83" s="25">
        <v>7.8</v>
      </c>
      <c r="V83" s="25">
        <v>0.5</v>
      </c>
      <c r="W83" s="25" t="str">
        <f>IF('Residual-RosteredMATRIX-CARER'!U31=0,"",'Residual-RosteredMATRIX-CARER'!U31)</f>
        <v/>
      </c>
      <c r="X83" s="25" t="str">
        <f>IF('Residual-RosteredMATRIX-CARER'!V31=0,"",'Residual-RosteredMATRIX-CARER'!V31)</f>
        <v/>
      </c>
      <c r="Y83" s="25" t="str">
        <f>IF('Residual-RosteredMATRIX-CARER'!W31=0,"",'Residual-RosteredMATRIX-CARER'!W31)</f>
        <v/>
      </c>
      <c r="Z83" s="25" t="str">
        <f>IF('Residual-RosteredMATRIX-CARER'!X31=0,"",'Residual-RosteredMATRIX-CARER'!X31)</f>
        <v/>
      </c>
      <c r="AA83" s="25" t="str">
        <f>IF('Residual-RosteredMATRIX-CARER'!Y31=0,"",'Residual-RosteredMATRIX-CARER'!Y31)</f>
        <v/>
      </c>
      <c r="AB83" s="25" t="str">
        <f>IF('Residual-RosteredMATRIX-CARER'!Z31=0,"",'Residual-RosteredMATRIX-CARER'!Z31)</f>
        <v/>
      </c>
      <c r="AC83" s="25" t="str">
        <f>IF('Residual-RosteredMATRIX-CARER'!AA31=0,"",'Residual-RosteredMATRIX-CARER'!AA31)</f>
        <v/>
      </c>
      <c r="AD83" s="25" t="str">
        <f>IF('Residual-RosteredMATRIX-CARER'!AB31=0,"",'Residual-RosteredMATRIX-CARER'!AB31)</f>
        <v>0/ 7.8</v>
      </c>
      <c r="AE83" s="25" t="str">
        <f>IF('Residual-RosteredMATRIX-CARER'!AC31=0,"",'Residual-RosteredMATRIX-CARER'!AC31)</f>
        <v>0/ 0.2</v>
      </c>
      <c r="AF83" s="25" t="str">
        <f>IF('Residual-RosteredMATRIX-CARER'!AD31=0,"",'Residual-RosteredMATRIX-CARER'!AD31)</f>
        <v/>
      </c>
      <c r="AG83" s="25" t="str">
        <f>IF('Residual-RosteredMATRIX-CARER'!AE52=0,"",'Residual-RosteredMATRIX-CARER'!AE52)</f>
        <v/>
      </c>
      <c r="AH83" s="25" t="str">
        <f>IF('Residual-RosteredMATRIX-CARER'!AF31=0,"",'Residual-RosteredMATRIX-CARER'!AF31)</f>
        <v/>
      </c>
      <c r="AI83" s="25" t="str">
        <f>IF('Residual-RosteredMATRIX-CARER'!AG31=0,"",'Residual-RosteredMATRIX-CARER'!AG31)</f>
        <v/>
      </c>
      <c r="AJ83" s="25" t="str">
        <f>IF('Residual-RosteredMATRIX-CARER'!AH31=0,"",'Residual-RosteredMATRIX-CARER'!AH31)</f>
        <v/>
      </c>
      <c r="AK83" s="25" t="str">
        <f>IF('Residual-RosteredMATRIX-CARER'!AI31=0,"",'Residual-RosteredMATRIX-CARER'!AI31)</f>
        <v/>
      </c>
      <c r="AL83" s="25" t="str">
        <f>IF('Residual-RosteredMATRIX-CARER'!AJ31=0,"",'Residual-RosteredMATRIX-CARER'!AJ31)</f>
        <v/>
      </c>
      <c r="AM83" s="25" t="str">
        <f>IF('Residual-RosteredMATRIX-CARER'!AK31=0,"",'Residual-RosteredMATRIX-CARER'!AK31)</f>
        <v>0/ 7.8</v>
      </c>
      <c r="AN83" s="25" t="str">
        <f>IF('Residual-RosteredMATRIX-CARER'!AL31=0,"",'Residual-RosteredMATRIX-CARER'!AL31)</f>
        <v>0/ 0.2</v>
      </c>
      <c r="AO83" s="25" t="str">
        <f>IF('Residual-RosteredMATRIX-CARER'!AM31=0,"",'Residual-RosteredMATRIX-CARER'!AM31)</f>
        <v/>
      </c>
      <c r="AP83" s="25" t="str">
        <f>IF('Residual-RosteredMATRIX-CARER'!AN31=0,"",'Residual-RosteredMATRIX-CARER'!AN31)</f>
        <v>0/ 7.8</v>
      </c>
      <c r="AQ83" s="25" t="str">
        <f>IF('Residual-RosteredMATRIX-CARER'!AO31=0,"",'Residual-RosteredMATRIX-CARER'!AO31)</f>
        <v>0/ 0.2</v>
      </c>
      <c r="AR83" s="25" t="str">
        <f>IF('Residual-RosteredMATRIX-CARER'!AP31=0,"",'Residual-RosteredMATRIX-CARER'!AP31)</f>
        <v/>
      </c>
      <c r="AS83" s="25" t="str">
        <f>IF('Residual-RosteredMATRIX-CARER'!AQ31=0,"",'Residual-RosteredMATRIX-CARER'!AQ31)</f>
        <v>1/ 7</v>
      </c>
      <c r="AT83" s="25" t="str">
        <f>IF('Residual-RosteredMATRIX-CARER'!AR31=0,"",'Residual-RosteredMATRIX-CARER'!AR31)</f>
        <v/>
      </c>
      <c r="AU83" s="25" t="str">
        <f>IF('Residual-RosteredMATRIX-CARER'!AS31=0,"",'Residual-RosteredMATRIX-CARER'!AS31)</f>
        <v/>
      </c>
      <c r="AV83" s="25" t="str">
        <f>IF('Residual-RosteredMATRIX-CARER'!AT31=0,"",'Residual-RosteredMATRIX-CARER'!AT31)</f>
        <v>0/ 7.8</v>
      </c>
      <c r="AW83" s="25" t="str">
        <f>IF('Residual-RosteredMATRIX-CARER'!AU31=0,"",'Residual-RosteredMATRIX-CARER'!AU31)</f>
        <v>0/ 0.2</v>
      </c>
    </row>
    <row r="84" spans="2:49" ht="15.75" customHeight="1" x14ac:dyDescent="0.25"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</row>
    <row r="85" spans="2:49" ht="15.75" customHeight="1" x14ac:dyDescent="0.25"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</row>
    <row r="86" spans="2:49" ht="15.75" customHeight="1" x14ac:dyDescent="0.25"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</row>
    <row r="87" spans="2:49" ht="15.75" customHeight="1" x14ac:dyDescent="0.25"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</row>
  </sheetData>
  <mergeCells count="7">
    <mergeCell ref="Z3:AB3"/>
    <mergeCell ref="H3:J3"/>
    <mergeCell ref="K3:M3"/>
    <mergeCell ref="N3:P3"/>
    <mergeCell ref="Q3:S3"/>
    <mergeCell ref="T3:V3"/>
    <mergeCell ref="W3:Y3"/>
  </mergeCells>
  <conditionalFormatting sqref="F18:F83">
    <cfRule type="cellIs" dxfId="32" priority="10" stopIfTrue="1" operator="greaterThan">
      <formula>0.1</formula>
    </cfRule>
  </conditionalFormatting>
  <conditionalFormatting sqref="G18:G83">
    <cfRule type="cellIs" dxfId="31" priority="7" operator="greaterThan">
      <formula>76</formula>
    </cfRule>
  </conditionalFormatting>
  <conditionalFormatting sqref="H7:AW9">
    <cfRule type="cellIs" dxfId="30" priority="4" operator="between">
      <formula>-0.5</formula>
      <formula>0.5</formula>
    </cfRule>
    <cfRule type="cellIs" dxfId="29" priority="5" operator="lessThan">
      <formula>-0.1</formula>
    </cfRule>
    <cfRule type="cellIs" dxfId="28" priority="6" operator="greaterThan">
      <formula>0.1</formula>
    </cfRule>
  </conditionalFormatting>
  <conditionalFormatting sqref="H10:AW12">
    <cfRule type="cellIs" dxfId="27" priority="19" operator="greaterThan">
      <formula>0.1</formula>
    </cfRule>
  </conditionalFormatting>
  <conditionalFormatting sqref="H11:AW12">
    <cfRule type="cellIs" dxfId="26" priority="14" operator="lessThan">
      <formula>-0.1</formula>
    </cfRule>
  </conditionalFormatting>
  <conditionalFormatting sqref="H12:AW15">
    <cfRule type="cellIs" dxfId="25" priority="1" operator="between">
      <formula>-0.5</formula>
      <formula>0.5</formula>
    </cfRule>
  </conditionalFormatting>
  <conditionalFormatting sqref="H13:AW15">
    <cfRule type="cellIs" dxfId="24" priority="2" operator="lessThan">
      <formula>-0.1</formula>
    </cfRule>
  </conditionalFormatting>
  <conditionalFormatting sqref="H13:AW16">
    <cfRule type="cellIs" dxfId="23" priority="3" operator="greaterThan">
      <formula>0.1</formula>
    </cfRule>
  </conditionalFormatting>
  <conditionalFormatting sqref="H18:AW83 H83:AG87">
    <cfRule type="cellIs" dxfId="21" priority="12" stopIfTrue="1" operator="lessThan">
      <formula>-0.1</formula>
    </cfRule>
    <cfRule type="cellIs" dxfId="18" priority="18" stopIfTrue="1" operator="greaterThan">
      <formula>0.1</formula>
    </cfRule>
  </conditionalFormatting>
  <conditionalFormatting sqref="K11">
    <cfRule type="cellIs" dxfId="17" priority="8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stopIfTrue="1" operator="containsText" id="{5C2A19A3-7498-4466-A515-719CF36295F2}">
            <xm:f>NOT(ISERROR(SEARCH("-",F18)))</xm:f>
            <xm:f>"-"</xm:f>
            <x14:dxf/>
          </x14:cfRule>
          <xm:sqref>F18:F83</xm:sqref>
        </x14:conditionalFormatting>
        <x14:conditionalFormatting xmlns:xm="http://schemas.microsoft.com/office/excel/2006/main">
          <x14:cfRule type="containsText" priority="11" stopIfTrue="1" operator="containsText" id="{C9DD3380-B5C6-4643-8D65-3E6A927F7E6D}">
            <xm:f>NOT(ISERROR(SEARCH("0/ 0",H18)))</xm:f>
            <xm:f>"0/ 0"</xm:f>
            <x14:dxf>
              <font>
                <color theme="2" tint="-0.499984740745262"/>
              </font>
              <fill>
                <patternFill>
                  <bgColor theme="0" tint="-0.24994659260841701"/>
                </patternFill>
              </fill>
            </x14:dxf>
          </x14:cfRule>
          <x14:cfRule type="containsText" priority="15" stopIfTrue="1" operator="containsText" id="{923504F0-8B7E-47BD-ACC5-851C597D10D2}">
            <xm:f>NOT(ISERROR(SEARCH("-",H18)))</xm:f>
            <xm:f>"-"</xm:f>
            <x14:dxf/>
          </x14:cfRule>
          <x14:cfRule type="containsText" priority="16" stopIfTrue="1" operator="containsText" id="{61DC49D9-92CD-413A-9CE1-2D564A990A18}">
            <xm:f>NOT(ISERROR(SEARCH("/ 0",H18)))</xm:f>
            <xm:f>"/ 0"</xm:f>
            <x14:dxf>
              <font>
                <b/>
                <i val="0"/>
                <color rgb="FF006100"/>
              </font>
              <fill>
                <patternFill>
                  <bgColor rgb="FFFFCC99"/>
                </patternFill>
              </fill>
            </x14:dxf>
          </x14:cfRule>
          <x14:cfRule type="containsText" priority="17" stopIfTrue="1" operator="containsText" id="{09722184-B52D-4D32-8C75-27CD6BE6F33F}">
            <xm:f>NOT(ISERROR(SEARCH("/",H18)))</xm:f>
            <xm:f>"/"</xm:f>
            <x14:dxf>
              <font>
                <color theme="2" tint="-0.499984740745262"/>
              </font>
              <fill>
                <patternFill>
                  <bgColor rgb="FFFFCC99"/>
                </patternFill>
              </fill>
            </x14:dxf>
          </x14:cfRule>
          <xm:sqref>H18:AW83 H83:AG87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D44298-5BE9-45E1-A053-C4C42F89B93B}">
          <x14:formula1>
            <xm:f>FILEPATH!$L$7:$L$8</xm:f>
          </x14:formula1>
          <xm:sqref>C2:C3</xm:sqref>
        </x14:dataValidation>
        <x14:dataValidation type="list" allowBlank="1" showInputMessage="1" showErrorMessage="1" xr:uid="{0450D924-1792-41EE-93A5-E9AC458D5EAB}">
          <x14:formula1>
            <xm:f>FILEPATH!$J$2:$J$3</xm:f>
          </x14:formula1>
          <xm:sqref>AG3 L2</xm:sqref>
        </x14:dataValidation>
        <x14:dataValidation type="list" allowBlank="1" showInputMessage="1" showErrorMessage="1" xr:uid="{09BF38A5-8D5F-4E04-8A7E-6612EDD2F08E}">
          <x14:formula1>
            <xm:f>FILEPATH!$J$7:$J$8</xm:f>
          </x14:formula1>
          <xm:sqref>F3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BE95-868C-49B8-9087-C9F1CB076766}">
  <sheetPr>
    <tabColor theme="7"/>
  </sheetPr>
  <dimension ref="A1:AX87"/>
  <sheetViews>
    <sheetView zoomScale="115" zoomScaleNormal="115" workbookViewId="0">
      <selection activeCell="AK28" sqref="AK28"/>
    </sheetView>
    <sheetView workbookViewId="1"/>
  </sheetViews>
  <sheetFormatPr defaultRowHeight="15.75" customHeight="1" x14ac:dyDescent="0.25"/>
  <cols>
    <col min="1" max="1" width="11.140625" customWidth="1"/>
    <col min="2" max="2" width="24.85546875" customWidth="1"/>
    <col min="3" max="3" width="21.28515625" customWidth="1"/>
    <col min="4" max="4" width="10.85546875" customWidth="1"/>
    <col min="5" max="6" width="11" customWidth="1"/>
    <col min="7" max="7" width="11.5703125" customWidth="1"/>
    <col min="8" max="8" width="7" customWidth="1"/>
    <col min="9" max="49" width="7" style="11" customWidth="1"/>
  </cols>
  <sheetData>
    <row r="1" spans="1:49" ht="15.75" customHeight="1" x14ac:dyDescent="0.25">
      <c r="B1" s="31" t="s">
        <v>72</v>
      </c>
      <c r="C1" t="s">
        <v>73</v>
      </c>
      <c r="E1" s="31"/>
    </row>
    <row r="2" spans="1:49" ht="15.75" customHeight="1" x14ac:dyDescent="0.25">
      <c r="B2" s="31" t="s">
        <v>134</v>
      </c>
      <c r="C2" t="s">
        <v>24</v>
      </c>
      <c r="E2" s="31"/>
      <c r="J2" s="36"/>
      <c r="K2" s="31" t="s">
        <v>125</v>
      </c>
      <c r="L2" s="11" t="s">
        <v>122</v>
      </c>
      <c r="M2" s="30">
        <f>_xlfn.XLOOKUP(RN!L2,Table5[UNITS],Table5[HRS/FTE])</f>
        <v>1</v>
      </c>
      <c r="O2" s="31" t="s">
        <v>127</v>
      </c>
      <c r="P2" s="11">
        <v>76</v>
      </c>
    </row>
    <row r="3" spans="1:49" ht="15.75" customHeight="1" x14ac:dyDescent="0.25">
      <c r="B3" s="31"/>
      <c r="E3" s="31"/>
      <c r="H3" t="s">
        <v>225</v>
      </c>
      <c r="J3" s="36"/>
      <c r="K3" s="31" t="s">
        <v>226</v>
      </c>
      <c r="M3" s="30"/>
      <c r="N3" s="11" t="s">
        <v>227</v>
      </c>
      <c r="O3" s="31"/>
      <c r="Q3" s="11" t="s">
        <v>226</v>
      </c>
      <c r="T3" s="11" t="s">
        <v>228</v>
      </c>
      <c r="W3" s="11" t="s">
        <v>229</v>
      </c>
      <c r="Z3" s="11" t="s">
        <v>229</v>
      </c>
      <c r="AC3" t="s">
        <v>230</v>
      </c>
      <c r="AE3" s="36"/>
      <c r="AF3" s="31" t="s">
        <v>226</v>
      </c>
      <c r="AH3" s="30"/>
      <c r="AI3" s="11" t="s">
        <v>227</v>
      </c>
      <c r="AJ3" s="31"/>
      <c r="AL3" s="11" t="s">
        <v>226</v>
      </c>
      <c r="AO3" s="11" t="s">
        <v>228</v>
      </c>
      <c r="AR3" s="11" t="s">
        <v>229</v>
      </c>
      <c r="AU3" s="11" t="s">
        <v>229</v>
      </c>
    </row>
    <row r="4" spans="1:49" s="17" customFormat="1" ht="30" x14ac:dyDescent="0.25">
      <c r="A4" s="15" t="str">
        <f>Header!B10</f>
        <v>Facility</v>
      </c>
      <c r="B4" s="15" t="str">
        <f>Header!C10</f>
        <v>EffortType</v>
      </c>
      <c r="C4" s="40" t="str">
        <f>Header!D10</f>
        <v>Role</v>
      </c>
      <c r="D4" s="15" t="s">
        <v>254</v>
      </c>
      <c r="G4" s="15"/>
      <c r="H4" s="16" t="str">
        <f>Header!E10</f>
        <v>19/06 AM</v>
      </c>
      <c r="I4" s="16" t="str">
        <f>Header!F10</f>
        <v>19/06 PM</v>
      </c>
      <c r="J4" s="16" t="str">
        <f>Header!G10</f>
        <v>19/06 NIGHT</v>
      </c>
      <c r="K4" s="16" t="str">
        <f>Header!H10</f>
        <v>20/06 AM</v>
      </c>
      <c r="L4" s="16" t="str">
        <f>Header!I10</f>
        <v>20/06 PM</v>
      </c>
      <c r="M4" s="16" t="str">
        <f>Header!J10</f>
        <v>20/06 NIGHT</v>
      </c>
      <c r="N4" s="16" t="str">
        <f>Header!K10</f>
        <v>21/06 AM</v>
      </c>
      <c r="O4" s="16" t="str">
        <f>Header!L10</f>
        <v>21/06 PM</v>
      </c>
      <c r="P4" s="16" t="str">
        <f>Header!M10</f>
        <v>21/06 NIGHT</v>
      </c>
      <c r="Q4" s="16" t="str">
        <f>Header!N10</f>
        <v>22/06 AM</v>
      </c>
      <c r="R4" s="16" t="str">
        <f>Header!O10</f>
        <v>22/06 PM</v>
      </c>
      <c r="S4" s="16" t="str">
        <f>Header!P10</f>
        <v>22/06 NIGHT</v>
      </c>
      <c r="T4" s="16" t="str">
        <f>Header!Q10</f>
        <v>23/06 AM</v>
      </c>
      <c r="U4" s="16" t="str">
        <f>Header!R10</f>
        <v>23/06 PM</v>
      </c>
      <c r="V4" s="16" t="str">
        <f>Header!S10</f>
        <v>23/06 NIGHT</v>
      </c>
      <c r="W4" s="16" t="str">
        <f>Header!T10</f>
        <v>24/06 AM</v>
      </c>
      <c r="X4" s="16" t="str">
        <f>Header!U10</f>
        <v>24/06 PM</v>
      </c>
      <c r="Y4" s="16" t="str">
        <f>Header!V10</f>
        <v>24/06 NIGHT</v>
      </c>
      <c r="Z4" s="16" t="str">
        <f>Header!W10</f>
        <v>25/06 AM</v>
      </c>
      <c r="AA4" s="16" t="str">
        <f>Header!X10</f>
        <v>25/06 PM</v>
      </c>
      <c r="AB4" s="16" t="str">
        <f>Header!Y10</f>
        <v>25/06 NIGHT</v>
      </c>
      <c r="AC4" s="16" t="str">
        <f>Header!Z10</f>
        <v>26/06 AM</v>
      </c>
      <c r="AD4" s="16" t="str">
        <f>Header!AA10</f>
        <v>26/06 PM</v>
      </c>
      <c r="AE4" s="16" t="str">
        <f>Header!AB10</f>
        <v>26/06 NIGHT</v>
      </c>
      <c r="AF4" s="16" t="str">
        <f>Header!AC10</f>
        <v>27/06 AM</v>
      </c>
      <c r="AG4" s="16" t="str">
        <f>Header!AD10</f>
        <v>27/06 PM</v>
      </c>
      <c r="AH4" s="16" t="str">
        <f>Header!AE10</f>
        <v>27/06 NIGHT</v>
      </c>
      <c r="AI4" s="16" t="str">
        <f>Header!AF10</f>
        <v>28/06 AM</v>
      </c>
      <c r="AJ4" s="16" t="str">
        <f>Header!AG10</f>
        <v>28/06 PM</v>
      </c>
      <c r="AK4" s="16" t="str">
        <f>Header!AH10</f>
        <v>28/06 NIGHT</v>
      </c>
      <c r="AL4" s="16" t="str">
        <f>Header!AI10</f>
        <v>29/06 AM</v>
      </c>
      <c r="AM4" s="16" t="str">
        <f>Header!AJ10</f>
        <v>29/06 PM</v>
      </c>
      <c r="AN4" s="16" t="str">
        <f>Header!AK10</f>
        <v>29/06 NIGHT</v>
      </c>
      <c r="AO4" s="16" t="str">
        <f>Header!AL10</f>
        <v>30/06 AM</v>
      </c>
      <c r="AP4" s="16" t="str">
        <f>Header!AM10</f>
        <v>30/06 PM</v>
      </c>
      <c r="AQ4" s="16" t="str">
        <f>Header!AN10</f>
        <v>30/06 NIGHT</v>
      </c>
      <c r="AR4" s="16" t="str">
        <f>Header!AO10</f>
        <v>1/07 AM</v>
      </c>
      <c r="AS4" s="16" t="str">
        <f>Header!AP10</f>
        <v>1/07 PM</v>
      </c>
      <c r="AT4" s="16" t="str">
        <f>Header!AQ10</f>
        <v>1/07 NIGHT</v>
      </c>
      <c r="AU4" s="16" t="str">
        <f>Header!AR10</f>
        <v>2/07 AM</v>
      </c>
      <c r="AV4" s="16" t="str">
        <f>Header!AS10</f>
        <v>2/07 PM</v>
      </c>
      <c r="AW4" s="16" t="str">
        <f>Header!AT10</f>
        <v>2/07 NIGHT</v>
      </c>
    </row>
    <row r="5" spans="1:49" ht="15.75" customHeight="1" x14ac:dyDescent="0.25">
      <c r="A5" s="13" t="str">
        <f>Header!B11</f>
        <v>MAIT</v>
      </c>
      <c r="B5" s="13" t="str">
        <f>'Header-RN'!B2</f>
        <v>Demand</v>
      </c>
      <c r="C5" s="35">
        <f>SUM(H5:AW5)</f>
        <v>525.70000000000016</v>
      </c>
      <c r="F5" s="13"/>
      <c r="G5" s="13"/>
      <c r="H5" s="27">
        <f>'Header-RN'!D2</f>
        <v>13.9</v>
      </c>
      <c r="I5" s="27">
        <f>'Header-RN'!E2</f>
        <v>15.2</v>
      </c>
      <c r="J5" s="27">
        <f>'Header-RN'!F2</f>
        <v>7.6</v>
      </c>
      <c r="K5" s="27">
        <f>'Header-RN'!G2</f>
        <v>14.8</v>
      </c>
      <c r="L5" s="27">
        <f>'Header-RN'!H2</f>
        <v>15.2</v>
      </c>
      <c r="M5" s="27">
        <f>'Header-RN'!I2</f>
        <v>7.6</v>
      </c>
      <c r="N5" s="27">
        <f>'Header-RN'!J2</f>
        <v>14.8</v>
      </c>
      <c r="O5" s="27">
        <f>'Header-RN'!K2</f>
        <v>15.2</v>
      </c>
      <c r="P5" s="27">
        <f>'Header-RN'!L2</f>
        <v>7.6</v>
      </c>
      <c r="Q5" s="27">
        <f>'Header-RN'!M2</f>
        <v>14.8</v>
      </c>
      <c r="R5" s="27">
        <f>'Header-RN'!N2</f>
        <v>15.2</v>
      </c>
      <c r="S5" s="27">
        <f>'Header-RN'!O2</f>
        <v>7.6</v>
      </c>
      <c r="T5" s="27">
        <f>'Header-RN'!P2</f>
        <v>14.8</v>
      </c>
      <c r="U5" s="27">
        <f>'Header-RN'!Q2</f>
        <v>15.2</v>
      </c>
      <c r="V5" s="27">
        <f>'Header-RN'!R2</f>
        <v>7.6</v>
      </c>
      <c r="W5" s="27">
        <f>'Header-RN'!S2</f>
        <v>14.8</v>
      </c>
      <c r="X5" s="27">
        <f>'Header-RN'!T2</f>
        <v>15.2</v>
      </c>
      <c r="Y5" s="27">
        <f>'Header-RN'!U2</f>
        <v>7.6</v>
      </c>
      <c r="Z5" s="27">
        <f>'Header-RN'!V2</f>
        <v>14.8</v>
      </c>
      <c r="AA5" s="27">
        <f>'Header-RN'!W2</f>
        <v>15.2</v>
      </c>
      <c r="AB5" s="27">
        <f>'Header-RN'!X2</f>
        <v>7.6</v>
      </c>
      <c r="AC5" s="27">
        <f>'Header-RN'!Y2</f>
        <v>14.8</v>
      </c>
      <c r="AD5" s="27">
        <f>'Header-RN'!Z2</f>
        <v>15.2</v>
      </c>
      <c r="AE5" s="27">
        <f>'Header-RN'!AA2</f>
        <v>7.6</v>
      </c>
      <c r="AF5" s="27">
        <f>'Header-RN'!AB2</f>
        <v>14.8</v>
      </c>
      <c r="AG5" s="27">
        <f>'Header-RN'!AC2</f>
        <v>15.2</v>
      </c>
      <c r="AH5" s="27">
        <f>'Header-RN'!AD2</f>
        <v>7.6</v>
      </c>
      <c r="AI5" s="27">
        <f>'Header-RN'!AE2</f>
        <v>14.8</v>
      </c>
      <c r="AJ5" s="27">
        <f>'Header-RN'!AF2</f>
        <v>15.2</v>
      </c>
      <c r="AK5" s="27">
        <f>'Header-RN'!AG2</f>
        <v>7.6</v>
      </c>
      <c r="AL5" s="27">
        <f>'Header-RN'!AH2</f>
        <v>14.8</v>
      </c>
      <c r="AM5" s="27">
        <f>'Header-RN'!AI2</f>
        <v>15.2</v>
      </c>
      <c r="AN5" s="27">
        <f>'Header-RN'!AJ2</f>
        <v>7.6</v>
      </c>
      <c r="AO5" s="27">
        <f>'Header-RN'!AK2</f>
        <v>14.8</v>
      </c>
      <c r="AP5" s="27">
        <f>'Header-RN'!AL2</f>
        <v>15.2</v>
      </c>
      <c r="AQ5" s="27">
        <f>'Header-RN'!AM2</f>
        <v>7.6</v>
      </c>
      <c r="AR5" s="27">
        <f>'Header-RN'!AN2</f>
        <v>14.8</v>
      </c>
      <c r="AS5" s="27">
        <f>'Header-RN'!AO2</f>
        <v>15.2</v>
      </c>
      <c r="AT5" s="27">
        <f>'Header-RN'!AP2</f>
        <v>7.6</v>
      </c>
      <c r="AU5" s="27">
        <f>'Header-RN'!AQ2</f>
        <v>15</v>
      </c>
      <c r="AV5" s="27">
        <f>'Header-RN'!AR2</f>
        <v>15.2</v>
      </c>
      <c r="AW5" s="27">
        <f>'Header-RN'!AS2</f>
        <v>7.6</v>
      </c>
    </row>
    <row r="6" spans="1:49" ht="15.75" customHeight="1" x14ac:dyDescent="0.25">
      <c r="A6" s="13" t="str">
        <f>Header!B12</f>
        <v>MAIT</v>
      </c>
      <c r="B6" s="13" t="str">
        <f>'Header-RN'!B3</f>
        <v>Allocation</v>
      </c>
      <c r="C6" s="35">
        <f>SUM(H6:AW6)</f>
        <v>448.20000000000005</v>
      </c>
      <c r="D6" s="43" t="s">
        <v>252</v>
      </c>
      <c r="E6" s="43" t="s">
        <v>253</v>
      </c>
      <c r="G6" s="13"/>
      <c r="H6" s="28">
        <f>'Header-RN'!D3</f>
        <v>19.2</v>
      </c>
      <c r="I6" s="28">
        <f>'Header-RN'!E3</f>
        <v>10.5</v>
      </c>
      <c r="J6" s="28">
        <f>'Header-RN'!F3</f>
        <v>7.1</v>
      </c>
      <c r="K6" s="28">
        <f>'Header-RN'!G3</f>
        <v>14.8</v>
      </c>
      <c r="L6" s="28">
        <f>'Header-RN'!H3</f>
        <v>8.3000000000000007</v>
      </c>
      <c r="M6" s="28">
        <f>'Header-RN'!I3</f>
        <v>7.1</v>
      </c>
      <c r="N6" s="28">
        <f>'Header-RN'!J3</f>
        <v>14.8</v>
      </c>
      <c r="O6" s="28">
        <f>'Header-RN'!K3</f>
        <v>0.9</v>
      </c>
      <c r="P6" s="28">
        <f>'Header-RN'!L3</f>
        <v>6.9</v>
      </c>
      <c r="Q6" s="28">
        <f>'Header-RN'!M3</f>
        <v>13.7</v>
      </c>
      <c r="R6" s="28">
        <f>'Header-RN'!N3</f>
        <v>7.4</v>
      </c>
      <c r="S6" s="28">
        <f>'Header-RN'!O3</f>
        <v>7.1</v>
      </c>
      <c r="T6" s="28">
        <f>'Header-RN'!P3</f>
        <v>20.9</v>
      </c>
      <c r="U6" s="28">
        <f>'Header-RN'!Q3</f>
        <v>15.2</v>
      </c>
      <c r="V6" s="28">
        <f>'Header-RN'!R3</f>
        <v>7.4</v>
      </c>
      <c r="W6" s="28">
        <f>'Header-RN'!S3</f>
        <v>7.6</v>
      </c>
      <c r="X6" s="28">
        <f>'Header-RN'!T3</f>
        <v>15.2</v>
      </c>
      <c r="Y6" s="28">
        <f>'Header-RN'!U3</f>
        <v>7.4</v>
      </c>
      <c r="Z6" s="28">
        <f>'Header-RN'!V3</f>
        <v>14.8</v>
      </c>
      <c r="AA6" s="28">
        <f>'Header-RN'!W3</f>
        <v>15.6</v>
      </c>
      <c r="AB6" s="28">
        <f>'Header-RN'!X3</f>
        <v>7.4</v>
      </c>
      <c r="AC6" s="28">
        <f>'Header-RN'!Y3</f>
        <v>19.7</v>
      </c>
      <c r="AD6" s="28">
        <f>'Header-RN'!Z3</f>
        <v>10.5</v>
      </c>
      <c r="AE6" s="28">
        <f>'Header-RN'!AA3</f>
        <v>7.1</v>
      </c>
      <c r="AF6" s="28">
        <f>'Header-RN'!AB3</f>
        <v>14.8</v>
      </c>
      <c r="AG6" s="28">
        <f>'Header-RN'!AC3</f>
        <v>8.3000000000000007</v>
      </c>
      <c r="AH6" s="28">
        <f>'Header-RN'!AD3</f>
        <v>7.1</v>
      </c>
      <c r="AI6" s="28">
        <f>'Header-RN'!AE3</f>
        <v>14.8</v>
      </c>
      <c r="AJ6" s="28">
        <f>'Header-RN'!AF3</f>
        <v>0.9</v>
      </c>
      <c r="AK6" s="28">
        <f>'Header-RN'!AG3</f>
        <v>6.9</v>
      </c>
      <c r="AL6" s="28">
        <f>'Header-RN'!AH3</f>
        <v>13.7</v>
      </c>
      <c r="AM6" s="28">
        <f>'Header-RN'!AI3</f>
        <v>0</v>
      </c>
      <c r="AN6" s="28">
        <f>'Header-RN'!AJ3</f>
        <v>6.9</v>
      </c>
      <c r="AO6" s="28">
        <f>'Header-RN'!AK3</f>
        <v>28.1</v>
      </c>
      <c r="AP6" s="28">
        <f>'Header-RN'!AL3</f>
        <v>15.6</v>
      </c>
      <c r="AQ6" s="28">
        <f>'Header-RN'!AM3</f>
        <v>7.4</v>
      </c>
      <c r="AR6" s="28">
        <f>'Header-RN'!AN3</f>
        <v>7.6</v>
      </c>
      <c r="AS6" s="28">
        <f>'Header-RN'!AO3</f>
        <v>15.2</v>
      </c>
      <c r="AT6" s="28">
        <f>'Header-RN'!AP3</f>
        <v>7.4</v>
      </c>
      <c r="AU6" s="28">
        <f>'Header-RN'!AQ3</f>
        <v>7.6</v>
      </c>
      <c r="AV6" s="28">
        <f>'Header-RN'!AR3</f>
        <v>15.2</v>
      </c>
      <c r="AW6" s="28">
        <f>'Header-RN'!AS3</f>
        <v>4.0999999999999996</v>
      </c>
    </row>
    <row r="7" spans="1:49" ht="15.75" customHeight="1" x14ac:dyDescent="0.25">
      <c r="A7" s="13" t="str">
        <f>Header!B16</f>
        <v>MAIT</v>
      </c>
      <c r="B7" s="13" t="str">
        <f>'Header-RN'!B4</f>
        <v>Initial DA Gap</v>
      </c>
      <c r="C7" s="13"/>
      <c r="D7" s="41">
        <f>SUM(H8:AW8)</f>
        <v>-107.70000000000003</v>
      </c>
      <c r="E7" s="41">
        <f>SUM(H9:AW9)</f>
        <v>30.599999999999998</v>
      </c>
      <c r="G7" s="13"/>
      <c r="H7" s="29">
        <f>'Header-RN'!D4</f>
        <v>5.3</v>
      </c>
      <c r="I7" s="29">
        <f>'Header-RN'!E4</f>
        <v>-4.7</v>
      </c>
      <c r="J7" s="29">
        <f>'Header-RN'!F4</f>
        <v>-0.5</v>
      </c>
      <c r="K7" s="29">
        <f>'Header-RN'!G4</f>
        <v>0</v>
      </c>
      <c r="L7" s="29">
        <f>'Header-RN'!H4</f>
        <v>-6.9</v>
      </c>
      <c r="M7" s="29">
        <f>'Header-RN'!I4</f>
        <v>-0.5</v>
      </c>
      <c r="N7" s="29">
        <f>'Header-RN'!J4</f>
        <v>0</v>
      </c>
      <c r="O7" s="29">
        <f>'Header-RN'!K4</f>
        <v>-14.3</v>
      </c>
      <c r="P7" s="29">
        <f>'Header-RN'!L4</f>
        <v>-0.7</v>
      </c>
      <c r="Q7" s="29">
        <f>'Header-RN'!M4</f>
        <v>-1</v>
      </c>
      <c r="R7" s="29">
        <f>'Header-RN'!N4</f>
        <v>-7.8</v>
      </c>
      <c r="S7" s="29">
        <f>'Header-RN'!O4</f>
        <v>-0.5</v>
      </c>
      <c r="T7" s="29">
        <f>'Header-RN'!P4</f>
        <v>6.1</v>
      </c>
      <c r="U7" s="29">
        <f>'Header-RN'!Q4</f>
        <v>0</v>
      </c>
      <c r="V7" s="29">
        <f>'Header-RN'!R4</f>
        <v>-0.2</v>
      </c>
      <c r="W7" s="29">
        <f>'Header-RN'!S4</f>
        <v>-7.2</v>
      </c>
      <c r="X7" s="29">
        <f>'Header-RN'!T4</f>
        <v>0</v>
      </c>
      <c r="Y7" s="29">
        <f>'Header-RN'!U4</f>
        <v>-0.2</v>
      </c>
      <c r="Z7" s="29">
        <f>'Header-RN'!V4</f>
        <v>0</v>
      </c>
      <c r="AA7" s="29">
        <f>'Header-RN'!W4</f>
        <v>0.5</v>
      </c>
      <c r="AB7" s="29">
        <f>'Header-RN'!X4</f>
        <v>-0.2</v>
      </c>
      <c r="AC7" s="29">
        <f>'Header-RN'!Y4</f>
        <v>4.9000000000000004</v>
      </c>
      <c r="AD7" s="29">
        <f>'Header-RN'!Z4</f>
        <v>-4.7</v>
      </c>
      <c r="AE7" s="29">
        <f>'Header-RN'!AA4</f>
        <v>-0.5</v>
      </c>
      <c r="AF7" s="29">
        <f>'Header-RN'!AB4</f>
        <v>0</v>
      </c>
      <c r="AG7" s="29">
        <f>'Header-RN'!AC4</f>
        <v>-6.9</v>
      </c>
      <c r="AH7" s="29">
        <f>'Header-RN'!AD4</f>
        <v>-0.5</v>
      </c>
      <c r="AI7" s="29">
        <f>'Header-RN'!AE4</f>
        <v>0</v>
      </c>
      <c r="AJ7" s="29">
        <f>'Header-RN'!AF4</f>
        <v>-14.3</v>
      </c>
      <c r="AK7" s="29">
        <f>'Header-RN'!AG4</f>
        <v>-0.7</v>
      </c>
      <c r="AL7" s="29">
        <f>'Header-RN'!AH4</f>
        <v>-1</v>
      </c>
      <c r="AM7" s="29">
        <f>'Header-RN'!AI4</f>
        <v>-15.2</v>
      </c>
      <c r="AN7" s="29">
        <f>'Header-RN'!AJ4</f>
        <v>-0.7</v>
      </c>
      <c r="AO7" s="29">
        <f>'Header-RN'!AK4</f>
        <v>13.3</v>
      </c>
      <c r="AP7" s="29">
        <f>'Header-RN'!AL4</f>
        <v>0.5</v>
      </c>
      <c r="AQ7" s="29">
        <f>'Header-RN'!AM4</f>
        <v>-0.2</v>
      </c>
      <c r="AR7" s="29">
        <f>'Header-RN'!AN4</f>
        <v>-7.2</v>
      </c>
      <c r="AS7" s="29">
        <f>'Header-RN'!AO4</f>
        <v>0</v>
      </c>
      <c r="AT7" s="29">
        <f>'Header-RN'!AP4</f>
        <v>-0.2</v>
      </c>
      <c r="AU7" s="29">
        <f>'Header-RN'!AQ4</f>
        <v>-7.4</v>
      </c>
      <c r="AV7" s="29">
        <f>'Header-RN'!AR4</f>
        <v>0</v>
      </c>
      <c r="AW7" s="29">
        <f>'Header-RN'!AS4</f>
        <v>-3.5</v>
      </c>
    </row>
    <row r="8" spans="1:49" ht="15.75" hidden="1" customHeight="1" x14ac:dyDescent="0.25">
      <c r="A8" s="13"/>
      <c r="B8" s="13"/>
      <c r="C8" s="13"/>
      <c r="D8" s="41"/>
      <c r="E8" s="41"/>
      <c r="G8" s="13"/>
      <c r="H8" s="29" t="str">
        <f>IF(H7&lt;0,H7,"")</f>
        <v/>
      </c>
      <c r="I8" s="29">
        <f t="shared" ref="I8:AW8" si="0">IF(I7&lt;0,I7,"")</f>
        <v>-4.7</v>
      </c>
      <c r="J8" s="29">
        <f t="shared" si="0"/>
        <v>-0.5</v>
      </c>
      <c r="K8" s="29" t="str">
        <f t="shared" si="0"/>
        <v/>
      </c>
      <c r="L8" s="29">
        <f t="shared" si="0"/>
        <v>-6.9</v>
      </c>
      <c r="M8" s="29">
        <f t="shared" si="0"/>
        <v>-0.5</v>
      </c>
      <c r="N8" s="29" t="str">
        <f t="shared" si="0"/>
        <v/>
      </c>
      <c r="O8" s="29">
        <f t="shared" si="0"/>
        <v>-14.3</v>
      </c>
      <c r="P8" s="29">
        <f t="shared" si="0"/>
        <v>-0.7</v>
      </c>
      <c r="Q8" s="29">
        <f t="shared" si="0"/>
        <v>-1</v>
      </c>
      <c r="R8" s="29">
        <f t="shared" si="0"/>
        <v>-7.8</v>
      </c>
      <c r="S8" s="29">
        <f t="shared" si="0"/>
        <v>-0.5</v>
      </c>
      <c r="T8" s="29" t="str">
        <f t="shared" si="0"/>
        <v/>
      </c>
      <c r="U8" s="29" t="str">
        <f t="shared" si="0"/>
        <v/>
      </c>
      <c r="V8" s="29">
        <f t="shared" si="0"/>
        <v>-0.2</v>
      </c>
      <c r="W8" s="29">
        <f t="shared" si="0"/>
        <v>-7.2</v>
      </c>
      <c r="X8" s="29" t="str">
        <f t="shared" si="0"/>
        <v/>
      </c>
      <c r="Y8" s="29">
        <f t="shared" si="0"/>
        <v>-0.2</v>
      </c>
      <c r="Z8" s="29" t="str">
        <f t="shared" si="0"/>
        <v/>
      </c>
      <c r="AA8" s="29" t="str">
        <f t="shared" si="0"/>
        <v/>
      </c>
      <c r="AB8" s="29">
        <f t="shared" si="0"/>
        <v>-0.2</v>
      </c>
      <c r="AC8" s="29" t="str">
        <f t="shared" si="0"/>
        <v/>
      </c>
      <c r="AD8" s="29">
        <f t="shared" si="0"/>
        <v>-4.7</v>
      </c>
      <c r="AE8" s="29">
        <f t="shared" si="0"/>
        <v>-0.5</v>
      </c>
      <c r="AF8" s="29" t="str">
        <f t="shared" si="0"/>
        <v/>
      </c>
      <c r="AG8" s="29">
        <f t="shared" si="0"/>
        <v>-6.9</v>
      </c>
      <c r="AH8" s="29">
        <f t="shared" si="0"/>
        <v>-0.5</v>
      </c>
      <c r="AI8" s="29" t="str">
        <f t="shared" si="0"/>
        <v/>
      </c>
      <c r="AJ8" s="29">
        <f t="shared" si="0"/>
        <v>-14.3</v>
      </c>
      <c r="AK8" s="29">
        <f t="shared" si="0"/>
        <v>-0.7</v>
      </c>
      <c r="AL8" s="29">
        <f t="shared" si="0"/>
        <v>-1</v>
      </c>
      <c r="AM8" s="29">
        <f t="shared" si="0"/>
        <v>-15.2</v>
      </c>
      <c r="AN8" s="29">
        <f t="shared" si="0"/>
        <v>-0.7</v>
      </c>
      <c r="AO8" s="29" t="str">
        <f t="shared" si="0"/>
        <v/>
      </c>
      <c r="AP8" s="29" t="str">
        <f t="shared" si="0"/>
        <v/>
      </c>
      <c r="AQ8" s="29">
        <f t="shared" si="0"/>
        <v>-0.2</v>
      </c>
      <c r="AR8" s="29">
        <f t="shared" si="0"/>
        <v>-7.2</v>
      </c>
      <c r="AS8" s="29" t="str">
        <f t="shared" si="0"/>
        <v/>
      </c>
      <c r="AT8" s="29">
        <f t="shared" si="0"/>
        <v>-0.2</v>
      </c>
      <c r="AU8" s="29">
        <f t="shared" si="0"/>
        <v>-7.4</v>
      </c>
      <c r="AV8" s="29" t="str">
        <f t="shared" si="0"/>
        <v/>
      </c>
      <c r="AW8" s="29">
        <f t="shared" si="0"/>
        <v>-3.5</v>
      </c>
    </row>
    <row r="9" spans="1:49" ht="15.75" hidden="1" customHeight="1" x14ac:dyDescent="0.25">
      <c r="A9" s="13"/>
      <c r="B9" s="13"/>
      <c r="C9" s="13"/>
      <c r="D9" s="41"/>
      <c r="E9" s="41"/>
      <c r="G9" s="13"/>
      <c r="H9" s="29">
        <f>IF(H7&gt;0,H7,"")</f>
        <v>5.3</v>
      </c>
      <c r="I9" s="29" t="str">
        <f t="shared" ref="I9:AW9" si="1">IF(I7&gt;0,I7,"")</f>
        <v/>
      </c>
      <c r="J9" s="29" t="str">
        <f t="shared" si="1"/>
        <v/>
      </c>
      <c r="K9" s="29" t="str">
        <f t="shared" si="1"/>
        <v/>
      </c>
      <c r="L9" s="29" t="str">
        <f t="shared" si="1"/>
        <v/>
      </c>
      <c r="M9" s="29" t="str">
        <f t="shared" si="1"/>
        <v/>
      </c>
      <c r="N9" s="29" t="str">
        <f t="shared" si="1"/>
        <v/>
      </c>
      <c r="O9" s="29" t="str">
        <f t="shared" si="1"/>
        <v/>
      </c>
      <c r="P9" s="29" t="str">
        <f t="shared" si="1"/>
        <v/>
      </c>
      <c r="Q9" s="29" t="str">
        <f t="shared" si="1"/>
        <v/>
      </c>
      <c r="R9" s="29" t="str">
        <f t="shared" si="1"/>
        <v/>
      </c>
      <c r="S9" s="29" t="str">
        <f t="shared" si="1"/>
        <v/>
      </c>
      <c r="T9" s="29">
        <f t="shared" si="1"/>
        <v>6.1</v>
      </c>
      <c r="U9" s="29" t="str">
        <f t="shared" si="1"/>
        <v/>
      </c>
      <c r="V9" s="29" t="str">
        <f t="shared" si="1"/>
        <v/>
      </c>
      <c r="W9" s="29" t="str">
        <f t="shared" si="1"/>
        <v/>
      </c>
      <c r="X9" s="29" t="str">
        <f t="shared" si="1"/>
        <v/>
      </c>
      <c r="Y9" s="29" t="str">
        <f t="shared" si="1"/>
        <v/>
      </c>
      <c r="Z9" s="29" t="str">
        <f t="shared" si="1"/>
        <v/>
      </c>
      <c r="AA9" s="29">
        <f t="shared" si="1"/>
        <v>0.5</v>
      </c>
      <c r="AB9" s="29" t="str">
        <f t="shared" si="1"/>
        <v/>
      </c>
      <c r="AC9" s="29">
        <f t="shared" si="1"/>
        <v>4.9000000000000004</v>
      </c>
      <c r="AD9" s="29" t="str">
        <f t="shared" si="1"/>
        <v/>
      </c>
      <c r="AE9" s="29" t="str">
        <f t="shared" si="1"/>
        <v/>
      </c>
      <c r="AF9" s="29" t="str">
        <f t="shared" si="1"/>
        <v/>
      </c>
      <c r="AG9" s="29" t="str">
        <f t="shared" si="1"/>
        <v/>
      </c>
      <c r="AH9" s="29" t="str">
        <f t="shared" si="1"/>
        <v/>
      </c>
      <c r="AI9" s="29" t="str">
        <f t="shared" si="1"/>
        <v/>
      </c>
      <c r="AJ9" s="29" t="str">
        <f t="shared" si="1"/>
        <v/>
      </c>
      <c r="AK9" s="29" t="str">
        <f t="shared" si="1"/>
        <v/>
      </c>
      <c r="AL9" s="29" t="str">
        <f t="shared" si="1"/>
        <v/>
      </c>
      <c r="AM9" s="29" t="str">
        <f t="shared" si="1"/>
        <v/>
      </c>
      <c r="AN9" s="29" t="str">
        <f t="shared" si="1"/>
        <v/>
      </c>
      <c r="AO9" s="29">
        <f t="shared" si="1"/>
        <v>13.3</v>
      </c>
      <c r="AP9" s="29">
        <f t="shared" si="1"/>
        <v>0.5</v>
      </c>
      <c r="AQ9" s="29" t="str">
        <f t="shared" si="1"/>
        <v/>
      </c>
      <c r="AR9" s="29" t="str">
        <f t="shared" si="1"/>
        <v/>
      </c>
      <c r="AS9" s="29" t="str">
        <f t="shared" si="1"/>
        <v/>
      </c>
      <c r="AT9" s="29" t="str">
        <f t="shared" si="1"/>
        <v/>
      </c>
      <c r="AU9" s="29" t="str">
        <f t="shared" si="1"/>
        <v/>
      </c>
      <c r="AV9" s="29" t="str">
        <f t="shared" si="1"/>
        <v/>
      </c>
      <c r="AW9" s="29" t="str">
        <f t="shared" si="1"/>
        <v/>
      </c>
    </row>
    <row r="10" spans="1:49" ht="15.75" customHeight="1" x14ac:dyDescent="0.25">
      <c r="A10" s="13"/>
      <c r="B10" s="13" t="s">
        <v>118</v>
      </c>
      <c r="C10" s="13"/>
      <c r="D10" s="12"/>
      <c r="E10" s="12"/>
      <c r="G10" s="13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</row>
    <row r="11" spans="1:49" ht="15.75" customHeight="1" x14ac:dyDescent="0.25">
      <c r="A11" s="13"/>
      <c r="B11" s="13" t="s">
        <v>119</v>
      </c>
      <c r="C11" s="13"/>
      <c r="D11" s="42">
        <f>D7-D12</f>
        <v>-21.800000000000011</v>
      </c>
      <c r="E11" s="42">
        <f>E7-E12</f>
        <v>21.099999999999998</v>
      </c>
      <c r="G11" s="13"/>
      <c r="H11" s="29">
        <f>SUM(Table3[2])/UNIT</f>
        <v>-4.2</v>
      </c>
      <c r="I11" s="29">
        <f>SUM(Table3[3])/UNIT</f>
        <v>5</v>
      </c>
      <c r="J11" s="29">
        <f>SUM(Table3[4])/UNIT</f>
        <v>0</v>
      </c>
      <c r="K11" s="29">
        <f>SUM(Table3[5])/UNIT</f>
        <v>0</v>
      </c>
      <c r="L11" s="29">
        <f>SUM(Table3[6])/UNIT</f>
        <v>0</v>
      </c>
      <c r="M11" s="29">
        <f>SUM(Table3[7])/UNIT</f>
        <v>0</v>
      </c>
      <c r="N11" s="29">
        <f>SUM(Table3[8])/UNIT</f>
        <v>0</v>
      </c>
      <c r="O11" s="29">
        <f>SUM(Table3[9])/UNIT</f>
        <v>0</v>
      </c>
      <c r="P11" s="29">
        <f>SUM(Table3[10])/UNIT</f>
        <v>0</v>
      </c>
      <c r="Q11" s="29">
        <f>SUM(Table3[11])/UNIT</f>
        <v>1</v>
      </c>
      <c r="R11" s="29">
        <f>SUM(Table3[12])/UNIT</f>
        <v>0</v>
      </c>
      <c r="S11" s="29">
        <f>SUM(Table3[13])/UNIT</f>
        <v>0</v>
      </c>
      <c r="T11" s="29">
        <f>SUM(Table3[14])/UNIT</f>
        <v>0</v>
      </c>
      <c r="U11" s="29">
        <f>SUM(Table3[15])/UNIT</f>
        <v>0</v>
      </c>
      <c r="V11" s="29">
        <f>SUM(Table3[16])/UNIT</f>
        <v>0</v>
      </c>
      <c r="W11" s="29">
        <f>SUM(Table3[17])/UNIT</f>
        <v>7.2</v>
      </c>
      <c r="X11" s="29">
        <f>SUM(Table3[18])/UNIT</f>
        <v>0</v>
      </c>
      <c r="Y11" s="29">
        <f>SUM(Table3[19])/UNIT</f>
        <v>0</v>
      </c>
      <c r="Z11" s="29">
        <f>SUM(Table3[20])/UNIT</f>
        <v>0</v>
      </c>
      <c r="AA11" s="29">
        <f>SUM(Table3[21])/UNIT</f>
        <v>0</v>
      </c>
      <c r="AB11" s="29">
        <f>SUM(Table3[22])/UNIT</f>
        <v>0</v>
      </c>
      <c r="AC11" s="29">
        <f>SUM(Table3[23])/UNIT</f>
        <v>-4.2</v>
      </c>
      <c r="AD11" s="29">
        <f>SUM(Table3[24])/UNIT</f>
        <v>5</v>
      </c>
      <c r="AE11" s="29">
        <f>SUM(Table3[25])/UNIT</f>
        <v>0</v>
      </c>
      <c r="AF11" s="29">
        <f>SUM(Table3[26])/UNIT</f>
        <v>0</v>
      </c>
      <c r="AG11" s="29">
        <f>SUM(Table3[27])/UNIT</f>
        <v>0</v>
      </c>
      <c r="AH11" s="29">
        <f>SUM(Table3[28])/UNIT</f>
        <v>0.5</v>
      </c>
      <c r="AI11" s="29">
        <f>SUM(Table3[29])/UNIT</f>
        <v>0</v>
      </c>
      <c r="AJ11" s="29">
        <f>SUM(Table3[30])/UNIT</f>
        <v>0</v>
      </c>
      <c r="AK11" s="29">
        <f>SUM(Table3[31])/UNIT</f>
        <v>0.4</v>
      </c>
      <c r="AL11" s="29">
        <f>SUM(Table3[32])/UNIT</f>
        <v>1</v>
      </c>
      <c r="AM11" s="29">
        <f>SUM(Table3[33])/UNIT</f>
        <v>0</v>
      </c>
      <c r="AN11" s="29">
        <f>SUM(Table3[34])/UNIT</f>
        <v>0</v>
      </c>
      <c r="AO11" s="29">
        <f>SUM(Table3[35])/UNIT</f>
        <v>-14.5</v>
      </c>
      <c r="AP11" s="29">
        <f>SUM(Table3[36])/UNIT</f>
        <v>0</v>
      </c>
      <c r="AQ11" s="29">
        <f>SUM(Table3[37])/UNIT</f>
        <v>0</v>
      </c>
      <c r="AR11" s="29">
        <f>SUM(Table3[38])/UNIT</f>
        <v>0</v>
      </c>
      <c r="AS11" s="29">
        <f>SUM(Table3[39])/UNIT</f>
        <v>0</v>
      </c>
      <c r="AT11" s="29">
        <f>SUM(Table3[40])/UNIT</f>
        <v>0</v>
      </c>
      <c r="AU11" s="29">
        <f>SUM(Table3[41])/UNIT</f>
        <v>0</v>
      </c>
      <c r="AV11" s="29">
        <f>SUM(Table3[42])/UNIT</f>
        <v>0</v>
      </c>
      <c r="AW11" s="29">
        <f>SUM(Table3[43])/UNIT</f>
        <v>3.5</v>
      </c>
    </row>
    <row r="12" spans="1:49" ht="15.75" customHeight="1" x14ac:dyDescent="0.25">
      <c r="A12" s="13"/>
      <c r="B12" s="13" t="s">
        <v>120</v>
      </c>
      <c r="C12" s="13"/>
      <c r="D12" s="42">
        <f>SUM(H13:AW13)</f>
        <v>-85.90000000000002</v>
      </c>
      <c r="E12" s="42">
        <f>SUM(H14:AW14)</f>
        <v>9.5</v>
      </c>
      <c r="G12" s="13"/>
      <c r="H12" s="29">
        <f t="shared" ref="H12:AW12" si="2">H7+H11</f>
        <v>1.0999999999999996</v>
      </c>
      <c r="I12" s="29">
        <f t="shared" si="2"/>
        <v>0.29999999999999982</v>
      </c>
      <c r="J12" s="29">
        <f t="shared" si="2"/>
        <v>-0.5</v>
      </c>
      <c r="K12" s="29">
        <f t="shared" si="2"/>
        <v>0</v>
      </c>
      <c r="L12" s="29">
        <f t="shared" si="2"/>
        <v>-6.9</v>
      </c>
      <c r="M12" s="29">
        <f t="shared" si="2"/>
        <v>-0.5</v>
      </c>
      <c r="N12" s="29">
        <f t="shared" si="2"/>
        <v>0</v>
      </c>
      <c r="O12" s="29">
        <f t="shared" si="2"/>
        <v>-14.3</v>
      </c>
      <c r="P12" s="29">
        <f t="shared" si="2"/>
        <v>-0.7</v>
      </c>
      <c r="Q12" s="29">
        <f t="shared" si="2"/>
        <v>0</v>
      </c>
      <c r="R12" s="29">
        <f t="shared" si="2"/>
        <v>-7.8</v>
      </c>
      <c r="S12" s="29">
        <f t="shared" si="2"/>
        <v>-0.5</v>
      </c>
      <c r="T12" s="29">
        <f t="shared" si="2"/>
        <v>6.1</v>
      </c>
      <c r="U12" s="29">
        <f t="shared" si="2"/>
        <v>0</v>
      </c>
      <c r="V12" s="29">
        <f t="shared" si="2"/>
        <v>-0.2</v>
      </c>
      <c r="W12" s="29">
        <f t="shared" si="2"/>
        <v>0</v>
      </c>
      <c r="X12" s="29">
        <f t="shared" si="2"/>
        <v>0</v>
      </c>
      <c r="Y12" s="29">
        <f t="shared" si="2"/>
        <v>-0.2</v>
      </c>
      <c r="Z12" s="29">
        <f t="shared" si="2"/>
        <v>0</v>
      </c>
      <c r="AA12" s="29">
        <f t="shared" si="2"/>
        <v>0.5</v>
      </c>
      <c r="AB12" s="29">
        <f t="shared" si="2"/>
        <v>-0.2</v>
      </c>
      <c r="AC12" s="29">
        <f t="shared" si="2"/>
        <v>0.70000000000000018</v>
      </c>
      <c r="AD12" s="29">
        <f t="shared" si="2"/>
        <v>0.29999999999999982</v>
      </c>
      <c r="AE12" s="29">
        <f t="shared" si="2"/>
        <v>-0.5</v>
      </c>
      <c r="AF12" s="29">
        <f t="shared" si="2"/>
        <v>0</v>
      </c>
      <c r="AG12" s="29">
        <f t="shared" si="2"/>
        <v>-6.9</v>
      </c>
      <c r="AH12" s="29">
        <f t="shared" si="2"/>
        <v>0</v>
      </c>
      <c r="AI12" s="29">
        <f t="shared" si="2"/>
        <v>0</v>
      </c>
      <c r="AJ12" s="29">
        <f t="shared" si="2"/>
        <v>-14.3</v>
      </c>
      <c r="AK12" s="29">
        <f t="shared" si="2"/>
        <v>-0.29999999999999993</v>
      </c>
      <c r="AL12" s="29">
        <f t="shared" si="2"/>
        <v>0</v>
      </c>
      <c r="AM12" s="29">
        <f t="shared" si="2"/>
        <v>-15.2</v>
      </c>
      <c r="AN12" s="29">
        <f t="shared" si="2"/>
        <v>-0.7</v>
      </c>
      <c r="AO12" s="29">
        <f t="shared" si="2"/>
        <v>-1.1999999999999993</v>
      </c>
      <c r="AP12" s="29">
        <f t="shared" si="2"/>
        <v>0.5</v>
      </c>
      <c r="AQ12" s="29">
        <f t="shared" si="2"/>
        <v>-0.2</v>
      </c>
      <c r="AR12" s="29">
        <f t="shared" si="2"/>
        <v>-7.2</v>
      </c>
      <c r="AS12" s="29">
        <f t="shared" si="2"/>
        <v>0</v>
      </c>
      <c r="AT12" s="29">
        <f t="shared" si="2"/>
        <v>-0.2</v>
      </c>
      <c r="AU12" s="29">
        <f t="shared" si="2"/>
        <v>-7.4</v>
      </c>
      <c r="AV12" s="29">
        <f t="shared" si="2"/>
        <v>0</v>
      </c>
      <c r="AW12" s="29">
        <f t="shared" si="2"/>
        <v>0</v>
      </c>
    </row>
    <row r="13" spans="1:49" ht="15.75" hidden="1" customHeight="1" x14ac:dyDescent="0.25">
      <c r="A13" s="13"/>
      <c r="B13" s="13"/>
      <c r="C13" s="13"/>
      <c r="D13" s="35"/>
      <c r="G13" s="13"/>
      <c r="H13" s="29" t="str">
        <f>IF(H12&lt;0,H12,"")</f>
        <v/>
      </c>
      <c r="I13" s="29" t="str">
        <f t="shared" ref="I13:AW13" si="3">IF(I12&lt;0,I12,"")</f>
        <v/>
      </c>
      <c r="J13" s="29">
        <f t="shared" si="3"/>
        <v>-0.5</v>
      </c>
      <c r="K13" s="29" t="str">
        <f t="shared" si="3"/>
        <v/>
      </c>
      <c r="L13" s="29">
        <f t="shared" si="3"/>
        <v>-6.9</v>
      </c>
      <c r="M13" s="29">
        <f t="shared" si="3"/>
        <v>-0.5</v>
      </c>
      <c r="N13" s="29" t="str">
        <f t="shared" si="3"/>
        <v/>
      </c>
      <c r="O13" s="29">
        <f t="shared" si="3"/>
        <v>-14.3</v>
      </c>
      <c r="P13" s="29">
        <f t="shared" si="3"/>
        <v>-0.7</v>
      </c>
      <c r="Q13" s="29" t="str">
        <f t="shared" si="3"/>
        <v/>
      </c>
      <c r="R13" s="29">
        <f t="shared" si="3"/>
        <v>-7.8</v>
      </c>
      <c r="S13" s="29">
        <f t="shared" si="3"/>
        <v>-0.5</v>
      </c>
      <c r="T13" s="29" t="str">
        <f t="shared" si="3"/>
        <v/>
      </c>
      <c r="U13" s="29" t="str">
        <f t="shared" si="3"/>
        <v/>
      </c>
      <c r="V13" s="29">
        <f t="shared" si="3"/>
        <v>-0.2</v>
      </c>
      <c r="W13" s="29" t="str">
        <f t="shared" si="3"/>
        <v/>
      </c>
      <c r="X13" s="29" t="str">
        <f t="shared" si="3"/>
        <v/>
      </c>
      <c r="Y13" s="29">
        <f t="shared" si="3"/>
        <v>-0.2</v>
      </c>
      <c r="Z13" s="29" t="str">
        <f t="shared" si="3"/>
        <v/>
      </c>
      <c r="AA13" s="29" t="str">
        <f t="shared" si="3"/>
        <v/>
      </c>
      <c r="AB13" s="29">
        <f t="shared" si="3"/>
        <v>-0.2</v>
      </c>
      <c r="AC13" s="29" t="str">
        <f t="shared" si="3"/>
        <v/>
      </c>
      <c r="AD13" s="29" t="str">
        <f t="shared" si="3"/>
        <v/>
      </c>
      <c r="AE13" s="29">
        <f t="shared" si="3"/>
        <v>-0.5</v>
      </c>
      <c r="AF13" s="29" t="str">
        <f t="shared" si="3"/>
        <v/>
      </c>
      <c r="AG13" s="29">
        <f t="shared" si="3"/>
        <v>-6.9</v>
      </c>
      <c r="AH13" s="29" t="str">
        <f t="shared" si="3"/>
        <v/>
      </c>
      <c r="AI13" s="29" t="str">
        <f t="shared" si="3"/>
        <v/>
      </c>
      <c r="AJ13" s="29">
        <f t="shared" si="3"/>
        <v>-14.3</v>
      </c>
      <c r="AK13" s="29">
        <f t="shared" si="3"/>
        <v>-0.29999999999999993</v>
      </c>
      <c r="AL13" s="29" t="str">
        <f t="shared" si="3"/>
        <v/>
      </c>
      <c r="AM13" s="29">
        <f t="shared" si="3"/>
        <v>-15.2</v>
      </c>
      <c r="AN13" s="29">
        <f t="shared" si="3"/>
        <v>-0.7</v>
      </c>
      <c r="AO13" s="29">
        <f t="shared" si="3"/>
        <v>-1.1999999999999993</v>
      </c>
      <c r="AP13" s="29" t="str">
        <f t="shared" si="3"/>
        <v/>
      </c>
      <c r="AQ13" s="29">
        <f t="shared" si="3"/>
        <v>-0.2</v>
      </c>
      <c r="AR13" s="29">
        <f t="shared" si="3"/>
        <v>-7.2</v>
      </c>
      <c r="AS13" s="29" t="str">
        <f t="shared" si="3"/>
        <v/>
      </c>
      <c r="AT13" s="29">
        <f t="shared" si="3"/>
        <v>-0.2</v>
      </c>
      <c r="AU13" s="29">
        <f t="shared" si="3"/>
        <v>-7.4</v>
      </c>
      <c r="AV13" s="29" t="str">
        <f t="shared" si="3"/>
        <v/>
      </c>
      <c r="AW13" s="29" t="str">
        <f t="shared" si="3"/>
        <v/>
      </c>
    </row>
    <row r="14" spans="1:49" ht="15.75" hidden="1" customHeight="1" x14ac:dyDescent="0.25">
      <c r="A14" s="13"/>
      <c r="B14" s="13"/>
      <c r="C14" s="13"/>
      <c r="D14" s="35"/>
      <c r="E14" s="35"/>
      <c r="F14" s="35"/>
      <c r="G14" s="13"/>
      <c r="H14" s="29">
        <f>IF(H12&gt;0,H12,"")</f>
        <v>1.0999999999999996</v>
      </c>
      <c r="I14" s="29">
        <f t="shared" ref="I14:AW14" si="4">IF(I12&gt;0,I12,"")</f>
        <v>0.29999999999999982</v>
      </c>
      <c r="J14" s="29" t="str">
        <f t="shared" si="4"/>
        <v/>
      </c>
      <c r="K14" s="29" t="str">
        <f t="shared" si="4"/>
        <v/>
      </c>
      <c r="L14" s="29" t="str">
        <f t="shared" si="4"/>
        <v/>
      </c>
      <c r="M14" s="29" t="str">
        <f t="shared" si="4"/>
        <v/>
      </c>
      <c r="N14" s="29" t="str">
        <f t="shared" si="4"/>
        <v/>
      </c>
      <c r="O14" s="29" t="str">
        <f t="shared" si="4"/>
        <v/>
      </c>
      <c r="P14" s="29" t="str">
        <f t="shared" si="4"/>
        <v/>
      </c>
      <c r="Q14" s="29" t="str">
        <f t="shared" si="4"/>
        <v/>
      </c>
      <c r="R14" s="29" t="str">
        <f t="shared" si="4"/>
        <v/>
      </c>
      <c r="S14" s="29" t="str">
        <f t="shared" si="4"/>
        <v/>
      </c>
      <c r="T14" s="29">
        <f t="shared" si="4"/>
        <v>6.1</v>
      </c>
      <c r="U14" s="29" t="str">
        <f t="shared" si="4"/>
        <v/>
      </c>
      <c r="V14" s="29" t="str">
        <f t="shared" si="4"/>
        <v/>
      </c>
      <c r="W14" s="29" t="str">
        <f t="shared" si="4"/>
        <v/>
      </c>
      <c r="X14" s="29" t="str">
        <f t="shared" si="4"/>
        <v/>
      </c>
      <c r="Y14" s="29" t="str">
        <f t="shared" si="4"/>
        <v/>
      </c>
      <c r="Z14" s="29" t="str">
        <f t="shared" si="4"/>
        <v/>
      </c>
      <c r="AA14" s="29">
        <f t="shared" si="4"/>
        <v>0.5</v>
      </c>
      <c r="AB14" s="29" t="str">
        <f t="shared" si="4"/>
        <v/>
      </c>
      <c r="AC14" s="29">
        <f t="shared" si="4"/>
        <v>0.70000000000000018</v>
      </c>
      <c r="AD14" s="29">
        <f t="shared" si="4"/>
        <v>0.29999999999999982</v>
      </c>
      <c r="AE14" s="29" t="str">
        <f t="shared" si="4"/>
        <v/>
      </c>
      <c r="AF14" s="29" t="str">
        <f t="shared" si="4"/>
        <v/>
      </c>
      <c r="AG14" s="29" t="str">
        <f t="shared" si="4"/>
        <v/>
      </c>
      <c r="AH14" s="29" t="str">
        <f t="shared" si="4"/>
        <v/>
      </c>
      <c r="AI14" s="29" t="str">
        <f t="shared" si="4"/>
        <v/>
      </c>
      <c r="AJ14" s="29" t="str">
        <f t="shared" si="4"/>
        <v/>
      </c>
      <c r="AK14" s="29" t="str">
        <f t="shared" si="4"/>
        <v/>
      </c>
      <c r="AL14" s="29" t="str">
        <f t="shared" si="4"/>
        <v/>
      </c>
      <c r="AM14" s="29" t="str">
        <f t="shared" si="4"/>
        <v/>
      </c>
      <c r="AN14" s="29" t="str">
        <f t="shared" si="4"/>
        <v/>
      </c>
      <c r="AO14" s="29" t="str">
        <f t="shared" si="4"/>
        <v/>
      </c>
      <c r="AP14" s="29">
        <f t="shared" si="4"/>
        <v>0.5</v>
      </c>
      <c r="AQ14" s="29" t="str">
        <f t="shared" si="4"/>
        <v/>
      </c>
      <c r="AR14" s="29" t="str">
        <f t="shared" si="4"/>
        <v/>
      </c>
      <c r="AS14" s="29" t="str">
        <f t="shared" si="4"/>
        <v/>
      </c>
      <c r="AT14" s="29" t="str">
        <f t="shared" si="4"/>
        <v/>
      </c>
      <c r="AU14" s="29" t="str">
        <f t="shared" si="4"/>
        <v/>
      </c>
      <c r="AV14" s="29" t="str">
        <f t="shared" si="4"/>
        <v/>
      </c>
      <c r="AW14" s="29" t="str">
        <f t="shared" si="4"/>
        <v/>
      </c>
    </row>
    <row r="15" spans="1:49" ht="15.75" customHeight="1" x14ac:dyDescent="0.25">
      <c r="A15" s="13"/>
      <c r="B15" s="13"/>
      <c r="C15" s="13"/>
      <c r="D15" s="35"/>
      <c r="G15" s="1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</row>
    <row r="16" spans="1:49" ht="15.75" customHeight="1" x14ac:dyDescent="0.25">
      <c r="A16" s="13"/>
      <c r="C16" s="13"/>
      <c r="D16" s="13"/>
      <c r="E16" s="13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</row>
    <row r="17" spans="1:50" s="22" customFormat="1" ht="37.5" customHeight="1" x14ac:dyDescent="0.25">
      <c r="A17"/>
      <c r="B17" s="32" t="s">
        <v>135</v>
      </c>
      <c r="C17" s="32" t="s">
        <v>74</v>
      </c>
      <c r="D17" s="32" t="s">
        <v>128</v>
      </c>
      <c r="E17" s="32" t="s">
        <v>129</v>
      </c>
      <c r="F17" s="32" t="s">
        <v>130</v>
      </c>
      <c r="G17" s="32" t="s">
        <v>131</v>
      </c>
      <c r="H17" s="23" t="s">
        <v>77</v>
      </c>
      <c r="I17" s="23" t="s">
        <v>78</v>
      </c>
      <c r="J17" s="23" t="s">
        <v>79</v>
      </c>
      <c r="K17" s="23" t="s">
        <v>80</v>
      </c>
      <c r="L17" s="23" t="s">
        <v>81</v>
      </c>
      <c r="M17" s="23" t="s">
        <v>82</v>
      </c>
      <c r="N17" s="23" t="s">
        <v>83</v>
      </c>
      <c r="O17" s="23" t="s">
        <v>84</v>
      </c>
      <c r="P17" s="23" t="s">
        <v>85</v>
      </c>
      <c r="Q17" s="23" t="s">
        <v>86</v>
      </c>
      <c r="R17" s="23" t="s">
        <v>87</v>
      </c>
      <c r="S17" s="23" t="s">
        <v>88</v>
      </c>
      <c r="T17" s="23" t="s">
        <v>89</v>
      </c>
      <c r="U17" s="23" t="s">
        <v>90</v>
      </c>
      <c r="V17" s="23" t="s">
        <v>91</v>
      </c>
      <c r="W17" s="23" t="s">
        <v>92</v>
      </c>
      <c r="X17" s="23" t="s">
        <v>93</v>
      </c>
      <c r="Y17" s="23" t="s">
        <v>94</v>
      </c>
      <c r="Z17" s="23" t="s">
        <v>95</v>
      </c>
      <c r="AA17" s="23" t="s">
        <v>96</v>
      </c>
      <c r="AB17" s="23" t="s">
        <v>97</v>
      </c>
      <c r="AC17" s="23" t="s">
        <v>98</v>
      </c>
      <c r="AD17" s="23" t="s">
        <v>99</v>
      </c>
      <c r="AE17" s="23" t="s">
        <v>100</v>
      </c>
      <c r="AF17" s="23" t="s">
        <v>101</v>
      </c>
      <c r="AG17" s="23" t="s">
        <v>102</v>
      </c>
      <c r="AH17" s="23" t="s">
        <v>103</v>
      </c>
      <c r="AI17" s="23" t="s">
        <v>104</v>
      </c>
      <c r="AJ17" s="23" t="s">
        <v>105</v>
      </c>
      <c r="AK17" s="23" t="s">
        <v>106</v>
      </c>
      <c r="AL17" s="23" t="s">
        <v>107</v>
      </c>
      <c r="AM17" s="23" t="s">
        <v>108</v>
      </c>
      <c r="AN17" s="23" t="s">
        <v>109</v>
      </c>
      <c r="AO17" s="23" t="s">
        <v>110</v>
      </c>
      <c r="AP17" s="23" t="s">
        <v>111</v>
      </c>
      <c r="AQ17" s="23" t="s">
        <v>112</v>
      </c>
      <c r="AR17" s="23" t="s">
        <v>113</v>
      </c>
      <c r="AS17" s="23" t="s">
        <v>114</v>
      </c>
      <c r="AT17" s="23" t="s">
        <v>115</v>
      </c>
      <c r="AU17" s="23" t="s">
        <v>116</v>
      </c>
      <c r="AV17" s="23" t="s">
        <v>117</v>
      </c>
      <c r="AW17" s="23" t="s">
        <v>140</v>
      </c>
    </row>
    <row r="18" spans="1:50" ht="15.75" customHeight="1" x14ac:dyDescent="0.25">
      <c r="A18" s="25" t="e">
        <f>'Residual-Rostered'!#REF!</f>
        <v>#REF!</v>
      </c>
      <c r="B18" s="33" t="str">
        <f>'Residual-RosteredMATRIX-RN'!D2</f>
        <v>Registered Nurse</v>
      </c>
      <c r="C18" s="33" t="str">
        <f>'Residual-RosteredMATRIX-RN'!C2</f>
        <v>Sebastian, Sintu</v>
      </c>
      <c r="D18" s="34">
        <f>'Residual-RosteredMATRIX-RN'!E2</f>
        <v>76</v>
      </c>
      <c r="E18" s="14">
        <f>Max_HRS-Table3[[#This Row],[ROSTERED TIME]]</f>
        <v>0</v>
      </c>
      <c r="F18" s="14">
        <f t="shared" ref="F18:F49" si="5">SUM(H18:AV18)</f>
        <v>-6.5</v>
      </c>
      <c r="G18" s="14">
        <f>Table3[[#This Row],[ROSTERED TIME]]+Table3[[#This Row],[CHANGE TIME]]</f>
        <v>69.5</v>
      </c>
      <c r="H18" s="25" t="str">
        <f>IF('Residual-RosteredMATRIX-RN'!F2=0,"",'Residual-RosteredMATRIX-RN'!F2)</f>
        <v>0/ 7.5</v>
      </c>
      <c r="I18" s="25" t="str">
        <f>IF('Residual-RosteredMATRIX-RN'!G2=0,"",'Residual-RosteredMATRIX-RN'!G2)</f>
        <v>0/ 0.5</v>
      </c>
      <c r="J18" s="25" t="str">
        <f>IF('Residual-RosteredMATRIX-RN'!H2=0,"",'Residual-RosteredMATRIX-RN'!H2)</f>
        <v/>
      </c>
      <c r="K18" s="25" t="str">
        <f>IF('Residual-RosteredMATRIX-RN'!I2=0,"",'Residual-RosteredMATRIX-RN'!I2)</f>
        <v>0/ 7.5</v>
      </c>
      <c r="L18" s="25" t="str">
        <f>IF('Residual-RosteredMATRIX-RN'!J2=0,"",'Residual-RosteredMATRIX-RN'!J2)</f>
        <v>0/ 0.5</v>
      </c>
      <c r="M18" s="25" t="str">
        <f>IF('Residual-RosteredMATRIX-RN'!K2=0,"",'Residual-RosteredMATRIX-RN'!K2)</f>
        <v/>
      </c>
      <c r="N18" s="25" t="str">
        <f>IF('Residual-RosteredMATRIX-RN'!L2=0,"",'Residual-RosteredMATRIX-RN'!L2)</f>
        <v>0/ 7.5</v>
      </c>
      <c r="O18" s="25" t="str">
        <f>IF('Residual-RosteredMATRIX-RN'!M2=0,"",'Residual-RosteredMATRIX-RN'!M2)</f>
        <v>0/ 0.5</v>
      </c>
      <c r="P18" s="25" t="str">
        <f>IF('Residual-RosteredMATRIX-RN'!N2=0,"",'Residual-RosteredMATRIX-RN'!N2)</f>
        <v/>
      </c>
      <c r="Q18" s="25">
        <v>0.5</v>
      </c>
      <c r="R18" s="25" t="str">
        <f>IF('Residual-RosteredMATRIX-RN'!P2=0,"",'Residual-RosteredMATRIX-RN'!P2)</f>
        <v/>
      </c>
      <c r="S18" s="25" t="str">
        <f>IF('Residual-RosteredMATRIX-RN'!Q2=0,"",'Residual-RosteredMATRIX-RN'!Q2)</f>
        <v/>
      </c>
      <c r="T18" s="25" t="str">
        <f>IF('Residual-RosteredMATRIX-RN'!R2=0,"",'Residual-RosteredMATRIX-RN'!R2)</f>
        <v>1/ 7</v>
      </c>
      <c r="U18" s="25" t="str">
        <f>IF('Residual-RosteredMATRIX-RN'!S2=0,"",'Residual-RosteredMATRIX-RN'!S2)</f>
        <v/>
      </c>
      <c r="V18" s="25" t="str">
        <f>IF('Residual-RosteredMATRIX-RN'!T2=0,"",'Residual-RosteredMATRIX-RN'!T2)</f>
        <v/>
      </c>
      <c r="W18" s="25" t="str">
        <f>IF('Residual-RosteredMATRIX-RN'!U2=0,"",'Residual-RosteredMATRIX-RN'!U2)</f>
        <v/>
      </c>
      <c r="X18" s="25" t="str">
        <f>IF('Residual-RosteredMATRIX-RN'!V2=0,"",'Residual-RosteredMATRIX-RN'!V2)</f>
        <v/>
      </c>
      <c r="Y18" s="25" t="str">
        <f>IF('Residual-RosteredMATRIX-RN'!W2=0,"",'Residual-RosteredMATRIX-RN'!W2)</f>
        <v/>
      </c>
      <c r="Z18" s="25" t="str">
        <f>IF('Residual-RosteredMATRIX-RN'!X2=0,"",'Residual-RosteredMATRIX-RN'!X2)</f>
        <v/>
      </c>
      <c r="AA18" s="25" t="str">
        <f>IF('Residual-RosteredMATRIX-RN'!Y2=0,"",'Residual-RosteredMATRIX-RN'!Y2)</f>
        <v/>
      </c>
      <c r="AB18" s="25" t="str">
        <f>IF('Residual-RosteredMATRIX-RN'!Z2=0,"",'Residual-RosteredMATRIX-RN'!Z2)</f>
        <v/>
      </c>
      <c r="AC18" s="25" t="str">
        <f>IF('Residual-RosteredMATRIX-RN'!AA2=0,"",'Residual-RosteredMATRIX-RN'!AA2)</f>
        <v>0/ 7.5</v>
      </c>
      <c r="AD18" s="25" t="str">
        <f>IF('Residual-RosteredMATRIX-RN'!AB2=0,"",'Residual-RosteredMATRIX-RN'!AB2)</f>
        <v>0/ 0.5</v>
      </c>
      <c r="AE18" s="25" t="str">
        <f>IF('Residual-RosteredMATRIX-RN'!AC2=0,"",'Residual-RosteredMATRIX-RN'!AC2)</f>
        <v/>
      </c>
      <c r="AF18" s="25" t="str">
        <f>IF('Residual-RosteredMATRIX-RN'!AD2=0,"",'Residual-RosteredMATRIX-RN'!AD2)</f>
        <v>0/ 7.5</v>
      </c>
      <c r="AG18" s="25" t="str">
        <f>IF('Residual-RosteredMATRIX-RN'!AE2=0,"",'Residual-RosteredMATRIX-RN'!AE2)</f>
        <v>0/ 0.5</v>
      </c>
      <c r="AH18" s="25" t="str">
        <f>IF('Residual-RosteredMATRIX-RN'!AF2=0,"",'Residual-RosteredMATRIX-RN'!AF2)</f>
        <v/>
      </c>
      <c r="AI18" s="25" t="str">
        <f>IF('Residual-RosteredMATRIX-RN'!AG2=0,"",'Residual-RosteredMATRIX-RN'!AG2)</f>
        <v>0/ 7.5</v>
      </c>
      <c r="AJ18" s="25" t="str">
        <f>IF('Residual-RosteredMATRIX-RN'!AH2=0,"",'Residual-RosteredMATRIX-RN'!AH2)</f>
        <v>0/ 0.5</v>
      </c>
      <c r="AK18" s="25" t="str">
        <f>IF('Residual-RosteredMATRIX-RN'!AI2=0,"",'Residual-RosteredMATRIX-RN'!AI2)</f>
        <v/>
      </c>
      <c r="AL18" s="25" t="str">
        <f>IF('Residual-RosteredMATRIX-RN'!AJ2=0,"",'Residual-RosteredMATRIX-RN'!AJ2)</f>
        <v>1/ 7</v>
      </c>
      <c r="AM18" s="25" t="str">
        <f>IF('Residual-RosteredMATRIX-RN'!AK2=0,"",'Residual-RosteredMATRIX-RN'!AK2)</f>
        <v/>
      </c>
      <c r="AN18" s="25" t="str">
        <f>IF('Residual-RosteredMATRIX-RN'!AL2=0,"",'Residual-RosteredMATRIX-RN'!AL2)</f>
        <v/>
      </c>
      <c r="AO18" s="25">
        <v>-7</v>
      </c>
      <c r="AP18" s="25" t="str">
        <f>IF('Residual-RosteredMATRIX-RN'!AN2=0,"",'Residual-RosteredMATRIX-RN'!AN2)</f>
        <v/>
      </c>
      <c r="AQ18" s="25" t="str">
        <f>IF('Residual-RosteredMATRIX-RN'!AO2=0,"",'Residual-RosteredMATRIX-RN'!AO2)</f>
        <v/>
      </c>
      <c r="AR18" s="25" t="str">
        <f>IF('Residual-RosteredMATRIX-RN'!AP2=0,"",'Residual-RosteredMATRIX-RN'!AP2)</f>
        <v/>
      </c>
      <c r="AS18" s="25" t="str">
        <f>IF('Residual-RosteredMATRIX-RN'!AQ2=0,"",'Residual-RosteredMATRIX-RN'!AQ2)</f>
        <v/>
      </c>
      <c r="AT18" s="25" t="str">
        <f>IF('Residual-RosteredMATRIX-RN'!AR2=0,"",'Residual-RosteredMATRIX-RN'!AR2)</f>
        <v/>
      </c>
      <c r="AU18" s="25" t="str">
        <f>IF('Residual-RosteredMATRIX-RN'!AS2=0,"",'Residual-RosteredMATRIX-RN'!AS2)</f>
        <v/>
      </c>
      <c r="AV18" s="25" t="str">
        <f>IF('Residual-RosteredMATRIX-RN'!AT2=0,"",'Residual-RosteredMATRIX-RN'!AT2)</f>
        <v/>
      </c>
      <c r="AW18" s="25" t="str">
        <f>IF('Residual-RosteredMATRIX-RN'!AU2=0,"",'Residual-RosteredMATRIX-RN'!AU2)</f>
        <v/>
      </c>
    </row>
    <row r="19" spans="1:50" ht="15.75" customHeight="1" x14ac:dyDescent="0.25">
      <c r="A19" s="25" t="e">
        <f>'Residual-Rostered'!#REF!</f>
        <v>#REF!</v>
      </c>
      <c r="B19" s="33" t="str">
        <f>'Residual-RosteredMATRIX-RN'!D3</f>
        <v>Registered Nurse</v>
      </c>
      <c r="C19" s="33" t="str">
        <f>'Residual-RosteredMATRIX-RN'!C3</f>
        <v>Raphel, Shinoy</v>
      </c>
      <c r="D19" s="34">
        <f>'Residual-RosteredMATRIX-RN'!E3</f>
        <v>63</v>
      </c>
      <c r="E19" s="14">
        <f>Max_HRS-Table3[[#This Row],[ROSTERED TIME]]</f>
        <v>13</v>
      </c>
      <c r="F19" s="14">
        <f t="shared" si="5"/>
        <v>1.5999999999999996</v>
      </c>
      <c r="G19" s="14">
        <f>Table3[[#This Row],[ROSTERED TIME]]+Table3[[#This Row],[CHANGE TIME]]</f>
        <v>64.599999999999994</v>
      </c>
      <c r="H19" s="25">
        <v>-4.2</v>
      </c>
      <c r="I19" s="25">
        <v>5</v>
      </c>
      <c r="J19" s="25" t="str">
        <f>IF('Residual-RosteredMATRIX-RN'!H3=0,"",'Residual-RosteredMATRIX-RN'!H3)</f>
        <v/>
      </c>
      <c r="K19" s="25" t="str">
        <f>IF('Residual-RosteredMATRIX-RN'!I3=0,"",'Residual-RosteredMATRIX-RN'!I3)</f>
        <v/>
      </c>
      <c r="L19" s="25" t="str">
        <f>IF('Residual-RosteredMATRIX-RN'!J3=0,"",'Residual-RosteredMATRIX-RN'!J3)</f>
        <v/>
      </c>
      <c r="M19" s="25" t="str">
        <f>IF('Residual-RosteredMATRIX-RN'!K3=0,"",'Residual-RosteredMATRIX-RN'!K3)</f>
        <v/>
      </c>
      <c r="N19" s="25" t="str">
        <f>IF('Residual-RosteredMATRIX-RN'!L3=0,"",'Residual-RosteredMATRIX-RN'!L3)</f>
        <v/>
      </c>
      <c r="O19" s="25" t="str">
        <f>IF('Residual-RosteredMATRIX-RN'!M3=0,"",'Residual-RosteredMATRIX-RN'!M3)</f>
        <v/>
      </c>
      <c r="P19" s="25" t="str">
        <f>IF('Residual-RosteredMATRIX-RN'!N3=0,"",'Residual-RosteredMATRIX-RN'!N3)</f>
        <v/>
      </c>
      <c r="Q19" s="25" t="str">
        <f>IF('Residual-RosteredMATRIX-RN'!O3=0,"",'Residual-RosteredMATRIX-RN'!O3)</f>
        <v/>
      </c>
      <c r="R19" s="25" t="str">
        <f>IF('Residual-RosteredMATRIX-RN'!P3=0,"",'Residual-RosteredMATRIX-RN'!P3)</f>
        <v/>
      </c>
      <c r="S19" s="25" t="str">
        <f>IF('Residual-RosteredMATRIX-RN'!Q3=0,"",'Residual-RosteredMATRIX-RN'!Q3)</f>
        <v/>
      </c>
      <c r="T19" s="25" t="str">
        <f>IF('Residual-RosteredMATRIX-RN'!R3=0,"",'Residual-RosteredMATRIX-RN'!R3)</f>
        <v/>
      </c>
      <c r="U19" s="25" t="str">
        <f>IF('Residual-RosteredMATRIX-RN'!S3=0,"",'Residual-RosteredMATRIX-RN'!S3)</f>
        <v>0/ 7.8</v>
      </c>
      <c r="V19" s="25" t="str">
        <f>IF('Residual-RosteredMATRIX-RN'!T3=0,"",'Residual-RosteredMATRIX-RN'!T3)</f>
        <v>0/ 0.2</v>
      </c>
      <c r="W19" s="25" t="str">
        <f>IF('Residual-RosteredMATRIX-RN'!U3=0,"",'Residual-RosteredMATRIX-RN'!U3)</f>
        <v/>
      </c>
      <c r="X19" s="25" t="str">
        <f>IF('Residual-RosteredMATRIX-RN'!V3=0,"",'Residual-RosteredMATRIX-RN'!V3)</f>
        <v>0/ 7.8</v>
      </c>
      <c r="Y19" s="25" t="str">
        <f>IF('Residual-RosteredMATRIX-RN'!W3=0,"",'Residual-RosteredMATRIX-RN'!W3)</f>
        <v>0/ 0.2</v>
      </c>
      <c r="Z19" s="25" t="str">
        <f>IF('Residual-RosteredMATRIX-RN'!X3=0,"",'Residual-RosteredMATRIX-RN'!X3)</f>
        <v/>
      </c>
      <c r="AA19" s="25" t="str">
        <f>IF('Residual-RosteredMATRIX-RN'!Y3=0,"",'Residual-RosteredMATRIX-RN'!Y3)</f>
        <v>0/ 7.8</v>
      </c>
      <c r="AB19" s="25" t="str">
        <f>IF('Residual-RosteredMATRIX-RN'!Z3=0,"",'Residual-RosteredMATRIX-RN'!Z3)</f>
        <v>0/ 0.2</v>
      </c>
      <c r="AC19" s="25">
        <v>-4.2</v>
      </c>
      <c r="AD19" s="25">
        <v>5</v>
      </c>
      <c r="AE19" s="25" t="str">
        <f>IF('Residual-RosteredMATRIX-RN'!AC3=0,"",'Residual-RosteredMATRIX-RN'!AC3)</f>
        <v/>
      </c>
      <c r="AF19" s="25" t="str">
        <f>IF('Residual-RosteredMATRIX-RN'!AD3=0,"",'Residual-RosteredMATRIX-RN'!AD3)</f>
        <v/>
      </c>
      <c r="AG19" s="25" t="str">
        <f>IF('Residual-RosteredMATRIX-RN'!AE3=0,"",'Residual-RosteredMATRIX-RN'!AE3)</f>
        <v/>
      </c>
      <c r="AH19" s="25" t="str">
        <f>IF('Residual-RosteredMATRIX-RN'!AF3=0,"",'Residual-RosteredMATRIX-RN'!AF3)</f>
        <v/>
      </c>
      <c r="AI19" s="25" t="str">
        <f>IF('Residual-RosteredMATRIX-RN'!AG3=0,"",'Residual-RosteredMATRIX-RN'!AG3)</f>
        <v/>
      </c>
      <c r="AJ19" s="25" t="str">
        <f>IF('Residual-RosteredMATRIX-RN'!AH3=0,"",'Residual-RosteredMATRIX-RN'!AH3)</f>
        <v/>
      </c>
      <c r="AK19" s="25" t="str">
        <f>IF('Residual-RosteredMATRIX-RN'!AI3=0,"",'Residual-RosteredMATRIX-RN'!AI3)</f>
        <v/>
      </c>
      <c r="AL19" s="25" t="str">
        <f>IF('Residual-RosteredMATRIX-RN'!AJ3=0,"",'Residual-RosteredMATRIX-RN'!AJ3)</f>
        <v/>
      </c>
      <c r="AM19" s="25" t="str">
        <f>IF('Residual-RosteredMATRIX-RN'!AK3=0,"",'Residual-RosteredMATRIX-RN'!AK3)</f>
        <v/>
      </c>
      <c r="AN19" s="25" t="str">
        <f>IF('Residual-RosteredMATRIX-RN'!AL3=0,"",'Residual-RosteredMATRIX-RN'!AL3)</f>
        <v/>
      </c>
      <c r="AO19" s="25" t="str">
        <f>IF('Residual-RosteredMATRIX-RN'!AM3=0,"",'Residual-RosteredMATRIX-RN'!AM3)</f>
        <v/>
      </c>
      <c r="AP19" s="25" t="str">
        <f>IF('Residual-RosteredMATRIX-RN'!AN3=0,"",'Residual-RosteredMATRIX-RN'!AN3)</f>
        <v>0/ 7.8</v>
      </c>
      <c r="AQ19" s="25" t="str">
        <f>IF('Residual-RosteredMATRIX-RN'!AO3=0,"",'Residual-RosteredMATRIX-RN'!AO3)</f>
        <v>0/ 0.2</v>
      </c>
      <c r="AR19" s="25" t="str">
        <f>IF('Residual-RosteredMATRIX-RN'!AP3=0,"",'Residual-RosteredMATRIX-RN'!AP3)</f>
        <v/>
      </c>
      <c r="AS19" s="25" t="str">
        <f>IF('Residual-RosteredMATRIX-RN'!AQ3=0,"",'Residual-RosteredMATRIX-RN'!AQ3)</f>
        <v>0/ 7.8</v>
      </c>
      <c r="AT19" s="25" t="str">
        <f>IF('Residual-RosteredMATRIX-RN'!AR3=0,"",'Residual-RosteredMATRIX-RN'!AR3)</f>
        <v>0/ 0.2</v>
      </c>
      <c r="AU19" s="25" t="str">
        <f>IF('Residual-RosteredMATRIX-RN'!AS3=0,"",'Residual-RosteredMATRIX-RN'!AS3)</f>
        <v/>
      </c>
      <c r="AV19" s="25" t="str">
        <f>IF('Residual-RosteredMATRIX-RN'!AT3=0,"",'Residual-RosteredMATRIX-RN'!AT3)</f>
        <v>0/ 7.8</v>
      </c>
      <c r="AW19" s="25" t="str">
        <f>IF('Residual-RosteredMATRIX-RN'!AU3=0,"",'Residual-RosteredMATRIX-RN'!AU3)</f>
        <v>0/ 0.2</v>
      </c>
    </row>
    <row r="20" spans="1:50" ht="15.75" customHeight="1" x14ac:dyDescent="0.25">
      <c r="A20" s="25" t="e">
        <f>'Residual-Rostered'!#REF!</f>
        <v>#REF!</v>
      </c>
      <c r="B20" s="33" t="str">
        <f>'Residual-RosteredMATRIX-RN'!D4</f>
        <v>Registered Nurse</v>
      </c>
      <c r="C20" s="33" t="str">
        <f>'Residual-RosteredMATRIX-RN'!C4</f>
        <v>Joseph, Jinu</v>
      </c>
      <c r="D20" s="34">
        <f>'Residual-RosteredMATRIX-RN'!E4</f>
        <v>76</v>
      </c>
      <c r="E20" s="14">
        <f>Max_HRS-Table3[[#This Row],[ROSTERED TIME]]</f>
        <v>0</v>
      </c>
      <c r="F20" s="14">
        <f t="shared" si="5"/>
        <v>1.5</v>
      </c>
      <c r="G20" s="14">
        <f>Table3[[#This Row],[ROSTERED TIME]]+Table3[[#This Row],[CHANGE TIME]]</f>
        <v>77.5</v>
      </c>
      <c r="H20" s="25" t="str">
        <f>IF('Residual-RosteredMATRIX-RN'!F4=0,"",'Residual-RosteredMATRIX-RN'!F4)</f>
        <v>0/ 7.5</v>
      </c>
      <c r="I20" s="25" t="str">
        <f>IF('Residual-RosteredMATRIX-RN'!G4=0,"",'Residual-RosteredMATRIX-RN'!G4)</f>
        <v>0/ 0.5</v>
      </c>
      <c r="J20" s="25" t="str">
        <f>IF('Residual-RosteredMATRIX-RN'!H4=0,"",'Residual-RosteredMATRIX-RN'!H4)</f>
        <v/>
      </c>
      <c r="K20" s="25" t="str">
        <f>IF('Residual-RosteredMATRIX-RN'!I4=0,"",'Residual-RosteredMATRIX-RN'!I4)</f>
        <v>0/ 7.5</v>
      </c>
      <c r="L20" s="25" t="str">
        <f>IF('Residual-RosteredMATRIX-RN'!J4=0,"",'Residual-RosteredMATRIX-RN'!J4)</f>
        <v>0/ 0.5</v>
      </c>
      <c r="M20" s="25" t="str">
        <f>IF('Residual-RosteredMATRIX-RN'!K4=0,"",'Residual-RosteredMATRIX-RN'!K4)</f>
        <v/>
      </c>
      <c r="N20" s="25" t="str">
        <f>IF('Residual-RosteredMATRIX-RN'!L4=0,"",'Residual-RosteredMATRIX-RN'!L4)</f>
        <v>0/ 7.5</v>
      </c>
      <c r="O20" s="25" t="str">
        <f>IF('Residual-RosteredMATRIX-RN'!M4=0,"",'Residual-RosteredMATRIX-RN'!M4)</f>
        <v>0/ 0.5</v>
      </c>
      <c r="P20" s="25" t="str">
        <f>IF('Residual-RosteredMATRIX-RN'!N4=0,"",'Residual-RosteredMATRIX-RN'!N4)</f>
        <v/>
      </c>
      <c r="Q20" s="25">
        <v>0.5</v>
      </c>
      <c r="R20" s="25" t="str">
        <f>IF('Residual-RosteredMATRIX-RN'!P4=0,"",'Residual-RosteredMATRIX-RN'!P4)</f>
        <v/>
      </c>
      <c r="S20" s="25" t="str">
        <f>IF('Residual-RosteredMATRIX-RN'!Q4=0,"",'Residual-RosteredMATRIX-RN'!Q4)</f>
        <v/>
      </c>
      <c r="T20" s="25" t="str">
        <f>IF('Residual-RosteredMATRIX-RN'!R4=0,"",'Residual-RosteredMATRIX-RN'!R4)</f>
        <v>1/ 7</v>
      </c>
      <c r="U20" s="25" t="str">
        <f>IF('Residual-RosteredMATRIX-RN'!S4=0,"",'Residual-RosteredMATRIX-RN'!S4)</f>
        <v/>
      </c>
      <c r="V20" s="25" t="str">
        <f>IF('Residual-RosteredMATRIX-RN'!T4=0,"",'Residual-RosteredMATRIX-RN'!T4)</f>
        <v/>
      </c>
      <c r="W20" s="25" t="str">
        <f>IF('Residual-RosteredMATRIX-RN'!U4=0,"",'Residual-RosteredMATRIX-RN'!U4)</f>
        <v/>
      </c>
      <c r="X20" s="25" t="str">
        <f>IF('Residual-RosteredMATRIX-RN'!V4=0,"",'Residual-RosteredMATRIX-RN'!V4)</f>
        <v/>
      </c>
      <c r="Y20" s="25" t="str">
        <f>IF('Residual-RosteredMATRIX-RN'!W4=0,"",'Residual-RosteredMATRIX-RN'!W4)</f>
        <v/>
      </c>
      <c r="Z20" s="25" t="str">
        <f>IF('Residual-RosteredMATRIX-RN'!X4=0,"",'Residual-RosteredMATRIX-RN'!X4)</f>
        <v/>
      </c>
      <c r="AA20" s="25" t="str">
        <f>IF('Residual-RosteredMATRIX-RN'!Y4=0,"",'Residual-RosteredMATRIX-RN'!Y4)</f>
        <v/>
      </c>
      <c r="AB20" s="25" t="str">
        <f>IF('Residual-RosteredMATRIX-RN'!Z4=0,"",'Residual-RosteredMATRIX-RN'!Z4)</f>
        <v/>
      </c>
      <c r="AC20" s="25" t="str">
        <f>IF('Residual-RosteredMATRIX-RN'!AA4=0,"",'Residual-RosteredMATRIX-RN'!AA4)</f>
        <v>0/ 7.5</v>
      </c>
      <c r="AD20" s="25" t="str">
        <f>IF('Residual-RosteredMATRIX-RN'!AB4=0,"",'Residual-RosteredMATRIX-RN'!AB4)</f>
        <v>0/ 0.5</v>
      </c>
      <c r="AE20" s="25" t="str">
        <f>IF('Residual-RosteredMATRIX-RN'!AC4=0,"",'Residual-RosteredMATRIX-RN'!AC4)</f>
        <v/>
      </c>
      <c r="AF20" s="25" t="str">
        <f>IF('Residual-RosteredMATRIX-RN'!AD4=0,"",'Residual-RosteredMATRIX-RN'!AD4)</f>
        <v>0/ 7.5</v>
      </c>
      <c r="AG20" s="25" t="str">
        <f>IF('Residual-RosteredMATRIX-RN'!AE4=0,"",'Residual-RosteredMATRIX-RN'!AE4)</f>
        <v>0/ 0.5</v>
      </c>
      <c r="AH20" s="25" t="str">
        <f>IF('Residual-RosteredMATRIX-RN'!AF4=0,"",'Residual-RosteredMATRIX-RN'!AF4)</f>
        <v/>
      </c>
      <c r="AI20" s="25" t="str">
        <f>IF('Residual-RosteredMATRIX-RN'!AG4=0,"",'Residual-RosteredMATRIX-RN'!AG4)</f>
        <v>0/ 7.5</v>
      </c>
      <c r="AJ20" s="25" t="str">
        <f>IF('Residual-RosteredMATRIX-RN'!AH4=0,"",'Residual-RosteredMATRIX-RN'!AH4)</f>
        <v>0/ 0.5</v>
      </c>
      <c r="AK20" s="25" t="str">
        <f>IF('Residual-RosteredMATRIX-RN'!AI4=0,"",'Residual-RosteredMATRIX-RN'!AI4)</f>
        <v/>
      </c>
      <c r="AL20" s="25">
        <v>1</v>
      </c>
      <c r="AM20" s="25" t="str">
        <f>IF('Residual-RosteredMATRIX-RN'!AK4=0,"",'Residual-RosteredMATRIX-RN'!AK4)</f>
        <v/>
      </c>
      <c r="AN20" s="25" t="str">
        <f>IF('Residual-RosteredMATRIX-RN'!AL4=0,"",'Residual-RosteredMATRIX-RN'!AL4)</f>
        <v/>
      </c>
      <c r="AO20" s="25" t="str">
        <f>IF('Residual-RosteredMATRIX-RN'!AM4=0,"",'Residual-RosteredMATRIX-RN'!AM4)</f>
        <v>1/ 7</v>
      </c>
      <c r="AP20" s="25" t="str">
        <f>IF('Residual-RosteredMATRIX-RN'!AN4=0,"",'Residual-RosteredMATRIX-RN'!AN4)</f>
        <v/>
      </c>
      <c r="AQ20" s="25" t="str">
        <f>IF('Residual-RosteredMATRIX-RN'!AO4=0,"",'Residual-RosteredMATRIX-RN'!AO4)</f>
        <v/>
      </c>
      <c r="AR20" s="25" t="str">
        <f>IF('Residual-RosteredMATRIX-RN'!AP4=0,"",'Residual-RosteredMATRIX-RN'!AP4)</f>
        <v/>
      </c>
      <c r="AS20" s="25" t="str">
        <f>IF('Residual-RosteredMATRIX-RN'!AQ4=0,"",'Residual-RosteredMATRIX-RN'!AQ4)</f>
        <v/>
      </c>
      <c r="AT20" s="25" t="str">
        <f>IF('Residual-RosteredMATRIX-RN'!AR4=0,"",'Residual-RosteredMATRIX-RN'!AR4)</f>
        <v/>
      </c>
      <c r="AU20" s="25" t="str">
        <f>IF('Residual-RosteredMATRIX-RN'!AS4=0,"",'Residual-RosteredMATRIX-RN'!AS4)</f>
        <v/>
      </c>
      <c r="AV20" s="25" t="str">
        <f>IF('Residual-RosteredMATRIX-RN'!AT4=0,"",'Residual-RosteredMATRIX-RN'!AT4)</f>
        <v/>
      </c>
      <c r="AW20" s="25" t="str">
        <f>IF('Residual-RosteredMATRIX-RN'!AU4=0,"",'Residual-RosteredMATRIX-RN'!AU4)</f>
        <v/>
      </c>
    </row>
    <row r="21" spans="1:50" ht="15.75" customHeight="1" x14ac:dyDescent="0.25">
      <c r="A21" s="25" t="e">
        <f>'Residual-Rostered'!#REF!</f>
        <v>#REF!</v>
      </c>
      <c r="B21" s="33" t="str">
        <f>'Residual-RosteredMATRIX-RN'!D5</f>
        <v>Registered Nurse</v>
      </c>
      <c r="C21" s="33" t="str">
        <f>'Residual-RosteredMATRIX-RN'!C5</f>
        <v>Bhandari, Manisha</v>
      </c>
      <c r="D21" s="34">
        <f>'Residual-RosteredMATRIX-RN'!E5</f>
        <v>72</v>
      </c>
      <c r="E21" s="14">
        <f>Max_HRS-Table3[[#This Row],[ROSTERED TIME]]</f>
        <v>4</v>
      </c>
      <c r="F21" s="14">
        <f t="shared" si="5"/>
        <v>0</v>
      </c>
      <c r="G21" s="14">
        <f>Table3[[#This Row],[ROSTERED TIME]]+Table3[[#This Row],[CHANGE TIME]]</f>
        <v>72</v>
      </c>
      <c r="H21" s="25" t="str">
        <f>IF('Residual-RosteredMATRIX-RN'!F5=0,"",'Residual-RosteredMATRIX-RN'!F5)</f>
        <v/>
      </c>
      <c r="I21" s="25" t="str">
        <f>IF('Residual-RosteredMATRIX-RN'!G5=0,"",'Residual-RosteredMATRIX-RN'!G5)</f>
        <v>0/ 7.8</v>
      </c>
      <c r="J21" s="25" t="str">
        <f>IF('Residual-RosteredMATRIX-RN'!H5=0,"",'Residual-RosteredMATRIX-RN'!H5)</f>
        <v>0/ 0.2</v>
      </c>
      <c r="K21" s="25" t="str">
        <f>IF('Residual-RosteredMATRIX-RN'!I5=0,"",'Residual-RosteredMATRIX-RN'!I5)</f>
        <v/>
      </c>
      <c r="L21" s="25" t="str">
        <f>IF('Residual-RosteredMATRIX-RN'!J5=0,"",'Residual-RosteredMATRIX-RN'!J5)</f>
        <v>0/ 7.8</v>
      </c>
      <c r="M21" s="25" t="str">
        <f>IF('Residual-RosteredMATRIX-RN'!K5=0,"",'Residual-RosteredMATRIX-RN'!K5)</f>
        <v>0/ 0.2</v>
      </c>
      <c r="N21" s="25" t="str">
        <f>IF('Residual-RosteredMATRIX-RN'!L5=0,"",'Residual-RosteredMATRIX-RN'!L5)</f>
        <v/>
      </c>
      <c r="O21" s="25" t="str">
        <f>IF('Residual-RosteredMATRIX-RN'!M5=0,"",'Residual-RosteredMATRIX-RN'!M5)</f>
        <v/>
      </c>
      <c r="P21" s="25" t="str">
        <f>IF('Residual-RosteredMATRIX-RN'!N5=0,"",'Residual-RosteredMATRIX-RN'!N5)</f>
        <v/>
      </c>
      <c r="Q21" s="25" t="str">
        <f>IF('Residual-RosteredMATRIX-RN'!O5=0,"",'Residual-RosteredMATRIX-RN'!O5)</f>
        <v/>
      </c>
      <c r="R21" s="25" t="str">
        <f>IF('Residual-RosteredMATRIX-RN'!P5=0,"",'Residual-RosteredMATRIX-RN'!P5)</f>
        <v/>
      </c>
      <c r="S21" s="25" t="str">
        <f>IF('Residual-RosteredMATRIX-RN'!Q5=0,"",'Residual-RosteredMATRIX-RN'!Q5)</f>
        <v/>
      </c>
      <c r="T21" s="25" t="str">
        <f>IF('Residual-RosteredMATRIX-RN'!R5=0,"",'Residual-RosteredMATRIX-RN'!R5)</f>
        <v/>
      </c>
      <c r="U21" s="25" t="str">
        <f>IF('Residual-RosteredMATRIX-RN'!S5=0,"",'Residual-RosteredMATRIX-RN'!S5)</f>
        <v/>
      </c>
      <c r="V21" s="25" t="str">
        <f>IF('Residual-RosteredMATRIX-RN'!T5=0,"",'Residual-RosteredMATRIX-RN'!T5)</f>
        <v/>
      </c>
      <c r="W21" s="25" t="str">
        <f>IF('Residual-RosteredMATRIX-RN'!U5=0,"",'Residual-RosteredMATRIX-RN'!U5)</f>
        <v/>
      </c>
      <c r="X21" s="25" t="str">
        <f>IF('Residual-RosteredMATRIX-RN'!V5=0,"",'Residual-RosteredMATRIX-RN'!V5)</f>
        <v>0/ 7.8</v>
      </c>
      <c r="Y21" s="25" t="str">
        <f>IF('Residual-RosteredMATRIX-RN'!W5=0,"",'Residual-RosteredMATRIX-RN'!W5)</f>
        <v>0/ 0.2</v>
      </c>
      <c r="Z21" s="25" t="str">
        <f>IF('Residual-RosteredMATRIX-RN'!X5=0,"",'Residual-RosteredMATRIX-RN'!X5)</f>
        <v/>
      </c>
      <c r="AA21" s="25" t="str">
        <f>IF('Residual-RosteredMATRIX-RN'!Y5=0,"",'Residual-RosteredMATRIX-RN'!Y5)</f>
        <v>0/ 7.8</v>
      </c>
      <c r="AB21" s="25" t="str">
        <f>IF('Residual-RosteredMATRIX-RN'!Z5=0,"",'Residual-RosteredMATRIX-RN'!Z5)</f>
        <v>0/ 0.2</v>
      </c>
      <c r="AC21" s="25" t="str">
        <f>IF('Residual-RosteredMATRIX-RN'!AA5=0,"",'Residual-RosteredMATRIX-RN'!AA5)</f>
        <v/>
      </c>
      <c r="AD21" s="25" t="str">
        <f>IF('Residual-RosteredMATRIX-RN'!AB5=0,"",'Residual-RosteredMATRIX-RN'!AB5)</f>
        <v>0/ 7.8</v>
      </c>
      <c r="AE21" s="25" t="str">
        <f>IF('Residual-RosteredMATRIX-RN'!AC5=0,"",'Residual-RosteredMATRIX-RN'!AC5)</f>
        <v>0/ 0.2</v>
      </c>
      <c r="AF21" s="25" t="str">
        <f>IF('Residual-RosteredMATRIX-RN'!AD5=0,"",'Residual-RosteredMATRIX-RN'!AD5)</f>
        <v/>
      </c>
      <c r="AG21" s="25" t="str">
        <f>IF('Residual-RosteredMATRIX-RN'!AE5=0,"",'Residual-RosteredMATRIX-RN'!AE5)</f>
        <v>0/ 7.8</v>
      </c>
      <c r="AH21" s="25" t="str">
        <f>IF('Residual-RosteredMATRIX-RN'!AF5=0,"",'Residual-RosteredMATRIX-RN'!AF5)</f>
        <v>0/ 0.2</v>
      </c>
      <c r="AI21" s="25" t="str">
        <f>IF('Residual-RosteredMATRIX-RN'!AG5=0,"",'Residual-RosteredMATRIX-RN'!AG5)</f>
        <v/>
      </c>
      <c r="AJ21" s="25" t="str">
        <f>IF('Residual-RosteredMATRIX-RN'!AH5=0,"",'Residual-RosteredMATRIX-RN'!AH5)</f>
        <v/>
      </c>
      <c r="AK21" s="25" t="str">
        <f>IF('Residual-RosteredMATRIX-RN'!AI5=0,"",'Residual-RosteredMATRIX-RN'!AI5)</f>
        <v/>
      </c>
      <c r="AL21" s="25" t="str">
        <f>IF('Residual-RosteredMATRIX-RN'!AJ5=0,"",'Residual-RosteredMATRIX-RN'!AJ5)</f>
        <v/>
      </c>
      <c r="AM21" s="25" t="str">
        <f>IF('Residual-RosteredMATRIX-RN'!AK5=0,"",'Residual-RosteredMATRIX-RN'!AK5)</f>
        <v/>
      </c>
      <c r="AN21" s="25" t="str">
        <f>IF('Residual-RosteredMATRIX-RN'!AL5=0,"",'Residual-RosteredMATRIX-RN'!AL5)</f>
        <v/>
      </c>
      <c r="AO21" s="25" t="str">
        <f>IF('Residual-RosteredMATRIX-RN'!AM5=0,"",'Residual-RosteredMATRIX-RN'!AM5)</f>
        <v/>
      </c>
      <c r="AP21" s="25" t="str">
        <f>IF('Residual-RosteredMATRIX-RN'!AN5=0,"",'Residual-RosteredMATRIX-RN'!AN5)</f>
        <v>0/ 7.8</v>
      </c>
      <c r="AQ21" s="25" t="str">
        <f>IF('Residual-RosteredMATRIX-RN'!AO5=0,"",'Residual-RosteredMATRIX-RN'!AO5)</f>
        <v>0/ 0.2</v>
      </c>
      <c r="AR21" s="25" t="str">
        <f>IF('Residual-RosteredMATRIX-RN'!AP5=0,"",'Residual-RosteredMATRIX-RN'!AP5)</f>
        <v/>
      </c>
      <c r="AS21" s="25" t="str">
        <f>IF('Residual-RosteredMATRIX-RN'!AQ5=0,"",'Residual-RosteredMATRIX-RN'!AQ5)</f>
        <v>0/ 7.8</v>
      </c>
      <c r="AT21" s="25" t="str">
        <f>IF('Residual-RosteredMATRIX-RN'!AR5=0,"",'Residual-RosteredMATRIX-RN'!AR5)</f>
        <v>0/ 0.2</v>
      </c>
      <c r="AU21" s="25" t="str">
        <f>IF('Residual-RosteredMATRIX-RN'!AS5=0,"",'Residual-RosteredMATRIX-RN'!AS5)</f>
        <v/>
      </c>
      <c r="AV21" s="25" t="str">
        <f>IF('Residual-RosteredMATRIX-RN'!AT5=0,"",'Residual-RosteredMATRIX-RN'!AT5)</f>
        <v>0/ 7.8</v>
      </c>
      <c r="AW21" s="25" t="str">
        <f>IF('Residual-RosteredMATRIX-RN'!AU5=0,"",'Residual-RosteredMATRIX-RN'!AU5)</f>
        <v>0/ 0.2</v>
      </c>
    </row>
    <row r="22" spans="1:50" ht="15.75" customHeight="1" x14ac:dyDescent="0.25">
      <c r="A22" s="25" t="e">
        <f>'Residual-Rostered'!#REF!</f>
        <v>#REF!</v>
      </c>
      <c r="B22" s="33" t="str">
        <f>'Residual-RosteredMATRIX-RN'!D6</f>
        <v>Registered Nurse</v>
      </c>
      <c r="C22" s="33" t="str">
        <f>'Residual-RosteredMATRIX-RN'!C6</f>
        <v>Gould, Diana</v>
      </c>
      <c r="D22" s="34">
        <f>'Residual-RosteredMATRIX-RN'!E6</f>
        <v>54.599999999999994</v>
      </c>
      <c r="E22" s="14">
        <f>Max_HRS-Table3[[#This Row],[ROSTERED TIME]]</f>
        <v>21.400000000000006</v>
      </c>
      <c r="F22" s="14">
        <f t="shared" si="5"/>
        <v>0.5</v>
      </c>
      <c r="G22" s="14">
        <f>Table3[[#This Row],[ROSTERED TIME]]+Table3[[#This Row],[CHANGE TIME]]</f>
        <v>55.099999999999994</v>
      </c>
      <c r="H22" s="25" t="str">
        <f>IF('Residual-RosteredMATRIX-RN'!F6=0,"",'Residual-RosteredMATRIX-RN'!F6)</f>
        <v/>
      </c>
      <c r="I22" s="25" t="str">
        <f>IF('Residual-RosteredMATRIX-RN'!G6=0,"",'Residual-RosteredMATRIX-RN'!G6)</f>
        <v/>
      </c>
      <c r="J22" s="25" t="str">
        <f>IF('Residual-RosteredMATRIX-RN'!H6=0,"",'Residual-RosteredMATRIX-RN'!H6)</f>
        <v>0.7/ 7.3</v>
      </c>
      <c r="K22" s="25" t="str">
        <f>IF('Residual-RosteredMATRIX-RN'!I6=0,"",'Residual-RosteredMATRIX-RN'!I6)</f>
        <v>0.2/ 0.5</v>
      </c>
      <c r="L22" s="25" t="str">
        <f>IF('Residual-RosteredMATRIX-RN'!J6=0,"",'Residual-RosteredMATRIX-RN'!J6)</f>
        <v/>
      </c>
      <c r="M22" s="25" t="str">
        <f>IF('Residual-RosteredMATRIX-RN'!K6=0,"",'Residual-RosteredMATRIX-RN'!K6)</f>
        <v>0.2/ 7.3</v>
      </c>
      <c r="N22" s="25" t="str">
        <f>IF('Residual-RosteredMATRIX-RN'!L6=0,"",'Residual-RosteredMATRIX-RN'!L6)</f>
        <v>1.2/ 0.5</v>
      </c>
      <c r="O22" s="25" t="str">
        <f>IF('Residual-RosteredMATRIX-RN'!M6=0,"",'Residual-RosteredMATRIX-RN'!M6)</f>
        <v/>
      </c>
      <c r="P22" s="25" t="str">
        <f>IF('Residual-RosteredMATRIX-RN'!N6=0,"",'Residual-RosteredMATRIX-RN'!N6)</f>
        <v/>
      </c>
      <c r="Q22" s="25" t="str">
        <f>IF('Residual-RosteredMATRIX-RN'!O6=0,"",'Residual-RosteredMATRIX-RN'!O6)</f>
        <v/>
      </c>
      <c r="R22" s="25" t="str">
        <f>IF('Residual-RosteredMATRIX-RN'!P6=0,"",'Residual-RosteredMATRIX-RN'!P6)</f>
        <v/>
      </c>
      <c r="S22" s="25" t="str">
        <f>IF('Residual-RosteredMATRIX-RN'!Q6=0,"",'Residual-RosteredMATRIX-RN'!Q6)</f>
        <v/>
      </c>
      <c r="T22" s="25" t="str">
        <f>IF('Residual-RosteredMATRIX-RN'!R6=0,"",'Residual-RosteredMATRIX-RN'!R6)</f>
        <v/>
      </c>
      <c r="U22" s="25" t="str">
        <f>IF('Residual-RosteredMATRIX-RN'!S6=0,"",'Residual-RosteredMATRIX-RN'!S6)</f>
        <v/>
      </c>
      <c r="V22" s="25" t="str">
        <f>IF('Residual-RosteredMATRIX-RN'!T6=0,"",'Residual-RosteredMATRIX-RN'!T6)</f>
        <v>0.7/ 7.3</v>
      </c>
      <c r="W22" s="25" t="str">
        <f>IF('Residual-RosteredMATRIX-RN'!U6=0,"",'Residual-RosteredMATRIX-RN'!U6)</f>
        <v>0.2/ 0.5</v>
      </c>
      <c r="X22" s="25" t="str">
        <f>IF('Residual-RosteredMATRIX-RN'!V6=0,"",'Residual-RosteredMATRIX-RN'!V6)</f>
        <v/>
      </c>
      <c r="Y22" s="25" t="str">
        <f>IF('Residual-RosteredMATRIX-RN'!W6=0,"",'Residual-RosteredMATRIX-RN'!W6)</f>
        <v>0.2/ 7.3</v>
      </c>
      <c r="Z22" s="25" t="str">
        <f>IF('Residual-RosteredMATRIX-RN'!X6=0,"",'Residual-RosteredMATRIX-RN'!X6)</f>
        <v>0.2/ 0.5</v>
      </c>
      <c r="AA22" s="25" t="str">
        <f>IF('Residual-RosteredMATRIX-RN'!Y6=0,"",'Residual-RosteredMATRIX-RN'!Y6)</f>
        <v/>
      </c>
      <c r="AB22" s="25" t="str">
        <f>IF('Residual-RosteredMATRIX-RN'!Z6=0,"",'Residual-RosteredMATRIX-RN'!Z6)</f>
        <v>0.2/ 7.3</v>
      </c>
      <c r="AC22" s="25" t="str">
        <f>IF('Residual-RosteredMATRIX-RN'!AA6=0,"",'Residual-RosteredMATRIX-RN'!AA6)</f>
        <v>0.2/ 0.5</v>
      </c>
      <c r="AD22" s="25" t="str">
        <f>IF('Residual-RosteredMATRIX-RN'!AB6=0,"",'Residual-RosteredMATRIX-RN'!AB6)</f>
        <v/>
      </c>
      <c r="AE22" s="25" t="str">
        <f>IF('Residual-RosteredMATRIX-RN'!AC6=0,"",'Residual-RosteredMATRIX-RN'!AC6)</f>
        <v>0.2/ 7.3</v>
      </c>
      <c r="AF22" s="25" t="str">
        <f>IF('Residual-RosteredMATRIX-RN'!AD6=0,"",'Residual-RosteredMATRIX-RN'!AD6)</f>
        <v>0.2/ 0.5</v>
      </c>
      <c r="AG22" s="25" t="str">
        <f>IF('Residual-RosteredMATRIX-RN'!AE6=0,"",'Residual-RosteredMATRIX-RN'!AE6)</f>
        <v/>
      </c>
      <c r="AH22" s="25">
        <v>0.5</v>
      </c>
      <c r="AI22" s="25" t="str">
        <f>IF('Residual-RosteredMATRIX-RN'!AG6=0,"",'Residual-RosteredMATRIX-RN'!AG6)</f>
        <v>1.2/ 0.5</v>
      </c>
      <c r="AJ22" s="25" t="str">
        <f>IF('Residual-RosteredMATRIX-RN'!AH6=0,"",'Residual-RosteredMATRIX-RN'!AH6)</f>
        <v/>
      </c>
      <c r="AK22" s="25" t="str">
        <f>IF('Residual-RosteredMATRIX-RN'!AI6=0,"",'Residual-RosteredMATRIX-RN'!AI6)</f>
        <v/>
      </c>
      <c r="AL22" s="25" t="str">
        <f>IF('Residual-RosteredMATRIX-RN'!AJ6=0,"",'Residual-RosteredMATRIX-RN'!AJ6)</f>
        <v/>
      </c>
      <c r="AM22" s="25" t="str">
        <f>IF('Residual-RosteredMATRIX-RN'!AK6=0,"",'Residual-RosteredMATRIX-RN'!AK6)</f>
        <v/>
      </c>
      <c r="AN22" s="25" t="str">
        <f>IF('Residual-RosteredMATRIX-RN'!AL6=0,"",'Residual-RosteredMATRIX-RN'!AL6)</f>
        <v/>
      </c>
      <c r="AO22" s="25" t="str">
        <f>IF('Residual-RosteredMATRIX-RN'!AM6=0,"",'Residual-RosteredMATRIX-RN'!AM6)</f>
        <v/>
      </c>
      <c r="AP22" s="25" t="str">
        <f>IF('Residual-RosteredMATRIX-RN'!AN6=0,"",'Residual-RosteredMATRIX-RN'!AN6)</f>
        <v/>
      </c>
      <c r="AQ22" s="25" t="str">
        <f>IF('Residual-RosteredMATRIX-RN'!AO6=0,"",'Residual-RosteredMATRIX-RN'!AO6)</f>
        <v/>
      </c>
      <c r="AR22" s="25" t="str">
        <f>IF('Residual-RosteredMATRIX-RN'!AP6=0,"",'Residual-RosteredMATRIX-RN'!AP6)</f>
        <v/>
      </c>
      <c r="AS22" s="25" t="str">
        <f>IF('Residual-RosteredMATRIX-RN'!AQ6=0,"",'Residual-RosteredMATRIX-RN'!AQ6)</f>
        <v/>
      </c>
      <c r="AT22" s="25" t="str">
        <f>IF('Residual-RosteredMATRIX-RN'!AR6=0,"",'Residual-RosteredMATRIX-RN'!AR6)</f>
        <v/>
      </c>
      <c r="AU22" s="25" t="str">
        <f>IF('Residual-RosteredMATRIX-RN'!AS6=0,"",'Residual-RosteredMATRIX-RN'!AS6)</f>
        <v/>
      </c>
      <c r="AV22" s="25" t="str">
        <f>IF('Residual-RosteredMATRIX-RN'!AT6=0,"",'Residual-RosteredMATRIX-RN'!AT6)</f>
        <v/>
      </c>
      <c r="AW22" s="25" t="str">
        <f>IF('Residual-RosteredMATRIX-RN'!AU6=0,"",'Residual-RosteredMATRIX-RN'!AU6)</f>
        <v/>
      </c>
    </row>
    <row r="23" spans="1:50" ht="15.75" customHeight="1" x14ac:dyDescent="0.25">
      <c r="A23" s="25" t="e">
        <f>'Residual-Rostered'!#REF!</f>
        <v>#REF!</v>
      </c>
      <c r="B23" s="33" t="str">
        <f>'Residual-RosteredMATRIX-RN'!D7</f>
        <v>Registered Nurse</v>
      </c>
      <c r="C23" s="33" t="str">
        <f>'Residual-RosteredMATRIX-RN'!C7</f>
        <v>Teat, Ron</v>
      </c>
      <c r="D23" s="34">
        <f>'Residual-RosteredMATRIX-RN'!E7</f>
        <v>50.699999999999996</v>
      </c>
      <c r="E23" s="14">
        <f>Max_HRS-Table3[[#This Row],[ROSTERED TIME]]</f>
        <v>25.300000000000004</v>
      </c>
      <c r="F23" s="14">
        <f t="shared" si="5"/>
        <v>0.4</v>
      </c>
      <c r="G23" s="14">
        <f>Table3[[#This Row],[ROSTERED TIME]]+Table3[[#This Row],[CHANGE TIME]]</f>
        <v>51.099999999999994</v>
      </c>
      <c r="H23" s="25" t="str">
        <f>IF('Residual-RosteredMATRIX-RN'!F7=0,"",'Residual-RosteredMATRIX-RN'!F7)</f>
        <v/>
      </c>
      <c r="I23" s="25" t="str">
        <f>IF('Residual-RosteredMATRIX-RN'!G7=0,"",'Residual-RosteredMATRIX-RN'!G7)</f>
        <v/>
      </c>
      <c r="J23" s="25" t="str">
        <f>IF('Residual-RosteredMATRIX-RN'!H7=0,"",'Residual-RosteredMATRIX-RN'!H7)</f>
        <v/>
      </c>
      <c r="K23" s="25" t="str">
        <f>IF('Residual-RosteredMATRIX-RN'!I7=0,"",'Residual-RosteredMATRIX-RN'!I7)</f>
        <v/>
      </c>
      <c r="L23" s="25" t="str">
        <f>IF('Residual-RosteredMATRIX-RN'!J7=0,"",'Residual-RosteredMATRIX-RN'!J7)</f>
        <v/>
      </c>
      <c r="M23" s="25" t="str">
        <f>IF('Residual-RosteredMATRIX-RN'!K7=0,"",'Residual-RosteredMATRIX-RN'!K7)</f>
        <v/>
      </c>
      <c r="N23" s="25" t="str">
        <f>IF('Residual-RosteredMATRIX-RN'!L7=0,"",'Residual-RosteredMATRIX-RN'!L7)</f>
        <v/>
      </c>
      <c r="O23" s="25" t="str">
        <f>IF('Residual-RosteredMATRIX-RN'!M7=0,"",'Residual-RosteredMATRIX-RN'!M7)</f>
        <v/>
      </c>
      <c r="P23" s="25" t="str">
        <f>IF('Residual-RosteredMATRIX-RN'!N7=0,"",'Residual-RosteredMATRIX-RN'!N7)</f>
        <v>0.7/ 7.3</v>
      </c>
      <c r="Q23" s="25" t="str">
        <f>IF('Residual-RosteredMATRIX-RN'!O7=0,"",'Residual-RosteredMATRIX-RN'!O7)</f>
        <v>0.2/ 0.5</v>
      </c>
      <c r="R23" s="25" t="str">
        <f>IF('Residual-RosteredMATRIX-RN'!P7=0,"",'Residual-RosteredMATRIX-RN'!P7)</f>
        <v/>
      </c>
      <c r="S23" s="25" t="str">
        <f>IF('Residual-RosteredMATRIX-RN'!Q7=0,"",'Residual-RosteredMATRIX-RN'!Q7)</f>
        <v>0.2/ 7.3</v>
      </c>
      <c r="T23" s="25" t="str">
        <f>IF('Residual-RosteredMATRIX-RN'!R7=0,"",'Residual-RosteredMATRIX-RN'!R7)</f>
        <v>7.2/ 0.5</v>
      </c>
      <c r="U23" s="25" t="str">
        <f>IF('Residual-RosteredMATRIX-RN'!S7=0,"",'Residual-RosteredMATRIX-RN'!S7)</f>
        <v/>
      </c>
      <c r="V23" s="25" t="str">
        <f>IF('Residual-RosteredMATRIX-RN'!T7=0,"",'Residual-RosteredMATRIX-RN'!T7)</f>
        <v/>
      </c>
      <c r="W23" s="25" t="str">
        <f>IF('Residual-RosteredMATRIX-RN'!U7=0,"",'Residual-RosteredMATRIX-RN'!U7)</f>
        <v/>
      </c>
      <c r="X23" s="25" t="str">
        <f>IF('Residual-RosteredMATRIX-RN'!V7=0,"",'Residual-RosteredMATRIX-RN'!V7)</f>
        <v/>
      </c>
      <c r="Y23" s="25" t="str">
        <f>IF('Residual-RosteredMATRIX-RN'!W7=0,"",'Residual-RosteredMATRIX-RN'!W7)</f>
        <v/>
      </c>
      <c r="Z23" s="25" t="str">
        <f>IF('Residual-RosteredMATRIX-RN'!X7=0,"",'Residual-RosteredMATRIX-RN'!X7)</f>
        <v/>
      </c>
      <c r="AA23" s="25" t="str">
        <f>IF('Residual-RosteredMATRIX-RN'!Y7=0,"",'Residual-RosteredMATRIX-RN'!Y7)</f>
        <v/>
      </c>
      <c r="AB23" s="25" t="str">
        <f>IF('Residual-RosteredMATRIX-RN'!Z7=0,"",'Residual-RosteredMATRIX-RN'!Z7)</f>
        <v/>
      </c>
      <c r="AC23" s="25" t="str">
        <f>IF('Residual-RosteredMATRIX-RN'!AA7=0,"",'Residual-RosteredMATRIX-RN'!AA7)</f>
        <v/>
      </c>
      <c r="AD23" s="25" t="str">
        <f>IF('Residual-RosteredMATRIX-RN'!AB7=0,"",'Residual-RosteredMATRIX-RN'!AB7)</f>
        <v/>
      </c>
      <c r="AE23" s="25" t="str">
        <f>IF('Residual-RosteredMATRIX-RN'!AC7=0,"",'Residual-RosteredMATRIX-RN'!AC7)</f>
        <v/>
      </c>
      <c r="AF23" s="25" t="str">
        <f>IF('Residual-RosteredMATRIX-RN'!AD7=0,"",'Residual-RosteredMATRIX-RN'!AD7)</f>
        <v/>
      </c>
      <c r="AG23" s="25" t="str">
        <f>IF('Residual-RosteredMATRIX-RN'!AE7=0,"",'Residual-RosteredMATRIX-RN'!AE7)</f>
        <v/>
      </c>
      <c r="AH23" s="25" t="str">
        <f>IF('Residual-RosteredMATRIX-RN'!AF7=0,"",'Residual-RosteredMATRIX-RN'!AF7)</f>
        <v/>
      </c>
      <c r="AI23" s="25" t="str">
        <f>IF('Residual-RosteredMATRIX-RN'!AG7=0,"",'Residual-RosteredMATRIX-RN'!AG7)</f>
        <v/>
      </c>
      <c r="AJ23" s="25" t="str">
        <f>IF('Residual-RosteredMATRIX-RN'!AH7=0,"",'Residual-RosteredMATRIX-RN'!AH7)</f>
        <v/>
      </c>
      <c r="AK23" s="25">
        <v>0.4</v>
      </c>
      <c r="AL23" s="25" t="str">
        <f>IF('Residual-RosteredMATRIX-RN'!AJ7=0,"",'Residual-RosteredMATRIX-RN'!AJ7)</f>
        <v>0.2/ 0.5</v>
      </c>
      <c r="AM23" s="25" t="str">
        <f>IF('Residual-RosteredMATRIX-RN'!AK7=0,"",'Residual-RosteredMATRIX-RN'!AK7)</f>
        <v/>
      </c>
      <c r="AN23" s="25" t="str">
        <f>IF('Residual-RosteredMATRIX-RN'!AL7=0,"",'Residual-RosteredMATRIX-RN'!AL7)</f>
        <v>0.2/ 7.3</v>
      </c>
      <c r="AO23" s="25" t="str">
        <f>IF('Residual-RosteredMATRIX-RN'!AM7=0,"",'Residual-RosteredMATRIX-RN'!AM7)</f>
        <v>0.2/ 0.5</v>
      </c>
      <c r="AP23" s="25" t="str">
        <f>IF('Residual-RosteredMATRIX-RN'!AN7=0,"",'Residual-RosteredMATRIX-RN'!AN7)</f>
        <v/>
      </c>
      <c r="AQ23" s="25" t="str">
        <f>IF('Residual-RosteredMATRIX-RN'!AO7=0,"",'Residual-RosteredMATRIX-RN'!AO7)</f>
        <v>0.2/ 7.3</v>
      </c>
      <c r="AR23" s="25" t="str">
        <f>IF('Residual-RosteredMATRIX-RN'!AP7=0,"",'Residual-RosteredMATRIX-RN'!AP7)</f>
        <v>0.2/ 0.5</v>
      </c>
      <c r="AS23" s="25" t="str">
        <f>IF('Residual-RosteredMATRIX-RN'!AQ7=0,"",'Residual-RosteredMATRIX-RN'!AQ7)</f>
        <v/>
      </c>
      <c r="AT23" s="25" t="str">
        <f>IF('Residual-RosteredMATRIX-RN'!AR7=0,"",'Residual-RosteredMATRIX-RN'!AR7)</f>
        <v>0.2/ 7.3</v>
      </c>
      <c r="AU23" s="25" t="str">
        <f>IF('Residual-RosteredMATRIX-RN'!AS7=0,"",'Residual-RosteredMATRIX-RN'!AS7)</f>
        <v>3.5/ 0.5</v>
      </c>
      <c r="AV23" s="25" t="str">
        <f>IF('Residual-RosteredMATRIX-RN'!AT7=0,"",'Residual-RosteredMATRIX-RN'!AT7)</f>
        <v/>
      </c>
      <c r="AW23" s="25">
        <v>3.5</v>
      </c>
    </row>
    <row r="24" spans="1:50" ht="15.75" customHeight="1" x14ac:dyDescent="0.25">
      <c r="A24" s="25" t="e">
        <f>'Residual-Rostered'!#REF!</f>
        <v>#REF!</v>
      </c>
      <c r="B24" s="33" t="str">
        <f>'Residual-RosteredMATRIX-RN'!D8</f>
        <v>Registered Nurse</v>
      </c>
      <c r="C24" s="33" t="str">
        <f>'Residual-RosteredMATRIX-RN'!C8</f>
        <v>Mathew, Christeena</v>
      </c>
      <c r="D24" s="34">
        <f>'Residual-RosteredMATRIX-RN'!E8</f>
        <v>32</v>
      </c>
      <c r="E24" s="14">
        <f>Max_HRS-Table3[[#This Row],[ROSTERED TIME]]</f>
        <v>44</v>
      </c>
      <c r="F24" s="14">
        <f t="shared" si="5"/>
        <v>0</v>
      </c>
      <c r="G24" s="14">
        <f>Table3[[#This Row],[ROSTERED TIME]]+Table3[[#This Row],[CHANGE TIME]]</f>
        <v>32</v>
      </c>
      <c r="H24" s="25" t="str">
        <f>IF('Residual-RosteredMATRIX-RN'!F8=0,"",'Residual-RosteredMATRIX-RN'!F8)</f>
        <v/>
      </c>
      <c r="I24" s="25" t="str">
        <f>IF('Residual-RosteredMATRIX-RN'!G8=0,"",'Residual-RosteredMATRIX-RN'!G8)</f>
        <v/>
      </c>
      <c r="J24" s="25" t="str">
        <f>IF('Residual-RosteredMATRIX-RN'!H8=0,"",'Residual-RosteredMATRIX-RN'!H8)</f>
        <v/>
      </c>
      <c r="K24" s="25" t="str">
        <f>IF('Residual-RosteredMATRIX-RN'!I8=0,"",'Residual-RosteredMATRIX-RN'!I8)</f>
        <v/>
      </c>
      <c r="L24" s="25" t="str">
        <f>IF('Residual-RosteredMATRIX-RN'!J8=0,"",'Residual-RosteredMATRIX-RN'!J8)</f>
        <v/>
      </c>
      <c r="M24" s="25" t="str">
        <f>IF('Residual-RosteredMATRIX-RN'!K8=0,"",'Residual-RosteredMATRIX-RN'!K8)</f>
        <v/>
      </c>
      <c r="N24" s="25" t="str">
        <f>IF('Residual-RosteredMATRIX-RN'!L8=0,"",'Residual-RosteredMATRIX-RN'!L8)</f>
        <v/>
      </c>
      <c r="O24" s="25" t="str">
        <f>IF('Residual-RosteredMATRIX-RN'!M8=0,"",'Residual-RosteredMATRIX-RN'!M8)</f>
        <v/>
      </c>
      <c r="P24" s="25" t="str">
        <f>IF('Residual-RosteredMATRIX-RN'!N8=0,"",'Residual-RosteredMATRIX-RN'!N8)</f>
        <v/>
      </c>
      <c r="Q24" s="25" t="str">
        <f>IF('Residual-RosteredMATRIX-RN'!O8=0,"",'Residual-RosteredMATRIX-RN'!O8)</f>
        <v/>
      </c>
      <c r="R24" s="25" t="str">
        <f>IF('Residual-RosteredMATRIX-RN'!P8=0,"",'Residual-RosteredMATRIX-RN'!P8)</f>
        <v>0/ 7.8</v>
      </c>
      <c r="S24" s="25" t="str">
        <f>IF('Residual-RosteredMATRIX-RN'!Q8=0,"",'Residual-RosteredMATRIX-RN'!Q8)</f>
        <v>0/ 0.2</v>
      </c>
      <c r="T24" s="25" t="str">
        <f>IF('Residual-RosteredMATRIX-RN'!R8=0,"",'Residual-RosteredMATRIX-RN'!R8)</f>
        <v/>
      </c>
      <c r="U24" s="25" t="str">
        <f>IF('Residual-RosteredMATRIX-RN'!S8=0,"",'Residual-RosteredMATRIX-RN'!S8)</f>
        <v>0/ 7.8</v>
      </c>
      <c r="V24" s="25" t="str">
        <f>IF('Residual-RosteredMATRIX-RN'!T8=0,"",'Residual-RosteredMATRIX-RN'!T8)</f>
        <v>0/ 0.2</v>
      </c>
      <c r="W24" s="25" t="str">
        <f>IF('Residual-RosteredMATRIX-RN'!U8=0,"",'Residual-RosteredMATRIX-RN'!U8)</f>
        <v/>
      </c>
      <c r="X24" s="25" t="str">
        <f>IF('Residual-RosteredMATRIX-RN'!V8=0,"",'Residual-RosteredMATRIX-RN'!V8)</f>
        <v/>
      </c>
      <c r="Y24" s="25" t="str">
        <f>IF('Residual-RosteredMATRIX-RN'!W8=0,"",'Residual-RosteredMATRIX-RN'!W8)</f>
        <v/>
      </c>
      <c r="Z24" s="25" t="str">
        <f>IF('Residual-RosteredMATRIX-RN'!X8=0,"",'Residual-RosteredMATRIX-RN'!X8)</f>
        <v>0/ 7.5</v>
      </c>
      <c r="AA24" s="25" t="str">
        <f>IF('Residual-RosteredMATRIX-RN'!Y8=0,"",'Residual-RosteredMATRIX-RN'!Y8)</f>
        <v>0/ 0.5</v>
      </c>
      <c r="AB24" s="25" t="str">
        <f>IF('Residual-RosteredMATRIX-RN'!Z8=0,"",'Residual-RosteredMATRIX-RN'!Z8)</f>
        <v/>
      </c>
      <c r="AC24" s="25" t="str">
        <f>IF('Residual-RosteredMATRIX-RN'!AA8=0,"",'Residual-RosteredMATRIX-RN'!AA8)</f>
        <v/>
      </c>
      <c r="AD24" s="25" t="str">
        <f>IF('Residual-RosteredMATRIX-RN'!AB8=0,"",'Residual-RosteredMATRIX-RN'!AB8)</f>
        <v/>
      </c>
      <c r="AE24" s="25" t="str">
        <f>IF('Residual-RosteredMATRIX-RN'!AC8=0,"",'Residual-RosteredMATRIX-RN'!AC8)</f>
        <v/>
      </c>
      <c r="AF24" s="25" t="str">
        <f>IF('Residual-RosteredMATRIX-RN'!AD8=0,"",'Residual-RosteredMATRIX-RN'!AD8)</f>
        <v/>
      </c>
      <c r="AG24" s="25" t="str">
        <f>IF('Residual-RosteredMATRIX-RN'!AE8=0,"",'Residual-RosteredMATRIX-RN'!AE8)</f>
        <v/>
      </c>
      <c r="AH24" s="25" t="str">
        <f>IF('Residual-RosteredMATRIX-RN'!AF8=0,"",'Residual-RosteredMATRIX-RN'!AF8)</f>
        <v/>
      </c>
      <c r="AI24" s="25" t="str">
        <f>IF('Residual-RosteredMATRIX-RN'!AG8=0,"",'Residual-RosteredMATRIX-RN'!AG8)</f>
        <v/>
      </c>
      <c r="AJ24" s="25" t="str">
        <f>IF('Residual-RosteredMATRIX-RN'!AH8=0,"",'Residual-RosteredMATRIX-RN'!AH8)</f>
        <v/>
      </c>
      <c r="AK24" s="25" t="str">
        <f>IF('Residual-RosteredMATRIX-RN'!AI8=0,"",'Residual-RosteredMATRIX-RN'!AI8)</f>
        <v/>
      </c>
      <c r="AL24" s="25" t="str">
        <f>IF('Residual-RosteredMATRIX-RN'!AJ8=0,"",'Residual-RosteredMATRIX-RN'!AJ8)</f>
        <v/>
      </c>
      <c r="AM24" s="25" t="str">
        <f>IF('Residual-RosteredMATRIX-RN'!AK8=0,"",'Residual-RosteredMATRIX-RN'!AK8)</f>
        <v/>
      </c>
      <c r="AN24" s="25" t="str">
        <f>IF('Residual-RosteredMATRIX-RN'!AL8=0,"",'Residual-RosteredMATRIX-RN'!AL8)</f>
        <v/>
      </c>
      <c r="AO24" s="25" t="str">
        <f>IF('Residual-RosteredMATRIX-RN'!AM8=0,"",'Residual-RosteredMATRIX-RN'!AM8)</f>
        <v>0/ 7.5</v>
      </c>
      <c r="AP24" s="25" t="str">
        <f>IF('Residual-RosteredMATRIX-RN'!AN8=0,"",'Residual-RosteredMATRIX-RN'!AN8)</f>
        <v>0/ 0.5</v>
      </c>
      <c r="AQ24" s="25" t="str">
        <f>IF('Residual-RosteredMATRIX-RN'!AO8=0,"",'Residual-RosteredMATRIX-RN'!AO8)</f>
        <v/>
      </c>
      <c r="AR24" s="25" t="str">
        <f>IF('Residual-RosteredMATRIX-RN'!AP8=0,"",'Residual-RosteredMATRIX-RN'!AP8)</f>
        <v/>
      </c>
      <c r="AS24" s="25" t="str">
        <f>IF('Residual-RosteredMATRIX-RN'!AQ8=0,"",'Residual-RosteredMATRIX-RN'!AQ8)</f>
        <v/>
      </c>
      <c r="AT24" s="25" t="str">
        <f>IF('Residual-RosteredMATRIX-RN'!AR8=0,"",'Residual-RosteredMATRIX-RN'!AR8)</f>
        <v/>
      </c>
      <c r="AU24" s="25" t="str">
        <f>IF('Residual-RosteredMATRIX-RN'!AS8=0,"",'Residual-RosteredMATRIX-RN'!AS8)</f>
        <v/>
      </c>
      <c r="AV24" s="25" t="str">
        <f>IF('Residual-RosteredMATRIX-RN'!AT8=0,"",'Residual-RosteredMATRIX-RN'!AT8)</f>
        <v/>
      </c>
      <c r="AW24" s="25" t="str">
        <f>IF('Residual-RosteredMATRIX-RN'!AU8=0,"",'Residual-RosteredMATRIX-RN'!AU8)</f>
        <v/>
      </c>
    </row>
    <row r="25" spans="1:50" ht="15.75" customHeight="1" x14ac:dyDescent="0.25">
      <c r="A25" s="25" t="e">
        <f>'Residual-Rostered'!#REF!</f>
        <v>#REF!</v>
      </c>
      <c r="B25" s="33" t="str">
        <f>'Residual-RosteredMATRIX-RN'!D9</f>
        <v>Registered Nurse</v>
      </c>
      <c r="C25" s="33" t="str">
        <f>'Residual-RosteredMATRIX-RN'!C9</f>
        <v>Bandala, Joanna</v>
      </c>
      <c r="D25" s="34">
        <f>'Residual-RosteredMATRIX-RN'!E9</f>
        <v>48</v>
      </c>
      <c r="E25" s="14">
        <f>Max_HRS-Table3[[#This Row],[ROSTERED TIME]]</f>
        <v>28</v>
      </c>
      <c r="F25" s="14">
        <f t="shared" ref="F25:F26" si="6">SUM(H25:AV25)</f>
        <v>-7.5</v>
      </c>
      <c r="G25" s="14">
        <f>Table3[[#This Row],[ROSTERED TIME]]+Table3[[#This Row],[CHANGE TIME]]</f>
        <v>40.5</v>
      </c>
      <c r="H25" s="25" t="str">
        <f>IF('Residual-RosteredMATRIX-RN'!F9=0,"",'Residual-RosteredMATRIX-RN'!F9)</f>
        <v/>
      </c>
      <c r="I25" s="25" t="str">
        <f>IF('Residual-RosteredMATRIX-RN'!G9=0,"",'Residual-RosteredMATRIX-RN'!G9)</f>
        <v/>
      </c>
      <c r="J25" s="25" t="str">
        <f>IF('Residual-RosteredMATRIX-RN'!H9=0,"",'Residual-RosteredMATRIX-RN'!H9)</f>
        <v/>
      </c>
      <c r="K25" s="25" t="str">
        <f>IF('Residual-RosteredMATRIX-RN'!I9=0,"",'Residual-RosteredMATRIX-RN'!I9)</f>
        <v/>
      </c>
      <c r="L25" s="25" t="str">
        <f>IF('Residual-RosteredMATRIX-RN'!J9=0,"",'Residual-RosteredMATRIX-RN'!J9)</f>
        <v/>
      </c>
      <c r="M25" s="25" t="str">
        <f>IF('Residual-RosteredMATRIX-RN'!K9=0,"",'Residual-RosteredMATRIX-RN'!K9)</f>
        <v/>
      </c>
      <c r="N25" s="25" t="str">
        <f>IF('Residual-RosteredMATRIX-RN'!L9=0,"",'Residual-RosteredMATRIX-RN'!L9)</f>
        <v/>
      </c>
      <c r="O25" s="25" t="str">
        <f>IF('Residual-RosteredMATRIX-RN'!M9=0,"",'Residual-RosteredMATRIX-RN'!M9)</f>
        <v/>
      </c>
      <c r="P25" s="25" t="str">
        <f>IF('Residual-RosteredMATRIX-RN'!N9=0,"",'Residual-RosteredMATRIX-RN'!N9)</f>
        <v/>
      </c>
      <c r="Q25" s="25" t="str">
        <f>IF('Residual-RosteredMATRIX-RN'!O9=0,"",'Residual-RosteredMATRIX-RN'!O9)</f>
        <v/>
      </c>
      <c r="R25" s="25" t="str">
        <f>IF('Residual-RosteredMATRIX-RN'!P9=0,"",'Residual-RosteredMATRIX-RN'!P9)</f>
        <v/>
      </c>
      <c r="S25" s="25" t="str">
        <f>IF('Residual-RosteredMATRIX-RN'!Q9=0,"",'Residual-RosteredMATRIX-RN'!Q9)</f>
        <v/>
      </c>
      <c r="T25" s="25" t="str">
        <f>IF('Residual-RosteredMATRIX-RN'!R9=0,"",'Residual-RosteredMATRIX-RN'!R9)</f>
        <v>0/ 7.5</v>
      </c>
      <c r="U25" s="25" t="str">
        <f>IF('Residual-RosteredMATRIX-RN'!S9=0,"",'Residual-RosteredMATRIX-RN'!S9)</f>
        <v>0/ 0.5</v>
      </c>
      <c r="V25" s="25" t="str">
        <f>IF('Residual-RosteredMATRIX-RN'!T9=0,"",'Residual-RosteredMATRIX-RN'!T9)</f>
        <v/>
      </c>
      <c r="W25" s="25" t="str">
        <f>IF('Residual-RosteredMATRIX-RN'!U9=0,"",'Residual-RosteredMATRIX-RN'!U9)</f>
        <v>0/ 7.5</v>
      </c>
      <c r="X25" s="25" t="str">
        <f>IF('Residual-RosteredMATRIX-RN'!V9=0,"",'Residual-RosteredMATRIX-RN'!V9)</f>
        <v>0/ 0.5</v>
      </c>
      <c r="Y25" s="25" t="str">
        <f>IF('Residual-RosteredMATRIX-RN'!W9=0,"",'Residual-RosteredMATRIX-RN'!W9)</f>
        <v/>
      </c>
      <c r="Z25" s="25" t="str">
        <f>IF('Residual-RosteredMATRIX-RN'!X9=0,"",'Residual-RosteredMATRIX-RN'!X9)</f>
        <v>0/ 7.5</v>
      </c>
      <c r="AA25" s="25" t="str">
        <f>IF('Residual-RosteredMATRIX-RN'!Y9=0,"",'Residual-RosteredMATRIX-RN'!Y9)</f>
        <v>0/ 0.5</v>
      </c>
      <c r="AB25" s="25" t="str">
        <f>IF('Residual-RosteredMATRIX-RN'!Z9=0,"",'Residual-RosteredMATRIX-RN'!Z9)</f>
        <v/>
      </c>
      <c r="AC25" s="25" t="str">
        <f>IF('Residual-RosteredMATRIX-RN'!AA9=0,"",'Residual-RosteredMATRIX-RN'!AA9)</f>
        <v/>
      </c>
      <c r="AD25" s="25" t="str">
        <f>IF('Residual-RosteredMATRIX-RN'!AB9=0,"",'Residual-RosteredMATRIX-RN'!AB9)</f>
        <v/>
      </c>
      <c r="AE25" s="25" t="str">
        <f>IF('Residual-RosteredMATRIX-RN'!AC9=0,"",'Residual-RosteredMATRIX-RN'!AC9)</f>
        <v/>
      </c>
      <c r="AF25" s="25" t="str">
        <f>IF('Residual-RosteredMATRIX-RN'!AD9=0,"",'Residual-RosteredMATRIX-RN'!AD9)</f>
        <v/>
      </c>
      <c r="AG25" s="25" t="str">
        <f>IF('Residual-RosteredMATRIX-RN'!AE9=0,"",'Residual-RosteredMATRIX-RN'!AE9)</f>
        <v/>
      </c>
      <c r="AH25" s="25" t="str">
        <f>IF('Residual-RosteredMATRIX-RN'!AF9=0,"",'Residual-RosteredMATRIX-RN'!AF9)</f>
        <v/>
      </c>
      <c r="AI25" s="25" t="str">
        <f>IF('Residual-RosteredMATRIX-RN'!AG9=0,"",'Residual-RosteredMATRIX-RN'!AG9)</f>
        <v/>
      </c>
      <c r="AJ25" s="25" t="str">
        <f>IF('Residual-RosteredMATRIX-RN'!AH9=0,"",'Residual-RosteredMATRIX-RN'!AH9)</f>
        <v/>
      </c>
      <c r="AK25" s="25" t="str">
        <f>IF('Residual-RosteredMATRIX-RN'!AI9=0,"",'Residual-RosteredMATRIX-RN'!AI9)</f>
        <v/>
      </c>
      <c r="AL25" s="25" t="str">
        <f>IF('Residual-RosteredMATRIX-RN'!AJ9=0,"",'Residual-RosteredMATRIX-RN'!AJ9)</f>
        <v/>
      </c>
      <c r="AM25" s="25" t="str">
        <f>IF('Residual-RosteredMATRIX-RN'!AK9=0,"",'Residual-RosteredMATRIX-RN'!AK9)</f>
        <v/>
      </c>
      <c r="AN25" s="25" t="str">
        <f>IF('Residual-RosteredMATRIX-RN'!AL9=0,"",'Residual-RosteredMATRIX-RN'!AL9)</f>
        <v/>
      </c>
      <c r="AO25" s="25">
        <v>-7.5</v>
      </c>
      <c r="AP25" s="25" t="str">
        <f>IF('Residual-RosteredMATRIX-RN'!AN9=0,"",'Residual-RosteredMATRIX-RN'!AN9)</f>
        <v>0/ 0.5</v>
      </c>
      <c r="AQ25" s="25" t="str">
        <f>IF('Residual-RosteredMATRIX-RN'!AO9=0,"",'Residual-RosteredMATRIX-RN'!AO9)</f>
        <v/>
      </c>
      <c r="AR25" s="25" t="str">
        <f>IF('Residual-RosteredMATRIX-RN'!AP9=0,"",'Residual-RosteredMATRIX-RN'!AP9)</f>
        <v>0/ 7.5</v>
      </c>
      <c r="AS25" s="25" t="str">
        <f>IF('Residual-RosteredMATRIX-RN'!AQ9=0,"",'Residual-RosteredMATRIX-RN'!AQ9)</f>
        <v>0/ 0.5</v>
      </c>
      <c r="AT25" s="25" t="str">
        <f>IF('Residual-RosteredMATRIX-RN'!AR9=0,"",'Residual-RosteredMATRIX-RN'!AR9)</f>
        <v/>
      </c>
      <c r="AU25" s="25" t="str">
        <f>IF('Residual-RosteredMATRIX-RN'!AS9=0,"",'Residual-RosteredMATRIX-RN'!AS9)</f>
        <v>0/ 7.5</v>
      </c>
      <c r="AV25" s="25" t="str">
        <f>IF('Residual-RosteredMATRIX-RN'!AT9=0,"",'Residual-RosteredMATRIX-RN'!AT9)</f>
        <v>0/ 0.5</v>
      </c>
      <c r="AW25" s="25" t="str">
        <f>IF('Residual-RosteredMATRIX-RN'!AU9=0,"",'Residual-RosteredMATRIX-RN'!AU9)</f>
        <v/>
      </c>
    </row>
    <row r="26" spans="1:50" ht="15.75" customHeight="1" x14ac:dyDescent="0.25">
      <c r="A26" s="25" t="e">
        <f>'Residual-Rostered'!#REF!</f>
        <v>#REF!</v>
      </c>
      <c r="B26" s="33">
        <f>'Residual-RosteredMATRIX-RN'!D10</f>
        <v>0</v>
      </c>
      <c r="C26" s="33" t="s">
        <v>224</v>
      </c>
      <c r="D26" s="34">
        <f>'Residual-RosteredMATRIX-RN'!D10</f>
        <v>0</v>
      </c>
      <c r="E26" s="14">
        <f>Max_HRS-Table3[[#This Row],[ROSTERED TIME]]</f>
        <v>76</v>
      </c>
      <c r="F26" s="14">
        <f t="shared" si="6"/>
        <v>7.2</v>
      </c>
      <c r="G26" s="14">
        <f>Table3[[#This Row],[ROSTERED TIME]]+Table3[[#This Row],[CHANGE TIME]]</f>
        <v>7.2</v>
      </c>
      <c r="H26" s="25" t="str">
        <f>IF('Residual-RosteredMATRIX-RN'!E10=0,"",'Residual-RosteredMATRIX-RN'!E10)</f>
        <v/>
      </c>
      <c r="I26" s="25" t="str">
        <f>IF('Residual-RosteredMATRIX-RN'!F10=0,"",'Residual-RosteredMATRIX-RN'!F10)</f>
        <v/>
      </c>
      <c r="J26" s="25" t="str">
        <f>IF('Residual-RosteredMATRIX-RN'!G10=0,"",'Residual-RosteredMATRIX-RN'!G10)</f>
        <v/>
      </c>
      <c r="K26" s="25" t="str">
        <f>IF('Residual-RosteredMATRIX-RN'!H10=0,"",'Residual-RosteredMATRIX-RN'!H10)</f>
        <v/>
      </c>
      <c r="L26" s="25" t="str">
        <f>IF('Residual-RosteredMATRIX-RN'!I10=0,"",'Residual-RosteredMATRIX-RN'!I10)</f>
        <v/>
      </c>
      <c r="M26" s="25" t="str">
        <f>IF('Residual-RosteredMATRIX-RN'!J10=0,"",'Residual-RosteredMATRIX-RN'!J10)</f>
        <v/>
      </c>
      <c r="N26" s="25" t="str">
        <f>IF('Residual-RosteredMATRIX-RN'!K10=0,"",'Residual-RosteredMATRIX-RN'!K10)</f>
        <v/>
      </c>
      <c r="O26" s="25"/>
      <c r="P26" s="25" t="str">
        <f>IF('Residual-RosteredMATRIX-RN'!M10=0,"",'Residual-RosteredMATRIX-RN'!M10)</f>
        <v/>
      </c>
      <c r="Q26" s="25" t="str">
        <f>IF('Residual-RosteredMATRIX-RN'!N10=0,"",'Residual-RosteredMATRIX-RN'!N10)</f>
        <v/>
      </c>
      <c r="R26" s="25"/>
      <c r="S26" s="25" t="str">
        <f>IF('Residual-RosteredMATRIX-RN'!P10=0,"",'Residual-RosteredMATRIX-RN'!P10)</f>
        <v/>
      </c>
      <c r="T26" s="25" t="str">
        <f>IF('Residual-RosteredMATRIX-RN'!Q10=0,"",'Residual-RosteredMATRIX-RN'!Q10)</f>
        <v/>
      </c>
      <c r="U26" s="25" t="str">
        <f>IF('Residual-RosteredMATRIX-RN'!R10=0,"",'Residual-RosteredMATRIX-RN'!R10)</f>
        <v/>
      </c>
      <c r="V26" s="25" t="str">
        <f>IF('Residual-RosteredMATRIX-RN'!S10=0,"",'Residual-RosteredMATRIX-RN'!S10)</f>
        <v/>
      </c>
      <c r="W26" s="25">
        <v>7.2</v>
      </c>
      <c r="X26" s="25" t="str">
        <f>IF('Residual-RosteredMATRIX-RN'!U10=0,"",'Residual-RosteredMATRIX-RN'!U10)</f>
        <v/>
      </c>
      <c r="Y26" s="25" t="str">
        <f>IF('Residual-RosteredMATRIX-RN'!V10=0,"",'Residual-RosteredMATRIX-RN'!V10)</f>
        <v/>
      </c>
      <c r="Z26" s="25" t="str">
        <f>IF('Residual-RosteredMATRIX-RN'!W10=0,"",'Residual-RosteredMATRIX-RN'!W10)</f>
        <v/>
      </c>
      <c r="AA26" s="25" t="str">
        <f>IF('Residual-RosteredMATRIX-RN'!X10=0,"",'Residual-RosteredMATRIX-RN'!X10)</f>
        <v/>
      </c>
      <c r="AB26" s="25" t="str">
        <f>IF('Residual-RosteredMATRIX-RN'!Y10=0,"",'Residual-RosteredMATRIX-RN'!Y10)</f>
        <v/>
      </c>
      <c r="AC26" s="25" t="str">
        <f>IF('Residual-RosteredMATRIX-RN'!Z10=0,"",'Residual-RosteredMATRIX-RN'!Z10)</f>
        <v/>
      </c>
      <c r="AD26" s="25" t="str">
        <f>IF('Residual-RosteredMATRIX-RN'!AA10=0,"",'Residual-RosteredMATRIX-RN'!AA10)</f>
        <v/>
      </c>
      <c r="AE26" s="25" t="str">
        <f>IF('Residual-RosteredMATRIX-RN'!AB10=0,"",'Residual-RosteredMATRIX-RN'!AB10)</f>
        <v/>
      </c>
      <c r="AF26" s="25" t="str">
        <f>IF('Residual-RosteredMATRIX-RN'!AC10=0,"",'Residual-RosteredMATRIX-RN'!AC10)</f>
        <v/>
      </c>
      <c r="AG26" s="25"/>
      <c r="AH26" s="25" t="str">
        <f>IF('Residual-RosteredMATRIX-RN'!AE10=0,"",'Residual-RosteredMATRIX-RN'!AE10)</f>
        <v/>
      </c>
      <c r="AI26" s="25" t="str">
        <f>IF('Residual-RosteredMATRIX-RN'!AF10=0,"",'Residual-RosteredMATRIX-RN'!AF10)</f>
        <v/>
      </c>
      <c r="AJ26" s="25"/>
      <c r="AK26" s="25"/>
      <c r="AL26" s="25" t="str">
        <f>IF('Residual-RosteredMATRIX-RN'!AI10=0,"",'Residual-RosteredMATRIX-RN'!AI10)</f>
        <v/>
      </c>
      <c r="AM26" s="25" t="str">
        <f>IF('Residual-RosteredMATRIX-RN'!AJ10=0,"",'Residual-RosteredMATRIX-RN'!AJ10)</f>
        <v/>
      </c>
      <c r="AN26" s="25" t="str">
        <f>IF('Residual-RosteredMATRIX-RN'!AK10=0,"",'Residual-RosteredMATRIX-RN'!AK10)</f>
        <v/>
      </c>
      <c r="AO26" s="25" t="str">
        <f>IF('Residual-RosteredMATRIX-RN'!AL10=0,"",'Residual-RosteredMATRIX-RN'!AL10)</f>
        <v/>
      </c>
      <c r="AP26" s="25" t="str">
        <f>IF('Residual-RosteredMATRIX-RN'!AM10=0,"",'Residual-RosteredMATRIX-RN'!AM10)</f>
        <v/>
      </c>
      <c r="AQ26" s="25" t="str">
        <f>IF('Residual-RosteredMATRIX-RN'!AN10=0,"",'Residual-RosteredMATRIX-RN'!AN10)</f>
        <v/>
      </c>
      <c r="AR26" s="25" t="str">
        <f>IF('Residual-RosteredMATRIX-RN'!AO10=0,"",'Residual-RosteredMATRIX-RN'!AO10)</f>
        <v/>
      </c>
      <c r="AS26" s="25" t="str">
        <f>IF('Residual-RosteredMATRIX-RN'!AP10=0,"",'Residual-RosteredMATRIX-RN'!AP10)</f>
        <v/>
      </c>
      <c r="AT26" s="25" t="str">
        <f>IF('Residual-RosteredMATRIX-RN'!AQ10=0,"",'Residual-RosteredMATRIX-RN'!AQ10)</f>
        <v/>
      </c>
      <c r="AU26" s="25" t="str">
        <f>IF('Residual-RosteredMATRIX-RN'!AR10=0,"",'Residual-RosteredMATRIX-RN'!AR10)</f>
        <v/>
      </c>
      <c r="AV26" s="25" t="str">
        <f>IF('Residual-RosteredMATRIX-RN'!AS10=0,"",'Residual-RosteredMATRIX-RN'!AS10)</f>
        <v/>
      </c>
      <c r="AW26" s="25" t="str">
        <f>IF('Residual-RosteredMATRIX-RN'!AT10=0,"",'Residual-RosteredMATRIX-RN'!AT10)</f>
        <v/>
      </c>
    </row>
    <row r="27" spans="1:50" ht="15.75" customHeight="1" x14ac:dyDescent="0.25">
      <c r="A27" s="25" t="e">
        <f>'Residual-Rostered'!#REF!</f>
        <v>#REF!</v>
      </c>
      <c r="B27" s="33">
        <f>'Residual-RosteredMATRIX-RN'!D11</f>
        <v>0</v>
      </c>
      <c r="C27" s="33">
        <f>'Residual-RosteredMATRIX-RN'!B11</f>
        <v>0</v>
      </c>
      <c r="D27" s="34">
        <f>'Residual-RosteredMATRIX-RN'!D11</f>
        <v>0</v>
      </c>
      <c r="E27" s="14">
        <f>Max_HRS-Table3[[#This Row],[ROSTERED TIME]]</f>
        <v>76</v>
      </c>
      <c r="F27" s="14">
        <f t="shared" si="5"/>
        <v>0</v>
      </c>
      <c r="G27" s="14">
        <f>Table3[[#This Row],[ROSTERED TIME]]+Table3[[#This Row],[CHANGE TIME]]</f>
        <v>0</v>
      </c>
      <c r="H27" s="25" t="str">
        <f>IF('Residual-RosteredMATRIX-RN'!E11=0,"",'Residual-RosteredMATRIX-RN'!E11)</f>
        <v/>
      </c>
      <c r="I27" s="25" t="str">
        <f>IF('Residual-RosteredMATRIX-RN'!F11=0,"",'Residual-RosteredMATRIX-RN'!F11)</f>
        <v/>
      </c>
      <c r="J27" s="25" t="str">
        <f>IF('Residual-RosteredMATRIX-RN'!G11=0,"",'Residual-RosteredMATRIX-RN'!G11)</f>
        <v/>
      </c>
      <c r="K27" s="25" t="str">
        <f>IF('Residual-RosteredMATRIX-RN'!H11=0,"",'Residual-RosteredMATRIX-RN'!H11)</f>
        <v/>
      </c>
      <c r="L27" s="25" t="str">
        <f>IF('Residual-RosteredMATRIX-RN'!I11=0,"",'Residual-RosteredMATRIX-RN'!I11)</f>
        <v/>
      </c>
      <c r="M27" s="25" t="str">
        <f>IF('Residual-RosteredMATRIX-RN'!J11=0,"",'Residual-RosteredMATRIX-RN'!J11)</f>
        <v/>
      </c>
      <c r="N27" s="25" t="str">
        <f>IF('Residual-RosteredMATRIX-RN'!K11=0,"",'Residual-RosteredMATRIX-RN'!K11)</f>
        <v/>
      </c>
      <c r="O27" s="25" t="str">
        <f>IF('Residual-RosteredMATRIX-RN'!L11=0,"",'Residual-RosteredMATRIX-RN'!L11)</f>
        <v/>
      </c>
      <c r="P27" s="25" t="str">
        <f>IF('Residual-RosteredMATRIX-RN'!M11=0,"",'Residual-RosteredMATRIX-RN'!M11)</f>
        <v/>
      </c>
      <c r="Q27" s="25" t="str">
        <f>IF('Residual-RosteredMATRIX-RN'!N11=0,"",'Residual-RosteredMATRIX-RN'!N11)</f>
        <v/>
      </c>
      <c r="R27" s="25" t="str">
        <f>IF('Residual-RosteredMATRIX-RN'!O11=0,"",'Residual-RosteredMATRIX-RN'!O11)</f>
        <v/>
      </c>
      <c r="S27" s="25" t="str">
        <f>IF('Residual-RosteredMATRIX-RN'!P11=0,"",'Residual-RosteredMATRIX-RN'!P11)</f>
        <v/>
      </c>
      <c r="T27" s="25" t="str">
        <f>IF('Residual-RosteredMATRIX-RN'!Q11=0,"",'Residual-RosteredMATRIX-RN'!Q11)</f>
        <v/>
      </c>
      <c r="U27" s="25" t="str">
        <f>IF('Residual-RosteredMATRIX-RN'!R11=0,"",'Residual-RosteredMATRIX-RN'!R11)</f>
        <v/>
      </c>
      <c r="V27" s="25" t="str">
        <f>IF('Residual-RosteredMATRIX-RN'!S11=0,"",'Residual-RosteredMATRIX-RN'!S11)</f>
        <v/>
      </c>
      <c r="W27" s="25" t="str">
        <f>IF('Residual-RosteredMATRIX-RN'!T11=0,"",'Residual-RosteredMATRIX-RN'!T11)</f>
        <v/>
      </c>
      <c r="X27" s="25" t="str">
        <f>IF('Residual-RosteredMATRIX-RN'!U11=0,"",'Residual-RosteredMATRIX-RN'!U11)</f>
        <v/>
      </c>
      <c r="Y27" s="25" t="str">
        <f>IF('Residual-RosteredMATRIX-RN'!V11=0,"",'Residual-RosteredMATRIX-RN'!V11)</f>
        <v/>
      </c>
      <c r="Z27" s="25" t="str">
        <f>IF('Residual-RosteredMATRIX-RN'!W11=0,"",'Residual-RosteredMATRIX-RN'!W11)</f>
        <v/>
      </c>
      <c r="AA27" s="25" t="str">
        <f>IF('Residual-RosteredMATRIX-RN'!X11=0,"",'Residual-RosteredMATRIX-RN'!X11)</f>
        <v/>
      </c>
      <c r="AB27" s="25" t="str">
        <f>IF('Residual-RosteredMATRIX-RN'!Y11=0,"",'Residual-RosteredMATRIX-RN'!Y11)</f>
        <v/>
      </c>
      <c r="AC27" s="25" t="str">
        <f>IF('Residual-RosteredMATRIX-RN'!Z11=0,"",'Residual-RosteredMATRIX-RN'!Z11)</f>
        <v/>
      </c>
      <c r="AD27" s="25" t="str">
        <f>IF('Residual-RosteredMATRIX-RN'!AA11=0,"",'Residual-RosteredMATRIX-RN'!AA11)</f>
        <v/>
      </c>
      <c r="AE27" s="25" t="str">
        <f>IF('Residual-RosteredMATRIX-RN'!AB11=0,"",'Residual-RosteredMATRIX-RN'!AB11)</f>
        <v/>
      </c>
      <c r="AF27" s="25" t="str">
        <f>IF('Residual-RosteredMATRIX-RN'!AC11=0,"",'Residual-RosteredMATRIX-RN'!AC11)</f>
        <v/>
      </c>
      <c r="AG27" s="25" t="str">
        <f>IF('Residual-RosteredMATRIX-RN'!AD11=0,"",'Residual-RosteredMATRIX-RN'!AD11)</f>
        <v/>
      </c>
      <c r="AH27" s="25" t="str">
        <f>IF('Residual-RosteredMATRIX-RN'!AE11=0,"",'Residual-RosteredMATRIX-RN'!AE11)</f>
        <v/>
      </c>
      <c r="AI27" s="25" t="str">
        <f>IF('Residual-RosteredMATRIX-RN'!AF11=0,"",'Residual-RosteredMATRIX-RN'!AF11)</f>
        <v/>
      </c>
      <c r="AJ27" s="25" t="str">
        <f>IF('Residual-RosteredMATRIX-RN'!AG11=0,"",'Residual-RosteredMATRIX-RN'!AG11)</f>
        <v/>
      </c>
      <c r="AK27" s="25" t="str">
        <f>IF('Residual-RosteredMATRIX-RN'!AH11=0,"",'Residual-RosteredMATRIX-RN'!AH11)</f>
        <v/>
      </c>
      <c r="AL27" s="25" t="str">
        <f>IF('Residual-RosteredMATRIX-RN'!AI11=0,"",'Residual-RosteredMATRIX-RN'!AI11)</f>
        <v/>
      </c>
      <c r="AM27" s="25" t="str">
        <f>IF('Residual-RosteredMATRIX-RN'!AJ11=0,"",'Residual-RosteredMATRIX-RN'!AJ11)</f>
        <v/>
      </c>
      <c r="AN27" s="25" t="str">
        <f>IF('Residual-RosteredMATRIX-RN'!AK11=0,"",'Residual-RosteredMATRIX-RN'!AK11)</f>
        <v/>
      </c>
      <c r="AO27" s="25" t="str">
        <f>IF('Residual-RosteredMATRIX-RN'!AL11=0,"",'Residual-RosteredMATRIX-RN'!AL11)</f>
        <v/>
      </c>
      <c r="AP27" s="25" t="str">
        <f>IF('Residual-RosteredMATRIX-RN'!AM11=0,"",'Residual-RosteredMATRIX-RN'!AM11)</f>
        <v/>
      </c>
      <c r="AQ27" s="25" t="str">
        <f>IF('Residual-RosteredMATRIX-RN'!AN11=0,"",'Residual-RosteredMATRIX-RN'!AN11)</f>
        <v/>
      </c>
      <c r="AR27" s="25" t="str">
        <f>IF('Residual-RosteredMATRIX-RN'!AO11=0,"",'Residual-RosteredMATRIX-RN'!AO11)</f>
        <v/>
      </c>
      <c r="AS27" s="25" t="str">
        <f>IF('Residual-RosteredMATRIX-RN'!AP11=0,"",'Residual-RosteredMATRIX-RN'!AP11)</f>
        <v/>
      </c>
      <c r="AT27" s="25" t="str">
        <f>IF('Residual-RosteredMATRIX-RN'!AQ11=0,"",'Residual-RosteredMATRIX-RN'!AQ11)</f>
        <v/>
      </c>
      <c r="AU27" s="25" t="str">
        <f>IF('Residual-RosteredMATRIX-RN'!AR11=0,"",'Residual-RosteredMATRIX-RN'!AR11)</f>
        <v/>
      </c>
      <c r="AV27" s="25" t="str">
        <f>IF('Residual-RosteredMATRIX-RN'!AS11=0,"",'Residual-RosteredMATRIX-RN'!AS11)</f>
        <v/>
      </c>
      <c r="AW27" s="25" t="str">
        <f>IF('Residual-RosteredMATRIX-RN'!AT11=0,"",'Residual-RosteredMATRIX-RN'!AT11)</f>
        <v/>
      </c>
    </row>
    <row r="28" spans="1:50" ht="15.75" customHeight="1" x14ac:dyDescent="0.25">
      <c r="A28" s="25" t="e">
        <f>'Residual-Rostered'!#REF!</f>
        <v>#REF!</v>
      </c>
      <c r="B28" s="33">
        <f>'Residual-RosteredMATRIX-RN'!C12</f>
        <v>0</v>
      </c>
      <c r="C28" s="33">
        <f>'Residual-RosteredMATRIX-RN'!B12</f>
        <v>0</v>
      </c>
      <c r="D28" s="34">
        <f>'Residual-RosteredMATRIX-RN'!D12</f>
        <v>0</v>
      </c>
      <c r="E28" s="14">
        <f>Max_HRS-Table3[[#This Row],[ROSTERED TIME]]</f>
        <v>76</v>
      </c>
      <c r="F28" s="14">
        <f t="shared" si="5"/>
        <v>0</v>
      </c>
      <c r="G28" s="14">
        <f>Table3[[#This Row],[ROSTERED TIME]]+Table3[[#This Row],[CHANGE TIME]]</f>
        <v>0</v>
      </c>
      <c r="H28" s="25" t="str">
        <f>IF('Residual-RosteredMATRIX-RN'!E12=0,"",'Residual-RosteredMATRIX-RN'!E12)</f>
        <v/>
      </c>
      <c r="I28" s="25" t="str">
        <f>IF('Residual-RosteredMATRIX-RN'!F12=0,"",'Residual-RosteredMATRIX-RN'!F12)</f>
        <v/>
      </c>
      <c r="J28" s="25" t="str">
        <f>IF('Residual-RosteredMATRIX-RN'!G12=0,"",'Residual-RosteredMATRIX-RN'!G12)</f>
        <v/>
      </c>
      <c r="K28" s="25" t="str">
        <f>IF('Residual-RosteredMATRIX-RN'!H12=0,"",'Residual-RosteredMATRIX-RN'!H12)</f>
        <v/>
      </c>
      <c r="L28" s="25" t="str">
        <f>IF('Residual-RosteredMATRIX-RN'!I12=0,"",'Residual-RosteredMATRIX-RN'!I12)</f>
        <v/>
      </c>
      <c r="M28" s="25" t="str">
        <f>IF('Residual-RosteredMATRIX-RN'!J12=0,"",'Residual-RosteredMATRIX-RN'!J12)</f>
        <v/>
      </c>
      <c r="N28" s="25" t="str">
        <f>IF('Residual-RosteredMATRIX-RN'!K12=0,"",'Residual-RosteredMATRIX-RN'!K12)</f>
        <v/>
      </c>
      <c r="O28" s="25" t="str">
        <f>IF('Residual-RosteredMATRIX-RN'!L12=0,"",'Residual-RosteredMATRIX-RN'!L12)</f>
        <v/>
      </c>
      <c r="P28" s="25" t="str">
        <f>IF('Residual-RosteredMATRIX-RN'!M12=0,"",'Residual-RosteredMATRIX-RN'!M12)</f>
        <v/>
      </c>
      <c r="Q28" s="25" t="str">
        <f>IF('Residual-RosteredMATRIX-RN'!N12=0,"",'Residual-RosteredMATRIX-RN'!N12)</f>
        <v/>
      </c>
      <c r="R28" s="25" t="str">
        <f>IF('Residual-RosteredMATRIX-RN'!O12=0,"",'Residual-RosteredMATRIX-RN'!O12)</f>
        <v/>
      </c>
      <c r="S28" s="25" t="str">
        <f>IF('Residual-RosteredMATRIX-RN'!P12=0,"",'Residual-RosteredMATRIX-RN'!P12)</f>
        <v/>
      </c>
      <c r="T28" s="25" t="str">
        <f>IF('Residual-RosteredMATRIX-RN'!Q12=0,"",'Residual-RosteredMATRIX-RN'!Q12)</f>
        <v/>
      </c>
      <c r="U28" s="25" t="str">
        <f>IF('Residual-RosteredMATRIX-RN'!R12=0,"",'Residual-RosteredMATRIX-RN'!R12)</f>
        <v/>
      </c>
      <c r="V28" s="25" t="str">
        <f>IF('Residual-RosteredMATRIX-RN'!S12=0,"",'Residual-RosteredMATRIX-RN'!S12)</f>
        <v/>
      </c>
      <c r="W28" s="25" t="str">
        <f>IF('Residual-RosteredMATRIX-RN'!T12=0,"",'Residual-RosteredMATRIX-RN'!T12)</f>
        <v/>
      </c>
      <c r="X28" s="25" t="str">
        <f>IF('Residual-RosteredMATRIX-RN'!U12=0,"",'Residual-RosteredMATRIX-RN'!U12)</f>
        <v/>
      </c>
      <c r="Y28" s="25" t="str">
        <f>IF('Residual-RosteredMATRIX-RN'!V12=0,"",'Residual-RosteredMATRIX-RN'!V12)</f>
        <v/>
      </c>
      <c r="Z28" s="25" t="str">
        <f>IF('Residual-RosteredMATRIX-RN'!W12=0,"",'Residual-RosteredMATRIX-RN'!W12)</f>
        <v/>
      </c>
      <c r="AA28" s="25" t="str">
        <f>IF('Residual-RosteredMATRIX-RN'!X12=0,"",'Residual-RosteredMATRIX-RN'!X12)</f>
        <v/>
      </c>
      <c r="AB28" s="25" t="str">
        <f>IF('Residual-RosteredMATRIX-RN'!Y12=0,"",'Residual-RosteredMATRIX-RN'!Y12)</f>
        <v/>
      </c>
      <c r="AC28" s="25" t="str">
        <f>IF('Residual-RosteredMATRIX-RN'!Z12=0,"",'Residual-RosteredMATRIX-RN'!Z12)</f>
        <v/>
      </c>
      <c r="AD28" s="25" t="str">
        <f>IF('Residual-RosteredMATRIX-RN'!AA12=0,"",'Residual-RosteredMATRIX-RN'!AA12)</f>
        <v/>
      </c>
      <c r="AE28" s="25" t="str">
        <f>IF('Residual-RosteredMATRIX-RN'!AB12=0,"",'Residual-RosteredMATRIX-RN'!AB12)</f>
        <v/>
      </c>
      <c r="AF28" s="25" t="str">
        <f>IF('Residual-RosteredMATRIX-RN'!AC12=0,"",'Residual-RosteredMATRIX-RN'!AC12)</f>
        <v/>
      </c>
      <c r="AG28" s="25" t="str">
        <f>IF('Residual-RosteredMATRIX-RN'!AD12=0,"",'Residual-RosteredMATRIX-RN'!AD12)</f>
        <v/>
      </c>
      <c r="AH28" s="25" t="str">
        <f>IF('Residual-RosteredMATRIX-RN'!AE12=0,"",'Residual-RosteredMATRIX-RN'!AE12)</f>
        <v/>
      </c>
      <c r="AI28" s="25" t="str">
        <f>IF('Residual-RosteredMATRIX-RN'!AF12=0,"",'Residual-RosteredMATRIX-RN'!AF12)</f>
        <v/>
      </c>
      <c r="AJ28" s="25" t="str">
        <f>IF('Residual-RosteredMATRIX-RN'!AG12=0,"",'Residual-RosteredMATRIX-RN'!AG12)</f>
        <v/>
      </c>
      <c r="AK28" s="25" t="str">
        <f>IF('Residual-RosteredMATRIX-RN'!AH12=0,"",'Residual-RosteredMATRIX-RN'!AH12)</f>
        <v/>
      </c>
      <c r="AL28" s="25" t="str">
        <f>IF('Residual-RosteredMATRIX-RN'!AI12=0,"",'Residual-RosteredMATRIX-RN'!AI12)</f>
        <v/>
      </c>
      <c r="AM28" s="25" t="str">
        <f>IF('Residual-RosteredMATRIX-RN'!AJ12=0,"",'Residual-RosteredMATRIX-RN'!AJ12)</f>
        <v/>
      </c>
      <c r="AN28" s="25" t="str">
        <f>IF('Residual-RosteredMATRIX-RN'!AK12=0,"",'Residual-RosteredMATRIX-RN'!AK12)</f>
        <v/>
      </c>
      <c r="AO28" s="25" t="str">
        <f>IF('Residual-RosteredMATRIX-RN'!AL12=0,"",'Residual-RosteredMATRIX-RN'!AL12)</f>
        <v/>
      </c>
      <c r="AP28" s="25" t="str">
        <f>IF('Residual-RosteredMATRIX-RN'!AM12=0,"",'Residual-RosteredMATRIX-RN'!AM12)</f>
        <v/>
      </c>
      <c r="AQ28" s="25" t="str">
        <f>IF('Residual-RosteredMATRIX-RN'!AN12=0,"",'Residual-RosteredMATRIX-RN'!AN12)</f>
        <v/>
      </c>
      <c r="AR28" s="25" t="str">
        <f>IF('Residual-RosteredMATRIX-RN'!AO12=0,"",'Residual-RosteredMATRIX-RN'!AO12)</f>
        <v/>
      </c>
      <c r="AS28" s="25" t="str">
        <f>IF('Residual-RosteredMATRIX-RN'!AP12=0,"",'Residual-RosteredMATRIX-RN'!AP12)</f>
        <v/>
      </c>
      <c r="AT28" s="25" t="str">
        <f>IF('Residual-RosteredMATRIX-RN'!AQ12=0,"",'Residual-RosteredMATRIX-RN'!AQ12)</f>
        <v/>
      </c>
      <c r="AU28" s="25" t="str">
        <f>IF('Residual-RosteredMATRIX-RN'!AR12=0,"",'Residual-RosteredMATRIX-RN'!AR12)</f>
        <v/>
      </c>
      <c r="AV28" s="25" t="str">
        <f>IF('Residual-RosteredMATRIX-RN'!AS12=0,"",'Residual-RosteredMATRIX-RN'!AS12)</f>
        <v/>
      </c>
      <c r="AW28" s="25" t="str">
        <f>IF('Residual-RosteredMATRIX-RN'!AT12=0,"",'Residual-RosteredMATRIX-RN'!AT12)</f>
        <v/>
      </c>
    </row>
    <row r="29" spans="1:50" ht="15.75" customHeight="1" x14ac:dyDescent="0.25">
      <c r="A29" s="25" t="e">
        <f>'Residual-Rostered'!#REF!</f>
        <v>#REF!</v>
      </c>
      <c r="B29" s="33">
        <f>'Residual-RosteredMATRIX-RN'!C13</f>
        <v>0</v>
      </c>
      <c r="C29" s="33">
        <f>'Residual-RosteredMATRIX-RN'!B13</f>
        <v>0</v>
      </c>
      <c r="D29" s="34">
        <f>'Residual-RosteredMATRIX-RN'!D13</f>
        <v>0</v>
      </c>
      <c r="E29" s="14">
        <f>Max_HRS-Table3[[#This Row],[ROSTERED TIME]]</f>
        <v>76</v>
      </c>
      <c r="F29" s="14">
        <f t="shared" si="5"/>
        <v>0</v>
      </c>
      <c r="G29" s="14">
        <f>Table3[[#This Row],[ROSTERED TIME]]+Table3[[#This Row],[CHANGE TIME]]</f>
        <v>0</v>
      </c>
      <c r="H29" s="25" t="str">
        <f>IF('Residual-RosteredMATRIX-RN'!E13=0,"",'Residual-RosteredMATRIX-RN'!E13)</f>
        <v/>
      </c>
      <c r="I29" s="25" t="str">
        <f>IF('Residual-RosteredMATRIX-RN'!F13=0,"",'Residual-RosteredMATRIX-RN'!F13)</f>
        <v/>
      </c>
      <c r="J29" s="25" t="str">
        <f>IF('Residual-RosteredMATRIX-RN'!G13=0,"",'Residual-RosteredMATRIX-RN'!G13)</f>
        <v/>
      </c>
      <c r="K29" s="25" t="str">
        <f>IF('Residual-RosteredMATRIX-RN'!H13=0,"",'Residual-RosteredMATRIX-RN'!H13)</f>
        <v/>
      </c>
      <c r="L29" s="25" t="str">
        <f>IF('Residual-RosteredMATRIX-RN'!I13=0,"",'Residual-RosteredMATRIX-RN'!I13)</f>
        <v/>
      </c>
      <c r="M29" s="25" t="str">
        <f>IF('Residual-RosteredMATRIX-RN'!J13=0,"",'Residual-RosteredMATRIX-RN'!J13)</f>
        <v/>
      </c>
      <c r="N29" s="25" t="str">
        <f>IF('Residual-RosteredMATRIX-RN'!K13=0,"",'Residual-RosteredMATRIX-RN'!K13)</f>
        <v/>
      </c>
      <c r="O29" s="25" t="str">
        <f>IF('Residual-RosteredMATRIX-RN'!L13=0,"",'Residual-RosteredMATRIX-RN'!L13)</f>
        <v/>
      </c>
      <c r="P29" s="25" t="str">
        <f>IF('Residual-RosteredMATRIX-RN'!M13=0,"",'Residual-RosteredMATRIX-RN'!M13)</f>
        <v/>
      </c>
      <c r="Q29" s="25" t="str">
        <f>IF('Residual-RosteredMATRIX-RN'!N13=0,"",'Residual-RosteredMATRIX-RN'!N13)</f>
        <v/>
      </c>
      <c r="R29" s="25" t="str">
        <f>IF('Residual-RosteredMATRIX-RN'!O13=0,"",'Residual-RosteredMATRIX-RN'!O13)</f>
        <v/>
      </c>
      <c r="S29" s="25" t="str">
        <f>IF('Residual-RosteredMATRIX-RN'!P13=0,"",'Residual-RosteredMATRIX-RN'!P13)</f>
        <v/>
      </c>
      <c r="T29" s="25" t="str">
        <f>IF('Residual-RosteredMATRIX-RN'!Q13=0,"",'Residual-RosteredMATRIX-RN'!Q13)</f>
        <v/>
      </c>
      <c r="U29" s="25" t="str">
        <f>IF('Residual-RosteredMATRIX-RN'!R13=0,"",'Residual-RosteredMATRIX-RN'!R13)</f>
        <v/>
      </c>
      <c r="V29" s="25" t="str">
        <f>IF('Residual-RosteredMATRIX-RN'!S13=0,"",'Residual-RosteredMATRIX-RN'!S13)</f>
        <v/>
      </c>
      <c r="W29" s="25" t="str">
        <f>IF('Residual-RosteredMATRIX-RN'!T13=0,"",'Residual-RosteredMATRIX-RN'!T13)</f>
        <v/>
      </c>
      <c r="X29" s="25" t="str">
        <f>IF('Residual-RosteredMATRIX-RN'!U13=0,"",'Residual-RosteredMATRIX-RN'!U13)</f>
        <v/>
      </c>
      <c r="Y29" s="25" t="str">
        <f>IF('Residual-RosteredMATRIX-RN'!V13=0,"",'Residual-RosteredMATRIX-RN'!V13)</f>
        <v/>
      </c>
      <c r="Z29" s="25" t="str">
        <f>IF('Residual-RosteredMATRIX-RN'!W13=0,"",'Residual-RosteredMATRIX-RN'!W13)</f>
        <v/>
      </c>
      <c r="AA29" s="25" t="str">
        <f>IF('Residual-RosteredMATRIX-RN'!X13=0,"",'Residual-RosteredMATRIX-RN'!X13)</f>
        <v/>
      </c>
      <c r="AB29" s="25" t="str">
        <f>IF('Residual-RosteredMATRIX-RN'!Y13=0,"",'Residual-RosteredMATRIX-RN'!Y13)</f>
        <v/>
      </c>
      <c r="AC29" s="25" t="str">
        <f>IF('Residual-RosteredMATRIX-RN'!Z13=0,"",'Residual-RosteredMATRIX-RN'!Z13)</f>
        <v/>
      </c>
      <c r="AD29" s="25" t="str">
        <f>IF('Residual-RosteredMATRIX-RN'!AA13=0,"",'Residual-RosteredMATRIX-RN'!AA13)</f>
        <v/>
      </c>
      <c r="AE29" s="25" t="str">
        <f>IF('Residual-RosteredMATRIX-RN'!AB13=0,"",'Residual-RosteredMATRIX-RN'!AB13)</f>
        <v/>
      </c>
      <c r="AF29" s="25" t="str">
        <f>IF('Residual-RosteredMATRIX-RN'!AC13=0,"",'Residual-RosteredMATRIX-RN'!AC13)</f>
        <v/>
      </c>
      <c r="AG29" s="25" t="str">
        <f>IF('Residual-RosteredMATRIX-RN'!AD13=0,"",'Residual-RosteredMATRIX-RN'!AD13)</f>
        <v/>
      </c>
      <c r="AH29" s="25" t="str">
        <f>IF('Residual-RosteredMATRIX-RN'!AE13=0,"",'Residual-RosteredMATRIX-RN'!AE13)</f>
        <v/>
      </c>
      <c r="AI29" s="25" t="str">
        <f>IF('Residual-RosteredMATRIX-RN'!AF13=0,"",'Residual-RosteredMATRIX-RN'!AF13)</f>
        <v/>
      </c>
      <c r="AJ29" s="25" t="str">
        <f>IF('Residual-RosteredMATRIX-RN'!AG13=0,"",'Residual-RosteredMATRIX-RN'!AG13)</f>
        <v/>
      </c>
      <c r="AK29" s="25" t="str">
        <f>IF('Residual-RosteredMATRIX-RN'!AH13=0,"",'Residual-RosteredMATRIX-RN'!AH13)</f>
        <v/>
      </c>
      <c r="AL29" s="25" t="str">
        <f>IF('Residual-RosteredMATRIX-RN'!AI13=0,"",'Residual-RosteredMATRIX-RN'!AI13)</f>
        <v/>
      </c>
      <c r="AM29" s="25" t="str">
        <f>IF('Residual-RosteredMATRIX-RN'!AJ13=0,"",'Residual-RosteredMATRIX-RN'!AJ13)</f>
        <v/>
      </c>
      <c r="AN29" s="25" t="str">
        <f>IF('Residual-RosteredMATRIX-RN'!AK13=0,"",'Residual-RosteredMATRIX-RN'!AK13)</f>
        <v/>
      </c>
      <c r="AO29" s="25" t="str">
        <f>IF('Residual-RosteredMATRIX-RN'!AL13=0,"",'Residual-RosteredMATRIX-RN'!AL13)</f>
        <v/>
      </c>
      <c r="AP29" s="25" t="str">
        <f>IF('Residual-RosteredMATRIX-RN'!AM13=0,"",'Residual-RosteredMATRIX-RN'!AM13)</f>
        <v/>
      </c>
      <c r="AQ29" s="25" t="str">
        <f>IF('Residual-RosteredMATRIX-RN'!AN13=0,"",'Residual-RosteredMATRIX-RN'!AN13)</f>
        <v/>
      </c>
      <c r="AR29" s="25" t="str">
        <f>IF('Residual-RosteredMATRIX-RN'!AO13=0,"",'Residual-RosteredMATRIX-RN'!AO13)</f>
        <v/>
      </c>
      <c r="AS29" s="25" t="str">
        <f>IF('Residual-RosteredMATRIX-RN'!AP13=0,"",'Residual-RosteredMATRIX-RN'!AP13)</f>
        <v/>
      </c>
      <c r="AT29" s="25" t="str">
        <f>IF('Residual-RosteredMATRIX-RN'!AQ13=0,"",'Residual-RosteredMATRIX-RN'!AQ13)</f>
        <v/>
      </c>
      <c r="AU29" s="25" t="str">
        <f>IF('Residual-RosteredMATRIX-RN'!AR13=0,"",'Residual-RosteredMATRIX-RN'!AR13)</f>
        <v/>
      </c>
      <c r="AV29" s="25" t="str">
        <f>IF('Residual-RosteredMATRIX-RN'!AS13=0,"",'Residual-RosteredMATRIX-RN'!AS13)</f>
        <v/>
      </c>
      <c r="AW29" s="25" t="str">
        <f>IF('Residual-RosteredMATRIX-RN'!AT13=0,"",'Residual-RosteredMATRIX-RN'!AT13)</f>
        <v/>
      </c>
    </row>
    <row r="30" spans="1:50" ht="15.75" customHeight="1" x14ac:dyDescent="0.25">
      <c r="A30" s="25" t="e">
        <f>'Residual-Rostered'!#REF!</f>
        <v>#REF!</v>
      </c>
      <c r="B30" s="33">
        <f>'Residual-RosteredMATRIX-RN'!C14</f>
        <v>0</v>
      </c>
      <c r="C30" s="33">
        <f>'Residual-RosteredMATRIX-RN'!B14</f>
        <v>0</v>
      </c>
      <c r="D30" s="34">
        <f>'Residual-RosteredMATRIX-RN'!D14</f>
        <v>0</v>
      </c>
      <c r="E30" s="14">
        <f>Max_HRS-Table3[[#This Row],[ROSTERED TIME]]</f>
        <v>76</v>
      </c>
      <c r="F30" s="14">
        <f t="shared" si="5"/>
        <v>0</v>
      </c>
      <c r="G30" s="14">
        <f>Table3[[#This Row],[ROSTERED TIME]]+Table3[[#This Row],[CHANGE TIME]]</f>
        <v>0</v>
      </c>
      <c r="H30" s="25" t="str">
        <f>IF('Residual-RosteredMATRIX-RN'!E14=0,"",'Residual-RosteredMATRIX-RN'!E14)</f>
        <v/>
      </c>
      <c r="I30" s="25" t="str">
        <f>IF('Residual-RosteredMATRIX-RN'!F14=0,"",'Residual-RosteredMATRIX-RN'!F14)</f>
        <v/>
      </c>
      <c r="J30" s="25" t="str">
        <f>IF('Residual-RosteredMATRIX-RN'!G14=0,"",'Residual-RosteredMATRIX-RN'!G14)</f>
        <v/>
      </c>
      <c r="K30" s="25" t="str">
        <f>IF('Residual-RosteredMATRIX-RN'!H14=0,"",'Residual-RosteredMATRIX-RN'!H14)</f>
        <v/>
      </c>
      <c r="L30" s="25" t="str">
        <f>IF('Residual-RosteredMATRIX-RN'!I14=0,"",'Residual-RosteredMATRIX-RN'!I14)</f>
        <v/>
      </c>
      <c r="M30" s="25" t="str">
        <f>IF('Residual-RosteredMATRIX-RN'!J14=0,"",'Residual-RosteredMATRIX-RN'!J14)</f>
        <v/>
      </c>
      <c r="N30" s="25" t="str">
        <f>IF('Residual-RosteredMATRIX-RN'!K14=0,"",'Residual-RosteredMATRIX-RN'!K14)</f>
        <v/>
      </c>
      <c r="O30" s="25" t="str">
        <f>IF('Residual-RosteredMATRIX-RN'!L14=0,"",'Residual-RosteredMATRIX-RN'!L14)</f>
        <v/>
      </c>
      <c r="P30" s="25" t="str">
        <f>IF('Residual-RosteredMATRIX-RN'!M14=0,"",'Residual-RosteredMATRIX-RN'!M14)</f>
        <v/>
      </c>
      <c r="Q30" s="25" t="str">
        <f>IF('Residual-RosteredMATRIX-RN'!N14=0,"",'Residual-RosteredMATRIX-RN'!N14)</f>
        <v/>
      </c>
      <c r="R30" s="25" t="str">
        <f>IF('Residual-RosteredMATRIX-RN'!O14=0,"",'Residual-RosteredMATRIX-RN'!O14)</f>
        <v/>
      </c>
      <c r="S30" s="25" t="str">
        <f>IF('Residual-RosteredMATRIX-RN'!P14=0,"",'Residual-RosteredMATRIX-RN'!P14)</f>
        <v/>
      </c>
      <c r="T30" s="25" t="str">
        <f>IF('Residual-RosteredMATRIX-RN'!Q14=0,"",'Residual-RosteredMATRIX-RN'!Q14)</f>
        <v/>
      </c>
      <c r="U30" s="25" t="str">
        <f>IF('Residual-RosteredMATRIX-RN'!R14=0,"",'Residual-RosteredMATRIX-RN'!R14)</f>
        <v/>
      </c>
      <c r="V30" s="25" t="str">
        <f>IF('Residual-RosteredMATRIX-RN'!S14=0,"",'Residual-RosteredMATRIX-RN'!S14)</f>
        <v/>
      </c>
      <c r="W30" s="25" t="str">
        <f>IF('Residual-RosteredMATRIX-RN'!T14=0,"",'Residual-RosteredMATRIX-RN'!T14)</f>
        <v/>
      </c>
      <c r="X30" s="25" t="str">
        <f>IF('Residual-RosteredMATRIX-RN'!U14=0,"",'Residual-RosteredMATRIX-RN'!U14)</f>
        <v/>
      </c>
      <c r="Y30" s="25" t="str">
        <f>IF('Residual-RosteredMATRIX-RN'!V14=0,"",'Residual-RosteredMATRIX-RN'!V14)</f>
        <v/>
      </c>
      <c r="Z30" s="25" t="str">
        <f>IF('Residual-RosteredMATRIX-RN'!W14=0,"",'Residual-RosteredMATRIX-RN'!W14)</f>
        <v/>
      </c>
      <c r="AA30" s="25" t="str">
        <f>IF('Residual-RosteredMATRIX-RN'!X14=0,"",'Residual-RosteredMATRIX-RN'!X14)</f>
        <v/>
      </c>
      <c r="AB30" s="25" t="str">
        <f>IF('Residual-RosteredMATRIX-RN'!Y14=0,"",'Residual-RosteredMATRIX-RN'!Y14)</f>
        <v/>
      </c>
      <c r="AC30" s="25" t="str">
        <f>IF('Residual-RosteredMATRIX-RN'!Z14=0,"",'Residual-RosteredMATRIX-RN'!Z14)</f>
        <v/>
      </c>
      <c r="AD30" s="25" t="str">
        <f>IF('Residual-RosteredMATRIX-RN'!AA14=0,"",'Residual-RosteredMATRIX-RN'!AA14)</f>
        <v/>
      </c>
      <c r="AE30" s="25" t="str">
        <f>IF('Residual-RosteredMATRIX-RN'!AB14=0,"",'Residual-RosteredMATRIX-RN'!AB14)</f>
        <v/>
      </c>
      <c r="AF30" s="25" t="str">
        <f>IF('Residual-RosteredMATRIX-RN'!AC14=0,"",'Residual-RosteredMATRIX-RN'!AC14)</f>
        <v/>
      </c>
      <c r="AG30" s="25" t="str">
        <f>IF('Residual-RosteredMATRIX-RN'!AD14=0,"",'Residual-RosteredMATRIX-RN'!AD14)</f>
        <v/>
      </c>
      <c r="AH30" s="25" t="str">
        <f>IF('Residual-RosteredMATRIX-RN'!AE14=0,"",'Residual-RosteredMATRIX-RN'!AE14)</f>
        <v/>
      </c>
      <c r="AI30" s="25" t="str">
        <f>IF('Residual-RosteredMATRIX-RN'!AF14=0,"",'Residual-RosteredMATRIX-RN'!AF14)</f>
        <v/>
      </c>
      <c r="AJ30" s="25" t="str">
        <f>IF('Residual-RosteredMATRIX-RN'!AG14=0,"",'Residual-RosteredMATRIX-RN'!AG14)</f>
        <v/>
      </c>
      <c r="AK30" s="25" t="str">
        <f>IF('Residual-RosteredMATRIX-RN'!AH14=0,"",'Residual-RosteredMATRIX-RN'!AH14)</f>
        <v/>
      </c>
      <c r="AL30" s="25" t="str">
        <f>IF('Residual-RosteredMATRIX-RN'!AI14=0,"",'Residual-RosteredMATRIX-RN'!AI14)</f>
        <v/>
      </c>
      <c r="AM30" s="25" t="str">
        <f>IF('Residual-RosteredMATRIX-RN'!AJ14=0,"",'Residual-RosteredMATRIX-RN'!AJ14)</f>
        <v/>
      </c>
      <c r="AN30" s="25" t="str">
        <f>IF('Residual-RosteredMATRIX-RN'!AK14=0,"",'Residual-RosteredMATRIX-RN'!AK14)</f>
        <v/>
      </c>
      <c r="AO30" s="25" t="str">
        <f>IF('Residual-RosteredMATRIX-RN'!AL14=0,"",'Residual-RosteredMATRIX-RN'!AL14)</f>
        <v/>
      </c>
      <c r="AP30" s="25" t="str">
        <f>IF('Residual-RosteredMATRIX-RN'!AM14=0,"",'Residual-RosteredMATRIX-RN'!AM14)</f>
        <v/>
      </c>
      <c r="AQ30" s="25" t="str">
        <f>IF('Residual-RosteredMATRIX-RN'!AN14=0,"",'Residual-RosteredMATRIX-RN'!AN14)</f>
        <v/>
      </c>
      <c r="AR30" s="25" t="str">
        <f>IF('Residual-RosteredMATRIX-RN'!AO14=0,"",'Residual-RosteredMATRIX-RN'!AO14)</f>
        <v/>
      </c>
      <c r="AS30" s="25" t="str">
        <f>IF('Residual-RosteredMATRIX-RN'!AP14=0,"",'Residual-RosteredMATRIX-RN'!AP14)</f>
        <v/>
      </c>
      <c r="AT30" s="25" t="str">
        <f>IF('Residual-RosteredMATRIX-RN'!AQ14=0,"",'Residual-RosteredMATRIX-RN'!AQ14)</f>
        <v/>
      </c>
      <c r="AU30" s="25" t="str">
        <f>IF('Residual-RosteredMATRIX-RN'!AR14=0,"",'Residual-RosteredMATRIX-RN'!AR14)</f>
        <v/>
      </c>
      <c r="AV30" s="25" t="str">
        <f>IF('Residual-RosteredMATRIX-RN'!AS14=0,"",'Residual-RosteredMATRIX-RN'!AS14)</f>
        <v/>
      </c>
      <c r="AW30" s="25" t="str">
        <f>IF('Residual-RosteredMATRIX-RN'!AT14=0,"",'Residual-RosteredMATRIX-RN'!AT14)</f>
        <v/>
      </c>
      <c r="AX30" s="26"/>
    </row>
    <row r="31" spans="1:50" ht="15.75" customHeight="1" x14ac:dyDescent="0.25">
      <c r="A31" s="25" t="e">
        <f>'Residual-Rostered'!#REF!</f>
        <v>#REF!</v>
      </c>
      <c r="B31" s="33">
        <f>'Residual-RosteredMATRIX-RN'!C15</f>
        <v>0</v>
      </c>
      <c r="C31" s="33">
        <f>'Residual-RosteredMATRIX-RN'!B15</f>
        <v>0</v>
      </c>
      <c r="D31" s="34">
        <f>'Residual-RosteredMATRIX-RN'!D15</f>
        <v>0</v>
      </c>
      <c r="E31" s="14">
        <f>Max_HRS-Table3[[#This Row],[ROSTERED TIME]]</f>
        <v>76</v>
      </c>
      <c r="F31" s="14">
        <f t="shared" si="5"/>
        <v>0</v>
      </c>
      <c r="G31" s="14">
        <f>Table3[[#This Row],[ROSTERED TIME]]+Table3[[#This Row],[CHANGE TIME]]</f>
        <v>0</v>
      </c>
      <c r="H31" s="25" t="str">
        <f>IF('Residual-RosteredMATRIX-RN'!E15=0,"",'Residual-RosteredMATRIX-RN'!E15)</f>
        <v/>
      </c>
      <c r="I31" s="25" t="str">
        <f>IF('Residual-RosteredMATRIX-RN'!F15=0,"",'Residual-RosteredMATRIX-RN'!F15)</f>
        <v/>
      </c>
      <c r="J31" s="25" t="str">
        <f>IF('Residual-RosteredMATRIX-RN'!G15=0,"",'Residual-RosteredMATRIX-RN'!G15)</f>
        <v/>
      </c>
      <c r="K31" s="25" t="str">
        <f>IF('Residual-RosteredMATRIX-RN'!H15=0,"",'Residual-RosteredMATRIX-RN'!H15)</f>
        <v/>
      </c>
      <c r="L31" s="25" t="str">
        <f>IF('Residual-RosteredMATRIX-RN'!I15=0,"",'Residual-RosteredMATRIX-RN'!I15)</f>
        <v/>
      </c>
      <c r="M31" s="25" t="str">
        <f>IF('Residual-RosteredMATRIX-RN'!J15=0,"",'Residual-RosteredMATRIX-RN'!J15)</f>
        <v/>
      </c>
      <c r="N31" s="25" t="str">
        <f>IF('Residual-RosteredMATRIX-RN'!K15=0,"",'Residual-RosteredMATRIX-RN'!K15)</f>
        <v/>
      </c>
      <c r="O31" s="25" t="str">
        <f>IF('Residual-RosteredMATRIX-RN'!L15=0,"",'Residual-RosteredMATRIX-RN'!L15)</f>
        <v/>
      </c>
      <c r="P31" s="25" t="str">
        <f>IF('Residual-RosteredMATRIX-RN'!M15=0,"",'Residual-RosteredMATRIX-RN'!M15)</f>
        <v/>
      </c>
      <c r="Q31" s="25" t="str">
        <f>IF('Residual-RosteredMATRIX-RN'!N15=0,"",'Residual-RosteredMATRIX-RN'!N15)</f>
        <v/>
      </c>
      <c r="R31" s="25" t="str">
        <f>IF('Residual-RosteredMATRIX-RN'!O15=0,"",'Residual-RosteredMATRIX-RN'!O15)</f>
        <v/>
      </c>
      <c r="S31" s="25" t="str">
        <f>IF('Residual-RosteredMATRIX-RN'!P15=0,"",'Residual-RosteredMATRIX-RN'!P15)</f>
        <v/>
      </c>
      <c r="T31" s="25" t="str">
        <f>IF('Residual-RosteredMATRIX-RN'!Q15=0,"",'Residual-RosteredMATRIX-RN'!Q15)</f>
        <v/>
      </c>
      <c r="U31" s="25" t="str">
        <f>IF('Residual-RosteredMATRIX-RN'!R15=0,"",'Residual-RosteredMATRIX-RN'!R15)</f>
        <v/>
      </c>
      <c r="V31" s="25" t="str">
        <f>IF('Residual-RosteredMATRIX-RN'!S15=0,"",'Residual-RosteredMATRIX-RN'!S15)</f>
        <v/>
      </c>
      <c r="W31" s="25" t="str">
        <f>IF('Residual-RosteredMATRIX-RN'!T15=0,"",'Residual-RosteredMATRIX-RN'!T15)</f>
        <v/>
      </c>
      <c r="X31" s="25" t="str">
        <f>IF('Residual-RosteredMATRIX-RN'!U15=0,"",'Residual-RosteredMATRIX-RN'!U15)</f>
        <v/>
      </c>
      <c r="Y31" s="25" t="str">
        <f>IF('Residual-RosteredMATRIX-RN'!V15=0,"",'Residual-RosteredMATRIX-RN'!V15)</f>
        <v/>
      </c>
      <c r="Z31" s="25" t="str">
        <f>IF('Residual-RosteredMATRIX-RN'!W15=0,"",'Residual-RosteredMATRIX-RN'!W15)</f>
        <v/>
      </c>
      <c r="AA31" s="25" t="str">
        <f>IF('Residual-RosteredMATRIX-RN'!X15=0,"",'Residual-RosteredMATRIX-RN'!X15)</f>
        <v/>
      </c>
      <c r="AB31" s="25" t="str">
        <f>IF('Residual-RosteredMATRIX-RN'!Y15=0,"",'Residual-RosteredMATRIX-RN'!Y15)</f>
        <v/>
      </c>
      <c r="AC31" s="25" t="str">
        <f>IF('Residual-RosteredMATRIX-RN'!Z15=0,"",'Residual-RosteredMATRIX-RN'!Z15)</f>
        <v/>
      </c>
      <c r="AD31" s="25" t="str">
        <f>IF('Residual-RosteredMATRIX-RN'!AA15=0,"",'Residual-RosteredMATRIX-RN'!AA15)</f>
        <v/>
      </c>
      <c r="AE31" s="25" t="str">
        <f>IF('Residual-RosteredMATRIX-RN'!AB15=0,"",'Residual-RosteredMATRIX-RN'!AB15)</f>
        <v/>
      </c>
      <c r="AF31" s="25" t="str">
        <f>IF('Residual-RosteredMATRIX-RN'!AC15=0,"",'Residual-RosteredMATRIX-RN'!AC15)</f>
        <v/>
      </c>
      <c r="AG31" s="25" t="str">
        <f>IF('Residual-RosteredMATRIX-RN'!AD15=0,"",'Residual-RosteredMATRIX-RN'!AD15)</f>
        <v/>
      </c>
      <c r="AH31" s="25" t="str">
        <f>IF('Residual-RosteredMATRIX-RN'!AE15=0,"",'Residual-RosteredMATRIX-RN'!AE15)</f>
        <v/>
      </c>
      <c r="AI31" s="25" t="str">
        <f>IF('Residual-RosteredMATRIX-RN'!AF15=0,"",'Residual-RosteredMATRIX-RN'!AF15)</f>
        <v/>
      </c>
      <c r="AJ31" s="25" t="str">
        <f>IF('Residual-RosteredMATRIX-RN'!AG15=0,"",'Residual-RosteredMATRIX-RN'!AG15)</f>
        <v/>
      </c>
      <c r="AK31" s="25" t="str">
        <f>IF('Residual-RosteredMATRIX-RN'!AH15=0,"",'Residual-RosteredMATRIX-RN'!AH15)</f>
        <v/>
      </c>
      <c r="AL31" s="25" t="str">
        <f>IF('Residual-RosteredMATRIX-RN'!AI15=0,"",'Residual-RosteredMATRIX-RN'!AI15)</f>
        <v/>
      </c>
      <c r="AM31" s="25" t="str">
        <f>IF('Residual-RosteredMATRIX-RN'!AJ15=0,"",'Residual-RosteredMATRIX-RN'!AJ15)</f>
        <v/>
      </c>
      <c r="AN31" s="25" t="str">
        <f>IF('Residual-RosteredMATRIX-RN'!AK15=0,"",'Residual-RosteredMATRIX-RN'!AK15)</f>
        <v/>
      </c>
      <c r="AO31" s="25" t="str">
        <f>IF('Residual-RosteredMATRIX-RN'!AL15=0,"",'Residual-RosteredMATRIX-RN'!AL15)</f>
        <v/>
      </c>
      <c r="AP31" s="25" t="str">
        <f>IF('Residual-RosteredMATRIX-RN'!AM15=0,"",'Residual-RosteredMATRIX-RN'!AM15)</f>
        <v/>
      </c>
      <c r="AQ31" s="25" t="str">
        <f>IF('Residual-RosteredMATRIX-RN'!AN15=0,"",'Residual-RosteredMATRIX-RN'!AN15)</f>
        <v/>
      </c>
      <c r="AR31" s="25" t="str">
        <f>IF('Residual-RosteredMATRIX-RN'!AO15=0,"",'Residual-RosteredMATRIX-RN'!AO15)</f>
        <v/>
      </c>
      <c r="AS31" s="25" t="str">
        <f>IF('Residual-RosteredMATRIX-RN'!AP15=0,"",'Residual-RosteredMATRIX-RN'!AP15)</f>
        <v/>
      </c>
      <c r="AT31" s="25" t="str">
        <f>IF('Residual-RosteredMATRIX-RN'!AQ15=0,"",'Residual-RosteredMATRIX-RN'!AQ15)</f>
        <v/>
      </c>
      <c r="AU31" s="25" t="str">
        <f>IF('Residual-RosteredMATRIX-RN'!AR15=0,"",'Residual-RosteredMATRIX-RN'!AR15)</f>
        <v/>
      </c>
      <c r="AV31" s="25" t="str">
        <f>IF('Residual-RosteredMATRIX-RN'!AS15=0,"",'Residual-RosteredMATRIX-RN'!AS15)</f>
        <v/>
      </c>
      <c r="AW31" s="25" t="str">
        <f>IF('Residual-RosteredMATRIX-RN'!AT15=0,"",'Residual-RosteredMATRIX-RN'!AT15)</f>
        <v/>
      </c>
    </row>
    <row r="32" spans="1:50" ht="15.75" customHeight="1" x14ac:dyDescent="0.25">
      <c r="A32" s="25" t="e">
        <f>'Residual-Rostered'!#REF!</f>
        <v>#REF!</v>
      </c>
      <c r="B32" s="33">
        <f>'Residual-RosteredMATRIX-RN'!C16</f>
        <v>0</v>
      </c>
      <c r="C32" s="33">
        <f>'Residual-RosteredMATRIX-RN'!B16</f>
        <v>0</v>
      </c>
      <c r="D32" s="34">
        <f>'Residual-RosteredMATRIX-RN'!D16</f>
        <v>0</v>
      </c>
      <c r="E32" s="14">
        <f>Max_HRS-Table3[[#This Row],[ROSTERED TIME]]</f>
        <v>76</v>
      </c>
      <c r="F32" s="14">
        <f t="shared" si="5"/>
        <v>0</v>
      </c>
      <c r="G32" s="14">
        <f>Table3[[#This Row],[ROSTERED TIME]]+Table3[[#This Row],[CHANGE TIME]]</f>
        <v>0</v>
      </c>
      <c r="H32" s="25" t="str">
        <f>IF('Residual-RosteredMATRIX-RN'!E16=0,"",'Residual-RosteredMATRIX-RN'!E16)</f>
        <v/>
      </c>
      <c r="I32" s="25" t="str">
        <f>IF('Residual-RosteredMATRIX-RN'!F16=0,"",'Residual-RosteredMATRIX-RN'!F16)</f>
        <v/>
      </c>
      <c r="J32" s="25" t="str">
        <f>IF('Residual-RosteredMATRIX-RN'!G16=0,"",'Residual-RosteredMATRIX-RN'!G16)</f>
        <v/>
      </c>
      <c r="K32" s="25" t="str">
        <f>IF('Residual-RosteredMATRIX-RN'!H16=0,"",'Residual-RosteredMATRIX-RN'!H16)</f>
        <v/>
      </c>
      <c r="L32" s="25" t="str">
        <f>IF('Residual-RosteredMATRIX-RN'!I16=0,"",'Residual-RosteredMATRIX-RN'!I16)</f>
        <v/>
      </c>
      <c r="M32" s="25" t="str">
        <f>IF('Residual-RosteredMATRIX-RN'!J16=0,"",'Residual-RosteredMATRIX-RN'!J16)</f>
        <v/>
      </c>
      <c r="N32" s="25" t="str">
        <f>IF('Residual-RosteredMATRIX-RN'!K16=0,"",'Residual-RosteredMATRIX-RN'!K16)</f>
        <v/>
      </c>
      <c r="O32" s="25" t="str">
        <f>IF('Residual-RosteredMATRIX-RN'!L16=0,"",'Residual-RosteredMATRIX-RN'!L16)</f>
        <v/>
      </c>
      <c r="P32" s="25" t="str">
        <f>IF('Residual-RosteredMATRIX-RN'!M16=0,"",'Residual-RosteredMATRIX-RN'!M16)</f>
        <v/>
      </c>
      <c r="Q32" s="25" t="str">
        <f>IF('Residual-RosteredMATRIX-RN'!N16=0,"",'Residual-RosteredMATRIX-RN'!N16)</f>
        <v/>
      </c>
      <c r="R32" s="25" t="str">
        <f>IF('Residual-RosteredMATRIX-RN'!O16=0,"",'Residual-RosteredMATRIX-RN'!O16)</f>
        <v/>
      </c>
      <c r="S32" s="25" t="str">
        <f>IF('Residual-RosteredMATRIX-RN'!P16=0,"",'Residual-RosteredMATRIX-RN'!P16)</f>
        <v/>
      </c>
      <c r="T32" s="25" t="str">
        <f>IF('Residual-RosteredMATRIX-RN'!Q16=0,"",'Residual-RosteredMATRIX-RN'!Q16)</f>
        <v/>
      </c>
      <c r="U32" s="25" t="str">
        <f>IF('Residual-RosteredMATRIX-RN'!R16=0,"",'Residual-RosteredMATRIX-RN'!R16)</f>
        <v/>
      </c>
      <c r="V32" s="25" t="str">
        <f>IF('Residual-RosteredMATRIX-RN'!S16=0,"",'Residual-RosteredMATRIX-RN'!S16)</f>
        <v/>
      </c>
      <c r="W32" s="25" t="str">
        <f>IF('Residual-RosteredMATRIX-RN'!T16=0,"",'Residual-RosteredMATRIX-RN'!T16)</f>
        <v/>
      </c>
      <c r="X32" s="25" t="str">
        <f>IF('Residual-RosteredMATRIX-RN'!U16=0,"",'Residual-RosteredMATRIX-RN'!U16)</f>
        <v/>
      </c>
      <c r="Y32" s="25" t="str">
        <f>IF('Residual-RosteredMATRIX-RN'!V16=0,"",'Residual-RosteredMATRIX-RN'!V16)</f>
        <v/>
      </c>
      <c r="Z32" s="25" t="str">
        <f>IF('Residual-RosteredMATRIX-RN'!W16=0,"",'Residual-RosteredMATRIX-RN'!W16)</f>
        <v/>
      </c>
      <c r="AA32" s="25" t="str">
        <f>IF('Residual-RosteredMATRIX-RN'!X16=0,"",'Residual-RosteredMATRIX-RN'!X16)</f>
        <v/>
      </c>
      <c r="AB32" s="25" t="str">
        <f>IF('Residual-RosteredMATRIX-RN'!Y16=0,"",'Residual-RosteredMATRIX-RN'!Y16)</f>
        <v/>
      </c>
      <c r="AC32" s="25" t="str">
        <f>IF('Residual-RosteredMATRIX-RN'!Z16=0,"",'Residual-RosteredMATRIX-RN'!Z16)</f>
        <v/>
      </c>
      <c r="AD32" s="25" t="str">
        <f>IF('Residual-RosteredMATRIX-RN'!AA16=0,"",'Residual-RosteredMATRIX-RN'!AA16)</f>
        <v/>
      </c>
      <c r="AE32" s="25" t="str">
        <f>IF('Residual-RosteredMATRIX-RN'!AB16=0,"",'Residual-RosteredMATRIX-RN'!AB16)</f>
        <v/>
      </c>
      <c r="AF32" s="25" t="str">
        <f>IF('Residual-RosteredMATRIX-RN'!AC16=0,"",'Residual-RosteredMATRIX-RN'!AC16)</f>
        <v/>
      </c>
      <c r="AG32" s="25" t="str">
        <f>IF('Residual-RosteredMATRIX-RN'!AD16=0,"",'Residual-RosteredMATRIX-RN'!AD16)</f>
        <v/>
      </c>
      <c r="AH32" s="25" t="str">
        <f>IF('Residual-RosteredMATRIX-RN'!AE16=0,"",'Residual-RosteredMATRIX-RN'!AE16)</f>
        <v/>
      </c>
      <c r="AI32" s="25" t="str">
        <f>IF('Residual-RosteredMATRIX-RN'!AF16=0,"",'Residual-RosteredMATRIX-RN'!AF16)</f>
        <v/>
      </c>
      <c r="AJ32" s="25" t="str">
        <f>IF('Residual-RosteredMATRIX-RN'!AG16=0,"",'Residual-RosteredMATRIX-RN'!AG16)</f>
        <v/>
      </c>
      <c r="AK32" s="25" t="str">
        <f>IF('Residual-RosteredMATRIX-RN'!AH16=0,"",'Residual-RosteredMATRIX-RN'!AH16)</f>
        <v/>
      </c>
      <c r="AL32" s="25" t="str">
        <f>IF('Residual-RosteredMATRIX-RN'!AI16=0,"",'Residual-RosteredMATRIX-RN'!AI16)</f>
        <v/>
      </c>
      <c r="AM32" s="25" t="str">
        <f>IF('Residual-RosteredMATRIX-RN'!AJ16=0,"",'Residual-RosteredMATRIX-RN'!AJ16)</f>
        <v/>
      </c>
      <c r="AN32" s="25" t="str">
        <f>IF('Residual-RosteredMATRIX-RN'!AK16=0,"",'Residual-RosteredMATRIX-RN'!AK16)</f>
        <v/>
      </c>
      <c r="AO32" s="25" t="str">
        <f>IF('Residual-RosteredMATRIX-RN'!AL16=0,"",'Residual-RosteredMATRIX-RN'!AL16)</f>
        <v/>
      </c>
      <c r="AP32" s="25" t="str">
        <f>IF('Residual-RosteredMATRIX-RN'!AM16=0,"",'Residual-RosteredMATRIX-RN'!AM16)</f>
        <v/>
      </c>
      <c r="AQ32" s="25" t="str">
        <f>IF('Residual-RosteredMATRIX-RN'!AN16=0,"",'Residual-RosteredMATRIX-RN'!AN16)</f>
        <v/>
      </c>
      <c r="AR32" s="25" t="str">
        <f>IF('Residual-RosteredMATRIX-RN'!AO16=0,"",'Residual-RosteredMATRIX-RN'!AO16)</f>
        <v/>
      </c>
      <c r="AS32" s="25" t="str">
        <f>IF('Residual-RosteredMATRIX-RN'!AP16=0,"",'Residual-RosteredMATRIX-RN'!AP16)</f>
        <v/>
      </c>
      <c r="AT32" s="25" t="str">
        <f>IF('Residual-RosteredMATRIX-RN'!AQ16=0,"",'Residual-RosteredMATRIX-RN'!AQ16)</f>
        <v/>
      </c>
      <c r="AU32" s="25" t="str">
        <f>IF('Residual-RosteredMATRIX-RN'!AR16=0,"",'Residual-RosteredMATRIX-RN'!AR16)</f>
        <v/>
      </c>
      <c r="AV32" s="25" t="str">
        <f>IF('Residual-RosteredMATRIX-RN'!AS16=0,"",'Residual-RosteredMATRIX-RN'!AS16)</f>
        <v/>
      </c>
      <c r="AW32" s="25" t="str">
        <f>IF('Residual-RosteredMATRIX-RN'!AT16=0,"",'Residual-RosteredMATRIX-RN'!AT16)</f>
        <v/>
      </c>
    </row>
    <row r="33" spans="1:49" ht="15.75" customHeight="1" x14ac:dyDescent="0.25">
      <c r="A33" s="25" t="e">
        <f>'Residual-Rostered'!#REF!</f>
        <v>#REF!</v>
      </c>
      <c r="B33" s="33">
        <f>'Residual-RosteredMATRIX-RN'!C17</f>
        <v>0</v>
      </c>
      <c r="C33" s="33">
        <f>'Residual-RosteredMATRIX-RN'!B17</f>
        <v>0</v>
      </c>
      <c r="D33" s="34">
        <f>'Residual-RosteredMATRIX-RN'!D17</f>
        <v>0</v>
      </c>
      <c r="E33" s="14">
        <f>Max_HRS-Table3[[#This Row],[ROSTERED TIME]]</f>
        <v>76</v>
      </c>
      <c r="F33" s="14">
        <f t="shared" si="5"/>
        <v>0</v>
      </c>
      <c r="G33" s="14">
        <f>Table3[[#This Row],[ROSTERED TIME]]+Table3[[#This Row],[CHANGE TIME]]</f>
        <v>0</v>
      </c>
      <c r="H33" s="25" t="str">
        <f>IF('Residual-RosteredMATRIX-RN'!E17=0,"",'Residual-RosteredMATRIX-RN'!E17)</f>
        <v/>
      </c>
      <c r="I33" s="25" t="str">
        <f>IF('Residual-RosteredMATRIX-RN'!F17=0,"",'Residual-RosteredMATRIX-RN'!F17)</f>
        <v/>
      </c>
      <c r="J33" s="25" t="str">
        <f>IF('Residual-RosteredMATRIX-RN'!G17=0,"",'Residual-RosteredMATRIX-RN'!G17)</f>
        <v/>
      </c>
      <c r="K33" s="25" t="str">
        <f>IF('Residual-RosteredMATRIX-RN'!H17=0,"",'Residual-RosteredMATRIX-RN'!H17)</f>
        <v/>
      </c>
      <c r="L33" s="25" t="str">
        <f>IF('Residual-RosteredMATRIX-RN'!I17=0,"",'Residual-RosteredMATRIX-RN'!I17)</f>
        <v/>
      </c>
      <c r="M33" s="25" t="str">
        <f>IF('Residual-RosteredMATRIX-RN'!J17=0,"",'Residual-RosteredMATRIX-RN'!J17)</f>
        <v/>
      </c>
      <c r="N33" s="25" t="str">
        <f>IF('Residual-RosteredMATRIX-RN'!K17=0,"",'Residual-RosteredMATRIX-RN'!K17)</f>
        <v/>
      </c>
      <c r="O33" s="25" t="str">
        <f>IF('Residual-RosteredMATRIX-RN'!L17=0,"",'Residual-RosteredMATRIX-RN'!L17)</f>
        <v/>
      </c>
      <c r="P33" s="25" t="str">
        <f>IF('Residual-RosteredMATRIX-RN'!M17=0,"",'Residual-RosteredMATRIX-RN'!M17)</f>
        <v/>
      </c>
      <c r="Q33" s="25" t="str">
        <f>IF('Residual-RosteredMATRIX-RN'!N17=0,"",'Residual-RosteredMATRIX-RN'!N17)</f>
        <v/>
      </c>
      <c r="R33" s="25" t="str">
        <f>IF('Residual-RosteredMATRIX-RN'!O17=0,"",'Residual-RosteredMATRIX-RN'!O17)</f>
        <v/>
      </c>
      <c r="S33" s="25" t="str">
        <f>IF('Residual-RosteredMATRIX-RN'!P17=0,"",'Residual-RosteredMATRIX-RN'!P17)</f>
        <v/>
      </c>
      <c r="T33" s="25" t="str">
        <f>IF('Residual-RosteredMATRIX-RN'!Q17=0,"",'Residual-RosteredMATRIX-RN'!Q17)</f>
        <v/>
      </c>
      <c r="U33" s="25" t="str">
        <f>IF('Residual-RosteredMATRIX-RN'!R17=0,"",'Residual-RosteredMATRIX-RN'!R17)</f>
        <v/>
      </c>
      <c r="V33" s="25" t="str">
        <f>IF('Residual-RosteredMATRIX-RN'!S17=0,"",'Residual-RosteredMATRIX-RN'!S17)</f>
        <v/>
      </c>
      <c r="W33" s="25" t="str">
        <f>IF('Residual-RosteredMATRIX-RN'!T17=0,"",'Residual-RosteredMATRIX-RN'!T17)</f>
        <v/>
      </c>
      <c r="X33" s="25" t="str">
        <f>IF('Residual-RosteredMATRIX-RN'!U17=0,"",'Residual-RosteredMATRIX-RN'!U17)</f>
        <v/>
      </c>
      <c r="Y33" s="25" t="str">
        <f>IF('Residual-RosteredMATRIX-RN'!V17=0,"",'Residual-RosteredMATRIX-RN'!V17)</f>
        <v/>
      </c>
      <c r="Z33" s="25" t="str">
        <f>IF('Residual-RosteredMATRIX-RN'!W17=0,"",'Residual-RosteredMATRIX-RN'!W17)</f>
        <v/>
      </c>
      <c r="AA33" s="25" t="str">
        <f>IF('Residual-RosteredMATRIX-RN'!X17=0,"",'Residual-RosteredMATRIX-RN'!X17)</f>
        <v/>
      </c>
      <c r="AB33" s="25" t="str">
        <f>IF('Residual-RosteredMATRIX-RN'!Y17=0,"",'Residual-RosteredMATRIX-RN'!Y17)</f>
        <v/>
      </c>
      <c r="AC33" s="25" t="str">
        <f>IF('Residual-RosteredMATRIX-RN'!Z17=0,"",'Residual-RosteredMATRIX-RN'!Z17)</f>
        <v/>
      </c>
      <c r="AD33" s="25" t="str">
        <f>IF('Residual-RosteredMATRIX-RN'!AA17=0,"",'Residual-RosteredMATRIX-RN'!AA17)</f>
        <v/>
      </c>
      <c r="AE33" s="25" t="str">
        <f>IF('Residual-RosteredMATRIX-RN'!AB17=0,"",'Residual-RosteredMATRIX-RN'!AB17)</f>
        <v/>
      </c>
      <c r="AF33" s="25" t="str">
        <f>IF('Residual-RosteredMATRIX-RN'!AC17=0,"",'Residual-RosteredMATRIX-RN'!AC17)</f>
        <v/>
      </c>
      <c r="AG33" s="25" t="str">
        <f>IF('Residual-RosteredMATRIX-RN'!AD17=0,"",'Residual-RosteredMATRIX-RN'!AD17)</f>
        <v/>
      </c>
      <c r="AH33" s="25" t="str">
        <f>IF('Residual-RosteredMATRIX-RN'!AE17=0,"",'Residual-RosteredMATRIX-RN'!AE17)</f>
        <v/>
      </c>
      <c r="AI33" s="25" t="str">
        <f>IF('Residual-RosteredMATRIX-RN'!AF17=0,"",'Residual-RosteredMATRIX-RN'!AF17)</f>
        <v/>
      </c>
      <c r="AJ33" s="25" t="str">
        <f>IF('Residual-RosteredMATRIX-RN'!AG17=0,"",'Residual-RosteredMATRIX-RN'!AG17)</f>
        <v/>
      </c>
      <c r="AK33" s="25" t="str">
        <f>IF('Residual-RosteredMATRIX-RN'!AH17=0,"",'Residual-RosteredMATRIX-RN'!AH17)</f>
        <v/>
      </c>
      <c r="AL33" s="25" t="str">
        <f>IF('Residual-RosteredMATRIX-RN'!AI17=0,"",'Residual-RosteredMATRIX-RN'!AI17)</f>
        <v/>
      </c>
      <c r="AM33" s="25" t="str">
        <f>IF('Residual-RosteredMATRIX-RN'!AJ17=0,"",'Residual-RosteredMATRIX-RN'!AJ17)</f>
        <v/>
      </c>
      <c r="AN33" s="25" t="str">
        <f>IF('Residual-RosteredMATRIX-RN'!AK17=0,"",'Residual-RosteredMATRIX-RN'!AK17)</f>
        <v/>
      </c>
      <c r="AO33" s="25" t="str">
        <f>IF('Residual-RosteredMATRIX-RN'!AL17=0,"",'Residual-RosteredMATRIX-RN'!AL17)</f>
        <v/>
      </c>
      <c r="AP33" s="25" t="str">
        <f>IF('Residual-RosteredMATRIX-RN'!AM17=0,"",'Residual-RosteredMATRIX-RN'!AM17)</f>
        <v/>
      </c>
      <c r="AQ33" s="25" t="str">
        <f>IF('Residual-RosteredMATRIX-RN'!AN17=0,"",'Residual-RosteredMATRIX-RN'!AN17)</f>
        <v/>
      </c>
      <c r="AR33" s="25" t="str">
        <f>IF('Residual-RosteredMATRIX-RN'!AO17=0,"",'Residual-RosteredMATRIX-RN'!AO17)</f>
        <v/>
      </c>
      <c r="AS33" s="25" t="str">
        <f>IF('Residual-RosteredMATRIX-RN'!AP17=0,"",'Residual-RosteredMATRIX-RN'!AP17)</f>
        <v/>
      </c>
      <c r="AT33" s="25" t="str">
        <f>IF('Residual-RosteredMATRIX-RN'!AQ17=0,"",'Residual-RosteredMATRIX-RN'!AQ17)</f>
        <v/>
      </c>
      <c r="AU33" s="25" t="str">
        <f>IF('Residual-RosteredMATRIX-RN'!AR17=0,"",'Residual-RosteredMATRIX-RN'!AR17)</f>
        <v/>
      </c>
      <c r="AV33" s="25" t="str">
        <f>IF('Residual-RosteredMATRIX-RN'!AS17=0,"",'Residual-RosteredMATRIX-RN'!AS17)</f>
        <v/>
      </c>
      <c r="AW33" s="25" t="str">
        <f>IF('Residual-RosteredMATRIX-RN'!AT17=0,"",'Residual-RosteredMATRIX-RN'!AT17)</f>
        <v/>
      </c>
    </row>
    <row r="34" spans="1:49" ht="15.75" customHeight="1" x14ac:dyDescent="0.25">
      <c r="A34" s="25" t="e">
        <f>'Residual-Rostered'!#REF!</f>
        <v>#REF!</v>
      </c>
      <c r="B34" s="33">
        <f>'Residual-RosteredMATRIX-RN'!C18</f>
        <v>0</v>
      </c>
      <c r="C34" s="33">
        <f>'Residual-RosteredMATRIX-RN'!B18</f>
        <v>0</v>
      </c>
      <c r="D34" s="34">
        <f>'Residual-RosteredMATRIX-RN'!D18</f>
        <v>0</v>
      </c>
      <c r="E34" s="14">
        <f>Max_HRS-Table3[[#This Row],[ROSTERED TIME]]</f>
        <v>76</v>
      </c>
      <c r="F34" s="14">
        <f t="shared" si="5"/>
        <v>0</v>
      </c>
      <c r="G34" s="14">
        <f>Table3[[#This Row],[ROSTERED TIME]]+Table3[[#This Row],[CHANGE TIME]]</f>
        <v>0</v>
      </c>
      <c r="H34" s="25" t="str">
        <f>IF('Residual-RosteredMATRIX-RN'!E18=0,"",'Residual-RosteredMATRIX-RN'!E18)</f>
        <v/>
      </c>
      <c r="I34" s="25" t="str">
        <f>IF('Residual-RosteredMATRIX-RN'!F18=0,"",'Residual-RosteredMATRIX-RN'!F18)</f>
        <v/>
      </c>
      <c r="J34" s="25" t="str">
        <f>IF('Residual-RosteredMATRIX-RN'!G18=0,"",'Residual-RosteredMATRIX-RN'!G18)</f>
        <v/>
      </c>
      <c r="K34" s="25" t="str">
        <f>IF('Residual-RosteredMATRIX-RN'!H18=0,"",'Residual-RosteredMATRIX-RN'!H18)</f>
        <v/>
      </c>
      <c r="L34" s="25" t="str">
        <f>IF('Residual-RosteredMATRIX-RN'!I18=0,"",'Residual-RosteredMATRIX-RN'!I18)</f>
        <v/>
      </c>
      <c r="M34" s="25" t="str">
        <f>IF('Residual-RosteredMATRIX-RN'!J18=0,"",'Residual-RosteredMATRIX-RN'!J18)</f>
        <v/>
      </c>
      <c r="N34" s="25" t="str">
        <f>IF('Residual-RosteredMATRIX-RN'!K18=0,"",'Residual-RosteredMATRIX-RN'!K18)</f>
        <v/>
      </c>
      <c r="O34" s="25" t="str">
        <f>IF('Residual-RosteredMATRIX-RN'!L18=0,"",'Residual-RosteredMATRIX-RN'!L18)</f>
        <v/>
      </c>
      <c r="P34" s="25" t="str">
        <f>IF('Residual-RosteredMATRIX-RN'!M18=0,"",'Residual-RosteredMATRIX-RN'!M18)</f>
        <v/>
      </c>
      <c r="Q34" s="25" t="str">
        <f>IF('Residual-RosteredMATRIX-RN'!N18=0,"",'Residual-RosteredMATRIX-RN'!N18)</f>
        <v/>
      </c>
      <c r="R34" s="25" t="str">
        <f>IF('Residual-RosteredMATRIX-RN'!O18=0,"",'Residual-RosteredMATRIX-RN'!O18)</f>
        <v/>
      </c>
      <c r="S34" s="25" t="str">
        <f>IF('Residual-RosteredMATRIX-RN'!P18=0,"",'Residual-RosteredMATRIX-RN'!P18)</f>
        <v/>
      </c>
      <c r="T34" s="25" t="str">
        <f>IF('Residual-RosteredMATRIX-RN'!Q18=0,"",'Residual-RosteredMATRIX-RN'!Q18)</f>
        <v/>
      </c>
      <c r="U34" s="25" t="str">
        <f>IF('Residual-RosteredMATRIX-RN'!R18=0,"",'Residual-RosteredMATRIX-RN'!R18)</f>
        <v/>
      </c>
      <c r="V34" s="25" t="str">
        <f>IF('Residual-RosteredMATRIX-RN'!S18=0,"",'Residual-RosteredMATRIX-RN'!S18)</f>
        <v/>
      </c>
      <c r="W34" s="25" t="str">
        <f>IF('Residual-RosteredMATRIX-RN'!T18=0,"",'Residual-RosteredMATRIX-RN'!T18)</f>
        <v/>
      </c>
      <c r="X34" s="25" t="str">
        <f>IF('Residual-RosteredMATRIX-RN'!U18=0,"",'Residual-RosteredMATRIX-RN'!U18)</f>
        <v/>
      </c>
      <c r="Y34" s="25" t="str">
        <f>IF('Residual-RosteredMATRIX-RN'!V18=0,"",'Residual-RosteredMATRIX-RN'!V18)</f>
        <v/>
      </c>
      <c r="Z34" s="25" t="str">
        <f>IF('Residual-RosteredMATRIX-RN'!W18=0,"",'Residual-RosteredMATRIX-RN'!W18)</f>
        <v/>
      </c>
      <c r="AA34" s="25" t="str">
        <f>IF('Residual-RosteredMATRIX-RN'!X18=0,"",'Residual-RosteredMATRIX-RN'!X18)</f>
        <v/>
      </c>
      <c r="AB34" s="25" t="str">
        <f>IF('Residual-RosteredMATRIX-RN'!Y18=0,"",'Residual-RosteredMATRIX-RN'!Y18)</f>
        <v/>
      </c>
      <c r="AC34" s="25" t="str">
        <f>IF('Residual-RosteredMATRIX-RN'!Z18=0,"",'Residual-RosteredMATRIX-RN'!Z18)</f>
        <v/>
      </c>
      <c r="AD34" s="25" t="str">
        <f>IF('Residual-RosteredMATRIX-RN'!AA18=0,"",'Residual-RosteredMATRIX-RN'!AA18)</f>
        <v/>
      </c>
      <c r="AE34" s="25" t="str">
        <f>IF('Residual-RosteredMATRIX-RN'!AB18=0,"",'Residual-RosteredMATRIX-RN'!AB18)</f>
        <v/>
      </c>
      <c r="AF34" s="25" t="str">
        <f>IF('Residual-RosteredMATRIX-RN'!AC18=0,"",'Residual-RosteredMATRIX-RN'!AC18)</f>
        <v/>
      </c>
      <c r="AG34" s="25" t="str">
        <f>IF('Residual-RosteredMATRIX-RN'!AD18=0,"",'Residual-RosteredMATRIX-RN'!AD18)</f>
        <v/>
      </c>
      <c r="AH34" s="25" t="str">
        <f>IF('Residual-RosteredMATRIX-RN'!AE18=0,"",'Residual-RosteredMATRIX-RN'!AE18)</f>
        <v/>
      </c>
      <c r="AI34" s="25" t="str">
        <f>IF('Residual-RosteredMATRIX-RN'!AF18=0,"",'Residual-RosteredMATRIX-RN'!AF18)</f>
        <v/>
      </c>
      <c r="AJ34" s="25" t="str">
        <f>IF('Residual-RosteredMATRIX-RN'!AG18=0,"",'Residual-RosteredMATRIX-RN'!AG18)</f>
        <v/>
      </c>
      <c r="AK34" s="25" t="str">
        <f>IF('Residual-RosteredMATRIX-RN'!AH18=0,"",'Residual-RosteredMATRIX-RN'!AH18)</f>
        <v/>
      </c>
      <c r="AL34" s="25" t="str">
        <f>IF('Residual-RosteredMATRIX-RN'!AI18=0,"",'Residual-RosteredMATRIX-RN'!AI18)</f>
        <v/>
      </c>
      <c r="AM34" s="25" t="str">
        <f>IF('Residual-RosteredMATRIX-RN'!AJ18=0,"",'Residual-RosteredMATRIX-RN'!AJ18)</f>
        <v/>
      </c>
      <c r="AN34" s="25" t="str">
        <f>IF('Residual-RosteredMATRIX-RN'!AK18=0,"",'Residual-RosteredMATRIX-RN'!AK18)</f>
        <v/>
      </c>
      <c r="AO34" s="25" t="str">
        <f>IF('Residual-RosteredMATRIX-RN'!AL18=0,"",'Residual-RosteredMATRIX-RN'!AL18)</f>
        <v/>
      </c>
      <c r="AP34" s="25" t="str">
        <f>IF('Residual-RosteredMATRIX-RN'!AM18=0,"",'Residual-RosteredMATRIX-RN'!AM18)</f>
        <v/>
      </c>
      <c r="AQ34" s="25" t="str">
        <f>IF('Residual-RosteredMATRIX-RN'!AN18=0,"",'Residual-RosteredMATRIX-RN'!AN18)</f>
        <v/>
      </c>
      <c r="AR34" s="25" t="str">
        <f>IF('Residual-RosteredMATRIX-RN'!AO18=0,"",'Residual-RosteredMATRIX-RN'!AO18)</f>
        <v/>
      </c>
      <c r="AS34" s="25" t="str">
        <f>IF('Residual-RosteredMATRIX-RN'!AP18=0,"",'Residual-RosteredMATRIX-RN'!AP18)</f>
        <v/>
      </c>
      <c r="AT34" s="25" t="str">
        <f>IF('Residual-RosteredMATRIX-RN'!AQ18=0,"",'Residual-RosteredMATRIX-RN'!AQ18)</f>
        <v/>
      </c>
      <c r="AU34" s="25" t="str">
        <f>IF('Residual-RosteredMATRIX-RN'!AR18=0,"",'Residual-RosteredMATRIX-RN'!AR18)</f>
        <v/>
      </c>
      <c r="AV34" s="25" t="str">
        <f>IF('Residual-RosteredMATRIX-RN'!AS18=0,"",'Residual-RosteredMATRIX-RN'!AS18)</f>
        <v/>
      </c>
      <c r="AW34" s="25" t="str">
        <f>IF('Residual-RosteredMATRIX-RN'!AT18=0,"",'Residual-RosteredMATRIX-RN'!AT18)</f>
        <v/>
      </c>
    </row>
    <row r="35" spans="1:49" ht="15.75" customHeight="1" x14ac:dyDescent="0.25">
      <c r="A35" s="25" t="e">
        <f>'Residual-Rostered'!#REF!</f>
        <v>#REF!</v>
      </c>
      <c r="B35" s="33">
        <f>'Residual-RosteredMATRIX-RN'!C19</f>
        <v>0</v>
      </c>
      <c r="C35" s="33">
        <f>'Residual-RosteredMATRIX-RN'!B19</f>
        <v>0</v>
      </c>
      <c r="D35" s="34">
        <f>'Residual-RosteredMATRIX-RN'!D19</f>
        <v>0</v>
      </c>
      <c r="E35" s="14">
        <f>Max_HRS-Table3[[#This Row],[ROSTERED TIME]]</f>
        <v>76</v>
      </c>
      <c r="F35" s="14">
        <f t="shared" si="5"/>
        <v>0</v>
      </c>
      <c r="G35" s="14">
        <f>Table3[[#This Row],[ROSTERED TIME]]+Table3[[#This Row],[CHANGE TIME]]</f>
        <v>0</v>
      </c>
      <c r="H35" s="25" t="str">
        <f>IF('Residual-RosteredMATRIX-RN'!E19=0,"",'Residual-RosteredMATRIX-RN'!E19)</f>
        <v/>
      </c>
      <c r="I35" s="25" t="str">
        <f>IF('Residual-RosteredMATRIX-RN'!F19=0,"",'Residual-RosteredMATRIX-RN'!F19)</f>
        <v/>
      </c>
      <c r="J35" s="25" t="str">
        <f>IF('Residual-RosteredMATRIX-RN'!G19=0,"",'Residual-RosteredMATRIX-RN'!G19)</f>
        <v/>
      </c>
      <c r="K35" s="25" t="str">
        <f>IF('Residual-RosteredMATRIX-RN'!H19=0,"",'Residual-RosteredMATRIX-RN'!H19)</f>
        <v/>
      </c>
      <c r="L35" s="25" t="str">
        <f>IF('Residual-RosteredMATRIX-RN'!I19=0,"",'Residual-RosteredMATRIX-RN'!I19)</f>
        <v/>
      </c>
      <c r="M35" s="25" t="str">
        <f>IF('Residual-RosteredMATRIX-RN'!J19=0,"",'Residual-RosteredMATRIX-RN'!J19)</f>
        <v/>
      </c>
      <c r="N35" s="25" t="str">
        <f>IF('Residual-RosteredMATRIX-RN'!K19=0,"",'Residual-RosteredMATRIX-RN'!K19)</f>
        <v/>
      </c>
      <c r="O35" s="25" t="str">
        <f>IF('Residual-RosteredMATRIX-RN'!L19=0,"",'Residual-RosteredMATRIX-RN'!L19)</f>
        <v/>
      </c>
      <c r="P35" s="25" t="str">
        <f>IF('Residual-RosteredMATRIX-RN'!M19=0,"",'Residual-RosteredMATRIX-RN'!M19)</f>
        <v/>
      </c>
      <c r="Q35" s="25" t="str">
        <f>IF('Residual-RosteredMATRIX-RN'!N19=0,"",'Residual-RosteredMATRIX-RN'!N19)</f>
        <v/>
      </c>
      <c r="R35" s="25" t="str">
        <f>IF('Residual-RosteredMATRIX-RN'!O19=0,"",'Residual-RosteredMATRIX-RN'!O19)</f>
        <v/>
      </c>
      <c r="S35" s="25" t="str">
        <f>IF('Residual-RosteredMATRIX-RN'!P19=0,"",'Residual-RosteredMATRIX-RN'!P19)</f>
        <v/>
      </c>
      <c r="T35" s="25" t="str">
        <f>IF('Residual-RosteredMATRIX-RN'!Q19=0,"",'Residual-RosteredMATRIX-RN'!Q19)</f>
        <v/>
      </c>
      <c r="U35" s="25" t="str">
        <f>IF('Residual-RosteredMATRIX-RN'!R19=0,"",'Residual-RosteredMATRIX-RN'!R19)</f>
        <v/>
      </c>
      <c r="V35" s="25" t="str">
        <f>IF('Residual-RosteredMATRIX-RN'!S19=0,"",'Residual-RosteredMATRIX-RN'!S19)</f>
        <v/>
      </c>
      <c r="W35" s="25" t="str">
        <f>IF('Residual-RosteredMATRIX-RN'!T19=0,"",'Residual-RosteredMATRIX-RN'!T19)</f>
        <v/>
      </c>
      <c r="X35" s="25" t="str">
        <f>IF('Residual-RosteredMATRIX-RN'!U19=0,"",'Residual-RosteredMATRIX-RN'!U19)</f>
        <v/>
      </c>
      <c r="Y35" s="25" t="str">
        <f>IF('Residual-RosteredMATRIX-RN'!V19=0,"",'Residual-RosteredMATRIX-RN'!V19)</f>
        <v/>
      </c>
      <c r="Z35" s="25" t="str">
        <f>IF('Residual-RosteredMATRIX-RN'!W19=0,"",'Residual-RosteredMATRIX-RN'!W19)</f>
        <v/>
      </c>
      <c r="AA35" s="25" t="str">
        <f>IF('Residual-RosteredMATRIX-RN'!X19=0,"",'Residual-RosteredMATRIX-RN'!X19)</f>
        <v/>
      </c>
      <c r="AB35" s="25" t="str">
        <f>IF('Residual-RosteredMATRIX-RN'!Y19=0,"",'Residual-RosteredMATRIX-RN'!Y19)</f>
        <v/>
      </c>
      <c r="AC35" s="25" t="str">
        <f>IF('Residual-RosteredMATRIX-RN'!Z19=0,"",'Residual-RosteredMATRIX-RN'!Z19)</f>
        <v/>
      </c>
      <c r="AD35" s="25" t="str">
        <f>IF('Residual-RosteredMATRIX-RN'!AA19=0,"",'Residual-RosteredMATRIX-RN'!AA19)</f>
        <v/>
      </c>
      <c r="AE35" s="25" t="str">
        <f>IF('Residual-RosteredMATRIX-RN'!AB19=0,"",'Residual-RosteredMATRIX-RN'!AB19)</f>
        <v/>
      </c>
      <c r="AF35" s="25" t="str">
        <f>IF('Residual-RosteredMATRIX-RN'!AC19=0,"",'Residual-RosteredMATRIX-RN'!AC19)</f>
        <v/>
      </c>
      <c r="AG35" s="25" t="str">
        <f>IF('Residual-RosteredMATRIX-RN'!AD19=0,"",'Residual-RosteredMATRIX-RN'!AD19)</f>
        <v/>
      </c>
      <c r="AH35" s="25" t="str">
        <f>IF('Residual-RosteredMATRIX-RN'!AE19=0,"",'Residual-RosteredMATRIX-RN'!AE19)</f>
        <v/>
      </c>
      <c r="AI35" s="25" t="str">
        <f>IF('Residual-RosteredMATRIX-RN'!AF19=0,"",'Residual-RosteredMATRIX-RN'!AF19)</f>
        <v/>
      </c>
      <c r="AJ35" s="25" t="str">
        <f>IF('Residual-RosteredMATRIX-RN'!AG19=0,"",'Residual-RosteredMATRIX-RN'!AG19)</f>
        <v/>
      </c>
      <c r="AK35" s="25" t="str">
        <f>IF('Residual-RosteredMATRIX-RN'!AH19=0,"",'Residual-RosteredMATRIX-RN'!AH19)</f>
        <v/>
      </c>
      <c r="AL35" s="25" t="str">
        <f>IF('Residual-RosteredMATRIX-RN'!AI19=0,"",'Residual-RosteredMATRIX-RN'!AI19)</f>
        <v/>
      </c>
      <c r="AM35" s="25" t="str">
        <f>IF('Residual-RosteredMATRIX-RN'!AJ19=0,"",'Residual-RosteredMATRIX-RN'!AJ19)</f>
        <v/>
      </c>
      <c r="AN35" s="25" t="str">
        <f>IF('Residual-RosteredMATRIX-RN'!AK19=0,"",'Residual-RosteredMATRIX-RN'!AK19)</f>
        <v/>
      </c>
      <c r="AO35" s="25" t="str">
        <f>IF('Residual-RosteredMATRIX-RN'!AL19=0,"",'Residual-RosteredMATRIX-RN'!AL19)</f>
        <v/>
      </c>
      <c r="AP35" s="25" t="str">
        <f>IF('Residual-RosteredMATRIX-RN'!AM19=0,"",'Residual-RosteredMATRIX-RN'!AM19)</f>
        <v/>
      </c>
      <c r="AQ35" s="25" t="str">
        <f>IF('Residual-RosteredMATRIX-RN'!AN19=0,"",'Residual-RosteredMATRIX-RN'!AN19)</f>
        <v/>
      </c>
      <c r="AR35" s="25" t="str">
        <f>IF('Residual-RosteredMATRIX-RN'!AO19=0,"",'Residual-RosteredMATRIX-RN'!AO19)</f>
        <v/>
      </c>
      <c r="AS35" s="25" t="str">
        <f>IF('Residual-RosteredMATRIX-RN'!AP19=0,"",'Residual-RosteredMATRIX-RN'!AP19)</f>
        <v/>
      </c>
      <c r="AT35" s="25" t="str">
        <f>IF('Residual-RosteredMATRIX-RN'!AQ19=0,"",'Residual-RosteredMATRIX-RN'!AQ19)</f>
        <v/>
      </c>
      <c r="AU35" s="25" t="str">
        <f>IF('Residual-RosteredMATRIX-RN'!AR19=0,"",'Residual-RosteredMATRIX-RN'!AR19)</f>
        <v/>
      </c>
      <c r="AV35" s="25" t="str">
        <f>IF('Residual-RosteredMATRIX-RN'!AS19=0,"",'Residual-RosteredMATRIX-RN'!AS19)</f>
        <v/>
      </c>
      <c r="AW35" s="25" t="str">
        <f>IF('Residual-RosteredMATRIX-RN'!AT19=0,"",'Residual-RosteredMATRIX-RN'!AT19)</f>
        <v/>
      </c>
    </row>
    <row r="36" spans="1:49" ht="15.75" customHeight="1" x14ac:dyDescent="0.25">
      <c r="A36" s="25" t="e">
        <f>'Residual-Rostered'!#REF!</f>
        <v>#REF!</v>
      </c>
      <c r="B36" s="33">
        <f>'Residual-RosteredMATRIX-RN'!C20</f>
        <v>0</v>
      </c>
      <c r="C36" s="33">
        <f>'Residual-RosteredMATRIX-RN'!B20</f>
        <v>0</v>
      </c>
      <c r="D36" s="34">
        <f>'Residual-RosteredMATRIX-RN'!D20</f>
        <v>0</v>
      </c>
      <c r="E36" s="14">
        <f>Max_HRS-Table3[[#This Row],[ROSTERED TIME]]</f>
        <v>76</v>
      </c>
      <c r="F36" s="14">
        <f t="shared" si="5"/>
        <v>0</v>
      </c>
      <c r="G36" s="14">
        <f>Table3[[#This Row],[ROSTERED TIME]]+Table3[[#This Row],[CHANGE TIME]]</f>
        <v>0</v>
      </c>
      <c r="H36" s="25" t="str">
        <f>IF('Residual-RosteredMATRIX-RN'!E20=0,"",'Residual-RosteredMATRIX-RN'!E20)</f>
        <v/>
      </c>
      <c r="I36" s="25" t="str">
        <f>IF('Residual-RosteredMATRIX-RN'!F20=0,"",'Residual-RosteredMATRIX-RN'!F20)</f>
        <v/>
      </c>
      <c r="J36" s="25" t="str">
        <f>IF('Residual-RosteredMATRIX-RN'!G20=0,"",'Residual-RosteredMATRIX-RN'!G20)</f>
        <v/>
      </c>
      <c r="K36" s="25" t="str">
        <f>IF('Residual-RosteredMATRIX-RN'!H20=0,"",'Residual-RosteredMATRIX-RN'!H20)</f>
        <v/>
      </c>
      <c r="L36" s="25" t="str">
        <f>IF('Residual-RosteredMATRIX-RN'!I20=0,"",'Residual-RosteredMATRIX-RN'!I20)</f>
        <v/>
      </c>
      <c r="M36" s="25" t="str">
        <f>IF('Residual-RosteredMATRIX-RN'!J20=0,"",'Residual-RosteredMATRIX-RN'!J20)</f>
        <v/>
      </c>
      <c r="N36" s="25" t="str">
        <f>IF('Residual-RosteredMATRIX-RN'!K20=0,"",'Residual-RosteredMATRIX-RN'!K20)</f>
        <v/>
      </c>
      <c r="O36" s="25" t="str">
        <f>IF('Residual-RosteredMATRIX-RN'!L20=0,"",'Residual-RosteredMATRIX-RN'!L20)</f>
        <v/>
      </c>
      <c r="P36" s="25" t="str">
        <f>IF('Residual-RosteredMATRIX-RN'!M20=0,"",'Residual-RosteredMATRIX-RN'!M20)</f>
        <v/>
      </c>
      <c r="Q36" s="25" t="str">
        <f>IF('Residual-RosteredMATRIX-RN'!N20=0,"",'Residual-RosteredMATRIX-RN'!N20)</f>
        <v/>
      </c>
      <c r="R36" s="25" t="str">
        <f>IF('Residual-RosteredMATRIX-RN'!O20=0,"",'Residual-RosteredMATRIX-RN'!O20)</f>
        <v/>
      </c>
      <c r="S36" s="25" t="str">
        <f>IF('Residual-RosteredMATRIX-RN'!P20=0,"",'Residual-RosteredMATRIX-RN'!P20)</f>
        <v/>
      </c>
      <c r="T36" s="25" t="str">
        <f>IF('Residual-RosteredMATRIX-RN'!Q20=0,"",'Residual-RosteredMATRIX-RN'!Q20)</f>
        <v/>
      </c>
      <c r="U36" s="25" t="str">
        <f>IF('Residual-RosteredMATRIX-RN'!R20=0,"",'Residual-RosteredMATRIX-RN'!R20)</f>
        <v/>
      </c>
      <c r="V36" s="25" t="str">
        <f>IF('Residual-RosteredMATRIX-RN'!S20=0,"",'Residual-RosteredMATRIX-RN'!S20)</f>
        <v/>
      </c>
      <c r="W36" s="25" t="str">
        <f>IF('Residual-RosteredMATRIX-RN'!T20=0,"",'Residual-RosteredMATRIX-RN'!T20)</f>
        <v/>
      </c>
      <c r="X36" s="25" t="str">
        <f>IF('Residual-RosteredMATRIX-RN'!U20=0,"",'Residual-RosteredMATRIX-RN'!U20)</f>
        <v/>
      </c>
      <c r="Y36" s="25" t="str">
        <f>IF('Residual-RosteredMATRIX-RN'!V20=0,"",'Residual-RosteredMATRIX-RN'!V20)</f>
        <v/>
      </c>
      <c r="Z36" s="25" t="str">
        <f>IF('Residual-RosteredMATRIX-RN'!W20=0,"",'Residual-RosteredMATRIX-RN'!W20)</f>
        <v/>
      </c>
      <c r="AA36" s="25" t="str">
        <f>IF('Residual-RosteredMATRIX-RN'!X20=0,"",'Residual-RosteredMATRIX-RN'!X20)</f>
        <v/>
      </c>
      <c r="AB36" s="25" t="str">
        <f>IF('Residual-RosteredMATRIX-RN'!Y20=0,"",'Residual-RosteredMATRIX-RN'!Y20)</f>
        <v/>
      </c>
      <c r="AC36" s="25" t="str">
        <f>IF('Residual-RosteredMATRIX-RN'!Z20=0,"",'Residual-RosteredMATRIX-RN'!Z20)</f>
        <v/>
      </c>
      <c r="AD36" s="25" t="str">
        <f>IF('Residual-RosteredMATRIX-RN'!AA20=0,"",'Residual-RosteredMATRIX-RN'!AA20)</f>
        <v/>
      </c>
      <c r="AE36" s="25" t="str">
        <f>IF('Residual-RosteredMATRIX-RN'!AB20=0,"",'Residual-RosteredMATRIX-RN'!AB20)</f>
        <v/>
      </c>
      <c r="AF36" s="25" t="str">
        <f>IF('Residual-RosteredMATRIX-RN'!AC20=0,"",'Residual-RosteredMATRIX-RN'!AC20)</f>
        <v/>
      </c>
      <c r="AG36" s="25" t="str">
        <f>IF('Residual-RosteredMATRIX-RN'!AD20=0,"",'Residual-RosteredMATRIX-RN'!AD20)</f>
        <v/>
      </c>
      <c r="AH36" s="25" t="str">
        <f>IF('Residual-RosteredMATRIX-RN'!AE20=0,"",'Residual-RosteredMATRIX-RN'!AE20)</f>
        <v/>
      </c>
      <c r="AI36" s="25" t="str">
        <f>IF('Residual-RosteredMATRIX-RN'!AF20=0,"",'Residual-RosteredMATRIX-RN'!AF20)</f>
        <v/>
      </c>
      <c r="AJ36" s="25" t="str">
        <f>IF('Residual-RosteredMATRIX-RN'!AG20=0,"",'Residual-RosteredMATRIX-RN'!AG20)</f>
        <v/>
      </c>
      <c r="AK36" s="25" t="str">
        <f>IF('Residual-RosteredMATRIX-RN'!AH20=0,"",'Residual-RosteredMATRIX-RN'!AH20)</f>
        <v/>
      </c>
      <c r="AL36" s="25" t="str">
        <f>IF('Residual-RosteredMATRIX-RN'!AI20=0,"",'Residual-RosteredMATRIX-RN'!AI20)</f>
        <v/>
      </c>
      <c r="AM36" s="25" t="str">
        <f>IF('Residual-RosteredMATRIX-RN'!AJ20=0,"",'Residual-RosteredMATRIX-RN'!AJ20)</f>
        <v/>
      </c>
      <c r="AN36" s="25" t="str">
        <f>IF('Residual-RosteredMATRIX-RN'!AK20=0,"",'Residual-RosteredMATRIX-RN'!AK20)</f>
        <v/>
      </c>
      <c r="AO36" s="25" t="str">
        <f>IF('Residual-RosteredMATRIX-RN'!AL20=0,"",'Residual-RosteredMATRIX-RN'!AL20)</f>
        <v/>
      </c>
      <c r="AP36" s="25" t="str">
        <f>IF('Residual-RosteredMATRIX-RN'!AM20=0,"",'Residual-RosteredMATRIX-RN'!AM20)</f>
        <v/>
      </c>
      <c r="AQ36" s="25" t="str">
        <f>IF('Residual-RosteredMATRIX-RN'!AN20=0,"",'Residual-RosteredMATRIX-RN'!AN20)</f>
        <v/>
      </c>
      <c r="AR36" s="25" t="str">
        <f>IF('Residual-RosteredMATRIX-RN'!AO20=0,"",'Residual-RosteredMATRIX-RN'!AO20)</f>
        <v/>
      </c>
      <c r="AS36" s="25" t="str">
        <f>IF('Residual-RosteredMATRIX-RN'!AP20=0,"",'Residual-RosteredMATRIX-RN'!AP20)</f>
        <v/>
      </c>
      <c r="AT36" s="25" t="str">
        <f>IF('Residual-RosteredMATRIX-RN'!AQ20=0,"",'Residual-RosteredMATRIX-RN'!AQ20)</f>
        <v/>
      </c>
      <c r="AU36" s="25" t="str">
        <f>IF('Residual-RosteredMATRIX-RN'!AR20=0,"",'Residual-RosteredMATRIX-RN'!AR20)</f>
        <v/>
      </c>
      <c r="AV36" s="25" t="str">
        <f>IF('Residual-RosteredMATRIX-RN'!AS20=0,"",'Residual-RosteredMATRIX-RN'!AS20)</f>
        <v/>
      </c>
      <c r="AW36" s="25" t="str">
        <f>IF('Residual-RosteredMATRIX-RN'!AT20=0,"",'Residual-RosteredMATRIX-RN'!AT20)</f>
        <v/>
      </c>
    </row>
    <row r="37" spans="1:49" ht="15.75" customHeight="1" x14ac:dyDescent="0.25">
      <c r="A37" s="25" t="e">
        <f>'Residual-Rostered'!#REF!</f>
        <v>#REF!</v>
      </c>
      <c r="B37" s="33">
        <f>'Residual-RosteredMATRIX-RN'!C21</f>
        <v>0</v>
      </c>
      <c r="C37" s="33">
        <f>'Residual-RosteredMATRIX-RN'!B21</f>
        <v>0</v>
      </c>
      <c r="D37" s="34">
        <f>'Residual-RosteredMATRIX-RN'!D21</f>
        <v>0</v>
      </c>
      <c r="E37" s="14">
        <f>Max_HRS-Table3[[#This Row],[ROSTERED TIME]]</f>
        <v>76</v>
      </c>
      <c r="F37" s="14">
        <f t="shared" si="5"/>
        <v>0</v>
      </c>
      <c r="G37" s="14">
        <f>Table3[[#This Row],[ROSTERED TIME]]+Table3[[#This Row],[CHANGE TIME]]</f>
        <v>0</v>
      </c>
      <c r="H37" s="25" t="str">
        <f>IF('Residual-RosteredMATRIX-RN'!E21=0,"",'Residual-RosteredMATRIX-RN'!E21)</f>
        <v/>
      </c>
      <c r="I37" s="25" t="str">
        <f>IF('Residual-RosteredMATRIX-RN'!F21=0,"",'Residual-RosteredMATRIX-RN'!F21)</f>
        <v/>
      </c>
      <c r="J37" s="25" t="str">
        <f>IF('Residual-RosteredMATRIX-RN'!G21=0,"",'Residual-RosteredMATRIX-RN'!G21)</f>
        <v/>
      </c>
      <c r="K37" s="25" t="str">
        <f>IF('Residual-RosteredMATRIX-RN'!H21=0,"",'Residual-RosteredMATRIX-RN'!H21)</f>
        <v/>
      </c>
      <c r="L37" s="25" t="str">
        <f>IF('Residual-RosteredMATRIX-RN'!I21=0,"",'Residual-RosteredMATRIX-RN'!I21)</f>
        <v/>
      </c>
      <c r="M37" s="25" t="str">
        <f>IF('Residual-RosteredMATRIX-RN'!J21=0,"",'Residual-RosteredMATRIX-RN'!J21)</f>
        <v/>
      </c>
      <c r="N37" s="25" t="str">
        <f>IF('Residual-RosteredMATRIX-RN'!K21=0,"",'Residual-RosteredMATRIX-RN'!K21)</f>
        <v/>
      </c>
      <c r="O37" s="25" t="str">
        <f>IF('Residual-RosteredMATRIX-RN'!L21=0,"",'Residual-RosteredMATRIX-RN'!L21)</f>
        <v/>
      </c>
      <c r="P37" s="25" t="str">
        <f>IF('Residual-RosteredMATRIX-RN'!M21=0,"",'Residual-RosteredMATRIX-RN'!M21)</f>
        <v/>
      </c>
      <c r="Q37" s="25" t="str">
        <f>IF('Residual-RosteredMATRIX-RN'!N21=0,"",'Residual-RosteredMATRIX-RN'!N21)</f>
        <v/>
      </c>
      <c r="R37" s="25" t="str">
        <f>IF('Residual-RosteredMATRIX-RN'!O21=0,"",'Residual-RosteredMATRIX-RN'!O21)</f>
        <v/>
      </c>
      <c r="S37" s="25" t="str">
        <f>IF('Residual-RosteredMATRIX-RN'!P21=0,"",'Residual-RosteredMATRIX-RN'!P21)</f>
        <v/>
      </c>
      <c r="T37" s="25" t="str">
        <f>IF('Residual-RosteredMATRIX-RN'!Q21=0,"",'Residual-RosteredMATRIX-RN'!Q21)</f>
        <v/>
      </c>
      <c r="U37" s="25" t="str">
        <f>IF('Residual-RosteredMATRIX-RN'!R21=0,"",'Residual-RosteredMATRIX-RN'!R21)</f>
        <v/>
      </c>
      <c r="V37" s="25" t="str">
        <f>IF('Residual-RosteredMATRIX-RN'!S21=0,"",'Residual-RosteredMATRIX-RN'!S21)</f>
        <v/>
      </c>
      <c r="W37" s="25" t="str">
        <f>IF('Residual-RosteredMATRIX-RN'!T21=0,"",'Residual-RosteredMATRIX-RN'!T21)</f>
        <v/>
      </c>
      <c r="X37" s="25" t="str">
        <f>IF('Residual-RosteredMATRIX-RN'!U21=0,"",'Residual-RosteredMATRIX-RN'!U21)</f>
        <v/>
      </c>
      <c r="Y37" s="25" t="str">
        <f>IF('Residual-RosteredMATRIX-RN'!V21=0,"",'Residual-RosteredMATRIX-RN'!V21)</f>
        <v/>
      </c>
      <c r="Z37" s="25" t="str">
        <f>IF('Residual-RosteredMATRIX-RN'!W21=0,"",'Residual-RosteredMATRIX-RN'!W21)</f>
        <v/>
      </c>
      <c r="AA37" s="25" t="str">
        <f>IF('Residual-RosteredMATRIX-RN'!X21=0,"",'Residual-RosteredMATRIX-RN'!X21)</f>
        <v/>
      </c>
      <c r="AB37" s="25" t="str">
        <f>IF('Residual-RosteredMATRIX-RN'!Y21=0,"",'Residual-RosteredMATRIX-RN'!Y21)</f>
        <v/>
      </c>
      <c r="AC37" s="25" t="str">
        <f>IF('Residual-RosteredMATRIX-RN'!Z21=0,"",'Residual-RosteredMATRIX-RN'!Z21)</f>
        <v/>
      </c>
      <c r="AD37" s="25" t="str">
        <f>IF('Residual-RosteredMATRIX-RN'!AA21=0,"",'Residual-RosteredMATRIX-RN'!AA21)</f>
        <v/>
      </c>
      <c r="AE37" s="25" t="str">
        <f>IF('Residual-RosteredMATRIX-RN'!AB21=0,"",'Residual-RosteredMATRIX-RN'!AB21)</f>
        <v/>
      </c>
      <c r="AF37" s="25" t="str">
        <f>IF('Residual-RosteredMATRIX-RN'!AC21=0,"",'Residual-RosteredMATRIX-RN'!AC21)</f>
        <v/>
      </c>
      <c r="AG37" s="25" t="str">
        <f>IF('Residual-RosteredMATRIX-RN'!AD21=0,"",'Residual-RosteredMATRIX-RN'!AD21)</f>
        <v/>
      </c>
      <c r="AH37" s="25" t="str">
        <f>IF('Residual-RosteredMATRIX-RN'!AE21=0,"",'Residual-RosteredMATRIX-RN'!AE21)</f>
        <v/>
      </c>
      <c r="AI37" s="25" t="str">
        <f>IF('Residual-RosteredMATRIX-RN'!AF21=0,"",'Residual-RosteredMATRIX-RN'!AF21)</f>
        <v/>
      </c>
      <c r="AJ37" s="25" t="str">
        <f>IF('Residual-RosteredMATRIX-RN'!AG21=0,"",'Residual-RosteredMATRIX-RN'!AG21)</f>
        <v/>
      </c>
      <c r="AK37" s="25" t="str">
        <f>IF('Residual-RosteredMATRIX-RN'!AH21=0,"",'Residual-RosteredMATRIX-RN'!AH21)</f>
        <v/>
      </c>
      <c r="AL37" s="25" t="str">
        <f>IF('Residual-RosteredMATRIX-RN'!AI21=0,"",'Residual-RosteredMATRIX-RN'!AI21)</f>
        <v/>
      </c>
      <c r="AM37" s="25" t="str">
        <f>IF('Residual-RosteredMATRIX-RN'!AJ21=0,"",'Residual-RosteredMATRIX-RN'!AJ21)</f>
        <v/>
      </c>
      <c r="AN37" s="25" t="str">
        <f>IF('Residual-RosteredMATRIX-RN'!AK21=0,"",'Residual-RosteredMATRIX-RN'!AK21)</f>
        <v/>
      </c>
      <c r="AO37" s="25" t="str">
        <f>IF('Residual-RosteredMATRIX-RN'!AL21=0,"",'Residual-RosteredMATRIX-RN'!AL21)</f>
        <v/>
      </c>
      <c r="AP37" s="25" t="str">
        <f>IF('Residual-RosteredMATRIX-RN'!AM21=0,"",'Residual-RosteredMATRIX-RN'!AM21)</f>
        <v/>
      </c>
      <c r="AQ37" s="25" t="str">
        <f>IF('Residual-RosteredMATRIX-RN'!AN21=0,"",'Residual-RosteredMATRIX-RN'!AN21)</f>
        <v/>
      </c>
      <c r="AR37" s="25" t="str">
        <f>IF('Residual-RosteredMATRIX-RN'!AO21=0,"",'Residual-RosteredMATRIX-RN'!AO21)</f>
        <v/>
      </c>
      <c r="AS37" s="25" t="str">
        <f>IF('Residual-RosteredMATRIX-RN'!AP21=0,"",'Residual-RosteredMATRIX-RN'!AP21)</f>
        <v/>
      </c>
      <c r="AT37" s="25" t="str">
        <f>IF('Residual-RosteredMATRIX-RN'!AQ21=0,"",'Residual-RosteredMATRIX-RN'!AQ21)</f>
        <v/>
      </c>
      <c r="AU37" s="25" t="str">
        <f>IF('Residual-RosteredMATRIX-RN'!AR21=0,"",'Residual-RosteredMATRIX-RN'!AR21)</f>
        <v/>
      </c>
      <c r="AV37" s="25" t="str">
        <f>IF('Residual-RosteredMATRIX-RN'!AS21=0,"",'Residual-RosteredMATRIX-RN'!AS21)</f>
        <v/>
      </c>
      <c r="AW37" s="25" t="str">
        <f>IF('Residual-RosteredMATRIX-RN'!AT21=0,"",'Residual-RosteredMATRIX-RN'!AT21)</f>
        <v/>
      </c>
    </row>
    <row r="38" spans="1:49" ht="15.75" customHeight="1" x14ac:dyDescent="0.25">
      <c r="A38" s="25" t="e">
        <f>'Residual-Rostered'!#REF!</f>
        <v>#REF!</v>
      </c>
      <c r="B38" s="33">
        <f>'Residual-RosteredMATRIX-RN'!C22</f>
        <v>0</v>
      </c>
      <c r="C38" s="33">
        <f>'Residual-RosteredMATRIX-RN'!B22</f>
        <v>0</v>
      </c>
      <c r="D38" s="34">
        <f>'Residual-RosteredMATRIX-RN'!D22</f>
        <v>0</v>
      </c>
      <c r="E38" s="14">
        <f>Max_HRS-Table3[[#This Row],[ROSTERED TIME]]</f>
        <v>76</v>
      </c>
      <c r="F38" s="14">
        <f t="shared" si="5"/>
        <v>0</v>
      </c>
      <c r="G38" s="14">
        <f>Table3[[#This Row],[ROSTERED TIME]]+Table3[[#This Row],[CHANGE TIME]]</f>
        <v>0</v>
      </c>
      <c r="H38" s="25" t="str">
        <f>IF('Residual-RosteredMATRIX-RN'!E22=0,"",'Residual-RosteredMATRIX-RN'!E22)</f>
        <v/>
      </c>
      <c r="I38" s="25" t="str">
        <f>IF('Residual-RosteredMATRIX-RN'!F22=0,"",'Residual-RosteredMATRIX-RN'!F22)</f>
        <v/>
      </c>
      <c r="J38" s="25" t="str">
        <f>IF('Residual-RosteredMATRIX-RN'!G22=0,"",'Residual-RosteredMATRIX-RN'!G22)</f>
        <v/>
      </c>
      <c r="K38" s="25" t="str">
        <f>IF('Residual-RosteredMATRIX-RN'!H22=0,"",'Residual-RosteredMATRIX-RN'!H22)</f>
        <v/>
      </c>
      <c r="L38" s="25" t="str">
        <f>IF('Residual-RosteredMATRIX-RN'!I22=0,"",'Residual-RosteredMATRIX-RN'!I22)</f>
        <v/>
      </c>
      <c r="M38" s="25" t="str">
        <f>IF('Residual-RosteredMATRIX-RN'!J22=0,"",'Residual-RosteredMATRIX-RN'!J22)</f>
        <v/>
      </c>
      <c r="N38" s="25" t="str">
        <f>IF('Residual-RosteredMATRIX-RN'!K22=0,"",'Residual-RosteredMATRIX-RN'!K22)</f>
        <v/>
      </c>
      <c r="O38" s="25" t="str">
        <f>IF('Residual-RosteredMATRIX-RN'!L22=0,"",'Residual-RosteredMATRIX-RN'!L22)</f>
        <v/>
      </c>
      <c r="P38" s="25" t="str">
        <f>IF('Residual-RosteredMATRIX-RN'!M22=0,"",'Residual-RosteredMATRIX-RN'!M22)</f>
        <v/>
      </c>
      <c r="Q38" s="25" t="str">
        <f>IF('Residual-RosteredMATRIX-RN'!N22=0,"",'Residual-RosteredMATRIX-RN'!N22)</f>
        <v/>
      </c>
      <c r="R38" s="25" t="str">
        <f>IF('Residual-RosteredMATRIX-RN'!O22=0,"",'Residual-RosteredMATRIX-RN'!O22)</f>
        <v/>
      </c>
      <c r="S38" s="25" t="str">
        <f>IF('Residual-RosteredMATRIX-RN'!P22=0,"",'Residual-RosteredMATRIX-RN'!P22)</f>
        <v/>
      </c>
      <c r="T38" s="25" t="str">
        <f>IF('Residual-RosteredMATRIX-RN'!Q22=0,"",'Residual-RosteredMATRIX-RN'!Q22)</f>
        <v/>
      </c>
      <c r="U38" s="25" t="str">
        <f>IF('Residual-RosteredMATRIX-RN'!R22=0,"",'Residual-RosteredMATRIX-RN'!R22)</f>
        <v/>
      </c>
      <c r="V38" s="25" t="str">
        <f>IF('Residual-RosteredMATRIX-RN'!S22=0,"",'Residual-RosteredMATRIX-RN'!S22)</f>
        <v/>
      </c>
      <c r="W38" s="25" t="str">
        <f>IF('Residual-RosteredMATRIX-RN'!T22=0,"",'Residual-RosteredMATRIX-RN'!T22)</f>
        <v/>
      </c>
      <c r="X38" s="25" t="str">
        <f>IF('Residual-RosteredMATRIX-RN'!U22=0,"",'Residual-RosteredMATRIX-RN'!U22)</f>
        <v/>
      </c>
      <c r="Y38" s="25" t="str">
        <f>IF('Residual-RosteredMATRIX-RN'!V22=0,"",'Residual-RosteredMATRIX-RN'!V22)</f>
        <v/>
      </c>
      <c r="Z38" s="25" t="str">
        <f>IF('Residual-RosteredMATRIX-RN'!W22=0,"",'Residual-RosteredMATRIX-RN'!W22)</f>
        <v/>
      </c>
      <c r="AA38" s="25" t="str">
        <f>IF('Residual-RosteredMATRIX-RN'!X22=0,"",'Residual-RosteredMATRIX-RN'!X22)</f>
        <v/>
      </c>
      <c r="AB38" s="25" t="str">
        <f>IF('Residual-RosteredMATRIX-RN'!Y22=0,"",'Residual-RosteredMATRIX-RN'!Y22)</f>
        <v/>
      </c>
      <c r="AC38" s="25" t="str">
        <f>IF('Residual-RosteredMATRIX-RN'!Z22=0,"",'Residual-RosteredMATRIX-RN'!Z22)</f>
        <v/>
      </c>
      <c r="AD38" s="25" t="str">
        <f>IF('Residual-RosteredMATRIX-RN'!AA22=0,"",'Residual-RosteredMATRIX-RN'!AA22)</f>
        <v/>
      </c>
      <c r="AE38" s="25" t="str">
        <f>IF('Residual-RosteredMATRIX-RN'!AB22=0,"",'Residual-RosteredMATRIX-RN'!AB22)</f>
        <v/>
      </c>
      <c r="AF38" s="25" t="str">
        <f>IF('Residual-RosteredMATRIX-RN'!AC22=0,"",'Residual-RosteredMATRIX-RN'!AC22)</f>
        <v/>
      </c>
      <c r="AG38" s="25" t="str">
        <f>IF('Residual-RosteredMATRIX-RN'!AD22=0,"",'Residual-RosteredMATRIX-RN'!AD22)</f>
        <v/>
      </c>
      <c r="AH38" s="25" t="str">
        <f>IF('Residual-RosteredMATRIX-RN'!AE22=0,"",'Residual-RosteredMATRIX-RN'!AE22)</f>
        <v/>
      </c>
      <c r="AI38" s="25" t="str">
        <f>IF('Residual-RosteredMATRIX-RN'!AF22=0,"",'Residual-RosteredMATRIX-RN'!AF22)</f>
        <v/>
      </c>
      <c r="AJ38" s="25" t="str">
        <f>IF('Residual-RosteredMATRIX-RN'!AG22=0,"",'Residual-RosteredMATRIX-RN'!AG22)</f>
        <v/>
      </c>
      <c r="AK38" s="25" t="str">
        <f>IF('Residual-RosteredMATRIX-RN'!AH22=0,"",'Residual-RosteredMATRIX-RN'!AH22)</f>
        <v/>
      </c>
      <c r="AL38" s="25" t="str">
        <f>IF('Residual-RosteredMATRIX-RN'!AI22=0,"",'Residual-RosteredMATRIX-RN'!AI22)</f>
        <v/>
      </c>
      <c r="AM38" s="25" t="str">
        <f>IF('Residual-RosteredMATRIX-RN'!AJ22=0,"",'Residual-RosteredMATRIX-RN'!AJ22)</f>
        <v/>
      </c>
      <c r="AN38" s="25" t="str">
        <f>IF('Residual-RosteredMATRIX-RN'!AK22=0,"",'Residual-RosteredMATRIX-RN'!AK22)</f>
        <v/>
      </c>
      <c r="AO38" s="25" t="str">
        <f>IF('Residual-RosteredMATRIX-RN'!AL22=0,"",'Residual-RosteredMATRIX-RN'!AL22)</f>
        <v/>
      </c>
      <c r="AP38" s="25" t="str">
        <f>IF('Residual-RosteredMATRIX-RN'!AM22=0,"",'Residual-RosteredMATRIX-RN'!AM22)</f>
        <v/>
      </c>
      <c r="AQ38" s="25" t="str">
        <f>IF('Residual-RosteredMATRIX-RN'!AN22=0,"",'Residual-RosteredMATRIX-RN'!AN22)</f>
        <v/>
      </c>
      <c r="AR38" s="25" t="str">
        <f>IF('Residual-RosteredMATRIX-RN'!AO22=0,"",'Residual-RosteredMATRIX-RN'!AO22)</f>
        <v/>
      </c>
      <c r="AS38" s="25" t="str">
        <f>IF('Residual-RosteredMATRIX-RN'!AP22=0,"",'Residual-RosteredMATRIX-RN'!AP22)</f>
        <v/>
      </c>
      <c r="AT38" s="25" t="str">
        <f>IF('Residual-RosteredMATRIX-RN'!AQ22=0,"",'Residual-RosteredMATRIX-RN'!AQ22)</f>
        <v/>
      </c>
      <c r="AU38" s="25" t="str">
        <f>IF('Residual-RosteredMATRIX-RN'!AR22=0,"",'Residual-RosteredMATRIX-RN'!AR22)</f>
        <v/>
      </c>
      <c r="AV38" s="25" t="str">
        <f>IF('Residual-RosteredMATRIX-RN'!AS22=0,"",'Residual-RosteredMATRIX-RN'!AS22)</f>
        <v/>
      </c>
      <c r="AW38" s="25" t="str">
        <f>IF('Residual-RosteredMATRIX-RN'!AT22=0,"",'Residual-RosteredMATRIX-RN'!AT22)</f>
        <v/>
      </c>
    </row>
    <row r="39" spans="1:49" ht="15.75" customHeight="1" x14ac:dyDescent="0.25">
      <c r="A39" s="25" t="e">
        <f>'Residual-Rostered'!#REF!</f>
        <v>#REF!</v>
      </c>
      <c r="B39" s="33">
        <f>'Residual-RosteredMATRIX-RN'!C23</f>
        <v>0</v>
      </c>
      <c r="C39" s="33">
        <f>'Residual-RosteredMATRIX-RN'!B23</f>
        <v>0</v>
      </c>
      <c r="D39" s="34">
        <f>'Residual-RosteredMATRIX-RN'!D23</f>
        <v>0</v>
      </c>
      <c r="E39" s="14">
        <f>Max_HRS-Table3[[#This Row],[ROSTERED TIME]]</f>
        <v>76</v>
      </c>
      <c r="F39" s="14">
        <f t="shared" si="5"/>
        <v>0</v>
      </c>
      <c r="G39" s="14">
        <f>Table3[[#This Row],[ROSTERED TIME]]+Table3[[#This Row],[CHANGE TIME]]</f>
        <v>0</v>
      </c>
      <c r="H39" s="25" t="str">
        <f>IF('Residual-RosteredMATRIX-RN'!E23=0,"",'Residual-RosteredMATRIX-RN'!E23)</f>
        <v/>
      </c>
      <c r="I39" s="25" t="str">
        <f>IF('Residual-RosteredMATRIX-RN'!F23=0,"",'Residual-RosteredMATRIX-RN'!F23)</f>
        <v/>
      </c>
      <c r="J39" s="25" t="str">
        <f>IF('Residual-RosteredMATRIX-RN'!G23=0,"",'Residual-RosteredMATRIX-RN'!G23)</f>
        <v/>
      </c>
      <c r="K39" s="25" t="str">
        <f>IF('Residual-RosteredMATRIX-RN'!H23=0,"",'Residual-RosteredMATRIX-RN'!H23)</f>
        <v/>
      </c>
      <c r="L39" s="25" t="str">
        <f>IF('Residual-RosteredMATRIX-RN'!I23=0,"",'Residual-RosteredMATRIX-RN'!I23)</f>
        <v/>
      </c>
      <c r="M39" s="25" t="str">
        <f>IF('Residual-RosteredMATRIX-RN'!J23=0,"",'Residual-RosteredMATRIX-RN'!J23)</f>
        <v/>
      </c>
      <c r="N39" s="25" t="str">
        <f>IF('Residual-RosteredMATRIX-RN'!K23=0,"",'Residual-RosteredMATRIX-RN'!K23)</f>
        <v/>
      </c>
      <c r="O39" s="25" t="str">
        <f>IF('Residual-RosteredMATRIX-RN'!L23=0,"",'Residual-RosteredMATRIX-RN'!L23)</f>
        <v/>
      </c>
      <c r="P39" s="25" t="str">
        <f>IF('Residual-RosteredMATRIX-RN'!M23=0,"",'Residual-RosteredMATRIX-RN'!M23)</f>
        <v/>
      </c>
      <c r="Q39" s="25" t="str">
        <f>IF('Residual-RosteredMATRIX-RN'!N23=0,"",'Residual-RosteredMATRIX-RN'!N23)</f>
        <v/>
      </c>
      <c r="R39" s="25" t="str">
        <f>IF('Residual-RosteredMATRIX-RN'!O23=0,"",'Residual-RosteredMATRIX-RN'!O23)</f>
        <v/>
      </c>
      <c r="S39" s="25" t="str">
        <f>IF('Residual-RosteredMATRIX-RN'!P23=0,"",'Residual-RosteredMATRIX-RN'!P23)</f>
        <v/>
      </c>
      <c r="T39" s="25" t="str">
        <f>IF('Residual-RosteredMATRIX-RN'!Q23=0,"",'Residual-RosteredMATRIX-RN'!Q23)</f>
        <v/>
      </c>
      <c r="U39" s="25" t="str">
        <f>IF('Residual-RosteredMATRIX-RN'!R23=0,"",'Residual-RosteredMATRIX-RN'!R23)</f>
        <v/>
      </c>
      <c r="V39" s="25" t="str">
        <f>IF('Residual-RosteredMATRIX-RN'!S23=0,"",'Residual-RosteredMATRIX-RN'!S23)</f>
        <v/>
      </c>
      <c r="W39" s="25" t="str">
        <f>IF('Residual-RosteredMATRIX-RN'!T23=0,"",'Residual-RosteredMATRIX-RN'!T23)</f>
        <v/>
      </c>
      <c r="X39" s="25" t="str">
        <f>IF('Residual-RosteredMATRIX-RN'!U23=0,"",'Residual-RosteredMATRIX-RN'!U23)</f>
        <v/>
      </c>
      <c r="Y39" s="25" t="str">
        <f>IF('Residual-RosteredMATRIX-RN'!V23=0,"",'Residual-RosteredMATRIX-RN'!V23)</f>
        <v/>
      </c>
      <c r="Z39" s="25" t="str">
        <f>IF('Residual-RosteredMATRIX-RN'!W23=0,"",'Residual-RosteredMATRIX-RN'!W23)</f>
        <v/>
      </c>
      <c r="AA39" s="25" t="str">
        <f>IF('Residual-RosteredMATRIX-RN'!X23=0,"",'Residual-RosteredMATRIX-RN'!X23)</f>
        <v/>
      </c>
      <c r="AB39" s="25" t="str">
        <f>IF('Residual-RosteredMATRIX-RN'!Y23=0,"",'Residual-RosteredMATRIX-RN'!Y23)</f>
        <v/>
      </c>
      <c r="AC39" s="25" t="str">
        <f>IF('Residual-RosteredMATRIX-RN'!Z23=0,"",'Residual-RosteredMATRIX-RN'!Z23)</f>
        <v/>
      </c>
      <c r="AD39" s="25" t="str">
        <f>IF('Residual-RosteredMATRIX-RN'!AA23=0,"",'Residual-RosteredMATRIX-RN'!AA23)</f>
        <v/>
      </c>
      <c r="AE39" s="25" t="str">
        <f>IF('Residual-RosteredMATRIX-RN'!AB23=0,"",'Residual-RosteredMATRIX-RN'!AB23)</f>
        <v/>
      </c>
      <c r="AF39" s="25" t="str">
        <f>IF('Residual-RosteredMATRIX-RN'!AC23=0,"",'Residual-RosteredMATRIX-RN'!AC23)</f>
        <v/>
      </c>
      <c r="AG39" s="25" t="str">
        <f>IF('Residual-RosteredMATRIX-RN'!AD23=0,"",'Residual-RosteredMATRIX-RN'!AD23)</f>
        <v/>
      </c>
      <c r="AH39" s="25" t="str">
        <f>IF('Residual-RosteredMATRIX-RN'!AE23=0,"",'Residual-RosteredMATRIX-RN'!AE23)</f>
        <v/>
      </c>
      <c r="AI39" s="25" t="str">
        <f>IF('Residual-RosteredMATRIX-RN'!AF23=0,"",'Residual-RosteredMATRIX-RN'!AF23)</f>
        <v/>
      </c>
      <c r="AJ39" s="25" t="str">
        <f>IF('Residual-RosteredMATRIX-RN'!AG23=0,"",'Residual-RosteredMATRIX-RN'!AG23)</f>
        <v/>
      </c>
      <c r="AK39" s="25" t="str">
        <f>IF('Residual-RosteredMATRIX-RN'!AH23=0,"",'Residual-RosteredMATRIX-RN'!AH23)</f>
        <v/>
      </c>
      <c r="AL39" s="25" t="str">
        <f>IF('Residual-RosteredMATRIX-RN'!AI23=0,"",'Residual-RosteredMATRIX-RN'!AI23)</f>
        <v/>
      </c>
      <c r="AM39" s="25" t="str">
        <f>IF('Residual-RosteredMATRIX-RN'!AJ23=0,"",'Residual-RosteredMATRIX-RN'!AJ23)</f>
        <v/>
      </c>
      <c r="AN39" s="25" t="str">
        <f>IF('Residual-RosteredMATRIX-RN'!AK23=0,"",'Residual-RosteredMATRIX-RN'!AK23)</f>
        <v/>
      </c>
      <c r="AO39" s="25" t="str">
        <f>IF('Residual-RosteredMATRIX-RN'!AL23=0,"",'Residual-RosteredMATRIX-RN'!AL23)</f>
        <v/>
      </c>
      <c r="AP39" s="25" t="str">
        <f>IF('Residual-RosteredMATRIX-RN'!AM23=0,"",'Residual-RosteredMATRIX-RN'!AM23)</f>
        <v/>
      </c>
      <c r="AQ39" s="25" t="str">
        <f>IF('Residual-RosteredMATRIX-RN'!AN23=0,"",'Residual-RosteredMATRIX-RN'!AN23)</f>
        <v/>
      </c>
      <c r="AR39" s="25" t="str">
        <f>IF('Residual-RosteredMATRIX-RN'!AO23=0,"",'Residual-RosteredMATRIX-RN'!AO23)</f>
        <v/>
      </c>
      <c r="AS39" s="25" t="str">
        <f>IF('Residual-RosteredMATRIX-RN'!AP23=0,"",'Residual-RosteredMATRIX-RN'!AP23)</f>
        <v/>
      </c>
      <c r="AT39" s="25" t="str">
        <f>IF('Residual-RosteredMATRIX-RN'!AQ23=0,"",'Residual-RosteredMATRIX-RN'!AQ23)</f>
        <v/>
      </c>
      <c r="AU39" s="25" t="str">
        <f>IF('Residual-RosteredMATRIX-RN'!AR23=0,"",'Residual-RosteredMATRIX-RN'!AR23)</f>
        <v/>
      </c>
      <c r="AV39" s="25" t="str">
        <f>IF('Residual-RosteredMATRIX-RN'!AS23=0,"",'Residual-RosteredMATRIX-RN'!AS23)</f>
        <v/>
      </c>
      <c r="AW39" s="25" t="str">
        <f>IF('Residual-RosteredMATRIX-RN'!AT23=0,"",'Residual-RosteredMATRIX-RN'!AT23)</f>
        <v/>
      </c>
    </row>
    <row r="40" spans="1:49" ht="15.75" customHeight="1" x14ac:dyDescent="0.25">
      <c r="A40" s="25" t="e">
        <f>'Residual-Rostered'!#REF!</f>
        <v>#REF!</v>
      </c>
      <c r="B40" s="33">
        <f>'Residual-RosteredMATRIX-RN'!C24</f>
        <v>0</v>
      </c>
      <c r="C40" s="33">
        <f>'Residual-RosteredMATRIX-RN'!B24</f>
        <v>0</v>
      </c>
      <c r="D40" s="34">
        <f>'Residual-RosteredMATRIX-RN'!D24</f>
        <v>0</v>
      </c>
      <c r="E40" s="14">
        <f>Max_HRS-Table3[[#This Row],[ROSTERED TIME]]</f>
        <v>76</v>
      </c>
      <c r="F40" s="14">
        <f t="shared" si="5"/>
        <v>0</v>
      </c>
      <c r="G40" s="14">
        <f>Table3[[#This Row],[ROSTERED TIME]]+Table3[[#This Row],[CHANGE TIME]]</f>
        <v>0</v>
      </c>
      <c r="H40" s="25" t="str">
        <f>IF('Residual-RosteredMATRIX-RN'!E24=0,"",'Residual-RosteredMATRIX-RN'!E24)</f>
        <v/>
      </c>
      <c r="I40" s="25" t="str">
        <f>IF('Residual-RosteredMATRIX-RN'!F24=0,"",'Residual-RosteredMATRIX-RN'!F24)</f>
        <v/>
      </c>
      <c r="J40" s="25" t="str">
        <f>IF('Residual-RosteredMATRIX-RN'!G24=0,"",'Residual-RosteredMATRIX-RN'!G24)</f>
        <v/>
      </c>
      <c r="K40" s="25" t="str">
        <f>IF('Residual-RosteredMATRIX-RN'!H24=0,"",'Residual-RosteredMATRIX-RN'!H24)</f>
        <v/>
      </c>
      <c r="L40" s="25" t="str">
        <f>IF('Residual-RosteredMATRIX-RN'!I24=0,"",'Residual-RosteredMATRIX-RN'!I24)</f>
        <v/>
      </c>
      <c r="M40" s="25" t="str">
        <f>IF('Residual-RosteredMATRIX-RN'!J24=0,"",'Residual-RosteredMATRIX-RN'!J24)</f>
        <v/>
      </c>
      <c r="N40" s="25" t="str">
        <f>IF('Residual-RosteredMATRIX-RN'!K24=0,"",'Residual-RosteredMATRIX-RN'!K24)</f>
        <v/>
      </c>
      <c r="O40" s="25" t="str">
        <f>IF('Residual-RosteredMATRIX-RN'!L24=0,"",'Residual-RosteredMATRIX-RN'!L24)</f>
        <v/>
      </c>
      <c r="P40" s="25" t="str">
        <f>IF('Residual-RosteredMATRIX-RN'!M24=0,"",'Residual-RosteredMATRIX-RN'!M24)</f>
        <v/>
      </c>
      <c r="Q40" s="25" t="str">
        <f>IF('Residual-RosteredMATRIX-RN'!N24=0,"",'Residual-RosteredMATRIX-RN'!N24)</f>
        <v/>
      </c>
      <c r="R40" s="25" t="str">
        <f>IF('Residual-RosteredMATRIX-RN'!O24=0,"",'Residual-RosteredMATRIX-RN'!O24)</f>
        <v/>
      </c>
      <c r="S40" s="25" t="str">
        <f>IF('Residual-RosteredMATRIX-RN'!P24=0,"",'Residual-RosteredMATRIX-RN'!P24)</f>
        <v/>
      </c>
      <c r="T40" s="25" t="str">
        <f>IF('Residual-RosteredMATRIX-RN'!Q24=0,"",'Residual-RosteredMATRIX-RN'!Q24)</f>
        <v/>
      </c>
      <c r="U40" s="25" t="str">
        <f>IF('Residual-RosteredMATRIX-RN'!R24=0,"",'Residual-RosteredMATRIX-RN'!R24)</f>
        <v/>
      </c>
      <c r="V40" s="25" t="str">
        <f>IF('Residual-RosteredMATRIX-RN'!S24=0,"",'Residual-RosteredMATRIX-RN'!S24)</f>
        <v/>
      </c>
      <c r="W40" s="25" t="str">
        <f>IF('Residual-RosteredMATRIX-RN'!T24=0,"",'Residual-RosteredMATRIX-RN'!T24)</f>
        <v/>
      </c>
      <c r="X40" s="25" t="str">
        <f>IF('Residual-RosteredMATRIX-RN'!U24=0,"",'Residual-RosteredMATRIX-RN'!U24)</f>
        <v/>
      </c>
      <c r="Y40" s="25" t="str">
        <f>IF('Residual-RosteredMATRIX-RN'!V24=0,"",'Residual-RosteredMATRIX-RN'!V24)</f>
        <v/>
      </c>
      <c r="Z40" s="25" t="str">
        <f>IF('Residual-RosteredMATRIX-RN'!W24=0,"",'Residual-RosteredMATRIX-RN'!W24)</f>
        <v/>
      </c>
      <c r="AA40" s="25" t="str">
        <f>IF('Residual-RosteredMATRIX-RN'!X24=0,"",'Residual-RosteredMATRIX-RN'!X24)</f>
        <v/>
      </c>
      <c r="AB40" s="25" t="str">
        <f>IF('Residual-RosteredMATRIX-RN'!Y24=0,"",'Residual-RosteredMATRIX-RN'!Y24)</f>
        <v/>
      </c>
      <c r="AC40" s="25" t="str">
        <f>IF('Residual-RosteredMATRIX-RN'!Z24=0,"",'Residual-RosteredMATRIX-RN'!Z24)</f>
        <v/>
      </c>
      <c r="AD40" s="25" t="str">
        <f>IF('Residual-RosteredMATRIX-RN'!AA24=0,"",'Residual-RosteredMATRIX-RN'!AA24)</f>
        <v/>
      </c>
      <c r="AE40" s="25" t="str">
        <f>IF('Residual-RosteredMATRIX-RN'!AB24=0,"",'Residual-RosteredMATRIX-RN'!AB24)</f>
        <v/>
      </c>
      <c r="AF40" s="25" t="str">
        <f>IF('Residual-RosteredMATRIX-RN'!AC24=0,"",'Residual-RosteredMATRIX-RN'!AC24)</f>
        <v/>
      </c>
      <c r="AG40" s="25" t="str">
        <f>IF('Residual-RosteredMATRIX-RN'!AD24=0,"",'Residual-RosteredMATRIX-RN'!AD24)</f>
        <v/>
      </c>
      <c r="AH40" s="25" t="str">
        <f>IF('Residual-RosteredMATRIX-RN'!AE24=0,"",'Residual-RosteredMATRIX-RN'!AE24)</f>
        <v/>
      </c>
      <c r="AI40" s="25" t="str">
        <f>IF('Residual-RosteredMATRIX-RN'!AF24=0,"",'Residual-RosteredMATRIX-RN'!AF24)</f>
        <v/>
      </c>
      <c r="AJ40" s="25" t="str">
        <f>IF('Residual-RosteredMATRIX-RN'!AG24=0,"",'Residual-RosteredMATRIX-RN'!AG24)</f>
        <v/>
      </c>
      <c r="AK40" s="25" t="str">
        <f>IF('Residual-RosteredMATRIX-RN'!AH24=0,"",'Residual-RosteredMATRIX-RN'!AH24)</f>
        <v/>
      </c>
      <c r="AL40" s="25" t="str">
        <f>IF('Residual-RosteredMATRIX-RN'!AI24=0,"",'Residual-RosteredMATRIX-RN'!AI24)</f>
        <v/>
      </c>
      <c r="AM40" s="25" t="str">
        <f>IF('Residual-RosteredMATRIX-RN'!AJ24=0,"",'Residual-RosteredMATRIX-RN'!AJ24)</f>
        <v/>
      </c>
      <c r="AN40" s="25" t="str">
        <f>IF('Residual-RosteredMATRIX-RN'!AK24=0,"",'Residual-RosteredMATRIX-RN'!AK24)</f>
        <v/>
      </c>
      <c r="AO40" s="25" t="str">
        <f>IF('Residual-RosteredMATRIX-RN'!AL24=0,"",'Residual-RosteredMATRIX-RN'!AL24)</f>
        <v/>
      </c>
      <c r="AP40" s="25" t="str">
        <f>IF('Residual-RosteredMATRIX-RN'!AM24=0,"",'Residual-RosteredMATRIX-RN'!AM24)</f>
        <v/>
      </c>
      <c r="AQ40" s="25" t="str">
        <f>IF('Residual-RosteredMATRIX-RN'!AN24=0,"",'Residual-RosteredMATRIX-RN'!AN24)</f>
        <v/>
      </c>
      <c r="AR40" s="25" t="str">
        <f>IF('Residual-RosteredMATRIX-RN'!AO24=0,"",'Residual-RosteredMATRIX-RN'!AO24)</f>
        <v/>
      </c>
      <c r="AS40" s="25" t="str">
        <f>IF('Residual-RosteredMATRIX-RN'!AP24=0,"",'Residual-RosteredMATRIX-RN'!AP24)</f>
        <v/>
      </c>
      <c r="AT40" s="25" t="str">
        <f>IF('Residual-RosteredMATRIX-RN'!AQ24=0,"",'Residual-RosteredMATRIX-RN'!AQ24)</f>
        <v/>
      </c>
      <c r="AU40" s="25" t="str">
        <f>IF('Residual-RosteredMATRIX-RN'!AR24=0,"",'Residual-RosteredMATRIX-RN'!AR24)</f>
        <v/>
      </c>
      <c r="AV40" s="25" t="str">
        <f>IF('Residual-RosteredMATRIX-RN'!AS24=0,"",'Residual-RosteredMATRIX-RN'!AS24)</f>
        <v/>
      </c>
      <c r="AW40" s="25" t="str">
        <f>IF('Residual-RosteredMATRIX-RN'!AT24=0,"",'Residual-RosteredMATRIX-RN'!AT24)</f>
        <v/>
      </c>
    </row>
    <row r="41" spans="1:49" ht="15.75" customHeight="1" x14ac:dyDescent="0.25">
      <c r="A41" s="25" t="e">
        <f>'Residual-Rostered'!#REF!</f>
        <v>#REF!</v>
      </c>
      <c r="B41" s="33">
        <f>'Residual-RosteredMATRIX-RN'!C25</f>
        <v>0</v>
      </c>
      <c r="C41" s="33">
        <f>'Residual-RosteredMATRIX-RN'!B25</f>
        <v>0</v>
      </c>
      <c r="D41" s="34">
        <f>'Residual-RosteredMATRIX-RN'!D25</f>
        <v>0</v>
      </c>
      <c r="E41" s="14">
        <f>Max_HRS-Table3[[#This Row],[ROSTERED TIME]]</f>
        <v>76</v>
      </c>
      <c r="F41" s="14">
        <f t="shared" si="5"/>
        <v>0</v>
      </c>
      <c r="G41" s="14">
        <f>Table3[[#This Row],[ROSTERED TIME]]+Table3[[#This Row],[CHANGE TIME]]</f>
        <v>0</v>
      </c>
      <c r="H41" s="25" t="str">
        <f>IF('Residual-RosteredMATRIX-RN'!E25=0,"",'Residual-RosteredMATRIX-RN'!E25)</f>
        <v/>
      </c>
      <c r="I41" s="25" t="str">
        <f>IF('Residual-RosteredMATRIX-RN'!F25=0,"",'Residual-RosteredMATRIX-RN'!F25)</f>
        <v/>
      </c>
      <c r="J41" s="25" t="str">
        <f>IF('Residual-RosteredMATRIX-RN'!G25=0,"",'Residual-RosteredMATRIX-RN'!G25)</f>
        <v/>
      </c>
      <c r="K41" s="25" t="str">
        <f>IF('Residual-RosteredMATRIX-RN'!H25=0,"",'Residual-RosteredMATRIX-RN'!H25)</f>
        <v/>
      </c>
      <c r="L41" s="25" t="str">
        <f>IF('Residual-RosteredMATRIX-RN'!I25=0,"",'Residual-RosteredMATRIX-RN'!I25)</f>
        <v/>
      </c>
      <c r="M41" s="25" t="str">
        <f>IF('Residual-RosteredMATRIX-RN'!J25=0,"",'Residual-RosteredMATRIX-RN'!J25)</f>
        <v/>
      </c>
      <c r="N41" s="25" t="str">
        <f>IF('Residual-RosteredMATRIX-RN'!K25=0,"",'Residual-RosteredMATRIX-RN'!K25)</f>
        <v/>
      </c>
      <c r="O41" s="25" t="str">
        <f>IF('Residual-RosteredMATRIX-RN'!L25=0,"",'Residual-RosteredMATRIX-RN'!L25)</f>
        <v/>
      </c>
      <c r="P41" s="25" t="str">
        <f>IF('Residual-RosteredMATRIX-RN'!M25=0,"",'Residual-RosteredMATRIX-RN'!M25)</f>
        <v/>
      </c>
      <c r="Q41" s="25" t="str">
        <f>IF('Residual-RosteredMATRIX-RN'!N25=0,"",'Residual-RosteredMATRIX-RN'!N25)</f>
        <v/>
      </c>
      <c r="R41" s="25" t="str">
        <f>IF('Residual-RosteredMATRIX-RN'!O25=0,"",'Residual-RosteredMATRIX-RN'!O25)</f>
        <v/>
      </c>
      <c r="S41" s="25" t="str">
        <f>IF('Residual-RosteredMATRIX-RN'!P25=0,"",'Residual-RosteredMATRIX-RN'!P25)</f>
        <v/>
      </c>
      <c r="T41" s="25" t="str">
        <f>IF('Residual-RosteredMATRIX-RN'!Q25=0,"",'Residual-RosteredMATRIX-RN'!Q25)</f>
        <v/>
      </c>
      <c r="U41" s="25" t="str">
        <f>IF('Residual-RosteredMATRIX-RN'!R25=0,"",'Residual-RosteredMATRIX-RN'!R25)</f>
        <v/>
      </c>
      <c r="V41" s="25" t="str">
        <f>IF('Residual-RosteredMATRIX-RN'!S25=0,"",'Residual-RosteredMATRIX-RN'!S25)</f>
        <v/>
      </c>
      <c r="W41" s="25" t="str">
        <f>IF('Residual-RosteredMATRIX-RN'!T25=0,"",'Residual-RosteredMATRIX-RN'!T25)</f>
        <v/>
      </c>
      <c r="X41" s="25" t="str">
        <f>IF('Residual-RosteredMATRIX-RN'!U25=0,"",'Residual-RosteredMATRIX-RN'!U25)</f>
        <v/>
      </c>
      <c r="Y41" s="25" t="str">
        <f>IF('Residual-RosteredMATRIX-RN'!V25=0,"",'Residual-RosteredMATRIX-RN'!V25)</f>
        <v/>
      </c>
      <c r="Z41" s="25" t="str">
        <f>IF('Residual-RosteredMATRIX-RN'!W25=0,"",'Residual-RosteredMATRIX-RN'!W25)</f>
        <v/>
      </c>
      <c r="AA41" s="25" t="str">
        <f>IF('Residual-RosteredMATRIX-RN'!X25=0,"",'Residual-RosteredMATRIX-RN'!X25)</f>
        <v/>
      </c>
      <c r="AB41" s="25" t="str">
        <f>IF('Residual-RosteredMATRIX-RN'!Y25=0,"",'Residual-RosteredMATRIX-RN'!Y25)</f>
        <v/>
      </c>
      <c r="AC41" s="25" t="str">
        <f>IF('Residual-RosteredMATRIX-RN'!Z25=0,"",'Residual-RosteredMATRIX-RN'!Z25)</f>
        <v/>
      </c>
      <c r="AD41" s="25" t="str">
        <f>IF('Residual-RosteredMATRIX-RN'!AA25=0,"",'Residual-RosteredMATRIX-RN'!AA25)</f>
        <v/>
      </c>
      <c r="AE41" s="25" t="str">
        <f>IF('Residual-RosteredMATRIX-RN'!AB25=0,"",'Residual-RosteredMATRIX-RN'!AB25)</f>
        <v/>
      </c>
      <c r="AF41" s="25" t="str">
        <f>IF('Residual-RosteredMATRIX-RN'!AC25=0,"",'Residual-RosteredMATRIX-RN'!AC25)</f>
        <v/>
      </c>
      <c r="AG41" s="25" t="str">
        <f>IF('Residual-RosteredMATRIX-RN'!AD25=0,"",'Residual-RosteredMATRIX-RN'!AD25)</f>
        <v/>
      </c>
      <c r="AH41" s="25" t="str">
        <f>IF('Residual-RosteredMATRIX-RN'!AE25=0,"",'Residual-RosteredMATRIX-RN'!AE25)</f>
        <v/>
      </c>
      <c r="AI41" s="25" t="str">
        <f>IF('Residual-RosteredMATRIX-RN'!AF25=0,"",'Residual-RosteredMATRIX-RN'!AF25)</f>
        <v/>
      </c>
      <c r="AJ41" s="25" t="str">
        <f>IF('Residual-RosteredMATRIX-RN'!AG25=0,"",'Residual-RosteredMATRIX-RN'!AG25)</f>
        <v/>
      </c>
      <c r="AK41" s="25" t="str">
        <f>IF('Residual-RosteredMATRIX-RN'!AH25=0,"",'Residual-RosteredMATRIX-RN'!AH25)</f>
        <v/>
      </c>
      <c r="AL41" s="25" t="str">
        <f>IF('Residual-RosteredMATRIX-RN'!AI25=0,"",'Residual-RosteredMATRIX-RN'!AI25)</f>
        <v/>
      </c>
      <c r="AM41" s="25" t="str">
        <f>IF('Residual-RosteredMATRIX-RN'!AJ25=0,"",'Residual-RosteredMATRIX-RN'!AJ25)</f>
        <v/>
      </c>
      <c r="AN41" s="25" t="str">
        <f>IF('Residual-RosteredMATRIX-RN'!AK25=0,"",'Residual-RosteredMATRIX-RN'!AK25)</f>
        <v/>
      </c>
      <c r="AO41" s="25" t="str">
        <f>IF('Residual-RosteredMATRIX-RN'!AL25=0,"",'Residual-RosteredMATRIX-RN'!AL25)</f>
        <v/>
      </c>
      <c r="AP41" s="25" t="str">
        <f>IF('Residual-RosteredMATRIX-RN'!AM25=0,"",'Residual-RosteredMATRIX-RN'!AM25)</f>
        <v/>
      </c>
      <c r="AQ41" s="25" t="str">
        <f>IF('Residual-RosteredMATRIX-RN'!AN25=0,"",'Residual-RosteredMATRIX-RN'!AN25)</f>
        <v/>
      </c>
      <c r="AR41" s="25" t="str">
        <f>IF('Residual-RosteredMATRIX-RN'!AO25=0,"",'Residual-RosteredMATRIX-RN'!AO25)</f>
        <v/>
      </c>
      <c r="AS41" s="25" t="str">
        <f>IF('Residual-RosteredMATRIX-RN'!AP25=0,"",'Residual-RosteredMATRIX-RN'!AP25)</f>
        <v/>
      </c>
      <c r="AT41" s="25" t="str">
        <f>IF('Residual-RosteredMATRIX-RN'!AQ25=0,"",'Residual-RosteredMATRIX-RN'!AQ25)</f>
        <v/>
      </c>
      <c r="AU41" s="25" t="str">
        <f>IF('Residual-RosteredMATRIX-RN'!AR25=0,"",'Residual-RosteredMATRIX-RN'!AR25)</f>
        <v/>
      </c>
      <c r="AV41" s="25" t="str">
        <f>IF('Residual-RosteredMATRIX-RN'!AS25=0,"",'Residual-RosteredMATRIX-RN'!AS25)</f>
        <v/>
      </c>
      <c r="AW41" s="25" t="str">
        <f>IF('Residual-RosteredMATRIX-RN'!AT25=0,"",'Residual-RosteredMATRIX-RN'!AT25)</f>
        <v/>
      </c>
    </row>
    <row r="42" spans="1:49" ht="15.75" customHeight="1" x14ac:dyDescent="0.25">
      <c r="A42" s="25" t="e">
        <f>'Residual-Rostered'!#REF!</f>
        <v>#REF!</v>
      </c>
      <c r="B42" s="33">
        <f>'Residual-RosteredMATRIX-RN'!C26</f>
        <v>0</v>
      </c>
      <c r="C42" s="33">
        <f>'Residual-RosteredMATRIX-RN'!B26</f>
        <v>0</v>
      </c>
      <c r="D42" s="34">
        <f>'Residual-RosteredMATRIX-RN'!D26</f>
        <v>0</v>
      </c>
      <c r="E42" s="14">
        <f>Max_HRS-Table3[[#This Row],[ROSTERED TIME]]</f>
        <v>76</v>
      </c>
      <c r="F42" s="14">
        <f t="shared" si="5"/>
        <v>0</v>
      </c>
      <c r="G42" s="14">
        <f>Table3[[#This Row],[ROSTERED TIME]]+Table3[[#This Row],[CHANGE TIME]]</f>
        <v>0</v>
      </c>
      <c r="H42" s="25" t="str">
        <f>IF('Residual-RosteredMATRIX-RN'!E26=0,"",'Residual-RosteredMATRIX-RN'!E26)</f>
        <v/>
      </c>
      <c r="I42" s="25" t="str">
        <f>IF('Residual-RosteredMATRIX-RN'!F26=0,"",'Residual-RosteredMATRIX-RN'!F26)</f>
        <v/>
      </c>
      <c r="J42" s="25" t="str">
        <f>IF('Residual-RosteredMATRIX-RN'!G26=0,"",'Residual-RosteredMATRIX-RN'!G26)</f>
        <v/>
      </c>
      <c r="K42" s="25" t="str">
        <f>IF('Residual-RosteredMATRIX-RN'!H26=0,"",'Residual-RosteredMATRIX-RN'!H26)</f>
        <v/>
      </c>
      <c r="L42" s="25" t="str">
        <f>IF('Residual-RosteredMATRIX-RN'!I26=0,"",'Residual-RosteredMATRIX-RN'!I26)</f>
        <v/>
      </c>
      <c r="M42" s="25" t="str">
        <f>IF('Residual-RosteredMATRIX-RN'!J26=0,"",'Residual-RosteredMATRIX-RN'!J26)</f>
        <v/>
      </c>
      <c r="N42" s="25" t="str">
        <f>IF('Residual-RosteredMATRIX-RN'!K26=0,"",'Residual-RosteredMATRIX-RN'!K26)</f>
        <v/>
      </c>
      <c r="O42" s="25" t="str">
        <f>IF('Residual-RosteredMATRIX-RN'!L26=0,"",'Residual-RosteredMATRIX-RN'!L26)</f>
        <v/>
      </c>
      <c r="P42" s="25" t="str">
        <f>IF('Residual-RosteredMATRIX-RN'!M26=0,"",'Residual-RosteredMATRIX-RN'!M26)</f>
        <v/>
      </c>
      <c r="Q42" s="25" t="str">
        <f>IF('Residual-RosteredMATRIX-RN'!N26=0,"",'Residual-RosteredMATRIX-RN'!N26)</f>
        <v/>
      </c>
      <c r="R42" s="25" t="str">
        <f>IF('Residual-RosteredMATRIX-RN'!O26=0,"",'Residual-RosteredMATRIX-RN'!O26)</f>
        <v/>
      </c>
      <c r="S42" s="25" t="str">
        <f>IF('Residual-RosteredMATRIX-RN'!P26=0,"",'Residual-RosteredMATRIX-RN'!P26)</f>
        <v/>
      </c>
      <c r="T42" s="25" t="str">
        <f>IF('Residual-RosteredMATRIX-RN'!Q26=0,"",'Residual-RosteredMATRIX-RN'!Q26)</f>
        <v/>
      </c>
      <c r="U42" s="25" t="str">
        <f>IF('Residual-RosteredMATRIX-RN'!R26=0,"",'Residual-RosteredMATRIX-RN'!R26)</f>
        <v/>
      </c>
      <c r="V42" s="25" t="str">
        <f>IF('Residual-RosteredMATRIX-RN'!S26=0,"",'Residual-RosteredMATRIX-RN'!S26)</f>
        <v/>
      </c>
      <c r="W42" s="25" t="str">
        <f>IF('Residual-RosteredMATRIX-RN'!T26=0,"",'Residual-RosteredMATRIX-RN'!T26)</f>
        <v/>
      </c>
      <c r="X42" s="25" t="str">
        <f>IF('Residual-RosteredMATRIX-RN'!U26=0,"",'Residual-RosteredMATRIX-RN'!U26)</f>
        <v/>
      </c>
      <c r="Y42" s="25" t="str">
        <f>IF('Residual-RosteredMATRIX-RN'!V26=0,"",'Residual-RosteredMATRIX-RN'!V26)</f>
        <v/>
      </c>
      <c r="Z42" s="25" t="str">
        <f>IF('Residual-RosteredMATRIX-RN'!W26=0,"",'Residual-RosteredMATRIX-RN'!W26)</f>
        <v/>
      </c>
      <c r="AA42" s="25" t="str">
        <f>IF('Residual-RosteredMATRIX-RN'!X26=0,"",'Residual-RosteredMATRIX-RN'!X26)</f>
        <v/>
      </c>
      <c r="AB42" s="25" t="str">
        <f>IF('Residual-RosteredMATRIX-RN'!Y26=0,"",'Residual-RosteredMATRIX-RN'!Y26)</f>
        <v/>
      </c>
      <c r="AC42" s="25" t="str">
        <f>IF('Residual-RosteredMATRIX-RN'!Z26=0,"",'Residual-RosteredMATRIX-RN'!Z26)</f>
        <v/>
      </c>
      <c r="AD42" s="25" t="str">
        <f>IF('Residual-RosteredMATRIX-RN'!AA26=0,"",'Residual-RosteredMATRIX-RN'!AA26)</f>
        <v/>
      </c>
      <c r="AE42" s="25" t="str">
        <f>IF('Residual-RosteredMATRIX-RN'!AB26=0,"",'Residual-RosteredMATRIX-RN'!AB26)</f>
        <v/>
      </c>
      <c r="AF42" s="25" t="str">
        <f>IF('Residual-RosteredMATRIX-RN'!AC26=0,"",'Residual-RosteredMATRIX-RN'!AC26)</f>
        <v/>
      </c>
      <c r="AG42" s="25" t="str">
        <f>IF('Residual-RosteredMATRIX-RN'!AD26=0,"",'Residual-RosteredMATRIX-RN'!AD26)</f>
        <v/>
      </c>
      <c r="AH42" s="25" t="str">
        <f>IF('Residual-RosteredMATRIX-RN'!AE26=0,"",'Residual-RosteredMATRIX-RN'!AE26)</f>
        <v/>
      </c>
      <c r="AI42" s="25" t="str">
        <f>IF('Residual-RosteredMATRIX-RN'!AF26=0,"",'Residual-RosteredMATRIX-RN'!AF26)</f>
        <v/>
      </c>
      <c r="AJ42" s="25" t="str">
        <f>IF('Residual-RosteredMATRIX-RN'!AG26=0,"",'Residual-RosteredMATRIX-RN'!AG26)</f>
        <v/>
      </c>
      <c r="AK42" s="25" t="str">
        <f>IF('Residual-RosteredMATRIX-RN'!AH26=0,"",'Residual-RosteredMATRIX-RN'!AH26)</f>
        <v/>
      </c>
      <c r="AL42" s="25" t="str">
        <f>IF('Residual-RosteredMATRIX-RN'!AI26=0,"",'Residual-RosteredMATRIX-RN'!AI26)</f>
        <v/>
      </c>
      <c r="AM42" s="25" t="str">
        <f>IF('Residual-RosteredMATRIX-RN'!AJ26=0,"",'Residual-RosteredMATRIX-RN'!AJ26)</f>
        <v/>
      </c>
      <c r="AN42" s="25" t="str">
        <f>IF('Residual-RosteredMATRIX-RN'!AK26=0,"",'Residual-RosteredMATRIX-RN'!AK26)</f>
        <v/>
      </c>
      <c r="AO42" s="25" t="str">
        <f>IF('Residual-RosteredMATRIX-RN'!AL26=0,"",'Residual-RosteredMATRIX-RN'!AL26)</f>
        <v/>
      </c>
      <c r="AP42" s="25" t="str">
        <f>IF('Residual-RosteredMATRIX-RN'!AM26=0,"",'Residual-RosteredMATRIX-RN'!AM26)</f>
        <v/>
      </c>
      <c r="AQ42" s="25" t="str">
        <f>IF('Residual-RosteredMATRIX-RN'!AN26=0,"",'Residual-RosteredMATRIX-RN'!AN26)</f>
        <v/>
      </c>
      <c r="AR42" s="25" t="str">
        <f>IF('Residual-RosteredMATRIX-RN'!AO26=0,"",'Residual-RosteredMATRIX-RN'!AO26)</f>
        <v/>
      </c>
      <c r="AS42" s="25" t="str">
        <f>IF('Residual-RosteredMATRIX-RN'!AP26=0,"",'Residual-RosteredMATRIX-RN'!AP26)</f>
        <v/>
      </c>
      <c r="AT42" s="25" t="str">
        <f>IF('Residual-RosteredMATRIX-RN'!AQ26=0,"",'Residual-RosteredMATRIX-RN'!AQ26)</f>
        <v/>
      </c>
      <c r="AU42" s="25" t="str">
        <f>IF('Residual-RosteredMATRIX-RN'!AR26=0,"",'Residual-RosteredMATRIX-RN'!AR26)</f>
        <v/>
      </c>
      <c r="AV42" s="25" t="str">
        <f>IF('Residual-RosteredMATRIX-RN'!AS26=0,"",'Residual-RosteredMATRIX-RN'!AS26)</f>
        <v/>
      </c>
      <c r="AW42" s="25" t="str">
        <f>IF('Residual-RosteredMATRIX-RN'!AT26=0,"",'Residual-RosteredMATRIX-RN'!AT26)</f>
        <v/>
      </c>
    </row>
    <row r="43" spans="1:49" ht="15.75" customHeight="1" x14ac:dyDescent="0.25">
      <c r="A43" s="25" t="e">
        <f>'Residual-Rostered'!#REF!</f>
        <v>#REF!</v>
      </c>
      <c r="B43" s="33">
        <f>'Residual-RosteredMATRIX-RN'!C27</f>
        <v>0</v>
      </c>
      <c r="C43" s="33">
        <f>'Residual-RosteredMATRIX-RN'!B27</f>
        <v>0</v>
      </c>
      <c r="D43" s="34">
        <f>'Residual-RosteredMATRIX-RN'!D27</f>
        <v>0</v>
      </c>
      <c r="E43" s="14">
        <f>Max_HRS-Table3[[#This Row],[ROSTERED TIME]]</f>
        <v>76</v>
      </c>
      <c r="F43" s="14">
        <f t="shared" si="5"/>
        <v>0</v>
      </c>
      <c r="G43" s="14">
        <f>Table3[[#This Row],[ROSTERED TIME]]+Table3[[#This Row],[CHANGE TIME]]</f>
        <v>0</v>
      </c>
      <c r="H43" s="25" t="str">
        <f>IF('Residual-RosteredMATRIX-RN'!E27=0,"",'Residual-RosteredMATRIX-RN'!E27)</f>
        <v/>
      </c>
      <c r="I43" s="25" t="str">
        <f>IF('Residual-RosteredMATRIX-RN'!F27=0,"",'Residual-RosteredMATRIX-RN'!F27)</f>
        <v/>
      </c>
      <c r="J43" s="25" t="str">
        <f>IF('Residual-RosteredMATRIX-RN'!G27=0,"",'Residual-RosteredMATRIX-RN'!G27)</f>
        <v/>
      </c>
      <c r="K43" s="25" t="str">
        <f>IF('Residual-RosteredMATRIX-RN'!H27=0,"",'Residual-RosteredMATRIX-RN'!H27)</f>
        <v/>
      </c>
      <c r="L43" s="25" t="str">
        <f>IF('Residual-RosteredMATRIX-RN'!I27=0,"",'Residual-RosteredMATRIX-RN'!I27)</f>
        <v/>
      </c>
      <c r="M43" s="25" t="str">
        <f>IF('Residual-RosteredMATRIX-RN'!J27=0,"",'Residual-RosteredMATRIX-RN'!J27)</f>
        <v/>
      </c>
      <c r="N43" s="25" t="str">
        <f>IF('Residual-RosteredMATRIX-RN'!K27=0,"",'Residual-RosteredMATRIX-RN'!K27)</f>
        <v/>
      </c>
      <c r="O43" s="25" t="str">
        <f>IF('Residual-RosteredMATRIX-RN'!L27=0,"",'Residual-RosteredMATRIX-RN'!L27)</f>
        <v/>
      </c>
      <c r="P43" s="25" t="str">
        <f>IF('Residual-RosteredMATRIX-RN'!M27=0,"",'Residual-RosteredMATRIX-RN'!M27)</f>
        <v/>
      </c>
      <c r="Q43" s="25" t="str">
        <f>IF('Residual-RosteredMATRIX-RN'!N27=0,"",'Residual-RosteredMATRIX-RN'!N27)</f>
        <v/>
      </c>
      <c r="R43" s="25" t="str">
        <f>IF('Residual-RosteredMATRIX-RN'!O27=0,"",'Residual-RosteredMATRIX-RN'!O27)</f>
        <v/>
      </c>
      <c r="S43" s="25" t="str">
        <f>IF('Residual-RosteredMATRIX-RN'!P27=0,"",'Residual-RosteredMATRIX-RN'!P27)</f>
        <v/>
      </c>
      <c r="T43" s="25" t="str">
        <f>IF('Residual-RosteredMATRIX-RN'!Q27=0,"",'Residual-RosteredMATRIX-RN'!Q27)</f>
        <v/>
      </c>
      <c r="U43" s="25" t="str">
        <f>IF('Residual-RosteredMATRIX-RN'!R27=0,"",'Residual-RosteredMATRIX-RN'!R27)</f>
        <v/>
      </c>
      <c r="V43" s="25" t="str">
        <f>IF('Residual-RosteredMATRIX-RN'!S27=0,"",'Residual-RosteredMATRIX-RN'!S27)</f>
        <v/>
      </c>
      <c r="W43" s="25" t="str">
        <f>IF('Residual-RosteredMATRIX-RN'!T27=0,"",'Residual-RosteredMATRIX-RN'!T27)</f>
        <v/>
      </c>
      <c r="X43" s="25" t="str">
        <f>IF('Residual-RosteredMATRIX-RN'!U27=0,"",'Residual-RosteredMATRIX-RN'!U27)</f>
        <v/>
      </c>
      <c r="Y43" s="25" t="str">
        <f>IF('Residual-RosteredMATRIX-RN'!V27=0,"",'Residual-RosteredMATRIX-RN'!V27)</f>
        <v/>
      </c>
      <c r="Z43" s="25" t="str">
        <f>IF('Residual-RosteredMATRIX-RN'!W27=0,"",'Residual-RosteredMATRIX-RN'!W27)</f>
        <v/>
      </c>
      <c r="AA43" s="25" t="str">
        <f>IF('Residual-RosteredMATRIX-RN'!X27=0,"",'Residual-RosteredMATRIX-RN'!X27)</f>
        <v/>
      </c>
      <c r="AB43" s="25" t="str">
        <f>IF('Residual-RosteredMATRIX-RN'!Y27=0,"",'Residual-RosteredMATRIX-RN'!Y27)</f>
        <v/>
      </c>
      <c r="AC43" s="25" t="str">
        <f>IF('Residual-RosteredMATRIX-RN'!Z27=0,"",'Residual-RosteredMATRIX-RN'!Z27)</f>
        <v/>
      </c>
      <c r="AD43" s="25" t="str">
        <f>IF('Residual-RosteredMATRIX-RN'!AA27=0,"",'Residual-RosteredMATRIX-RN'!AA27)</f>
        <v/>
      </c>
      <c r="AE43" s="25" t="str">
        <f>IF('Residual-RosteredMATRIX-RN'!AB27=0,"",'Residual-RosteredMATRIX-RN'!AB27)</f>
        <v/>
      </c>
      <c r="AF43" s="25" t="str">
        <f>IF('Residual-RosteredMATRIX-RN'!AC27=0,"",'Residual-RosteredMATRIX-RN'!AC27)</f>
        <v/>
      </c>
      <c r="AG43" s="25" t="str">
        <f>IF('Residual-RosteredMATRIX-RN'!AD27=0,"",'Residual-RosteredMATRIX-RN'!AD27)</f>
        <v/>
      </c>
      <c r="AH43" s="25" t="str">
        <f>IF('Residual-RosteredMATRIX-RN'!AE27=0,"",'Residual-RosteredMATRIX-RN'!AE27)</f>
        <v/>
      </c>
      <c r="AI43" s="25" t="str">
        <f>IF('Residual-RosteredMATRIX-RN'!AF27=0,"",'Residual-RosteredMATRIX-RN'!AF27)</f>
        <v/>
      </c>
      <c r="AJ43" s="25" t="str">
        <f>IF('Residual-RosteredMATRIX-RN'!AG27=0,"",'Residual-RosteredMATRIX-RN'!AG27)</f>
        <v/>
      </c>
      <c r="AK43" s="25" t="str">
        <f>IF('Residual-RosteredMATRIX-RN'!AH27=0,"",'Residual-RosteredMATRIX-RN'!AH27)</f>
        <v/>
      </c>
      <c r="AL43" s="25" t="str">
        <f>IF('Residual-RosteredMATRIX-RN'!AI27=0,"",'Residual-RosteredMATRIX-RN'!AI27)</f>
        <v/>
      </c>
      <c r="AM43" s="25" t="str">
        <f>IF('Residual-RosteredMATRIX-RN'!AJ27=0,"",'Residual-RosteredMATRIX-RN'!AJ27)</f>
        <v/>
      </c>
      <c r="AN43" s="25" t="str">
        <f>IF('Residual-RosteredMATRIX-RN'!AK27=0,"",'Residual-RosteredMATRIX-RN'!AK27)</f>
        <v/>
      </c>
      <c r="AO43" s="25" t="str">
        <f>IF('Residual-RosteredMATRIX-RN'!AL27=0,"",'Residual-RosteredMATRIX-RN'!AL27)</f>
        <v/>
      </c>
      <c r="AP43" s="25" t="str">
        <f>IF('Residual-RosteredMATRIX-RN'!AM27=0,"",'Residual-RosteredMATRIX-RN'!AM27)</f>
        <v/>
      </c>
      <c r="AQ43" s="25" t="str">
        <f>IF('Residual-RosteredMATRIX-RN'!AN27=0,"",'Residual-RosteredMATRIX-RN'!AN27)</f>
        <v/>
      </c>
      <c r="AR43" s="25" t="str">
        <f>IF('Residual-RosteredMATRIX-RN'!AO27=0,"",'Residual-RosteredMATRIX-RN'!AO27)</f>
        <v/>
      </c>
      <c r="AS43" s="25" t="str">
        <f>IF('Residual-RosteredMATRIX-RN'!AP27=0,"",'Residual-RosteredMATRIX-RN'!AP27)</f>
        <v/>
      </c>
      <c r="AT43" s="25" t="str">
        <f>IF('Residual-RosteredMATRIX-RN'!AQ27=0,"",'Residual-RosteredMATRIX-RN'!AQ27)</f>
        <v/>
      </c>
      <c r="AU43" s="25" t="str">
        <f>IF('Residual-RosteredMATRIX-RN'!AR27=0,"",'Residual-RosteredMATRIX-RN'!AR27)</f>
        <v/>
      </c>
      <c r="AV43" s="25" t="str">
        <f>IF('Residual-RosteredMATRIX-RN'!AS27=0,"",'Residual-RosteredMATRIX-RN'!AS27)</f>
        <v/>
      </c>
      <c r="AW43" s="25" t="str">
        <f>IF('Residual-RosteredMATRIX-RN'!AT27=0,"",'Residual-RosteredMATRIX-RN'!AT27)</f>
        <v/>
      </c>
    </row>
    <row r="44" spans="1:49" ht="15.75" customHeight="1" x14ac:dyDescent="0.25">
      <c r="A44" s="25" t="e">
        <f>'Residual-Rostered'!#REF!</f>
        <v>#REF!</v>
      </c>
      <c r="B44" s="33">
        <f>'Residual-RosteredMATRIX-RN'!C28</f>
        <v>0</v>
      </c>
      <c r="C44" s="33">
        <f>'Residual-RosteredMATRIX-RN'!B28</f>
        <v>0</v>
      </c>
      <c r="D44" s="34">
        <f>'Residual-RosteredMATRIX-RN'!D28</f>
        <v>0</v>
      </c>
      <c r="E44" s="14">
        <f>Max_HRS-Table3[[#This Row],[ROSTERED TIME]]</f>
        <v>76</v>
      </c>
      <c r="F44" s="14">
        <f t="shared" si="5"/>
        <v>0</v>
      </c>
      <c r="G44" s="14">
        <f>Table3[[#This Row],[ROSTERED TIME]]+Table3[[#This Row],[CHANGE TIME]]</f>
        <v>0</v>
      </c>
      <c r="H44" s="25" t="str">
        <f>IF('Residual-RosteredMATRIX-RN'!E28=0,"",'Residual-RosteredMATRIX-RN'!E28)</f>
        <v/>
      </c>
      <c r="I44" s="25" t="str">
        <f>IF('Residual-RosteredMATRIX-RN'!F28=0,"",'Residual-RosteredMATRIX-RN'!F28)</f>
        <v/>
      </c>
      <c r="J44" s="25" t="str">
        <f>IF('Residual-RosteredMATRIX-RN'!G28=0,"",'Residual-RosteredMATRIX-RN'!G28)</f>
        <v/>
      </c>
      <c r="K44" s="25" t="str">
        <f>IF('Residual-RosteredMATRIX-RN'!H28=0,"",'Residual-RosteredMATRIX-RN'!H28)</f>
        <v/>
      </c>
      <c r="L44" s="25" t="str">
        <f>IF('Residual-RosteredMATRIX-RN'!I28=0,"",'Residual-RosteredMATRIX-RN'!I28)</f>
        <v/>
      </c>
      <c r="M44" s="25" t="str">
        <f>IF('Residual-RosteredMATRIX-RN'!J28=0,"",'Residual-RosteredMATRIX-RN'!J28)</f>
        <v/>
      </c>
      <c r="N44" s="25" t="str">
        <f>IF('Residual-RosteredMATRIX-RN'!K28=0,"",'Residual-RosteredMATRIX-RN'!K28)</f>
        <v/>
      </c>
      <c r="O44" s="25" t="str">
        <f>IF('Residual-RosteredMATRIX-RN'!L28=0,"",'Residual-RosteredMATRIX-RN'!L28)</f>
        <v/>
      </c>
      <c r="P44" s="25" t="str">
        <f>IF('Residual-RosteredMATRIX-RN'!M28=0,"",'Residual-RosteredMATRIX-RN'!M28)</f>
        <v/>
      </c>
      <c r="Q44" s="25" t="str">
        <f>IF('Residual-RosteredMATRIX-RN'!N28=0,"",'Residual-RosteredMATRIX-RN'!N28)</f>
        <v/>
      </c>
      <c r="R44" s="25" t="str">
        <f>IF('Residual-RosteredMATRIX-RN'!O28=0,"",'Residual-RosteredMATRIX-RN'!O28)</f>
        <v/>
      </c>
      <c r="S44" s="25" t="str">
        <f>IF('Residual-RosteredMATRIX-RN'!P28=0,"",'Residual-RosteredMATRIX-RN'!P28)</f>
        <v/>
      </c>
      <c r="T44" s="25" t="str">
        <f>IF('Residual-RosteredMATRIX-RN'!Q28=0,"",'Residual-RosteredMATRIX-RN'!Q28)</f>
        <v/>
      </c>
      <c r="U44" s="25" t="str">
        <f>IF('Residual-RosteredMATRIX-RN'!R28=0,"",'Residual-RosteredMATRIX-RN'!R28)</f>
        <v/>
      </c>
      <c r="V44" s="25" t="str">
        <f>IF('Residual-RosteredMATRIX-RN'!S28=0,"",'Residual-RosteredMATRIX-RN'!S28)</f>
        <v/>
      </c>
      <c r="W44" s="25" t="str">
        <f>IF('Residual-RosteredMATRIX-RN'!T28=0,"",'Residual-RosteredMATRIX-RN'!T28)</f>
        <v/>
      </c>
      <c r="X44" s="25" t="str">
        <f>IF('Residual-RosteredMATRIX-RN'!U28=0,"",'Residual-RosteredMATRIX-RN'!U28)</f>
        <v/>
      </c>
      <c r="Y44" s="25" t="str">
        <f>IF('Residual-RosteredMATRIX-RN'!V28=0,"",'Residual-RosteredMATRIX-RN'!V28)</f>
        <v/>
      </c>
      <c r="Z44" s="25" t="str">
        <f>IF('Residual-RosteredMATRIX-RN'!W28=0,"",'Residual-RosteredMATRIX-RN'!W28)</f>
        <v/>
      </c>
      <c r="AA44" s="25" t="str">
        <f>IF('Residual-RosteredMATRIX-RN'!X28=0,"",'Residual-RosteredMATRIX-RN'!X28)</f>
        <v/>
      </c>
      <c r="AB44" s="25" t="str">
        <f>IF('Residual-RosteredMATRIX-RN'!Y28=0,"",'Residual-RosteredMATRIX-RN'!Y28)</f>
        <v/>
      </c>
      <c r="AC44" s="25" t="str">
        <f>IF('Residual-RosteredMATRIX-RN'!Z28=0,"",'Residual-RosteredMATRIX-RN'!Z28)</f>
        <v/>
      </c>
      <c r="AD44" s="25" t="str">
        <f>IF('Residual-RosteredMATRIX-RN'!AA28=0,"",'Residual-RosteredMATRIX-RN'!AA28)</f>
        <v/>
      </c>
      <c r="AE44" s="25" t="str">
        <f>IF('Residual-RosteredMATRIX-RN'!AB28=0,"",'Residual-RosteredMATRIX-RN'!AB28)</f>
        <v/>
      </c>
      <c r="AF44" s="25" t="str">
        <f>IF('Residual-RosteredMATRIX-RN'!AC28=0,"",'Residual-RosteredMATRIX-RN'!AC28)</f>
        <v/>
      </c>
      <c r="AG44" s="25" t="str">
        <f>IF('Residual-RosteredMATRIX-RN'!AD28=0,"",'Residual-RosteredMATRIX-RN'!AD28)</f>
        <v/>
      </c>
      <c r="AH44" s="25" t="str">
        <f>IF('Residual-RosteredMATRIX-RN'!AE28=0,"",'Residual-RosteredMATRIX-RN'!AE28)</f>
        <v/>
      </c>
      <c r="AI44" s="25" t="str">
        <f>IF('Residual-RosteredMATRIX-RN'!AF28=0,"",'Residual-RosteredMATRIX-RN'!AF28)</f>
        <v/>
      </c>
      <c r="AJ44" s="25" t="str">
        <f>IF('Residual-RosteredMATRIX-RN'!AG28=0,"",'Residual-RosteredMATRIX-RN'!AG28)</f>
        <v/>
      </c>
      <c r="AK44" s="25" t="str">
        <f>IF('Residual-RosteredMATRIX-RN'!AH28=0,"",'Residual-RosteredMATRIX-RN'!AH28)</f>
        <v/>
      </c>
      <c r="AL44" s="25" t="str">
        <f>IF('Residual-RosteredMATRIX-RN'!AI28=0,"",'Residual-RosteredMATRIX-RN'!AI28)</f>
        <v/>
      </c>
      <c r="AM44" s="25" t="str">
        <f>IF('Residual-RosteredMATRIX-RN'!AJ28=0,"",'Residual-RosteredMATRIX-RN'!AJ28)</f>
        <v/>
      </c>
      <c r="AN44" s="25" t="str">
        <f>IF('Residual-RosteredMATRIX-RN'!AK28=0,"",'Residual-RosteredMATRIX-RN'!AK28)</f>
        <v/>
      </c>
      <c r="AO44" s="25" t="str">
        <f>IF('Residual-RosteredMATRIX-RN'!AL28=0,"",'Residual-RosteredMATRIX-RN'!AL28)</f>
        <v/>
      </c>
      <c r="AP44" s="25" t="str">
        <f>IF('Residual-RosteredMATRIX-RN'!AM28=0,"",'Residual-RosteredMATRIX-RN'!AM28)</f>
        <v/>
      </c>
      <c r="AQ44" s="25" t="str">
        <f>IF('Residual-RosteredMATRIX-RN'!AN28=0,"",'Residual-RosteredMATRIX-RN'!AN28)</f>
        <v/>
      </c>
      <c r="AR44" s="25" t="str">
        <f>IF('Residual-RosteredMATRIX-RN'!AO28=0,"",'Residual-RosteredMATRIX-RN'!AO28)</f>
        <v/>
      </c>
      <c r="AS44" s="25" t="str">
        <f>IF('Residual-RosteredMATRIX-RN'!AP28=0,"",'Residual-RosteredMATRIX-RN'!AP28)</f>
        <v/>
      </c>
      <c r="AT44" s="25" t="str">
        <f>IF('Residual-RosteredMATRIX-RN'!AQ28=0,"",'Residual-RosteredMATRIX-RN'!AQ28)</f>
        <v/>
      </c>
      <c r="AU44" s="25" t="str">
        <f>IF('Residual-RosteredMATRIX-RN'!AR28=0,"",'Residual-RosteredMATRIX-RN'!AR28)</f>
        <v/>
      </c>
      <c r="AV44" s="25" t="str">
        <f>IF('Residual-RosteredMATRIX-RN'!AS28=0,"",'Residual-RosteredMATRIX-RN'!AS28)</f>
        <v/>
      </c>
      <c r="AW44" s="25" t="str">
        <f>IF('Residual-RosteredMATRIX-RN'!AT28=0,"",'Residual-RosteredMATRIX-RN'!AT28)</f>
        <v/>
      </c>
    </row>
    <row r="45" spans="1:49" ht="15.75" customHeight="1" x14ac:dyDescent="0.25">
      <c r="A45" s="25" t="e">
        <f>'Residual-Rostered'!#REF!</f>
        <v>#REF!</v>
      </c>
      <c r="B45" s="33">
        <f>'Residual-RosteredMATRIX-RN'!C29</f>
        <v>0</v>
      </c>
      <c r="C45" s="33">
        <f>'Residual-RosteredMATRIX-RN'!B29</f>
        <v>0</v>
      </c>
      <c r="D45" s="34">
        <f>'Residual-RosteredMATRIX-RN'!D29</f>
        <v>0</v>
      </c>
      <c r="E45" s="14">
        <f>Max_HRS-Table3[[#This Row],[ROSTERED TIME]]</f>
        <v>76</v>
      </c>
      <c r="F45" s="14">
        <f t="shared" si="5"/>
        <v>0</v>
      </c>
      <c r="G45" s="14">
        <f>Table3[[#This Row],[ROSTERED TIME]]+Table3[[#This Row],[CHANGE TIME]]</f>
        <v>0</v>
      </c>
      <c r="H45" s="25" t="str">
        <f>IF('Residual-RosteredMATRIX-RN'!E29=0,"",'Residual-RosteredMATRIX-RN'!E29)</f>
        <v/>
      </c>
      <c r="I45" s="25" t="str">
        <f>IF('Residual-RosteredMATRIX-RN'!F29=0,"",'Residual-RosteredMATRIX-RN'!F29)</f>
        <v/>
      </c>
      <c r="J45" s="25" t="str">
        <f>IF('Residual-RosteredMATRIX-RN'!G29=0,"",'Residual-RosteredMATRIX-RN'!G29)</f>
        <v/>
      </c>
      <c r="K45" s="25" t="str">
        <f>IF('Residual-RosteredMATRIX-RN'!H29=0,"",'Residual-RosteredMATRIX-RN'!H29)</f>
        <v/>
      </c>
      <c r="L45" s="25" t="str">
        <f>IF('Residual-RosteredMATRIX-RN'!I29=0,"",'Residual-RosteredMATRIX-RN'!I29)</f>
        <v/>
      </c>
      <c r="M45" s="25" t="str">
        <f>IF('Residual-RosteredMATRIX-RN'!J29=0,"",'Residual-RosteredMATRIX-RN'!J29)</f>
        <v/>
      </c>
      <c r="N45" s="25" t="str">
        <f>IF('Residual-RosteredMATRIX-RN'!K29=0,"",'Residual-RosteredMATRIX-RN'!K29)</f>
        <v/>
      </c>
      <c r="O45" s="25" t="str">
        <f>IF('Residual-RosteredMATRIX-RN'!L29=0,"",'Residual-RosteredMATRIX-RN'!L29)</f>
        <v/>
      </c>
      <c r="P45" s="25" t="str">
        <f>IF('Residual-RosteredMATRIX-RN'!M29=0,"",'Residual-RosteredMATRIX-RN'!M29)</f>
        <v/>
      </c>
      <c r="Q45" s="25" t="str">
        <f>IF('Residual-RosteredMATRIX-RN'!N29=0,"",'Residual-RosteredMATRIX-RN'!N29)</f>
        <v/>
      </c>
      <c r="R45" s="25" t="str">
        <f>IF('Residual-RosteredMATRIX-RN'!O29=0,"",'Residual-RosteredMATRIX-RN'!O29)</f>
        <v/>
      </c>
      <c r="S45" s="25" t="str">
        <f>IF('Residual-RosteredMATRIX-RN'!P29=0,"",'Residual-RosteredMATRIX-RN'!P29)</f>
        <v/>
      </c>
      <c r="T45" s="25" t="str">
        <f>IF('Residual-RosteredMATRIX-RN'!Q29=0,"",'Residual-RosteredMATRIX-RN'!Q29)</f>
        <v/>
      </c>
      <c r="U45" s="25" t="str">
        <f>IF('Residual-RosteredMATRIX-RN'!R29=0,"",'Residual-RosteredMATRIX-RN'!R29)</f>
        <v/>
      </c>
      <c r="V45" s="25" t="str">
        <f>IF('Residual-RosteredMATRIX-RN'!S29=0,"",'Residual-RosteredMATRIX-RN'!S29)</f>
        <v/>
      </c>
      <c r="W45" s="25" t="str">
        <f>IF('Residual-RosteredMATRIX-RN'!T29=0,"",'Residual-RosteredMATRIX-RN'!T29)</f>
        <v/>
      </c>
      <c r="X45" s="25" t="str">
        <f>IF('Residual-RosteredMATRIX-RN'!U29=0,"",'Residual-RosteredMATRIX-RN'!U29)</f>
        <v/>
      </c>
      <c r="Y45" s="25" t="str">
        <f>IF('Residual-RosteredMATRIX-RN'!V29=0,"",'Residual-RosteredMATRIX-RN'!V29)</f>
        <v/>
      </c>
      <c r="Z45" s="25" t="str">
        <f>IF('Residual-RosteredMATRIX-RN'!W29=0,"",'Residual-RosteredMATRIX-RN'!W29)</f>
        <v/>
      </c>
      <c r="AA45" s="25" t="str">
        <f>IF('Residual-RosteredMATRIX-RN'!X29=0,"",'Residual-RosteredMATRIX-RN'!X29)</f>
        <v/>
      </c>
      <c r="AB45" s="25" t="str">
        <f>IF('Residual-RosteredMATRIX-RN'!Y29=0,"",'Residual-RosteredMATRIX-RN'!Y29)</f>
        <v/>
      </c>
      <c r="AC45" s="25" t="str">
        <f>IF('Residual-RosteredMATRIX-RN'!Z29=0,"",'Residual-RosteredMATRIX-RN'!Z29)</f>
        <v/>
      </c>
      <c r="AD45" s="25" t="str">
        <f>IF('Residual-RosteredMATRIX-RN'!AA29=0,"",'Residual-RosteredMATRIX-RN'!AA29)</f>
        <v/>
      </c>
      <c r="AE45" s="25" t="str">
        <f>IF('Residual-RosteredMATRIX-RN'!AB29=0,"",'Residual-RosteredMATRIX-RN'!AB29)</f>
        <v/>
      </c>
      <c r="AF45" s="25" t="str">
        <f>IF('Residual-RosteredMATRIX-RN'!AC29=0,"",'Residual-RosteredMATRIX-RN'!AC29)</f>
        <v/>
      </c>
      <c r="AG45" s="25" t="str">
        <f>IF('Residual-RosteredMATRIX-RN'!AD29=0,"",'Residual-RosteredMATRIX-RN'!AD29)</f>
        <v/>
      </c>
      <c r="AH45" s="25" t="str">
        <f>IF('Residual-RosteredMATRIX-RN'!AE29=0,"",'Residual-RosteredMATRIX-RN'!AE29)</f>
        <v/>
      </c>
      <c r="AI45" s="25" t="str">
        <f>IF('Residual-RosteredMATRIX-RN'!AF29=0,"",'Residual-RosteredMATRIX-RN'!AF29)</f>
        <v/>
      </c>
      <c r="AJ45" s="25" t="str">
        <f>IF('Residual-RosteredMATRIX-RN'!AG29=0,"",'Residual-RosteredMATRIX-RN'!AG29)</f>
        <v/>
      </c>
      <c r="AK45" s="25" t="str">
        <f>IF('Residual-RosteredMATRIX-RN'!AH29=0,"",'Residual-RosteredMATRIX-RN'!AH29)</f>
        <v/>
      </c>
      <c r="AL45" s="25" t="str">
        <f>IF('Residual-RosteredMATRIX-RN'!AI29=0,"",'Residual-RosteredMATRIX-RN'!AI29)</f>
        <v/>
      </c>
      <c r="AM45" s="25" t="str">
        <f>IF('Residual-RosteredMATRIX-RN'!AJ29=0,"",'Residual-RosteredMATRIX-RN'!AJ29)</f>
        <v/>
      </c>
      <c r="AN45" s="25" t="str">
        <f>IF('Residual-RosteredMATRIX-RN'!AK29=0,"",'Residual-RosteredMATRIX-RN'!AK29)</f>
        <v/>
      </c>
      <c r="AO45" s="25" t="str">
        <f>IF('Residual-RosteredMATRIX-RN'!AL29=0,"",'Residual-RosteredMATRIX-RN'!AL29)</f>
        <v/>
      </c>
      <c r="AP45" s="25" t="str">
        <f>IF('Residual-RosteredMATRIX-RN'!AM29=0,"",'Residual-RosteredMATRIX-RN'!AM29)</f>
        <v/>
      </c>
      <c r="AQ45" s="25" t="str">
        <f>IF('Residual-RosteredMATRIX-RN'!AN29=0,"",'Residual-RosteredMATRIX-RN'!AN29)</f>
        <v/>
      </c>
      <c r="AR45" s="25" t="str">
        <f>IF('Residual-RosteredMATRIX-RN'!AO29=0,"",'Residual-RosteredMATRIX-RN'!AO29)</f>
        <v/>
      </c>
      <c r="AS45" s="25" t="str">
        <f>IF('Residual-RosteredMATRIX-RN'!AP29=0,"",'Residual-RosteredMATRIX-RN'!AP29)</f>
        <v/>
      </c>
      <c r="AT45" s="25" t="str">
        <f>IF('Residual-RosteredMATRIX-RN'!AQ29=0,"",'Residual-RosteredMATRIX-RN'!AQ29)</f>
        <v/>
      </c>
      <c r="AU45" s="25" t="str">
        <f>IF('Residual-RosteredMATRIX-RN'!AR29=0,"",'Residual-RosteredMATRIX-RN'!AR29)</f>
        <v/>
      </c>
      <c r="AV45" s="25" t="str">
        <f>IF('Residual-RosteredMATRIX-RN'!AS29=0,"",'Residual-RosteredMATRIX-RN'!AS29)</f>
        <v/>
      </c>
      <c r="AW45" s="25" t="str">
        <f>IF('Residual-RosteredMATRIX-RN'!AT29=0,"",'Residual-RosteredMATRIX-RN'!AT29)</f>
        <v/>
      </c>
    </row>
    <row r="46" spans="1:49" ht="15.75" customHeight="1" x14ac:dyDescent="0.25">
      <c r="A46" s="25" t="e">
        <f>'Residual-Rostered'!#REF!</f>
        <v>#REF!</v>
      </c>
      <c r="B46" s="33">
        <f>'Residual-RosteredMATRIX-RN'!C30</f>
        <v>0</v>
      </c>
      <c r="C46" s="33">
        <f>'Residual-RosteredMATRIX-RN'!B30</f>
        <v>0</v>
      </c>
      <c r="D46" s="34">
        <f>'Residual-RosteredMATRIX-RN'!D30</f>
        <v>0</v>
      </c>
      <c r="E46" s="14">
        <f>Max_HRS-Table3[[#This Row],[ROSTERED TIME]]</f>
        <v>76</v>
      </c>
      <c r="F46" s="14">
        <f t="shared" si="5"/>
        <v>0</v>
      </c>
      <c r="G46" s="14">
        <f>Table3[[#This Row],[ROSTERED TIME]]+Table3[[#This Row],[CHANGE TIME]]</f>
        <v>0</v>
      </c>
      <c r="H46" s="25" t="str">
        <f>IF('Residual-RosteredMATRIX-RN'!E30=0,"",'Residual-RosteredMATRIX-RN'!E30)</f>
        <v/>
      </c>
      <c r="I46" s="25" t="str">
        <f>IF('Residual-RosteredMATRIX-RN'!F30=0,"",'Residual-RosteredMATRIX-RN'!F30)</f>
        <v/>
      </c>
      <c r="J46" s="25" t="str">
        <f>IF('Residual-RosteredMATRIX-RN'!G30=0,"",'Residual-RosteredMATRIX-RN'!G30)</f>
        <v/>
      </c>
      <c r="K46" s="25" t="str">
        <f>IF('Residual-RosteredMATRIX-RN'!H30=0,"",'Residual-RosteredMATRIX-RN'!H30)</f>
        <v/>
      </c>
      <c r="L46" s="25" t="str">
        <f>IF('Residual-RosteredMATRIX-RN'!I30=0,"",'Residual-RosteredMATRIX-RN'!I30)</f>
        <v/>
      </c>
      <c r="M46" s="25" t="str">
        <f>IF('Residual-RosteredMATRIX-RN'!J30=0,"",'Residual-RosteredMATRIX-RN'!J30)</f>
        <v/>
      </c>
      <c r="N46" s="25" t="str">
        <f>IF('Residual-RosteredMATRIX-RN'!K30=0,"",'Residual-RosteredMATRIX-RN'!K30)</f>
        <v/>
      </c>
      <c r="O46" s="25" t="str">
        <f>IF('Residual-RosteredMATRIX-RN'!L30=0,"",'Residual-RosteredMATRIX-RN'!L30)</f>
        <v/>
      </c>
      <c r="P46" s="25" t="str">
        <f>IF('Residual-RosteredMATRIX-RN'!M30=0,"",'Residual-RosteredMATRIX-RN'!M30)</f>
        <v/>
      </c>
      <c r="Q46" s="25" t="str">
        <f>IF('Residual-RosteredMATRIX-RN'!N30=0,"",'Residual-RosteredMATRIX-RN'!N30)</f>
        <v/>
      </c>
      <c r="R46" s="25" t="str">
        <f>IF('Residual-RosteredMATRIX-RN'!O30=0,"",'Residual-RosteredMATRIX-RN'!O30)</f>
        <v/>
      </c>
      <c r="S46" s="25" t="str">
        <f>IF('Residual-RosteredMATRIX-RN'!P30=0,"",'Residual-RosteredMATRIX-RN'!P30)</f>
        <v/>
      </c>
      <c r="T46" s="25" t="str">
        <f>IF('Residual-RosteredMATRIX-RN'!Q30=0,"",'Residual-RosteredMATRIX-RN'!Q30)</f>
        <v/>
      </c>
      <c r="U46" s="25" t="str">
        <f>IF('Residual-RosteredMATRIX-RN'!R30=0,"",'Residual-RosteredMATRIX-RN'!R30)</f>
        <v/>
      </c>
      <c r="V46" s="25" t="str">
        <f>IF('Residual-RosteredMATRIX-RN'!S30=0,"",'Residual-RosteredMATRIX-RN'!S30)</f>
        <v/>
      </c>
      <c r="W46" s="25" t="str">
        <f>IF('Residual-RosteredMATRIX-RN'!T30=0,"",'Residual-RosteredMATRIX-RN'!T30)</f>
        <v/>
      </c>
      <c r="X46" s="25" t="str">
        <f>IF('Residual-RosteredMATRIX-RN'!U30=0,"",'Residual-RosteredMATRIX-RN'!U30)</f>
        <v/>
      </c>
      <c r="Y46" s="25" t="str">
        <f>IF('Residual-RosteredMATRIX-RN'!V30=0,"",'Residual-RosteredMATRIX-RN'!V30)</f>
        <v/>
      </c>
      <c r="Z46" s="25" t="str">
        <f>IF('Residual-RosteredMATRIX-RN'!W30=0,"",'Residual-RosteredMATRIX-RN'!W30)</f>
        <v/>
      </c>
      <c r="AA46" s="25" t="str">
        <f>IF('Residual-RosteredMATRIX-RN'!X30=0,"",'Residual-RosteredMATRIX-RN'!X30)</f>
        <v/>
      </c>
      <c r="AB46" s="25" t="str">
        <f>IF('Residual-RosteredMATRIX-RN'!Y30=0,"",'Residual-RosteredMATRIX-RN'!Y30)</f>
        <v/>
      </c>
      <c r="AC46" s="25" t="str">
        <f>IF('Residual-RosteredMATRIX-RN'!Z30=0,"",'Residual-RosteredMATRIX-RN'!Z30)</f>
        <v/>
      </c>
      <c r="AD46" s="25" t="str">
        <f>IF('Residual-RosteredMATRIX-RN'!AA30=0,"",'Residual-RosteredMATRIX-RN'!AA30)</f>
        <v/>
      </c>
      <c r="AE46" s="25" t="str">
        <f>IF('Residual-RosteredMATRIX-RN'!AB30=0,"",'Residual-RosteredMATRIX-RN'!AB30)</f>
        <v/>
      </c>
      <c r="AF46" s="25" t="str">
        <f>IF('Residual-RosteredMATRIX-RN'!AC30=0,"",'Residual-RosteredMATRIX-RN'!AC30)</f>
        <v/>
      </c>
      <c r="AG46" s="25" t="str">
        <f>IF('Residual-RosteredMATRIX-RN'!AD30=0,"",'Residual-RosteredMATRIX-RN'!AD30)</f>
        <v/>
      </c>
      <c r="AH46" s="25" t="str">
        <f>IF('Residual-RosteredMATRIX-RN'!AE30=0,"",'Residual-RosteredMATRIX-RN'!AE30)</f>
        <v/>
      </c>
      <c r="AI46" s="25" t="str">
        <f>IF('Residual-RosteredMATRIX-RN'!AF30=0,"",'Residual-RosteredMATRIX-RN'!AF30)</f>
        <v/>
      </c>
      <c r="AJ46" s="25" t="str">
        <f>IF('Residual-RosteredMATRIX-RN'!AG30=0,"",'Residual-RosteredMATRIX-RN'!AG30)</f>
        <v/>
      </c>
      <c r="AK46" s="25" t="str">
        <f>IF('Residual-RosteredMATRIX-RN'!AH30=0,"",'Residual-RosteredMATRIX-RN'!AH30)</f>
        <v/>
      </c>
      <c r="AL46" s="25" t="str">
        <f>IF('Residual-RosteredMATRIX-RN'!AI30=0,"",'Residual-RosteredMATRIX-RN'!AI30)</f>
        <v/>
      </c>
      <c r="AM46" s="25" t="str">
        <f>IF('Residual-RosteredMATRIX-RN'!AJ30=0,"",'Residual-RosteredMATRIX-RN'!AJ30)</f>
        <v/>
      </c>
      <c r="AN46" s="25" t="str">
        <f>IF('Residual-RosteredMATRIX-RN'!AK30=0,"",'Residual-RosteredMATRIX-RN'!AK30)</f>
        <v/>
      </c>
      <c r="AO46" s="25" t="str">
        <f>IF('Residual-RosteredMATRIX-RN'!AL30=0,"",'Residual-RosteredMATRIX-RN'!AL30)</f>
        <v/>
      </c>
      <c r="AP46" s="25" t="str">
        <f>IF('Residual-RosteredMATRIX-RN'!AM30=0,"",'Residual-RosteredMATRIX-RN'!AM30)</f>
        <v/>
      </c>
      <c r="AQ46" s="25" t="str">
        <f>IF('Residual-RosteredMATRIX-RN'!AN30=0,"",'Residual-RosteredMATRIX-RN'!AN30)</f>
        <v/>
      </c>
      <c r="AR46" s="25" t="str">
        <f>IF('Residual-RosteredMATRIX-RN'!AO30=0,"",'Residual-RosteredMATRIX-RN'!AO30)</f>
        <v/>
      </c>
      <c r="AS46" s="25" t="str">
        <f>IF('Residual-RosteredMATRIX-RN'!AP30=0,"",'Residual-RosteredMATRIX-RN'!AP30)</f>
        <v/>
      </c>
      <c r="AT46" s="25" t="str">
        <f>IF('Residual-RosteredMATRIX-RN'!AQ30=0,"",'Residual-RosteredMATRIX-RN'!AQ30)</f>
        <v/>
      </c>
      <c r="AU46" s="25" t="str">
        <f>IF('Residual-RosteredMATRIX-RN'!AR30=0,"",'Residual-RosteredMATRIX-RN'!AR30)</f>
        <v/>
      </c>
      <c r="AV46" s="25" t="str">
        <f>IF('Residual-RosteredMATRIX-RN'!AS30=0,"",'Residual-RosteredMATRIX-RN'!AS30)</f>
        <v/>
      </c>
      <c r="AW46" s="25" t="str">
        <f>IF('Residual-RosteredMATRIX-RN'!AT30=0,"",'Residual-RosteredMATRIX-RN'!AT30)</f>
        <v/>
      </c>
    </row>
    <row r="47" spans="1:49" ht="15.75" customHeight="1" x14ac:dyDescent="0.25">
      <c r="A47" s="25" t="e">
        <f>'Residual-Rostered'!#REF!</f>
        <v>#REF!</v>
      </c>
      <c r="B47" s="33">
        <f>'Residual-RosteredMATRIX-RN'!C31</f>
        <v>0</v>
      </c>
      <c r="C47" s="33">
        <f>'Residual-RosteredMATRIX-RN'!B31</f>
        <v>0</v>
      </c>
      <c r="D47" s="34">
        <f>'Residual-RosteredMATRIX-RN'!D31</f>
        <v>0</v>
      </c>
      <c r="E47" s="14">
        <f>Max_HRS-Table3[[#This Row],[ROSTERED TIME]]</f>
        <v>76</v>
      </c>
      <c r="F47" s="14">
        <f t="shared" si="5"/>
        <v>0</v>
      </c>
      <c r="G47" s="14">
        <f>Table3[[#This Row],[ROSTERED TIME]]+Table3[[#This Row],[CHANGE TIME]]</f>
        <v>0</v>
      </c>
      <c r="H47" s="25" t="str">
        <f>IF('Residual-RosteredMATRIX-RN'!E31=0,"",'Residual-RosteredMATRIX-RN'!E31)</f>
        <v/>
      </c>
      <c r="I47" s="25" t="str">
        <f>IF('Residual-RosteredMATRIX-RN'!F31=0,"",'Residual-RosteredMATRIX-RN'!F31)</f>
        <v/>
      </c>
      <c r="J47" s="25" t="str">
        <f>IF('Residual-RosteredMATRIX-RN'!G31=0,"",'Residual-RosteredMATRIX-RN'!G31)</f>
        <v/>
      </c>
      <c r="K47" s="25" t="str">
        <f>IF('Residual-RosteredMATRIX-RN'!H31=0,"",'Residual-RosteredMATRIX-RN'!H31)</f>
        <v/>
      </c>
      <c r="L47" s="25" t="str">
        <f>IF('Residual-RosteredMATRIX-RN'!I31=0,"",'Residual-RosteredMATRIX-RN'!I31)</f>
        <v/>
      </c>
      <c r="M47" s="25" t="str">
        <f>IF('Residual-RosteredMATRIX-RN'!J31=0,"",'Residual-RosteredMATRIX-RN'!J31)</f>
        <v/>
      </c>
      <c r="N47" s="25" t="str">
        <f>IF('Residual-RosteredMATRIX-RN'!K31=0,"",'Residual-RosteredMATRIX-RN'!K31)</f>
        <v/>
      </c>
      <c r="O47" s="25" t="str">
        <f>IF('Residual-RosteredMATRIX-RN'!L31=0,"",'Residual-RosteredMATRIX-RN'!L31)</f>
        <v/>
      </c>
      <c r="P47" s="25" t="str">
        <f>IF('Residual-RosteredMATRIX-RN'!M31=0,"",'Residual-RosteredMATRIX-RN'!M31)</f>
        <v/>
      </c>
      <c r="Q47" s="25" t="str">
        <f>IF('Residual-RosteredMATRIX-RN'!N31=0,"",'Residual-RosteredMATRIX-RN'!N31)</f>
        <v/>
      </c>
      <c r="R47" s="25" t="str">
        <f>IF('Residual-RosteredMATRIX-RN'!O31=0,"",'Residual-RosteredMATRIX-RN'!O31)</f>
        <v/>
      </c>
      <c r="S47" s="25" t="str">
        <f>IF('Residual-RosteredMATRIX-RN'!P31=0,"",'Residual-RosteredMATRIX-RN'!P31)</f>
        <v/>
      </c>
      <c r="T47" s="25" t="str">
        <f>IF('Residual-RosteredMATRIX-RN'!Q31=0,"",'Residual-RosteredMATRIX-RN'!Q31)</f>
        <v/>
      </c>
      <c r="U47" s="25" t="str">
        <f>IF('Residual-RosteredMATRIX-RN'!R31=0,"",'Residual-RosteredMATRIX-RN'!R31)</f>
        <v/>
      </c>
      <c r="V47" s="25" t="str">
        <f>IF('Residual-RosteredMATRIX-RN'!S31=0,"",'Residual-RosteredMATRIX-RN'!S31)</f>
        <v/>
      </c>
      <c r="W47" s="25" t="str">
        <f>IF('Residual-RosteredMATRIX-RN'!T31=0,"",'Residual-RosteredMATRIX-RN'!T31)</f>
        <v/>
      </c>
      <c r="X47" s="25" t="str">
        <f>IF('Residual-RosteredMATRIX-RN'!U31=0,"",'Residual-RosteredMATRIX-RN'!U31)</f>
        <v/>
      </c>
      <c r="Y47" s="25" t="str">
        <f>IF('Residual-RosteredMATRIX-RN'!V31=0,"",'Residual-RosteredMATRIX-RN'!V31)</f>
        <v/>
      </c>
      <c r="Z47" s="25" t="str">
        <f>IF('Residual-RosteredMATRIX-RN'!W31=0,"",'Residual-RosteredMATRIX-RN'!W31)</f>
        <v/>
      </c>
      <c r="AA47" s="25" t="str">
        <f>IF('Residual-RosteredMATRIX-RN'!X31=0,"",'Residual-RosteredMATRIX-RN'!X31)</f>
        <v/>
      </c>
      <c r="AB47" s="25" t="str">
        <f>IF('Residual-RosteredMATRIX-RN'!Y31=0,"",'Residual-RosteredMATRIX-RN'!Y31)</f>
        <v/>
      </c>
      <c r="AC47" s="25" t="str">
        <f>IF('Residual-RosteredMATRIX-RN'!Z31=0,"",'Residual-RosteredMATRIX-RN'!Z31)</f>
        <v/>
      </c>
      <c r="AD47" s="25" t="str">
        <f>IF('Residual-RosteredMATRIX-RN'!AA31=0,"",'Residual-RosteredMATRIX-RN'!AA31)</f>
        <v/>
      </c>
      <c r="AE47" s="25" t="str">
        <f>IF('Residual-RosteredMATRIX-RN'!AB31=0,"",'Residual-RosteredMATRIX-RN'!AB31)</f>
        <v/>
      </c>
      <c r="AF47" s="25" t="str">
        <f>IF('Residual-RosteredMATRIX-RN'!AC31=0,"",'Residual-RosteredMATRIX-RN'!AC31)</f>
        <v/>
      </c>
      <c r="AG47" s="25" t="str">
        <f>IF('Residual-RosteredMATRIX-RN'!AD31=0,"",'Residual-RosteredMATRIX-RN'!AD31)</f>
        <v/>
      </c>
      <c r="AH47" s="25" t="str">
        <f>IF('Residual-RosteredMATRIX-RN'!AE31=0,"",'Residual-RosteredMATRIX-RN'!AE31)</f>
        <v/>
      </c>
      <c r="AI47" s="25" t="str">
        <f>IF('Residual-RosteredMATRIX-RN'!AF31=0,"",'Residual-RosteredMATRIX-RN'!AF31)</f>
        <v/>
      </c>
      <c r="AJ47" s="25" t="str">
        <f>IF('Residual-RosteredMATRIX-RN'!AG31=0,"",'Residual-RosteredMATRIX-RN'!AG31)</f>
        <v/>
      </c>
      <c r="AK47" s="25" t="str">
        <f>IF('Residual-RosteredMATRIX-RN'!AH31=0,"",'Residual-RosteredMATRIX-RN'!AH31)</f>
        <v/>
      </c>
      <c r="AL47" s="25" t="str">
        <f>IF('Residual-RosteredMATRIX-RN'!AI31=0,"",'Residual-RosteredMATRIX-RN'!AI31)</f>
        <v/>
      </c>
      <c r="AM47" s="25" t="str">
        <f>IF('Residual-RosteredMATRIX-RN'!AJ31=0,"",'Residual-RosteredMATRIX-RN'!AJ31)</f>
        <v/>
      </c>
      <c r="AN47" s="25" t="str">
        <f>IF('Residual-RosteredMATRIX-RN'!AK31=0,"",'Residual-RosteredMATRIX-RN'!AK31)</f>
        <v/>
      </c>
      <c r="AO47" s="25" t="str">
        <f>IF('Residual-RosteredMATRIX-RN'!AL31=0,"",'Residual-RosteredMATRIX-RN'!AL31)</f>
        <v/>
      </c>
      <c r="AP47" s="25" t="str">
        <f>IF('Residual-RosteredMATRIX-RN'!AM31=0,"",'Residual-RosteredMATRIX-RN'!AM31)</f>
        <v/>
      </c>
      <c r="AQ47" s="25" t="str">
        <f>IF('Residual-RosteredMATRIX-RN'!AN31=0,"",'Residual-RosteredMATRIX-RN'!AN31)</f>
        <v/>
      </c>
      <c r="AR47" s="25" t="str">
        <f>IF('Residual-RosteredMATRIX-RN'!AO31=0,"",'Residual-RosteredMATRIX-RN'!AO31)</f>
        <v/>
      </c>
      <c r="AS47" s="25" t="str">
        <f>IF('Residual-RosteredMATRIX-RN'!AP31=0,"",'Residual-RosteredMATRIX-RN'!AP31)</f>
        <v/>
      </c>
      <c r="AT47" s="25" t="str">
        <f>IF('Residual-RosteredMATRIX-RN'!AQ31=0,"",'Residual-RosteredMATRIX-RN'!AQ31)</f>
        <v/>
      </c>
      <c r="AU47" s="25" t="str">
        <f>IF('Residual-RosteredMATRIX-RN'!AR31=0,"",'Residual-RosteredMATRIX-RN'!AR31)</f>
        <v/>
      </c>
      <c r="AV47" s="25" t="str">
        <f>IF('Residual-RosteredMATRIX-RN'!AS31=0,"",'Residual-RosteredMATRIX-RN'!AS31)</f>
        <v/>
      </c>
      <c r="AW47" s="25" t="str">
        <f>IF('Residual-RosteredMATRIX-RN'!AT31=0,"",'Residual-RosteredMATRIX-RN'!AT31)</f>
        <v/>
      </c>
    </row>
    <row r="48" spans="1:49" ht="15.75" customHeight="1" x14ac:dyDescent="0.25">
      <c r="A48" s="25" t="e">
        <f>'Residual-Rostered'!#REF!</f>
        <v>#REF!</v>
      </c>
      <c r="B48" s="33">
        <f>'Residual-RosteredMATRIX-RN'!C32</f>
        <v>0</v>
      </c>
      <c r="C48" s="33">
        <f>'Residual-RosteredMATRIX-RN'!B32</f>
        <v>0</v>
      </c>
      <c r="D48" s="34">
        <f>'Residual-RosteredMATRIX-RN'!D32</f>
        <v>0</v>
      </c>
      <c r="E48" s="14">
        <f>Max_HRS-Table3[[#This Row],[ROSTERED TIME]]</f>
        <v>76</v>
      </c>
      <c r="F48" s="14">
        <f t="shared" si="5"/>
        <v>0</v>
      </c>
      <c r="G48" s="14">
        <f>Table3[[#This Row],[ROSTERED TIME]]+Table3[[#This Row],[CHANGE TIME]]</f>
        <v>0</v>
      </c>
      <c r="H48" s="25" t="str">
        <f>IF('Residual-RosteredMATRIX-RN'!E32=0,"",'Residual-RosteredMATRIX-RN'!E32)</f>
        <v/>
      </c>
      <c r="I48" s="25" t="str">
        <f>IF('Residual-RosteredMATRIX-RN'!F32=0,"",'Residual-RosteredMATRIX-RN'!F32)</f>
        <v/>
      </c>
      <c r="J48" s="25" t="str">
        <f>IF('Residual-RosteredMATRIX-RN'!G32=0,"",'Residual-RosteredMATRIX-RN'!G32)</f>
        <v/>
      </c>
      <c r="K48" s="25" t="str">
        <f>IF('Residual-RosteredMATRIX-RN'!H32=0,"",'Residual-RosteredMATRIX-RN'!H32)</f>
        <v/>
      </c>
      <c r="L48" s="25" t="str">
        <f>IF('Residual-RosteredMATRIX-RN'!I32=0,"",'Residual-RosteredMATRIX-RN'!I32)</f>
        <v/>
      </c>
      <c r="M48" s="25" t="str">
        <f>IF('Residual-RosteredMATRIX-RN'!J32=0,"",'Residual-RosteredMATRIX-RN'!J32)</f>
        <v/>
      </c>
      <c r="N48" s="25" t="str">
        <f>IF('Residual-RosteredMATRIX-RN'!K32=0,"",'Residual-RosteredMATRIX-RN'!K32)</f>
        <v/>
      </c>
      <c r="O48" s="25" t="str">
        <f>IF('Residual-RosteredMATRIX-RN'!L32=0,"",'Residual-RosteredMATRIX-RN'!L32)</f>
        <v/>
      </c>
      <c r="P48" s="25" t="str">
        <f>IF('Residual-RosteredMATRIX-RN'!M32=0,"",'Residual-RosteredMATRIX-RN'!M32)</f>
        <v/>
      </c>
      <c r="Q48" s="25" t="str">
        <f>IF('Residual-RosteredMATRIX-RN'!N32=0,"",'Residual-RosteredMATRIX-RN'!N32)</f>
        <v/>
      </c>
      <c r="R48" s="25" t="str">
        <f>IF('Residual-RosteredMATRIX-RN'!O32=0,"",'Residual-RosteredMATRIX-RN'!O32)</f>
        <v/>
      </c>
      <c r="S48" s="25" t="str">
        <f>IF('Residual-RosteredMATRIX-RN'!P32=0,"",'Residual-RosteredMATRIX-RN'!P32)</f>
        <v/>
      </c>
      <c r="T48" s="25" t="str">
        <f>IF('Residual-RosteredMATRIX-RN'!Q32=0,"",'Residual-RosteredMATRIX-RN'!Q32)</f>
        <v/>
      </c>
      <c r="U48" s="25" t="str">
        <f>IF('Residual-RosteredMATRIX-RN'!R32=0,"",'Residual-RosteredMATRIX-RN'!R32)</f>
        <v/>
      </c>
      <c r="V48" s="25" t="str">
        <f>IF('Residual-RosteredMATRIX-RN'!S32=0,"",'Residual-RosteredMATRIX-RN'!S32)</f>
        <v/>
      </c>
      <c r="W48" s="25" t="str">
        <f>IF('Residual-RosteredMATRIX-RN'!T32=0,"",'Residual-RosteredMATRIX-RN'!T32)</f>
        <v/>
      </c>
      <c r="X48" s="25" t="str">
        <f>IF('Residual-RosteredMATRIX-RN'!U32=0,"",'Residual-RosteredMATRIX-RN'!U32)</f>
        <v/>
      </c>
      <c r="Y48" s="25" t="str">
        <f>IF('Residual-RosteredMATRIX-RN'!V32=0,"",'Residual-RosteredMATRIX-RN'!V32)</f>
        <v/>
      </c>
      <c r="Z48" s="25" t="str">
        <f>IF('Residual-RosteredMATRIX-RN'!W32=0,"",'Residual-RosteredMATRIX-RN'!W32)</f>
        <v/>
      </c>
      <c r="AA48" s="25" t="str">
        <f>IF('Residual-RosteredMATRIX-RN'!X32=0,"",'Residual-RosteredMATRIX-RN'!X32)</f>
        <v/>
      </c>
      <c r="AB48" s="25" t="str">
        <f>IF('Residual-RosteredMATRIX-RN'!Y32=0,"",'Residual-RosteredMATRIX-RN'!Y32)</f>
        <v/>
      </c>
      <c r="AC48" s="25" t="str">
        <f>IF('Residual-RosteredMATRIX-RN'!Z32=0,"",'Residual-RosteredMATRIX-RN'!Z32)</f>
        <v/>
      </c>
      <c r="AD48" s="25" t="str">
        <f>IF('Residual-RosteredMATRIX-RN'!AA32=0,"",'Residual-RosteredMATRIX-RN'!AA32)</f>
        <v/>
      </c>
      <c r="AE48" s="25" t="str">
        <f>IF('Residual-RosteredMATRIX-RN'!AB32=0,"",'Residual-RosteredMATRIX-RN'!AB32)</f>
        <v/>
      </c>
      <c r="AF48" s="25" t="str">
        <f>IF('Residual-RosteredMATRIX-RN'!AC32=0,"",'Residual-RosteredMATRIX-RN'!AC32)</f>
        <v/>
      </c>
      <c r="AG48" s="25" t="str">
        <f>IF('Residual-RosteredMATRIX-RN'!AD32=0,"",'Residual-RosteredMATRIX-RN'!AD32)</f>
        <v/>
      </c>
      <c r="AH48" s="25" t="str">
        <f>IF('Residual-RosteredMATRIX-RN'!AE32=0,"",'Residual-RosteredMATRIX-RN'!AE32)</f>
        <v/>
      </c>
      <c r="AI48" s="25" t="str">
        <f>IF('Residual-RosteredMATRIX-RN'!AF32=0,"",'Residual-RosteredMATRIX-RN'!AF32)</f>
        <v/>
      </c>
      <c r="AJ48" s="25" t="str">
        <f>IF('Residual-RosteredMATRIX-RN'!AG32=0,"",'Residual-RosteredMATRIX-RN'!AG32)</f>
        <v/>
      </c>
      <c r="AK48" s="25" t="str">
        <f>IF('Residual-RosteredMATRIX-RN'!AH32=0,"",'Residual-RosteredMATRIX-RN'!AH32)</f>
        <v/>
      </c>
      <c r="AL48" s="25" t="str">
        <f>IF('Residual-RosteredMATRIX-RN'!AI32=0,"",'Residual-RosteredMATRIX-RN'!AI32)</f>
        <v/>
      </c>
      <c r="AM48" s="25" t="str">
        <f>IF('Residual-RosteredMATRIX-RN'!AJ32=0,"",'Residual-RosteredMATRIX-RN'!AJ32)</f>
        <v/>
      </c>
      <c r="AN48" s="25" t="str">
        <f>IF('Residual-RosteredMATRIX-RN'!AK32=0,"",'Residual-RosteredMATRIX-RN'!AK32)</f>
        <v/>
      </c>
      <c r="AO48" s="25" t="str">
        <f>IF('Residual-RosteredMATRIX-RN'!AL32=0,"",'Residual-RosteredMATRIX-RN'!AL32)</f>
        <v/>
      </c>
      <c r="AP48" s="25" t="str">
        <f>IF('Residual-RosteredMATRIX-RN'!AM32=0,"",'Residual-RosteredMATRIX-RN'!AM32)</f>
        <v/>
      </c>
      <c r="AQ48" s="25" t="str">
        <f>IF('Residual-RosteredMATRIX-RN'!AN32=0,"",'Residual-RosteredMATRIX-RN'!AN32)</f>
        <v/>
      </c>
      <c r="AR48" s="25" t="str">
        <f>IF('Residual-RosteredMATRIX-RN'!AO32=0,"",'Residual-RosteredMATRIX-RN'!AO32)</f>
        <v/>
      </c>
      <c r="AS48" s="25" t="str">
        <f>IF('Residual-RosteredMATRIX-RN'!AP32=0,"",'Residual-RosteredMATRIX-RN'!AP32)</f>
        <v/>
      </c>
      <c r="AT48" s="25" t="str">
        <f>IF('Residual-RosteredMATRIX-RN'!AQ32=0,"",'Residual-RosteredMATRIX-RN'!AQ32)</f>
        <v/>
      </c>
      <c r="AU48" s="25" t="str">
        <f>IF('Residual-RosteredMATRIX-RN'!AR32=0,"",'Residual-RosteredMATRIX-RN'!AR32)</f>
        <v/>
      </c>
      <c r="AV48" s="25" t="str">
        <f>IF('Residual-RosteredMATRIX-RN'!AS32=0,"",'Residual-RosteredMATRIX-RN'!AS32)</f>
        <v/>
      </c>
      <c r="AW48" s="25" t="str">
        <f>IF('Residual-RosteredMATRIX-RN'!AT32=0,"",'Residual-RosteredMATRIX-RN'!AT32)</f>
        <v/>
      </c>
    </row>
    <row r="49" spans="1:49" ht="15.75" customHeight="1" x14ac:dyDescent="0.25">
      <c r="A49" s="25" t="e">
        <f>'Residual-Rostered'!#REF!</f>
        <v>#REF!</v>
      </c>
      <c r="B49" s="33">
        <f>'Residual-RosteredMATRIX-RN'!C33</f>
        <v>0</v>
      </c>
      <c r="C49" s="33">
        <f>'Residual-RosteredMATRIX-RN'!B33</f>
        <v>0</v>
      </c>
      <c r="D49" s="34">
        <f>'Residual-RosteredMATRIX-RN'!D33</f>
        <v>0</v>
      </c>
      <c r="E49" s="14">
        <f>Max_HRS-Table3[[#This Row],[ROSTERED TIME]]</f>
        <v>76</v>
      </c>
      <c r="F49" s="14">
        <f t="shared" si="5"/>
        <v>0</v>
      </c>
      <c r="G49" s="14">
        <f>Table3[[#This Row],[ROSTERED TIME]]+Table3[[#This Row],[CHANGE TIME]]</f>
        <v>0</v>
      </c>
      <c r="H49" s="25" t="str">
        <f>IF('Residual-RosteredMATRIX-RN'!E33=0,"",'Residual-RosteredMATRIX-RN'!E33)</f>
        <v/>
      </c>
      <c r="I49" s="25" t="str">
        <f>IF('Residual-RosteredMATRIX-RN'!F33=0,"",'Residual-RosteredMATRIX-RN'!F33)</f>
        <v/>
      </c>
      <c r="J49" s="25" t="str">
        <f>IF('Residual-RosteredMATRIX-RN'!G33=0,"",'Residual-RosteredMATRIX-RN'!G33)</f>
        <v/>
      </c>
      <c r="K49" s="25" t="str">
        <f>IF('Residual-RosteredMATRIX-RN'!H33=0,"",'Residual-RosteredMATRIX-RN'!H33)</f>
        <v/>
      </c>
      <c r="L49" s="25" t="str">
        <f>IF('Residual-RosteredMATRIX-RN'!I33=0,"",'Residual-RosteredMATRIX-RN'!I33)</f>
        <v/>
      </c>
      <c r="M49" s="25" t="str">
        <f>IF('Residual-RosteredMATRIX-RN'!J33=0,"",'Residual-RosteredMATRIX-RN'!J33)</f>
        <v/>
      </c>
      <c r="N49" s="25" t="str">
        <f>IF('Residual-RosteredMATRIX-RN'!K33=0,"",'Residual-RosteredMATRIX-RN'!K33)</f>
        <v/>
      </c>
      <c r="O49" s="25" t="str">
        <f>IF('Residual-RosteredMATRIX-RN'!L33=0,"",'Residual-RosteredMATRIX-RN'!L33)</f>
        <v/>
      </c>
      <c r="P49" s="25" t="str">
        <f>IF('Residual-RosteredMATRIX-RN'!M33=0,"",'Residual-RosteredMATRIX-RN'!M33)</f>
        <v/>
      </c>
      <c r="Q49" s="25" t="str">
        <f>IF('Residual-RosteredMATRIX-RN'!N33=0,"",'Residual-RosteredMATRIX-RN'!N33)</f>
        <v/>
      </c>
      <c r="R49" s="25" t="str">
        <f>IF('Residual-RosteredMATRIX-RN'!O33=0,"",'Residual-RosteredMATRIX-RN'!O33)</f>
        <v/>
      </c>
      <c r="S49" s="25" t="str">
        <f>IF('Residual-RosteredMATRIX-RN'!P33=0,"",'Residual-RosteredMATRIX-RN'!P33)</f>
        <v/>
      </c>
      <c r="T49" s="25" t="str">
        <f>IF('Residual-RosteredMATRIX-RN'!Q33=0,"",'Residual-RosteredMATRIX-RN'!Q33)</f>
        <v/>
      </c>
      <c r="U49" s="25" t="str">
        <f>IF('Residual-RosteredMATRIX-RN'!R33=0,"",'Residual-RosteredMATRIX-RN'!R33)</f>
        <v/>
      </c>
      <c r="V49" s="25" t="str">
        <f>IF('Residual-RosteredMATRIX-RN'!S33=0,"",'Residual-RosteredMATRIX-RN'!S33)</f>
        <v/>
      </c>
      <c r="W49" s="25" t="str">
        <f>IF('Residual-RosteredMATRIX-RN'!T33=0,"",'Residual-RosteredMATRIX-RN'!T33)</f>
        <v/>
      </c>
      <c r="X49" s="25" t="str">
        <f>IF('Residual-RosteredMATRIX-RN'!U33=0,"",'Residual-RosteredMATRIX-RN'!U33)</f>
        <v/>
      </c>
      <c r="Y49" s="25" t="str">
        <f>IF('Residual-RosteredMATRIX-RN'!V33=0,"",'Residual-RosteredMATRIX-RN'!V33)</f>
        <v/>
      </c>
      <c r="Z49" s="25" t="str">
        <f>IF('Residual-RosteredMATRIX-RN'!W33=0,"",'Residual-RosteredMATRIX-RN'!W33)</f>
        <v/>
      </c>
      <c r="AA49" s="25" t="str">
        <f>IF('Residual-RosteredMATRIX-RN'!X33=0,"",'Residual-RosteredMATRIX-RN'!X33)</f>
        <v/>
      </c>
      <c r="AB49" s="25" t="str">
        <f>IF('Residual-RosteredMATRIX-RN'!Y33=0,"",'Residual-RosteredMATRIX-RN'!Y33)</f>
        <v/>
      </c>
      <c r="AC49" s="25" t="str">
        <f>IF('Residual-RosteredMATRIX-RN'!Z33=0,"",'Residual-RosteredMATRIX-RN'!Z33)</f>
        <v/>
      </c>
      <c r="AD49" s="25" t="str">
        <f>IF('Residual-RosteredMATRIX-RN'!AA33=0,"",'Residual-RosteredMATRIX-RN'!AA33)</f>
        <v/>
      </c>
      <c r="AE49" s="25" t="str">
        <f>IF('Residual-RosteredMATRIX-RN'!AB33=0,"",'Residual-RosteredMATRIX-RN'!AB33)</f>
        <v/>
      </c>
      <c r="AF49" s="25" t="str">
        <f>IF('Residual-RosteredMATRIX-RN'!AC33=0,"",'Residual-RosteredMATRIX-RN'!AC33)</f>
        <v/>
      </c>
      <c r="AG49" s="25" t="str">
        <f>IF('Residual-RosteredMATRIX-RN'!AD33=0,"",'Residual-RosteredMATRIX-RN'!AD33)</f>
        <v/>
      </c>
      <c r="AH49" s="25" t="str">
        <f>IF('Residual-RosteredMATRIX-RN'!AE33=0,"",'Residual-RosteredMATRIX-RN'!AE33)</f>
        <v/>
      </c>
      <c r="AI49" s="25" t="str">
        <f>IF('Residual-RosteredMATRIX-RN'!AF33=0,"",'Residual-RosteredMATRIX-RN'!AF33)</f>
        <v/>
      </c>
      <c r="AJ49" s="25" t="str">
        <f>IF('Residual-RosteredMATRIX-RN'!AG33=0,"",'Residual-RosteredMATRIX-RN'!AG33)</f>
        <v/>
      </c>
      <c r="AK49" s="25" t="str">
        <f>IF('Residual-RosteredMATRIX-RN'!AH33=0,"",'Residual-RosteredMATRIX-RN'!AH33)</f>
        <v/>
      </c>
      <c r="AL49" s="25" t="str">
        <f>IF('Residual-RosteredMATRIX-RN'!AI33=0,"",'Residual-RosteredMATRIX-RN'!AI33)</f>
        <v/>
      </c>
      <c r="AM49" s="25" t="str">
        <f>IF('Residual-RosteredMATRIX-RN'!AJ33=0,"",'Residual-RosteredMATRIX-RN'!AJ33)</f>
        <v/>
      </c>
      <c r="AN49" s="25" t="str">
        <f>IF('Residual-RosteredMATRIX-RN'!AK33=0,"",'Residual-RosteredMATRIX-RN'!AK33)</f>
        <v/>
      </c>
      <c r="AO49" s="25" t="str">
        <f>IF('Residual-RosteredMATRIX-RN'!AL33=0,"",'Residual-RosteredMATRIX-RN'!AL33)</f>
        <v/>
      </c>
      <c r="AP49" s="25" t="str">
        <f>IF('Residual-RosteredMATRIX-RN'!AM33=0,"",'Residual-RosteredMATRIX-RN'!AM33)</f>
        <v/>
      </c>
      <c r="AQ49" s="25" t="str">
        <f>IF('Residual-RosteredMATRIX-RN'!AN33=0,"",'Residual-RosteredMATRIX-RN'!AN33)</f>
        <v/>
      </c>
      <c r="AR49" s="25" t="str">
        <f>IF('Residual-RosteredMATRIX-RN'!AO33=0,"",'Residual-RosteredMATRIX-RN'!AO33)</f>
        <v/>
      </c>
      <c r="AS49" s="25" t="str">
        <f>IF('Residual-RosteredMATRIX-RN'!AP33=0,"",'Residual-RosteredMATRIX-RN'!AP33)</f>
        <v/>
      </c>
      <c r="AT49" s="25" t="str">
        <f>IF('Residual-RosteredMATRIX-RN'!AQ33=0,"",'Residual-RosteredMATRIX-RN'!AQ33)</f>
        <v/>
      </c>
      <c r="AU49" s="25" t="str">
        <f>IF('Residual-RosteredMATRIX-RN'!AR33=0,"",'Residual-RosteredMATRIX-RN'!AR33)</f>
        <v/>
      </c>
      <c r="AV49" s="25" t="str">
        <f>IF('Residual-RosteredMATRIX-RN'!AS33=0,"",'Residual-RosteredMATRIX-RN'!AS33)</f>
        <v/>
      </c>
      <c r="AW49" s="25" t="str">
        <f>IF('Residual-RosteredMATRIX-RN'!AT33=0,"",'Residual-RosteredMATRIX-RN'!AT33)</f>
        <v/>
      </c>
    </row>
    <row r="50" spans="1:49" ht="15.75" customHeight="1" x14ac:dyDescent="0.25">
      <c r="A50" s="25" t="e">
        <f>'Residual-Rostered'!#REF!</f>
        <v>#REF!</v>
      </c>
      <c r="B50" s="33">
        <f>'Residual-RosteredMATRIX-RN'!C34</f>
        <v>0</v>
      </c>
      <c r="C50" s="33">
        <f>'Residual-RosteredMATRIX-RN'!B34</f>
        <v>0</v>
      </c>
      <c r="D50" s="34">
        <f>'Residual-RosteredMATRIX-RN'!D34</f>
        <v>0</v>
      </c>
      <c r="E50" s="14">
        <f>Max_HRS-Table3[[#This Row],[ROSTERED TIME]]</f>
        <v>76</v>
      </c>
      <c r="F50" s="14">
        <f t="shared" ref="F50:F82" si="7">SUM(H50:AV50)</f>
        <v>0</v>
      </c>
      <c r="G50" s="14">
        <f>Table3[[#This Row],[ROSTERED TIME]]+Table3[[#This Row],[CHANGE TIME]]</f>
        <v>0</v>
      </c>
      <c r="H50" s="25" t="str">
        <f>IF('Residual-RosteredMATRIX-RN'!E34=0,"",'Residual-RosteredMATRIX-RN'!E34)</f>
        <v/>
      </c>
      <c r="I50" s="25" t="str">
        <f>IF('Residual-RosteredMATRIX-RN'!F34=0,"",'Residual-RosteredMATRIX-RN'!F34)</f>
        <v/>
      </c>
      <c r="J50" s="25" t="str">
        <f>IF('Residual-RosteredMATRIX-RN'!G34=0,"",'Residual-RosteredMATRIX-RN'!G34)</f>
        <v/>
      </c>
      <c r="K50" s="25" t="str">
        <f>IF('Residual-RosteredMATRIX-RN'!H34=0,"",'Residual-RosteredMATRIX-RN'!H34)</f>
        <v/>
      </c>
      <c r="L50" s="25" t="str">
        <f>IF('Residual-RosteredMATRIX-RN'!I34=0,"",'Residual-RosteredMATRIX-RN'!I34)</f>
        <v/>
      </c>
      <c r="M50" s="25" t="str">
        <f>IF('Residual-RosteredMATRIX-RN'!J34=0,"",'Residual-RosteredMATRIX-RN'!J34)</f>
        <v/>
      </c>
      <c r="N50" s="25" t="str">
        <f>IF('Residual-RosteredMATRIX-RN'!K34=0,"",'Residual-RosteredMATRIX-RN'!K34)</f>
        <v/>
      </c>
      <c r="O50" s="25" t="str">
        <f>IF('Residual-RosteredMATRIX-RN'!L34=0,"",'Residual-RosteredMATRIX-RN'!L34)</f>
        <v/>
      </c>
      <c r="P50" s="25" t="str">
        <f>IF('Residual-RosteredMATRIX-RN'!M34=0,"",'Residual-RosteredMATRIX-RN'!M34)</f>
        <v/>
      </c>
      <c r="Q50" s="25" t="str">
        <f>IF('Residual-RosteredMATRIX-RN'!N34=0,"",'Residual-RosteredMATRIX-RN'!N34)</f>
        <v/>
      </c>
      <c r="R50" s="25" t="str">
        <f>IF('Residual-RosteredMATRIX-RN'!O34=0,"",'Residual-RosteredMATRIX-RN'!O34)</f>
        <v/>
      </c>
      <c r="S50" s="25" t="str">
        <f>IF('Residual-RosteredMATRIX-RN'!P34=0,"",'Residual-RosteredMATRIX-RN'!P34)</f>
        <v/>
      </c>
      <c r="T50" s="25" t="str">
        <f>IF('Residual-RosteredMATRIX-RN'!Q34=0,"",'Residual-RosteredMATRIX-RN'!Q34)</f>
        <v/>
      </c>
      <c r="U50" s="25" t="str">
        <f>IF('Residual-RosteredMATRIX-RN'!R34=0,"",'Residual-RosteredMATRIX-RN'!R34)</f>
        <v/>
      </c>
      <c r="V50" s="25" t="str">
        <f>IF('Residual-RosteredMATRIX-RN'!S34=0,"",'Residual-RosteredMATRIX-RN'!S34)</f>
        <v/>
      </c>
      <c r="W50" s="25" t="str">
        <f>IF('Residual-RosteredMATRIX-RN'!T34=0,"",'Residual-RosteredMATRIX-RN'!T34)</f>
        <v/>
      </c>
      <c r="X50" s="25" t="str">
        <f>IF('Residual-RosteredMATRIX-RN'!U34=0,"",'Residual-RosteredMATRIX-RN'!U34)</f>
        <v/>
      </c>
      <c r="Y50" s="25" t="str">
        <f>IF('Residual-RosteredMATRIX-RN'!V34=0,"",'Residual-RosteredMATRIX-RN'!V34)</f>
        <v/>
      </c>
      <c r="Z50" s="25" t="str">
        <f>IF('Residual-RosteredMATRIX-RN'!W34=0,"",'Residual-RosteredMATRIX-RN'!W34)</f>
        <v/>
      </c>
      <c r="AA50" s="25" t="str">
        <f>IF('Residual-RosteredMATRIX-RN'!X34=0,"",'Residual-RosteredMATRIX-RN'!X34)</f>
        <v/>
      </c>
      <c r="AB50" s="25" t="str">
        <f>IF('Residual-RosteredMATRIX-RN'!Y34=0,"",'Residual-RosteredMATRIX-RN'!Y34)</f>
        <v/>
      </c>
      <c r="AC50" s="25" t="str">
        <f>IF('Residual-RosteredMATRIX-RN'!Z34=0,"",'Residual-RosteredMATRIX-RN'!Z34)</f>
        <v/>
      </c>
      <c r="AD50" s="25" t="str">
        <f>IF('Residual-RosteredMATRIX-RN'!AA34=0,"",'Residual-RosteredMATRIX-RN'!AA34)</f>
        <v/>
      </c>
      <c r="AE50" s="25" t="str">
        <f>IF('Residual-RosteredMATRIX-RN'!AB34=0,"",'Residual-RosteredMATRIX-RN'!AB34)</f>
        <v/>
      </c>
      <c r="AF50" s="25" t="str">
        <f>IF('Residual-RosteredMATRIX-RN'!AC34=0,"",'Residual-RosteredMATRIX-RN'!AC34)</f>
        <v/>
      </c>
      <c r="AG50" s="25" t="str">
        <f>IF('Residual-RosteredMATRIX-RN'!AD34=0,"",'Residual-RosteredMATRIX-RN'!AD34)</f>
        <v/>
      </c>
      <c r="AH50" s="25" t="str">
        <f>IF('Residual-RosteredMATRIX-RN'!AE34=0,"",'Residual-RosteredMATRIX-RN'!AE34)</f>
        <v/>
      </c>
      <c r="AI50" s="25" t="str">
        <f>IF('Residual-RosteredMATRIX-RN'!AF34=0,"",'Residual-RosteredMATRIX-RN'!AF34)</f>
        <v/>
      </c>
      <c r="AJ50" s="25" t="str">
        <f>IF('Residual-RosteredMATRIX-RN'!AG34=0,"",'Residual-RosteredMATRIX-RN'!AG34)</f>
        <v/>
      </c>
      <c r="AK50" s="25" t="str">
        <f>IF('Residual-RosteredMATRIX-RN'!AH34=0,"",'Residual-RosteredMATRIX-RN'!AH34)</f>
        <v/>
      </c>
      <c r="AL50" s="25" t="str">
        <f>IF('Residual-RosteredMATRIX-RN'!AI34=0,"",'Residual-RosteredMATRIX-RN'!AI34)</f>
        <v/>
      </c>
      <c r="AM50" s="25" t="str">
        <f>IF('Residual-RosteredMATRIX-RN'!AJ34=0,"",'Residual-RosteredMATRIX-RN'!AJ34)</f>
        <v/>
      </c>
      <c r="AN50" s="25" t="str">
        <f>IF('Residual-RosteredMATRIX-RN'!AK34=0,"",'Residual-RosteredMATRIX-RN'!AK34)</f>
        <v/>
      </c>
      <c r="AO50" s="25" t="str">
        <f>IF('Residual-RosteredMATRIX-RN'!AL34=0,"",'Residual-RosteredMATRIX-RN'!AL34)</f>
        <v/>
      </c>
      <c r="AP50" s="25" t="str">
        <f>IF('Residual-RosteredMATRIX-RN'!AM34=0,"",'Residual-RosteredMATRIX-RN'!AM34)</f>
        <v/>
      </c>
      <c r="AQ50" s="25" t="str">
        <f>IF('Residual-RosteredMATRIX-RN'!AN34=0,"",'Residual-RosteredMATRIX-RN'!AN34)</f>
        <v/>
      </c>
      <c r="AR50" s="25" t="str">
        <f>IF('Residual-RosteredMATRIX-RN'!AO34=0,"",'Residual-RosteredMATRIX-RN'!AO34)</f>
        <v/>
      </c>
      <c r="AS50" s="25" t="str">
        <f>IF('Residual-RosteredMATRIX-RN'!AP34=0,"",'Residual-RosteredMATRIX-RN'!AP34)</f>
        <v/>
      </c>
      <c r="AT50" s="25" t="str">
        <f>IF('Residual-RosteredMATRIX-RN'!AQ34=0,"",'Residual-RosteredMATRIX-RN'!AQ34)</f>
        <v/>
      </c>
      <c r="AU50" s="25" t="str">
        <f>IF('Residual-RosteredMATRIX-RN'!AR34=0,"",'Residual-RosteredMATRIX-RN'!AR34)</f>
        <v/>
      </c>
      <c r="AV50" s="25" t="str">
        <f>IF('Residual-RosteredMATRIX-RN'!AS34=0,"",'Residual-RosteredMATRIX-RN'!AS34)</f>
        <v/>
      </c>
      <c r="AW50" s="25" t="str">
        <f>IF('Residual-RosteredMATRIX-RN'!AT34=0,"",'Residual-RosteredMATRIX-RN'!AT34)</f>
        <v/>
      </c>
    </row>
    <row r="51" spans="1:49" ht="15.75" customHeight="1" x14ac:dyDescent="0.25">
      <c r="A51" s="25" t="e">
        <f>'Residual-Rostered'!#REF!</f>
        <v>#REF!</v>
      </c>
      <c r="B51" s="33">
        <f>'Residual-RosteredMATRIX-RN'!C35</f>
        <v>0</v>
      </c>
      <c r="C51" s="33">
        <f>'Residual-RosteredMATRIX-RN'!B35</f>
        <v>0</v>
      </c>
      <c r="D51" s="34">
        <f>'Residual-RosteredMATRIX-RN'!D35</f>
        <v>0</v>
      </c>
      <c r="E51" s="14">
        <f>Max_HRS-Table3[[#This Row],[ROSTERED TIME]]</f>
        <v>76</v>
      </c>
      <c r="F51" s="14">
        <f t="shared" si="7"/>
        <v>0</v>
      </c>
      <c r="G51" s="14">
        <f>Table3[[#This Row],[ROSTERED TIME]]+Table3[[#This Row],[CHANGE TIME]]</f>
        <v>0</v>
      </c>
      <c r="H51" s="25" t="str">
        <f>IF('Residual-RosteredMATRIX-RN'!E35=0,"",'Residual-RosteredMATRIX-RN'!E35)</f>
        <v/>
      </c>
      <c r="I51" s="25" t="str">
        <f>IF('Residual-RosteredMATRIX-RN'!F35=0,"",'Residual-RosteredMATRIX-RN'!F35)</f>
        <v/>
      </c>
      <c r="J51" s="25" t="str">
        <f>IF('Residual-RosteredMATRIX-RN'!G35=0,"",'Residual-RosteredMATRIX-RN'!G35)</f>
        <v/>
      </c>
      <c r="K51" s="25" t="str">
        <f>IF('Residual-RosteredMATRIX-RN'!H35=0,"",'Residual-RosteredMATRIX-RN'!H35)</f>
        <v/>
      </c>
      <c r="L51" s="25" t="str">
        <f>IF('Residual-RosteredMATRIX-RN'!I35=0,"",'Residual-RosteredMATRIX-RN'!I35)</f>
        <v/>
      </c>
      <c r="M51" s="25" t="str">
        <f>IF('Residual-RosteredMATRIX-RN'!J35=0,"",'Residual-RosteredMATRIX-RN'!J35)</f>
        <v/>
      </c>
      <c r="N51" s="25" t="str">
        <f>IF('Residual-RosteredMATRIX-RN'!K35=0,"",'Residual-RosteredMATRIX-RN'!K35)</f>
        <v/>
      </c>
      <c r="O51" s="25" t="str">
        <f>IF('Residual-RosteredMATRIX-RN'!L35=0,"",'Residual-RosteredMATRIX-RN'!L35)</f>
        <v/>
      </c>
      <c r="P51" s="25" t="str">
        <f>IF('Residual-RosteredMATRIX-RN'!M35=0,"",'Residual-RosteredMATRIX-RN'!M35)</f>
        <v/>
      </c>
      <c r="Q51" s="25" t="str">
        <f>IF('Residual-RosteredMATRIX-RN'!N35=0,"",'Residual-RosteredMATRIX-RN'!N35)</f>
        <v/>
      </c>
      <c r="R51" s="25" t="str">
        <f>IF('Residual-RosteredMATRIX-RN'!O35=0,"",'Residual-RosteredMATRIX-RN'!O35)</f>
        <v/>
      </c>
      <c r="S51" s="25" t="str">
        <f>IF('Residual-RosteredMATRIX-RN'!P35=0,"",'Residual-RosteredMATRIX-RN'!P35)</f>
        <v/>
      </c>
      <c r="T51" s="25" t="str">
        <f>IF('Residual-RosteredMATRIX-RN'!Q35=0,"",'Residual-RosteredMATRIX-RN'!Q35)</f>
        <v/>
      </c>
      <c r="U51" s="25" t="str">
        <f>IF('Residual-RosteredMATRIX-RN'!R35=0,"",'Residual-RosteredMATRIX-RN'!R35)</f>
        <v/>
      </c>
      <c r="V51" s="25" t="str">
        <f>IF('Residual-RosteredMATRIX-RN'!S35=0,"",'Residual-RosteredMATRIX-RN'!S35)</f>
        <v/>
      </c>
      <c r="W51" s="25" t="str">
        <f>IF('Residual-RosteredMATRIX-RN'!T35=0,"",'Residual-RosteredMATRIX-RN'!T35)</f>
        <v/>
      </c>
      <c r="X51" s="25" t="str">
        <f>IF('Residual-RosteredMATRIX-RN'!U35=0,"",'Residual-RosteredMATRIX-RN'!U35)</f>
        <v/>
      </c>
      <c r="Y51" s="25" t="str">
        <f>IF('Residual-RosteredMATRIX-RN'!V35=0,"",'Residual-RosteredMATRIX-RN'!V35)</f>
        <v/>
      </c>
      <c r="Z51" s="25" t="str">
        <f>IF('Residual-RosteredMATRIX-RN'!W35=0,"",'Residual-RosteredMATRIX-RN'!W35)</f>
        <v/>
      </c>
      <c r="AA51" s="25" t="str">
        <f>IF('Residual-RosteredMATRIX-RN'!X35=0,"",'Residual-RosteredMATRIX-RN'!X35)</f>
        <v/>
      </c>
      <c r="AB51" s="25" t="str">
        <f>IF('Residual-RosteredMATRIX-RN'!Y35=0,"",'Residual-RosteredMATRIX-RN'!Y35)</f>
        <v/>
      </c>
      <c r="AC51" s="25" t="str">
        <f>IF('Residual-RosteredMATRIX-RN'!Z35=0,"",'Residual-RosteredMATRIX-RN'!Z35)</f>
        <v/>
      </c>
      <c r="AD51" s="25" t="str">
        <f>IF('Residual-RosteredMATRIX-RN'!AA35=0,"",'Residual-RosteredMATRIX-RN'!AA35)</f>
        <v/>
      </c>
      <c r="AE51" s="25" t="str">
        <f>IF('Residual-RosteredMATRIX-RN'!AB35=0,"",'Residual-RosteredMATRIX-RN'!AB35)</f>
        <v/>
      </c>
      <c r="AF51" s="25" t="str">
        <f>IF('Residual-RosteredMATRIX-RN'!AC35=0,"",'Residual-RosteredMATRIX-RN'!AC35)</f>
        <v/>
      </c>
      <c r="AG51" s="25" t="str">
        <f>IF('Residual-RosteredMATRIX-RN'!AD35=0,"",'Residual-RosteredMATRIX-RN'!AD35)</f>
        <v/>
      </c>
      <c r="AH51" s="25" t="str">
        <f>IF('Residual-RosteredMATRIX-RN'!AE35=0,"",'Residual-RosteredMATRIX-RN'!AE35)</f>
        <v/>
      </c>
      <c r="AI51" s="25" t="str">
        <f>IF('Residual-RosteredMATRIX-RN'!AF35=0,"",'Residual-RosteredMATRIX-RN'!AF35)</f>
        <v/>
      </c>
      <c r="AJ51" s="25" t="str">
        <f>IF('Residual-RosteredMATRIX-RN'!AG35=0,"",'Residual-RosteredMATRIX-RN'!AG35)</f>
        <v/>
      </c>
      <c r="AK51" s="25" t="str">
        <f>IF('Residual-RosteredMATRIX-RN'!AH35=0,"",'Residual-RosteredMATRIX-RN'!AH35)</f>
        <v/>
      </c>
      <c r="AL51" s="25" t="str">
        <f>IF('Residual-RosteredMATRIX-RN'!AI35=0,"",'Residual-RosteredMATRIX-RN'!AI35)</f>
        <v/>
      </c>
      <c r="AM51" s="25" t="str">
        <f>IF('Residual-RosteredMATRIX-RN'!AJ35=0,"",'Residual-RosteredMATRIX-RN'!AJ35)</f>
        <v/>
      </c>
      <c r="AN51" s="25" t="str">
        <f>IF('Residual-RosteredMATRIX-RN'!AK35=0,"",'Residual-RosteredMATRIX-RN'!AK35)</f>
        <v/>
      </c>
      <c r="AO51" s="25" t="str">
        <f>IF('Residual-RosteredMATRIX-RN'!AL35=0,"",'Residual-RosteredMATRIX-RN'!AL35)</f>
        <v/>
      </c>
      <c r="AP51" s="25" t="str">
        <f>IF('Residual-RosteredMATRIX-RN'!AM35=0,"",'Residual-RosteredMATRIX-RN'!AM35)</f>
        <v/>
      </c>
      <c r="AQ51" s="25" t="str">
        <f>IF('Residual-RosteredMATRIX-RN'!AN35=0,"",'Residual-RosteredMATRIX-RN'!AN35)</f>
        <v/>
      </c>
      <c r="AR51" s="25" t="str">
        <f>IF('Residual-RosteredMATRIX-RN'!AO35=0,"",'Residual-RosteredMATRIX-RN'!AO35)</f>
        <v/>
      </c>
      <c r="AS51" s="25" t="str">
        <f>IF('Residual-RosteredMATRIX-RN'!AP35=0,"",'Residual-RosteredMATRIX-RN'!AP35)</f>
        <v/>
      </c>
      <c r="AT51" s="25" t="str">
        <f>IF('Residual-RosteredMATRIX-RN'!AQ35=0,"",'Residual-RosteredMATRIX-RN'!AQ35)</f>
        <v/>
      </c>
      <c r="AU51" s="25" t="str">
        <f>IF('Residual-RosteredMATRIX-RN'!AR35=0,"",'Residual-RosteredMATRIX-RN'!AR35)</f>
        <v/>
      </c>
      <c r="AV51" s="25" t="str">
        <f>IF('Residual-RosteredMATRIX-RN'!AS35=0,"",'Residual-RosteredMATRIX-RN'!AS35)</f>
        <v/>
      </c>
      <c r="AW51" s="25" t="str">
        <f>IF('Residual-RosteredMATRIX-RN'!AT35=0,"",'Residual-RosteredMATRIX-RN'!AT35)</f>
        <v/>
      </c>
    </row>
    <row r="52" spans="1:49" ht="15.75" customHeight="1" x14ac:dyDescent="0.25">
      <c r="A52" s="25" t="e">
        <f>'Residual-Rostered'!#REF!</f>
        <v>#REF!</v>
      </c>
      <c r="B52" s="33">
        <f>'Residual-RosteredMATRIX-RN'!C36</f>
        <v>0</v>
      </c>
      <c r="C52" s="33">
        <f>'Residual-RosteredMATRIX-RN'!B36</f>
        <v>0</v>
      </c>
      <c r="D52" s="34">
        <f>'Residual-RosteredMATRIX-RN'!D36</f>
        <v>0</v>
      </c>
      <c r="E52" s="14">
        <f>Max_HRS-Table3[[#This Row],[ROSTERED TIME]]</f>
        <v>76</v>
      </c>
      <c r="F52" s="14">
        <f t="shared" si="7"/>
        <v>0</v>
      </c>
      <c r="G52" s="14">
        <f>Table3[[#This Row],[ROSTERED TIME]]+Table3[[#This Row],[CHANGE TIME]]</f>
        <v>0</v>
      </c>
      <c r="H52" s="25" t="str">
        <f>IF('Residual-RosteredMATRIX-RN'!E36=0,"",'Residual-RosteredMATRIX-RN'!E36)</f>
        <v/>
      </c>
      <c r="I52" s="25" t="str">
        <f>IF('Residual-RosteredMATRIX-RN'!F36=0,"",'Residual-RosteredMATRIX-RN'!F36)</f>
        <v/>
      </c>
      <c r="J52" s="25" t="str">
        <f>IF('Residual-RosteredMATRIX-RN'!G36=0,"",'Residual-RosteredMATRIX-RN'!G36)</f>
        <v/>
      </c>
      <c r="K52" s="25" t="str">
        <f>IF('Residual-RosteredMATRIX-RN'!H36=0,"",'Residual-RosteredMATRIX-RN'!H36)</f>
        <v/>
      </c>
      <c r="L52" s="25" t="str">
        <f>IF('Residual-RosteredMATRIX-RN'!I36=0,"",'Residual-RosteredMATRIX-RN'!I36)</f>
        <v/>
      </c>
      <c r="M52" s="25" t="str">
        <f>IF('Residual-RosteredMATRIX-RN'!J36=0,"",'Residual-RosteredMATRIX-RN'!J36)</f>
        <v/>
      </c>
      <c r="N52" s="25" t="str">
        <f>IF('Residual-RosteredMATRIX-RN'!K36=0,"",'Residual-RosteredMATRIX-RN'!K36)</f>
        <v/>
      </c>
      <c r="O52" s="25" t="str">
        <f>IF('Residual-RosteredMATRIX-RN'!L36=0,"",'Residual-RosteredMATRIX-RN'!L36)</f>
        <v/>
      </c>
      <c r="P52" s="25" t="str">
        <f>IF('Residual-RosteredMATRIX-RN'!M36=0,"",'Residual-RosteredMATRIX-RN'!M36)</f>
        <v/>
      </c>
      <c r="Q52" s="25" t="str">
        <f>IF('Residual-RosteredMATRIX-RN'!N36=0,"",'Residual-RosteredMATRIX-RN'!N36)</f>
        <v/>
      </c>
      <c r="R52" s="25" t="str">
        <f>IF('Residual-RosteredMATRIX-RN'!O36=0,"",'Residual-RosteredMATRIX-RN'!O36)</f>
        <v/>
      </c>
      <c r="S52" s="25" t="str">
        <f>IF('Residual-RosteredMATRIX-RN'!P36=0,"",'Residual-RosteredMATRIX-RN'!P36)</f>
        <v/>
      </c>
      <c r="T52" s="25" t="str">
        <f>IF('Residual-RosteredMATRIX-RN'!Q36=0,"",'Residual-RosteredMATRIX-RN'!Q36)</f>
        <v/>
      </c>
      <c r="U52" s="25" t="str">
        <f>IF('Residual-RosteredMATRIX-RN'!R36=0,"",'Residual-RosteredMATRIX-RN'!R36)</f>
        <v/>
      </c>
      <c r="V52" s="25" t="str">
        <f>IF('Residual-RosteredMATRIX-RN'!S36=0,"",'Residual-RosteredMATRIX-RN'!S36)</f>
        <v/>
      </c>
      <c r="W52" s="25" t="str">
        <f>IF('Residual-RosteredMATRIX-RN'!T36=0,"",'Residual-RosteredMATRIX-RN'!T36)</f>
        <v/>
      </c>
      <c r="X52" s="25" t="str">
        <f>IF('Residual-RosteredMATRIX-RN'!U36=0,"",'Residual-RosteredMATRIX-RN'!U36)</f>
        <v/>
      </c>
      <c r="Y52" s="25" t="str">
        <f>IF('Residual-RosteredMATRIX-RN'!V36=0,"",'Residual-RosteredMATRIX-RN'!V36)</f>
        <v/>
      </c>
      <c r="Z52" s="25" t="str">
        <f>IF('Residual-RosteredMATRIX-RN'!W36=0,"",'Residual-RosteredMATRIX-RN'!W36)</f>
        <v/>
      </c>
      <c r="AA52" s="25" t="str">
        <f>IF('Residual-RosteredMATRIX-RN'!X36=0,"",'Residual-RosteredMATRIX-RN'!X36)</f>
        <v/>
      </c>
      <c r="AB52" s="25" t="str">
        <f>IF('Residual-RosteredMATRIX-RN'!Y36=0,"",'Residual-RosteredMATRIX-RN'!Y36)</f>
        <v/>
      </c>
      <c r="AC52" s="25" t="str">
        <f>IF('Residual-RosteredMATRIX-RN'!Z36=0,"",'Residual-RosteredMATRIX-RN'!Z36)</f>
        <v/>
      </c>
      <c r="AD52" s="25" t="str">
        <f>IF('Residual-RosteredMATRIX-RN'!AA36=0,"",'Residual-RosteredMATRIX-RN'!AA36)</f>
        <v/>
      </c>
      <c r="AE52" s="25" t="str">
        <f>IF('Residual-RosteredMATRIX-RN'!AB36=0,"",'Residual-RosteredMATRIX-RN'!AB36)</f>
        <v/>
      </c>
      <c r="AF52" s="25" t="str">
        <f>IF('Residual-RosteredMATRIX-RN'!AC36=0,"",'Residual-RosteredMATRIX-RN'!AC36)</f>
        <v/>
      </c>
      <c r="AG52" s="25" t="str">
        <f>IF('Residual-RosteredMATRIX-RN'!AD36=0,"",'Residual-RosteredMATRIX-RN'!AD36)</f>
        <v/>
      </c>
      <c r="AH52" s="25" t="str">
        <f>IF('Residual-RosteredMATRIX-RN'!AE36=0,"",'Residual-RosteredMATRIX-RN'!AE36)</f>
        <v/>
      </c>
      <c r="AI52" s="25" t="str">
        <f>IF('Residual-RosteredMATRIX-RN'!AF36=0,"",'Residual-RosteredMATRIX-RN'!AF36)</f>
        <v/>
      </c>
      <c r="AJ52" s="25" t="str">
        <f>IF('Residual-RosteredMATRIX-RN'!AG36=0,"",'Residual-RosteredMATRIX-RN'!AG36)</f>
        <v/>
      </c>
      <c r="AK52" s="25" t="str">
        <f>IF('Residual-RosteredMATRIX-RN'!AH36=0,"",'Residual-RosteredMATRIX-RN'!AH36)</f>
        <v/>
      </c>
      <c r="AL52" s="25" t="str">
        <f>IF('Residual-RosteredMATRIX-RN'!AI36=0,"",'Residual-RosteredMATRIX-RN'!AI36)</f>
        <v/>
      </c>
      <c r="AM52" s="25" t="str">
        <f>IF('Residual-RosteredMATRIX-RN'!AJ36=0,"",'Residual-RosteredMATRIX-RN'!AJ36)</f>
        <v/>
      </c>
      <c r="AN52" s="25" t="str">
        <f>IF('Residual-RosteredMATRIX-RN'!AK36=0,"",'Residual-RosteredMATRIX-RN'!AK36)</f>
        <v/>
      </c>
      <c r="AO52" s="25" t="str">
        <f>IF('Residual-RosteredMATRIX-RN'!AL36=0,"",'Residual-RosteredMATRIX-RN'!AL36)</f>
        <v/>
      </c>
      <c r="AP52" s="25" t="str">
        <f>IF('Residual-RosteredMATRIX-RN'!AM36=0,"",'Residual-RosteredMATRIX-RN'!AM36)</f>
        <v/>
      </c>
      <c r="AQ52" s="25" t="str">
        <f>IF('Residual-RosteredMATRIX-RN'!AN36=0,"",'Residual-RosteredMATRIX-RN'!AN36)</f>
        <v/>
      </c>
      <c r="AR52" s="25" t="str">
        <f>IF('Residual-RosteredMATRIX-RN'!AO36=0,"",'Residual-RosteredMATRIX-RN'!AO36)</f>
        <v/>
      </c>
      <c r="AS52" s="25" t="str">
        <f>IF('Residual-RosteredMATRIX-RN'!AP36=0,"",'Residual-RosteredMATRIX-RN'!AP36)</f>
        <v/>
      </c>
      <c r="AT52" s="25" t="str">
        <f>IF('Residual-RosteredMATRIX-RN'!AQ36=0,"",'Residual-RosteredMATRIX-RN'!AQ36)</f>
        <v/>
      </c>
      <c r="AU52" s="25" t="str">
        <f>IF('Residual-RosteredMATRIX-RN'!AR36=0,"",'Residual-RosteredMATRIX-RN'!AR36)</f>
        <v/>
      </c>
      <c r="AV52" s="25" t="str">
        <f>IF('Residual-RosteredMATRIX-RN'!AS36=0,"",'Residual-RosteredMATRIX-RN'!AS36)</f>
        <v/>
      </c>
      <c r="AW52" s="25" t="str">
        <f>IF('Residual-RosteredMATRIX-RN'!AT36=0,"",'Residual-RosteredMATRIX-RN'!AT36)</f>
        <v/>
      </c>
    </row>
    <row r="53" spans="1:49" ht="15.75" customHeight="1" x14ac:dyDescent="0.25">
      <c r="A53" s="25" t="e">
        <f>'Residual-Rostered'!#REF!</f>
        <v>#REF!</v>
      </c>
      <c r="B53" s="33">
        <f>'Residual-RosteredMATRIX-RN'!C37</f>
        <v>0</v>
      </c>
      <c r="C53" s="33">
        <f>'Residual-RosteredMATRIX-RN'!B37</f>
        <v>0</v>
      </c>
      <c r="D53" s="34">
        <f>'Residual-RosteredMATRIX-RN'!D37</f>
        <v>0</v>
      </c>
      <c r="E53" s="14">
        <f>Max_HRS-Table3[[#This Row],[ROSTERED TIME]]</f>
        <v>76</v>
      </c>
      <c r="F53" s="14">
        <f t="shared" si="7"/>
        <v>0</v>
      </c>
      <c r="G53" s="14">
        <f>Table3[[#This Row],[ROSTERED TIME]]+Table3[[#This Row],[CHANGE TIME]]</f>
        <v>0</v>
      </c>
      <c r="H53" s="25" t="str">
        <f>IF('Residual-RosteredMATRIX-RN'!E37=0,"",'Residual-RosteredMATRIX-RN'!E37)</f>
        <v/>
      </c>
      <c r="I53" s="25" t="str">
        <f>IF('Residual-RosteredMATRIX-RN'!F37=0,"",'Residual-RosteredMATRIX-RN'!F37)</f>
        <v/>
      </c>
      <c r="J53" s="25" t="str">
        <f>IF('Residual-RosteredMATRIX-RN'!G37=0,"",'Residual-RosteredMATRIX-RN'!G37)</f>
        <v/>
      </c>
      <c r="K53" s="25" t="str">
        <f>IF('Residual-RosteredMATRIX-RN'!H37=0,"",'Residual-RosteredMATRIX-RN'!H37)</f>
        <v/>
      </c>
      <c r="L53" s="25" t="str">
        <f>IF('Residual-RosteredMATRIX-RN'!I37=0,"",'Residual-RosteredMATRIX-RN'!I37)</f>
        <v/>
      </c>
      <c r="M53" s="25" t="str">
        <f>IF('Residual-RosteredMATRIX-RN'!J37=0,"",'Residual-RosteredMATRIX-RN'!J37)</f>
        <v/>
      </c>
      <c r="N53" s="25" t="str">
        <f>IF('Residual-RosteredMATRIX-RN'!K37=0,"",'Residual-RosteredMATRIX-RN'!K37)</f>
        <v/>
      </c>
      <c r="O53" s="25" t="str">
        <f>IF('Residual-RosteredMATRIX-RN'!L37=0,"",'Residual-RosteredMATRIX-RN'!L37)</f>
        <v/>
      </c>
      <c r="P53" s="25" t="str">
        <f>IF('Residual-RosteredMATRIX-RN'!M37=0,"",'Residual-RosteredMATRIX-RN'!M37)</f>
        <v/>
      </c>
      <c r="Q53" s="25" t="str">
        <f>IF('Residual-RosteredMATRIX-RN'!N37=0,"",'Residual-RosteredMATRIX-RN'!N37)</f>
        <v/>
      </c>
      <c r="R53" s="25" t="str">
        <f>IF('Residual-RosteredMATRIX-RN'!O37=0,"",'Residual-RosteredMATRIX-RN'!O37)</f>
        <v/>
      </c>
      <c r="S53" s="25" t="str">
        <f>IF('Residual-RosteredMATRIX-RN'!P37=0,"",'Residual-RosteredMATRIX-RN'!P37)</f>
        <v/>
      </c>
      <c r="T53" s="25" t="str">
        <f>IF('Residual-RosteredMATRIX-RN'!Q37=0,"",'Residual-RosteredMATRIX-RN'!Q37)</f>
        <v/>
      </c>
      <c r="U53" s="25" t="str">
        <f>IF('Residual-RosteredMATRIX-RN'!R37=0,"",'Residual-RosteredMATRIX-RN'!R37)</f>
        <v/>
      </c>
      <c r="V53" s="25" t="str">
        <f>IF('Residual-RosteredMATRIX-RN'!S37=0,"",'Residual-RosteredMATRIX-RN'!S37)</f>
        <v/>
      </c>
      <c r="W53" s="25" t="str">
        <f>IF('Residual-RosteredMATRIX-RN'!T37=0,"",'Residual-RosteredMATRIX-RN'!T37)</f>
        <v/>
      </c>
      <c r="X53" s="25" t="str">
        <f>IF('Residual-RosteredMATRIX-RN'!U37=0,"",'Residual-RosteredMATRIX-RN'!U37)</f>
        <v/>
      </c>
      <c r="Y53" s="25" t="str">
        <f>IF('Residual-RosteredMATRIX-RN'!V37=0,"",'Residual-RosteredMATRIX-RN'!V37)</f>
        <v/>
      </c>
      <c r="Z53" s="25" t="str">
        <f>IF('Residual-RosteredMATRIX-RN'!W37=0,"",'Residual-RosteredMATRIX-RN'!W37)</f>
        <v/>
      </c>
      <c r="AA53" s="25" t="str">
        <f>IF('Residual-RosteredMATRIX-RN'!X37=0,"",'Residual-RosteredMATRIX-RN'!X37)</f>
        <v/>
      </c>
      <c r="AB53" s="25" t="str">
        <f>IF('Residual-RosteredMATRIX-RN'!Y37=0,"",'Residual-RosteredMATRIX-RN'!Y37)</f>
        <v/>
      </c>
      <c r="AC53" s="25" t="str">
        <f>IF('Residual-RosteredMATRIX-RN'!Z37=0,"",'Residual-RosteredMATRIX-RN'!Z37)</f>
        <v/>
      </c>
      <c r="AD53" s="25" t="str">
        <f>IF('Residual-RosteredMATRIX-RN'!AA37=0,"",'Residual-RosteredMATRIX-RN'!AA37)</f>
        <v/>
      </c>
      <c r="AE53" s="25" t="str">
        <f>IF('Residual-RosteredMATRIX-RN'!AB37=0,"",'Residual-RosteredMATRIX-RN'!AB37)</f>
        <v/>
      </c>
      <c r="AF53" s="25" t="str">
        <f>IF('Residual-RosteredMATRIX-RN'!AC37=0,"",'Residual-RosteredMATRIX-RN'!AC37)</f>
        <v/>
      </c>
      <c r="AG53" s="25" t="str">
        <f>IF('Residual-RosteredMATRIX-RN'!AD37=0,"",'Residual-RosteredMATRIX-RN'!AD37)</f>
        <v/>
      </c>
      <c r="AH53" s="25" t="str">
        <f>IF('Residual-RosteredMATRIX-RN'!AE37=0,"",'Residual-RosteredMATRIX-RN'!AE37)</f>
        <v/>
      </c>
      <c r="AI53" s="25" t="str">
        <f>IF('Residual-RosteredMATRIX-RN'!AF37=0,"",'Residual-RosteredMATRIX-RN'!AF37)</f>
        <v/>
      </c>
      <c r="AJ53" s="25" t="str">
        <f>IF('Residual-RosteredMATRIX-RN'!AG37=0,"",'Residual-RosteredMATRIX-RN'!AG37)</f>
        <v/>
      </c>
      <c r="AK53" s="25" t="str">
        <f>IF('Residual-RosteredMATRIX-RN'!AH37=0,"",'Residual-RosteredMATRIX-RN'!AH37)</f>
        <v/>
      </c>
      <c r="AL53" s="25" t="str">
        <f>IF('Residual-RosteredMATRIX-RN'!AI37=0,"",'Residual-RosteredMATRIX-RN'!AI37)</f>
        <v/>
      </c>
      <c r="AM53" s="25" t="str">
        <f>IF('Residual-RosteredMATRIX-RN'!AJ37=0,"",'Residual-RosteredMATRIX-RN'!AJ37)</f>
        <v/>
      </c>
      <c r="AN53" s="25" t="str">
        <f>IF('Residual-RosteredMATRIX-RN'!AK37=0,"",'Residual-RosteredMATRIX-RN'!AK37)</f>
        <v/>
      </c>
      <c r="AO53" s="25" t="str">
        <f>IF('Residual-RosteredMATRIX-RN'!AL37=0,"",'Residual-RosteredMATRIX-RN'!AL37)</f>
        <v/>
      </c>
      <c r="AP53" s="25" t="str">
        <f>IF('Residual-RosteredMATRIX-RN'!AM37=0,"",'Residual-RosteredMATRIX-RN'!AM37)</f>
        <v/>
      </c>
      <c r="AQ53" s="25" t="str">
        <f>IF('Residual-RosteredMATRIX-RN'!AN37=0,"",'Residual-RosteredMATRIX-RN'!AN37)</f>
        <v/>
      </c>
      <c r="AR53" s="25" t="str">
        <f>IF('Residual-RosteredMATRIX-RN'!AO37=0,"",'Residual-RosteredMATRIX-RN'!AO37)</f>
        <v/>
      </c>
      <c r="AS53" s="25" t="str">
        <f>IF('Residual-RosteredMATRIX-RN'!AP37=0,"",'Residual-RosteredMATRIX-RN'!AP37)</f>
        <v/>
      </c>
      <c r="AT53" s="25" t="str">
        <f>IF('Residual-RosteredMATRIX-RN'!AQ37=0,"",'Residual-RosteredMATRIX-RN'!AQ37)</f>
        <v/>
      </c>
      <c r="AU53" s="25" t="str">
        <f>IF('Residual-RosteredMATRIX-RN'!AR37=0,"",'Residual-RosteredMATRIX-RN'!AR37)</f>
        <v/>
      </c>
      <c r="AV53" s="25" t="str">
        <f>IF('Residual-RosteredMATRIX-RN'!AS37=0,"",'Residual-RosteredMATRIX-RN'!AS37)</f>
        <v/>
      </c>
      <c r="AW53" s="25" t="str">
        <f>IF('Residual-RosteredMATRIX-RN'!AT37=0,"",'Residual-RosteredMATRIX-RN'!AT37)</f>
        <v/>
      </c>
    </row>
    <row r="54" spans="1:49" ht="15.75" customHeight="1" x14ac:dyDescent="0.25">
      <c r="A54" s="25" t="e">
        <f>'Residual-Rostered'!#REF!</f>
        <v>#REF!</v>
      </c>
      <c r="B54" s="33">
        <f>'Residual-RosteredMATRIX-RN'!C38</f>
        <v>0</v>
      </c>
      <c r="C54" s="33">
        <f>'Residual-RosteredMATRIX-RN'!B38</f>
        <v>0</v>
      </c>
      <c r="D54" s="34">
        <f>'Residual-RosteredMATRIX-RN'!D38</f>
        <v>0</v>
      </c>
      <c r="E54" s="14">
        <f>Max_HRS-Table3[[#This Row],[ROSTERED TIME]]</f>
        <v>76</v>
      </c>
      <c r="F54" s="14">
        <f t="shared" si="7"/>
        <v>0</v>
      </c>
      <c r="G54" s="14">
        <f>Table3[[#This Row],[ROSTERED TIME]]+Table3[[#This Row],[CHANGE TIME]]</f>
        <v>0</v>
      </c>
      <c r="H54" s="25" t="str">
        <f>IF('Residual-RosteredMATRIX-RN'!E38=0,"",'Residual-RosteredMATRIX-RN'!E38)</f>
        <v/>
      </c>
      <c r="I54" s="25" t="str">
        <f>IF('Residual-RosteredMATRIX-RN'!F38=0,"",'Residual-RosteredMATRIX-RN'!F38)</f>
        <v/>
      </c>
      <c r="J54" s="25" t="str">
        <f>IF('Residual-RosteredMATRIX-RN'!G38=0,"",'Residual-RosteredMATRIX-RN'!G38)</f>
        <v/>
      </c>
      <c r="K54" s="25" t="str">
        <f>IF('Residual-RosteredMATRIX-RN'!H38=0,"",'Residual-RosteredMATRIX-RN'!H38)</f>
        <v/>
      </c>
      <c r="L54" s="25" t="str">
        <f>IF('Residual-RosteredMATRIX-RN'!I38=0,"",'Residual-RosteredMATRIX-RN'!I38)</f>
        <v/>
      </c>
      <c r="M54" s="25" t="str">
        <f>IF('Residual-RosteredMATRIX-RN'!J38=0,"",'Residual-RosteredMATRIX-RN'!J38)</f>
        <v/>
      </c>
      <c r="N54" s="25" t="str">
        <f>IF('Residual-RosteredMATRIX-RN'!K38=0,"",'Residual-RosteredMATRIX-RN'!K38)</f>
        <v/>
      </c>
      <c r="O54" s="25" t="str">
        <f>IF('Residual-RosteredMATRIX-RN'!L38=0,"",'Residual-RosteredMATRIX-RN'!L38)</f>
        <v/>
      </c>
      <c r="P54" s="25" t="str">
        <f>IF('Residual-RosteredMATRIX-RN'!M38=0,"",'Residual-RosteredMATRIX-RN'!M38)</f>
        <v/>
      </c>
      <c r="Q54" s="25" t="str">
        <f>IF('Residual-RosteredMATRIX-RN'!N38=0,"",'Residual-RosteredMATRIX-RN'!N38)</f>
        <v/>
      </c>
      <c r="R54" s="25" t="str">
        <f>IF('Residual-RosteredMATRIX-RN'!O38=0,"",'Residual-RosteredMATRIX-RN'!O38)</f>
        <v/>
      </c>
      <c r="S54" s="25" t="str">
        <f>IF('Residual-RosteredMATRIX-RN'!P38=0,"",'Residual-RosteredMATRIX-RN'!P38)</f>
        <v/>
      </c>
      <c r="T54" s="25" t="str">
        <f>IF('Residual-RosteredMATRIX-RN'!Q38=0,"",'Residual-RosteredMATRIX-RN'!Q38)</f>
        <v/>
      </c>
      <c r="U54" s="25" t="str">
        <f>IF('Residual-RosteredMATRIX-RN'!R38=0,"",'Residual-RosteredMATRIX-RN'!R38)</f>
        <v/>
      </c>
      <c r="V54" s="25" t="str">
        <f>IF('Residual-RosteredMATRIX-RN'!S38=0,"",'Residual-RosteredMATRIX-RN'!S38)</f>
        <v/>
      </c>
      <c r="W54" s="25" t="str">
        <f>IF('Residual-RosteredMATRIX-RN'!T38=0,"",'Residual-RosteredMATRIX-RN'!T38)</f>
        <v/>
      </c>
      <c r="X54" s="25" t="str">
        <f>IF('Residual-RosteredMATRIX-RN'!U38=0,"",'Residual-RosteredMATRIX-RN'!U38)</f>
        <v/>
      </c>
      <c r="Y54" s="25" t="str">
        <f>IF('Residual-RosteredMATRIX-RN'!V38=0,"",'Residual-RosteredMATRIX-RN'!V38)</f>
        <v/>
      </c>
      <c r="Z54" s="25" t="str">
        <f>IF('Residual-RosteredMATRIX-RN'!W38=0,"",'Residual-RosteredMATRIX-RN'!W38)</f>
        <v/>
      </c>
      <c r="AA54" s="25" t="str">
        <f>IF('Residual-RosteredMATRIX-RN'!X38=0,"",'Residual-RosteredMATRIX-RN'!X38)</f>
        <v/>
      </c>
      <c r="AB54" s="25" t="str">
        <f>IF('Residual-RosteredMATRIX-RN'!Y38=0,"",'Residual-RosteredMATRIX-RN'!Y38)</f>
        <v/>
      </c>
      <c r="AC54" s="25" t="str">
        <f>IF('Residual-RosteredMATRIX-RN'!Z38=0,"",'Residual-RosteredMATRIX-RN'!Z38)</f>
        <v/>
      </c>
      <c r="AD54" s="25" t="str">
        <f>IF('Residual-RosteredMATRIX-RN'!AA38=0,"",'Residual-RosteredMATRIX-RN'!AA38)</f>
        <v/>
      </c>
      <c r="AE54" s="25" t="str">
        <f>IF('Residual-RosteredMATRIX-RN'!AB38=0,"",'Residual-RosteredMATRIX-RN'!AB38)</f>
        <v/>
      </c>
      <c r="AF54" s="25" t="str">
        <f>IF('Residual-RosteredMATRIX-RN'!AC38=0,"",'Residual-RosteredMATRIX-RN'!AC38)</f>
        <v/>
      </c>
      <c r="AG54" s="25" t="str">
        <f>IF('Residual-RosteredMATRIX-RN'!AD38=0,"",'Residual-RosteredMATRIX-RN'!AD38)</f>
        <v/>
      </c>
      <c r="AH54" s="25" t="str">
        <f>IF('Residual-RosteredMATRIX-RN'!AE38=0,"",'Residual-RosteredMATRIX-RN'!AE38)</f>
        <v/>
      </c>
      <c r="AI54" s="25" t="str">
        <f>IF('Residual-RosteredMATRIX-RN'!AF38=0,"",'Residual-RosteredMATRIX-RN'!AF38)</f>
        <v/>
      </c>
      <c r="AJ54" s="25" t="str">
        <f>IF('Residual-RosteredMATRIX-RN'!AG38=0,"",'Residual-RosteredMATRIX-RN'!AG38)</f>
        <v/>
      </c>
      <c r="AK54" s="25" t="str">
        <f>IF('Residual-RosteredMATRIX-RN'!AH38=0,"",'Residual-RosteredMATRIX-RN'!AH38)</f>
        <v/>
      </c>
      <c r="AL54" s="25" t="str">
        <f>IF('Residual-RosteredMATRIX-RN'!AI38=0,"",'Residual-RosteredMATRIX-RN'!AI38)</f>
        <v/>
      </c>
      <c r="AM54" s="25" t="str">
        <f>IF('Residual-RosteredMATRIX-RN'!AJ38=0,"",'Residual-RosteredMATRIX-RN'!AJ38)</f>
        <v/>
      </c>
      <c r="AN54" s="25" t="str">
        <f>IF('Residual-RosteredMATRIX-RN'!AK38=0,"",'Residual-RosteredMATRIX-RN'!AK38)</f>
        <v/>
      </c>
      <c r="AO54" s="25" t="str">
        <f>IF('Residual-RosteredMATRIX-RN'!AL38=0,"",'Residual-RosteredMATRIX-RN'!AL38)</f>
        <v/>
      </c>
      <c r="AP54" s="25" t="str">
        <f>IF('Residual-RosteredMATRIX-RN'!AM38=0,"",'Residual-RosteredMATRIX-RN'!AM38)</f>
        <v/>
      </c>
      <c r="AQ54" s="25" t="str">
        <f>IF('Residual-RosteredMATRIX-RN'!AN38=0,"",'Residual-RosteredMATRIX-RN'!AN38)</f>
        <v/>
      </c>
      <c r="AR54" s="25" t="str">
        <f>IF('Residual-RosteredMATRIX-RN'!AO38=0,"",'Residual-RosteredMATRIX-RN'!AO38)</f>
        <v/>
      </c>
      <c r="AS54" s="25" t="str">
        <f>IF('Residual-RosteredMATRIX-RN'!AP38=0,"",'Residual-RosteredMATRIX-RN'!AP38)</f>
        <v/>
      </c>
      <c r="AT54" s="25" t="str">
        <f>IF('Residual-RosteredMATRIX-RN'!AQ38=0,"",'Residual-RosteredMATRIX-RN'!AQ38)</f>
        <v/>
      </c>
      <c r="AU54" s="25" t="str">
        <f>IF('Residual-RosteredMATRIX-RN'!AR38=0,"",'Residual-RosteredMATRIX-RN'!AR38)</f>
        <v/>
      </c>
      <c r="AV54" s="25" t="str">
        <f>IF('Residual-RosteredMATRIX-RN'!AS38=0,"",'Residual-RosteredMATRIX-RN'!AS38)</f>
        <v/>
      </c>
      <c r="AW54" s="25" t="str">
        <f>IF('Residual-RosteredMATRIX-RN'!AT38=0,"",'Residual-RosteredMATRIX-RN'!AT38)</f>
        <v/>
      </c>
    </row>
    <row r="55" spans="1:49" ht="15.75" customHeight="1" x14ac:dyDescent="0.25">
      <c r="A55" s="25" t="e">
        <f>'Residual-Rostered'!#REF!</f>
        <v>#REF!</v>
      </c>
      <c r="B55" s="33">
        <f>'Residual-RosteredMATRIX-RN'!C39</f>
        <v>0</v>
      </c>
      <c r="C55" s="33">
        <f>'Residual-RosteredMATRIX-RN'!B39</f>
        <v>0</v>
      </c>
      <c r="D55" s="34">
        <f>'Residual-RosteredMATRIX-RN'!D39</f>
        <v>0</v>
      </c>
      <c r="E55" s="14">
        <f>Max_HRS-Table3[[#This Row],[ROSTERED TIME]]</f>
        <v>76</v>
      </c>
      <c r="F55" s="14">
        <f t="shared" si="7"/>
        <v>0</v>
      </c>
      <c r="G55" s="14">
        <f>Table3[[#This Row],[ROSTERED TIME]]+Table3[[#This Row],[CHANGE TIME]]</f>
        <v>0</v>
      </c>
      <c r="H55" s="25" t="str">
        <f>IF('Residual-RosteredMATRIX-RN'!E39=0,"",'Residual-RosteredMATRIX-RN'!E39)</f>
        <v/>
      </c>
      <c r="I55" s="25" t="str">
        <f>IF('Residual-RosteredMATRIX-RN'!F39=0,"",'Residual-RosteredMATRIX-RN'!F39)</f>
        <v/>
      </c>
      <c r="J55" s="25" t="str">
        <f>IF('Residual-RosteredMATRIX-RN'!G39=0,"",'Residual-RosteredMATRIX-RN'!G39)</f>
        <v/>
      </c>
      <c r="K55" s="25" t="str">
        <f>IF('Residual-RosteredMATRIX-RN'!H39=0,"",'Residual-RosteredMATRIX-RN'!H39)</f>
        <v/>
      </c>
      <c r="L55" s="25" t="str">
        <f>IF('Residual-RosteredMATRIX-RN'!I39=0,"",'Residual-RosteredMATRIX-RN'!I39)</f>
        <v/>
      </c>
      <c r="M55" s="25" t="str">
        <f>IF('Residual-RosteredMATRIX-RN'!J39=0,"",'Residual-RosteredMATRIX-RN'!J39)</f>
        <v/>
      </c>
      <c r="N55" s="25" t="str">
        <f>IF('Residual-RosteredMATRIX-RN'!K39=0,"",'Residual-RosteredMATRIX-RN'!K39)</f>
        <v/>
      </c>
      <c r="O55" s="25" t="str">
        <f>IF('Residual-RosteredMATRIX-RN'!L39=0,"",'Residual-RosteredMATRIX-RN'!L39)</f>
        <v/>
      </c>
      <c r="P55" s="25" t="str">
        <f>IF('Residual-RosteredMATRIX-RN'!M39=0,"",'Residual-RosteredMATRIX-RN'!M39)</f>
        <v/>
      </c>
      <c r="Q55" s="25" t="str">
        <f>IF('Residual-RosteredMATRIX-RN'!N39=0,"",'Residual-RosteredMATRIX-RN'!N39)</f>
        <v/>
      </c>
      <c r="R55" s="25" t="str">
        <f>IF('Residual-RosteredMATRIX-RN'!O39=0,"",'Residual-RosteredMATRIX-RN'!O39)</f>
        <v/>
      </c>
      <c r="S55" s="25" t="str">
        <f>IF('Residual-RosteredMATRIX-RN'!P39=0,"",'Residual-RosteredMATRIX-RN'!P39)</f>
        <v/>
      </c>
      <c r="T55" s="25" t="str">
        <f>IF('Residual-RosteredMATRIX-RN'!Q39=0,"",'Residual-RosteredMATRIX-RN'!Q39)</f>
        <v/>
      </c>
      <c r="U55" s="25" t="str">
        <f>IF('Residual-RosteredMATRIX-RN'!R39=0,"",'Residual-RosteredMATRIX-RN'!R39)</f>
        <v/>
      </c>
      <c r="V55" s="25" t="str">
        <f>IF('Residual-RosteredMATRIX-RN'!S39=0,"",'Residual-RosteredMATRIX-RN'!S39)</f>
        <v/>
      </c>
      <c r="W55" s="25" t="str">
        <f>IF('Residual-RosteredMATRIX-RN'!T39=0,"",'Residual-RosteredMATRIX-RN'!T39)</f>
        <v/>
      </c>
      <c r="X55" s="25" t="str">
        <f>IF('Residual-RosteredMATRIX-RN'!U39=0,"",'Residual-RosteredMATRIX-RN'!U39)</f>
        <v/>
      </c>
      <c r="Y55" s="25" t="str">
        <f>IF('Residual-RosteredMATRIX-RN'!V39=0,"",'Residual-RosteredMATRIX-RN'!V39)</f>
        <v/>
      </c>
      <c r="Z55" s="25" t="str">
        <f>IF('Residual-RosteredMATRIX-RN'!W39=0,"",'Residual-RosteredMATRIX-RN'!W39)</f>
        <v/>
      </c>
      <c r="AA55" s="25" t="str">
        <f>IF('Residual-RosteredMATRIX-RN'!X39=0,"",'Residual-RosteredMATRIX-RN'!X39)</f>
        <v/>
      </c>
      <c r="AB55" s="25" t="str">
        <f>IF('Residual-RosteredMATRIX-RN'!Y39=0,"",'Residual-RosteredMATRIX-RN'!Y39)</f>
        <v/>
      </c>
      <c r="AC55" s="25" t="str">
        <f>IF('Residual-RosteredMATRIX-RN'!Z39=0,"",'Residual-RosteredMATRIX-RN'!Z39)</f>
        <v/>
      </c>
      <c r="AD55" s="25" t="str">
        <f>IF('Residual-RosteredMATRIX-RN'!AA39=0,"",'Residual-RosteredMATRIX-RN'!AA39)</f>
        <v/>
      </c>
      <c r="AE55" s="25" t="str">
        <f>IF('Residual-RosteredMATRIX-RN'!AB39=0,"",'Residual-RosteredMATRIX-RN'!AB39)</f>
        <v/>
      </c>
      <c r="AF55" s="25" t="str">
        <f>IF('Residual-RosteredMATRIX-RN'!AC39=0,"",'Residual-RosteredMATRIX-RN'!AC39)</f>
        <v/>
      </c>
      <c r="AG55" s="25" t="str">
        <f>IF('Residual-RosteredMATRIX-RN'!AD39=0,"",'Residual-RosteredMATRIX-RN'!AD39)</f>
        <v/>
      </c>
      <c r="AH55" s="25" t="str">
        <f>IF('Residual-RosteredMATRIX-RN'!AE39=0,"",'Residual-RosteredMATRIX-RN'!AE39)</f>
        <v/>
      </c>
      <c r="AI55" s="25" t="str">
        <f>IF('Residual-RosteredMATRIX-RN'!AF39=0,"",'Residual-RosteredMATRIX-RN'!AF39)</f>
        <v/>
      </c>
      <c r="AJ55" s="25" t="str">
        <f>IF('Residual-RosteredMATRIX-RN'!AG39=0,"",'Residual-RosteredMATRIX-RN'!AG39)</f>
        <v/>
      </c>
      <c r="AK55" s="25" t="str">
        <f>IF('Residual-RosteredMATRIX-RN'!AH39=0,"",'Residual-RosteredMATRIX-RN'!AH39)</f>
        <v/>
      </c>
      <c r="AL55" s="25" t="str">
        <f>IF('Residual-RosteredMATRIX-RN'!AI39=0,"",'Residual-RosteredMATRIX-RN'!AI39)</f>
        <v/>
      </c>
      <c r="AM55" s="25" t="str">
        <f>IF('Residual-RosteredMATRIX-RN'!AJ39=0,"",'Residual-RosteredMATRIX-RN'!AJ39)</f>
        <v/>
      </c>
      <c r="AN55" s="25" t="str">
        <f>IF('Residual-RosteredMATRIX-RN'!AK39=0,"",'Residual-RosteredMATRIX-RN'!AK39)</f>
        <v/>
      </c>
      <c r="AO55" s="25" t="str">
        <f>IF('Residual-RosteredMATRIX-RN'!AL39=0,"",'Residual-RosteredMATRIX-RN'!AL39)</f>
        <v/>
      </c>
      <c r="AP55" s="25" t="str">
        <f>IF('Residual-RosteredMATRIX-RN'!AM39=0,"",'Residual-RosteredMATRIX-RN'!AM39)</f>
        <v/>
      </c>
      <c r="AQ55" s="25" t="str">
        <f>IF('Residual-RosteredMATRIX-RN'!AN39=0,"",'Residual-RosteredMATRIX-RN'!AN39)</f>
        <v/>
      </c>
      <c r="AR55" s="25" t="str">
        <f>IF('Residual-RosteredMATRIX-RN'!AO39=0,"",'Residual-RosteredMATRIX-RN'!AO39)</f>
        <v/>
      </c>
      <c r="AS55" s="25" t="str">
        <f>IF('Residual-RosteredMATRIX-RN'!AP39=0,"",'Residual-RosteredMATRIX-RN'!AP39)</f>
        <v/>
      </c>
      <c r="AT55" s="25" t="str">
        <f>IF('Residual-RosteredMATRIX-RN'!AQ39=0,"",'Residual-RosteredMATRIX-RN'!AQ39)</f>
        <v/>
      </c>
      <c r="AU55" s="25" t="str">
        <f>IF('Residual-RosteredMATRIX-RN'!AR39=0,"",'Residual-RosteredMATRIX-RN'!AR39)</f>
        <v/>
      </c>
      <c r="AV55" s="25" t="str">
        <f>IF('Residual-RosteredMATRIX-RN'!AS39=0,"",'Residual-RosteredMATRIX-RN'!AS39)</f>
        <v/>
      </c>
      <c r="AW55" s="25" t="str">
        <f>IF('Residual-RosteredMATRIX-RN'!AT39=0,"",'Residual-RosteredMATRIX-RN'!AT39)</f>
        <v/>
      </c>
    </row>
    <row r="56" spans="1:49" ht="15.75" customHeight="1" x14ac:dyDescent="0.25">
      <c r="A56" s="25" t="e">
        <f>'Residual-Rostered'!#REF!</f>
        <v>#REF!</v>
      </c>
      <c r="B56" s="33">
        <f>'Residual-RosteredMATRIX-RN'!C40</f>
        <v>0</v>
      </c>
      <c r="C56" s="33">
        <f>'Residual-RosteredMATRIX-RN'!B40</f>
        <v>0</v>
      </c>
      <c r="D56" s="34">
        <f>'Residual-RosteredMATRIX-RN'!D40</f>
        <v>0</v>
      </c>
      <c r="E56" s="14">
        <f>Max_HRS-Table3[[#This Row],[ROSTERED TIME]]</f>
        <v>76</v>
      </c>
      <c r="F56" s="14">
        <f t="shared" si="7"/>
        <v>0</v>
      </c>
      <c r="G56" s="14">
        <f>Table3[[#This Row],[ROSTERED TIME]]+Table3[[#This Row],[CHANGE TIME]]</f>
        <v>0</v>
      </c>
      <c r="H56" s="25" t="str">
        <f>IF('Residual-RosteredMATRIX-RN'!E40=0,"",'Residual-RosteredMATRIX-RN'!E40)</f>
        <v/>
      </c>
      <c r="I56" s="25" t="str">
        <f>IF('Residual-RosteredMATRIX-RN'!F40=0,"",'Residual-RosteredMATRIX-RN'!F40)</f>
        <v/>
      </c>
      <c r="J56" s="25" t="str">
        <f>IF('Residual-RosteredMATRIX-RN'!G40=0,"",'Residual-RosteredMATRIX-RN'!G40)</f>
        <v/>
      </c>
      <c r="K56" s="25" t="str">
        <f>IF('Residual-RosteredMATRIX-RN'!H40=0,"",'Residual-RosteredMATRIX-RN'!H40)</f>
        <v/>
      </c>
      <c r="L56" s="25" t="str">
        <f>IF('Residual-RosteredMATRIX-RN'!I40=0,"",'Residual-RosteredMATRIX-RN'!I40)</f>
        <v/>
      </c>
      <c r="M56" s="25" t="str">
        <f>IF('Residual-RosteredMATRIX-RN'!J40=0,"",'Residual-RosteredMATRIX-RN'!J40)</f>
        <v/>
      </c>
      <c r="N56" s="25" t="str">
        <f>IF('Residual-RosteredMATRIX-RN'!K40=0,"",'Residual-RosteredMATRIX-RN'!K40)</f>
        <v/>
      </c>
      <c r="O56" s="25" t="str">
        <f>IF('Residual-RosteredMATRIX-RN'!L40=0,"",'Residual-RosteredMATRIX-RN'!L40)</f>
        <v/>
      </c>
      <c r="P56" s="25" t="str">
        <f>IF('Residual-RosteredMATRIX-RN'!M40=0,"",'Residual-RosteredMATRIX-RN'!M40)</f>
        <v/>
      </c>
      <c r="Q56" s="25" t="str">
        <f>IF('Residual-RosteredMATRIX-RN'!N40=0,"",'Residual-RosteredMATRIX-RN'!N40)</f>
        <v/>
      </c>
      <c r="R56" s="25" t="str">
        <f>IF('Residual-RosteredMATRIX-RN'!O40=0,"",'Residual-RosteredMATRIX-RN'!O40)</f>
        <v/>
      </c>
      <c r="S56" s="25" t="str">
        <f>IF('Residual-RosteredMATRIX-RN'!P40=0,"",'Residual-RosteredMATRIX-RN'!P40)</f>
        <v/>
      </c>
      <c r="T56" s="25" t="str">
        <f>IF('Residual-RosteredMATRIX-RN'!Q40=0,"",'Residual-RosteredMATRIX-RN'!Q40)</f>
        <v/>
      </c>
      <c r="U56" s="25" t="str">
        <f>IF('Residual-RosteredMATRIX-RN'!R40=0,"",'Residual-RosteredMATRIX-RN'!R40)</f>
        <v/>
      </c>
      <c r="V56" s="25" t="str">
        <f>IF('Residual-RosteredMATRIX-RN'!S40=0,"",'Residual-RosteredMATRIX-RN'!S40)</f>
        <v/>
      </c>
      <c r="W56" s="25" t="str">
        <f>IF('Residual-RosteredMATRIX-RN'!T40=0,"",'Residual-RosteredMATRIX-RN'!T40)</f>
        <v/>
      </c>
      <c r="X56" s="25" t="str">
        <f>IF('Residual-RosteredMATRIX-RN'!U40=0,"",'Residual-RosteredMATRIX-RN'!U40)</f>
        <v/>
      </c>
      <c r="Y56" s="25" t="str">
        <f>IF('Residual-RosteredMATRIX-RN'!V40=0,"",'Residual-RosteredMATRIX-RN'!V40)</f>
        <v/>
      </c>
      <c r="Z56" s="25" t="str">
        <f>IF('Residual-RosteredMATRIX-RN'!W40=0,"",'Residual-RosteredMATRIX-RN'!W40)</f>
        <v/>
      </c>
      <c r="AA56" s="25" t="str">
        <f>IF('Residual-RosteredMATRIX-RN'!X40=0,"",'Residual-RosteredMATRIX-RN'!X40)</f>
        <v/>
      </c>
      <c r="AB56" s="25" t="str">
        <f>IF('Residual-RosteredMATRIX-RN'!Y40=0,"",'Residual-RosteredMATRIX-RN'!Y40)</f>
        <v/>
      </c>
      <c r="AC56" s="25" t="str">
        <f>IF('Residual-RosteredMATRIX-RN'!Z40=0,"",'Residual-RosteredMATRIX-RN'!Z40)</f>
        <v/>
      </c>
      <c r="AD56" s="25" t="str">
        <f>IF('Residual-RosteredMATRIX-RN'!AA40=0,"",'Residual-RosteredMATRIX-RN'!AA40)</f>
        <v/>
      </c>
      <c r="AE56" s="25" t="str">
        <f>IF('Residual-RosteredMATRIX-RN'!AB40=0,"",'Residual-RosteredMATRIX-RN'!AB40)</f>
        <v/>
      </c>
      <c r="AF56" s="25" t="str">
        <f>IF('Residual-RosteredMATRIX-RN'!AC40=0,"",'Residual-RosteredMATRIX-RN'!AC40)</f>
        <v/>
      </c>
      <c r="AG56" s="25" t="str">
        <f>IF('Residual-RosteredMATRIX-RN'!AD40=0,"",'Residual-RosteredMATRIX-RN'!AD40)</f>
        <v/>
      </c>
      <c r="AH56" s="25" t="str">
        <f>IF('Residual-RosteredMATRIX-RN'!AE40=0,"",'Residual-RosteredMATRIX-RN'!AE40)</f>
        <v/>
      </c>
      <c r="AI56" s="25" t="str">
        <f>IF('Residual-RosteredMATRIX-RN'!AF40=0,"",'Residual-RosteredMATRIX-RN'!AF40)</f>
        <v/>
      </c>
      <c r="AJ56" s="25" t="str">
        <f>IF('Residual-RosteredMATRIX-RN'!AG40=0,"",'Residual-RosteredMATRIX-RN'!AG40)</f>
        <v/>
      </c>
      <c r="AK56" s="25" t="str">
        <f>IF('Residual-RosteredMATRIX-RN'!AH40=0,"",'Residual-RosteredMATRIX-RN'!AH40)</f>
        <v/>
      </c>
      <c r="AL56" s="25" t="str">
        <f>IF('Residual-RosteredMATRIX-RN'!AI40=0,"",'Residual-RosteredMATRIX-RN'!AI40)</f>
        <v/>
      </c>
      <c r="AM56" s="25" t="str">
        <f>IF('Residual-RosteredMATRIX-RN'!AJ40=0,"",'Residual-RosteredMATRIX-RN'!AJ40)</f>
        <v/>
      </c>
      <c r="AN56" s="25" t="str">
        <f>IF('Residual-RosteredMATRIX-RN'!AK40=0,"",'Residual-RosteredMATRIX-RN'!AK40)</f>
        <v/>
      </c>
      <c r="AO56" s="25" t="str">
        <f>IF('Residual-RosteredMATRIX-RN'!AL40=0,"",'Residual-RosteredMATRIX-RN'!AL40)</f>
        <v/>
      </c>
      <c r="AP56" s="25" t="str">
        <f>IF('Residual-RosteredMATRIX-RN'!AM40=0,"",'Residual-RosteredMATRIX-RN'!AM40)</f>
        <v/>
      </c>
      <c r="AQ56" s="25" t="str">
        <f>IF('Residual-RosteredMATRIX-RN'!AN40=0,"",'Residual-RosteredMATRIX-RN'!AN40)</f>
        <v/>
      </c>
      <c r="AR56" s="25" t="str">
        <f>IF('Residual-RosteredMATRIX-RN'!AO40=0,"",'Residual-RosteredMATRIX-RN'!AO40)</f>
        <v/>
      </c>
      <c r="AS56" s="25" t="str">
        <f>IF('Residual-RosteredMATRIX-RN'!AP40=0,"",'Residual-RosteredMATRIX-RN'!AP40)</f>
        <v/>
      </c>
      <c r="AT56" s="25" t="str">
        <f>IF('Residual-RosteredMATRIX-RN'!AQ40=0,"",'Residual-RosteredMATRIX-RN'!AQ40)</f>
        <v/>
      </c>
      <c r="AU56" s="25" t="str">
        <f>IF('Residual-RosteredMATRIX-RN'!AR40=0,"",'Residual-RosteredMATRIX-RN'!AR40)</f>
        <v/>
      </c>
      <c r="AV56" s="25" t="str">
        <f>IF('Residual-RosteredMATRIX-RN'!AS40=0,"",'Residual-RosteredMATRIX-RN'!AS40)</f>
        <v/>
      </c>
      <c r="AW56" s="25" t="str">
        <f>IF('Residual-RosteredMATRIX-RN'!AT40=0,"",'Residual-RosteredMATRIX-RN'!AT40)</f>
        <v/>
      </c>
    </row>
    <row r="57" spans="1:49" ht="15.75" customHeight="1" x14ac:dyDescent="0.25">
      <c r="A57" s="25" t="e">
        <f>'Residual-Rostered'!#REF!</f>
        <v>#REF!</v>
      </c>
      <c r="B57" s="33">
        <f>'Residual-RosteredMATRIX-RN'!C41</f>
        <v>0</v>
      </c>
      <c r="C57" s="33">
        <f>'Residual-RosteredMATRIX-RN'!B41</f>
        <v>0</v>
      </c>
      <c r="D57" s="34">
        <f>'Residual-RosteredMATRIX-RN'!D41</f>
        <v>0</v>
      </c>
      <c r="E57" s="14">
        <f>Max_HRS-Table3[[#This Row],[ROSTERED TIME]]</f>
        <v>76</v>
      </c>
      <c r="F57" s="14">
        <f t="shared" si="7"/>
        <v>0</v>
      </c>
      <c r="G57" s="14">
        <f>Table3[[#This Row],[ROSTERED TIME]]+Table3[[#This Row],[CHANGE TIME]]</f>
        <v>0</v>
      </c>
      <c r="H57" s="25" t="str">
        <f>IF('Residual-RosteredMATRIX-RN'!E41=0,"",'Residual-RosteredMATRIX-RN'!E41)</f>
        <v/>
      </c>
      <c r="I57" s="25" t="str">
        <f>IF('Residual-RosteredMATRIX-RN'!F41=0,"",'Residual-RosteredMATRIX-RN'!F41)</f>
        <v/>
      </c>
      <c r="J57" s="25" t="str">
        <f>IF('Residual-RosteredMATRIX-RN'!G41=0,"",'Residual-RosteredMATRIX-RN'!G41)</f>
        <v/>
      </c>
      <c r="K57" s="25" t="str">
        <f>IF('Residual-RosteredMATRIX-RN'!H41=0,"",'Residual-RosteredMATRIX-RN'!H41)</f>
        <v/>
      </c>
      <c r="L57" s="25" t="str">
        <f>IF('Residual-RosteredMATRIX-RN'!I41=0,"",'Residual-RosteredMATRIX-RN'!I41)</f>
        <v/>
      </c>
      <c r="M57" s="25" t="str">
        <f>IF('Residual-RosteredMATRIX-RN'!J41=0,"",'Residual-RosteredMATRIX-RN'!J41)</f>
        <v/>
      </c>
      <c r="N57" s="25" t="str">
        <f>IF('Residual-RosteredMATRIX-RN'!K41=0,"",'Residual-RosteredMATRIX-RN'!K41)</f>
        <v/>
      </c>
      <c r="O57" s="25" t="str">
        <f>IF('Residual-RosteredMATRIX-RN'!L41=0,"",'Residual-RosteredMATRIX-RN'!L41)</f>
        <v/>
      </c>
      <c r="P57" s="25" t="str">
        <f>IF('Residual-RosteredMATRIX-RN'!M41=0,"",'Residual-RosteredMATRIX-RN'!M41)</f>
        <v/>
      </c>
      <c r="Q57" s="25" t="str">
        <f>IF('Residual-RosteredMATRIX-RN'!N41=0,"",'Residual-RosteredMATRIX-RN'!N41)</f>
        <v/>
      </c>
      <c r="R57" s="25" t="str">
        <f>IF('Residual-RosteredMATRIX-RN'!O41=0,"",'Residual-RosteredMATRIX-RN'!O41)</f>
        <v/>
      </c>
      <c r="S57" s="25" t="str">
        <f>IF('Residual-RosteredMATRIX-RN'!P41=0,"",'Residual-RosteredMATRIX-RN'!P41)</f>
        <v/>
      </c>
      <c r="T57" s="25" t="str">
        <f>IF('Residual-RosteredMATRIX-RN'!Q41=0,"",'Residual-RosteredMATRIX-RN'!Q41)</f>
        <v/>
      </c>
      <c r="U57" s="25" t="str">
        <f>IF('Residual-RosteredMATRIX-RN'!R41=0,"",'Residual-RosteredMATRIX-RN'!R41)</f>
        <v/>
      </c>
      <c r="V57" s="25" t="str">
        <f>IF('Residual-RosteredMATRIX-RN'!S41=0,"",'Residual-RosteredMATRIX-RN'!S41)</f>
        <v/>
      </c>
      <c r="W57" s="25" t="str">
        <f>IF('Residual-RosteredMATRIX-RN'!T41=0,"",'Residual-RosteredMATRIX-RN'!T41)</f>
        <v/>
      </c>
      <c r="X57" s="25" t="str">
        <f>IF('Residual-RosteredMATRIX-RN'!U41=0,"",'Residual-RosteredMATRIX-RN'!U41)</f>
        <v/>
      </c>
      <c r="Y57" s="25" t="str">
        <f>IF('Residual-RosteredMATRIX-RN'!V41=0,"",'Residual-RosteredMATRIX-RN'!V41)</f>
        <v/>
      </c>
      <c r="Z57" s="25" t="str">
        <f>IF('Residual-RosteredMATRIX-RN'!W41=0,"",'Residual-RosteredMATRIX-RN'!W41)</f>
        <v/>
      </c>
      <c r="AA57" s="25" t="str">
        <f>IF('Residual-RosteredMATRIX-RN'!X41=0,"",'Residual-RosteredMATRIX-RN'!X41)</f>
        <v/>
      </c>
      <c r="AB57" s="25" t="str">
        <f>IF('Residual-RosteredMATRIX-RN'!Y41=0,"",'Residual-RosteredMATRIX-RN'!Y41)</f>
        <v/>
      </c>
      <c r="AC57" s="25" t="str">
        <f>IF('Residual-RosteredMATRIX-RN'!Z41=0,"",'Residual-RosteredMATRIX-RN'!Z41)</f>
        <v/>
      </c>
      <c r="AD57" s="25" t="str">
        <f>IF('Residual-RosteredMATRIX-RN'!AA41=0,"",'Residual-RosteredMATRIX-RN'!AA41)</f>
        <v/>
      </c>
      <c r="AE57" s="25" t="str">
        <f>IF('Residual-RosteredMATRIX-RN'!AB41=0,"",'Residual-RosteredMATRIX-RN'!AB41)</f>
        <v/>
      </c>
      <c r="AF57" s="25" t="str">
        <f>IF('Residual-RosteredMATRIX-RN'!AC41=0,"",'Residual-RosteredMATRIX-RN'!AC41)</f>
        <v/>
      </c>
      <c r="AG57" s="25" t="str">
        <f>IF('Residual-RosteredMATRIX-RN'!AD41=0,"",'Residual-RosteredMATRIX-RN'!AD41)</f>
        <v/>
      </c>
      <c r="AH57" s="25" t="str">
        <f>IF('Residual-RosteredMATRIX-RN'!AE41=0,"",'Residual-RosteredMATRIX-RN'!AE41)</f>
        <v/>
      </c>
      <c r="AI57" s="25" t="str">
        <f>IF('Residual-RosteredMATRIX-RN'!AF41=0,"",'Residual-RosteredMATRIX-RN'!AF41)</f>
        <v/>
      </c>
      <c r="AJ57" s="25" t="str">
        <f>IF('Residual-RosteredMATRIX-RN'!AG41=0,"",'Residual-RosteredMATRIX-RN'!AG41)</f>
        <v/>
      </c>
      <c r="AK57" s="25" t="str">
        <f>IF('Residual-RosteredMATRIX-RN'!AH41=0,"",'Residual-RosteredMATRIX-RN'!AH41)</f>
        <v/>
      </c>
      <c r="AL57" s="25" t="str">
        <f>IF('Residual-RosteredMATRIX-RN'!AI41=0,"",'Residual-RosteredMATRIX-RN'!AI41)</f>
        <v/>
      </c>
      <c r="AM57" s="25" t="str">
        <f>IF('Residual-RosteredMATRIX-RN'!AJ41=0,"",'Residual-RosteredMATRIX-RN'!AJ41)</f>
        <v/>
      </c>
      <c r="AN57" s="25" t="str">
        <f>IF('Residual-RosteredMATRIX-RN'!AK41=0,"",'Residual-RosteredMATRIX-RN'!AK41)</f>
        <v/>
      </c>
      <c r="AO57" s="25" t="str">
        <f>IF('Residual-RosteredMATRIX-RN'!AL41=0,"",'Residual-RosteredMATRIX-RN'!AL41)</f>
        <v/>
      </c>
      <c r="AP57" s="25" t="str">
        <f>IF('Residual-RosteredMATRIX-RN'!AM41=0,"",'Residual-RosteredMATRIX-RN'!AM41)</f>
        <v/>
      </c>
      <c r="AQ57" s="25" t="str">
        <f>IF('Residual-RosteredMATRIX-RN'!AN41=0,"",'Residual-RosteredMATRIX-RN'!AN41)</f>
        <v/>
      </c>
      <c r="AR57" s="25" t="str">
        <f>IF('Residual-RosteredMATRIX-RN'!AO41=0,"",'Residual-RosteredMATRIX-RN'!AO41)</f>
        <v/>
      </c>
      <c r="AS57" s="25" t="str">
        <f>IF('Residual-RosteredMATRIX-RN'!AP41=0,"",'Residual-RosteredMATRIX-RN'!AP41)</f>
        <v/>
      </c>
      <c r="AT57" s="25" t="str">
        <f>IF('Residual-RosteredMATRIX-RN'!AQ41=0,"",'Residual-RosteredMATRIX-RN'!AQ41)</f>
        <v/>
      </c>
      <c r="AU57" s="25" t="str">
        <f>IF('Residual-RosteredMATRIX-RN'!AR41=0,"",'Residual-RosteredMATRIX-RN'!AR41)</f>
        <v/>
      </c>
      <c r="AV57" s="25" t="str">
        <f>IF('Residual-RosteredMATRIX-RN'!AS41=0,"",'Residual-RosteredMATRIX-RN'!AS41)</f>
        <v/>
      </c>
      <c r="AW57" s="25" t="str">
        <f>IF('Residual-RosteredMATRIX-RN'!AT41=0,"",'Residual-RosteredMATRIX-RN'!AT41)</f>
        <v/>
      </c>
    </row>
    <row r="58" spans="1:49" ht="15.75" customHeight="1" x14ac:dyDescent="0.25">
      <c r="A58" s="25" t="e">
        <f>'Residual-Rostered'!#REF!</f>
        <v>#REF!</v>
      </c>
      <c r="B58" s="33">
        <f>'Residual-RosteredMATRIX-RN'!C42</f>
        <v>0</v>
      </c>
      <c r="C58" s="33">
        <f>'Residual-RosteredMATRIX-RN'!B42</f>
        <v>0</v>
      </c>
      <c r="D58" s="34">
        <f>'Residual-RosteredMATRIX-RN'!D42</f>
        <v>0</v>
      </c>
      <c r="E58" s="14">
        <f>Max_HRS-Table3[[#This Row],[ROSTERED TIME]]</f>
        <v>76</v>
      </c>
      <c r="F58" s="14">
        <f t="shared" si="7"/>
        <v>0</v>
      </c>
      <c r="G58" s="14">
        <f>Table3[[#This Row],[ROSTERED TIME]]+Table3[[#This Row],[CHANGE TIME]]</f>
        <v>0</v>
      </c>
      <c r="H58" s="25" t="str">
        <f>IF('Residual-RosteredMATRIX-RN'!E42=0,"",'Residual-RosteredMATRIX-RN'!E42)</f>
        <v/>
      </c>
      <c r="I58" s="25" t="str">
        <f>IF('Residual-RosteredMATRIX-RN'!F42=0,"",'Residual-RosteredMATRIX-RN'!F42)</f>
        <v/>
      </c>
      <c r="J58" s="25" t="str">
        <f>IF('Residual-RosteredMATRIX-RN'!G42=0,"",'Residual-RosteredMATRIX-RN'!G42)</f>
        <v/>
      </c>
      <c r="K58" s="25" t="str">
        <f>IF('Residual-RosteredMATRIX-RN'!H42=0,"",'Residual-RosteredMATRIX-RN'!H42)</f>
        <v/>
      </c>
      <c r="L58" s="25" t="str">
        <f>IF('Residual-RosteredMATRIX-RN'!I42=0,"",'Residual-RosteredMATRIX-RN'!I42)</f>
        <v/>
      </c>
      <c r="M58" s="25" t="str">
        <f>IF('Residual-RosteredMATRIX-RN'!J42=0,"",'Residual-RosteredMATRIX-RN'!J42)</f>
        <v/>
      </c>
      <c r="N58" s="25" t="str">
        <f>IF('Residual-RosteredMATRIX-RN'!K42=0,"",'Residual-RosteredMATRIX-RN'!K42)</f>
        <v/>
      </c>
      <c r="O58" s="25" t="str">
        <f>IF('Residual-RosteredMATRIX-RN'!L42=0,"",'Residual-RosteredMATRIX-RN'!L42)</f>
        <v/>
      </c>
      <c r="P58" s="25" t="str">
        <f>IF('Residual-RosteredMATRIX-RN'!M42=0,"",'Residual-RosteredMATRIX-RN'!M42)</f>
        <v/>
      </c>
      <c r="Q58" s="25" t="str">
        <f>IF('Residual-RosteredMATRIX-RN'!N42=0,"",'Residual-RosteredMATRIX-RN'!N42)</f>
        <v/>
      </c>
      <c r="R58" s="25" t="str">
        <f>IF('Residual-RosteredMATRIX-RN'!O42=0,"",'Residual-RosteredMATRIX-RN'!O42)</f>
        <v/>
      </c>
      <c r="S58" s="25" t="str">
        <f>IF('Residual-RosteredMATRIX-RN'!P42=0,"",'Residual-RosteredMATRIX-RN'!P42)</f>
        <v/>
      </c>
      <c r="T58" s="25" t="str">
        <f>IF('Residual-RosteredMATRIX-RN'!Q42=0,"",'Residual-RosteredMATRIX-RN'!Q42)</f>
        <v/>
      </c>
      <c r="U58" s="25" t="str">
        <f>IF('Residual-RosteredMATRIX-RN'!R42=0,"",'Residual-RosteredMATRIX-RN'!R42)</f>
        <v/>
      </c>
      <c r="V58" s="25" t="str">
        <f>IF('Residual-RosteredMATRIX-RN'!S42=0,"",'Residual-RosteredMATRIX-RN'!S42)</f>
        <v/>
      </c>
      <c r="W58" s="25" t="str">
        <f>IF('Residual-RosteredMATRIX-RN'!T42=0,"",'Residual-RosteredMATRIX-RN'!T42)</f>
        <v/>
      </c>
      <c r="X58" s="25" t="str">
        <f>IF('Residual-RosteredMATRIX-RN'!U42=0,"",'Residual-RosteredMATRIX-RN'!U42)</f>
        <v/>
      </c>
      <c r="Y58" s="25" t="str">
        <f>IF('Residual-RosteredMATRIX-RN'!V42=0,"",'Residual-RosteredMATRIX-RN'!V42)</f>
        <v/>
      </c>
      <c r="Z58" s="25" t="str">
        <f>IF('Residual-RosteredMATRIX-RN'!W42=0,"",'Residual-RosteredMATRIX-RN'!W42)</f>
        <v/>
      </c>
      <c r="AA58" s="25" t="str">
        <f>IF('Residual-RosteredMATRIX-RN'!X42=0,"",'Residual-RosteredMATRIX-RN'!X42)</f>
        <v/>
      </c>
      <c r="AB58" s="25" t="str">
        <f>IF('Residual-RosteredMATRIX-RN'!Y42=0,"",'Residual-RosteredMATRIX-RN'!Y42)</f>
        <v/>
      </c>
      <c r="AC58" s="25" t="str">
        <f>IF('Residual-RosteredMATRIX-RN'!Z42=0,"",'Residual-RosteredMATRIX-RN'!Z42)</f>
        <v/>
      </c>
      <c r="AD58" s="25" t="str">
        <f>IF('Residual-RosteredMATRIX-RN'!AA42=0,"",'Residual-RosteredMATRIX-RN'!AA42)</f>
        <v/>
      </c>
      <c r="AE58" s="25" t="str">
        <f>IF('Residual-RosteredMATRIX-RN'!AB42=0,"",'Residual-RosteredMATRIX-RN'!AB42)</f>
        <v/>
      </c>
      <c r="AF58" s="25" t="str">
        <f>IF('Residual-RosteredMATRIX-RN'!AC42=0,"",'Residual-RosteredMATRIX-RN'!AC42)</f>
        <v/>
      </c>
      <c r="AG58" s="25" t="str">
        <f>IF('Residual-RosteredMATRIX-RN'!AD42=0,"",'Residual-RosteredMATRIX-RN'!AD42)</f>
        <v/>
      </c>
      <c r="AH58" s="25" t="str">
        <f>IF('Residual-RosteredMATRIX-RN'!AE42=0,"",'Residual-RosteredMATRIX-RN'!AE42)</f>
        <v/>
      </c>
      <c r="AI58" s="25" t="str">
        <f>IF('Residual-RosteredMATRIX-RN'!AF42=0,"",'Residual-RosteredMATRIX-RN'!AF42)</f>
        <v/>
      </c>
      <c r="AJ58" s="25" t="str">
        <f>IF('Residual-RosteredMATRIX-RN'!AG42=0,"",'Residual-RosteredMATRIX-RN'!AG42)</f>
        <v/>
      </c>
      <c r="AK58" s="25" t="str">
        <f>IF('Residual-RosteredMATRIX-RN'!AH42=0,"",'Residual-RosteredMATRIX-RN'!AH42)</f>
        <v/>
      </c>
      <c r="AL58" s="25" t="str">
        <f>IF('Residual-RosteredMATRIX-RN'!AI42=0,"",'Residual-RosteredMATRIX-RN'!AI42)</f>
        <v/>
      </c>
      <c r="AM58" s="25" t="str">
        <f>IF('Residual-RosteredMATRIX-RN'!AJ42=0,"",'Residual-RosteredMATRIX-RN'!AJ42)</f>
        <v/>
      </c>
      <c r="AN58" s="25" t="str">
        <f>IF('Residual-RosteredMATRIX-RN'!AK42=0,"",'Residual-RosteredMATRIX-RN'!AK42)</f>
        <v/>
      </c>
      <c r="AO58" s="25" t="str">
        <f>IF('Residual-RosteredMATRIX-RN'!AL42=0,"",'Residual-RosteredMATRIX-RN'!AL42)</f>
        <v/>
      </c>
      <c r="AP58" s="25" t="str">
        <f>IF('Residual-RosteredMATRIX-RN'!AM42=0,"",'Residual-RosteredMATRIX-RN'!AM42)</f>
        <v/>
      </c>
      <c r="AQ58" s="25" t="str">
        <f>IF('Residual-RosteredMATRIX-RN'!AN42=0,"",'Residual-RosteredMATRIX-RN'!AN42)</f>
        <v/>
      </c>
      <c r="AR58" s="25" t="str">
        <f>IF('Residual-RosteredMATRIX-RN'!AO42=0,"",'Residual-RosteredMATRIX-RN'!AO42)</f>
        <v/>
      </c>
      <c r="AS58" s="25" t="str">
        <f>IF('Residual-RosteredMATRIX-RN'!AP42=0,"",'Residual-RosteredMATRIX-RN'!AP42)</f>
        <v/>
      </c>
      <c r="AT58" s="25" t="str">
        <f>IF('Residual-RosteredMATRIX-RN'!AQ42=0,"",'Residual-RosteredMATRIX-RN'!AQ42)</f>
        <v/>
      </c>
      <c r="AU58" s="25" t="str">
        <f>IF('Residual-RosteredMATRIX-RN'!AR42=0,"",'Residual-RosteredMATRIX-RN'!AR42)</f>
        <v/>
      </c>
      <c r="AV58" s="25" t="str">
        <f>IF('Residual-RosteredMATRIX-RN'!AS42=0,"",'Residual-RosteredMATRIX-RN'!AS42)</f>
        <v/>
      </c>
      <c r="AW58" s="25" t="str">
        <f>IF('Residual-RosteredMATRIX-RN'!AT42=0,"",'Residual-RosteredMATRIX-RN'!AT42)</f>
        <v/>
      </c>
    </row>
    <row r="59" spans="1:49" ht="15.75" customHeight="1" x14ac:dyDescent="0.25">
      <c r="A59" s="25" t="e">
        <f>'Residual-Rostered'!#REF!</f>
        <v>#REF!</v>
      </c>
      <c r="B59" s="33">
        <f>'Residual-RosteredMATRIX-RN'!C43</f>
        <v>0</v>
      </c>
      <c r="C59" s="33">
        <f>'Residual-RosteredMATRIX-RN'!B43</f>
        <v>0</v>
      </c>
      <c r="D59" s="34">
        <f>'Residual-RosteredMATRIX-RN'!D43</f>
        <v>0</v>
      </c>
      <c r="E59" s="14">
        <f>Max_HRS-Table3[[#This Row],[ROSTERED TIME]]</f>
        <v>76</v>
      </c>
      <c r="F59" s="14">
        <f t="shared" si="7"/>
        <v>0</v>
      </c>
      <c r="G59" s="14">
        <f>Table3[[#This Row],[ROSTERED TIME]]+Table3[[#This Row],[CHANGE TIME]]</f>
        <v>0</v>
      </c>
      <c r="H59" s="25" t="str">
        <f>IF('Residual-RosteredMATRIX-RN'!E43=0,"",'Residual-RosteredMATRIX-RN'!E43)</f>
        <v/>
      </c>
      <c r="I59" s="25" t="str">
        <f>IF('Residual-RosteredMATRIX-RN'!F43=0,"",'Residual-RosteredMATRIX-RN'!F43)</f>
        <v/>
      </c>
      <c r="J59" s="25" t="str">
        <f>IF('Residual-RosteredMATRIX-RN'!G43=0,"",'Residual-RosteredMATRIX-RN'!G43)</f>
        <v/>
      </c>
      <c r="K59" s="25" t="str">
        <f>IF('Residual-RosteredMATRIX-RN'!H43=0,"",'Residual-RosteredMATRIX-RN'!H43)</f>
        <v/>
      </c>
      <c r="L59" s="25" t="str">
        <f>IF('Residual-RosteredMATRIX-RN'!I43=0,"",'Residual-RosteredMATRIX-RN'!I43)</f>
        <v/>
      </c>
      <c r="M59" s="25" t="str">
        <f>IF('Residual-RosteredMATRIX-RN'!J43=0,"",'Residual-RosteredMATRIX-RN'!J43)</f>
        <v/>
      </c>
      <c r="N59" s="25" t="str">
        <f>IF('Residual-RosteredMATRIX-RN'!K43=0,"",'Residual-RosteredMATRIX-RN'!K43)</f>
        <v/>
      </c>
      <c r="O59" s="25" t="str">
        <f>IF('Residual-RosteredMATRIX-RN'!L43=0,"",'Residual-RosteredMATRIX-RN'!L43)</f>
        <v/>
      </c>
      <c r="P59" s="25" t="str">
        <f>IF('Residual-RosteredMATRIX-RN'!M43=0,"",'Residual-RosteredMATRIX-RN'!M43)</f>
        <v/>
      </c>
      <c r="Q59" s="25" t="str">
        <f>IF('Residual-RosteredMATRIX-RN'!N43=0,"",'Residual-RosteredMATRIX-RN'!N43)</f>
        <v/>
      </c>
      <c r="R59" s="25" t="str">
        <f>IF('Residual-RosteredMATRIX-RN'!O43=0,"",'Residual-RosteredMATRIX-RN'!O43)</f>
        <v/>
      </c>
      <c r="S59" s="25" t="str">
        <f>IF('Residual-RosteredMATRIX-RN'!P43=0,"",'Residual-RosteredMATRIX-RN'!P43)</f>
        <v/>
      </c>
      <c r="T59" s="25" t="str">
        <f>IF('Residual-RosteredMATRIX-RN'!Q43=0,"",'Residual-RosteredMATRIX-RN'!Q43)</f>
        <v/>
      </c>
      <c r="U59" s="25" t="str">
        <f>IF('Residual-RosteredMATRIX-RN'!R43=0,"",'Residual-RosteredMATRIX-RN'!R43)</f>
        <v/>
      </c>
      <c r="V59" s="25" t="str">
        <f>IF('Residual-RosteredMATRIX-RN'!S43=0,"",'Residual-RosteredMATRIX-RN'!S43)</f>
        <v/>
      </c>
      <c r="W59" s="25" t="str">
        <f>IF('Residual-RosteredMATRIX-RN'!T43=0,"",'Residual-RosteredMATRIX-RN'!T43)</f>
        <v/>
      </c>
      <c r="X59" s="25" t="str">
        <f>IF('Residual-RosteredMATRIX-RN'!U43=0,"",'Residual-RosteredMATRIX-RN'!U43)</f>
        <v/>
      </c>
      <c r="Y59" s="25" t="str">
        <f>IF('Residual-RosteredMATRIX-RN'!V43=0,"",'Residual-RosteredMATRIX-RN'!V43)</f>
        <v/>
      </c>
      <c r="Z59" s="25" t="str">
        <f>IF('Residual-RosteredMATRIX-RN'!W43=0,"",'Residual-RosteredMATRIX-RN'!W43)</f>
        <v/>
      </c>
      <c r="AA59" s="25" t="str">
        <f>IF('Residual-RosteredMATRIX-RN'!X43=0,"",'Residual-RosteredMATRIX-RN'!X43)</f>
        <v/>
      </c>
      <c r="AB59" s="25" t="str">
        <f>IF('Residual-RosteredMATRIX-RN'!Y43=0,"",'Residual-RosteredMATRIX-RN'!Y43)</f>
        <v/>
      </c>
      <c r="AC59" s="25" t="str">
        <f>IF('Residual-RosteredMATRIX-RN'!Z43=0,"",'Residual-RosteredMATRIX-RN'!Z43)</f>
        <v/>
      </c>
      <c r="AD59" s="25" t="str">
        <f>IF('Residual-RosteredMATRIX-RN'!AA43=0,"",'Residual-RosteredMATRIX-RN'!AA43)</f>
        <v/>
      </c>
      <c r="AE59" s="25" t="str">
        <f>IF('Residual-RosteredMATRIX-RN'!AB43=0,"",'Residual-RosteredMATRIX-RN'!AB43)</f>
        <v/>
      </c>
      <c r="AF59" s="25" t="str">
        <f>IF('Residual-RosteredMATRIX-RN'!AC43=0,"",'Residual-RosteredMATRIX-RN'!AC43)</f>
        <v/>
      </c>
      <c r="AG59" s="25" t="str">
        <f>IF('Residual-RosteredMATRIX-RN'!AD43=0,"",'Residual-RosteredMATRIX-RN'!AD43)</f>
        <v/>
      </c>
      <c r="AH59" s="25" t="str">
        <f>IF('Residual-RosteredMATRIX-RN'!AE43=0,"",'Residual-RosteredMATRIX-RN'!AE43)</f>
        <v/>
      </c>
      <c r="AI59" s="25" t="str">
        <f>IF('Residual-RosteredMATRIX-RN'!AF43=0,"",'Residual-RosteredMATRIX-RN'!AF43)</f>
        <v/>
      </c>
      <c r="AJ59" s="25" t="str">
        <f>IF('Residual-RosteredMATRIX-RN'!AG43=0,"",'Residual-RosteredMATRIX-RN'!AG43)</f>
        <v/>
      </c>
      <c r="AK59" s="25" t="str">
        <f>IF('Residual-RosteredMATRIX-RN'!AH43=0,"",'Residual-RosteredMATRIX-RN'!AH43)</f>
        <v/>
      </c>
      <c r="AL59" s="25" t="str">
        <f>IF('Residual-RosteredMATRIX-RN'!AI43=0,"",'Residual-RosteredMATRIX-RN'!AI43)</f>
        <v/>
      </c>
      <c r="AM59" s="25" t="str">
        <f>IF('Residual-RosteredMATRIX-RN'!AJ43=0,"",'Residual-RosteredMATRIX-RN'!AJ43)</f>
        <v/>
      </c>
      <c r="AN59" s="25" t="str">
        <f>IF('Residual-RosteredMATRIX-RN'!AK43=0,"",'Residual-RosteredMATRIX-RN'!AK43)</f>
        <v/>
      </c>
      <c r="AO59" s="25" t="str">
        <f>IF('Residual-RosteredMATRIX-RN'!AL43=0,"",'Residual-RosteredMATRIX-RN'!AL43)</f>
        <v/>
      </c>
      <c r="AP59" s="25" t="str">
        <f>IF('Residual-RosteredMATRIX-RN'!AM43=0,"",'Residual-RosteredMATRIX-RN'!AM43)</f>
        <v/>
      </c>
      <c r="AQ59" s="25" t="str">
        <f>IF('Residual-RosteredMATRIX-RN'!AN43=0,"",'Residual-RosteredMATRIX-RN'!AN43)</f>
        <v/>
      </c>
      <c r="AR59" s="25" t="str">
        <f>IF('Residual-RosteredMATRIX-RN'!AO43=0,"",'Residual-RosteredMATRIX-RN'!AO43)</f>
        <v/>
      </c>
      <c r="AS59" s="25" t="str">
        <f>IF('Residual-RosteredMATRIX-RN'!AP43=0,"",'Residual-RosteredMATRIX-RN'!AP43)</f>
        <v/>
      </c>
      <c r="AT59" s="25" t="str">
        <f>IF('Residual-RosteredMATRIX-RN'!AQ43=0,"",'Residual-RosteredMATRIX-RN'!AQ43)</f>
        <v/>
      </c>
      <c r="AU59" s="25" t="str">
        <f>IF('Residual-RosteredMATRIX-RN'!AR43=0,"",'Residual-RosteredMATRIX-RN'!AR43)</f>
        <v/>
      </c>
      <c r="AV59" s="25" t="str">
        <f>IF('Residual-RosteredMATRIX-RN'!AS43=0,"",'Residual-RosteredMATRIX-RN'!AS43)</f>
        <v/>
      </c>
      <c r="AW59" s="25" t="str">
        <f>IF('Residual-RosteredMATRIX-RN'!AT43=0,"",'Residual-RosteredMATRIX-RN'!AT43)</f>
        <v/>
      </c>
    </row>
    <row r="60" spans="1:49" ht="15.75" customHeight="1" x14ac:dyDescent="0.25">
      <c r="A60" s="25" t="e">
        <f>'Residual-Rostered'!#REF!</f>
        <v>#REF!</v>
      </c>
      <c r="B60" s="33">
        <f>'Residual-RosteredMATRIX-RN'!C44</f>
        <v>0</v>
      </c>
      <c r="C60" s="33">
        <f>'Residual-RosteredMATRIX-RN'!B44</f>
        <v>0</v>
      </c>
      <c r="D60" s="34">
        <f>'Residual-RosteredMATRIX-RN'!D44</f>
        <v>0</v>
      </c>
      <c r="E60" s="14">
        <f>Max_HRS-Table3[[#This Row],[ROSTERED TIME]]</f>
        <v>76</v>
      </c>
      <c r="F60" s="14">
        <f t="shared" si="7"/>
        <v>0</v>
      </c>
      <c r="G60" s="14">
        <f>Table3[[#This Row],[ROSTERED TIME]]+Table3[[#This Row],[CHANGE TIME]]</f>
        <v>0</v>
      </c>
      <c r="H60" s="25" t="str">
        <f>IF('Residual-RosteredMATRIX-RN'!E44=0,"",'Residual-RosteredMATRIX-RN'!E44)</f>
        <v/>
      </c>
      <c r="I60" s="25" t="str">
        <f>IF('Residual-RosteredMATRIX-RN'!F44=0,"",'Residual-RosteredMATRIX-RN'!F44)</f>
        <v/>
      </c>
      <c r="J60" s="25" t="str">
        <f>IF('Residual-RosteredMATRIX-RN'!G44=0,"",'Residual-RosteredMATRIX-RN'!G44)</f>
        <v/>
      </c>
      <c r="K60" s="25" t="str">
        <f>IF('Residual-RosteredMATRIX-RN'!H44=0,"",'Residual-RosteredMATRIX-RN'!H44)</f>
        <v/>
      </c>
      <c r="L60" s="25" t="str">
        <f>IF('Residual-RosteredMATRIX-RN'!I44=0,"",'Residual-RosteredMATRIX-RN'!I44)</f>
        <v/>
      </c>
      <c r="M60" s="25" t="str">
        <f>IF('Residual-RosteredMATRIX-RN'!J44=0,"",'Residual-RosteredMATRIX-RN'!J44)</f>
        <v/>
      </c>
      <c r="N60" s="25" t="str">
        <f>IF('Residual-RosteredMATRIX-RN'!K44=0,"",'Residual-RosteredMATRIX-RN'!K44)</f>
        <v/>
      </c>
      <c r="O60" s="25" t="str">
        <f>IF('Residual-RosteredMATRIX-RN'!L44=0,"",'Residual-RosteredMATRIX-RN'!L44)</f>
        <v/>
      </c>
      <c r="P60" s="25" t="str">
        <f>IF('Residual-RosteredMATRIX-RN'!M44=0,"",'Residual-RosteredMATRIX-RN'!M44)</f>
        <v/>
      </c>
      <c r="Q60" s="25" t="str">
        <f>IF('Residual-RosteredMATRIX-RN'!N44=0,"",'Residual-RosteredMATRIX-RN'!N44)</f>
        <v/>
      </c>
      <c r="R60" s="25" t="str">
        <f>IF('Residual-RosteredMATRIX-RN'!O44=0,"",'Residual-RosteredMATRIX-RN'!O44)</f>
        <v/>
      </c>
      <c r="S60" s="25" t="str">
        <f>IF('Residual-RosteredMATRIX-RN'!P44=0,"",'Residual-RosteredMATRIX-RN'!P44)</f>
        <v/>
      </c>
      <c r="T60" s="25" t="str">
        <f>IF('Residual-RosteredMATRIX-RN'!Q44=0,"",'Residual-RosteredMATRIX-RN'!Q44)</f>
        <v/>
      </c>
      <c r="U60" s="25" t="str">
        <f>IF('Residual-RosteredMATRIX-RN'!R44=0,"",'Residual-RosteredMATRIX-RN'!R44)</f>
        <v/>
      </c>
      <c r="V60" s="25" t="str">
        <f>IF('Residual-RosteredMATRIX-RN'!S44=0,"",'Residual-RosteredMATRIX-RN'!S44)</f>
        <v/>
      </c>
      <c r="W60" s="25" t="str">
        <f>IF('Residual-RosteredMATRIX-RN'!T44=0,"",'Residual-RosteredMATRIX-RN'!T44)</f>
        <v/>
      </c>
      <c r="X60" s="25" t="str">
        <f>IF('Residual-RosteredMATRIX-RN'!U44=0,"",'Residual-RosteredMATRIX-RN'!U44)</f>
        <v/>
      </c>
      <c r="Y60" s="25" t="str">
        <f>IF('Residual-RosteredMATRIX-RN'!V44=0,"",'Residual-RosteredMATRIX-RN'!V44)</f>
        <v/>
      </c>
      <c r="Z60" s="25" t="str">
        <f>IF('Residual-RosteredMATRIX-RN'!W44=0,"",'Residual-RosteredMATRIX-RN'!W44)</f>
        <v/>
      </c>
      <c r="AA60" s="25" t="str">
        <f>IF('Residual-RosteredMATRIX-RN'!X44=0,"",'Residual-RosteredMATRIX-RN'!X44)</f>
        <v/>
      </c>
      <c r="AB60" s="25" t="str">
        <f>IF('Residual-RosteredMATRIX-RN'!Y44=0,"",'Residual-RosteredMATRIX-RN'!Y44)</f>
        <v/>
      </c>
      <c r="AC60" s="25" t="str">
        <f>IF('Residual-RosteredMATRIX-RN'!Z44=0,"",'Residual-RosteredMATRIX-RN'!Z44)</f>
        <v/>
      </c>
      <c r="AD60" s="25" t="str">
        <f>IF('Residual-RosteredMATRIX-RN'!AA44=0,"",'Residual-RosteredMATRIX-RN'!AA44)</f>
        <v/>
      </c>
      <c r="AE60" s="25" t="str">
        <f>IF('Residual-RosteredMATRIX-RN'!AB44=0,"",'Residual-RosteredMATRIX-RN'!AB44)</f>
        <v/>
      </c>
      <c r="AF60" s="25" t="str">
        <f>IF('Residual-RosteredMATRIX-RN'!AC44=0,"",'Residual-RosteredMATRIX-RN'!AC44)</f>
        <v/>
      </c>
      <c r="AG60" s="25" t="str">
        <f>IF('Residual-RosteredMATRIX-RN'!AD44=0,"",'Residual-RosteredMATRIX-RN'!AD44)</f>
        <v/>
      </c>
      <c r="AH60" s="25" t="str">
        <f>IF('Residual-RosteredMATRIX-RN'!AE44=0,"",'Residual-RosteredMATRIX-RN'!AE44)</f>
        <v/>
      </c>
      <c r="AI60" s="25" t="str">
        <f>IF('Residual-RosteredMATRIX-RN'!AF44=0,"",'Residual-RosteredMATRIX-RN'!AF44)</f>
        <v/>
      </c>
      <c r="AJ60" s="25" t="str">
        <f>IF('Residual-RosteredMATRIX-RN'!AG44=0,"",'Residual-RosteredMATRIX-RN'!AG44)</f>
        <v/>
      </c>
      <c r="AK60" s="25" t="str">
        <f>IF('Residual-RosteredMATRIX-RN'!AH44=0,"",'Residual-RosteredMATRIX-RN'!AH44)</f>
        <v/>
      </c>
      <c r="AL60" s="25" t="str">
        <f>IF('Residual-RosteredMATRIX-RN'!AI44=0,"",'Residual-RosteredMATRIX-RN'!AI44)</f>
        <v/>
      </c>
      <c r="AM60" s="25" t="str">
        <f>IF('Residual-RosteredMATRIX-RN'!AJ44=0,"",'Residual-RosteredMATRIX-RN'!AJ44)</f>
        <v/>
      </c>
      <c r="AN60" s="25" t="str">
        <f>IF('Residual-RosteredMATRIX-RN'!AK44=0,"",'Residual-RosteredMATRIX-RN'!AK44)</f>
        <v/>
      </c>
      <c r="AO60" s="25" t="str">
        <f>IF('Residual-RosteredMATRIX-RN'!AL44=0,"",'Residual-RosteredMATRIX-RN'!AL44)</f>
        <v/>
      </c>
      <c r="AP60" s="25" t="str">
        <f>IF('Residual-RosteredMATRIX-RN'!AM44=0,"",'Residual-RosteredMATRIX-RN'!AM44)</f>
        <v/>
      </c>
      <c r="AQ60" s="25" t="str">
        <f>IF('Residual-RosteredMATRIX-RN'!AN44=0,"",'Residual-RosteredMATRIX-RN'!AN44)</f>
        <v/>
      </c>
      <c r="AR60" s="25" t="str">
        <f>IF('Residual-RosteredMATRIX-RN'!AO44=0,"",'Residual-RosteredMATRIX-RN'!AO44)</f>
        <v/>
      </c>
      <c r="AS60" s="25" t="str">
        <f>IF('Residual-RosteredMATRIX-RN'!AP44=0,"",'Residual-RosteredMATRIX-RN'!AP44)</f>
        <v/>
      </c>
      <c r="AT60" s="25" t="str">
        <f>IF('Residual-RosteredMATRIX-RN'!AQ44=0,"",'Residual-RosteredMATRIX-RN'!AQ44)</f>
        <v/>
      </c>
      <c r="AU60" s="25" t="str">
        <f>IF('Residual-RosteredMATRIX-RN'!AR44=0,"",'Residual-RosteredMATRIX-RN'!AR44)</f>
        <v/>
      </c>
      <c r="AV60" s="25" t="str">
        <f>IF('Residual-RosteredMATRIX-RN'!AS44=0,"",'Residual-RosteredMATRIX-RN'!AS44)</f>
        <v/>
      </c>
      <c r="AW60" s="25" t="str">
        <f>IF('Residual-RosteredMATRIX-RN'!AT44=0,"",'Residual-RosteredMATRIX-RN'!AT44)</f>
        <v/>
      </c>
    </row>
    <row r="61" spans="1:49" ht="15.75" customHeight="1" x14ac:dyDescent="0.25">
      <c r="A61" s="25" t="e">
        <f>'Residual-Rostered'!#REF!</f>
        <v>#REF!</v>
      </c>
      <c r="B61" s="33">
        <f>'Residual-RosteredMATRIX-RN'!C45</f>
        <v>0</v>
      </c>
      <c r="C61" s="33">
        <f>'Residual-RosteredMATRIX-RN'!B45</f>
        <v>0</v>
      </c>
      <c r="D61" s="34">
        <f>'Residual-RosteredMATRIX-RN'!D45</f>
        <v>0</v>
      </c>
      <c r="E61" s="14">
        <f>Max_HRS-Table3[[#This Row],[ROSTERED TIME]]</f>
        <v>76</v>
      </c>
      <c r="F61" s="14">
        <f t="shared" si="7"/>
        <v>0</v>
      </c>
      <c r="G61" s="14">
        <f>Table3[[#This Row],[ROSTERED TIME]]+Table3[[#This Row],[CHANGE TIME]]</f>
        <v>0</v>
      </c>
      <c r="H61" s="25" t="str">
        <f>IF('Residual-RosteredMATRIX-RN'!E45=0,"",'Residual-RosteredMATRIX-RN'!E45)</f>
        <v/>
      </c>
      <c r="I61" s="25" t="str">
        <f>IF('Residual-RosteredMATRIX-RN'!F45=0,"",'Residual-RosteredMATRIX-RN'!F45)</f>
        <v/>
      </c>
      <c r="J61" s="25" t="str">
        <f>IF('Residual-RosteredMATRIX-RN'!G45=0,"",'Residual-RosteredMATRIX-RN'!G45)</f>
        <v/>
      </c>
      <c r="K61" s="25" t="str">
        <f>IF('Residual-RosteredMATRIX-RN'!H45=0,"",'Residual-RosteredMATRIX-RN'!H45)</f>
        <v/>
      </c>
      <c r="L61" s="25" t="str">
        <f>IF('Residual-RosteredMATRIX-RN'!I45=0,"",'Residual-RosteredMATRIX-RN'!I45)</f>
        <v/>
      </c>
      <c r="M61" s="25" t="str">
        <f>IF('Residual-RosteredMATRIX-RN'!J45=0,"",'Residual-RosteredMATRIX-RN'!J45)</f>
        <v/>
      </c>
      <c r="N61" s="25" t="str">
        <f>IF('Residual-RosteredMATRIX-RN'!K45=0,"",'Residual-RosteredMATRIX-RN'!K45)</f>
        <v/>
      </c>
      <c r="O61" s="25" t="str">
        <f>IF('Residual-RosteredMATRIX-RN'!L45=0,"",'Residual-RosteredMATRIX-RN'!L45)</f>
        <v/>
      </c>
      <c r="P61" s="25" t="str">
        <f>IF('Residual-RosteredMATRIX-RN'!M45=0,"",'Residual-RosteredMATRIX-RN'!M45)</f>
        <v/>
      </c>
      <c r="Q61" s="25" t="str">
        <f>IF('Residual-RosteredMATRIX-RN'!N45=0,"",'Residual-RosteredMATRIX-RN'!N45)</f>
        <v/>
      </c>
      <c r="R61" s="25" t="str">
        <f>IF('Residual-RosteredMATRIX-RN'!O45=0,"",'Residual-RosteredMATRIX-RN'!O45)</f>
        <v/>
      </c>
      <c r="S61" s="25" t="str">
        <f>IF('Residual-RosteredMATRIX-RN'!P45=0,"",'Residual-RosteredMATRIX-RN'!P45)</f>
        <v/>
      </c>
      <c r="T61" s="25" t="str">
        <f>IF('Residual-RosteredMATRIX-RN'!Q45=0,"",'Residual-RosteredMATRIX-RN'!Q45)</f>
        <v/>
      </c>
      <c r="U61" s="25" t="str">
        <f>IF('Residual-RosteredMATRIX-RN'!R45=0,"",'Residual-RosteredMATRIX-RN'!R45)</f>
        <v/>
      </c>
      <c r="V61" s="25" t="str">
        <f>IF('Residual-RosteredMATRIX-RN'!S45=0,"",'Residual-RosteredMATRIX-RN'!S45)</f>
        <v/>
      </c>
      <c r="W61" s="25" t="str">
        <f>IF('Residual-RosteredMATRIX-RN'!T45=0,"",'Residual-RosteredMATRIX-RN'!T45)</f>
        <v/>
      </c>
      <c r="X61" s="25" t="str">
        <f>IF('Residual-RosteredMATRIX-RN'!U45=0,"",'Residual-RosteredMATRIX-RN'!U45)</f>
        <v/>
      </c>
      <c r="Y61" s="25" t="str">
        <f>IF('Residual-RosteredMATRIX-RN'!V45=0,"",'Residual-RosteredMATRIX-RN'!V45)</f>
        <v/>
      </c>
      <c r="Z61" s="25" t="str">
        <f>IF('Residual-RosteredMATRIX-RN'!W45=0,"",'Residual-RosteredMATRIX-RN'!W45)</f>
        <v/>
      </c>
      <c r="AA61" s="25" t="str">
        <f>IF('Residual-RosteredMATRIX-RN'!X45=0,"",'Residual-RosteredMATRIX-RN'!X45)</f>
        <v/>
      </c>
      <c r="AB61" s="25" t="str">
        <f>IF('Residual-RosteredMATRIX-RN'!Y45=0,"",'Residual-RosteredMATRIX-RN'!Y45)</f>
        <v/>
      </c>
      <c r="AC61" s="25" t="str">
        <f>IF('Residual-RosteredMATRIX-RN'!Z45=0,"",'Residual-RosteredMATRIX-RN'!Z45)</f>
        <v/>
      </c>
      <c r="AD61" s="25" t="str">
        <f>IF('Residual-RosteredMATRIX-RN'!AA45=0,"",'Residual-RosteredMATRIX-RN'!AA45)</f>
        <v/>
      </c>
      <c r="AE61" s="25" t="str">
        <f>IF('Residual-RosteredMATRIX-RN'!AB45=0,"",'Residual-RosteredMATRIX-RN'!AB45)</f>
        <v/>
      </c>
      <c r="AF61" s="25" t="str">
        <f>IF('Residual-RosteredMATRIX-RN'!AC45=0,"",'Residual-RosteredMATRIX-RN'!AC45)</f>
        <v/>
      </c>
      <c r="AG61" s="25" t="str">
        <f>IF('Residual-RosteredMATRIX-RN'!AD45=0,"",'Residual-RosteredMATRIX-RN'!AD45)</f>
        <v/>
      </c>
      <c r="AH61" s="25" t="str">
        <f>IF('Residual-RosteredMATRIX-RN'!AE45=0,"",'Residual-RosteredMATRIX-RN'!AE45)</f>
        <v/>
      </c>
      <c r="AI61" s="25" t="str">
        <f>IF('Residual-RosteredMATRIX-RN'!AF45=0,"",'Residual-RosteredMATRIX-RN'!AF45)</f>
        <v/>
      </c>
      <c r="AJ61" s="25" t="str">
        <f>IF('Residual-RosteredMATRIX-RN'!AG45=0,"",'Residual-RosteredMATRIX-RN'!AG45)</f>
        <v/>
      </c>
      <c r="AK61" s="25" t="str">
        <f>IF('Residual-RosteredMATRIX-RN'!AH45=0,"",'Residual-RosteredMATRIX-RN'!AH45)</f>
        <v/>
      </c>
      <c r="AL61" s="25" t="str">
        <f>IF('Residual-RosteredMATRIX-RN'!AI45=0,"",'Residual-RosteredMATRIX-RN'!AI45)</f>
        <v/>
      </c>
      <c r="AM61" s="25" t="str">
        <f>IF('Residual-RosteredMATRIX-RN'!AJ45=0,"",'Residual-RosteredMATRIX-RN'!AJ45)</f>
        <v/>
      </c>
      <c r="AN61" s="25" t="str">
        <f>IF('Residual-RosteredMATRIX-RN'!AK45=0,"",'Residual-RosteredMATRIX-RN'!AK45)</f>
        <v/>
      </c>
      <c r="AO61" s="25" t="str">
        <f>IF('Residual-RosteredMATRIX-RN'!AL45=0,"",'Residual-RosteredMATRIX-RN'!AL45)</f>
        <v/>
      </c>
      <c r="AP61" s="25" t="str">
        <f>IF('Residual-RosteredMATRIX-RN'!AM45=0,"",'Residual-RosteredMATRIX-RN'!AM45)</f>
        <v/>
      </c>
      <c r="AQ61" s="25" t="str">
        <f>IF('Residual-RosteredMATRIX-RN'!AN45=0,"",'Residual-RosteredMATRIX-RN'!AN45)</f>
        <v/>
      </c>
      <c r="AR61" s="25" t="str">
        <f>IF('Residual-RosteredMATRIX-RN'!AO45=0,"",'Residual-RosteredMATRIX-RN'!AO45)</f>
        <v/>
      </c>
      <c r="AS61" s="25" t="str">
        <f>IF('Residual-RosteredMATRIX-RN'!AP45=0,"",'Residual-RosteredMATRIX-RN'!AP45)</f>
        <v/>
      </c>
      <c r="AT61" s="25" t="str">
        <f>IF('Residual-RosteredMATRIX-RN'!AQ45=0,"",'Residual-RosteredMATRIX-RN'!AQ45)</f>
        <v/>
      </c>
      <c r="AU61" s="25" t="str">
        <f>IF('Residual-RosteredMATRIX-RN'!AR45=0,"",'Residual-RosteredMATRIX-RN'!AR45)</f>
        <v/>
      </c>
      <c r="AV61" s="25" t="str">
        <f>IF('Residual-RosteredMATRIX-RN'!AS45=0,"",'Residual-RosteredMATRIX-RN'!AS45)</f>
        <v/>
      </c>
      <c r="AW61" s="25" t="str">
        <f>IF('Residual-RosteredMATRIX-RN'!AT45=0,"",'Residual-RosteredMATRIX-RN'!AT45)</f>
        <v/>
      </c>
    </row>
    <row r="62" spans="1:49" ht="15.75" customHeight="1" x14ac:dyDescent="0.25">
      <c r="A62" s="25" t="e">
        <f>'Residual-Rostered'!#REF!</f>
        <v>#REF!</v>
      </c>
      <c r="B62" s="33">
        <f>'Residual-RosteredMATRIX-RN'!C46</f>
        <v>0</v>
      </c>
      <c r="C62" s="33">
        <f>'Residual-RosteredMATRIX-RN'!B46</f>
        <v>0</v>
      </c>
      <c r="D62" s="34">
        <f>'Residual-RosteredMATRIX-RN'!D46</f>
        <v>0</v>
      </c>
      <c r="E62" s="14">
        <f>Max_HRS-Table3[[#This Row],[ROSTERED TIME]]</f>
        <v>76</v>
      </c>
      <c r="F62" s="14">
        <f t="shared" si="7"/>
        <v>0</v>
      </c>
      <c r="G62" s="14">
        <f>Table3[[#This Row],[ROSTERED TIME]]+Table3[[#This Row],[CHANGE TIME]]</f>
        <v>0</v>
      </c>
      <c r="H62" s="25" t="str">
        <f>IF('Residual-RosteredMATRIX-RN'!E46=0,"",'Residual-RosteredMATRIX-RN'!E46)</f>
        <v/>
      </c>
      <c r="I62" s="25" t="str">
        <f>IF('Residual-RosteredMATRIX-RN'!F46=0,"",'Residual-RosteredMATRIX-RN'!F46)</f>
        <v/>
      </c>
      <c r="J62" s="25" t="str">
        <f>IF('Residual-RosteredMATRIX-RN'!G46=0,"",'Residual-RosteredMATRIX-RN'!G46)</f>
        <v/>
      </c>
      <c r="K62" s="25" t="str">
        <f>IF('Residual-RosteredMATRIX-RN'!H46=0,"",'Residual-RosteredMATRIX-RN'!H46)</f>
        <v/>
      </c>
      <c r="L62" s="25" t="str">
        <f>IF('Residual-RosteredMATRIX-RN'!I46=0,"",'Residual-RosteredMATRIX-RN'!I46)</f>
        <v/>
      </c>
      <c r="M62" s="25" t="str">
        <f>IF('Residual-RosteredMATRIX-RN'!J46=0,"",'Residual-RosteredMATRIX-RN'!J46)</f>
        <v/>
      </c>
      <c r="N62" s="25" t="str">
        <f>IF('Residual-RosteredMATRIX-RN'!K46=0,"",'Residual-RosteredMATRIX-RN'!K46)</f>
        <v/>
      </c>
      <c r="O62" s="25" t="str">
        <f>IF('Residual-RosteredMATRIX-RN'!L46=0,"",'Residual-RosteredMATRIX-RN'!L46)</f>
        <v/>
      </c>
      <c r="P62" s="25" t="str">
        <f>IF('Residual-RosteredMATRIX-RN'!M46=0,"",'Residual-RosteredMATRIX-RN'!M46)</f>
        <v/>
      </c>
      <c r="Q62" s="25" t="str">
        <f>IF('Residual-RosteredMATRIX-RN'!N46=0,"",'Residual-RosteredMATRIX-RN'!N46)</f>
        <v/>
      </c>
      <c r="R62" s="25" t="str">
        <f>IF('Residual-RosteredMATRIX-RN'!O46=0,"",'Residual-RosteredMATRIX-RN'!O46)</f>
        <v/>
      </c>
      <c r="S62" s="25" t="str">
        <f>IF('Residual-RosteredMATRIX-RN'!P46=0,"",'Residual-RosteredMATRIX-RN'!P46)</f>
        <v/>
      </c>
      <c r="T62" s="25" t="str">
        <f>IF('Residual-RosteredMATRIX-RN'!Q46=0,"",'Residual-RosteredMATRIX-RN'!Q46)</f>
        <v/>
      </c>
      <c r="U62" s="25" t="str">
        <f>IF('Residual-RosteredMATRIX-RN'!R46=0,"",'Residual-RosteredMATRIX-RN'!R46)</f>
        <v/>
      </c>
      <c r="V62" s="25" t="str">
        <f>IF('Residual-RosteredMATRIX-RN'!S46=0,"",'Residual-RosteredMATRIX-RN'!S46)</f>
        <v/>
      </c>
      <c r="W62" s="25" t="str">
        <f>IF('Residual-RosteredMATRIX-RN'!T46=0,"",'Residual-RosteredMATRIX-RN'!T46)</f>
        <v/>
      </c>
      <c r="X62" s="25" t="str">
        <f>IF('Residual-RosteredMATRIX-RN'!U46=0,"",'Residual-RosteredMATRIX-RN'!U46)</f>
        <v/>
      </c>
      <c r="Y62" s="25" t="str">
        <f>IF('Residual-RosteredMATRIX-RN'!V46=0,"",'Residual-RosteredMATRIX-RN'!V46)</f>
        <v/>
      </c>
      <c r="Z62" s="25" t="str">
        <f>IF('Residual-RosteredMATRIX-RN'!W46=0,"",'Residual-RosteredMATRIX-RN'!W46)</f>
        <v/>
      </c>
      <c r="AA62" s="25" t="str">
        <f>IF('Residual-RosteredMATRIX-RN'!X46=0,"",'Residual-RosteredMATRIX-RN'!X46)</f>
        <v/>
      </c>
      <c r="AB62" s="25" t="str">
        <f>IF('Residual-RosteredMATRIX-RN'!Y46=0,"",'Residual-RosteredMATRIX-RN'!Y46)</f>
        <v/>
      </c>
      <c r="AC62" s="25" t="str">
        <f>IF('Residual-RosteredMATRIX-RN'!Z46=0,"",'Residual-RosteredMATRIX-RN'!Z46)</f>
        <v/>
      </c>
      <c r="AD62" s="25" t="str">
        <f>IF('Residual-RosteredMATRIX-RN'!AA46=0,"",'Residual-RosteredMATRIX-RN'!AA46)</f>
        <v/>
      </c>
      <c r="AE62" s="25" t="str">
        <f>IF('Residual-RosteredMATRIX-RN'!AB46=0,"",'Residual-RosteredMATRIX-RN'!AB46)</f>
        <v/>
      </c>
      <c r="AF62" s="25" t="str">
        <f>IF('Residual-RosteredMATRIX-RN'!AC46=0,"",'Residual-RosteredMATRIX-RN'!AC46)</f>
        <v/>
      </c>
      <c r="AG62" s="25" t="str">
        <f>IF('Residual-RosteredMATRIX-RN'!AD46=0,"",'Residual-RosteredMATRIX-RN'!AD46)</f>
        <v/>
      </c>
      <c r="AH62" s="25" t="str">
        <f>IF('Residual-RosteredMATRIX-RN'!AE46=0,"",'Residual-RosteredMATRIX-RN'!AE46)</f>
        <v/>
      </c>
      <c r="AI62" s="25" t="str">
        <f>IF('Residual-RosteredMATRIX-RN'!AF46=0,"",'Residual-RosteredMATRIX-RN'!AF46)</f>
        <v/>
      </c>
      <c r="AJ62" s="25" t="str">
        <f>IF('Residual-RosteredMATRIX-RN'!AG46=0,"",'Residual-RosteredMATRIX-RN'!AG46)</f>
        <v/>
      </c>
      <c r="AK62" s="25" t="str">
        <f>IF('Residual-RosteredMATRIX-RN'!AH46=0,"",'Residual-RosteredMATRIX-RN'!AH46)</f>
        <v/>
      </c>
      <c r="AL62" s="25" t="str">
        <f>IF('Residual-RosteredMATRIX-RN'!AI46=0,"",'Residual-RosteredMATRIX-RN'!AI46)</f>
        <v/>
      </c>
      <c r="AM62" s="25" t="str">
        <f>IF('Residual-RosteredMATRIX-RN'!AJ46=0,"",'Residual-RosteredMATRIX-RN'!AJ46)</f>
        <v/>
      </c>
      <c r="AN62" s="25" t="str">
        <f>IF('Residual-RosteredMATRIX-RN'!AK46=0,"",'Residual-RosteredMATRIX-RN'!AK46)</f>
        <v/>
      </c>
      <c r="AO62" s="25" t="str">
        <f>IF('Residual-RosteredMATRIX-RN'!AL46=0,"",'Residual-RosteredMATRIX-RN'!AL46)</f>
        <v/>
      </c>
      <c r="AP62" s="25" t="str">
        <f>IF('Residual-RosteredMATRIX-RN'!AM46=0,"",'Residual-RosteredMATRIX-RN'!AM46)</f>
        <v/>
      </c>
      <c r="AQ62" s="25" t="str">
        <f>IF('Residual-RosteredMATRIX-RN'!AN46=0,"",'Residual-RosteredMATRIX-RN'!AN46)</f>
        <v/>
      </c>
      <c r="AR62" s="25" t="str">
        <f>IF('Residual-RosteredMATRIX-RN'!AO46=0,"",'Residual-RosteredMATRIX-RN'!AO46)</f>
        <v/>
      </c>
      <c r="AS62" s="25" t="str">
        <f>IF('Residual-RosteredMATRIX-RN'!AP46=0,"",'Residual-RosteredMATRIX-RN'!AP46)</f>
        <v/>
      </c>
      <c r="AT62" s="25" t="str">
        <f>IF('Residual-RosteredMATRIX-RN'!AQ46=0,"",'Residual-RosteredMATRIX-RN'!AQ46)</f>
        <v/>
      </c>
      <c r="AU62" s="25" t="str">
        <f>IF('Residual-RosteredMATRIX-RN'!AR46=0,"",'Residual-RosteredMATRIX-RN'!AR46)</f>
        <v/>
      </c>
      <c r="AV62" s="25" t="str">
        <f>IF('Residual-RosteredMATRIX-RN'!AS46=0,"",'Residual-RosteredMATRIX-RN'!AS46)</f>
        <v/>
      </c>
      <c r="AW62" s="25" t="str">
        <f>IF('Residual-RosteredMATRIX-RN'!AT46=0,"",'Residual-RosteredMATRIX-RN'!AT46)</f>
        <v/>
      </c>
    </row>
    <row r="63" spans="1:49" ht="15.75" customHeight="1" x14ac:dyDescent="0.25">
      <c r="A63" s="25" t="e">
        <f>'Residual-Rostered'!#REF!</f>
        <v>#REF!</v>
      </c>
      <c r="B63" s="33">
        <f>'Residual-RosteredMATRIX-RN'!C47</f>
        <v>0</v>
      </c>
      <c r="C63" s="33">
        <f>'Residual-RosteredMATRIX-RN'!B47</f>
        <v>0</v>
      </c>
      <c r="D63" s="34">
        <f>'Residual-RosteredMATRIX-RN'!D47</f>
        <v>0</v>
      </c>
      <c r="E63" s="14">
        <f>Max_HRS-Table3[[#This Row],[ROSTERED TIME]]</f>
        <v>76</v>
      </c>
      <c r="F63" s="14">
        <f t="shared" si="7"/>
        <v>0</v>
      </c>
      <c r="G63" s="14">
        <f>Table3[[#This Row],[ROSTERED TIME]]+Table3[[#This Row],[CHANGE TIME]]</f>
        <v>0</v>
      </c>
      <c r="H63" s="25" t="str">
        <f>IF('Residual-RosteredMATRIX-RN'!E47=0,"",'Residual-RosteredMATRIX-RN'!E47)</f>
        <v/>
      </c>
      <c r="I63" s="25" t="str">
        <f>IF('Residual-RosteredMATRIX-RN'!F47=0,"",'Residual-RosteredMATRIX-RN'!F47)</f>
        <v/>
      </c>
      <c r="J63" s="25" t="str">
        <f>IF('Residual-RosteredMATRIX-RN'!G47=0,"",'Residual-RosteredMATRIX-RN'!G47)</f>
        <v/>
      </c>
      <c r="K63" s="25" t="str">
        <f>IF('Residual-RosteredMATRIX-RN'!H47=0,"",'Residual-RosteredMATRIX-RN'!H47)</f>
        <v/>
      </c>
      <c r="L63" s="25" t="str">
        <f>IF('Residual-RosteredMATRIX-RN'!I47=0,"",'Residual-RosteredMATRIX-RN'!I47)</f>
        <v/>
      </c>
      <c r="M63" s="25" t="str">
        <f>IF('Residual-RosteredMATRIX-RN'!J47=0,"",'Residual-RosteredMATRIX-RN'!J47)</f>
        <v/>
      </c>
      <c r="N63" s="25" t="str">
        <f>IF('Residual-RosteredMATRIX-RN'!K47=0,"",'Residual-RosteredMATRIX-RN'!K47)</f>
        <v/>
      </c>
      <c r="O63" s="25" t="str">
        <f>IF('Residual-RosteredMATRIX-RN'!L47=0,"",'Residual-RosteredMATRIX-RN'!L47)</f>
        <v/>
      </c>
      <c r="P63" s="25" t="str">
        <f>IF('Residual-RosteredMATRIX-RN'!M47=0,"",'Residual-RosteredMATRIX-RN'!M47)</f>
        <v/>
      </c>
      <c r="Q63" s="25" t="str">
        <f>IF('Residual-RosteredMATRIX-RN'!N47=0,"",'Residual-RosteredMATRIX-RN'!N47)</f>
        <v/>
      </c>
      <c r="R63" s="25" t="str">
        <f>IF('Residual-RosteredMATRIX-RN'!O47=0,"",'Residual-RosteredMATRIX-RN'!O47)</f>
        <v/>
      </c>
      <c r="S63" s="25" t="str">
        <f>IF('Residual-RosteredMATRIX-RN'!P47=0,"",'Residual-RosteredMATRIX-RN'!P47)</f>
        <v/>
      </c>
      <c r="T63" s="25" t="str">
        <f>IF('Residual-RosteredMATRIX-RN'!Q47=0,"",'Residual-RosteredMATRIX-RN'!Q47)</f>
        <v/>
      </c>
      <c r="U63" s="25" t="str">
        <f>IF('Residual-RosteredMATRIX-RN'!R47=0,"",'Residual-RosteredMATRIX-RN'!R47)</f>
        <v/>
      </c>
      <c r="V63" s="25" t="str">
        <f>IF('Residual-RosteredMATRIX-RN'!S47=0,"",'Residual-RosteredMATRIX-RN'!S47)</f>
        <v/>
      </c>
      <c r="W63" s="25" t="str">
        <f>IF('Residual-RosteredMATRIX-RN'!T47=0,"",'Residual-RosteredMATRIX-RN'!T47)</f>
        <v/>
      </c>
      <c r="X63" s="25" t="str">
        <f>IF('Residual-RosteredMATRIX-RN'!U47=0,"",'Residual-RosteredMATRIX-RN'!U47)</f>
        <v/>
      </c>
      <c r="Y63" s="25" t="str">
        <f>IF('Residual-RosteredMATRIX-RN'!V47=0,"",'Residual-RosteredMATRIX-RN'!V47)</f>
        <v/>
      </c>
      <c r="Z63" s="25" t="str">
        <f>IF('Residual-RosteredMATRIX-RN'!W47=0,"",'Residual-RosteredMATRIX-RN'!W47)</f>
        <v/>
      </c>
      <c r="AA63" s="25" t="str">
        <f>IF('Residual-RosteredMATRIX-RN'!X47=0,"",'Residual-RosteredMATRIX-RN'!X47)</f>
        <v/>
      </c>
      <c r="AB63" s="25" t="str">
        <f>IF('Residual-RosteredMATRIX-RN'!Y47=0,"",'Residual-RosteredMATRIX-RN'!Y47)</f>
        <v/>
      </c>
      <c r="AC63" s="25" t="str">
        <f>IF('Residual-RosteredMATRIX-RN'!Z47=0,"",'Residual-RosteredMATRIX-RN'!Z47)</f>
        <v/>
      </c>
      <c r="AD63" s="25" t="str">
        <f>IF('Residual-RosteredMATRIX-RN'!AA47=0,"",'Residual-RosteredMATRIX-RN'!AA47)</f>
        <v/>
      </c>
      <c r="AE63" s="25" t="str">
        <f>IF('Residual-RosteredMATRIX-RN'!AB47=0,"",'Residual-RosteredMATRIX-RN'!AB47)</f>
        <v/>
      </c>
      <c r="AF63" s="25" t="str">
        <f>IF('Residual-RosteredMATRIX-RN'!AC47=0,"",'Residual-RosteredMATRIX-RN'!AC47)</f>
        <v/>
      </c>
      <c r="AG63" s="25" t="str">
        <f>IF('Residual-RosteredMATRIX-RN'!AD47=0,"",'Residual-RosteredMATRIX-RN'!AD47)</f>
        <v/>
      </c>
      <c r="AH63" s="25" t="str">
        <f>IF('Residual-RosteredMATRIX-RN'!AE47=0,"",'Residual-RosteredMATRIX-RN'!AE47)</f>
        <v/>
      </c>
      <c r="AI63" s="25" t="str">
        <f>IF('Residual-RosteredMATRIX-RN'!AF47=0,"",'Residual-RosteredMATRIX-RN'!AF47)</f>
        <v/>
      </c>
      <c r="AJ63" s="25" t="str">
        <f>IF('Residual-RosteredMATRIX-RN'!AG47=0,"",'Residual-RosteredMATRIX-RN'!AG47)</f>
        <v/>
      </c>
      <c r="AK63" s="25" t="str">
        <f>IF('Residual-RosteredMATRIX-RN'!AH47=0,"",'Residual-RosteredMATRIX-RN'!AH47)</f>
        <v/>
      </c>
      <c r="AL63" s="25" t="str">
        <f>IF('Residual-RosteredMATRIX-RN'!AI47=0,"",'Residual-RosteredMATRIX-RN'!AI47)</f>
        <v/>
      </c>
      <c r="AM63" s="25" t="str">
        <f>IF('Residual-RosteredMATRIX-RN'!AJ47=0,"",'Residual-RosteredMATRIX-RN'!AJ47)</f>
        <v/>
      </c>
      <c r="AN63" s="25" t="str">
        <f>IF('Residual-RosteredMATRIX-RN'!AK47=0,"",'Residual-RosteredMATRIX-RN'!AK47)</f>
        <v/>
      </c>
      <c r="AO63" s="25" t="str">
        <f>IF('Residual-RosteredMATRIX-RN'!AL47=0,"",'Residual-RosteredMATRIX-RN'!AL47)</f>
        <v/>
      </c>
      <c r="AP63" s="25" t="str">
        <f>IF('Residual-RosteredMATRIX-RN'!AM47=0,"",'Residual-RosteredMATRIX-RN'!AM47)</f>
        <v/>
      </c>
      <c r="AQ63" s="25" t="str">
        <f>IF('Residual-RosteredMATRIX-RN'!AN47=0,"",'Residual-RosteredMATRIX-RN'!AN47)</f>
        <v/>
      </c>
      <c r="AR63" s="25" t="str">
        <f>IF('Residual-RosteredMATRIX-RN'!AO47=0,"",'Residual-RosteredMATRIX-RN'!AO47)</f>
        <v/>
      </c>
      <c r="AS63" s="25" t="str">
        <f>IF('Residual-RosteredMATRIX-RN'!AP47=0,"",'Residual-RosteredMATRIX-RN'!AP47)</f>
        <v/>
      </c>
      <c r="AT63" s="25" t="str">
        <f>IF('Residual-RosteredMATRIX-RN'!AQ47=0,"",'Residual-RosteredMATRIX-RN'!AQ47)</f>
        <v/>
      </c>
      <c r="AU63" s="25" t="str">
        <f>IF('Residual-RosteredMATRIX-RN'!AR47=0,"",'Residual-RosteredMATRIX-RN'!AR47)</f>
        <v/>
      </c>
      <c r="AV63" s="25" t="str">
        <f>IF('Residual-RosteredMATRIX-RN'!AS47=0,"",'Residual-RosteredMATRIX-RN'!AS47)</f>
        <v/>
      </c>
      <c r="AW63" s="25" t="str">
        <f>IF('Residual-RosteredMATRIX-RN'!AT47=0,"",'Residual-RosteredMATRIX-RN'!AT47)</f>
        <v/>
      </c>
    </row>
    <row r="64" spans="1:49" ht="15.75" customHeight="1" x14ac:dyDescent="0.25">
      <c r="A64" s="25" t="e">
        <f>'Residual-Rostered'!#REF!</f>
        <v>#REF!</v>
      </c>
      <c r="B64" s="33">
        <f>'Residual-RosteredMATRIX-RN'!C48</f>
        <v>0</v>
      </c>
      <c r="C64" s="33">
        <f>'Residual-RosteredMATRIX-RN'!B48</f>
        <v>0</v>
      </c>
      <c r="D64" s="34">
        <f>'Residual-RosteredMATRIX-RN'!D48</f>
        <v>0</v>
      </c>
      <c r="E64" s="14">
        <f>Max_HRS-Table3[[#This Row],[ROSTERED TIME]]</f>
        <v>76</v>
      </c>
      <c r="F64" s="14">
        <f t="shared" si="7"/>
        <v>0</v>
      </c>
      <c r="G64" s="14">
        <f>Table3[[#This Row],[ROSTERED TIME]]+Table3[[#This Row],[CHANGE TIME]]</f>
        <v>0</v>
      </c>
      <c r="H64" s="25" t="str">
        <f>IF('Residual-RosteredMATRIX-RN'!E48=0,"",'Residual-RosteredMATRIX-RN'!E48)</f>
        <v/>
      </c>
      <c r="I64" s="25" t="str">
        <f>IF('Residual-RosteredMATRIX-RN'!F48=0,"",'Residual-RosteredMATRIX-RN'!F48)</f>
        <v/>
      </c>
      <c r="J64" s="25" t="str">
        <f>IF('Residual-RosteredMATRIX-RN'!G48=0,"",'Residual-RosteredMATRIX-RN'!G48)</f>
        <v/>
      </c>
      <c r="K64" s="25" t="str">
        <f>IF('Residual-RosteredMATRIX-RN'!H48=0,"",'Residual-RosteredMATRIX-RN'!H48)</f>
        <v/>
      </c>
      <c r="L64" s="25" t="str">
        <f>IF('Residual-RosteredMATRIX-RN'!I48=0,"",'Residual-RosteredMATRIX-RN'!I48)</f>
        <v/>
      </c>
      <c r="M64" s="25" t="str">
        <f>IF('Residual-RosteredMATRIX-RN'!J48=0,"",'Residual-RosteredMATRIX-RN'!J48)</f>
        <v/>
      </c>
      <c r="N64" s="25" t="str">
        <f>IF('Residual-RosteredMATRIX-RN'!K48=0,"",'Residual-RosteredMATRIX-RN'!K48)</f>
        <v/>
      </c>
      <c r="O64" s="25" t="str">
        <f>IF('Residual-RosteredMATRIX-RN'!L48=0,"",'Residual-RosteredMATRIX-RN'!L48)</f>
        <v/>
      </c>
      <c r="P64" s="25" t="str">
        <f>IF('Residual-RosteredMATRIX-RN'!M48=0,"",'Residual-RosteredMATRIX-RN'!M48)</f>
        <v/>
      </c>
      <c r="Q64" s="25" t="str">
        <f>IF('Residual-RosteredMATRIX-RN'!N48=0,"",'Residual-RosteredMATRIX-RN'!N48)</f>
        <v/>
      </c>
      <c r="R64" s="25" t="str">
        <f>IF('Residual-RosteredMATRIX-RN'!O48=0,"",'Residual-RosteredMATRIX-RN'!O48)</f>
        <v/>
      </c>
      <c r="S64" s="25" t="str">
        <f>IF('Residual-RosteredMATRIX-RN'!P48=0,"",'Residual-RosteredMATRIX-RN'!P48)</f>
        <v/>
      </c>
      <c r="T64" s="25" t="str">
        <f>IF('Residual-RosteredMATRIX-RN'!Q48=0,"",'Residual-RosteredMATRIX-RN'!Q48)</f>
        <v/>
      </c>
      <c r="U64" s="25" t="str">
        <f>IF('Residual-RosteredMATRIX-RN'!R48=0,"",'Residual-RosteredMATRIX-RN'!R48)</f>
        <v/>
      </c>
      <c r="V64" s="25" t="str">
        <f>IF('Residual-RosteredMATRIX-RN'!S48=0,"",'Residual-RosteredMATRIX-RN'!S48)</f>
        <v/>
      </c>
      <c r="W64" s="25" t="str">
        <f>IF('Residual-RosteredMATRIX-RN'!T48=0,"",'Residual-RosteredMATRIX-RN'!T48)</f>
        <v/>
      </c>
      <c r="X64" s="25" t="str">
        <f>IF('Residual-RosteredMATRIX-RN'!U48=0,"",'Residual-RosteredMATRIX-RN'!U48)</f>
        <v/>
      </c>
      <c r="Y64" s="25" t="str">
        <f>IF('Residual-RosteredMATRIX-RN'!V48=0,"",'Residual-RosteredMATRIX-RN'!V48)</f>
        <v/>
      </c>
      <c r="Z64" s="25" t="str">
        <f>IF('Residual-RosteredMATRIX-RN'!W48=0,"",'Residual-RosteredMATRIX-RN'!W48)</f>
        <v/>
      </c>
      <c r="AA64" s="25" t="str">
        <f>IF('Residual-RosteredMATRIX-RN'!X48=0,"",'Residual-RosteredMATRIX-RN'!X48)</f>
        <v/>
      </c>
      <c r="AB64" s="25" t="str">
        <f>IF('Residual-RosteredMATRIX-RN'!Y48=0,"",'Residual-RosteredMATRIX-RN'!Y48)</f>
        <v/>
      </c>
      <c r="AC64" s="25" t="str">
        <f>IF('Residual-RosteredMATRIX-RN'!Z48=0,"",'Residual-RosteredMATRIX-RN'!Z48)</f>
        <v/>
      </c>
      <c r="AD64" s="25" t="str">
        <f>IF('Residual-RosteredMATRIX-RN'!AA48=0,"",'Residual-RosteredMATRIX-RN'!AA48)</f>
        <v/>
      </c>
      <c r="AE64" s="25" t="str">
        <f>IF('Residual-RosteredMATRIX-RN'!AB48=0,"",'Residual-RosteredMATRIX-RN'!AB48)</f>
        <v/>
      </c>
      <c r="AF64" s="25" t="str">
        <f>IF('Residual-RosteredMATRIX-RN'!AC48=0,"",'Residual-RosteredMATRIX-RN'!AC48)</f>
        <v/>
      </c>
      <c r="AG64" s="25" t="str">
        <f>IF('Residual-RosteredMATRIX-RN'!AD48=0,"",'Residual-RosteredMATRIX-RN'!AD48)</f>
        <v/>
      </c>
      <c r="AH64" s="25" t="str">
        <f>IF('Residual-RosteredMATRIX-RN'!AE48=0,"",'Residual-RosteredMATRIX-RN'!AE48)</f>
        <v/>
      </c>
      <c r="AI64" s="25" t="str">
        <f>IF('Residual-RosteredMATRIX-RN'!AF48=0,"",'Residual-RosteredMATRIX-RN'!AF48)</f>
        <v/>
      </c>
      <c r="AJ64" s="25" t="str">
        <f>IF('Residual-RosteredMATRIX-RN'!AG48=0,"",'Residual-RosteredMATRIX-RN'!AG48)</f>
        <v/>
      </c>
      <c r="AK64" s="25" t="str">
        <f>IF('Residual-RosteredMATRIX-RN'!AH48=0,"",'Residual-RosteredMATRIX-RN'!AH48)</f>
        <v/>
      </c>
      <c r="AL64" s="25" t="str">
        <f>IF('Residual-RosteredMATRIX-RN'!AI48=0,"",'Residual-RosteredMATRIX-RN'!AI48)</f>
        <v/>
      </c>
      <c r="AM64" s="25" t="str">
        <f>IF('Residual-RosteredMATRIX-RN'!AJ48=0,"",'Residual-RosteredMATRIX-RN'!AJ48)</f>
        <v/>
      </c>
      <c r="AN64" s="25" t="str">
        <f>IF('Residual-RosteredMATRIX-RN'!AK48=0,"",'Residual-RosteredMATRIX-RN'!AK48)</f>
        <v/>
      </c>
      <c r="AO64" s="25" t="str">
        <f>IF('Residual-RosteredMATRIX-RN'!AL48=0,"",'Residual-RosteredMATRIX-RN'!AL48)</f>
        <v/>
      </c>
      <c r="AP64" s="25" t="str">
        <f>IF('Residual-RosteredMATRIX-RN'!AM48=0,"",'Residual-RosteredMATRIX-RN'!AM48)</f>
        <v/>
      </c>
      <c r="AQ64" s="25" t="str">
        <f>IF('Residual-RosteredMATRIX-RN'!AN48=0,"",'Residual-RosteredMATRIX-RN'!AN48)</f>
        <v/>
      </c>
      <c r="AR64" s="25" t="str">
        <f>IF('Residual-RosteredMATRIX-RN'!AO48=0,"",'Residual-RosteredMATRIX-RN'!AO48)</f>
        <v/>
      </c>
      <c r="AS64" s="25" t="str">
        <f>IF('Residual-RosteredMATRIX-RN'!AP48=0,"",'Residual-RosteredMATRIX-RN'!AP48)</f>
        <v/>
      </c>
      <c r="AT64" s="25" t="str">
        <f>IF('Residual-RosteredMATRIX-RN'!AQ48=0,"",'Residual-RosteredMATRIX-RN'!AQ48)</f>
        <v/>
      </c>
      <c r="AU64" s="25" t="str">
        <f>IF('Residual-RosteredMATRIX-RN'!AR48=0,"",'Residual-RosteredMATRIX-RN'!AR48)</f>
        <v/>
      </c>
      <c r="AV64" s="25" t="str">
        <f>IF('Residual-RosteredMATRIX-RN'!AS48=0,"",'Residual-RosteredMATRIX-RN'!AS48)</f>
        <v/>
      </c>
      <c r="AW64" s="25" t="str">
        <f>IF('Residual-RosteredMATRIX-RN'!AT48=0,"",'Residual-RosteredMATRIX-RN'!AT48)</f>
        <v/>
      </c>
    </row>
    <row r="65" spans="1:49" ht="15.75" customHeight="1" x14ac:dyDescent="0.25">
      <c r="A65" s="25" t="e">
        <f>'Residual-Rostered'!#REF!</f>
        <v>#REF!</v>
      </c>
      <c r="B65" s="33">
        <f>'Residual-RosteredMATRIX-RN'!C49</f>
        <v>0</v>
      </c>
      <c r="C65" s="33">
        <f>'Residual-RosteredMATRIX-RN'!B49</f>
        <v>0</v>
      </c>
      <c r="D65" s="34">
        <f>'Residual-RosteredMATRIX-RN'!D49</f>
        <v>0</v>
      </c>
      <c r="E65" s="14">
        <f>Max_HRS-Table3[[#This Row],[ROSTERED TIME]]</f>
        <v>76</v>
      </c>
      <c r="F65" s="14">
        <f t="shared" si="7"/>
        <v>0</v>
      </c>
      <c r="G65" s="14">
        <f>Table3[[#This Row],[ROSTERED TIME]]+Table3[[#This Row],[CHANGE TIME]]</f>
        <v>0</v>
      </c>
      <c r="H65" s="25" t="str">
        <f>IF('Residual-RosteredMATRIX-RN'!E49=0,"",'Residual-RosteredMATRIX-RN'!E49)</f>
        <v/>
      </c>
      <c r="I65" s="25" t="str">
        <f>IF('Residual-RosteredMATRIX-RN'!F49=0,"",'Residual-RosteredMATRIX-RN'!F49)</f>
        <v/>
      </c>
      <c r="J65" s="25" t="str">
        <f>IF('Residual-RosteredMATRIX-RN'!G49=0,"",'Residual-RosteredMATRIX-RN'!G49)</f>
        <v/>
      </c>
      <c r="K65" s="25" t="str">
        <f>IF('Residual-RosteredMATRIX-RN'!H49=0,"",'Residual-RosteredMATRIX-RN'!H49)</f>
        <v/>
      </c>
      <c r="L65" s="25" t="str">
        <f>IF('Residual-RosteredMATRIX-RN'!I49=0,"",'Residual-RosteredMATRIX-RN'!I49)</f>
        <v/>
      </c>
      <c r="M65" s="25" t="str">
        <f>IF('Residual-RosteredMATRIX-RN'!J49=0,"",'Residual-RosteredMATRIX-RN'!J49)</f>
        <v/>
      </c>
      <c r="N65" s="25" t="str">
        <f>IF('Residual-RosteredMATRIX-RN'!K49=0,"",'Residual-RosteredMATRIX-RN'!K49)</f>
        <v/>
      </c>
      <c r="O65" s="25" t="str">
        <f>IF('Residual-RosteredMATRIX-RN'!L49=0,"",'Residual-RosteredMATRIX-RN'!L49)</f>
        <v/>
      </c>
      <c r="P65" s="25" t="str">
        <f>IF('Residual-RosteredMATRIX-RN'!M49=0,"",'Residual-RosteredMATRIX-RN'!M49)</f>
        <v/>
      </c>
      <c r="Q65" s="25" t="str">
        <f>IF('Residual-RosteredMATRIX-RN'!N49=0,"",'Residual-RosteredMATRIX-RN'!N49)</f>
        <v/>
      </c>
      <c r="R65" s="25" t="str">
        <f>IF('Residual-RosteredMATRIX-RN'!O49=0,"",'Residual-RosteredMATRIX-RN'!O49)</f>
        <v/>
      </c>
      <c r="S65" s="25" t="str">
        <f>IF('Residual-RosteredMATRIX-RN'!P49=0,"",'Residual-RosteredMATRIX-RN'!P49)</f>
        <v/>
      </c>
      <c r="T65" s="25" t="str">
        <f>IF('Residual-RosteredMATRIX-RN'!Q49=0,"",'Residual-RosteredMATRIX-RN'!Q49)</f>
        <v/>
      </c>
      <c r="U65" s="25" t="str">
        <f>IF('Residual-RosteredMATRIX-RN'!R49=0,"",'Residual-RosteredMATRIX-RN'!R49)</f>
        <v/>
      </c>
      <c r="V65" s="25" t="str">
        <f>IF('Residual-RosteredMATRIX-RN'!S49=0,"",'Residual-RosteredMATRIX-RN'!S49)</f>
        <v/>
      </c>
      <c r="W65" s="25" t="str">
        <f>IF('Residual-RosteredMATRIX-RN'!T49=0,"",'Residual-RosteredMATRIX-RN'!T49)</f>
        <v/>
      </c>
      <c r="X65" s="25" t="str">
        <f>IF('Residual-RosteredMATRIX-RN'!U49=0,"",'Residual-RosteredMATRIX-RN'!U49)</f>
        <v/>
      </c>
      <c r="Y65" s="25" t="str">
        <f>IF('Residual-RosteredMATRIX-RN'!V49=0,"",'Residual-RosteredMATRIX-RN'!V49)</f>
        <v/>
      </c>
      <c r="Z65" s="25" t="str">
        <f>IF('Residual-RosteredMATRIX-RN'!W49=0,"",'Residual-RosteredMATRIX-RN'!W49)</f>
        <v/>
      </c>
      <c r="AA65" s="25" t="str">
        <f>IF('Residual-RosteredMATRIX-RN'!X49=0,"",'Residual-RosteredMATRIX-RN'!X49)</f>
        <v/>
      </c>
      <c r="AB65" s="25" t="str">
        <f>IF('Residual-RosteredMATRIX-RN'!Y49=0,"",'Residual-RosteredMATRIX-RN'!Y49)</f>
        <v/>
      </c>
      <c r="AC65" s="25" t="str">
        <f>IF('Residual-RosteredMATRIX-RN'!Z49=0,"",'Residual-RosteredMATRIX-RN'!Z49)</f>
        <v/>
      </c>
      <c r="AD65" s="25" t="str">
        <f>IF('Residual-RosteredMATRIX-RN'!AA49=0,"",'Residual-RosteredMATRIX-RN'!AA49)</f>
        <v/>
      </c>
      <c r="AE65" s="25" t="str">
        <f>IF('Residual-RosteredMATRIX-RN'!AB49=0,"",'Residual-RosteredMATRIX-RN'!AB49)</f>
        <v/>
      </c>
      <c r="AF65" s="25" t="str">
        <f>IF('Residual-RosteredMATRIX-RN'!AC49=0,"",'Residual-RosteredMATRIX-RN'!AC49)</f>
        <v/>
      </c>
      <c r="AG65" s="25" t="str">
        <f>IF('Residual-RosteredMATRIX-RN'!AD49=0,"",'Residual-RosteredMATRIX-RN'!AD49)</f>
        <v/>
      </c>
      <c r="AH65" s="25" t="str">
        <f>IF('Residual-RosteredMATRIX-RN'!AE49=0,"",'Residual-RosteredMATRIX-RN'!AE49)</f>
        <v/>
      </c>
      <c r="AI65" s="25" t="str">
        <f>IF('Residual-RosteredMATRIX-RN'!AF49=0,"",'Residual-RosteredMATRIX-RN'!AF49)</f>
        <v/>
      </c>
      <c r="AJ65" s="25" t="str">
        <f>IF('Residual-RosteredMATRIX-RN'!AG49=0,"",'Residual-RosteredMATRIX-RN'!AG49)</f>
        <v/>
      </c>
      <c r="AK65" s="25" t="str">
        <f>IF('Residual-RosteredMATRIX-RN'!AH49=0,"",'Residual-RosteredMATRIX-RN'!AH49)</f>
        <v/>
      </c>
      <c r="AL65" s="25" t="str">
        <f>IF('Residual-RosteredMATRIX-RN'!AI49=0,"",'Residual-RosteredMATRIX-RN'!AI49)</f>
        <v/>
      </c>
      <c r="AM65" s="25" t="str">
        <f>IF('Residual-RosteredMATRIX-RN'!AJ49=0,"",'Residual-RosteredMATRIX-RN'!AJ49)</f>
        <v/>
      </c>
      <c r="AN65" s="25" t="str">
        <f>IF('Residual-RosteredMATRIX-RN'!AK49=0,"",'Residual-RosteredMATRIX-RN'!AK49)</f>
        <v/>
      </c>
      <c r="AO65" s="25" t="str">
        <f>IF('Residual-RosteredMATRIX-RN'!AL49=0,"",'Residual-RosteredMATRIX-RN'!AL49)</f>
        <v/>
      </c>
      <c r="AP65" s="25" t="str">
        <f>IF('Residual-RosteredMATRIX-RN'!AM49=0,"",'Residual-RosteredMATRIX-RN'!AM49)</f>
        <v/>
      </c>
      <c r="AQ65" s="25" t="str">
        <f>IF('Residual-RosteredMATRIX-RN'!AN49=0,"",'Residual-RosteredMATRIX-RN'!AN49)</f>
        <v/>
      </c>
      <c r="AR65" s="25" t="str">
        <f>IF('Residual-RosteredMATRIX-RN'!AO49=0,"",'Residual-RosteredMATRIX-RN'!AO49)</f>
        <v/>
      </c>
      <c r="AS65" s="25" t="str">
        <f>IF('Residual-RosteredMATRIX-RN'!AP49=0,"",'Residual-RosteredMATRIX-RN'!AP49)</f>
        <v/>
      </c>
      <c r="AT65" s="25" t="str">
        <f>IF('Residual-RosteredMATRIX-RN'!AQ49=0,"",'Residual-RosteredMATRIX-RN'!AQ49)</f>
        <v/>
      </c>
      <c r="AU65" s="25" t="str">
        <f>IF('Residual-RosteredMATRIX-RN'!AR49=0,"",'Residual-RosteredMATRIX-RN'!AR49)</f>
        <v/>
      </c>
      <c r="AV65" s="25" t="str">
        <f>IF('Residual-RosteredMATRIX-RN'!AS49=0,"",'Residual-RosteredMATRIX-RN'!AS49)</f>
        <v/>
      </c>
      <c r="AW65" s="25" t="str">
        <f>IF('Residual-RosteredMATRIX-RN'!AT49=0,"",'Residual-RosteredMATRIX-RN'!AT49)</f>
        <v/>
      </c>
    </row>
    <row r="66" spans="1:49" ht="15.75" customHeight="1" x14ac:dyDescent="0.25">
      <c r="A66" s="25" t="e">
        <f>'Residual-Rostered'!#REF!</f>
        <v>#REF!</v>
      </c>
      <c r="B66" s="33">
        <f>'Residual-RosteredMATRIX-RN'!C50</f>
        <v>0</v>
      </c>
      <c r="C66" s="33">
        <f>'Residual-RosteredMATRIX-RN'!B50</f>
        <v>0</v>
      </c>
      <c r="D66" s="34">
        <f>'Residual-RosteredMATRIX-RN'!D50</f>
        <v>0</v>
      </c>
      <c r="E66" s="14">
        <f>Max_HRS-Table3[[#This Row],[ROSTERED TIME]]</f>
        <v>76</v>
      </c>
      <c r="F66" s="14">
        <f t="shared" si="7"/>
        <v>0</v>
      </c>
      <c r="G66" s="14">
        <f>Table3[[#This Row],[ROSTERED TIME]]+Table3[[#This Row],[CHANGE TIME]]</f>
        <v>0</v>
      </c>
      <c r="H66" s="25" t="str">
        <f>IF('Residual-RosteredMATRIX-RN'!E50=0,"",'Residual-RosteredMATRIX-RN'!E50)</f>
        <v/>
      </c>
      <c r="I66" s="25" t="str">
        <f>IF('Residual-RosteredMATRIX-RN'!F50=0,"",'Residual-RosteredMATRIX-RN'!F50)</f>
        <v/>
      </c>
      <c r="J66" s="25" t="str">
        <f>IF('Residual-RosteredMATRIX-RN'!G50=0,"",'Residual-RosteredMATRIX-RN'!G50)</f>
        <v/>
      </c>
      <c r="K66" s="25" t="str">
        <f>IF('Residual-RosteredMATRIX-RN'!H50=0,"",'Residual-RosteredMATRIX-RN'!H50)</f>
        <v/>
      </c>
      <c r="L66" s="25" t="str">
        <f>IF('Residual-RosteredMATRIX-RN'!I50=0,"",'Residual-RosteredMATRIX-RN'!I50)</f>
        <v/>
      </c>
      <c r="M66" s="25" t="str">
        <f>IF('Residual-RosteredMATRIX-RN'!J50=0,"",'Residual-RosteredMATRIX-RN'!J50)</f>
        <v/>
      </c>
      <c r="N66" s="25" t="str">
        <f>IF('Residual-RosteredMATRIX-RN'!K50=0,"",'Residual-RosteredMATRIX-RN'!K50)</f>
        <v/>
      </c>
      <c r="O66" s="25" t="str">
        <f>IF('Residual-RosteredMATRIX-RN'!L50=0,"",'Residual-RosteredMATRIX-RN'!L50)</f>
        <v/>
      </c>
      <c r="P66" s="25" t="str">
        <f>IF('Residual-RosteredMATRIX-RN'!M50=0,"",'Residual-RosteredMATRIX-RN'!M50)</f>
        <v/>
      </c>
      <c r="Q66" s="25" t="str">
        <f>IF('Residual-RosteredMATRIX-RN'!N50=0,"",'Residual-RosteredMATRIX-RN'!N50)</f>
        <v/>
      </c>
      <c r="R66" s="25" t="str">
        <f>IF('Residual-RosteredMATRIX-RN'!O50=0,"",'Residual-RosteredMATRIX-RN'!O50)</f>
        <v/>
      </c>
      <c r="S66" s="25" t="str">
        <f>IF('Residual-RosteredMATRIX-RN'!P50=0,"",'Residual-RosteredMATRIX-RN'!P50)</f>
        <v/>
      </c>
      <c r="T66" s="25" t="str">
        <f>IF('Residual-RosteredMATRIX-RN'!Q50=0,"",'Residual-RosteredMATRIX-RN'!Q50)</f>
        <v/>
      </c>
      <c r="U66" s="25" t="str">
        <f>IF('Residual-RosteredMATRIX-RN'!R50=0,"",'Residual-RosteredMATRIX-RN'!R50)</f>
        <v/>
      </c>
      <c r="V66" s="25" t="str">
        <f>IF('Residual-RosteredMATRIX-RN'!S50=0,"",'Residual-RosteredMATRIX-RN'!S50)</f>
        <v/>
      </c>
      <c r="W66" s="25" t="str">
        <f>IF('Residual-RosteredMATRIX-RN'!T50=0,"",'Residual-RosteredMATRIX-RN'!T50)</f>
        <v/>
      </c>
      <c r="X66" s="25" t="str">
        <f>IF('Residual-RosteredMATRIX-RN'!U50=0,"",'Residual-RosteredMATRIX-RN'!U50)</f>
        <v/>
      </c>
      <c r="Y66" s="25" t="str">
        <f>IF('Residual-RosteredMATRIX-RN'!V50=0,"",'Residual-RosteredMATRIX-RN'!V50)</f>
        <v/>
      </c>
      <c r="Z66" s="25" t="str">
        <f>IF('Residual-RosteredMATRIX-RN'!W50=0,"",'Residual-RosteredMATRIX-RN'!W50)</f>
        <v/>
      </c>
      <c r="AA66" s="25" t="str">
        <f>IF('Residual-RosteredMATRIX-RN'!X50=0,"",'Residual-RosteredMATRIX-RN'!X50)</f>
        <v/>
      </c>
      <c r="AB66" s="25" t="str">
        <f>IF('Residual-RosteredMATRIX-RN'!Y50=0,"",'Residual-RosteredMATRIX-RN'!Y50)</f>
        <v/>
      </c>
      <c r="AC66" s="25" t="str">
        <f>IF('Residual-RosteredMATRIX-RN'!Z50=0,"",'Residual-RosteredMATRIX-RN'!Z50)</f>
        <v/>
      </c>
      <c r="AD66" s="25" t="str">
        <f>IF('Residual-RosteredMATRIX-RN'!AA50=0,"",'Residual-RosteredMATRIX-RN'!AA50)</f>
        <v/>
      </c>
      <c r="AE66" s="25" t="str">
        <f>IF('Residual-RosteredMATRIX-RN'!AB50=0,"",'Residual-RosteredMATRIX-RN'!AB50)</f>
        <v/>
      </c>
      <c r="AF66" s="25" t="str">
        <f>IF('Residual-RosteredMATRIX-RN'!AC50=0,"",'Residual-RosteredMATRIX-RN'!AC50)</f>
        <v/>
      </c>
      <c r="AG66" s="25" t="str">
        <f>IF('Residual-RosteredMATRIX-RN'!AD50=0,"",'Residual-RosteredMATRIX-RN'!AD50)</f>
        <v/>
      </c>
      <c r="AH66" s="25" t="str">
        <f>IF('Residual-RosteredMATRIX-RN'!AE50=0,"",'Residual-RosteredMATRIX-RN'!AE50)</f>
        <v/>
      </c>
      <c r="AI66" s="25" t="str">
        <f>IF('Residual-RosteredMATRIX-RN'!AF50=0,"",'Residual-RosteredMATRIX-RN'!AF50)</f>
        <v/>
      </c>
      <c r="AJ66" s="25" t="str">
        <f>IF('Residual-RosteredMATRIX-RN'!AG50=0,"",'Residual-RosteredMATRIX-RN'!AG50)</f>
        <v/>
      </c>
      <c r="AK66" s="25" t="str">
        <f>IF('Residual-RosteredMATRIX-RN'!AH50=0,"",'Residual-RosteredMATRIX-RN'!AH50)</f>
        <v/>
      </c>
      <c r="AL66" s="25" t="str">
        <f>IF('Residual-RosteredMATRIX-RN'!AI50=0,"",'Residual-RosteredMATRIX-RN'!AI50)</f>
        <v/>
      </c>
      <c r="AM66" s="25" t="str">
        <f>IF('Residual-RosteredMATRIX-RN'!AJ50=0,"",'Residual-RosteredMATRIX-RN'!AJ50)</f>
        <v/>
      </c>
      <c r="AN66" s="25" t="str">
        <f>IF('Residual-RosteredMATRIX-RN'!AK50=0,"",'Residual-RosteredMATRIX-RN'!AK50)</f>
        <v/>
      </c>
      <c r="AO66" s="25" t="str">
        <f>IF('Residual-RosteredMATRIX-RN'!AL50=0,"",'Residual-RosteredMATRIX-RN'!AL50)</f>
        <v/>
      </c>
      <c r="AP66" s="25" t="str">
        <f>IF('Residual-RosteredMATRIX-RN'!AM50=0,"",'Residual-RosteredMATRIX-RN'!AM50)</f>
        <v/>
      </c>
      <c r="AQ66" s="25" t="str">
        <f>IF('Residual-RosteredMATRIX-RN'!AN50=0,"",'Residual-RosteredMATRIX-RN'!AN50)</f>
        <v/>
      </c>
      <c r="AR66" s="25" t="str">
        <f>IF('Residual-RosteredMATRIX-RN'!AO50=0,"",'Residual-RosteredMATRIX-RN'!AO50)</f>
        <v/>
      </c>
      <c r="AS66" s="25" t="str">
        <f>IF('Residual-RosteredMATRIX-RN'!AP50=0,"",'Residual-RosteredMATRIX-RN'!AP50)</f>
        <v/>
      </c>
      <c r="AT66" s="25" t="str">
        <f>IF('Residual-RosteredMATRIX-RN'!AQ50=0,"",'Residual-RosteredMATRIX-RN'!AQ50)</f>
        <v/>
      </c>
      <c r="AU66" s="25" t="str">
        <f>IF('Residual-RosteredMATRIX-RN'!AR50=0,"",'Residual-RosteredMATRIX-RN'!AR50)</f>
        <v/>
      </c>
      <c r="AV66" s="25" t="str">
        <f>IF('Residual-RosteredMATRIX-RN'!AS50=0,"",'Residual-RosteredMATRIX-RN'!AS50)</f>
        <v/>
      </c>
      <c r="AW66" s="25" t="str">
        <f>IF('Residual-RosteredMATRIX-RN'!AT50=0,"",'Residual-RosteredMATRIX-RN'!AT50)</f>
        <v/>
      </c>
    </row>
    <row r="67" spans="1:49" ht="15.75" customHeight="1" x14ac:dyDescent="0.25">
      <c r="A67" s="25" t="e">
        <f>'Residual-Rostered'!#REF!</f>
        <v>#REF!</v>
      </c>
      <c r="B67" s="33">
        <f>'Residual-RosteredMATRIX-RN'!C51</f>
        <v>0</v>
      </c>
      <c r="C67" s="33">
        <f>'Residual-RosteredMATRIX-RN'!B51</f>
        <v>0</v>
      </c>
      <c r="D67" s="34">
        <f>'Residual-RosteredMATRIX-RN'!D51</f>
        <v>0</v>
      </c>
      <c r="E67" s="14">
        <f>Max_HRS-Table3[[#This Row],[ROSTERED TIME]]</f>
        <v>76</v>
      </c>
      <c r="F67" s="14">
        <f t="shared" si="7"/>
        <v>0</v>
      </c>
      <c r="G67" s="14">
        <f>Table3[[#This Row],[ROSTERED TIME]]+Table3[[#This Row],[CHANGE TIME]]</f>
        <v>0</v>
      </c>
      <c r="H67" s="25" t="str">
        <f>IF('Residual-RosteredMATRIX-RN'!E51=0,"",'Residual-RosteredMATRIX-RN'!E51)</f>
        <v/>
      </c>
      <c r="I67" s="25" t="str">
        <f>IF('Residual-RosteredMATRIX-RN'!F51=0,"",'Residual-RosteredMATRIX-RN'!F51)</f>
        <v/>
      </c>
      <c r="J67" s="25" t="str">
        <f>IF('Residual-RosteredMATRIX-RN'!G51=0,"",'Residual-RosteredMATRIX-RN'!G51)</f>
        <v/>
      </c>
      <c r="K67" s="25" t="str">
        <f>IF('Residual-RosteredMATRIX-RN'!H51=0,"",'Residual-RosteredMATRIX-RN'!H51)</f>
        <v/>
      </c>
      <c r="L67" s="25" t="str">
        <f>IF('Residual-RosteredMATRIX-RN'!I51=0,"",'Residual-RosteredMATRIX-RN'!I51)</f>
        <v/>
      </c>
      <c r="M67" s="25" t="str">
        <f>IF('Residual-RosteredMATRIX-RN'!J51=0,"",'Residual-RosteredMATRIX-RN'!J51)</f>
        <v/>
      </c>
      <c r="N67" s="25" t="str">
        <f>IF('Residual-RosteredMATRIX-RN'!K51=0,"",'Residual-RosteredMATRIX-RN'!K51)</f>
        <v/>
      </c>
      <c r="O67" s="25" t="str">
        <f>IF('Residual-RosteredMATRIX-RN'!L51=0,"",'Residual-RosteredMATRIX-RN'!L51)</f>
        <v/>
      </c>
      <c r="P67" s="25" t="str">
        <f>IF('Residual-RosteredMATRIX-RN'!M51=0,"",'Residual-RosteredMATRIX-RN'!M51)</f>
        <v/>
      </c>
      <c r="Q67" s="25" t="str">
        <f>IF('Residual-RosteredMATRIX-RN'!N51=0,"",'Residual-RosteredMATRIX-RN'!N51)</f>
        <v/>
      </c>
      <c r="R67" s="25" t="str">
        <f>IF('Residual-RosteredMATRIX-RN'!O51=0,"",'Residual-RosteredMATRIX-RN'!O51)</f>
        <v/>
      </c>
      <c r="S67" s="25" t="str">
        <f>IF('Residual-RosteredMATRIX-RN'!P51=0,"",'Residual-RosteredMATRIX-RN'!P51)</f>
        <v/>
      </c>
      <c r="T67" s="25" t="str">
        <f>IF('Residual-RosteredMATRIX-RN'!Q51=0,"",'Residual-RosteredMATRIX-RN'!Q51)</f>
        <v/>
      </c>
      <c r="U67" s="25" t="str">
        <f>IF('Residual-RosteredMATRIX-RN'!R51=0,"",'Residual-RosteredMATRIX-RN'!R51)</f>
        <v/>
      </c>
      <c r="V67" s="25" t="str">
        <f>IF('Residual-RosteredMATRIX-RN'!S51=0,"",'Residual-RosteredMATRIX-RN'!S51)</f>
        <v/>
      </c>
      <c r="W67" s="25" t="str">
        <f>IF('Residual-RosteredMATRIX-RN'!T51=0,"",'Residual-RosteredMATRIX-RN'!T51)</f>
        <v/>
      </c>
      <c r="X67" s="25" t="str">
        <f>IF('Residual-RosteredMATRIX-RN'!U51=0,"",'Residual-RosteredMATRIX-RN'!U51)</f>
        <v/>
      </c>
      <c r="Y67" s="25" t="str">
        <f>IF('Residual-RosteredMATRIX-RN'!V51=0,"",'Residual-RosteredMATRIX-RN'!V51)</f>
        <v/>
      </c>
      <c r="Z67" s="25" t="str">
        <f>IF('Residual-RosteredMATRIX-RN'!W51=0,"",'Residual-RosteredMATRIX-RN'!W51)</f>
        <v/>
      </c>
      <c r="AA67" s="25" t="str">
        <f>IF('Residual-RosteredMATRIX-RN'!X51=0,"",'Residual-RosteredMATRIX-RN'!X51)</f>
        <v/>
      </c>
      <c r="AB67" s="25" t="str">
        <f>IF('Residual-RosteredMATRIX-RN'!Y51=0,"",'Residual-RosteredMATRIX-RN'!Y51)</f>
        <v/>
      </c>
      <c r="AC67" s="25" t="str">
        <f>IF('Residual-RosteredMATRIX-RN'!Z51=0,"",'Residual-RosteredMATRIX-RN'!Z51)</f>
        <v/>
      </c>
      <c r="AD67" s="25" t="str">
        <f>IF('Residual-RosteredMATRIX-RN'!AA51=0,"",'Residual-RosteredMATRIX-RN'!AA51)</f>
        <v/>
      </c>
      <c r="AE67" s="25" t="str">
        <f>IF('Residual-RosteredMATRIX-RN'!AB51=0,"",'Residual-RosteredMATRIX-RN'!AB51)</f>
        <v/>
      </c>
      <c r="AF67" s="25" t="str">
        <f>IF('Residual-RosteredMATRIX-RN'!AC51=0,"",'Residual-RosteredMATRIX-RN'!AC51)</f>
        <v/>
      </c>
      <c r="AG67" s="25" t="str">
        <f>IF('Residual-RosteredMATRIX-RN'!AD51=0,"",'Residual-RosteredMATRIX-RN'!AD51)</f>
        <v/>
      </c>
      <c r="AH67" s="25" t="str">
        <f>IF('Residual-RosteredMATRIX-RN'!AE51=0,"",'Residual-RosteredMATRIX-RN'!AE51)</f>
        <v/>
      </c>
      <c r="AI67" s="25" t="str">
        <f>IF('Residual-RosteredMATRIX-RN'!AF51=0,"",'Residual-RosteredMATRIX-RN'!AF51)</f>
        <v/>
      </c>
      <c r="AJ67" s="25" t="str">
        <f>IF('Residual-RosteredMATRIX-RN'!AG51=0,"",'Residual-RosteredMATRIX-RN'!AG51)</f>
        <v/>
      </c>
      <c r="AK67" s="25" t="str">
        <f>IF('Residual-RosteredMATRIX-RN'!AH51=0,"",'Residual-RosteredMATRIX-RN'!AH51)</f>
        <v/>
      </c>
      <c r="AL67" s="25" t="str">
        <f>IF('Residual-RosteredMATRIX-RN'!AI51=0,"",'Residual-RosteredMATRIX-RN'!AI51)</f>
        <v/>
      </c>
      <c r="AM67" s="25" t="str">
        <f>IF('Residual-RosteredMATRIX-RN'!AJ51=0,"",'Residual-RosteredMATRIX-RN'!AJ51)</f>
        <v/>
      </c>
      <c r="AN67" s="25" t="str">
        <f>IF('Residual-RosteredMATRIX-RN'!AK51=0,"",'Residual-RosteredMATRIX-RN'!AK51)</f>
        <v/>
      </c>
      <c r="AO67" s="25" t="str">
        <f>IF('Residual-RosteredMATRIX-RN'!AL51=0,"",'Residual-RosteredMATRIX-RN'!AL51)</f>
        <v/>
      </c>
      <c r="AP67" s="25" t="str">
        <f>IF('Residual-RosteredMATRIX-RN'!AM51=0,"",'Residual-RosteredMATRIX-RN'!AM51)</f>
        <v/>
      </c>
      <c r="AQ67" s="25" t="str">
        <f>IF('Residual-RosteredMATRIX-RN'!AN51=0,"",'Residual-RosteredMATRIX-RN'!AN51)</f>
        <v/>
      </c>
      <c r="AR67" s="25" t="str">
        <f>IF('Residual-RosteredMATRIX-RN'!AO51=0,"",'Residual-RosteredMATRIX-RN'!AO51)</f>
        <v/>
      </c>
      <c r="AS67" s="25" t="str">
        <f>IF('Residual-RosteredMATRIX-RN'!AP51=0,"",'Residual-RosteredMATRIX-RN'!AP51)</f>
        <v/>
      </c>
      <c r="AT67" s="25" t="str">
        <f>IF('Residual-RosteredMATRIX-RN'!AQ51=0,"",'Residual-RosteredMATRIX-RN'!AQ51)</f>
        <v/>
      </c>
      <c r="AU67" s="25" t="str">
        <f>IF('Residual-RosteredMATRIX-RN'!AR51=0,"",'Residual-RosteredMATRIX-RN'!AR51)</f>
        <v/>
      </c>
      <c r="AV67" s="25" t="str">
        <f>IF('Residual-RosteredMATRIX-RN'!AS51=0,"",'Residual-RosteredMATRIX-RN'!AS51)</f>
        <v/>
      </c>
      <c r="AW67" s="25" t="str">
        <f>IF('Residual-RosteredMATRIX-RN'!AT51=0,"",'Residual-RosteredMATRIX-RN'!AT51)</f>
        <v/>
      </c>
    </row>
    <row r="68" spans="1:49" ht="15.75" customHeight="1" x14ac:dyDescent="0.25">
      <c r="A68" s="25" t="e">
        <f>'Residual-Rostered'!#REF!</f>
        <v>#REF!</v>
      </c>
      <c r="B68" s="33">
        <f>'Residual-RosteredMATRIX-RN'!C52</f>
        <v>0</v>
      </c>
      <c r="C68" s="33">
        <f>'Residual-RosteredMATRIX-RN'!B52</f>
        <v>0</v>
      </c>
      <c r="D68" s="34">
        <f>'Residual-RosteredMATRIX-RN'!D52</f>
        <v>0</v>
      </c>
      <c r="E68" s="14">
        <f>Max_HRS-Table3[[#This Row],[ROSTERED TIME]]</f>
        <v>76</v>
      </c>
      <c r="F68" s="14">
        <f t="shared" si="7"/>
        <v>0</v>
      </c>
      <c r="G68" s="14">
        <f>Table3[[#This Row],[ROSTERED TIME]]+Table3[[#This Row],[CHANGE TIME]]</f>
        <v>0</v>
      </c>
      <c r="H68" s="25" t="str">
        <f>IF('Residual-RosteredMATRIX-RN'!E52=0,"",'Residual-RosteredMATRIX-RN'!E52)</f>
        <v/>
      </c>
      <c r="I68" s="25" t="str">
        <f>IF('Residual-RosteredMATRIX-RN'!F52=0,"",'Residual-RosteredMATRIX-RN'!F52)</f>
        <v/>
      </c>
      <c r="J68" s="25" t="str">
        <f>IF('Residual-RosteredMATRIX-RN'!G52=0,"",'Residual-RosteredMATRIX-RN'!G52)</f>
        <v/>
      </c>
      <c r="K68" s="25" t="str">
        <f>IF('Residual-RosteredMATRIX-RN'!H52=0,"",'Residual-RosteredMATRIX-RN'!H52)</f>
        <v/>
      </c>
      <c r="L68" s="25" t="str">
        <f>IF('Residual-RosteredMATRIX-RN'!I52=0,"",'Residual-RosteredMATRIX-RN'!I52)</f>
        <v/>
      </c>
      <c r="M68" s="25" t="str">
        <f>IF('Residual-RosteredMATRIX-RN'!J52=0,"",'Residual-RosteredMATRIX-RN'!J52)</f>
        <v/>
      </c>
      <c r="N68" s="25" t="str">
        <f>IF('Residual-RosteredMATRIX-RN'!K52=0,"",'Residual-RosteredMATRIX-RN'!K52)</f>
        <v/>
      </c>
      <c r="O68" s="25" t="str">
        <f>IF('Residual-RosteredMATRIX-RN'!L52=0,"",'Residual-RosteredMATRIX-RN'!L52)</f>
        <v/>
      </c>
      <c r="P68" s="25" t="str">
        <f>IF('Residual-RosteredMATRIX-RN'!M52=0,"",'Residual-RosteredMATRIX-RN'!M52)</f>
        <v/>
      </c>
      <c r="Q68" s="25" t="str">
        <f>IF('Residual-RosteredMATRIX-RN'!N52=0,"",'Residual-RosteredMATRIX-RN'!N52)</f>
        <v/>
      </c>
      <c r="R68" s="25" t="str">
        <f>IF('Residual-RosteredMATRIX-RN'!O52=0,"",'Residual-RosteredMATRIX-RN'!O52)</f>
        <v/>
      </c>
      <c r="S68" s="25" t="str">
        <f>IF('Residual-RosteredMATRIX-RN'!P52=0,"",'Residual-RosteredMATRIX-RN'!P52)</f>
        <v/>
      </c>
      <c r="T68" s="25" t="str">
        <f>IF('Residual-RosteredMATRIX-RN'!Q52=0,"",'Residual-RosteredMATRIX-RN'!Q52)</f>
        <v/>
      </c>
      <c r="U68" s="25" t="str">
        <f>IF('Residual-RosteredMATRIX-RN'!R52=0,"",'Residual-RosteredMATRIX-RN'!R52)</f>
        <v/>
      </c>
      <c r="V68" s="25" t="str">
        <f>IF('Residual-RosteredMATRIX-RN'!S52=0,"",'Residual-RosteredMATRIX-RN'!S52)</f>
        <v/>
      </c>
      <c r="W68" s="25" t="str">
        <f>IF('Residual-RosteredMATRIX-RN'!T52=0,"",'Residual-RosteredMATRIX-RN'!T52)</f>
        <v/>
      </c>
      <c r="X68" s="25" t="str">
        <f>IF('Residual-RosteredMATRIX-RN'!U52=0,"",'Residual-RosteredMATRIX-RN'!U52)</f>
        <v/>
      </c>
      <c r="Y68" s="25" t="str">
        <f>IF('Residual-RosteredMATRIX-RN'!V52=0,"",'Residual-RosteredMATRIX-RN'!V52)</f>
        <v/>
      </c>
      <c r="Z68" s="25" t="str">
        <f>IF('Residual-RosteredMATRIX-RN'!W52=0,"",'Residual-RosteredMATRIX-RN'!W52)</f>
        <v/>
      </c>
      <c r="AA68" s="25" t="str">
        <f>IF('Residual-RosteredMATRIX-RN'!X52=0,"",'Residual-RosteredMATRIX-RN'!X52)</f>
        <v/>
      </c>
      <c r="AB68" s="25" t="str">
        <f>IF('Residual-RosteredMATRIX-RN'!Y52=0,"",'Residual-RosteredMATRIX-RN'!Y52)</f>
        <v/>
      </c>
      <c r="AC68" s="25" t="str">
        <f>IF('Residual-RosteredMATRIX-RN'!Z52=0,"",'Residual-RosteredMATRIX-RN'!Z52)</f>
        <v/>
      </c>
      <c r="AD68" s="25" t="str">
        <f>IF('Residual-RosteredMATRIX-RN'!AA52=0,"",'Residual-RosteredMATRIX-RN'!AA52)</f>
        <v/>
      </c>
      <c r="AE68" s="25" t="str">
        <f>IF('Residual-RosteredMATRIX-RN'!AB52=0,"",'Residual-RosteredMATRIX-RN'!AB52)</f>
        <v/>
      </c>
      <c r="AF68" s="25" t="str">
        <f>IF('Residual-RosteredMATRIX-RN'!AC52=0,"",'Residual-RosteredMATRIX-RN'!AC52)</f>
        <v/>
      </c>
      <c r="AG68" s="25" t="str">
        <f>IF('Residual-RosteredMATRIX-RN'!AD52=0,"",'Residual-RosteredMATRIX-RN'!AD52)</f>
        <v/>
      </c>
      <c r="AH68" s="25" t="str">
        <f>IF('Residual-RosteredMATRIX-RN'!AE52=0,"",'Residual-RosteredMATRIX-RN'!AE52)</f>
        <v/>
      </c>
      <c r="AI68" s="25" t="str">
        <f>IF('Residual-RosteredMATRIX-RN'!AF52=0,"",'Residual-RosteredMATRIX-RN'!AF52)</f>
        <v/>
      </c>
      <c r="AJ68" s="25" t="str">
        <f>IF('Residual-RosteredMATRIX-RN'!AG52=0,"",'Residual-RosteredMATRIX-RN'!AG52)</f>
        <v/>
      </c>
      <c r="AK68" s="25" t="str">
        <f>IF('Residual-RosteredMATRIX-RN'!AH52=0,"",'Residual-RosteredMATRIX-RN'!AH52)</f>
        <v/>
      </c>
      <c r="AL68" s="25" t="str">
        <f>IF('Residual-RosteredMATRIX-RN'!AI52=0,"",'Residual-RosteredMATRIX-RN'!AI52)</f>
        <v/>
      </c>
      <c r="AM68" s="25" t="str">
        <f>IF('Residual-RosteredMATRIX-RN'!AJ52=0,"",'Residual-RosteredMATRIX-RN'!AJ52)</f>
        <v/>
      </c>
      <c r="AN68" s="25" t="str">
        <f>IF('Residual-RosteredMATRIX-RN'!AK52=0,"",'Residual-RosteredMATRIX-RN'!AK52)</f>
        <v/>
      </c>
      <c r="AO68" s="25" t="str">
        <f>IF('Residual-RosteredMATRIX-RN'!AL52=0,"",'Residual-RosteredMATRIX-RN'!AL52)</f>
        <v/>
      </c>
      <c r="AP68" s="25" t="str">
        <f>IF('Residual-RosteredMATRIX-RN'!AM52=0,"",'Residual-RosteredMATRIX-RN'!AM52)</f>
        <v/>
      </c>
      <c r="AQ68" s="25" t="str">
        <f>IF('Residual-RosteredMATRIX-RN'!AN52=0,"",'Residual-RosteredMATRIX-RN'!AN52)</f>
        <v/>
      </c>
      <c r="AR68" s="25" t="str">
        <f>IF('Residual-RosteredMATRIX-RN'!AO52=0,"",'Residual-RosteredMATRIX-RN'!AO52)</f>
        <v/>
      </c>
      <c r="AS68" s="25" t="str">
        <f>IF('Residual-RosteredMATRIX-RN'!AP52=0,"",'Residual-RosteredMATRIX-RN'!AP52)</f>
        <v/>
      </c>
      <c r="AT68" s="25" t="str">
        <f>IF('Residual-RosteredMATRIX-RN'!AQ52=0,"",'Residual-RosteredMATRIX-RN'!AQ52)</f>
        <v/>
      </c>
      <c r="AU68" s="25" t="str">
        <f>IF('Residual-RosteredMATRIX-RN'!AR52=0,"",'Residual-RosteredMATRIX-RN'!AR52)</f>
        <v/>
      </c>
      <c r="AV68" s="25" t="str">
        <f>IF('Residual-RosteredMATRIX-RN'!AS52=0,"",'Residual-RosteredMATRIX-RN'!AS52)</f>
        <v/>
      </c>
      <c r="AW68" s="25" t="str">
        <f>IF('Residual-RosteredMATRIX-RN'!AT52=0,"",'Residual-RosteredMATRIX-RN'!AT52)</f>
        <v/>
      </c>
    </row>
    <row r="69" spans="1:49" ht="15.75" customHeight="1" x14ac:dyDescent="0.25">
      <c r="A69" s="25" t="e">
        <f>'Residual-Rostered'!#REF!</f>
        <v>#REF!</v>
      </c>
      <c r="B69" s="33">
        <f>'Residual-RosteredMATRIX-RN'!C53</f>
        <v>0</v>
      </c>
      <c r="C69" s="33">
        <f>'Residual-RosteredMATRIX-RN'!B53</f>
        <v>0</v>
      </c>
      <c r="D69" s="34">
        <f>'Residual-RosteredMATRIX-RN'!D53</f>
        <v>0</v>
      </c>
      <c r="E69" s="14">
        <f>Max_HRS-Table3[[#This Row],[ROSTERED TIME]]</f>
        <v>76</v>
      </c>
      <c r="F69" s="14">
        <f t="shared" si="7"/>
        <v>0</v>
      </c>
      <c r="G69" s="14">
        <f>Table3[[#This Row],[ROSTERED TIME]]+Table3[[#This Row],[CHANGE TIME]]</f>
        <v>0</v>
      </c>
      <c r="H69" s="25" t="str">
        <f>IF('Residual-RosteredMATRIX-RN'!E53=0,"",'Residual-RosteredMATRIX-RN'!E53)</f>
        <v/>
      </c>
      <c r="I69" s="25" t="str">
        <f>IF('Residual-RosteredMATRIX-RN'!F53=0,"",'Residual-RosteredMATRIX-RN'!F53)</f>
        <v/>
      </c>
      <c r="J69" s="25" t="str">
        <f>IF('Residual-RosteredMATRIX-RN'!G53=0,"",'Residual-RosteredMATRIX-RN'!G53)</f>
        <v/>
      </c>
      <c r="K69" s="25" t="str">
        <f>IF('Residual-RosteredMATRIX-RN'!H53=0,"",'Residual-RosteredMATRIX-RN'!H53)</f>
        <v/>
      </c>
      <c r="L69" s="25" t="str">
        <f>IF('Residual-RosteredMATRIX-RN'!I53=0,"",'Residual-RosteredMATRIX-RN'!I53)</f>
        <v/>
      </c>
      <c r="M69" s="25" t="str">
        <f>IF('Residual-RosteredMATRIX-RN'!J53=0,"",'Residual-RosteredMATRIX-RN'!J53)</f>
        <v/>
      </c>
      <c r="N69" s="25" t="str">
        <f>IF('Residual-RosteredMATRIX-RN'!K53=0,"",'Residual-RosteredMATRIX-RN'!K53)</f>
        <v/>
      </c>
      <c r="O69" s="25" t="str">
        <f>IF('Residual-RosteredMATRIX-RN'!L53=0,"",'Residual-RosteredMATRIX-RN'!L53)</f>
        <v/>
      </c>
      <c r="P69" s="25" t="str">
        <f>IF('Residual-RosteredMATRIX-RN'!M53=0,"",'Residual-RosteredMATRIX-RN'!M53)</f>
        <v/>
      </c>
      <c r="Q69" s="25" t="str">
        <f>IF('Residual-RosteredMATRIX-RN'!N53=0,"",'Residual-RosteredMATRIX-RN'!N53)</f>
        <v/>
      </c>
      <c r="R69" s="25" t="str">
        <f>IF('Residual-RosteredMATRIX-RN'!O53=0,"",'Residual-RosteredMATRIX-RN'!O53)</f>
        <v/>
      </c>
      <c r="S69" s="25" t="str">
        <f>IF('Residual-RosteredMATRIX-RN'!P53=0,"",'Residual-RosteredMATRIX-RN'!P53)</f>
        <v/>
      </c>
      <c r="T69" s="25" t="str">
        <f>IF('Residual-RosteredMATRIX-RN'!Q53=0,"",'Residual-RosteredMATRIX-RN'!Q53)</f>
        <v/>
      </c>
      <c r="U69" s="25" t="str">
        <f>IF('Residual-RosteredMATRIX-RN'!R53=0,"",'Residual-RosteredMATRIX-RN'!R53)</f>
        <v/>
      </c>
      <c r="V69" s="25" t="str">
        <f>IF('Residual-RosteredMATRIX-RN'!S53=0,"",'Residual-RosteredMATRIX-RN'!S53)</f>
        <v/>
      </c>
      <c r="W69" s="25" t="str">
        <f>IF('Residual-RosteredMATRIX-RN'!T53=0,"",'Residual-RosteredMATRIX-RN'!T53)</f>
        <v/>
      </c>
      <c r="X69" s="25" t="str">
        <f>IF('Residual-RosteredMATRIX-RN'!U53=0,"",'Residual-RosteredMATRIX-RN'!U53)</f>
        <v/>
      </c>
      <c r="Y69" s="25" t="str">
        <f>IF('Residual-RosteredMATRIX-RN'!V53=0,"",'Residual-RosteredMATRIX-RN'!V53)</f>
        <v/>
      </c>
      <c r="Z69" s="25" t="str">
        <f>IF('Residual-RosteredMATRIX-RN'!W53=0,"",'Residual-RosteredMATRIX-RN'!W53)</f>
        <v/>
      </c>
      <c r="AA69" s="25" t="str">
        <f>IF('Residual-RosteredMATRIX-RN'!X53=0,"",'Residual-RosteredMATRIX-RN'!X53)</f>
        <v/>
      </c>
      <c r="AB69" s="25" t="str">
        <f>IF('Residual-RosteredMATRIX-RN'!Y53=0,"",'Residual-RosteredMATRIX-RN'!Y53)</f>
        <v/>
      </c>
      <c r="AC69" s="25" t="str">
        <f>IF('Residual-RosteredMATRIX-RN'!Z53=0,"",'Residual-RosteredMATRIX-RN'!Z53)</f>
        <v/>
      </c>
      <c r="AD69" s="25" t="str">
        <f>IF('Residual-RosteredMATRIX-RN'!AA53=0,"",'Residual-RosteredMATRIX-RN'!AA53)</f>
        <v/>
      </c>
      <c r="AE69" s="25" t="str">
        <f>IF('Residual-RosteredMATRIX-RN'!AB53=0,"",'Residual-RosteredMATRIX-RN'!AB53)</f>
        <v/>
      </c>
      <c r="AF69" s="25" t="str">
        <f>IF('Residual-RosteredMATRIX-RN'!AC53=0,"",'Residual-RosteredMATRIX-RN'!AC53)</f>
        <v/>
      </c>
      <c r="AG69" s="25" t="str">
        <f>IF('Residual-RosteredMATRIX-RN'!AD53=0,"",'Residual-RosteredMATRIX-RN'!AD53)</f>
        <v/>
      </c>
      <c r="AH69" s="25" t="str">
        <f>IF('Residual-RosteredMATRIX-RN'!AE53=0,"",'Residual-RosteredMATRIX-RN'!AE53)</f>
        <v/>
      </c>
      <c r="AI69" s="25" t="str">
        <f>IF('Residual-RosteredMATRIX-RN'!AF53=0,"",'Residual-RosteredMATRIX-RN'!AF53)</f>
        <v/>
      </c>
      <c r="AJ69" s="25" t="str">
        <f>IF('Residual-RosteredMATRIX-RN'!AG53=0,"",'Residual-RosteredMATRIX-RN'!AG53)</f>
        <v/>
      </c>
      <c r="AK69" s="25" t="str">
        <f>IF('Residual-RosteredMATRIX-RN'!AH53=0,"",'Residual-RosteredMATRIX-RN'!AH53)</f>
        <v/>
      </c>
      <c r="AL69" s="25" t="str">
        <f>IF('Residual-RosteredMATRIX-RN'!AI53=0,"",'Residual-RosteredMATRIX-RN'!AI53)</f>
        <v/>
      </c>
      <c r="AM69" s="25" t="str">
        <f>IF('Residual-RosteredMATRIX-RN'!AJ53=0,"",'Residual-RosteredMATRIX-RN'!AJ53)</f>
        <v/>
      </c>
      <c r="AN69" s="25" t="str">
        <f>IF('Residual-RosteredMATRIX-RN'!AK53=0,"",'Residual-RosteredMATRIX-RN'!AK53)</f>
        <v/>
      </c>
      <c r="AO69" s="25" t="str">
        <f>IF('Residual-RosteredMATRIX-RN'!AL53=0,"",'Residual-RosteredMATRIX-RN'!AL53)</f>
        <v/>
      </c>
      <c r="AP69" s="25" t="str">
        <f>IF('Residual-RosteredMATRIX-RN'!AM53=0,"",'Residual-RosteredMATRIX-RN'!AM53)</f>
        <v/>
      </c>
      <c r="AQ69" s="25" t="str">
        <f>IF('Residual-RosteredMATRIX-RN'!AN53=0,"",'Residual-RosteredMATRIX-RN'!AN53)</f>
        <v/>
      </c>
      <c r="AR69" s="25" t="str">
        <f>IF('Residual-RosteredMATRIX-RN'!AO53=0,"",'Residual-RosteredMATRIX-RN'!AO53)</f>
        <v/>
      </c>
      <c r="AS69" s="25" t="str">
        <f>IF('Residual-RosteredMATRIX-RN'!AP53=0,"",'Residual-RosteredMATRIX-RN'!AP53)</f>
        <v/>
      </c>
      <c r="AT69" s="25" t="str">
        <f>IF('Residual-RosteredMATRIX-RN'!AQ53=0,"",'Residual-RosteredMATRIX-RN'!AQ53)</f>
        <v/>
      </c>
      <c r="AU69" s="25" t="str">
        <f>IF('Residual-RosteredMATRIX-RN'!AR53=0,"",'Residual-RosteredMATRIX-RN'!AR53)</f>
        <v/>
      </c>
      <c r="AV69" s="25" t="str">
        <f>IF('Residual-RosteredMATRIX-RN'!AS53=0,"",'Residual-RosteredMATRIX-RN'!AS53)</f>
        <v/>
      </c>
      <c r="AW69" s="25" t="str">
        <f>IF('Residual-RosteredMATRIX-RN'!AT53=0,"",'Residual-RosteredMATRIX-RN'!AT53)</f>
        <v/>
      </c>
    </row>
    <row r="70" spans="1:49" ht="15.75" customHeight="1" x14ac:dyDescent="0.25">
      <c r="A70" s="25" t="e">
        <f>'Residual-Rostered'!#REF!</f>
        <v>#REF!</v>
      </c>
      <c r="B70" s="33">
        <f>'Residual-RosteredMATRIX-RN'!C54</f>
        <v>0</v>
      </c>
      <c r="C70" s="33">
        <f>'Residual-RosteredMATRIX-RN'!B54</f>
        <v>0</v>
      </c>
      <c r="D70" s="34">
        <f>'Residual-RosteredMATRIX-RN'!D54</f>
        <v>0</v>
      </c>
      <c r="E70" s="14">
        <f>Max_HRS-Table3[[#This Row],[ROSTERED TIME]]</f>
        <v>76</v>
      </c>
      <c r="F70" s="14">
        <f t="shared" si="7"/>
        <v>0</v>
      </c>
      <c r="G70" s="14">
        <f>Table3[[#This Row],[ROSTERED TIME]]+Table3[[#This Row],[CHANGE TIME]]</f>
        <v>0</v>
      </c>
      <c r="H70" s="25" t="str">
        <f>IF('Residual-RosteredMATRIX-RN'!E54=0,"",'Residual-RosteredMATRIX-RN'!E54)</f>
        <v/>
      </c>
      <c r="I70" s="25" t="str">
        <f>IF('Residual-RosteredMATRIX-RN'!F54=0,"",'Residual-RosteredMATRIX-RN'!F54)</f>
        <v/>
      </c>
      <c r="J70" s="25" t="str">
        <f>IF('Residual-RosteredMATRIX-RN'!G54=0,"",'Residual-RosteredMATRIX-RN'!G54)</f>
        <v/>
      </c>
      <c r="K70" s="25" t="str">
        <f>IF('Residual-RosteredMATRIX-RN'!H54=0,"",'Residual-RosteredMATRIX-RN'!H54)</f>
        <v/>
      </c>
      <c r="L70" s="25" t="str">
        <f>IF('Residual-RosteredMATRIX-RN'!I54=0,"",'Residual-RosteredMATRIX-RN'!I54)</f>
        <v/>
      </c>
      <c r="M70" s="25" t="str">
        <f>IF('Residual-RosteredMATRIX-RN'!J54=0,"",'Residual-RosteredMATRIX-RN'!J54)</f>
        <v/>
      </c>
      <c r="N70" s="25" t="str">
        <f>IF('Residual-RosteredMATRIX-RN'!K54=0,"",'Residual-RosteredMATRIX-RN'!K54)</f>
        <v/>
      </c>
      <c r="O70" s="25" t="str">
        <f>IF('Residual-RosteredMATRIX-RN'!L54=0,"",'Residual-RosteredMATRIX-RN'!L54)</f>
        <v/>
      </c>
      <c r="P70" s="25" t="str">
        <f>IF('Residual-RosteredMATRIX-RN'!M54=0,"",'Residual-RosteredMATRIX-RN'!M54)</f>
        <v/>
      </c>
      <c r="Q70" s="25" t="str">
        <f>IF('Residual-RosteredMATRIX-RN'!N54=0,"",'Residual-RosteredMATRIX-RN'!N54)</f>
        <v/>
      </c>
      <c r="R70" s="25" t="str">
        <f>IF('Residual-RosteredMATRIX-RN'!O54=0,"",'Residual-RosteredMATRIX-RN'!O54)</f>
        <v/>
      </c>
      <c r="S70" s="25" t="str">
        <f>IF('Residual-RosteredMATRIX-RN'!P54=0,"",'Residual-RosteredMATRIX-RN'!P54)</f>
        <v/>
      </c>
      <c r="T70" s="25" t="str">
        <f>IF('Residual-RosteredMATRIX-RN'!Q54=0,"",'Residual-RosteredMATRIX-RN'!Q54)</f>
        <v/>
      </c>
      <c r="U70" s="25" t="str">
        <f>IF('Residual-RosteredMATRIX-RN'!R54=0,"",'Residual-RosteredMATRIX-RN'!R54)</f>
        <v/>
      </c>
      <c r="V70" s="25" t="str">
        <f>IF('Residual-RosteredMATRIX-RN'!S54=0,"",'Residual-RosteredMATRIX-RN'!S54)</f>
        <v/>
      </c>
      <c r="W70" s="25" t="str">
        <f>IF('Residual-RosteredMATRIX-RN'!T54=0,"",'Residual-RosteredMATRIX-RN'!T54)</f>
        <v/>
      </c>
      <c r="X70" s="25" t="str">
        <f>IF('Residual-RosteredMATRIX-RN'!U54=0,"",'Residual-RosteredMATRIX-RN'!U54)</f>
        <v/>
      </c>
      <c r="Y70" s="25" t="str">
        <f>IF('Residual-RosteredMATRIX-RN'!V54=0,"",'Residual-RosteredMATRIX-RN'!V54)</f>
        <v/>
      </c>
      <c r="Z70" s="25" t="str">
        <f>IF('Residual-RosteredMATRIX-RN'!W54=0,"",'Residual-RosteredMATRIX-RN'!W54)</f>
        <v/>
      </c>
      <c r="AA70" s="25" t="str">
        <f>IF('Residual-RosteredMATRIX-RN'!X54=0,"",'Residual-RosteredMATRIX-RN'!X54)</f>
        <v/>
      </c>
      <c r="AB70" s="25" t="str">
        <f>IF('Residual-RosteredMATRIX-RN'!Y54=0,"",'Residual-RosteredMATRIX-RN'!Y54)</f>
        <v/>
      </c>
      <c r="AC70" s="25" t="str">
        <f>IF('Residual-RosteredMATRIX-RN'!Z54=0,"",'Residual-RosteredMATRIX-RN'!Z54)</f>
        <v/>
      </c>
      <c r="AD70" s="25" t="str">
        <f>IF('Residual-RosteredMATRIX-RN'!AA54=0,"",'Residual-RosteredMATRIX-RN'!AA54)</f>
        <v/>
      </c>
      <c r="AE70" s="25" t="str">
        <f>IF('Residual-RosteredMATRIX-RN'!AB54=0,"",'Residual-RosteredMATRIX-RN'!AB54)</f>
        <v/>
      </c>
      <c r="AF70" s="25" t="str">
        <f>IF('Residual-RosteredMATRIX-RN'!AC54=0,"",'Residual-RosteredMATRIX-RN'!AC54)</f>
        <v/>
      </c>
      <c r="AG70" s="25" t="str">
        <f>IF('Residual-RosteredMATRIX-RN'!AD54=0,"",'Residual-RosteredMATRIX-RN'!AD54)</f>
        <v/>
      </c>
      <c r="AH70" s="25" t="str">
        <f>IF('Residual-RosteredMATRIX-RN'!AE54=0,"",'Residual-RosteredMATRIX-RN'!AE54)</f>
        <v/>
      </c>
      <c r="AI70" s="25" t="str">
        <f>IF('Residual-RosteredMATRIX-RN'!AF54=0,"",'Residual-RosteredMATRIX-RN'!AF54)</f>
        <v/>
      </c>
      <c r="AJ70" s="25" t="str">
        <f>IF('Residual-RosteredMATRIX-RN'!AG54=0,"",'Residual-RosteredMATRIX-RN'!AG54)</f>
        <v/>
      </c>
      <c r="AK70" s="25" t="str">
        <f>IF('Residual-RosteredMATRIX-RN'!AH54=0,"",'Residual-RosteredMATRIX-RN'!AH54)</f>
        <v/>
      </c>
      <c r="AL70" s="25" t="str">
        <f>IF('Residual-RosteredMATRIX-RN'!AI54=0,"",'Residual-RosteredMATRIX-RN'!AI54)</f>
        <v/>
      </c>
      <c r="AM70" s="25" t="str">
        <f>IF('Residual-RosteredMATRIX-RN'!AJ54=0,"",'Residual-RosteredMATRIX-RN'!AJ54)</f>
        <v/>
      </c>
      <c r="AN70" s="25" t="str">
        <f>IF('Residual-RosteredMATRIX-RN'!AK54=0,"",'Residual-RosteredMATRIX-RN'!AK54)</f>
        <v/>
      </c>
      <c r="AO70" s="25" t="str">
        <f>IF('Residual-RosteredMATRIX-RN'!AL54=0,"",'Residual-RosteredMATRIX-RN'!AL54)</f>
        <v/>
      </c>
      <c r="AP70" s="25" t="str">
        <f>IF('Residual-RosteredMATRIX-RN'!AM54=0,"",'Residual-RosteredMATRIX-RN'!AM54)</f>
        <v/>
      </c>
      <c r="AQ70" s="25" t="str">
        <f>IF('Residual-RosteredMATRIX-RN'!AN54=0,"",'Residual-RosteredMATRIX-RN'!AN54)</f>
        <v/>
      </c>
      <c r="AR70" s="25" t="str">
        <f>IF('Residual-RosteredMATRIX-RN'!AO54=0,"",'Residual-RosteredMATRIX-RN'!AO54)</f>
        <v/>
      </c>
      <c r="AS70" s="25" t="str">
        <f>IF('Residual-RosteredMATRIX-RN'!AP54=0,"",'Residual-RosteredMATRIX-RN'!AP54)</f>
        <v/>
      </c>
      <c r="AT70" s="25" t="str">
        <f>IF('Residual-RosteredMATRIX-RN'!AQ54=0,"",'Residual-RosteredMATRIX-RN'!AQ54)</f>
        <v/>
      </c>
      <c r="AU70" s="25" t="str">
        <f>IF('Residual-RosteredMATRIX-RN'!AR54=0,"",'Residual-RosteredMATRIX-RN'!AR54)</f>
        <v/>
      </c>
      <c r="AV70" s="25" t="str">
        <f>IF('Residual-RosteredMATRIX-RN'!AS54=0,"",'Residual-RosteredMATRIX-RN'!AS54)</f>
        <v/>
      </c>
      <c r="AW70" s="25" t="str">
        <f>IF('Residual-RosteredMATRIX-RN'!AT54=0,"",'Residual-RosteredMATRIX-RN'!AT54)</f>
        <v/>
      </c>
    </row>
    <row r="71" spans="1:49" ht="15.75" customHeight="1" x14ac:dyDescent="0.25">
      <c r="A71" s="25" t="e">
        <f>'Residual-Rostered'!#REF!</f>
        <v>#REF!</v>
      </c>
      <c r="B71" s="33">
        <f>'Residual-RosteredMATRIX-RN'!C55</f>
        <v>0</v>
      </c>
      <c r="C71" s="33">
        <f>'Residual-RosteredMATRIX-RN'!B55</f>
        <v>0</v>
      </c>
      <c r="D71" s="34">
        <f>'Residual-RosteredMATRIX-RN'!D55</f>
        <v>0</v>
      </c>
      <c r="E71" s="14">
        <f>Max_HRS-Table3[[#This Row],[ROSTERED TIME]]</f>
        <v>76</v>
      </c>
      <c r="F71" s="14">
        <f t="shared" si="7"/>
        <v>0</v>
      </c>
      <c r="G71" s="14">
        <f>Table3[[#This Row],[ROSTERED TIME]]+Table3[[#This Row],[CHANGE TIME]]</f>
        <v>0</v>
      </c>
      <c r="H71" s="25" t="str">
        <f>IF('Residual-RosteredMATRIX-RN'!E55=0,"",'Residual-RosteredMATRIX-RN'!E55)</f>
        <v/>
      </c>
      <c r="I71" s="25" t="str">
        <f>IF('Residual-RosteredMATRIX-RN'!F55=0,"",'Residual-RosteredMATRIX-RN'!F55)</f>
        <v/>
      </c>
      <c r="J71" s="25" t="str">
        <f>IF('Residual-RosteredMATRIX-RN'!G55=0,"",'Residual-RosteredMATRIX-RN'!G55)</f>
        <v/>
      </c>
      <c r="K71" s="25" t="str">
        <f>IF('Residual-RosteredMATRIX-RN'!H55=0,"",'Residual-RosteredMATRIX-RN'!H55)</f>
        <v/>
      </c>
      <c r="L71" s="25" t="str">
        <f>IF('Residual-RosteredMATRIX-RN'!I55=0,"",'Residual-RosteredMATRIX-RN'!I55)</f>
        <v/>
      </c>
      <c r="M71" s="25" t="str">
        <f>IF('Residual-RosteredMATRIX-RN'!J55=0,"",'Residual-RosteredMATRIX-RN'!J55)</f>
        <v/>
      </c>
      <c r="N71" s="25" t="str">
        <f>IF('Residual-RosteredMATRIX-RN'!K55=0,"",'Residual-RosteredMATRIX-RN'!K55)</f>
        <v/>
      </c>
      <c r="O71" s="25" t="str">
        <f>IF('Residual-RosteredMATRIX-RN'!L55=0,"",'Residual-RosteredMATRIX-RN'!L55)</f>
        <v/>
      </c>
      <c r="P71" s="25" t="str">
        <f>IF('Residual-RosteredMATRIX-RN'!M55=0,"",'Residual-RosteredMATRIX-RN'!M55)</f>
        <v/>
      </c>
      <c r="Q71" s="25" t="str">
        <f>IF('Residual-RosteredMATRIX-RN'!N55=0,"",'Residual-RosteredMATRIX-RN'!N55)</f>
        <v/>
      </c>
      <c r="R71" s="25" t="str">
        <f>IF('Residual-RosteredMATRIX-RN'!O55=0,"",'Residual-RosteredMATRIX-RN'!O55)</f>
        <v/>
      </c>
      <c r="S71" s="25" t="str">
        <f>IF('Residual-RosteredMATRIX-RN'!P55=0,"",'Residual-RosteredMATRIX-RN'!P55)</f>
        <v/>
      </c>
      <c r="T71" s="25" t="str">
        <f>IF('Residual-RosteredMATRIX-RN'!Q55=0,"",'Residual-RosteredMATRIX-RN'!Q55)</f>
        <v/>
      </c>
      <c r="U71" s="25" t="str">
        <f>IF('Residual-RosteredMATRIX-RN'!R55=0,"",'Residual-RosteredMATRIX-RN'!R55)</f>
        <v/>
      </c>
      <c r="V71" s="25" t="str">
        <f>IF('Residual-RosteredMATRIX-RN'!S55=0,"",'Residual-RosteredMATRIX-RN'!S55)</f>
        <v/>
      </c>
      <c r="W71" s="25" t="str">
        <f>IF('Residual-RosteredMATRIX-RN'!T55=0,"",'Residual-RosteredMATRIX-RN'!T55)</f>
        <v/>
      </c>
      <c r="X71" s="25" t="str">
        <f>IF('Residual-RosteredMATRIX-RN'!U55=0,"",'Residual-RosteredMATRIX-RN'!U55)</f>
        <v/>
      </c>
      <c r="Y71" s="25" t="str">
        <f>IF('Residual-RosteredMATRIX-RN'!V55=0,"",'Residual-RosteredMATRIX-RN'!V55)</f>
        <v/>
      </c>
      <c r="Z71" s="25" t="str">
        <f>IF('Residual-RosteredMATRIX-RN'!W55=0,"",'Residual-RosteredMATRIX-RN'!W55)</f>
        <v/>
      </c>
      <c r="AA71" s="25" t="str">
        <f>IF('Residual-RosteredMATRIX-RN'!X55=0,"",'Residual-RosteredMATRIX-RN'!X55)</f>
        <v/>
      </c>
      <c r="AB71" s="25" t="str">
        <f>IF('Residual-RosteredMATRIX-RN'!Y55=0,"",'Residual-RosteredMATRIX-RN'!Y55)</f>
        <v/>
      </c>
      <c r="AC71" s="25" t="str">
        <f>IF('Residual-RosteredMATRIX-RN'!Z55=0,"",'Residual-RosteredMATRIX-RN'!Z55)</f>
        <v/>
      </c>
      <c r="AD71" s="25" t="str">
        <f>IF('Residual-RosteredMATRIX-RN'!AA55=0,"",'Residual-RosteredMATRIX-RN'!AA55)</f>
        <v/>
      </c>
      <c r="AE71" s="25" t="str">
        <f>IF('Residual-RosteredMATRIX-RN'!AB55=0,"",'Residual-RosteredMATRIX-RN'!AB55)</f>
        <v/>
      </c>
      <c r="AF71" s="25" t="str">
        <f>IF('Residual-RosteredMATRIX-RN'!AC55=0,"",'Residual-RosteredMATRIX-RN'!AC55)</f>
        <v/>
      </c>
      <c r="AG71" s="25" t="str">
        <f>IF('Residual-RosteredMATRIX-RN'!AD55=0,"",'Residual-RosteredMATRIX-RN'!AD55)</f>
        <v/>
      </c>
      <c r="AH71" s="25" t="str">
        <f>IF('Residual-RosteredMATRIX-RN'!AE55=0,"",'Residual-RosteredMATRIX-RN'!AE55)</f>
        <v/>
      </c>
      <c r="AI71" s="25" t="str">
        <f>IF('Residual-RosteredMATRIX-RN'!AF55=0,"",'Residual-RosteredMATRIX-RN'!AF55)</f>
        <v/>
      </c>
      <c r="AJ71" s="25" t="str">
        <f>IF('Residual-RosteredMATRIX-RN'!AG55=0,"",'Residual-RosteredMATRIX-RN'!AG55)</f>
        <v/>
      </c>
      <c r="AK71" s="25" t="str">
        <f>IF('Residual-RosteredMATRIX-RN'!AH55=0,"",'Residual-RosteredMATRIX-RN'!AH55)</f>
        <v/>
      </c>
      <c r="AL71" s="25" t="str">
        <f>IF('Residual-RosteredMATRIX-RN'!AI55=0,"",'Residual-RosteredMATRIX-RN'!AI55)</f>
        <v/>
      </c>
      <c r="AM71" s="25" t="str">
        <f>IF('Residual-RosteredMATRIX-RN'!AJ55=0,"",'Residual-RosteredMATRIX-RN'!AJ55)</f>
        <v/>
      </c>
      <c r="AN71" s="25" t="str">
        <f>IF('Residual-RosteredMATRIX-RN'!AK55=0,"",'Residual-RosteredMATRIX-RN'!AK55)</f>
        <v/>
      </c>
      <c r="AO71" s="25" t="str">
        <f>IF('Residual-RosteredMATRIX-RN'!AL55=0,"",'Residual-RosteredMATRIX-RN'!AL55)</f>
        <v/>
      </c>
      <c r="AP71" s="25" t="str">
        <f>IF('Residual-RosteredMATRIX-RN'!AM55=0,"",'Residual-RosteredMATRIX-RN'!AM55)</f>
        <v/>
      </c>
      <c r="AQ71" s="25" t="str">
        <f>IF('Residual-RosteredMATRIX-RN'!AN55=0,"",'Residual-RosteredMATRIX-RN'!AN55)</f>
        <v/>
      </c>
      <c r="AR71" s="25" t="str">
        <f>IF('Residual-RosteredMATRIX-RN'!AO55=0,"",'Residual-RosteredMATRIX-RN'!AO55)</f>
        <v/>
      </c>
      <c r="AS71" s="25" t="str">
        <f>IF('Residual-RosteredMATRIX-RN'!AP55=0,"",'Residual-RosteredMATRIX-RN'!AP55)</f>
        <v/>
      </c>
      <c r="AT71" s="25" t="str">
        <f>IF('Residual-RosteredMATRIX-RN'!AQ55=0,"",'Residual-RosteredMATRIX-RN'!AQ55)</f>
        <v/>
      </c>
      <c r="AU71" s="25" t="str">
        <f>IF('Residual-RosteredMATRIX-RN'!AR55=0,"",'Residual-RosteredMATRIX-RN'!AR55)</f>
        <v/>
      </c>
      <c r="AV71" s="25" t="str">
        <f>IF('Residual-RosteredMATRIX-RN'!AS55=0,"",'Residual-RosteredMATRIX-RN'!AS55)</f>
        <v/>
      </c>
      <c r="AW71" s="25" t="str">
        <f>IF('Residual-RosteredMATRIX-RN'!AT55=0,"",'Residual-RosteredMATRIX-RN'!AT55)</f>
        <v/>
      </c>
    </row>
    <row r="72" spans="1:49" ht="15.75" customHeight="1" x14ac:dyDescent="0.25">
      <c r="B72" s="33">
        <f>'Residual-RosteredMATRIX-RN'!C56</f>
        <v>0</v>
      </c>
      <c r="C72" s="33">
        <f>'Residual-RosteredMATRIX-RN'!B56</f>
        <v>0</v>
      </c>
      <c r="D72" s="34">
        <f>'Residual-RosteredMATRIX-RN'!D56</f>
        <v>0</v>
      </c>
      <c r="E72" s="14">
        <f>Max_HRS-Table3[[#This Row],[ROSTERED TIME]]</f>
        <v>76</v>
      </c>
      <c r="F72" s="14">
        <f t="shared" si="7"/>
        <v>0</v>
      </c>
      <c r="G72" s="14">
        <f>Table3[[#This Row],[ROSTERED TIME]]+Table3[[#This Row],[CHANGE TIME]]</f>
        <v>0</v>
      </c>
      <c r="H72" s="25" t="str">
        <f>IF('Residual-RosteredMATRIX-RN'!E56=0,"",'Residual-RosteredMATRIX-RN'!E56)</f>
        <v/>
      </c>
      <c r="I72" s="25" t="str">
        <f>IF('Residual-RosteredMATRIX-RN'!F56=0,"",'Residual-RosteredMATRIX-RN'!F56)</f>
        <v/>
      </c>
      <c r="J72" s="25" t="str">
        <f>IF('Residual-RosteredMATRIX-RN'!G56=0,"",'Residual-RosteredMATRIX-RN'!G56)</f>
        <v/>
      </c>
      <c r="K72" s="25" t="str">
        <f>IF('Residual-RosteredMATRIX-RN'!H56=0,"",'Residual-RosteredMATRIX-RN'!H56)</f>
        <v/>
      </c>
      <c r="L72" s="25" t="str">
        <f>IF('Residual-RosteredMATRIX-RN'!I56=0,"",'Residual-RosteredMATRIX-RN'!I56)</f>
        <v/>
      </c>
      <c r="M72" s="25" t="str">
        <f>IF('Residual-RosteredMATRIX-RN'!J56=0,"",'Residual-RosteredMATRIX-RN'!J56)</f>
        <v/>
      </c>
      <c r="N72" s="25" t="str">
        <f>IF('Residual-RosteredMATRIX-RN'!K56=0,"",'Residual-RosteredMATRIX-RN'!K56)</f>
        <v/>
      </c>
      <c r="O72" s="25" t="str">
        <f>IF('Residual-RosteredMATRIX-RN'!L56=0,"",'Residual-RosteredMATRIX-RN'!L56)</f>
        <v/>
      </c>
      <c r="P72" s="25" t="str">
        <f>IF('Residual-RosteredMATRIX-RN'!M56=0,"",'Residual-RosteredMATRIX-RN'!M56)</f>
        <v/>
      </c>
      <c r="Q72" s="25" t="str">
        <f>IF('Residual-RosteredMATRIX-RN'!N56=0,"",'Residual-RosteredMATRIX-RN'!N56)</f>
        <v/>
      </c>
      <c r="R72" s="25" t="str">
        <f>IF('Residual-RosteredMATRIX-RN'!O56=0,"",'Residual-RosteredMATRIX-RN'!O56)</f>
        <v/>
      </c>
      <c r="S72" s="25" t="str">
        <f>IF('Residual-RosteredMATRIX-RN'!P56=0,"",'Residual-RosteredMATRIX-RN'!P56)</f>
        <v/>
      </c>
      <c r="T72" s="25" t="str">
        <f>IF('Residual-RosteredMATRIX-RN'!Q56=0,"",'Residual-RosteredMATRIX-RN'!Q56)</f>
        <v/>
      </c>
      <c r="U72" s="25" t="str">
        <f>IF('Residual-RosteredMATRIX-RN'!R56=0,"",'Residual-RosteredMATRIX-RN'!R56)</f>
        <v/>
      </c>
      <c r="V72" s="25" t="str">
        <f>IF('Residual-RosteredMATRIX-RN'!S56=0,"",'Residual-RosteredMATRIX-RN'!S56)</f>
        <v/>
      </c>
      <c r="W72" s="25" t="str">
        <f>IF('Residual-RosteredMATRIX-RN'!T56=0,"",'Residual-RosteredMATRIX-RN'!T56)</f>
        <v/>
      </c>
      <c r="X72" s="25" t="str">
        <f>IF('Residual-RosteredMATRIX-RN'!U56=0,"",'Residual-RosteredMATRIX-RN'!U56)</f>
        <v/>
      </c>
      <c r="Y72" s="25" t="str">
        <f>IF('Residual-RosteredMATRIX-RN'!V56=0,"",'Residual-RosteredMATRIX-RN'!V56)</f>
        <v/>
      </c>
      <c r="Z72" s="25" t="str">
        <f>IF('Residual-RosteredMATRIX-RN'!W56=0,"",'Residual-RosteredMATRIX-RN'!W56)</f>
        <v/>
      </c>
      <c r="AA72" s="25" t="str">
        <f>IF('Residual-RosteredMATRIX-RN'!X56=0,"",'Residual-RosteredMATRIX-RN'!X56)</f>
        <v/>
      </c>
      <c r="AB72" s="25" t="str">
        <f>IF('Residual-RosteredMATRIX-RN'!Y56=0,"",'Residual-RosteredMATRIX-RN'!Y56)</f>
        <v/>
      </c>
      <c r="AC72" s="25" t="str">
        <f>IF('Residual-RosteredMATRIX-RN'!Z56=0,"",'Residual-RosteredMATRIX-RN'!Z56)</f>
        <v/>
      </c>
      <c r="AD72" s="25" t="str">
        <f>IF('Residual-RosteredMATRIX-RN'!AA56=0,"",'Residual-RosteredMATRIX-RN'!AA56)</f>
        <v/>
      </c>
      <c r="AE72" s="25" t="str">
        <f>IF('Residual-RosteredMATRIX-RN'!AB56=0,"",'Residual-RosteredMATRIX-RN'!AB56)</f>
        <v/>
      </c>
      <c r="AF72" s="25" t="str">
        <f>IF('Residual-RosteredMATRIX-RN'!AC56=0,"",'Residual-RosteredMATRIX-RN'!AC56)</f>
        <v/>
      </c>
      <c r="AG72" s="25" t="str">
        <f>IF('Residual-RosteredMATRIX-RN'!AD56=0,"",'Residual-RosteredMATRIX-RN'!AD56)</f>
        <v/>
      </c>
      <c r="AH72" s="25" t="str">
        <f>IF('Residual-RosteredMATRIX-RN'!AE56=0,"",'Residual-RosteredMATRIX-RN'!AE56)</f>
        <v/>
      </c>
      <c r="AI72" s="25" t="str">
        <f>IF('Residual-RosteredMATRIX-RN'!AF56=0,"",'Residual-RosteredMATRIX-RN'!AF56)</f>
        <v/>
      </c>
      <c r="AJ72" s="25" t="str">
        <f>IF('Residual-RosteredMATRIX-RN'!AG56=0,"",'Residual-RosteredMATRIX-RN'!AG56)</f>
        <v/>
      </c>
      <c r="AK72" s="25" t="str">
        <f>IF('Residual-RosteredMATRIX-RN'!AH56=0,"",'Residual-RosteredMATRIX-RN'!AH56)</f>
        <v/>
      </c>
      <c r="AL72" s="25" t="str">
        <f>IF('Residual-RosteredMATRIX-RN'!AI56=0,"",'Residual-RosteredMATRIX-RN'!AI56)</f>
        <v/>
      </c>
      <c r="AM72" s="25" t="str">
        <f>IF('Residual-RosteredMATRIX-RN'!AJ56=0,"",'Residual-RosteredMATRIX-RN'!AJ56)</f>
        <v/>
      </c>
      <c r="AN72" s="25" t="str">
        <f>IF('Residual-RosteredMATRIX-RN'!AK56=0,"",'Residual-RosteredMATRIX-RN'!AK56)</f>
        <v/>
      </c>
      <c r="AO72" s="25" t="str">
        <f>IF('Residual-RosteredMATRIX-RN'!AL56=0,"",'Residual-RosteredMATRIX-RN'!AL56)</f>
        <v/>
      </c>
      <c r="AP72" s="25" t="str">
        <f>IF('Residual-RosteredMATRIX-RN'!AM56=0,"",'Residual-RosteredMATRIX-RN'!AM56)</f>
        <v/>
      </c>
      <c r="AQ72" s="25" t="str">
        <f>IF('Residual-RosteredMATRIX-RN'!AN56=0,"",'Residual-RosteredMATRIX-RN'!AN56)</f>
        <v/>
      </c>
      <c r="AR72" s="25" t="str">
        <f>IF('Residual-RosteredMATRIX-RN'!AO56=0,"",'Residual-RosteredMATRIX-RN'!AO56)</f>
        <v/>
      </c>
      <c r="AS72" s="25" t="str">
        <f>IF('Residual-RosteredMATRIX-RN'!AP56=0,"",'Residual-RosteredMATRIX-RN'!AP56)</f>
        <v/>
      </c>
      <c r="AT72" s="25" t="str">
        <f>IF('Residual-RosteredMATRIX-RN'!AQ56=0,"",'Residual-RosteredMATRIX-RN'!AQ56)</f>
        <v/>
      </c>
      <c r="AU72" s="25" t="str">
        <f>IF('Residual-RosteredMATRIX-RN'!AR56=0,"",'Residual-RosteredMATRIX-RN'!AR56)</f>
        <v/>
      </c>
      <c r="AV72" s="25" t="str">
        <f>IF('Residual-RosteredMATRIX-RN'!AS56=0,"",'Residual-RosteredMATRIX-RN'!AS56)</f>
        <v/>
      </c>
      <c r="AW72" s="25" t="str">
        <f>IF('Residual-RosteredMATRIX-RN'!AT56=0,"",'Residual-RosteredMATRIX-RN'!AT56)</f>
        <v/>
      </c>
    </row>
    <row r="73" spans="1:49" ht="15.75" customHeight="1" x14ac:dyDescent="0.25">
      <c r="B73" s="33">
        <f>'Residual-RosteredMATRIX-RN'!C57</f>
        <v>0</v>
      </c>
      <c r="C73" s="33">
        <f>'Residual-RosteredMATRIX-RN'!B57</f>
        <v>0</v>
      </c>
      <c r="D73" s="34">
        <f>'Residual-RosteredMATRIX-RN'!D57</f>
        <v>0</v>
      </c>
      <c r="E73" s="14">
        <f>Max_HRS-Table3[[#This Row],[ROSTERED TIME]]</f>
        <v>76</v>
      </c>
      <c r="F73" s="14">
        <f t="shared" si="7"/>
        <v>0</v>
      </c>
      <c r="G73" s="14">
        <f>Table3[[#This Row],[ROSTERED TIME]]+Table3[[#This Row],[CHANGE TIME]]</f>
        <v>0</v>
      </c>
      <c r="H73" s="25" t="str">
        <f>IF('Residual-RosteredMATRIX-RN'!E57=0,"",'Residual-RosteredMATRIX-RN'!E57)</f>
        <v/>
      </c>
      <c r="I73" s="25" t="str">
        <f>IF('Residual-RosteredMATRIX-RN'!F57=0,"",'Residual-RosteredMATRIX-RN'!F57)</f>
        <v/>
      </c>
      <c r="J73" s="25" t="str">
        <f>IF('Residual-RosteredMATRIX-RN'!G57=0,"",'Residual-RosteredMATRIX-RN'!G57)</f>
        <v/>
      </c>
      <c r="K73" s="25" t="str">
        <f>IF('Residual-RosteredMATRIX-RN'!H57=0,"",'Residual-RosteredMATRIX-RN'!H57)</f>
        <v/>
      </c>
      <c r="L73" s="25" t="str">
        <f>IF('Residual-RosteredMATRIX-RN'!I57=0,"",'Residual-RosteredMATRIX-RN'!I57)</f>
        <v/>
      </c>
      <c r="M73" s="25" t="str">
        <f>IF('Residual-RosteredMATRIX-RN'!J57=0,"",'Residual-RosteredMATRIX-RN'!J57)</f>
        <v/>
      </c>
      <c r="N73" s="25" t="str">
        <f>IF('Residual-RosteredMATRIX-RN'!K57=0,"",'Residual-RosteredMATRIX-RN'!K57)</f>
        <v/>
      </c>
      <c r="O73" s="25" t="str">
        <f>IF('Residual-RosteredMATRIX-RN'!L57=0,"",'Residual-RosteredMATRIX-RN'!L57)</f>
        <v/>
      </c>
      <c r="P73" s="25" t="str">
        <f>IF('Residual-RosteredMATRIX-RN'!M57=0,"",'Residual-RosteredMATRIX-RN'!M57)</f>
        <v/>
      </c>
      <c r="Q73" s="25" t="str">
        <f>IF('Residual-RosteredMATRIX-RN'!N57=0,"",'Residual-RosteredMATRIX-RN'!N57)</f>
        <v/>
      </c>
      <c r="R73" s="25" t="str">
        <f>IF('Residual-RosteredMATRIX-RN'!O57=0,"",'Residual-RosteredMATRIX-RN'!O57)</f>
        <v/>
      </c>
      <c r="S73" s="25" t="str">
        <f>IF('Residual-RosteredMATRIX-RN'!P57=0,"",'Residual-RosteredMATRIX-RN'!P57)</f>
        <v/>
      </c>
      <c r="T73" s="25" t="str">
        <f>IF('Residual-RosteredMATRIX-RN'!Q57=0,"",'Residual-RosteredMATRIX-RN'!Q57)</f>
        <v/>
      </c>
      <c r="U73" s="25" t="str">
        <f>IF('Residual-RosteredMATRIX-RN'!R57=0,"",'Residual-RosteredMATRIX-RN'!R57)</f>
        <v/>
      </c>
      <c r="V73" s="25" t="str">
        <f>IF('Residual-RosteredMATRIX-RN'!S57=0,"",'Residual-RosteredMATRIX-RN'!S57)</f>
        <v/>
      </c>
      <c r="W73" s="25" t="str">
        <f>IF('Residual-RosteredMATRIX-RN'!T57=0,"",'Residual-RosteredMATRIX-RN'!T57)</f>
        <v/>
      </c>
      <c r="X73" s="25" t="str">
        <f>IF('Residual-RosteredMATRIX-RN'!U57=0,"",'Residual-RosteredMATRIX-RN'!U57)</f>
        <v/>
      </c>
      <c r="Y73" s="25" t="str">
        <f>IF('Residual-RosteredMATRIX-RN'!V57=0,"",'Residual-RosteredMATRIX-RN'!V57)</f>
        <v/>
      </c>
      <c r="Z73" s="25" t="str">
        <f>IF('Residual-RosteredMATRIX-RN'!W57=0,"",'Residual-RosteredMATRIX-RN'!W57)</f>
        <v/>
      </c>
      <c r="AA73" s="25" t="str">
        <f>IF('Residual-RosteredMATRIX-RN'!X57=0,"",'Residual-RosteredMATRIX-RN'!X57)</f>
        <v/>
      </c>
      <c r="AB73" s="25" t="str">
        <f>IF('Residual-RosteredMATRIX-RN'!Y57=0,"",'Residual-RosteredMATRIX-RN'!Y57)</f>
        <v/>
      </c>
      <c r="AC73" s="25" t="str">
        <f>IF('Residual-RosteredMATRIX-RN'!Z57=0,"",'Residual-RosteredMATRIX-RN'!Z57)</f>
        <v/>
      </c>
      <c r="AD73" s="25" t="str">
        <f>IF('Residual-RosteredMATRIX-RN'!AA57=0,"",'Residual-RosteredMATRIX-RN'!AA57)</f>
        <v/>
      </c>
      <c r="AE73" s="25" t="str">
        <f>IF('Residual-RosteredMATRIX-RN'!AB57=0,"",'Residual-RosteredMATRIX-RN'!AB57)</f>
        <v/>
      </c>
      <c r="AF73" s="25" t="str">
        <f>IF('Residual-RosteredMATRIX-RN'!AC57=0,"",'Residual-RosteredMATRIX-RN'!AC57)</f>
        <v/>
      </c>
      <c r="AG73" s="25" t="str">
        <f>IF('Residual-RosteredMATRIX-RN'!AD57=0,"",'Residual-RosteredMATRIX-RN'!AD57)</f>
        <v/>
      </c>
      <c r="AH73" s="25" t="str">
        <f>IF('Residual-RosteredMATRIX-RN'!AE57=0,"",'Residual-RosteredMATRIX-RN'!AE57)</f>
        <v/>
      </c>
      <c r="AI73" s="25" t="str">
        <f>IF('Residual-RosteredMATRIX-RN'!AF57=0,"",'Residual-RosteredMATRIX-RN'!AF57)</f>
        <v/>
      </c>
      <c r="AJ73" s="25" t="str">
        <f>IF('Residual-RosteredMATRIX-RN'!AG57=0,"",'Residual-RosteredMATRIX-RN'!AG57)</f>
        <v/>
      </c>
      <c r="AK73" s="25" t="str">
        <f>IF('Residual-RosteredMATRIX-RN'!AH57=0,"",'Residual-RosteredMATRIX-RN'!AH57)</f>
        <v/>
      </c>
      <c r="AL73" s="25" t="str">
        <f>IF('Residual-RosteredMATRIX-RN'!AI57=0,"",'Residual-RosteredMATRIX-RN'!AI57)</f>
        <v/>
      </c>
      <c r="AM73" s="25" t="str">
        <f>IF('Residual-RosteredMATRIX-RN'!AJ57=0,"",'Residual-RosteredMATRIX-RN'!AJ57)</f>
        <v/>
      </c>
      <c r="AN73" s="25" t="str">
        <f>IF('Residual-RosteredMATRIX-RN'!AK57=0,"",'Residual-RosteredMATRIX-RN'!AK57)</f>
        <v/>
      </c>
      <c r="AO73" s="25" t="str">
        <f>IF('Residual-RosteredMATRIX-RN'!AL57=0,"",'Residual-RosteredMATRIX-RN'!AL57)</f>
        <v/>
      </c>
      <c r="AP73" s="25" t="str">
        <f>IF('Residual-RosteredMATRIX-RN'!AM57=0,"",'Residual-RosteredMATRIX-RN'!AM57)</f>
        <v/>
      </c>
      <c r="AQ73" s="25" t="str">
        <f>IF('Residual-RosteredMATRIX-RN'!AN57=0,"",'Residual-RosteredMATRIX-RN'!AN57)</f>
        <v/>
      </c>
      <c r="AR73" s="25" t="str">
        <f>IF('Residual-RosteredMATRIX-RN'!AO57=0,"",'Residual-RosteredMATRIX-RN'!AO57)</f>
        <v/>
      </c>
      <c r="AS73" s="25" t="str">
        <f>IF('Residual-RosteredMATRIX-RN'!AP57=0,"",'Residual-RosteredMATRIX-RN'!AP57)</f>
        <v/>
      </c>
      <c r="AT73" s="25" t="str">
        <f>IF('Residual-RosteredMATRIX-RN'!AQ57=0,"",'Residual-RosteredMATRIX-RN'!AQ57)</f>
        <v/>
      </c>
      <c r="AU73" s="25" t="str">
        <f>IF('Residual-RosteredMATRIX-RN'!AR57=0,"",'Residual-RosteredMATRIX-RN'!AR57)</f>
        <v/>
      </c>
      <c r="AV73" s="25" t="str">
        <f>IF('Residual-RosteredMATRIX-RN'!AS57=0,"",'Residual-RosteredMATRIX-RN'!AS57)</f>
        <v/>
      </c>
      <c r="AW73" s="25" t="str">
        <f>IF('Residual-RosteredMATRIX-RN'!AT57=0,"",'Residual-RosteredMATRIX-RN'!AT57)</f>
        <v/>
      </c>
    </row>
    <row r="74" spans="1:49" ht="15.75" customHeight="1" x14ac:dyDescent="0.25">
      <c r="B74" s="33">
        <f>'Residual-RosteredMATRIX-RN'!C58</f>
        <v>0</v>
      </c>
      <c r="C74" s="33">
        <f>'Residual-RosteredMATRIX-RN'!B58</f>
        <v>0</v>
      </c>
      <c r="D74" s="34">
        <f>'Residual-RosteredMATRIX-RN'!D58</f>
        <v>0</v>
      </c>
      <c r="E74" s="14">
        <f>Max_HRS-Table3[[#This Row],[ROSTERED TIME]]</f>
        <v>76</v>
      </c>
      <c r="F74" s="14">
        <f t="shared" si="7"/>
        <v>0</v>
      </c>
      <c r="G74" s="14">
        <f>Table3[[#This Row],[ROSTERED TIME]]+Table3[[#This Row],[CHANGE TIME]]</f>
        <v>0</v>
      </c>
      <c r="H74" s="25" t="str">
        <f>IF('Residual-RosteredMATRIX-RN'!E58=0,"",'Residual-RosteredMATRIX-RN'!E58)</f>
        <v/>
      </c>
      <c r="I74" s="25" t="str">
        <f>IF('Residual-RosteredMATRIX-RN'!F58=0,"",'Residual-RosteredMATRIX-RN'!F58)</f>
        <v/>
      </c>
      <c r="J74" s="25" t="str">
        <f>IF('Residual-RosteredMATRIX-RN'!G58=0,"",'Residual-RosteredMATRIX-RN'!G58)</f>
        <v/>
      </c>
      <c r="K74" s="25" t="str">
        <f>IF('Residual-RosteredMATRIX-RN'!H58=0,"",'Residual-RosteredMATRIX-RN'!H58)</f>
        <v/>
      </c>
      <c r="L74" s="25" t="str">
        <f>IF('Residual-RosteredMATRIX-RN'!I58=0,"",'Residual-RosteredMATRIX-RN'!I58)</f>
        <v/>
      </c>
      <c r="M74" s="25" t="str">
        <f>IF('Residual-RosteredMATRIX-RN'!J58=0,"",'Residual-RosteredMATRIX-RN'!J58)</f>
        <v/>
      </c>
      <c r="N74" s="25" t="str">
        <f>IF('Residual-RosteredMATRIX-RN'!K58=0,"",'Residual-RosteredMATRIX-RN'!K58)</f>
        <v/>
      </c>
      <c r="O74" s="25" t="str">
        <f>IF('Residual-RosteredMATRIX-RN'!L58=0,"",'Residual-RosteredMATRIX-RN'!L58)</f>
        <v/>
      </c>
      <c r="P74" s="25" t="str">
        <f>IF('Residual-RosteredMATRIX-RN'!M58=0,"",'Residual-RosteredMATRIX-RN'!M58)</f>
        <v/>
      </c>
      <c r="Q74" s="25" t="str">
        <f>IF('Residual-RosteredMATRIX-RN'!N58=0,"",'Residual-RosteredMATRIX-RN'!N58)</f>
        <v/>
      </c>
      <c r="R74" s="25" t="str">
        <f>IF('Residual-RosteredMATRIX-RN'!O58=0,"",'Residual-RosteredMATRIX-RN'!O58)</f>
        <v/>
      </c>
      <c r="S74" s="25" t="str">
        <f>IF('Residual-RosteredMATRIX-RN'!P58=0,"",'Residual-RosteredMATRIX-RN'!P58)</f>
        <v/>
      </c>
      <c r="T74" s="25" t="str">
        <f>IF('Residual-RosteredMATRIX-RN'!Q58=0,"",'Residual-RosteredMATRIX-RN'!Q58)</f>
        <v/>
      </c>
      <c r="U74" s="25" t="str">
        <f>IF('Residual-RosteredMATRIX-RN'!R58=0,"",'Residual-RosteredMATRIX-RN'!R58)</f>
        <v/>
      </c>
      <c r="V74" s="25" t="str">
        <f>IF('Residual-RosteredMATRIX-RN'!S58=0,"",'Residual-RosteredMATRIX-RN'!S58)</f>
        <v/>
      </c>
      <c r="W74" s="25" t="str">
        <f>IF('Residual-RosteredMATRIX-RN'!T58=0,"",'Residual-RosteredMATRIX-RN'!T58)</f>
        <v/>
      </c>
      <c r="X74" s="25" t="str">
        <f>IF('Residual-RosteredMATRIX-RN'!U58=0,"",'Residual-RosteredMATRIX-RN'!U58)</f>
        <v/>
      </c>
      <c r="Y74" s="25" t="str">
        <f>IF('Residual-RosteredMATRIX-RN'!V58=0,"",'Residual-RosteredMATRIX-RN'!V58)</f>
        <v/>
      </c>
      <c r="Z74" s="25" t="str">
        <f>IF('Residual-RosteredMATRIX-RN'!W58=0,"",'Residual-RosteredMATRIX-RN'!W58)</f>
        <v/>
      </c>
      <c r="AA74" s="25" t="str">
        <f>IF('Residual-RosteredMATRIX-RN'!X58=0,"",'Residual-RosteredMATRIX-RN'!X58)</f>
        <v/>
      </c>
      <c r="AB74" s="25" t="str">
        <f>IF('Residual-RosteredMATRIX-RN'!Y58=0,"",'Residual-RosteredMATRIX-RN'!Y58)</f>
        <v/>
      </c>
      <c r="AC74" s="25" t="str">
        <f>IF('Residual-RosteredMATRIX-RN'!Z58=0,"",'Residual-RosteredMATRIX-RN'!Z58)</f>
        <v/>
      </c>
      <c r="AD74" s="25" t="str">
        <f>IF('Residual-RosteredMATRIX-RN'!AA58=0,"",'Residual-RosteredMATRIX-RN'!AA58)</f>
        <v/>
      </c>
      <c r="AE74" s="25" t="str">
        <f>IF('Residual-RosteredMATRIX-RN'!AB58=0,"",'Residual-RosteredMATRIX-RN'!AB58)</f>
        <v/>
      </c>
      <c r="AF74" s="25" t="str">
        <f>IF('Residual-RosteredMATRIX-RN'!AC58=0,"",'Residual-RosteredMATRIX-RN'!AC58)</f>
        <v/>
      </c>
      <c r="AG74" s="25" t="str">
        <f>IF('Residual-RosteredMATRIX-RN'!AD58=0,"",'Residual-RosteredMATRIX-RN'!AD58)</f>
        <v/>
      </c>
      <c r="AH74" s="25" t="str">
        <f>IF('Residual-RosteredMATRIX-RN'!AE58=0,"",'Residual-RosteredMATRIX-RN'!AE58)</f>
        <v/>
      </c>
      <c r="AI74" s="25" t="str">
        <f>IF('Residual-RosteredMATRIX-RN'!AF58=0,"",'Residual-RosteredMATRIX-RN'!AF58)</f>
        <v/>
      </c>
      <c r="AJ74" s="25" t="str">
        <f>IF('Residual-RosteredMATRIX-RN'!AG58=0,"",'Residual-RosteredMATRIX-RN'!AG58)</f>
        <v/>
      </c>
      <c r="AK74" s="25" t="str">
        <f>IF('Residual-RosteredMATRIX-RN'!AH58=0,"",'Residual-RosteredMATRIX-RN'!AH58)</f>
        <v/>
      </c>
      <c r="AL74" s="25" t="str">
        <f>IF('Residual-RosteredMATRIX-RN'!AI58=0,"",'Residual-RosteredMATRIX-RN'!AI58)</f>
        <v/>
      </c>
      <c r="AM74" s="25" t="str">
        <f>IF('Residual-RosteredMATRIX-RN'!AJ58=0,"",'Residual-RosteredMATRIX-RN'!AJ58)</f>
        <v/>
      </c>
      <c r="AN74" s="25" t="str">
        <f>IF('Residual-RosteredMATRIX-RN'!AK58=0,"",'Residual-RosteredMATRIX-RN'!AK58)</f>
        <v/>
      </c>
      <c r="AO74" s="25" t="str">
        <f>IF('Residual-RosteredMATRIX-RN'!AL58=0,"",'Residual-RosteredMATRIX-RN'!AL58)</f>
        <v/>
      </c>
      <c r="AP74" s="25" t="str">
        <f>IF('Residual-RosteredMATRIX-RN'!AM58=0,"",'Residual-RosteredMATRIX-RN'!AM58)</f>
        <v/>
      </c>
      <c r="AQ74" s="25" t="str">
        <f>IF('Residual-RosteredMATRIX-RN'!AN58=0,"",'Residual-RosteredMATRIX-RN'!AN58)</f>
        <v/>
      </c>
      <c r="AR74" s="25" t="str">
        <f>IF('Residual-RosteredMATRIX-RN'!AO58=0,"",'Residual-RosteredMATRIX-RN'!AO58)</f>
        <v/>
      </c>
      <c r="AS74" s="25" t="str">
        <f>IF('Residual-RosteredMATRIX-RN'!AP58=0,"",'Residual-RosteredMATRIX-RN'!AP58)</f>
        <v/>
      </c>
      <c r="AT74" s="25" t="str">
        <f>IF('Residual-RosteredMATRIX-RN'!AQ58=0,"",'Residual-RosteredMATRIX-RN'!AQ58)</f>
        <v/>
      </c>
      <c r="AU74" s="25" t="str">
        <f>IF('Residual-RosteredMATRIX-RN'!AR58=0,"",'Residual-RosteredMATRIX-RN'!AR58)</f>
        <v/>
      </c>
      <c r="AV74" s="25" t="str">
        <f>IF('Residual-RosteredMATRIX-RN'!AS58=0,"",'Residual-RosteredMATRIX-RN'!AS58)</f>
        <v/>
      </c>
      <c r="AW74" s="25" t="str">
        <f>IF('Residual-RosteredMATRIX-RN'!AT58=0,"",'Residual-RosteredMATRIX-RN'!AT58)</f>
        <v/>
      </c>
    </row>
    <row r="75" spans="1:49" ht="15.75" customHeight="1" x14ac:dyDescent="0.25">
      <c r="B75" s="33">
        <f>'Residual-RosteredMATRIX-RN'!C59</f>
        <v>0</v>
      </c>
      <c r="C75" s="33">
        <f>'Residual-RosteredMATRIX-RN'!B59</f>
        <v>0</v>
      </c>
      <c r="D75" s="34">
        <f>'Residual-RosteredMATRIX-RN'!D59</f>
        <v>0</v>
      </c>
      <c r="E75" s="14">
        <f>Max_HRS-Table3[[#This Row],[ROSTERED TIME]]</f>
        <v>76</v>
      </c>
      <c r="F75" s="14">
        <f t="shared" si="7"/>
        <v>0</v>
      </c>
      <c r="G75" s="14">
        <f>Table3[[#This Row],[ROSTERED TIME]]+Table3[[#This Row],[CHANGE TIME]]</f>
        <v>0</v>
      </c>
      <c r="H75" s="25" t="str">
        <f>IF('Residual-RosteredMATRIX-RN'!E59=0,"",'Residual-RosteredMATRIX-RN'!E59)</f>
        <v/>
      </c>
      <c r="I75" s="25" t="str">
        <f>IF('Residual-RosteredMATRIX-RN'!F59=0,"",'Residual-RosteredMATRIX-RN'!F59)</f>
        <v/>
      </c>
      <c r="J75" s="25" t="str">
        <f>IF('Residual-RosteredMATRIX-RN'!G59=0,"",'Residual-RosteredMATRIX-RN'!G59)</f>
        <v/>
      </c>
      <c r="K75" s="25" t="str">
        <f>IF('Residual-RosteredMATRIX-RN'!H59=0,"",'Residual-RosteredMATRIX-RN'!H59)</f>
        <v/>
      </c>
      <c r="L75" s="25" t="str">
        <f>IF('Residual-RosteredMATRIX-RN'!I59=0,"",'Residual-RosteredMATRIX-RN'!I59)</f>
        <v/>
      </c>
      <c r="M75" s="25" t="str">
        <f>IF('Residual-RosteredMATRIX-RN'!J59=0,"",'Residual-RosteredMATRIX-RN'!J59)</f>
        <v/>
      </c>
      <c r="N75" s="25" t="str">
        <f>IF('Residual-RosteredMATRIX-RN'!K59=0,"",'Residual-RosteredMATRIX-RN'!K59)</f>
        <v/>
      </c>
      <c r="O75" s="25" t="str">
        <f>IF('Residual-RosteredMATRIX-RN'!L59=0,"",'Residual-RosteredMATRIX-RN'!L59)</f>
        <v/>
      </c>
      <c r="P75" s="25" t="str">
        <f>IF('Residual-RosteredMATRIX-RN'!M59=0,"",'Residual-RosteredMATRIX-RN'!M59)</f>
        <v/>
      </c>
      <c r="Q75" s="25" t="str">
        <f>IF('Residual-RosteredMATRIX-RN'!N59=0,"",'Residual-RosteredMATRIX-RN'!N59)</f>
        <v/>
      </c>
      <c r="R75" s="25" t="str">
        <f>IF('Residual-RosteredMATRIX-RN'!O59=0,"",'Residual-RosteredMATRIX-RN'!O59)</f>
        <v/>
      </c>
      <c r="S75" s="25" t="str">
        <f>IF('Residual-RosteredMATRIX-RN'!P59=0,"",'Residual-RosteredMATRIX-RN'!P59)</f>
        <v/>
      </c>
      <c r="T75" s="25" t="str">
        <f>IF('Residual-RosteredMATRIX-RN'!Q59=0,"",'Residual-RosteredMATRIX-RN'!Q59)</f>
        <v/>
      </c>
      <c r="U75" s="25" t="str">
        <f>IF('Residual-RosteredMATRIX-RN'!R59=0,"",'Residual-RosteredMATRIX-RN'!R59)</f>
        <v/>
      </c>
      <c r="V75" s="25" t="str">
        <f>IF('Residual-RosteredMATRIX-RN'!S59=0,"",'Residual-RosteredMATRIX-RN'!S59)</f>
        <v/>
      </c>
      <c r="W75" s="25" t="str">
        <f>IF('Residual-RosteredMATRIX-RN'!T59=0,"",'Residual-RosteredMATRIX-RN'!T59)</f>
        <v/>
      </c>
      <c r="X75" s="25" t="str">
        <f>IF('Residual-RosteredMATRIX-RN'!U59=0,"",'Residual-RosteredMATRIX-RN'!U59)</f>
        <v/>
      </c>
      <c r="Y75" s="25" t="str">
        <f>IF('Residual-RosteredMATRIX-RN'!V59=0,"",'Residual-RosteredMATRIX-RN'!V59)</f>
        <v/>
      </c>
      <c r="Z75" s="25" t="str">
        <f>IF('Residual-RosteredMATRIX-RN'!W59=0,"",'Residual-RosteredMATRIX-RN'!W59)</f>
        <v/>
      </c>
      <c r="AA75" s="25" t="str">
        <f>IF('Residual-RosteredMATRIX-RN'!X59=0,"",'Residual-RosteredMATRIX-RN'!X59)</f>
        <v/>
      </c>
      <c r="AB75" s="25" t="str">
        <f>IF('Residual-RosteredMATRIX-RN'!Y59=0,"",'Residual-RosteredMATRIX-RN'!Y59)</f>
        <v/>
      </c>
      <c r="AC75" s="25" t="str">
        <f>IF('Residual-RosteredMATRIX-RN'!Z59=0,"",'Residual-RosteredMATRIX-RN'!Z59)</f>
        <v/>
      </c>
      <c r="AD75" s="25" t="str">
        <f>IF('Residual-RosteredMATRIX-RN'!AA59=0,"",'Residual-RosteredMATRIX-RN'!AA59)</f>
        <v/>
      </c>
      <c r="AE75" s="25" t="str">
        <f>IF('Residual-RosteredMATRIX-RN'!AB59=0,"",'Residual-RosteredMATRIX-RN'!AB59)</f>
        <v/>
      </c>
      <c r="AF75" s="25" t="str">
        <f>IF('Residual-RosteredMATRIX-RN'!AC59=0,"",'Residual-RosteredMATRIX-RN'!AC59)</f>
        <v/>
      </c>
      <c r="AG75" s="25" t="str">
        <f>IF('Residual-RosteredMATRIX-RN'!AD59=0,"",'Residual-RosteredMATRIX-RN'!AD59)</f>
        <v/>
      </c>
      <c r="AH75" s="25" t="str">
        <f>IF('Residual-RosteredMATRIX-RN'!AE59=0,"",'Residual-RosteredMATRIX-RN'!AE59)</f>
        <v/>
      </c>
      <c r="AI75" s="25" t="str">
        <f>IF('Residual-RosteredMATRIX-RN'!AF59=0,"",'Residual-RosteredMATRIX-RN'!AF59)</f>
        <v/>
      </c>
      <c r="AJ75" s="25" t="str">
        <f>IF('Residual-RosteredMATRIX-RN'!AG59=0,"",'Residual-RosteredMATRIX-RN'!AG59)</f>
        <v/>
      </c>
      <c r="AK75" s="25" t="str">
        <f>IF('Residual-RosteredMATRIX-RN'!AH59=0,"",'Residual-RosteredMATRIX-RN'!AH59)</f>
        <v/>
      </c>
      <c r="AL75" s="25" t="str">
        <f>IF('Residual-RosteredMATRIX-RN'!AI59=0,"",'Residual-RosteredMATRIX-RN'!AI59)</f>
        <v/>
      </c>
      <c r="AM75" s="25" t="str">
        <f>IF('Residual-RosteredMATRIX-RN'!AJ59=0,"",'Residual-RosteredMATRIX-RN'!AJ59)</f>
        <v/>
      </c>
      <c r="AN75" s="25" t="str">
        <f>IF('Residual-RosteredMATRIX-RN'!AK59=0,"",'Residual-RosteredMATRIX-RN'!AK59)</f>
        <v/>
      </c>
      <c r="AO75" s="25" t="str">
        <f>IF('Residual-RosteredMATRIX-RN'!AL59=0,"",'Residual-RosteredMATRIX-RN'!AL59)</f>
        <v/>
      </c>
      <c r="AP75" s="25" t="str">
        <f>IF('Residual-RosteredMATRIX-RN'!AM59=0,"",'Residual-RosteredMATRIX-RN'!AM59)</f>
        <v/>
      </c>
      <c r="AQ75" s="25" t="str">
        <f>IF('Residual-RosteredMATRIX-RN'!AN59=0,"",'Residual-RosteredMATRIX-RN'!AN59)</f>
        <v/>
      </c>
      <c r="AR75" s="25" t="str">
        <f>IF('Residual-RosteredMATRIX-RN'!AO59=0,"",'Residual-RosteredMATRIX-RN'!AO59)</f>
        <v/>
      </c>
      <c r="AS75" s="25" t="str">
        <f>IF('Residual-RosteredMATRIX-RN'!AP59=0,"",'Residual-RosteredMATRIX-RN'!AP59)</f>
        <v/>
      </c>
      <c r="AT75" s="25" t="str">
        <f>IF('Residual-RosteredMATRIX-RN'!AQ59=0,"",'Residual-RosteredMATRIX-RN'!AQ59)</f>
        <v/>
      </c>
      <c r="AU75" s="25" t="str">
        <f>IF('Residual-RosteredMATRIX-RN'!AR59=0,"",'Residual-RosteredMATRIX-RN'!AR59)</f>
        <v/>
      </c>
      <c r="AV75" s="25" t="str">
        <f>IF('Residual-RosteredMATRIX-RN'!AS59=0,"",'Residual-RosteredMATRIX-RN'!AS59)</f>
        <v/>
      </c>
      <c r="AW75" s="25" t="str">
        <f>IF('Residual-RosteredMATRIX-RN'!AT59=0,"",'Residual-RosteredMATRIX-RN'!AT59)</f>
        <v/>
      </c>
    </row>
    <row r="76" spans="1:49" ht="15.75" customHeight="1" x14ac:dyDescent="0.25">
      <c r="B76" s="33">
        <f>'Residual-RosteredMATRIX-RN'!C60</f>
        <v>0</v>
      </c>
      <c r="C76" s="33">
        <f>'Residual-RosteredMATRIX-RN'!B60</f>
        <v>0</v>
      </c>
      <c r="D76" s="34">
        <f>'Residual-RosteredMATRIX-RN'!D60</f>
        <v>0</v>
      </c>
      <c r="E76" s="14">
        <f>Max_HRS-Table3[[#This Row],[ROSTERED TIME]]</f>
        <v>76</v>
      </c>
      <c r="F76" s="14">
        <f t="shared" si="7"/>
        <v>0</v>
      </c>
      <c r="G76" s="14">
        <f>Table3[[#This Row],[ROSTERED TIME]]+Table3[[#This Row],[CHANGE TIME]]</f>
        <v>0</v>
      </c>
      <c r="H76" s="25" t="str">
        <f>IF('Residual-RosteredMATRIX-RN'!E60=0,"",'Residual-RosteredMATRIX-RN'!E60)</f>
        <v/>
      </c>
      <c r="I76" s="25" t="str">
        <f>IF('Residual-RosteredMATRIX-RN'!F60=0,"",'Residual-RosteredMATRIX-RN'!F60)</f>
        <v/>
      </c>
      <c r="J76" s="25" t="str">
        <f>IF('Residual-RosteredMATRIX-RN'!G60=0,"",'Residual-RosteredMATRIX-RN'!G60)</f>
        <v/>
      </c>
      <c r="K76" s="25" t="str">
        <f>IF('Residual-RosteredMATRIX-RN'!H60=0,"",'Residual-RosteredMATRIX-RN'!H60)</f>
        <v/>
      </c>
      <c r="L76" s="25" t="str">
        <f>IF('Residual-RosteredMATRIX-RN'!I60=0,"",'Residual-RosteredMATRIX-RN'!I60)</f>
        <v/>
      </c>
      <c r="M76" s="25" t="str">
        <f>IF('Residual-RosteredMATRIX-RN'!J60=0,"",'Residual-RosteredMATRIX-RN'!J60)</f>
        <v/>
      </c>
      <c r="N76" s="25" t="str">
        <f>IF('Residual-RosteredMATRIX-RN'!K60=0,"",'Residual-RosteredMATRIX-RN'!K60)</f>
        <v/>
      </c>
      <c r="O76" s="25" t="str">
        <f>IF('Residual-RosteredMATRIX-RN'!L60=0,"",'Residual-RosteredMATRIX-RN'!L60)</f>
        <v/>
      </c>
      <c r="P76" s="25" t="str">
        <f>IF('Residual-RosteredMATRIX-RN'!M60=0,"",'Residual-RosteredMATRIX-RN'!M60)</f>
        <v/>
      </c>
      <c r="Q76" s="25" t="str">
        <f>IF('Residual-RosteredMATRIX-RN'!N60=0,"",'Residual-RosteredMATRIX-RN'!N60)</f>
        <v/>
      </c>
      <c r="R76" s="25" t="str">
        <f>IF('Residual-RosteredMATRIX-RN'!O60=0,"",'Residual-RosteredMATRIX-RN'!O60)</f>
        <v/>
      </c>
      <c r="S76" s="25" t="str">
        <f>IF('Residual-RosteredMATRIX-RN'!P60=0,"",'Residual-RosteredMATRIX-RN'!P60)</f>
        <v/>
      </c>
      <c r="T76" s="25" t="str">
        <f>IF('Residual-RosteredMATRIX-RN'!Q60=0,"",'Residual-RosteredMATRIX-RN'!Q60)</f>
        <v/>
      </c>
      <c r="U76" s="25" t="str">
        <f>IF('Residual-RosteredMATRIX-RN'!R60=0,"",'Residual-RosteredMATRIX-RN'!R60)</f>
        <v/>
      </c>
      <c r="V76" s="25" t="str">
        <f>IF('Residual-RosteredMATRIX-RN'!S60=0,"",'Residual-RosteredMATRIX-RN'!S60)</f>
        <v/>
      </c>
      <c r="W76" s="25" t="str">
        <f>IF('Residual-RosteredMATRIX-RN'!T60=0,"",'Residual-RosteredMATRIX-RN'!T60)</f>
        <v/>
      </c>
      <c r="X76" s="25" t="str">
        <f>IF('Residual-RosteredMATRIX-RN'!U60=0,"",'Residual-RosteredMATRIX-RN'!U60)</f>
        <v/>
      </c>
      <c r="Y76" s="25" t="str">
        <f>IF('Residual-RosteredMATRIX-RN'!V60=0,"",'Residual-RosteredMATRIX-RN'!V60)</f>
        <v/>
      </c>
      <c r="Z76" s="25" t="str">
        <f>IF('Residual-RosteredMATRIX-RN'!W60=0,"",'Residual-RosteredMATRIX-RN'!W60)</f>
        <v/>
      </c>
      <c r="AA76" s="25" t="str">
        <f>IF('Residual-RosteredMATRIX-RN'!X60=0,"",'Residual-RosteredMATRIX-RN'!X60)</f>
        <v/>
      </c>
      <c r="AB76" s="25" t="str">
        <f>IF('Residual-RosteredMATRIX-RN'!Y60=0,"",'Residual-RosteredMATRIX-RN'!Y60)</f>
        <v/>
      </c>
      <c r="AC76" s="25" t="str">
        <f>IF('Residual-RosteredMATRIX-RN'!Z60=0,"",'Residual-RosteredMATRIX-RN'!Z60)</f>
        <v/>
      </c>
      <c r="AD76" s="25" t="str">
        <f>IF('Residual-RosteredMATRIX-RN'!AA60=0,"",'Residual-RosteredMATRIX-RN'!AA60)</f>
        <v/>
      </c>
      <c r="AE76" s="25" t="str">
        <f>IF('Residual-RosteredMATRIX-RN'!AB60=0,"",'Residual-RosteredMATRIX-RN'!AB60)</f>
        <v/>
      </c>
      <c r="AF76" s="25" t="str">
        <f>IF('Residual-RosteredMATRIX-RN'!AC60=0,"",'Residual-RosteredMATRIX-RN'!AC60)</f>
        <v/>
      </c>
      <c r="AG76" s="25" t="str">
        <f>IF('Residual-RosteredMATRIX-RN'!AD60=0,"",'Residual-RosteredMATRIX-RN'!AD60)</f>
        <v/>
      </c>
      <c r="AH76" s="25" t="str">
        <f>IF('Residual-RosteredMATRIX-RN'!AE60=0,"",'Residual-RosteredMATRIX-RN'!AE60)</f>
        <v/>
      </c>
      <c r="AI76" s="25" t="str">
        <f>IF('Residual-RosteredMATRIX-RN'!AF60=0,"",'Residual-RosteredMATRIX-RN'!AF60)</f>
        <v/>
      </c>
      <c r="AJ76" s="25" t="str">
        <f>IF('Residual-RosteredMATRIX-RN'!AG60=0,"",'Residual-RosteredMATRIX-RN'!AG60)</f>
        <v/>
      </c>
      <c r="AK76" s="25" t="str">
        <f>IF('Residual-RosteredMATRIX-RN'!AH60=0,"",'Residual-RosteredMATRIX-RN'!AH60)</f>
        <v/>
      </c>
      <c r="AL76" s="25" t="str">
        <f>IF('Residual-RosteredMATRIX-RN'!AI60=0,"",'Residual-RosteredMATRIX-RN'!AI60)</f>
        <v/>
      </c>
      <c r="AM76" s="25" t="str">
        <f>IF('Residual-RosteredMATRIX-RN'!AJ60=0,"",'Residual-RosteredMATRIX-RN'!AJ60)</f>
        <v/>
      </c>
      <c r="AN76" s="25" t="str">
        <f>IF('Residual-RosteredMATRIX-RN'!AK60=0,"",'Residual-RosteredMATRIX-RN'!AK60)</f>
        <v/>
      </c>
      <c r="AO76" s="25" t="str">
        <f>IF('Residual-RosteredMATRIX-RN'!AL60=0,"",'Residual-RosteredMATRIX-RN'!AL60)</f>
        <v/>
      </c>
      <c r="AP76" s="25" t="str">
        <f>IF('Residual-RosteredMATRIX-RN'!AM60=0,"",'Residual-RosteredMATRIX-RN'!AM60)</f>
        <v/>
      </c>
      <c r="AQ76" s="25" t="str">
        <f>IF('Residual-RosteredMATRIX-RN'!AN60=0,"",'Residual-RosteredMATRIX-RN'!AN60)</f>
        <v/>
      </c>
      <c r="AR76" s="25" t="str">
        <f>IF('Residual-RosteredMATRIX-RN'!AO60=0,"",'Residual-RosteredMATRIX-RN'!AO60)</f>
        <v/>
      </c>
      <c r="AS76" s="25" t="str">
        <f>IF('Residual-RosteredMATRIX-RN'!AP60=0,"",'Residual-RosteredMATRIX-RN'!AP60)</f>
        <v/>
      </c>
      <c r="AT76" s="25" t="str">
        <f>IF('Residual-RosteredMATRIX-RN'!AQ60=0,"",'Residual-RosteredMATRIX-RN'!AQ60)</f>
        <v/>
      </c>
      <c r="AU76" s="25" t="str">
        <f>IF('Residual-RosteredMATRIX-RN'!AR60=0,"",'Residual-RosteredMATRIX-RN'!AR60)</f>
        <v/>
      </c>
      <c r="AV76" s="25" t="str">
        <f>IF('Residual-RosteredMATRIX-RN'!AS60=0,"",'Residual-RosteredMATRIX-RN'!AS60)</f>
        <v/>
      </c>
      <c r="AW76" s="25" t="str">
        <f>IF('Residual-RosteredMATRIX-RN'!AT60=0,"",'Residual-RosteredMATRIX-RN'!AT60)</f>
        <v/>
      </c>
    </row>
    <row r="77" spans="1:49" ht="15.75" customHeight="1" x14ac:dyDescent="0.25">
      <c r="B77" s="33">
        <f>'Residual-RosteredMATRIX-RN'!C61</f>
        <v>0</v>
      </c>
      <c r="C77" s="33">
        <f>'Residual-RosteredMATRIX-RN'!B61</f>
        <v>0</v>
      </c>
      <c r="D77" s="34">
        <f>'Residual-RosteredMATRIX-RN'!D61</f>
        <v>0</v>
      </c>
      <c r="E77" s="14">
        <f>Max_HRS-Table3[[#This Row],[ROSTERED TIME]]</f>
        <v>76</v>
      </c>
      <c r="F77" s="14">
        <f t="shared" si="7"/>
        <v>0</v>
      </c>
      <c r="G77" s="14">
        <f>Table3[[#This Row],[ROSTERED TIME]]+Table3[[#This Row],[CHANGE TIME]]</f>
        <v>0</v>
      </c>
      <c r="H77" s="25" t="str">
        <f>IF('Residual-RosteredMATRIX-RN'!E61=0,"",'Residual-RosteredMATRIX-RN'!E61)</f>
        <v/>
      </c>
      <c r="I77" s="25" t="str">
        <f>IF('Residual-RosteredMATRIX-RN'!F61=0,"",'Residual-RosteredMATRIX-RN'!F61)</f>
        <v/>
      </c>
      <c r="J77" s="25" t="str">
        <f>IF('Residual-RosteredMATRIX-RN'!G61=0,"",'Residual-RosteredMATRIX-RN'!G61)</f>
        <v/>
      </c>
      <c r="K77" s="25" t="str">
        <f>IF('Residual-RosteredMATRIX-RN'!H61=0,"",'Residual-RosteredMATRIX-RN'!H61)</f>
        <v/>
      </c>
      <c r="L77" s="25" t="str">
        <f>IF('Residual-RosteredMATRIX-RN'!I61=0,"",'Residual-RosteredMATRIX-RN'!I61)</f>
        <v/>
      </c>
      <c r="M77" s="25" t="str">
        <f>IF('Residual-RosteredMATRIX-RN'!J61=0,"",'Residual-RosteredMATRIX-RN'!J61)</f>
        <v/>
      </c>
      <c r="N77" s="25" t="str">
        <f>IF('Residual-RosteredMATRIX-RN'!K61=0,"",'Residual-RosteredMATRIX-RN'!K61)</f>
        <v/>
      </c>
      <c r="O77" s="25" t="str">
        <f>IF('Residual-RosteredMATRIX-RN'!L61=0,"",'Residual-RosteredMATRIX-RN'!L61)</f>
        <v/>
      </c>
      <c r="P77" s="25" t="str">
        <f>IF('Residual-RosteredMATRIX-RN'!M61=0,"",'Residual-RosteredMATRIX-RN'!M61)</f>
        <v/>
      </c>
      <c r="Q77" s="25" t="str">
        <f>IF('Residual-RosteredMATRIX-RN'!N61=0,"",'Residual-RosteredMATRIX-RN'!N61)</f>
        <v/>
      </c>
      <c r="R77" s="25" t="str">
        <f>IF('Residual-RosteredMATRIX-RN'!O61=0,"",'Residual-RosteredMATRIX-RN'!O61)</f>
        <v/>
      </c>
      <c r="S77" s="25" t="str">
        <f>IF('Residual-RosteredMATRIX-RN'!P61=0,"",'Residual-RosteredMATRIX-RN'!P61)</f>
        <v/>
      </c>
      <c r="T77" s="25" t="str">
        <f>IF('Residual-RosteredMATRIX-RN'!Q61=0,"",'Residual-RosteredMATRIX-RN'!Q61)</f>
        <v/>
      </c>
      <c r="U77" s="25" t="str">
        <f>IF('Residual-RosteredMATRIX-RN'!R61=0,"",'Residual-RosteredMATRIX-RN'!R61)</f>
        <v/>
      </c>
      <c r="V77" s="25" t="str">
        <f>IF('Residual-RosteredMATRIX-RN'!S61=0,"",'Residual-RosteredMATRIX-RN'!S61)</f>
        <v/>
      </c>
      <c r="W77" s="25" t="str">
        <f>IF('Residual-RosteredMATRIX-RN'!T61=0,"",'Residual-RosteredMATRIX-RN'!T61)</f>
        <v/>
      </c>
      <c r="X77" s="25" t="str">
        <f>IF('Residual-RosteredMATRIX-RN'!U61=0,"",'Residual-RosteredMATRIX-RN'!U61)</f>
        <v/>
      </c>
      <c r="Y77" s="25" t="str">
        <f>IF('Residual-RosteredMATRIX-RN'!V61=0,"",'Residual-RosteredMATRIX-RN'!V61)</f>
        <v/>
      </c>
      <c r="Z77" s="25" t="str">
        <f>IF('Residual-RosteredMATRIX-RN'!W61=0,"",'Residual-RosteredMATRIX-RN'!W61)</f>
        <v/>
      </c>
      <c r="AA77" s="25" t="str">
        <f>IF('Residual-RosteredMATRIX-RN'!X61=0,"",'Residual-RosteredMATRIX-RN'!X61)</f>
        <v/>
      </c>
      <c r="AB77" s="25" t="str">
        <f>IF('Residual-RosteredMATRIX-RN'!Y61=0,"",'Residual-RosteredMATRIX-RN'!Y61)</f>
        <v/>
      </c>
      <c r="AC77" s="25" t="str">
        <f>IF('Residual-RosteredMATRIX-RN'!Z61=0,"",'Residual-RosteredMATRIX-RN'!Z61)</f>
        <v/>
      </c>
      <c r="AD77" s="25" t="str">
        <f>IF('Residual-RosteredMATRIX-RN'!AA61=0,"",'Residual-RosteredMATRIX-RN'!AA61)</f>
        <v/>
      </c>
      <c r="AE77" s="25" t="str">
        <f>IF('Residual-RosteredMATRIX-RN'!AB61=0,"",'Residual-RosteredMATRIX-RN'!AB61)</f>
        <v/>
      </c>
      <c r="AF77" s="25" t="str">
        <f>IF('Residual-RosteredMATRIX-RN'!AC61=0,"",'Residual-RosteredMATRIX-RN'!AC61)</f>
        <v/>
      </c>
      <c r="AG77" s="25" t="str">
        <f>IF('Residual-RosteredMATRIX-RN'!AD61=0,"",'Residual-RosteredMATRIX-RN'!AD61)</f>
        <v/>
      </c>
      <c r="AH77" s="25" t="str">
        <f>IF('Residual-RosteredMATRIX-RN'!AE61=0,"",'Residual-RosteredMATRIX-RN'!AE61)</f>
        <v/>
      </c>
      <c r="AI77" s="25" t="str">
        <f>IF('Residual-RosteredMATRIX-RN'!AF61=0,"",'Residual-RosteredMATRIX-RN'!AF61)</f>
        <v/>
      </c>
      <c r="AJ77" s="25" t="str">
        <f>IF('Residual-RosteredMATRIX-RN'!AG61=0,"",'Residual-RosteredMATRIX-RN'!AG61)</f>
        <v/>
      </c>
      <c r="AK77" s="25" t="str">
        <f>IF('Residual-RosteredMATRIX-RN'!AH61=0,"",'Residual-RosteredMATRIX-RN'!AH61)</f>
        <v/>
      </c>
      <c r="AL77" s="25" t="str">
        <f>IF('Residual-RosteredMATRIX-RN'!AI61=0,"",'Residual-RosteredMATRIX-RN'!AI61)</f>
        <v/>
      </c>
      <c r="AM77" s="25" t="str">
        <f>IF('Residual-RosteredMATRIX-RN'!AJ61=0,"",'Residual-RosteredMATRIX-RN'!AJ61)</f>
        <v/>
      </c>
      <c r="AN77" s="25" t="str">
        <f>IF('Residual-RosteredMATRIX-RN'!AK61=0,"",'Residual-RosteredMATRIX-RN'!AK61)</f>
        <v/>
      </c>
      <c r="AO77" s="25" t="str">
        <f>IF('Residual-RosteredMATRIX-RN'!AL61=0,"",'Residual-RosteredMATRIX-RN'!AL61)</f>
        <v/>
      </c>
      <c r="AP77" s="25" t="str">
        <f>IF('Residual-RosteredMATRIX-RN'!AM61=0,"",'Residual-RosteredMATRIX-RN'!AM61)</f>
        <v/>
      </c>
      <c r="AQ77" s="25" t="str">
        <f>IF('Residual-RosteredMATRIX-RN'!AN61=0,"",'Residual-RosteredMATRIX-RN'!AN61)</f>
        <v/>
      </c>
      <c r="AR77" s="25" t="str">
        <f>IF('Residual-RosteredMATRIX-RN'!AO61=0,"",'Residual-RosteredMATRIX-RN'!AO61)</f>
        <v/>
      </c>
      <c r="AS77" s="25" t="str">
        <f>IF('Residual-RosteredMATRIX-RN'!AP61=0,"",'Residual-RosteredMATRIX-RN'!AP61)</f>
        <v/>
      </c>
      <c r="AT77" s="25" t="str">
        <f>IF('Residual-RosteredMATRIX-RN'!AQ61=0,"",'Residual-RosteredMATRIX-RN'!AQ61)</f>
        <v/>
      </c>
      <c r="AU77" s="25" t="str">
        <f>IF('Residual-RosteredMATRIX-RN'!AR61=0,"",'Residual-RosteredMATRIX-RN'!AR61)</f>
        <v/>
      </c>
      <c r="AV77" s="25" t="str">
        <f>IF('Residual-RosteredMATRIX-RN'!AS61=0,"",'Residual-RosteredMATRIX-RN'!AS61)</f>
        <v/>
      </c>
      <c r="AW77" s="25" t="str">
        <f>IF('Residual-RosteredMATRIX-RN'!AT61=0,"",'Residual-RosteredMATRIX-RN'!AT61)</f>
        <v/>
      </c>
    </row>
    <row r="78" spans="1:49" ht="15.75" customHeight="1" x14ac:dyDescent="0.25">
      <c r="B78" s="33">
        <f>'Residual-RosteredMATRIX-RN'!C62</f>
        <v>0</v>
      </c>
      <c r="C78" s="33">
        <f>'Residual-RosteredMATRIX-RN'!B62</f>
        <v>0</v>
      </c>
      <c r="D78" s="34">
        <f>'Residual-RosteredMATRIX-RN'!D62</f>
        <v>0</v>
      </c>
      <c r="E78" s="14">
        <f>Max_HRS-Table3[[#This Row],[ROSTERED TIME]]</f>
        <v>76</v>
      </c>
      <c r="F78" s="14">
        <f t="shared" si="7"/>
        <v>0</v>
      </c>
      <c r="G78" s="14">
        <f>Table3[[#This Row],[ROSTERED TIME]]+Table3[[#This Row],[CHANGE TIME]]</f>
        <v>0</v>
      </c>
      <c r="H78" s="25" t="str">
        <f>IF('Residual-RosteredMATRIX-RN'!E62=0,"",'Residual-RosteredMATRIX-RN'!E62)</f>
        <v/>
      </c>
      <c r="I78" s="25" t="str">
        <f>IF('Residual-RosteredMATRIX-RN'!F62=0,"",'Residual-RosteredMATRIX-RN'!F62)</f>
        <v/>
      </c>
      <c r="J78" s="25" t="str">
        <f>IF('Residual-RosteredMATRIX-RN'!G62=0,"",'Residual-RosteredMATRIX-RN'!G62)</f>
        <v/>
      </c>
      <c r="K78" s="25" t="str">
        <f>IF('Residual-RosteredMATRIX-RN'!H62=0,"",'Residual-RosteredMATRIX-RN'!H62)</f>
        <v/>
      </c>
      <c r="L78" s="25" t="str">
        <f>IF('Residual-RosteredMATRIX-RN'!I62=0,"",'Residual-RosteredMATRIX-RN'!I62)</f>
        <v/>
      </c>
      <c r="M78" s="25" t="str">
        <f>IF('Residual-RosteredMATRIX-RN'!J62=0,"",'Residual-RosteredMATRIX-RN'!J62)</f>
        <v/>
      </c>
      <c r="N78" s="25" t="str">
        <f>IF('Residual-RosteredMATRIX-RN'!K62=0,"",'Residual-RosteredMATRIX-RN'!K62)</f>
        <v/>
      </c>
      <c r="O78" s="25" t="str">
        <f>IF('Residual-RosteredMATRIX-RN'!L62=0,"",'Residual-RosteredMATRIX-RN'!L62)</f>
        <v/>
      </c>
      <c r="P78" s="25" t="str">
        <f>IF('Residual-RosteredMATRIX-RN'!M62=0,"",'Residual-RosteredMATRIX-RN'!M62)</f>
        <v/>
      </c>
      <c r="Q78" s="25" t="str">
        <f>IF('Residual-RosteredMATRIX-RN'!N62=0,"",'Residual-RosteredMATRIX-RN'!N62)</f>
        <v/>
      </c>
      <c r="R78" s="25" t="str">
        <f>IF('Residual-RosteredMATRIX-RN'!O62=0,"",'Residual-RosteredMATRIX-RN'!O62)</f>
        <v/>
      </c>
      <c r="S78" s="25" t="str">
        <f>IF('Residual-RosteredMATRIX-RN'!P62=0,"",'Residual-RosteredMATRIX-RN'!P62)</f>
        <v/>
      </c>
      <c r="T78" s="25" t="str">
        <f>IF('Residual-RosteredMATRIX-RN'!Q62=0,"",'Residual-RosteredMATRIX-RN'!Q62)</f>
        <v/>
      </c>
      <c r="U78" s="25" t="str">
        <f>IF('Residual-RosteredMATRIX-RN'!R62=0,"",'Residual-RosteredMATRIX-RN'!R62)</f>
        <v/>
      </c>
      <c r="V78" s="25" t="str">
        <f>IF('Residual-RosteredMATRIX-RN'!S62=0,"",'Residual-RosteredMATRIX-RN'!S62)</f>
        <v/>
      </c>
      <c r="W78" s="25" t="str">
        <f>IF('Residual-RosteredMATRIX-RN'!T62=0,"",'Residual-RosteredMATRIX-RN'!T62)</f>
        <v/>
      </c>
      <c r="X78" s="25" t="str">
        <f>IF('Residual-RosteredMATRIX-RN'!U62=0,"",'Residual-RosteredMATRIX-RN'!U62)</f>
        <v/>
      </c>
      <c r="Y78" s="25" t="str">
        <f>IF('Residual-RosteredMATRIX-RN'!V62=0,"",'Residual-RosteredMATRIX-RN'!V62)</f>
        <v/>
      </c>
      <c r="Z78" s="25" t="str">
        <f>IF('Residual-RosteredMATRIX-RN'!W62=0,"",'Residual-RosteredMATRIX-RN'!W62)</f>
        <v/>
      </c>
      <c r="AA78" s="25" t="str">
        <f>IF('Residual-RosteredMATRIX-RN'!X62=0,"",'Residual-RosteredMATRIX-RN'!X62)</f>
        <v/>
      </c>
      <c r="AB78" s="25" t="str">
        <f>IF('Residual-RosteredMATRIX-RN'!Y62=0,"",'Residual-RosteredMATRIX-RN'!Y62)</f>
        <v/>
      </c>
      <c r="AC78" s="25" t="str">
        <f>IF('Residual-RosteredMATRIX-RN'!Z62=0,"",'Residual-RosteredMATRIX-RN'!Z62)</f>
        <v/>
      </c>
      <c r="AD78" s="25" t="str">
        <f>IF('Residual-RosteredMATRIX-RN'!AA62=0,"",'Residual-RosteredMATRIX-RN'!AA62)</f>
        <v/>
      </c>
      <c r="AE78" s="25" t="str">
        <f>IF('Residual-RosteredMATRIX-RN'!AB62=0,"",'Residual-RosteredMATRIX-RN'!AB62)</f>
        <v/>
      </c>
      <c r="AF78" s="25" t="str">
        <f>IF('Residual-RosteredMATRIX-RN'!AC62=0,"",'Residual-RosteredMATRIX-RN'!AC62)</f>
        <v/>
      </c>
      <c r="AG78" s="25" t="str">
        <f>IF('Residual-RosteredMATRIX-RN'!AD62=0,"",'Residual-RosteredMATRIX-RN'!AD62)</f>
        <v/>
      </c>
      <c r="AH78" s="25" t="str">
        <f>IF('Residual-RosteredMATRIX-RN'!AE62=0,"",'Residual-RosteredMATRIX-RN'!AE62)</f>
        <v/>
      </c>
      <c r="AI78" s="25" t="str">
        <f>IF('Residual-RosteredMATRIX-RN'!AF62=0,"",'Residual-RosteredMATRIX-RN'!AF62)</f>
        <v/>
      </c>
      <c r="AJ78" s="25" t="str">
        <f>IF('Residual-RosteredMATRIX-RN'!AG62=0,"",'Residual-RosteredMATRIX-RN'!AG62)</f>
        <v/>
      </c>
      <c r="AK78" s="25" t="str">
        <f>IF('Residual-RosteredMATRIX-RN'!AH62=0,"",'Residual-RosteredMATRIX-RN'!AH62)</f>
        <v/>
      </c>
      <c r="AL78" s="25" t="str">
        <f>IF('Residual-RosteredMATRIX-RN'!AI62=0,"",'Residual-RosteredMATRIX-RN'!AI62)</f>
        <v/>
      </c>
      <c r="AM78" s="25" t="str">
        <f>IF('Residual-RosteredMATRIX-RN'!AJ62=0,"",'Residual-RosteredMATRIX-RN'!AJ62)</f>
        <v/>
      </c>
      <c r="AN78" s="25" t="str">
        <f>IF('Residual-RosteredMATRIX-RN'!AK62=0,"",'Residual-RosteredMATRIX-RN'!AK62)</f>
        <v/>
      </c>
      <c r="AO78" s="25" t="str">
        <f>IF('Residual-RosteredMATRIX-RN'!AL62=0,"",'Residual-RosteredMATRIX-RN'!AL62)</f>
        <v/>
      </c>
      <c r="AP78" s="25" t="str">
        <f>IF('Residual-RosteredMATRIX-RN'!AM62=0,"",'Residual-RosteredMATRIX-RN'!AM62)</f>
        <v/>
      </c>
      <c r="AQ78" s="25" t="str">
        <f>IF('Residual-RosteredMATRIX-RN'!AN62=0,"",'Residual-RosteredMATRIX-RN'!AN62)</f>
        <v/>
      </c>
      <c r="AR78" s="25" t="str">
        <f>IF('Residual-RosteredMATRIX-RN'!AO62=0,"",'Residual-RosteredMATRIX-RN'!AO62)</f>
        <v/>
      </c>
      <c r="AS78" s="25" t="str">
        <f>IF('Residual-RosteredMATRIX-RN'!AP62=0,"",'Residual-RosteredMATRIX-RN'!AP62)</f>
        <v/>
      </c>
      <c r="AT78" s="25" t="str">
        <f>IF('Residual-RosteredMATRIX-RN'!AQ62=0,"",'Residual-RosteredMATRIX-RN'!AQ62)</f>
        <v/>
      </c>
      <c r="AU78" s="25" t="str">
        <f>IF('Residual-RosteredMATRIX-RN'!AR62=0,"",'Residual-RosteredMATRIX-RN'!AR62)</f>
        <v/>
      </c>
      <c r="AV78" s="25" t="str">
        <f>IF('Residual-RosteredMATRIX-RN'!AS62=0,"",'Residual-RosteredMATRIX-RN'!AS62)</f>
        <v/>
      </c>
      <c r="AW78" s="25" t="str">
        <f>IF('Residual-RosteredMATRIX-RN'!AT62=0,"",'Residual-RosteredMATRIX-RN'!AT62)</f>
        <v/>
      </c>
    </row>
    <row r="79" spans="1:49" ht="15.75" customHeight="1" x14ac:dyDescent="0.25">
      <c r="B79" s="33">
        <f>'Residual-RosteredMATRIX-RN'!C63</f>
        <v>0</v>
      </c>
      <c r="C79" s="33">
        <f>'Residual-RosteredMATRIX-RN'!B63</f>
        <v>0</v>
      </c>
      <c r="D79" s="34">
        <f>'Residual-RosteredMATRIX-RN'!D63</f>
        <v>0</v>
      </c>
      <c r="E79" s="14">
        <f>Max_HRS-Table3[[#This Row],[ROSTERED TIME]]</f>
        <v>76</v>
      </c>
      <c r="F79" s="14">
        <f t="shared" si="7"/>
        <v>0</v>
      </c>
      <c r="G79" s="14">
        <f>Table3[[#This Row],[ROSTERED TIME]]+Table3[[#This Row],[CHANGE TIME]]</f>
        <v>0</v>
      </c>
      <c r="H79" s="25" t="str">
        <f>IF('Residual-RosteredMATRIX-RN'!E63=0,"",'Residual-RosteredMATRIX-RN'!E63)</f>
        <v/>
      </c>
      <c r="I79" s="25" t="str">
        <f>IF('Residual-RosteredMATRIX-RN'!F63=0,"",'Residual-RosteredMATRIX-RN'!F63)</f>
        <v/>
      </c>
      <c r="J79" s="25" t="str">
        <f>IF('Residual-RosteredMATRIX-RN'!G63=0,"",'Residual-RosteredMATRIX-RN'!G63)</f>
        <v/>
      </c>
      <c r="K79" s="25" t="str">
        <f>IF('Residual-RosteredMATRIX-RN'!H63=0,"",'Residual-RosteredMATRIX-RN'!H63)</f>
        <v/>
      </c>
      <c r="L79" s="25" t="str">
        <f>IF('Residual-RosteredMATRIX-RN'!I63=0,"",'Residual-RosteredMATRIX-RN'!I63)</f>
        <v/>
      </c>
      <c r="M79" s="25" t="str">
        <f>IF('Residual-RosteredMATRIX-RN'!J63=0,"",'Residual-RosteredMATRIX-RN'!J63)</f>
        <v/>
      </c>
      <c r="N79" s="25" t="str">
        <f>IF('Residual-RosteredMATRIX-RN'!K63=0,"",'Residual-RosteredMATRIX-RN'!K63)</f>
        <v/>
      </c>
      <c r="O79" s="25" t="str">
        <f>IF('Residual-RosteredMATRIX-RN'!L63=0,"",'Residual-RosteredMATRIX-RN'!L63)</f>
        <v/>
      </c>
      <c r="P79" s="25" t="str">
        <f>IF('Residual-RosteredMATRIX-RN'!M63=0,"",'Residual-RosteredMATRIX-RN'!M63)</f>
        <v/>
      </c>
      <c r="Q79" s="25" t="str">
        <f>IF('Residual-RosteredMATRIX-RN'!N63=0,"",'Residual-RosteredMATRIX-RN'!N63)</f>
        <v/>
      </c>
      <c r="R79" s="25" t="str">
        <f>IF('Residual-RosteredMATRIX-RN'!O63=0,"",'Residual-RosteredMATRIX-RN'!O63)</f>
        <v/>
      </c>
      <c r="S79" s="25" t="str">
        <f>IF('Residual-RosteredMATRIX-RN'!P63=0,"",'Residual-RosteredMATRIX-RN'!P63)</f>
        <v/>
      </c>
      <c r="T79" s="25" t="str">
        <f>IF('Residual-RosteredMATRIX-RN'!Q63=0,"",'Residual-RosteredMATRIX-RN'!Q63)</f>
        <v/>
      </c>
      <c r="U79" s="25" t="str">
        <f>IF('Residual-RosteredMATRIX-RN'!R63=0,"",'Residual-RosteredMATRIX-RN'!R63)</f>
        <v/>
      </c>
      <c r="V79" s="25" t="str">
        <f>IF('Residual-RosteredMATRIX-RN'!S63=0,"",'Residual-RosteredMATRIX-RN'!S63)</f>
        <v/>
      </c>
      <c r="W79" s="25" t="str">
        <f>IF('Residual-RosteredMATRIX-RN'!T63=0,"",'Residual-RosteredMATRIX-RN'!T63)</f>
        <v/>
      </c>
      <c r="X79" s="25" t="str">
        <f>IF('Residual-RosteredMATRIX-RN'!U63=0,"",'Residual-RosteredMATRIX-RN'!U63)</f>
        <v/>
      </c>
      <c r="Y79" s="25" t="str">
        <f>IF('Residual-RosteredMATRIX-RN'!V63=0,"",'Residual-RosteredMATRIX-RN'!V63)</f>
        <v/>
      </c>
      <c r="Z79" s="25" t="str">
        <f>IF('Residual-RosteredMATRIX-RN'!W63=0,"",'Residual-RosteredMATRIX-RN'!W63)</f>
        <v/>
      </c>
      <c r="AA79" s="25" t="str">
        <f>IF('Residual-RosteredMATRIX-RN'!X63=0,"",'Residual-RosteredMATRIX-RN'!X63)</f>
        <v/>
      </c>
      <c r="AB79" s="25" t="str">
        <f>IF('Residual-RosteredMATRIX-RN'!Y63=0,"",'Residual-RosteredMATRIX-RN'!Y63)</f>
        <v/>
      </c>
      <c r="AC79" s="25" t="str">
        <f>IF('Residual-RosteredMATRIX-RN'!Z63=0,"",'Residual-RosteredMATRIX-RN'!Z63)</f>
        <v/>
      </c>
      <c r="AD79" s="25" t="str">
        <f>IF('Residual-RosteredMATRIX-RN'!AA63=0,"",'Residual-RosteredMATRIX-RN'!AA63)</f>
        <v/>
      </c>
      <c r="AE79" s="25" t="str">
        <f>IF('Residual-RosteredMATRIX-RN'!AB63=0,"",'Residual-RosteredMATRIX-RN'!AB63)</f>
        <v/>
      </c>
      <c r="AF79" s="25" t="str">
        <f>IF('Residual-RosteredMATRIX-RN'!AC63=0,"",'Residual-RosteredMATRIX-RN'!AC63)</f>
        <v/>
      </c>
      <c r="AG79" s="25" t="str">
        <f>IF('Residual-RosteredMATRIX-RN'!AD63=0,"",'Residual-RosteredMATRIX-RN'!AD63)</f>
        <v/>
      </c>
      <c r="AH79" s="25" t="str">
        <f>IF('Residual-RosteredMATRIX-RN'!AE63=0,"",'Residual-RosteredMATRIX-RN'!AE63)</f>
        <v/>
      </c>
      <c r="AI79" s="25" t="str">
        <f>IF('Residual-RosteredMATRIX-RN'!AF63=0,"",'Residual-RosteredMATRIX-RN'!AF63)</f>
        <v/>
      </c>
      <c r="AJ79" s="25" t="str">
        <f>IF('Residual-RosteredMATRIX-RN'!AG63=0,"",'Residual-RosteredMATRIX-RN'!AG63)</f>
        <v/>
      </c>
      <c r="AK79" s="25" t="str">
        <f>IF('Residual-RosteredMATRIX-RN'!AH63=0,"",'Residual-RosteredMATRIX-RN'!AH63)</f>
        <v/>
      </c>
      <c r="AL79" s="25" t="str">
        <f>IF('Residual-RosteredMATRIX-RN'!AI63=0,"",'Residual-RosteredMATRIX-RN'!AI63)</f>
        <v/>
      </c>
      <c r="AM79" s="25" t="str">
        <f>IF('Residual-RosteredMATRIX-RN'!AJ63=0,"",'Residual-RosteredMATRIX-RN'!AJ63)</f>
        <v/>
      </c>
      <c r="AN79" s="25" t="str">
        <f>IF('Residual-RosteredMATRIX-RN'!AK63=0,"",'Residual-RosteredMATRIX-RN'!AK63)</f>
        <v/>
      </c>
      <c r="AO79" s="25" t="str">
        <f>IF('Residual-RosteredMATRIX-RN'!AL63=0,"",'Residual-RosteredMATRIX-RN'!AL63)</f>
        <v/>
      </c>
      <c r="AP79" s="25" t="str">
        <f>IF('Residual-RosteredMATRIX-RN'!AM63=0,"",'Residual-RosteredMATRIX-RN'!AM63)</f>
        <v/>
      </c>
      <c r="AQ79" s="25" t="str">
        <f>IF('Residual-RosteredMATRIX-RN'!AN63=0,"",'Residual-RosteredMATRIX-RN'!AN63)</f>
        <v/>
      </c>
      <c r="AR79" s="25" t="str">
        <f>IF('Residual-RosteredMATRIX-RN'!AO63=0,"",'Residual-RosteredMATRIX-RN'!AO63)</f>
        <v/>
      </c>
      <c r="AS79" s="25" t="str">
        <f>IF('Residual-RosteredMATRIX-RN'!AP63=0,"",'Residual-RosteredMATRIX-RN'!AP63)</f>
        <v/>
      </c>
      <c r="AT79" s="25" t="str">
        <f>IF('Residual-RosteredMATRIX-RN'!AQ63=0,"",'Residual-RosteredMATRIX-RN'!AQ63)</f>
        <v/>
      </c>
      <c r="AU79" s="25" t="str">
        <f>IF('Residual-RosteredMATRIX-RN'!AR63=0,"",'Residual-RosteredMATRIX-RN'!AR63)</f>
        <v/>
      </c>
      <c r="AV79" s="25" t="str">
        <f>IF('Residual-RosteredMATRIX-RN'!AS63=0,"",'Residual-RosteredMATRIX-RN'!AS63)</f>
        <v/>
      </c>
      <c r="AW79" s="25" t="str">
        <f>IF('Residual-RosteredMATRIX-RN'!AT63=0,"",'Residual-RosteredMATRIX-RN'!AT63)</f>
        <v/>
      </c>
    </row>
    <row r="80" spans="1:49" ht="15.75" customHeight="1" x14ac:dyDescent="0.25">
      <c r="B80" s="33">
        <f>'Residual-RosteredMATRIX-RN'!C64</f>
        <v>0</v>
      </c>
      <c r="C80" s="33">
        <f>'Residual-RosteredMATRIX-RN'!B64</f>
        <v>0</v>
      </c>
      <c r="D80" s="34">
        <f>'Residual-RosteredMATRIX-RN'!D64</f>
        <v>0</v>
      </c>
      <c r="E80" s="14">
        <f>Max_HRS-Table3[[#This Row],[ROSTERED TIME]]</f>
        <v>76</v>
      </c>
      <c r="F80" s="14">
        <f t="shared" si="7"/>
        <v>0</v>
      </c>
      <c r="G80" s="14">
        <f>Table3[[#This Row],[ROSTERED TIME]]+Table3[[#This Row],[CHANGE TIME]]</f>
        <v>0</v>
      </c>
      <c r="H80" s="25" t="str">
        <f>IF('Residual-RosteredMATRIX-RN'!E64=0,"",'Residual-RosteredMATRIX-RN'!E64)</f>
        <v/>
      </c>
      <c r="I80" s="25" t="str">
        <f>IF('Residual-RosteredMATRIX-RN'!F64=0,"",'Residual-RosteredMATRIX-RN'!F64)</f>
        <v/>
      </c>
      <c r="J80" s="25" t="str">
        <f>IF('Residual-RosteredMATRIX-RN'!G64=0,"",'Residual-RosteredMATRIX-RN'!G64)</f>
        <v/>
      </c>
      <c r="K80" s="25" t="str">
        <f>IF('Residual-RosteredMATRIX-RN'!H64=0,"",'Residual-RosteredMATRIX-RN'!H64)</f>
        <v/>
      </c>
      <c r="L80" s="25" t="str">
        <f>IF('Residual-RosteredMATRIX-RN'!I64=0,"",'Residual-RosteredMATRIX-RN'!I64)</f>
        <v/>
      </c>
      <c r="M80" s="25" t="str">
        <f>IF('Residual-RosteredMATRIX-RN'!J64=0,"",'Residual-RosteredMATRIX-RN'!J64)</f>
        <v/>
      </c>
      <c r="N80" s="25" t="str">
        <f>IF('Residual-RosteredMATRIX-RN'!K64=0,"",'Residual-RosteredMATRIX-RN'!K64)</f>
        <v/>
      </c>
      <c r="O80" s="25" t="str">
        <f>IF('Residual-RosteredMATRIX-RN'!L64=0,"",'Residual-RosteredMATRIX-RN'!L64)</f>
        <v/>
      </c>
      <c r="P80" s="25" t="str">
        <f>IF('Residual-RosteredMATRIX-RN'!M64=0,"",'Residual-RosteredMATRIX-RN'!M64)</f>
        <v/>
      </c>
      <c r="Q80" s="25" t="str">
        <f>IF('Residual-RosteredMATRIX-RN'!N64=0,"",'Residual-RosteredMATRIX-RN'!N64)</f>
        <v/>
      </c>
      <c r="R80" s="25" t="str">
        <f>IF('Residual-RosteredMATRIX-RN'!O64=0,"",'Residual-RosteredMATRIX-RN'!O64)</f>
        <v/>
      </c>
      <c r="S80" s="25" t="str">
        <f>IF('Residual-RosteredMATRIX-RN'!P64=0,"",'Residual-RosteredMATRIX-RN'!P64)</f>
        <v/>
      </c>
      <c r="T80" s="25" t="str">
        <f>IF('Residual-RosteredMATRIX-RN'!Q64=0,"",'Residual-RosteredMATRIX-RN'!Q64)</f>
        <v/>
      </c>
      <c r="U80" s="25" t="str">
        <f>IF('Residual-RosteredMATRIX-RN'!R64=0,"",'Residual-RosteredMATRIX-RN'!R64)</f>
        <v/>
      </c>
      <c r="V80" s="25" t="str">
        <f>IF('Residual-RosteredMATRIX-RN'!S64=0,"",'Residual-RosteredMATRIX-RN'!S64)</f>
        <v/>
      </c>
      <c r="W80" s="25" t="str">
        <f>IF('Residual-RosteredMATRIX-RN'!T64=0,"",'Residual-RosteredMATRIX-RN'!T64)</f>
        <v/>
      </c>
      <c r="X80" s="25" t="str">
        <f>IF('Residual-RosteredMATRIX-RN'!U64=0,"",'Residual-RosteredMATRIX-RN'!U64)</f>
        <v/>
      </c>
      <c r="Y80" s="25" t="str">
        <f>IF('Residual-RosteredMATRIX-RN'!V64=0,"",'Residual-RosteredMATRIX-RN'!V64)</f>
        <v/>
      </c>
      <c r="Z80" s="25" t="str">
        <f>IF('Residual-RosteredMATRIX-RN'!W64=0,"",'Residual-RosteredMATRIX-RN'!W64)</f>
        <v/>
      </c>
      <c r="AA80" s="25" t="str">
        <f>IF('Residual-RosteredMATRIX-RN'!X64=0,"",'Residual-RosteredMATRIX-RN'!X64)</f>
        <v/>
      </c>
      <c r="AB80" s="25" t="str">
        <f>IF('Residual-RosteredMATRIX-RN'!Y64=0,"",'Residual-RosteredMATRIX-RN'!Y64)</f>
        <v/>
      </c>
      <c r="AC80" s="25" t="str">
        <f>IF('Residual-RosteredMATRIX-RN'!Z64=0,"",'Residual-RosteredMATRIX-RN'!Z64)</f>
        <v/>
      </c>
      <c r="AD80" s="25" t="str">
        <f>IF('Residual-RosteredMATRIX-RN'!AA64=0,"",'Residual-RosteredMATRIX-RN'!AA64)</f>
        <v/>
      </c>
      <c r="AE80" s="25" t="str">
        <f>IF('Residual-RosteredMATRIX-RN'!AB64=0,"",'Residual-RosteredMATRIX-RN'!AB64)</f>
        <v/>
      </c>
      <c r="AF80" s="25" t="str">
        <f>IF('Residual-RosteredMATRIX-RN'!AC64=0,"",'Residual-RosteredMATRIX-RN'!AC64)</f>
        <v/>
      </c>
      <c r="AG80" s="25" t="str">
        <f>IF('Residual-RosteredMATRIX-RN'!AD64=0,"",'Residual-RosteredMATRIX-RN'!AD64)</f>
        <v/>
      </c>
      <c r="AH80" s="25" t="str">
        <f>IF('Residual-RosteredMATRIX-RN'!AE64=0,"",'Residual-RosteredMATRIX-RN'!AE64)</f>
        <v/>
      </c>
      <c r="AI80" s="25" t="str">
        <f>IF('Residual-RosteredMATRIX-RN'!AF64=0,"",'Residual-RosteredMATRIX-RN'!AF64)</f>
        <v/>
      </c>
      <c r="AJ80" s="25" t="str">
        <f>IF('Residual-RosteredMATRIX-RN'!AG64=0,"",'Residual-RosteredMATRIX-RN'!AG64)</f>
        <v/>
      </c>
      <c r="AK80" s="25" t="str">
        <f>IF('Residual-RosteredMATRIX-RN'!AH64=0,"",'Residual-RosteredMATRIX-RN'!AH64)</f>
        <v/>
      </c>
      <c r="AL80" s="25" t="str">
        <f>IF('Residual-RosteredMATRIX-RN'!AI64=0,"",'Residual-RosteredMATRIX-RN'!AI64)</f>
        <v/>
      </c>
      <c r="AM80" s="25" t="str">
        <f>IF('Residual-RosteredMATRIX-RN'!AJ64=0,"",'Residual-RosteredMATRIX-RN'!AJ64)</f>
        <v/>
      </c>
      <c r="AN80" s="25" t="str">
        <f>IF('Residual-RosteredMATRIX-RN'!AK64=0,"",'Residual-RosteredMATRIX-RN'!AK64)</f>
        <v/>
      </c>
      <c r="AO80" s="25" t="str">
        <f>IF('Residual-RosteredMATRIX-RN'!AL64=0,"",'Residual-RosteredMATRIX-RN'!AL64)</f>
        <v/>
      </c>
      <c r="AP80" s="25" t="str">
        <f>IF('Residual-RosteredMATRIX-RN'!AM64=0,"",'Residual-RosteredMATRIX-RN'!AM64)</f>
        <v/>
      </c>
      <c r="AQ80" s="25" t="str">
        <f>IF('Residual-RosteredMATRIX-RN'!AN64=0,"",'Residual-RosteredMATRIX-RN'!AN64)</f>
        <v/>
      </c>
      <c r="AR80" s="25" t="str">
        <f>IF('Residual-RosteredMATRIX-RN'!AO64=0,"",'Residual-RosteredMATRIX-RN'!AO64)</f>
        <v/>
      </c>
      <c r="AS80" s="25" t="str">
        <f>IF('Residual-RosteredMATRIX-RN'!AP64=0,"",'Residual-RosteredMATRIX-RN'!AP64)</f>
        <v/>
      </c>
      <c r="AT80" s="25" t="str">
        <f>IF('Residual-RosteredMATRIX-RN'!AQ64=0,"",'Residual-RosteredMATRIX-RN'!AQ64)</f>
        <v/>
      </c>
      <c r="AU80" s="25" t="str">
        <f>IF('Residual-RosteredMATRIX-RN'!AR64=0,"",'Residual-RosteredMATRIX-RN'!AR64)</f>
        <v/>
      </c>
      <c r="AV80" s="25" t="str">
        <f>IF('Residual-RosteredMATRIX-RN'!AS64=0,"",'Residual-RosteredMATRIX-RN'!AS64)</f>
        <v/>
      </c>
      <c r="AW80" s="25" t="str">
        <f>IF('Residual-RosteredMATRIX-RN'!AT64=0,"",'Residual-RosteredMATRIX-RN'!AT64)</f>
        <v/>
      </c>
    </row>
    <row r="81" spans="2:49" ht="15.75" customHeight="1" x14ac:dyDescent="0.25">
      <c r="B81" s="33">
        <f>'Residual-RosteredMATRIX-RN'!C65</f>
        <v>0</v>
      </c>
      <c r="C81" s="33">
        <f>'Residual-RosteredMATRIX-RN'!B65</f>
        <v>0</v>
      </c>
      <c r="D81" s="34">
        <f>'Residual-RosteredMATRIX-RN'!D65</f>
        <v>0</v>
      </c>
      <c r="E81" s="14">
        <f>Max_HRS-Table3[[#This Row],[ROSTERED TIME]]</f>
        <v>76</v>
      </c>
      <c r="F81" s="14">
        <f t="shared" si="7"/>
        <v>0</v>
      </c>
      <c r="G81" s="14">
        <f>Table3[[#This Row],[ROSTERED TIME]]+Table3[[#This Row],[CHANGE TIME]]</f>
        <v>0</v>
      </c>
      <c r="H81" s="25" t="str">
        <f>IF('Residual-RosteredMATRIX-RN'!E65=0,"",'Residual-RosteredMATRIX-RN'!E65)</f>
        <v/>
      </c>
      <c r="I81" s="25" t="str">
        <f>IF('Residual-RosteredMATRIX-RN'!F65=0,"",'Residual-RosteredMATRIX-RN'!F65)</f>
        <v/>
      </c>
      <c r="J81" s="25" t="str">
        <f>IF('Residual-RosteredMATRIX-RN'!G65=0,"",'Residual-RosteredMATRIX-RN'!G65)</f>
        <v/>
      </c>
      <c r="K81" s="25" t="str">
        <f>IF('Residual-RosteredMATRIX-RN'!H65=0,"",'Residual-RosteredMATRIX-RN'!H65)</f>
        <v/>
      </c>
      <c r="L81" s="25" t="str">
        <f>IF('Residual-RosteredMATRIX-RN'!I65=0,"",'Residual-RosteredMATRIX-RN'!I65)</f>
        <v/>
      </c>
      <c r="M81" s="25" t="str">
        <f>IF('Residual-RosteredMATRIX-RN'!J65=0,"",'Residual-RosteredMATRIX-RN'!J65)</f>
        <v/>
      </c>
      <c r="N81" s="25" t="str">
        <f>IF('Residual-RosteredMATRIX-RN'!K65=0,"",'Residual-RosteredMATRIX-RN'!K65)</f>
        <v/>
      </c>
      <c r="O81" s="25" t="str">
        <f>IF('Residual-RosteredMATRIX-RN'!L65=0,"",'Residual-RosteredMATRIX-RN'!L65)</f>
        <v/>
      </c>
      <c r="P81" s="25" t="str">
        <f>IF('Residual-RosteredMATRIX-RN'!M65=0,"",'Residual-RosteredMATRIX-RN'!M65)</f>
        <v/>
      </c>
      <c r="Q81" s="25" t="str">
        <f>IF('Residual-RosteredMATRIX-RN'!N65=0,"",'Residual-RosteredMATRIX-RN'!N65)</f>
        <v/>
      </c>
      <c r="R81" s="25" t="str">
        <f>IF('Residual-RosteredMATRIX-RN'!O65=0,"",'Residual-RosteredMATRIX-RN'!O65)</f>
        <v/>
      </c>
      <c r="S81" s="25" t="str">
        <f>IF('Residual-RosteredMATRIX-RN'!P65=0,"",'Residual-RosteredMATRIX-RN'!P65)</f>
        <v/>
      </c>
      <c r="T81" s="25" t="str">
        <f>IF('Residual-RosteredMATRIX-RN'!Q65=0,"",'Residual-RosteredMATRIX-RN'!Q65)</f>
        <v/>
      </c>
      <c r="U81" s="25" t="str">
        <f>IF('Residual-RosteredMATRIX-RN'!R65=0,"",'Residual-RosteredMATRIX-RN'!R65)</f>
        <v/>
      </c>
      <c r="V81" s="25" t="str">
        <f>IF('Residual-RosteredMATRIX-RN'!S65=0,"",'Residual-RosteredMATRIX-RN'!S65)</f>
        <v/>
      </c>
      <c r="W81" s="25" t="str">
        <f>IF('Residual-RosteredMATRIX-RN'!T65=0,"",'Residual-RosteredMATRIX-RN'!T65)</f>
        <v/>
      </c>
      <c r="X81" s="25" t="str">
        <f>IF('Residual-RosteredMATRIX-RN'!U65=0,"",'Residual-RosteredMATRIX-RN'!U65)</f>
        <v/>
      </c>
      <c r="Y81" s="25" t="str">
        <f>IF('Residual-RosteredMATRIX-RN'!V65=0,"",'Residual-RosteredMATRIX-RN'!V65)</f>
        <v/>
      </c>
      <c r="Z81" s="25" t="str">
        <f>IF('Residual-RosteredMATRIX-RN'!W65=0,"",'Residual-RosteredMATRIX-RN'!W65)</f>
        <v/>
      </c>
      <c r="AA81" s="25" t="str">
        <f>IF('Residual-RosteredMATRIX-RN'!X65=0,"",'Residual-RosteredMATRIX-RN'!X65)</f>
        <v/>
      </c>
      <c r="AB81" s="25" t="str">
        <f>IF('Residual-RosteredMATRIX-RN'!Y65=0,"",'Residual-RosteredMATRIX-RN'!Y65)</f>
        <v/>
      </c>
      <c r="AC81" s="25" t="str">
        <f>IF('Residual-RosteredMATRIX-RN'!Z65=0,"",'Residual-RosteredMATRIX-RN'!Z65)</f>
        <v/>
      </c>
      <c r="AD81" s="25" t="str">
        <f>IF('Residual-RosteredMATRIX-RN'!AA65=0,"",'Residual-RosteredMATRIX-RN'!AA65)</f>
        <v/>
      </c>
      <c r="AE81" s="25" t="str">
        <f>IF('Residual-RosteredMATRIX-RN'!AB65=0,"",'Residual-RosteredMATRIX-RN'!AB65)</f>
        <v/>
      </c>
      <c r="AF81" s="25" t="str">
        <f>IF('Residual-RosteredMATRIX-RN'!AC65=0,"",'Residual-RosteredMATRIX-RN'!AC65)</f>
        <v/>
      </c>
      <c r="AG81" s="25" t="str">
        <f>IF('Residual-RosteredMATRIX-RN'!AD65=0,"",'Residual-RosteredMATRIX-RN'!AD65)</f>
        <v/>
      </c>
      <c r="AH81" s="25" t="str">
        <f>IF('Residual-RosteredMATRIX-RN'!AE65=0,"",'Residual-RosteredMATRIX-RN'!AE65)</f>
        <v/>
      </c>
      <c r="AI81" s="25" t="str">
        <f>IF('Residual-RosteredMATRIX-RN'!AF65=0,"",'Residual-RosteredMATRIX-RN'!AF65)</f>
        <v/>
      </c>
      <c r="AJ81" s="25" t="str">
        <f>IF('Residual-RosteredMATRIX-RN'!AG65=0,"",'Residual-RosteredMATRIX-RN'!AG65)</f>
        <v/>
      </c>
      <c r="AK81" s="25" t="str">
        <f>IF('Residual-RosteredMATRIX-RN'!AH65=0,"",'Residual-RosteredMATRIX-RN'!AH65)</f>
        <v/>
      </c>
      <c r="AL81" s="25" t="str">
        <f>IF('Residual-RosteredMATRIX-RN'!AI65=0,"",'Residual-RosteredMATRIX-RN'!AI65)</f>
        <v/>
      </c>
      <c r="AM81" s="25" t="str">
        <f>IF('Residual-RosteredMATRIX-RN'!AJ65=0,"",'Residual-RosteredMATRIX-RN'!AJ65)</f>
        <v/>
      </c>
      <c r="AN81" s="25" t="str">
        <f>IF('Residual-RosteredMATRIX-RN'!AK65=0,"",'Residual-RosteredMATRIX-RN'!AK65)</f>
        <v/>
      </c>
      <c r="AO81" s="25" t="str">
        <f>IF('Residual-RosteredMATRIX-RN'!AL65=0,"",'Residual-RosteredMATRIX-RN'!AL65)</f>
        <v/>
      </c>
      <c r="AP81" s="25" t="str">
        <f>IF('Residual-RosteredMATRIX-RN'!AM65=0,"",'Residual-RosteredMATRIX-RN'!AM65)</f>
        <v/>
      </c>
      <c r="AQ81" s="25" t="str">
        <f>IF('Residual-RosteredMATRIX-RN'!AN65=0,"",'Residual-RosteredMATRIX-RN'!AN65)</f>
        <v/>
      </c>
      <c r="AR81" s="25" t="str">
        <f>IF('Residual-RosteredMATRIX-RN'!AO65=0,"",'Residual-RosteredMATRIX-RN'!AO65)</f>
        <v/>
      </c>
      <c r="AS81" s="25" t="str">
        <f>IF('Residual-RosteredMATRIX-RN'!AP65=0,"",'Residual-RosteredMATRIX-RN'!AP65)</f>
        <v/>
      </c>
      <c r="AT81" s="25" t="str">
        <f>IF('Residual-RosteredMATRIX-RN'!AQ65=0,"",'Residual-RosteredMATRIX-RN'!AQ65)</f>
        <v/>
      </c>
      <c r="AU81" s="25" t="str">
        <f>IF('Residual-RosteredMATRIX-RN'!AR65=0,"",'Residual-RosteredMATRIX-RN'!AR65)</f>
        <v/>
      </c>
      <c r="AV81" s="25" t="str">
        <f>IF('Residual-RosteredMATRIX-RN'!AS65=0,"",'Residual-RosteredMATRIX-RN'!AS65)</f>
        <v/>
      </c>
      <c r="AW81" s="25" t="str">
        <f>IF('Residual-RosteredMATRIX-RN'!AT65=0,"",'Residual-RosteredMATRIX-RN'!AT65)</f>
        <v/>
      </c>
    </row>
    <row r="82" spans="2:49" ht="15.75" customHeight="1" x14ac:dyDescent="0.25">
      <c r="B82" s="33">
        <f>'Residual-RosteredMATRIX-RN'!C66</f>
        <v>0</v>
      </c>
      <c r="C82" s="33">
        <f>'Residual-RosteredMATRIX-RN'!B66</f>
        <v>0</v>
      </c>
      <c r="D82" s="34">
        <f>'Residual-RosteredMATRIX-RN'!D66</f>
        <v>0</v>
      </c>
      <c r="E82" s="14">
        <f>Max_HRS-Table3[[#This Row],[ROSTERED TIME]]</f>
        <v>76</v>
      </c>
      <c r="F82" s="14">
        <f t="shared" si="7"/>
        <v>0</v>
      </c>
      <c r="G82" s="14">
        <f>Table3[[#This Row],[ROSTERED TIME]]+Table3[[#This Row],[CHANGE TIME]]</f>
        <v>0</v>
      </c>
      <c r="H82" s="25" t="str">
        <f>IF('Residual-RosteredMATRIX-RN'!E66=0,"",'Residual-RosteredMATRIX-RN'!E66)</f>
        <v/>
      </c>
      <c r="I82" s="25" t="str">
        <f>IF('Residual-RosteredMATRIX-RN'!F66=0,"",'Residual-RosteredMATRIX-RN'!F66)</f>
        <v/>
      </c>
      <c r="J82" s="25" t="str">
        <f>IF('Residual-RosteredMATRIX-RN'!G66=0,"",'Residual-RosteredMATRIX-RN'!G66)</f>
        <v/>
      </c>
      <c r="K82" s="25" t="str">
        <f>IF('Residual-RosteredMATRIX-RN'!H66=0,"",'Residual-RosteredMATRIX-RN'!H66)</f>
        <v/>
      </c>
      <c r="L82" s="25" t="str">
        <f>IF('Residual-RosteredMATRIX-RN'!I66=0,"",'Residual-RosteredMATRIX-RN'!I66)</f>
        <v/>
      </c>
      <c r="M82" s="25" t="str">
        <f>IF('Residual-RosteredMATRIX-RN'!J66=0,"",'Residual-RosteredMATRIX-RN'!J66)</f>
        <v/>
      </c>
      <c r="N82" s="25" t="str">
        <f>IF('Residual-RosteredMATRIX-RN'!K66=0,"",'Residual-RosteredMATRIX-RN'!K66)</f>
        <v/>
      </c>
      <c r="O82" s="25" t="str">
        <f>IF('Residual-RosteredMATRIX-RN'!L66=0,"",'Residual-RosteredMATRIX-RN'!L66)</f>
        <v/>
      </c>
      <c r="P82" s="25" t="str">
        <f>IF('Residual-RosteredMATRIX-RN'!M66=0,"",'Residual-RosteredMATRIX-RN'!M66)</f>
        <v/>
      </c>
      <c r="Q82" s="25" t="str">
        <f>IF('Residual-RosteredMATRIX-RN'!N66=0,"",'Residual-RosteredMATRIX-RN'!N66)</f>
        <v/>
      </c>
      <c r="R82" s="25" t="str">
        <f>IF('Residual-RosteredMATRIX-RN'!O66=0,"",'Residual-RosteredMATRIX-RN'!O66)</f>
        <v/>
      </c>
      <c r="S82" s="25" t="str">
        <f>IF('Residual-RosteredMATRIX-RN'!P66=0,"",'Residual-RosteredMATRIX-RN'!P66)</f>
        <v/>
      </c>
      <c r="T82" s="25" t="str">
        <f>IF('Residual-RosteredMATRIX-RN'!Q66=0,"",'Residual-RosteredMATRIX-RN'!Q66)</f>
        <v/>
      </c>
      <c r="U82" s="25" t="str">
        <f>IF('Residual-RosteredMATRIX-RN'!R66=0,"",'Residual-RosteredMATRIX-RN'!R66)</f>
        <v/>
      </c>
      <c r="V82" s="25" t="str">
        <f>IF('Residual-RosteredMATRIX-RN'!S66=0,"",'Residual-RosteredMATRIX-RN'!S66)</f>
        <v/>
      </c>
      <c r="W82" s="25" t="str">
        <f>IF('Residual-RosteredMATRIX-RN'!T66=0,"",'Residual-RosteredMATRIX-RN'!T66)</f>
        <v/>
      </c>
      <c r="X82" s="25" t="str">
        <f>IF('Residual-RosteredMATRIX-RN'!U66=0,"",'Residual-RosteredMATRIX-RN'!U66)</f>
        <v/>
      </c>
      <c r="Y82" s="25" t="str">
        <f>IF('Residual-RosteredMATRIX-RN'!V66=0,"",'Residual-RosteredMATRIX-RN'!V66)</f>
        <v/>
      </c>
      <c r="Z82" s="25" t="str">
        <f>IF('Residual-RosteredMATRIX-RN'!W66=0,"",'Residual-RosteredMATRIX-RN'!W66)</f>
        <v/>
      </c>
      <c r="AA82" s="25" t="str">
        <f>IF('Residual-RosteredMATRIX-RN'!X66=0,"",'Residual-RosteredMATRIX-RN'!X66)</f>
        <v/>
      </c>
      <c r="AB82" s="25" t="str">
        <f>IF('Residual-RosteredMATRIX-RN'!Y66=0,"",'Residual-RosteredMATRIX-RN'!Y66)</f>
        <v/>
      </c>
      <c r="AC82" s="25" t="str">
        <f>IF('Residual-RosteredMATRIX-RN'!Z66=0,"",'Residual-RosteredMATRIX-RN'!Z66)</f>
        <v/>
      </c>
      <c r="AD82" s="25" t="str">
        <f>IF('Residual-RosteredMATRIX-RN'!AA66=0,"",'Residual-RosteredMATRIX-RN'!AA66)</f>
        <v/>
      </c>
      <c r="AE82" s="25" t="str">
        <f>IF('Residual-RosteredMATRIX-RN'!AB66=0,"",'Residual-RosteredMATRIX-RN'!AB66)</f>
        <v/>
      </c>
      <c r="AF82" s="25" t="str">
        <f>IF('Residual-RosteredMATRIX-RN'!AC66=0,"",'Residual-RosteredMATRIX-RN'!AC66)</f>
        <v/>
      </c>
      <c r="AG82" s="25" t="str">
        <f>IF('Residual-RosteredMATRIX-RN'!AD66=0,"",'Residual-RosteredMATRIX-RN'!AD66)</f>
        <v/>
      </c>
      <c r="AH82" s="25" t="str">
        <f>IF('Residual-RosteredMATRIX-RN'!AE66=0,"",'Residual-RosteredMATRIX-RN'!AE66)</f>
        <v/>
      </c>
      <c r="AI82" s="25" t="str">
        <f>IF('Residual-RosteredMATRIX-RN'!AF66=0,"",'Residual-RosteredMATRIX-RN'!AF66)</f>
        <v/>
      </c>
      <c r="AJ82" s="25" t="str">
        <f>IF('Residual-RosteredMATRIX-RN'!AG66=0,"",'Residual-RosteredMATRIX-RN'!AG66)</f>
        <v/>
      </c>
      <c r="AK82" s="25" t="str">
        <f>IF('Residual-RosteredMATRIX-RN'!AH66=0,"",'Residual-RosteredMATRIX-RN'!AH66)</f>
        <v/>
      </c>
      <c r="AL82" s="25" t="str">
        <f>IF('Residual-RosteredMATRIX-RN'!AI66=0,"",'Residual-RosteredMATRIX-RN'!AI66)</f>
        <v/>
      </c>
      <c r="AM82" s="25" t="str">
        <f>IF('Residual-RosteredMATRIX-RN'!AJ66=0,"",'Residual-RosteredMATRIX-RN'!AJ66)</f>
        <v/>
      </c>
      <c r="AN82" s="25" t="str">
        <f>IF('Residual-RosteredMATRIX-RN'!AK66=0,"",'Residual-RosteredMATRIX-RN'!AK66)</f>
        <v/>
      </c>
      <c r="AO82" s="25" t="str">
        <f>IF('Residual-RosteredMATRIX-RN'!AL66=0,"",'Residual-RosteredMATRIX-RN'!AL66)</f>
        <v/>
      </c>
      <c r="AP82" s="25" t="str">
        <f>IF('Residual-RosteredMATRIX-RN'!AM66=0,"",'Residual-RosteredMATRIX-RN'!AM66)</f>
        <v/>
      </c>
      <c r="AQ82" s="25" t="str">
        <f>IF('Residual-RosteredMATRIX-RN'!AN66=0,"",'Residual-RosteredMATRIX-RN'!AN66)</f>
        <v/>
      </c>
      <c r="AR82" s="25" t="str">
        <f>IF('Residual-RosteredMATRIX-RN'!AO66=0,"",'Residual-RosteredMATRIX-RN'!AO66)</f>
        <v/>
      </c>
      <c r="AS82" s="25" t="str">
        <f>IF('Residual-RosteredMATRIX-RN'!AP66=0,"",'Residual-RosteredMATRIX-RN'!AP66)</f>
        <v/>
      </c>
      <c r="AT82" s="25" t="str">
        <f>IF('Residual-RosteredMATRIX-RN'!AQ66=0,"",'Residual-RosteredMATRIX-RN'!AQ66)</f>
        <v/>
      </c>
      <c r="AU82" s="25" t="str">
        <f>IF('Residual-RosteredMATRIX-RN'!AR66=0,"",'Residual-RosteredMATRIX-RN'!AR66)</f>
        <v/>
      </c>
      <c r="AV82" s="25" t="str">
        <f>IF('Residual-RosteredMATRIX-RN'!AS66=0,"",'Residual-RosteredMATRIX-RN'!AS66)</f>
        <v/>
      </c>
      <c r="AW82" s="25" t="str">
        <f>IF('Residual-RosteredMATRIX-RN'!AT66=0,"",'Residual-RosteredMATRIX-RN'!AT66)</f>
        <v/>
      </c>
    </row>
    <row r="83" spans="2:49" ht="15.75" customHeight="1" x14ac:dyDescent="0.25"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</row>
    <row r="84" spans="2:49" ht="15.75" customHeight="1" x14ac:dyDescent="0.25"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</row>
    <row r="85" spans="2:49" ht="15.75" customHeight="1" x14ac:dyDescent="0.25"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</row>
    <row r="86" spans="2:49" ht="15.75" customHeight="1" x14ac:dyDescent="0.25"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</row>
    <row r="87" spans="2:49" ht="15.75" customHeight="1" x14ac:dyDescent="0.25"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</row>
  </sheetData>
  <phoneticPr fontId="1" type="noConversion"/>
  <conditionalFormatting sqref="F18:F82">
    <cfRule type="cellIs" dxfId="16" priority="13" stopIfTrue="1" operator="greaterThan">
      <formula>0.1</formula>
    </cfRule>
  </conditionalFormatting>
  <conditionalFormatting sqref="G18:G82">
    <cfRule type="cellIs" dxfId="15" priority="8" operator="greaterThan">
      <formula>76</formula>
    </cfRule>
  </conditionalFormatting>
  <conditionalFormatting sqref="H7:AW9">
    <cfRule type="cellIs" dxfId="14" priority="4" operator="between">
      <formula>-0.5</formula>
      <formula>0.5</formula>
    </cfRule>
    <cfRule type="cellIs" dxfId="13" priority="5" operator="lessThan">
      <formula>-0.1</formula>
    </cfRule>
    <cfRule type="cellIs" dxfId="12" priority="6" operator="greaterThan">
      <formula>0.1</formula>
    </cfRule>
  </conditionalFormatting>
  <conditionalFormatting sqref="H10:AW12">
    <cfRule type="cellIs" dxfId="11" priority="51" operator="greaterThan">
      <formula>0.1</formula>
    </cfRule>
  </conditionalFormatting>
  <conditionalFormatting sqref="H11:AW12">
    <cfRule type="cellIs" dxfId="10" priority="19" operator="lessThan">
      <formula>-0.1</formula>
    </cfRule>
  </conditionalFormatting>
  <conditionalFormatting sqref="H12:AW15">
    <cfRule type="cellIs" dxfId="9" priority="1" operator="between">
      <formula>-0.5</formula>
      <formula>0.5</formula>
    </cfRule>
  </conditionalFormatting>
  <conditionalFormatting sqref="H13:AW15">
    <cfRule type="cellIs" dxfId="8" priority="2" operator="lessThan">
      <formula>-0.1</formula>
    </cfRule>
  </conditionalFormatting>
  <conditionalFormatting sqref="H13:AW16">
    <cfRule type="cellIs" dxfId="7" priority="3" operator="greaterThan">
      <formula>0.1</formula>
    </cfRule>
  </conditionalFormatting>
  <conditionalFormatting sqref="H18:AW82 H83:AG87">
    <cfRule type="cellIs" dxfId="5" priority="17" stopIfTrue="1" operator="lessThan">
      <formula>-0.1</formula>
    </cfRule>
    <cfRule type="cellIs" dxfId="2" priority="26" stopIfTrue="1" operator="greaterThan">
      <formula>0.1</formula>
    </cfRule>
  </conditionalFormatting>
  <conditionalFormatting sqref="K11">
    <cfRule type="cellIs" dxfId="1" priority="10" operator="between">
      <formula>-0.5</formula>
      <formula>0.5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stopIfTrue="1" operator="containsText" id="{D900340D-7174-4E98-8AE7-21083A2DB91B}">
            <xm:f>NOT(ISERROR(SEARCH("-",F18)))</xm:f>
            <xm:f>"-"</xm:f>
            <x14:dxf/>
          </x14:cfRule>
          <xm:sqref>F18:F82</xm:sqref>
        </x14:conditionalFormatting>
        <x14:conditionalFormatting xmlns:xm="http://schemas.microsoft.com/office/excel/2006/main">
          <x14:cfRule type="containsText" priority="16" stopIfTrue="1" operator="containsText" id="{A47BAF94-1C90-40FE-B57A-C60B14A7C53A}">
            <xm:f>NOT(ISERROR(SEARCH("0/ 0",H18)))</xm:f>
            <xm:f>"0/ 0"</xm:f>
            <x14:dxf>
              <font>
                <color theme="2" tint="-0.499984740745262"/>
              </font>
              <fill>
                <patternFill>
                  <bgColor theme="0" tint="-0.24994659260841701"/>
                </patternFill>
              </fill>
            </x14:dxf>
          </x14:cfRule>
          <x14:cfRule type="containsText" priority="21" stopIfTrue="1" operator="containsText" id="{CAD3F5CC-7FCB-4883-BE17-F7C679F6A4BE}">
            <xm:f>NOT(ISERROR(SEARCH("-",H18)))</xm:f>
            <xm:f>"-"</xm:f>
            <x14:dxf/>
          </x14:cfRule>
          <x14:cfRule type="containsText" priority="23" stopIfTrue="1" operator="containsText" id="{A0B3B8E7-B9B5-4684-BAE3-93D15DA1B11C}">
            <xm:f>NOT(ISERROR(SEARCH("/ 0",H18)))</xm:f>
            <xm:f>"/ 0"</xm:f>
            <x14:dxf>
              <font>
                <b/>
                <i val="0"/>
                <color rgb="FF006100"/>
              </font>
              <fill>
                <patternFill>
                  <bgColor rgb="FFFFCC99"/>
                </patternFill>
              </fill>
            </x14:dxf>
          </x14:cfRule>
          <x14:cfRule type="containsText" priority="24" stopIfTrue="1" operator="containsText" id="{70C1B58D-7AD3-42D1-BBE9-AAF937CC120D}">
            <xm:f>NOT(ISERROR(SEARCH("/",H18)))</xm:f>
            <xm:f>"/"</xm:f>
            <x14:dxf>
              <font>
                <color theme="2" tint="-0.499984740745262"/>
              </font>
              <fill>
                <patternFill>
                  <bgColor rgb="FFFFCC99"/>
                </patternFill>
              </fill>
            </x14:dxf>
          </x14:cfRule>
          <xm:sqref>H18:AW82 H83:AG87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72A08EF-936F-46A4-8341-9C122E5CB615}">
          <x14:formula1>
            <xm:f>FILEPATH!$J$7:$J$8</xm:f>
          </x14:formula1>
          <xm:sqref>F3</xm:sqref>
        </x14:dataValidation>
        <x14:dataValidation type="list" allowBlank="1" showInputMessage="1" showErrorMessage="1" xr:uid="{D1901032-3CE2-4D77-AA5F-81E7118B6BF3}">
          <x14:formula1>
            <xm:f>FILEPATH!$J$2:$J$3</xm:f>
          </x14:formula1>
          <xm:sqref>L2:L3 AG3</xm:sqref>
        </x14:dataValidation>
        <x14:dataValidation type="list" allowBlank="1" showInputMessage="1" showErrorMessage="1" xr:uid="{308964EC-7DDF-499D-B02C-E8DB268C6819}">
          <x14:formula1>
            <xm:f>FILEPATH!$L$7:$L$8</xm:f>
          </x14:formula1>
          <xm:sqref>C2:C3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CFC8-2D2D-4C9C-B6B6-96FD17FE36ED}">
  <dimension ref="A1:AU50"/>
  <sheetViews>
    <sheetView workbookViewId="0">
      <selection activeCell="A50" sqref="A1:XFD50"/>
    </sheetView>
    <sheetView tabSelected="1" workbookViewId="1">
      <selection activeCell="C10" sqref="C10"/>
    </sheetView>
  </sheetViews>
  <sheetFormatPr defaultRowHeight="15" x14ac:dyDescent="0.25"/>
  <cols>
    <col min="1" max="1" width="9.5703125" bestFit="1" customWidth="1"/>
    <col min="2" max="2" width="21.42578125" bestFit="1" customWidth="1"/>
    <col min="3" max="3" width="19.7109375" bestFit="1" customWidth="1"/>
    <col min="4" max="4" width="7.28515625" bestFit="1" customWidth="1"/>
    <col min="5" max="5" width="15.140625" bestFit="1" customWidth="1"/>
    <col min="6" max="6" width="11.7109375" bestFit="1" customWidth="1"/>
    <col min="7" max="7" width="11.5703125" bestFit="1" customWidth="1"/>
    <col min="8" max="8" width="14.28515625" bestFit="1" customWidth="1"/>
    <col min="9" max="9" width="11.7109375" bestFit="1" customWidth="1"/>
    <col min="10" max="10" width="11.5703125" bestFit="1" customWidth="1"/>
    <col min="11" max="11" width="14.28515625" bestFit="1" customWidth="1"/>
    <col min="12" max="12" width="11.7109375" bestFit="1" customWidth="1"/>
    <col min="13" max="13" width="11.5703125" bestFit="1" customWidth="1"/>
    <col min="14" max="14" width="14.28515625" bestFit="1" customWidth="1"/>
    <col min="15" max="15" width="11.7109375" bestFit="1" customWidth="1"/>
    <col min="16" max="16" width="11.5703125" bestFit="1" customWidth="1"/>
    <col min="17" max="17" width="14.28515625" bestFit="1" customWidth="1"/>
    <col min="18" max="18" width="11.7109375" bestFit="1" customWidth="1"/>
    <col min="19" max="19" width="11.5703125" bestFit="1" customWidth="1"/>
    <col min="20" max="20" width="14.28515625" bestFit="1" customWidth="1"/>
    <col min="21" max="21" width="11.7109375" bestFit="1" customWidth="1"/>
    <col min="22" max="22" width="11.5703125" bestFit="1" customWidth="1"/>
    <col min="23" max="23" width="14.28515625" bestFit="1" customWidth="1"/>
    <col min="24" max="24" width="11.7109375" bestFit="1" customWidth="1"/>
    <col min="25" max="25" width="11.5703125" bestFit="1" customWidth="1"/>
    <col min="26" max="26" width="14.28515625" bestFit="1" customWidth="1"/>
    <col min="27" max="27" width="11.7109375" bestFit="1" customWidth="1"/>
    <col min="28" max="28" width="11.5703125" bestFit="1" customWidth="1"/>
    <col min="29" max="29" width="14.28515625" bestFit="1" customWidth="1"/>
    <col min="30" max="30" width="11.7109375" bestFit="1" customWidth="1"/>
    <col min="31" max="31" width="11.5703125" bestFit="1" customWidth="1"/>
    <col min="32" max="32" width="14.28515625" bestFit="1" customWidth="1"/>
    <col min="33" max="33" width="22.85546875" bestFit="1" customWidth="1"/>
    <col min="34" max="34" width="11.5703125" bestFit="1" customWidth="1"/>
    <col min="35" max="35" width="14.28515625" bestFit="1" customWidth="1"/>
    <col min="36" max="36" width="11.7109375" bestFit="1" customWidth="1"/>
    <col min="37" max="37" width="11.5703125" bestFit="1" customWidth="1"/>
    <col min="38" max="38" width="14.28515625" bestFit="1" customWidth="1"/>
    <col min="39" max="39" width="11.7109375" bestFit="1" customWidth="1"/>
    <col min="40" max="40" width="11.5703125" bestFit="1" customWidth="1"/>
    <col min="41" max="41" width="14.28515625" bestFit="1" customWidth="1"/>
    <col min="42" max="42" width="22.85546875" bestFit="1" customWidth="1"/>
    <col min="43" max="43" width="10.5703125" bestFit="1" customWidth="1"/>
    <col min="44" max="44" width="13.28515625" bestFit="1" customWidth="1"/>
    <col min="45" max="45" width="10.7109375" bestFit="1" customWidth="1"/>
    <col min="46" max="46" width="10.5703125" bestFit="1" customWidth="1"/>
    <col min="47" max="48" width="13.28515625" customWidth="1"/>
  </cols>
  <sheetData>
    <row r="1" spans="1:47" x14ac:dyDescent="0.25">
      <c r="A1" t="s">
        <v>23</v>
      </c>
      <c r="B1" t="s">
        <v>200</v>
      </c>
      <c r="C1" t="s">
        <v>1</v>
      </c>
      <c r="D1" t="s">
        <v>0</v>
      </c>
      <c r="E1" t="s">
        <v>126</v>
      </c>
      <c r="F1" t="s">
        <v>33</v>
      </c>
      <c r="G1" t="s">
        <v>34</v>
      </c>
      <c r="H1" t="s">
        <v>35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30</v>
      </c>
      <c r="AQ1" t="s">
        <v>31</v>
      </c>
      <c r="AR1" t="s">
        <v>32</v>
      </c>
      <c r="AS1" t="s">
        <v>36</v>
      </c>
      <c r="AT1" t="s">
        <v>37</v>
      </c>
      <c r="AU1" t="s">
        <v>38</v>
      </c>
    </row>
    <row r="2" spans="1:47" x14ac:dyDescent="0.25">
      <c r="A2" t="s">
        <v>24</v>
      </c>
      <c r="B2" t="s">
        <v>201</v>
      </c>
      <c r="C2" t="s">
        <v>148</v>
      </c>
      <c r="D2" t="s">
        <v>2</v>
      </c>
      <c r="E2">
        <v>59.5</v>
      </c>
      <c r="G2" t="s">
        <v>138</v>
      </c>
      <c r="J2" t="s">
        <v>138</v>
      </c>
      <c r="P2" t="s">
        <v>138</v>
      </c>
      <c r="AB2" t="s">
        <v>142</v>
      </c>
      <c r="AC2" t="s">
        <v>143</v>
      </c>
      <c r="AE2" t="s">
        <v>142</v>
      </c>
      <c r="AF2" t="s">
        <v>143</v>
      </c>
      <c r="AM2" t="s">
        <v>149</v>
      </c>
      <c r="AP2" t="s">
        <v>149</v>
      </c>
      <c r="AS2" t="s">
        <v>149</v>
      </c>
    </row>
    <row r="3" spans="1:47" x14ac:dyDescent="0.25">
      <c r="A3" t="s">
        <v>24</v>
      </c>
      <c r="B3" t="s">
        <v>201</v>
      </c>
      <c r="C3" t="s">
        <v>173</v>
      </c>
      <c r="D3" t="s">
        <v>2</v>
      </c>
      <c r="E3">
        <v>63</v>
      </c>
      <c r="F3" t="s">
        <v>136</v>
      </c>
      <c r="I3" t="s">
        <v>136</v>
      </c>
      <c r="O3" t="s">
        <v>136</v>
      </c>
      <c r="R3" t="s">
        <v>136</v>
      </c>
      <c r="U3" t="s">
        <v>160</v>
      </c>
      <c r="X3" t="s">
        <v>184</v>
      </c>
      <c r="AA3" t="s">
        <v>184</v>
      </c>
      <c r="AJ3" t="s">
        <v>149</v>
      </c>
      <c r="AM3" t="s">
        <v>149</v>
      </c>
    </row>
    <row r="4" spans="1:47" x14ac:dyDescent="0.25">
      <c r="A4" t="s">
        <v>24</v>
      </c>
      <c r="B4" t="s">
        <v>201</v>
      </c>
      <c r="C4" t="s">
        <v>151</v>
      </c>
      <c r="D4" t="s">
        <v>2</v>
      </c>
      <c r="E4">
        <v>54.5</v>
      </c>
      <c r="M4" t="s">
        <v>142</v>
      </c>
      <c r="N4" t="s">
        <v>143</v>
      </c>
      <c r="P4" t="s">
        <v>142</v>
      </c>
      <c r="Q4" t="s">
        <v>143</v>
      </c>
      <c r="Y4" t="s">
        <v>142</v>
      </c>
      <c r="Z4" t="s">
        <v>143</v>
      </c>
      <c r="AG4" t="s">
        <v>149</v>
      </c>
      <c r="AJ4" t="s">
        <v>149</v>
      </c>
      <c r="AM4" t="s">
        <v>149</v>
      </c>
      <c r="AT4" t="s">
        <v>142</v>
      </c>
      <c r="AU4" t="s">
        <v>143</v>
      </c>
    </row>
    <row r="5" spans="1:47" x14ac:dyDescent="0.25">
      <c r="A5" t="s">
        <v>24</v>
      </c>
      <c r="B5" t="s">
        <v>201</v>
      </c>
      <c r="C5" t="s">
        <v>202</v>
      </c>
      <c r="D5" t="s">
        <v>2</v>
      </c>
      <c r="E5">
        <v>37.5</v>
      </c>
      <c r="F5" t="s">
        <v>149</v>
      </c>
      <c r="R5" t="s">
        <v>149</v>
      </c>
      <c r="U5" t="s">
        <v>149</v>
      </c>
      <c r="X5" t="s">
        <v>149</v>
      </c>
      <c r="AM5" t="s">
        <v>149</v>
      </c>
    </row>
    <row r="6" spans="1:47" x14ac:dyDescent="0.25">
      <c r="A6" t="s">
        <v>24</v>
      </c>
      <c r="B6" t="s">
        <v>201</v>
      </c>
      <c r="C6" t="s">
        <v>153</v>
      </c>
      <c r="D6" t="s">
        <v>2</v>
      </c>
      <c r="E6">
        <v>15</v>
      </c>
      <c r="L6" t="s">
        <v>149</v>
      </c>
      <c r="AD6" t="s">
        <v>149</v>
      </c>
    </row>
    <row r="7" spans="1:47" x14ac:dyDescent="0.25">
      <c r="A7" t="s">
        <v>24</v>
      </c>
      <c r="B7" t="s">
        <v>201</v>
      </c>
      <c r="C7" t="s">
        <v>3</v>
      </c>
      <c r="D7" t="s">
        <v>2</v>
      </c>
      <c r="E7">
        <v>68.5</v>
      </c>
      <c r="F7" t="s">
        <v>136</v>
      </c>
      <c r="I7" t="s">
        <v>136</v>
      </c>
      <c r="L7" t="s">
        <v>136</v>
      </c>
      <c r="M7" t="s">
        <v>137</v>
      </c>
      <c r="O7" t="s">
        <v>136</v>
      </c>
      <c r="P7" t="s">
        <v>137</v>
      </c>
      <c r="U7" t="s">
        <v>136</v>
      </c>
      <c r="X7" t="s">
        <v>136</v>
      </c>
      <c r="AA7" t="s">
        <v>136</v>
      </c>
      <c r="AD7" t="s">
        <v>136</v>
      </c>
      <c r="AG7" t="s">
        <v>136</v>
      </c>
    </row>
    <row r="8" spans="1:47" x14ac:dyDescent="0.25">
      <c r="A8" t="s">
        <v>24</v>
      </c>
      <c r="B8" t="s">
        <v>201</v>
      </c>
      <c r="C8" t="s">
        <v>155</v>
      </c>
      <c r="D8" t="s">
        <v>2</v>
      </c>
      <c r="E8">
        <v>57</v>
      </c>
      <c r="F8" t="s">
        <v>149</v>
      </c>
      <c r="I8" t="s">
        <v>160</v>
      </c>
      <c r="L8" t="s">
        <v>160</v>
      </c>
      <c r="O8" t="s">
        <v>149</v>
      </c>
      <c r="AA8" t="s">
        <v>149</v>
      </c>
      <c r="AD8" t="s">
        <v>149</v>
      </c>
      <c r="AG8" t="s">
        <v>149</v>
      </c>
      <c r="AJ8" t="s">
        <v>149</v>
      </c>
    </row>
    <row r="9" spans="1:47" x14ac:dyDescent="0.25">
      <c r="A9" t="s">
        <v>24</v>
      </c>
      <c r="B9" t="s">
        <v>201</v>
      </c>
      <c r="C9" t="s">
        <v>156</v>
      </c>
      <c r="D9" t="s">
        <v>2</v>
      </c>
      <c r="E9">
        <v>72</v>
      </c>
      <c r="F9" t="s">
        <v>136</v>
      </c>
      <c r="G9" t="s">
        <v>137</v>
      </c>
      <c r="I9" t="s">
        <v>136</v>
      </c>
      <c r="J9" t="s">
        <v>137</v>
      </c>
      <c r="R9" t="s">
        <v>136</v>
      </c>
      <c r="S9" t="s">
        <v>137</v>
      </c>
      <c r="U9" t="s">
        <v>136</v>
      </c>
      <c r="V9" t="s">
        <v>137</v>
      </c>
      <c r="X9" t="s">
        <v>136</v>
      </c>
      <c r="Y9" t="s">
        <v>137</v>
      </c>
      <c r="AA9" t="s">
        <v>136</v>
      </c>
      <c r="AB9" t="s">
        <v>137</v>
      </c>
      <c r="AD9" t="s">
        <v>136</v>
      </c>
      <c r="AE9" t="s">
        <v>137</v>
      </c>
      <c r="AJ9" t="s">
        <v>136</v>
      </c>
      <c r="AK9" t="s">
        <v>137</v>
      </c>
      <c r="AM9" t="s">
        <v>136</v>
      </c>
      <c r="AN9" t="s">
        <v>137</v>
      </c>
    </row>
    <row r="10" spans="1:47" x14ac:dyDescent="0.25">
      <c r="A10" t="s">
        <v>24</v>
      </c>
      <c r="B10" t="s">
        <v>201</v>
      </c>
      <c r="C10" t="s">
        <v>157</v>
      </c>
      <c r="D10" t="s">
        <v>2</v>
      </c>
      <c r="E10">
        <v>60</v>
      </c>
      <c r="F10" t="s">
        <v>149</v>
      </c>
      <c r="O10" t="s">
        <v>149</v>
      </c>
      <c r="R10" t="s">
        <v>149</v>
      </c>
      <c r="U10" t="s">
        <v>149</v>
      </c>
      <c r="X10" t="s">
        <v>149</v>
      </c>
      <c r="AG10" t="s">
        <v>149</v>
      </c>
      <c r="AJ10" t="s">
        <v>149</v>
      </c>
      <c r="AM10" t="s">
        <v>149</v>
      </c>
    </row>
    <row r="11" spans="1:47" x14ac:dyDescent="0.25">
      <c r="A11" t="s">
        <v>24</v>
      </c>
      <c r="B11" t="s">
        <v>201</v>
      </c>
      <c r="C11" t="s">
        <v>170</v>
      </c>
      <c r="D11" t="s">
        <v>2</v>
      </c>
      <c r="E11">
        <v>24</v>
      </c>
      <c r="F11" t="s">
        <v>160</v>
      </c>
      <c r="AM11" t="s">
        <v>160</v>
      </c>
      <c r="AP11" t="s">
        <v>160</v>
      </c>
      <c r="AS11" t="s">
        <v>160</v>
      </c>
    </row>
    <row r="12" spans="1:47" x14ac:dyDescent="0.25">
      <c r="A12" t="s">
        <v>24</v>
      </c>
      <c r="B12" t="s">
        <v>201</v>
      </c>
      <c r="C12" t="s">
        <v>158</v>
      </c>
      <c r="D12" t="s">
        <v>2</v>
      </c>
      <c r="E12">
        <v>64</v>
      </c>
      <c r="G12" t="s">
        <v>142</v>
      </c>
      <c r="H12" t="s">
        <v>143</v>
      </c>
      <c r="J12" t="s">
        <v>142</v>
      </c>
      <c r="K12" t="s">
        <v>143</v>
      </c>
      <c r="AB12" t="s">
        <v>142</v>
      </c>
      <c r="AC12" t="s">
        <v>143</v>
      </c>
      <c r="AE12" t="s">
        <v>142</v>
      </c>
      <c r="AF12" t="s">
        <v>143</v>
      </c>
      <c r="AH12" t="s">
        <v>142</v>
      </c>
      <c r="AI12" t="s">
        <v>143</v>
      </c>
      <c r="AN12" t="s">
        <v>142</v>
      </c>
      <c r="AO12" t="s">
        <v>143</v>
      </c>
      <c r="AQ12" t="s">
        <v>142</v>
      </c>
      <c r="AR12" t="s">
        <v>143</v>
      </c>
      <c r="AT12" t="s">
        <v>142</v>
      </c>
      <c r="AU12" t="s">
        <v>143</v>
      </c>
    </row>
    <row r="13" spans="1:47" x14ac:dyDescent="0.25">
      <c r="A13" t="s">
        <v>24</v>
      </c>
      <c r="B13" t="s">
        <v>201</v>
      </c>
      <c r="C13" t="s">
        <v>152</v>
      </c>
      <c r="D13" t="s">
        <v>2</v>
      </c>
      <c r="E13">
        <v>68</v>
      </c>
      <c r="G13" t="s">
        <v>142</v>
      </c>
      <c r="H13" t="s">
        <v>143</v>
      </c>
      <c r="J13" t="s">
        <v>142</v>
      </c>
      <c r="K13" t="s">
        <v>143</v>
      </c>
      <c r="P13" t="s">
        <v>142</v>
      </c>
      <c r="Q13" t="s">
        <v>143</v>
      </c>
      <c r="S13" t="s">
        <v>142</v>
      </c>
      <c r="T13" t="s">
        <v>143</v>
      </c>
      <c r="V13" t="s">
        <v>142</v>
      </c>
      <c r="W13" t="s">
        <v>143</v>
      </c>
      <c r="AE13" t="s">
        <v>138</v>
      </c>
      <c r="AH13" t="s">
        <v>138</v>
      </c>
      <c r="AK13" t="s">
        <v>138</v>
      </c>
      <c r="AN13" t="s">
        <v>138</v>
      </c>
    </row>
    <row r="14" spans="1:47" x14ac:dyDescent="0.25">
      <c r="A14" t="s">
        <v>24</v>
      </c>
      <c r="B14" t="s">
        <v>201</v>
      </c>
      <c r="C14" t="s">
        <v>182</v>
      </c>
      <c r="D14" t="s">
        <v>2</v>
      </c>
      <c r="E14">
        <v>72</v>
      </c>
      <c r="F14" t="s">
        <v>136</v>
      </c>
      <c r="G14" t="s">
        <v>137</v>
      </c>
      <c r="I14" t="s">
        <v>136</v>
      </c>
      <c r="J14" t="s">
        <v>137</v>
      </c>
      <c r="L14" t="s">
        <v>136</v>
      </c>
      <c r="M14" t="s">
        <v>137</v>
      </c>
      <c r="O14" t="s">
        <v>136</v>
      </c>
      <c r="P14" t="s">
        <v>137</v>
      </c>
      <c r="AA14" t="s">
        <v>136</v>
      </c>
      <c r="AB14" t="s">
        <v>137</v>
      </c>
      <c r="AD14" t="s">
        <v>136</v>
      </c>
      <c r="AE14" t="s">
        <v>137</v>
      </c>
      <c r="AG14" t="s">
        <v>136</v>
      </c>
      <c r="AH14" t="s">
        <v>137</v>
      </c>
      <c r="AP14" t="s">
        <v>136</v>
      </c>
      <c r="AQ14" t="s">
        <v>137</v>
      </c>
      <c r="AS14" t="s">
        <v>136</v>
      </c>
      <c r="AT14" t="s">
        <v>137</v>
      </c>
    </row>
    <row r="15" spans="1:47" x14ac:dyDescent="0.25">
      <c r="A15" t="s">
        <v>24</v>
      </c>
      <c r="B15" t="s">
        <v>201</v>
      </c>
      <c r="C15" t="s">
        <v>150</v>
      </c>
      <c r="D15" t="s">
        <v>2</v>
      </c>
      <c r="E15">
        <v>56</v>
      </c>
      <c r="G15" t="s">
        <v>138</v>
      </c>
      <c r="J15" t="s">
        <v>138</v>
      </c>
      <c r="M15" t="s">
        <v>138</v>
      </c>
      <c r="AB15" t="s">
        <v>138</v>
      </c>
      <c r="AE15" t="s">
        <v>138</v>
      </c>
      <c r="AH15" t="s">
        <v>138</v>
      </c>
      <c r="AQ15" t="s">
        <v>138</v>
      </c>
      <c r="AT15" t="s">
        <v>138</v>
      </c>
    </row>
    <row r="16" spans="1:47" x14ac:dyDescent="0.25">
      <c r="A16" t="s">
        <v>24</v>
      </c>
      <c r="B16" t="s">
        <v>204</v>
      </c>
      <c r="C16" t="s">
        <v>178</v>
      </c>
      <c r="D16" t="s">
        <v>2</v>
      </c>
      <c r="E16">
        <v>52</v>
      </c>
      <c r="F16" t="s">
        <v>139</v>
      </c>
      <c r="G16" t="s">
        <v>139</v>
      </c>
      <c r="J16" t="s">
        <v>139</v>
      </c>
      <c r="M16" t="s">
        <v>139</v>
      </c>
      <c r="O16" t="s">
        <v>139</v>
      </c>
      <c r="P16" t="s">
        <v>139</v>
      </c>
      <c r="AA16" t="s">
        <v>139</v>
      </c>
      <c r="AD16" t="s">
        <v>139</v>
      </c>
      <c r="AG16" t="s">
        <v>139</v>
      </c>
      <c r="AH16" t="s">
        <v>139</v>
      </c>
      <c r="AK16" t="s">
        <v>139</v>
      </c>
    </row>
    <row r="17" spans="1:47" x14ac:dyDescent="0.25">
      <c r="A17" t="s">
        <v>24</v>
      </c>
      <c r="B17" t="s">
        <v>205</v>
      </c>
      <c r="C17" t="s">
        <v>178</v>
      </c>
      <c r="D17" t="s">
        <v>2</v>
      </c>
      <c r="E17">
        <v>52</v>
      </c>
      <c r="I17" t="s">
        <v>162</v>
      </c>
      <c r="L17" t="s">
        <v>197</v>
      </c>
      <c r="AB17" t="s">
        <v>138</v>
      </c>
      <c r="AE17" t="s">
        <v>138</v>
      </c>
      <c r="AJ17" t="s">
        <v>162</v>
      </c>
    </row>
    <row r="18" spans="1:47" x14ac:dyDescent="0.25">
      <c r="A18" t="s">
        <v>24</v>
      </c>
      <c r="B18" t="s">
        <v>201</v>
      </c>
      <c r="C18" t="s">
        <v>178</v>
      </c>
      <c r="D18" t="s">
        <v>2</v>
      </c>
      <c r="E18">
        <v>52</v>
      </c>
      <c r="H18" t="s">
        <v>145</v>
      </c>
      <c r="K18" t="s">
        <v>163</v>
      </c>
      <c r="S18" t="s">
        <v>142</v>
      </c>
      <c r="T18" t="s">
        <v>143</v>
      </c>
      <c r="AI18" t="s">
        <v>145</v>
      </c>
      <c r="AL18" t="s">
        <v>163</v>
      </c>
      <c r="AM18" t="s">
        <v>197</v>
      </c>
    </row>
    <row r="19" spans="1:47" x14ac:dyDescent="0.25">
      <c r="A19" t="s">
        <v>24</v>
      </c>
      <c r="B19" t="s">
        <v>201</v>
      </c>
      <c r="C19" t="s">
        <v>154</v>
      </c>
      <c r="D19" t="s">
        <v>2</v>
      </c>
      <c r="E19">
        <v>48</v>
      </c>
      <c r="G19" t="s">
        <v>142</v>
      </c>
      <c r="H19" t="s">
        <v>143</v>
      </c>
      <c r="J19" t="s">
        <v>142</v>
      </c>
      <c r="K19" t="s">
        <v>143</v>
      </c>
      <c r="AB19" t="s">
        <v>142</v>
      </c>
      <c r="AC19" t="s">
        <v>143</v>
      </c>
      <c r="AE19" t="s">
        <v>142</v>
      </c>
      <c r="AF19" t="s">
        <v>143</v>
      </c>
      <c r="AQ19" t="s">
        <v>142</v>
      </c>
      <c r="AR19" t="s">
        <v>143</v>
      </c>
      <c r="AT19" t="s">
        <v>142</v>
      </c>
      <c r="AU19" t="s">
        <v>143</v>
      </c>
    </row>
    <row r="20" spans="1:47" x14ac:dyDescent="0.25">
      <c r="A20" t="s">
        <v>24</v>
      </c>
      <c r="B20" t="s">
        <v>201</v>
      </c>
      <c r="C20" t="s">
        <v>206</v>
      </c>
      <c r="D20" t="s">
        <v>2</v>
      </c>
      <c r="E20">
        <v>60</v>
      </c>
      <c r="F20" t="s">
        <v>149</v>
      </c>
      <c r="I20" t="s">
        <v>149</v>
      </c>
      <c r="R20" t="s">
        <v>149</v>
      </c>
      <c r="U20" t="s">
        <v>149</v>
      </c>
      <c r="AA20" t="s">
        <v>149</v>
      </c>
      <c r="AD20" t="s">
        <v>149</v>
      </c>
      <c r="AG20" t="s">
        <v>149</v>
      </c>
      <c r="AP20" t="s">
        <v>149</v>
      </c>
    </row>
    <row r="21" spans="1:47" x14ac:dyDescent="0.25">
      <c r="A21" t="s">
        <v>24</v>
      </c>
      <c r="B21" t="s">
        <v>201</v>
      </c>
      <c r="C21" t="s">
        <v>165</v>
      </c>
      <c r="D21" t="s">
        <v>2</v>
      </c>
      <c r="E21">
        <v>48.9</v>
      </c>
      <c r="N21" t="s">
        <v>145</v>
      </c>
      <c r="O21" t="s">
        <v>162</v>
      </c>
      <c r="Q21" t="s">
        <v>163</v>
      </c>
      <c r="R21" t="s">
        <v>197</v>
      </c>
      <c r="AI21" t="s">
        <v>145</v>
      </c>
      <c r="AJ21" t="s">
        <v>162</v>
      </c>
      <c r="AL21" t="s">
        <v>163</v>
      </c>
      <c r="AM21" t="s">
        <v>162</v>
      </c>
      <c r="AO21" t="s">
        <v>163</v>
      </c>
      <c r="AP21" t="s">
        <v>162</v>
      </c>
      <c r="AR21" t="s">
        <v>163</v>
      </c>
      <c r="AS21" t="s">
        <v>207</v>
      </c>
      <c r="AU21" t="s">
        <v>166</v>
      </c>
    </row>
    <row r="22" spans="1:47" x14ac:dyDescent="0.25">
      <c r="A22" t="s">
        <v>24</v>
      </c>
      <c r="B22" t="s">
        <v>201</v>
      </c>
      <c r="C22" t="s">
        <v>159</v>
      </c>
      <c r="D22" t="s">
        <v>2</v>
      </c>
      <c r="E22">
        <v>43.5</v>
      </c>
      <c r="F22" t="s">
        <v>149</v>
      </c>
      <c r="I22" t="s">
        <v>149</v>
      </c>
      <c r="L22" t="s">
        <v>149</v>
      </c>
      <c r="O22" t="s">
        <v>149</v>
      </c>
      <c r="AA22" t="s">
        <v>149</v>
      </c>
      <c r="AD22" t="s">
        <v>160</v>
      </c>
    </row>
    <row r="23" spans="1:47" x14ac:dyDescent="0.25">
      <c r="A23" t="s">
        <v>24</v>
      </c>
      <c r="B23" t="s">
        <v>201</v>
      </c>
      <c r="C23" t="s">
        <v>167</v>
      </c>
      <c r="D23" t="s">
        <v>2</v>
      </c>
      <c r="E23">
        <v>64</v>
      </c>
      <c r="G23" t="s">
        <v>142</v>
      </c>
      <c r="H23" t="s">
        <v>143</v>
      </c>
      <c r="J23" t="s">
        <v>142</v>
      </c>
      <c r="K23" t="s">
        <v>143</v>
      </c>
      <c r="M23" t="s">
        <v>142</v>
      </c>
      <c r="N23" t="s">
        <v>143</v>
      </c>
      <c r="V23" t="s">
        <v>142</v>
      </c>
      <c r="W23" t="s">
        <v>143</v>
      </c>
      <c r="Y23" t="s">
        <v>142</v>
      </c>
      <c r="Z23" t="s">
        <v>143</v>
      </c>
      <c r="AB23" t="s">
        <v>142</v>
      </c>
      <c r="AC23" t="s">
        <v>143</v>
      </c>
      <c r="AE23" t="s">
        <v>142</v>
      </c>
      <c r="AF23" t="s">
        <v>143</v>
      </c>
      <c r="AH23" t="s">
        <v>142</v>
      </c>
      <c r="AI23" t="s">
        <v>143</v>
      </c>
    </row>
    <row r="24" spans="1:47" x14ac:dyDescent="0.25">
      <c r="A24" t="s">
        <v>24</v>
      </c>
      <c r="B24" t="s">
        <v>201</v>
      </c>
      <c r="C24" t="s">
        <v>171</v>
      </c>
      <c r="D24" t="s">
        <v>2</v>
      </c>
      <c r="E24">
        <v>43.5</v>
      </c>
      <c r="F24" t="s">
        <v>149</v>
      </c>
      <c r="I24" t="s">
        <v>149</v>
      </c>
      <c r="R24" t="s">
        <v>160</v>
      </c>
      <c r="X24" t="s">
        <v>149</v>
      </c>
      <c r="AG24" t="s">
        <v>149</v>
      </c>
      <c r="AJ24" t="s">
        <v>149</v>
      </c>
    </row>
    <row r="25" spans="1:47" x14ac:dyDescent="0.25">
      <c r="A25" t="s">
        <v>24</v>
      </c>
      <c r="B25" t="s">
        <v>201</v>
      </c>
      <c r="C25" t="s">
        <v>164</v>
      </c>
      <c r="D25" t="s">
        <v>2</v>
      </c>
      <c r="E25">
        <v>72</v>
      </c>
      <c r="F25" t="s">
        <v>136</v>
      </c>
      <c r="G25" t="s">
        <v>137</v>
      </c>
      <c r="I25" t="s">
        <v>136</v>
      </c>
      <c r="J25" t="s">
        <v>137</v>
      </c>
      <c r="L25" t="s">
        <v>136</v>
      </c>
      <c r="M25" t="s">
        <v>137</v>
      </c>
      <c r="O25" t="s">
        <v>136</v>
      </c>
      <c r="P25" t="s">
        <v>137</v>
      </c>
      <c r="R25" t="s">
        <v>136</v>
      </c>
      <c r="S25" t="s">
        <v>137</v>
      </c>
      <c r="AA25" t="s">
        <v>136</v>
      </c>
      <c r="AB25" t="s">
        <v>137</v>
      </c>
      <c r="AD25" t="s">
        <v>136</v>
      </c>
      <c r="AE25" t="s">
        <v>137</v>
      </c>
      <c r="AJ25" t="s">
        <v>136</v>
      </c>
      <c r="AK25" t="s">
        <v>137</v>
      </c>
      <c r="AM25" t="s">
        <v>136</v>
      </c>
      <c r="AN25" t="s">
        <v>137</v>
      </c>
    </row>
    <row r="26" spans="1:47" x14ac:dyDescent="0.25">
      <c r="A26" t="s">
        <v>24</v>
      </c>
      <c r="B26" t="s">
        <v>201</v>
      </c>
      <c r="C26" t="s">
        <v>172</v>
      </c>
      <c r="D26" t="s">
        <v>2</v>
      </c>
      <c r="E26">
        <v>45</v>
      </c>
      <c r="L26" t="s">
        <v>149</v>
      </c>
      <c r="O26" t="s">
        <v>149</v>
      </c>
      <c r="AA26" t="s">
        <v>149</v>
      </c>
      <c r="AD26" t="s">
        <v>149</v>
      </c>
      <c r="AP26" t="s">
        <v>149</v>
      </c>
      <c r="AS26" t="s">
        <v>149</v>
      </c>
    </row>
    <row r="27" spans="1:47" x14ac:dyDescent="0.25">
      <c r="A27" t="s">
        <v>24</v>
      </c>
      <c r="B27" t="s">
        <v>201</v>
      </c>
      <c r="C27" t="s">
        <v>174</v>
      </c>
      <c r="D27" t="s">
        <v>2</v>
      </c>
      <c r="E27">
        <v>45</v>
      </c>
      <c r="I27" t="s">
        <v>149</v>
      </c>
      <c r="L27" t="s">
        <v>149</v>
      </c>
      <c r="O27" t="s">
        <v>149</v>
      </c>
      <c r="AG27" t="s">
        <v>149</v>
      </c>
      <c r="AJ27" t="s">
        <v>149</v>
      </c>
      <c r="AS27" t="s">
        <v>149</v>
      </c>
    </row>
    <row r="28" spans="1:47" x14ac:dyDescent="0.25">
      <c r="A28" t="s">
        <v>24</v>
      </c>
      <c r="B28" t="s">
        <v>201</v>
      </c>
      <c r="C28" t="s">
        <v>175</v>
      </c>
      <c r="D28" t="s">
        <v>2</v>
      </c>
      <c r="E28">
        <v>31</v>
      </c>
      <c r="U28" t="s">
        <v>136</v>
      </c>
      <c r="V28" t="s">
        <v>137</v>
      </c>
      <c r="X28" t="s">
        <v>136</v>
      </c>
      <c r="Y28" t="s">
        <v>137</v>
      </c>
      <c r="AP28" t="s">
        <v>149</v>
      </c>
      <c r="AS28" t="s">
        <v>149</v>
      </c>
    </row>
    <row r="29" spans="1:47" x14ac:dyDescent="0.25">
      <c r="A29" t="s">
        <v>24</v>
      </c>
      <c r="B29" t="s">
        <v>201</v>
      </c>
      <c r="C29" t="s">
        <v>176</v>
      </c>
      <c r="D29" t="s">
        <v>2</v>
      </c>
      <c r="E29">
        <v>59</v>
      </c>
      <c r="P29" t="s">
        <v>138</v>
      </c>
      <c r="S29" t="s">
        <v>138</v>
      </c>
      <c r="V29" t="s">
        <v>138</v>
      </c>
      <c r="Y29" t="s">
        <v>138</v>
      </c>
      <c r="AH29" t="s">
        <v>142</v>
      </c>
      <c r="AI29" t="s">
        <v>143</v>
      </c>
      <c r="AK29" t="s">
        <v>142</v>
      </c>
      <c r="AL29" t="s">
        <v>143</v>
      </c>
      <c r="AP29" t="s">
        <v>149</v>
      </c>
      <c r="AS29" t="s">
        <v>149</v>
      </c>
    </row>
    <row r="30" spans="1:47" x14ac:dyDescent="0.25">
      <c r="A30" t="s">
        <v>24</v>
      </c>
      <c r="B30" t="s">
        <v>201</v>
      </c>
      <c r="C30" t="s">
        <v>177</v>
      </c>
      <c r="D30" t="s">
        <v>2</v>
      </c>
      <c r="E30">
        <v>38</v>
      </c>
      <c r="U30" t="s">
        <v>149</v>
      </c>
      <c r="X30" t="s">
        <v>149</v>
      </c>
      <c r="AN30" t="s">
        <v>142</v>
      </c>
      <c r="AO30" t="s">
        <v>143</v>
      </c>
      <c r="AQ30" t="s">
        <v>142</v>
      </c>
      <c r="AR30" t="s">
        <v>143</v>
      </c>
      <c r="AT30" t="s">
        <v>138</v>
      </c>
    </row>
    <row r="31" spans="1:47" x14ac:dyDescent="0.25">
      <c r="A31" t="s">
        <v>24</v>
      </c>
      <c r="B31" t="s">
        <v>201</v>
      </c>
      <c r="C31" t="s">
        <v>196</v>
      </c>
      <c r="D31" t="s">
        <v>2</v>
      </c>
      <c r="E31">
        <v>68</v>
      </c>
      <c r="G31" t="s">
        <v>142</v>
      </c>
      <c r="H31" t="s">
        <v>143</v>
      </c>
      <c r="J31" t="s">
        <v>138</v>
      </c>
      <c r="M31" t="s">
        <v>138</v>
      </c>
      <c r="P31" t="s">
        <v>138</v>
      </c>
      <c r="AB31" t="s">
        <v>142</v>
      </c>
      <c r="AC31" t="s">
        <v>143</v>
      </c>
      <c r="AK31" t="s">
        <v>142</v>
      </c>
      <c r="AL31" t="s">
        <v>143</v>
      </c>
      <c r="AN31" t="s">
        <v>142</v>
      </c>
      <c r="AO31" t="s">
        <v>143</v>
      </c>
      <c r="AQ31" t="s">
        <v>138</v>
      </c>
      <c r="AT31" t="s">
        <v>142</v>
      </c>
      <c r="AU31" t="s">
        <v>143</v>
      </c>
    </row>
    <row r="32" spans="1:47" x14ac:dyDescent="0.25">
      <c r="A32" t="s">
        <v>24</v>
      </c>
      <c r="B32" t="s">
        <v>201</v>
      </c>
      <c r="C32" t="s">
        <v>179</v>
      </c>
      <c r="D32" t="s">
        <v>2</v>
      </c>
      <c r="E32">
        <v>45</v>
      </c>
      <c r="N32" t="s">
        <v>145</v>
      </c>
      <c r="O32" t="s">
        <v>197</v>
      </c>
      <c r="T32" t="s">
        <v>145</v>
      </c>
      <c r="U32" t="s">
        <v>162</v>
      </c>
      <c r="W32" t="s">
        <v>163</v>
      </c>
      <c r="X32" t="s">
        <v>197</v>
      </c>
      <c r="AI32" t="s">
        <v>145</v>
      </c>
      <c r="AJ32" t="s">
        <v>197</v>
      </c>
      <c r="AO32" t="s">
        <v>145</v>
      </c>
      <c r="AP32" t="s">
        <v>162</v>
      </c>
      <c r="AR32" t="s">
        <v>163</v>
      </c>
      <c r="AS32" t="s">
        <v>197</v>
      </c>
    </row>
    <row r="33" spans="1:47" x14ac:dyDescent="0.25">
      <c r="A33" t="s">
        <v>24</v>
      </c>
      <c r="B33" t="s">
        <v>201</v>
      </c>
      <c r="C33" t="s">
        <v>180</v>
      </c>
      <c r="D33" t="s">
        <v>2</v>
      </c>
      <c r="E33">
        <v>56</v>
      </c>
      <c r="G33" t="s">
        <v>138</v>
      </c>
      <c r="S33" t="s">
        <v>138</v>
      </c>
      <c r="V33" t="s">
        <v>138</v>
      </c>
      <c r="Y33" t="s">
        <v>138</v>
      </c>
      <c r="AB33" t="s">
        <v>138</v>
      </c>
      <c r="AK33" t="s">
        <v>138</v>
      </c>
      <c r="AN33" t="s">
        <v>138</v>
      </c>
      <c r="AT33" t="s">
        <v>138</v>
      </c>
    </row>
    <row r="34" spans="1:47" x14ac:dyDescent="0.25">
      <c r="A34" t="s">
        <v>24</v>
      </c>
      <c r="B34" t="s">
        <v>201</v>
      </c>
      <c r="C34" t="s">
        <v>181</v>
      </c>
      <c r="D34" t="s">
        <v>2</v>
      </c>
      <c r="E34">
        <v>71.5</v>
      </c>
      <c r="O34" t="s">
        <v>149</v>
      </c>
      <c r="R34" t="s">
        <v>136</v>
      </c>
      <c r="S34" t="s">
        <v>137</v>
      </c>
      <c r="U34" t="s">
        <v>136</v>
      </c>
      <c r="V34" t="s">
        <v>137</v>
      </c>
      <c r="X34" t="s">
        <v>136</v>
      </c>
      <c r="Y34" t="s">
        <v>137</v>
      </c>
      <c r="AG34" t="s">
        <v>136</v>
      </c>
      <c r="AH34" t="s">
        <v>137</v>
      </c>
      <c r="AJ34" t="s">
        <v>136</v>
      </c>
      <c r="AK34" t="s">
        <v>137</v>
      </c>
      <c r="AM34" t="s">
        <v>136</v>
      </c>
      <c r="AN34" t="s">
        <v>137</v>
      </c>
      <c r="AP34" t="s">
        <v>136</v>
      </c>
      <c r="AQ34" t="s">
        <v>137</v>
      </c>
      <c r="AS34" t="s">
        <v>136</v>
      </c>
      <c r="AT34" t="s">
        <v>137</v>
      </c>
    </row>
    <row r="35" spans="1:47" x14ac:dyDescent="0.25">
      <c r="A35" t="s">
        <v>24</v>
      </c>
      <c r="B35" t="s">
        <v>201</v>
      </c>
      <c r="C35" t="s">
        <v>183</v>
      </c>
      <c r="D35" t="s">
        <v>2</v>
      </c>
      <c r="E35">
        <v>63</v>
      </c>
      <c r="I35" t="s">
        <v>149</v>
      </c>
      <c r="L35" t="s">
        <v>149</v>
      </c>
      <c r="O35" t="s">
        <v>160</v>
      </c>
      <c r="AA35" t="s">
        <v>136</v>
      </c>
      <c r="AD35" t="s">
        <v>149</v>
      </c>
      <c r="AG35" t="s">
        <v>160</v>
      </c>
      <c r="AJ35" t="s">
        <v>184</v>
      </c>
      <c r="AP35" t="s">
        <v>149</v>
      </c>
      <c r="AS35" t="s">
        <v>136</v>
      </c>
    </row>
    <row r="36" spans="1:47" x14ac:dyDescent="0.25">
      <c r="A36" t="s">
        <v>24</v>
      </c>
      <c r="B36" t="s">
        <v>201</v>
      </c>
      <c r="C36" t="s">
        <v>210</v>
      </c>
      <c r="D36" t="s">
        <v>2</v>
      </c>
      <c r="E36">
        <v>80</v>
      </c>
      <c r="G36" t="s">
        <v>142</v>
      </c>
      <c r="H36" t="s">
        <v>143</v>
      </c>
      <c r="J36" t="s">
        <v>142</v>
      </c>
      <c r="K36" t="s">
        <v>143</v>
      </c>
      <c r="M36" t="s">
        <v>142</v>
      </c>
      <c r="N36" t="s">
        <v>143</v>
      </c>
      <c r="P36" t="s">
        <v>142</v>
      </c>
      <c r="Q36" t="s">
        <v>143</v>
      </c>
      <c r="S36" t="s">
        <v>142</v>
      </c>
      <c r="T36" t="s">
        <v>143</v>
      </c>
      <c r="Y36" t="s">
        <v>142</v>
      </c>
      <c r="Z36" t="s">
        <v>143</v>
      </c>
      <c r="AB36" t="s">
        <v>142</v>
      </c>
      <c r="AC36" t="s">
        <v>143</v>
      </c>
      <c r="AE36" t="s">
        <v>142</v>
      </c>
      <c r="AF36" t="s">
        <v>143</v>
      </c>
      <c r="AQ36" t="s">
        <v>142</v>
      </c>
      <c r="AR36" t="s">
        <v>143</v>
      </c>
      <c r="AT36" t="s">
        <v>142</v>
      </c>
      <c r="AU36" t="s">
        <v>143</v>
      </c>
    </row>
    <row r="37" spans="1:47" x14ac:dyDescent="0.25">
      <c r="A37" t="s">
        <v>24</v>
      </c>
      <c r="B37" t="s">
        <v>201</v>
      </c>
      <c r="C37" t="s">
        <v>186</v>
      </c>
      <c r="D37" t="s">
        <v>2</v>
      </c>
      <c r="E37">
        <v>60</v>
      </c>
      <c r="M37" t="s">
        <v>138</v>
      </c>
      <c r="P37" t="s">
        <v>142</v>
      </c>
      <c r="Q37" t="s">
        <v>143</v>
      </c>
      <c r="S37" t="s">
        <v>142</v>
      </c>
      <c r="T37" t="s">
        <v>143</v>
      </c>
      <c r="V37" t="s">
        <v>138</v>
      </c>
      <c r="Y37" t="s">
        <v>138</v>
      </c>
      <c r="AH37" t="s">
        <v>138</v>
      </c>
      <c r="AK37" t="s">
        <v>142</v>
      </c>
      <c r="AL37" t="s">
        <v>143</v>
      </c>
      <c r="AN37" t="s">
        <v>142</v>
      </c>
      <c r="AO37" t="s">
        <v>143</v>
      </c>
    </row>
    <row r="38" spans="1:47" x14ac:dyDescent="0.25">
      <c r="A38" t="s">
        <v>24</v>
      </c>
      <c r="B38" t="s">
        <v>201</v>
      </c>
      <c r="C38" t="s">
        <v>168</v>
      </c>
      <c r="D38" t="s">
        <v>2</v>
      </c>
      <c r="E38">
        <v>67.5</v>
      </c>
      <c r="H38" t="s">
        <v>145</v>
      </c>
      <c r="I38" t="s">
        <v>162</v>
      </c>
      <c r="K38" t="s">
        <v>163</v>
      </c>
      <c r="L38" t="s">
        <v>162</v>
      </c>
      <c r="N38" t="s">
        <v>163</v>
      </c>
      <c r="O38" t="s">
        <v>211</v>
      </c>
      <c r="W38" t="s">
        <v>169</v>
      </c>
      <c r="X38" t="s">
        <v>162</v>
      </c>
      <c r="Z38" t="s">
        <v>163</v>
      </c>
      <c r="AA38" t="s">
        <v>162</v>
      </c>
      <c r="AC38" t="s">
        <v>163</v>
      </c>
      <c r="AD38" t="s">
        <v>143</v>
      </c>
      <c r="AF38" t="s">
        <v>169</v>
      </c>
      <c r="AG38" t="s">
        <v>212</v>
      </c>
      <c r="AL38" t="s">
        <v>145</v>
      </c>
      <c r="AM38" t="s">
        <v>143</v>
      </c>
      <c r="AO38" t="s">
        <v>169</v>
      </c>
      <c r="AP38" t="s">
        <v>212</v>
      </c>
    </row>
    <row r="39" spans="1:47" x14ac:dyDescent="0.25">
      <c r="A39" t="s">
        <v>24</v>
      </c>
      <c r="B39" t="s">
        <v>201</v>
      </c>
      <c r="C39" t="s">
        <v>188</v>
      </c>
      <c r="D39" t="s">
        <v>2</v>
      </c>
      <c r="E39">
        <v>41.4</v>
      </c>
      <c r="T39" t="s">
        <v>145</v>
      </c>
      <c r="U39" t="s">
        <v>162</v>
      </c>
      <c r="W39" t="s">
        <v>163</v>
      </c>
      <c r="X39" t="s">
        <v>162</v>
      </c>
      <c r="Z39" t="s">
        <v>163</v>
      </c>
      <c r="AA39" t="s">
        <v>197</v>
      </c>
      <c r="AO39" t="s">
        <v>145</v>
      </c>
      <c r="AP39" t="s">
        <v>162</v>
      </c>
      <c r="AR39" t="s">
        <v>163</v>
      </c>
      <c r="AS39" t="s">
        <v>207</v>
      </c>
      <c r="AU39" t="s">
        <v>166</v>
      </c>
    </row>
    <row r="40" spans="1:47" x14ac:dyDescent="0.25">
      <c r="A40" t="s">
        <v>24</v>
      </c>
      <c r="B40" t="s">
        <v>201</v>
      </c>
      <c r="C40" t="s">
        <v>187</v>
      </c>
      <c r="D40" t="s">
        <v>2</v>
      </c>
      <c r="E40">
        <v>63.9</v>
      </c>
      <c r="H40" t="s">
        <v>145</v>
      </c>
      <c r="I40" t="s">
        <v>162</v>
      </c>
      <c r="K40" t="s">
        <v>163</v>
      </c>
      <c r="L40" t="s">
        <v>197</v>
      </c>
      <c r="Q40" t="s">
        <v>145</v>
      </c>
      <c r="R40" t="s">
        <v>197</v>
      </c>
      <c r="Z40" t="s">
        <v>145</v>
      </c>
      <c r="AA40" t="s">
        <v>162</v>
      </c>
      <c r="AC40" t="s">
        <v>163</v>
      </c>
      <c r="AD40" t="s">
        <v>162</v>
      </c>
      <c r="AF40" t="s">
        <v>163</v>
      </c>
      <c r="AG40" t="s">
        <v>211</v>
      </c>
      <c r="AL40" t="s">
        <v>145</v>
      </c>
      <c r="AM40" t="s">
        <v>197</v>
      </c>
      <c r="AR40" t="s">
        <v>145</v>
      </c>
      <c r="AS40" t="s">
        <v>207</v>
      </c>
      <c r="AU40" t="s">
        <v>166</v>
      </c>
    </row>
    <row r="41" spans="1:47" x14ac:dyDescent="0.25">
      <c r="A41" t="s">
        <v>24</v>
      </c>
      <c r="B41" t="s">
        <v>201</v>
      </c>
      <c r="C41" t="s">
        <v>161</v>
      </c>
      <c r="D41" t="s">
        <v>2</v>
      </c>
      <c r="E41">
        <v>30</v>
      </c>
      <c r="H41" t="s">
        <v>145</v>
      </c>
      <c r="I41" t="s">
        <v>162</v>
      </c>
      <c r="K41" t="s">
        <v>163</v>
      </c>
      <c r="L41" t="s">
        <v>197</v>
      </c>
      <c r="AC41" t="s">
        <v>145</v>
      </c>
      <c r="AD41" t="s">
        <v>162</v>
      </c>
      <c r="AF41" t="s">
        <v>163</v>
      </c>
      <c r="AG41" t="s">
        <v>197</v>
      </c>
    </row>
    <row r="42" spans="1:47" x14ac:dyDescent="0.25">
      <c r="A42" t="s">
        <v>24</v>
      </c>
      <c r="B42" t="s">
        <v>201</v>
      </c>
      <c r="C42" t="s">
        <v>189</v>
      </c>
      <c r="D42" t="s">
        <v>2</v>
      </c>
      <c r="E42">
        <v>52.5</v>
      </c>
      <c r="H42" t="s">
        <v>145</v>
      </c>
      <c r="I42" t="s">
        <v>162</v>
      </c>
      <c r="K42" t="s">
        <v>163</v>
      </c>
      <c r="L42" t="s">
        <v>213</v>
      </c>
      <c r="T42" t="s">
        <v>145</v>
      </c>
      <c r="U42" t="s">
        <v>162</v>
      </c>
      <c r="W42" t="s">
        <v>163</v>
      </c>
      <c r="X42" t="s">
        <v>162</v>
      </c>
      <c r="Z42" t="s">
        <v>163</v>
      </c>
      <c r="AA42" t="s">
        <v>162</v>
      </c>
      <c r="AC42" t="s">
        <v>163</v>
      </c>
      <c r="AD42" t="s">
        <v>162</v>
      </c>
      <c r="AF42" t="s">
        <v>163</v>
      </c>
      <c r="AG42" t="s">
        <v>213</v>
      </c>
    </row>
    <row r="43" spans="1:47" x14ac:dyDescent="0.25">
      <c r="A43" t="s">
        <v>24</v>
      </c>
      <c r="B43" t="s">
        <v>201</v>
      </c>
      <c r="C43" t="s">
        <v>190</v>
      </c>
      <c r="D43" t="s">
        <v>2</v>
      </c>
      <c r="E43">
        <v>57</v>
      </c>
      <c r="I43" t="s">
        <v>214</v>
      </c>
      <c r="J43" t="s">
        <v>191</v>
      </c>
      <c r="L43" t="s">
        <v>214</v>
      </c>
      <c r="M43" t="s">
        <v>191</v>
      </c>
      <c r="O43" t="s">
        <v>214</v>
      </c>
      <c r="P43" t="s">
        <v>191</v>
      </c>
      <c r="AD43" t="s">
        <v>214</v>
      </c>
      <c r="AE43" t="s">
        <v>191</v>
      </c>
      <c r="AG43" t="s">
        <v>214</v>
      </c>
      <c r="AH43" t="s">
        <v>191</v>
      </c>
      <c r="AJ43" t="s">
        <v>214</v>
      </c>
      <c r="AK43" t="s">
        <v>191</v>
      </c>
    </row>
    <row r="44" spans="1:47" x14ac:dyDescent="0.25">
      <c r="A44" t="s">
        <v>24</v>
      </c>
      <c r="B44" t="s">
        <v>201</v>
      </c>
      <c r="C44" t="s">
        <v>185</v>
      </c>
      <c r="D44" t="s">
        <v>2</v>
      </c>
      <c r="E44">
        <v>60</v>
      </c>
      <c r="I44" t="s">
        <v>149</v>
      </c>
      <c r="L44" t="s">
        <v>149</v>
      </c>
      <c r="U44" t="s">
        <v>136</v>
      </c>
      <c r="X44" t="s">
        <v>149</v>
      </c>
      <c r="AA44" t="s">
        <v>149</v>
      </c>
      <c r="AD44" t="s">
        <v>136</v>
      </c>
      <c r="AJ44" t="s">
        <v>149</v>
      </c>
      <c r="AM44" t="s">
        <v>136</v>
      </c>
    </row>
    <row r="45" spans="1:47" x14ac:dyDescent="0.25">
      <c r="A45" t="s">
        <v>24</v>
      </c>
      <c r="B45" t="s">
        <v>201</v>
      </c>
      <c r="C45" t="s">
        <v>216</v>
      </c>
      <c r="D45" t="s">
        <v>2</v>
      </c>
      <c r="E45">
        <v>32</v>
      </c>
      <c r="V45" t="s">
        <v>142</v>
      </c>
      <c r="W45" t="s">
        <v>143</v>
      </c>
      <c r="Y45" t="s">
        <v>142</v>
      </c>
      <c r="Z45" t="s">
        <v>143</v>
      </c>
      <c r="AP45" t="s">
        <v>136</v>
      </c>
      <c r="AQ45" t="s">
        <v>137</v>
      </c>
      <c r="AS45" t="s">
        <v>136</v>
      </c>
      <c r="AT45" t="s">
        <v>137</v>
      </c>
    </row>
    <row r="46" spans="1:47" x14ac:dyDescent="0.25">
      <c r="A46" t="s">
        <v>24</v>
      </c>
      <c r="B46" t="s">
        <v>201</v>
      </c>
      <c r="C46" t="s">
        <v>215</v>
      </c>
      <c r="D46" t="s">
        <v>2</v>
      </c>
      <c r="E46">
        <v>64</v>
      </c>
      <c r="J46" t="s">
        <v>142</v>
      </c>
      <c r="K46" t="s">
        <v>143</v>
      </c>
      <c r="M46" t="s">
        <v>142</v>
      </c>
      <c r="N46" t="s">
        <v>143</v>
      </c>
      <c r="V46" t="s">
        <v>142</v>
      </c>
      <c r="W46" t="s">
        <v>143</v>
      </c>
      <c r="Y46" t="s">
        <v>142</v>
      </c>
      <c r="Z46" t="s">
        <v>143</v>
      </c>
      <c r="AE46" t="s">
        <v>142</v>
      </c>
      <c r="AF46" t="s">
        <v>143</v>
      </c>
      <c r="AH46" t="s">
        <v>142</v>
      </c>
      <c r="AI46" t="s">
        <v>143</v>
      </c>
      <c r="AQ46" t="s">
        <v>142</v>
      </c>
      <c r="AR46" t="s">
        <v>143</v>
      </c>
      <c r="AT46" t="s">
        <v>142</v>
      </c>
      <c r="AU46" t="s">
        <v>143</v>
      </c>
    </row>
    <row r="47" spans="1:47" x14ac:dyDescent="0.25">
      <c r="A47" t="s">
        <v>24</v>
      </c>
      <c r="B47" t="s">
        <v>201</v>
      </c>
      <c r="C47" t="s">
        <v>217</v>
      </c>
      <c r="D47" t="s">
        <v>2</v>
      </c>
      <c r="E47">
        <v>71.5</v>
      </c>
      <c r="M47" t="s">
        <v>142</v>
      </c>
      <c r="N47" t="s">
        <v>143</v>
      </c>
      <c r="P47" t="s">
        <v>142</v>
      </c>
      <c r="Q47" t="s">
        <v>143</v>
      </c>
      <c r="S47" t="s">
        <v>142</v>
      </c>
      <c r="T47" t="s">
        <v>143</v>
      </c>
      <c r="V47" t="s">
        <v>142</v>
      </c>
      <c r="W47" t="s">
        <v>143</v>
      </c>
      <c r="AD47" t="s">
        <v>149</v>
      </c>
      <c r="AH47" t="s">
        <v>142</v>
      </c>
      <c r="AI47" t="s">
        <v>143</v>
      </c>
      <c r="AK47" t="s">
        <v>142</v>
      </c>
      <c r="AL47" t="s">
        <v>143</v>
      </c>
      <c r="AN47" t="s">
        <v>142</v>
      </c>
      <c r="AO47" t="s">
        <v>143</v>
      </c>
      <c r="AQ47" t="s">
        <v>142</v>
      </c>
      <c r="AR47" t="s">
        <v>143</v>
      </c>
    </row>
    <row r="48" spans="1:47" x14ac:dyDescent="0.25">
      <c r="A48" t="s">
        <v>24</v>
      </c>
      <c r="B48" t="s">
        <v>201</v>
      </c>
      <c r="C48" t="s">
        <v>194</v>
      </c>
      <c r="D48" t="s">
        <v>2</v>
      </c>
      <c r="E48">
        <v>52.5</v>
      </c>
      <c r="L48" t="s">
        <v>149</v>
      </c>
      <c r="O48" t="s">
        <v>149</v>
      </c>
      <c r="U48" t="s">
        <v>149</v>
      </c>
      <c r="X48" t="s">
        <v>149</v>
      </c>
      <c r="AA48" t="s">
        <v>149</v>
      </c>
      <c r="AG48" t="s">
        <v>149</v>
      </c>
      <c r="AJ48" t="s">
        <v>149</v>
      </c>
    </row>
    <row r="49" spans="1:47" x14ac:dyDescent="0.25">
      <c r="A49" t="s">
        <v>24</v>
      </c>
      <c r="B49" t="s">
        <v>201</v>
      </c>
      <c r="C49" t="s">
        <v>195</v>
      </c>
      <c r="D49" t="s">
        <v>2</v>
      </c>
      <c r="E49">
        <v>64</v>
      </c>
      <c r="M49" t="s">
        <v>142</v>
      </c>
      <c r="N49" t="s">
        <v>143</v>
      </c>
      <c r="P49" t="s">
        <v>142</v>
      </c>
      <c r="Q49" t="s">
        <v>143</v>
      </c>
      <c r="S49" t="s">
        <v>142</v>
      </c>
      <c r="T49" t="s">
        <v>143</v>
      </c>
      <c r="V49" t="s">
        <v>142</v>
      </c>
      <c r="W49" t="s">
        <v>143</v>
      </c>
      <c r="Y49" t="s">
        <v>142</v>
      </c>
      <c r="Z49" t="s">
        <v>143</v>
      </c>
      <c r="AH49" t="s">
        <v>142</v>
      </c>
      <c r="AI49" t="s">
        <v>143</v>
      </c>
      <c r="AK49" t="s">
        <v>142</v>
      </c>
      <c r="AL49" t="s">
        <v>143</v>
      </c>
      <c r="AN49" t="s">
        <v>142</v>
      </c>
      <c r="AO49" t="s">
        <v>143</v>
      </c>
    </row>
    <row r="50" spans="1:47" x14ac:dyDescent="0.25">
      <c r="A50" t="s">
        <v>24</v>
      </c>
      <c r="B50" t="s">
        <v>201</v>
      </c>
      <c r="C50" t="s">
        <v>192</v>
      </c>
      <c r="D50" t="s">
        <v>2</v>
      </c>
      <c r="E50">
        <v>63.9</v>
      </c>
      <c r="N50" t="s">
        <v>145</v>
      </c>
      <c r="O50" t="s">
        <v>162</v>
      </c>
      <c r="Q50" t="s">
        <v>163</v>
      </c>
      <c r="R50" t="s">
        <v>162</v>
      </c>
      <c r="T50" t="s">
        <v>163</v>
      </c>
      <c r="U50" t="s">
        <v>211</v>
      </c>
      <c r="AC50" t="s">
        <v>169</v>
      </c>
      <c r="AD50" t="s">
        <v>162</v>
      </c>
      <c r="AF50" t="s">
        <v>163</v>
      </c>
      <c r="AG50" t="s">
        <v>211</v>
      </c>
      <c r="AL50" t="s">
        <v>169</v>
      </c>
      <c r="AM50" t="s">
        <v>162</v>
      </c>
      <c r="AO50" t="s">
        <v>163</v>
      </c>
      <c r="AP50" t="s">
        <v>162</v>
      </c>
      <c r="AR50" t="s">
        <v>163</v>
      </c>
      <c r="AS50" t="s">
        <v>143</v>
      </c>
      <c r="AU50" t="s">
        <v>193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D8C1-C242-4F10-BD83-B9765D8AF145}">
  <dimension ref="A1:AS4"/>
  <sheetViews>
    <sheetView workbookViewId="0">
      <selection sqref="A1:AS4"/>
    </sheetView>
    <sheetView workbookViewId="1"/>
  </sheetViews>
  <sheetFormatPr defaultRowHeight="15" x14ac:dyDescent="0.25"/>
  <cols>
    <col min="1" max="1" width="9.5703125" bestFit="1" customWidth="1"/>
    <col min="2" max="2" width="13.140625" bestFit="1" customWidth="1"/>
    <col min="3" max="3" width="7.28515625" bestFit="1" customWidth="1"/>
    <col min="4" max="4" width="11.7109375" bestFit="1" customWidth="1"/>
    <col min="5" max="5" width="11.5703125" bestFit="1" customWidth="1"/>
    <col min="6" max="6" width="14.28515625" bestFit="1" customWidth="1"/>
    <col min="7" max="7" width="11.7109375" bestFit="1" customWidth="1"/>
    <col min="8" max="8" width="11.5703125" bestFit="1" customWidth="1"/>
    <col min="9" max="9" width="14.28515625" bestFit="1" customWidth="1"/>
    <col min="10" max="10" width="11.7109375" bestFit="1" customWidth="1"/>
    <col min="11" max="11" width="11.5703125" bestFit="1" customWidth="1"/>
    <col min="12" max="12" width="14.28515625" bestFit="1" customWidth="1"/>
    <col min="13" max="13" width="11.7109375" bestFit="1" customWidth="1"/>
    <col min="14" max="14" width="11.5703125" bestFit="1" customWidth="1"/>
    <col min="15" max="15" width="14.28515625" bestFit="1" customWidth="1"/>
    <col min="16" max="16" width="11.7109375" bestFit="1" customWidth="1"/>
    <col min="17" max="17" width="11.5703125" bestFit="1" customWidth="1"/>
    <col min="18" max="18" width="14.28515625" bestFit="1" customWidth="1"/>
    <col min="19" max="19" width="11.7109375" bestFit="1" customWidth="1"/>
    <col min="20" max="20" width="11.5703125" bestFit="1" customWidth="1"/>
    <col min="21" max="21" width="14.28515625" bestFit="1" customWidth="1"/>
    <col min="22" max="22" width="11.7109375" bestFit="1" customWidth="1"/>
    <col min="23" max="23" width="11.5703125" bestFit="1" customWidth="1"/>
    <col min="24" max="24" width="14.28515625" bestFit="1" customWidth="1"/>
    <col min="25" max="25" width="11.7109375" bestFit="1" customWidth="1"/>
    <col min="26" max="26" width="11.5703125" bestFit="1" customWidth="1"/>
    <col min="27" max="27" width="14.28515625" bestFit="1" customWidth="1"/>
    <col min="28" max="28" width="11.7109375" bestFit="1" customWidth="1"/>
    <col min="29" max="29" width="11.5703125" bestFit="1" customWidth="1"/>
    <col min="30" max="30" width="14.28515625" bestFit="1" customWidth="1"/>
    <col min="31" max="31" width="11.7109375" bestFit="1" customWidth="1"/>
    <col min="32" max="32" width="11.5703125" bestFit="1" customWidth="1"/>
    <col min="33" max="33" width="14.28515625" bestFit="1" customWidth="1"/>
    <col min="34" max="34" width="11.7109375" bestFit="1" customWidth="1"/>
    <col min="35" max="35" width="11.5703125" bestFit="1" customWidth="1"/>
    <col min="36" max="36" width="14.28515625" bestFit="1" customWidth="1"/>
    <col min="37" max="37" width="11.7109375" bestFit="1" customWidth="1"/>
    <col min="38" max="38" width="11.5703125" bestFit="1" customWidth="1"/>
    <col min="39" max="39" width="14.28515625" bestFit="1" customWidth="1"/>
    <col min="40" max="40" width="10.7109375" bestFit="1" customWidth="1"/>
    <col min="41" max="41" width="10.5703125" bestFit="1" customWidth="1"/>
    <col min="42" max="42" width="13.28515625" bestFit="1" customWidth="1"/>
    <col min="43" max="43" width="10.7109375" bestFit="1" customWidth="1"/>
    <col min="44" max="44" width="10.5703125" bestFit="1" customWidth="1"/>
    <col min="45" max="45" width="13.28515625" bestFit="1" customWidth="1"/>
  </cols>
  <sheetData>
    <row r="1" spans="1:45" x14ac:dyDescent="0.25">
      <c r="A1" t="s">
        <v>23</v>
      </c>
      <c r="B1" t="s">
        <v>25</v>
      </c>
      <c r="C1" t="s">
        <v>0</v>
      </c>
      <c r="D1" t="s">
        <v>33</v>
      </c>
      <c r="E1" t="s">
        <v>34</v>
      </c>
      <c r="F1" t="s">
        <v>35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30</v>
      </c>
      <c r="AO1" t="s">
        <v>31</v>
      </c>
      <c r="AP1" t="s">
        <v>32</v>
      </c>
      <c r="AQ1" t="s">
        <v>36</v>
      </c>
      <c r="AR1" t="s">
        <v>37</v>
      </c>
      <c r="AS1" t="s">
        <v>38</v>
      </c>
    </row>
    <row r="2" spans="1:45" x14ac:dyDescent="0.25">
      <c r="A2" t="s">
        <v>24</v>
      </c>
      <c r="B2" t="s">
        <v>28</v>
      </c>
      <c r="C2" t="s">
        <v>2</v>
      </c>
      <c r="D2">
        <v>84.8</v>
      </c>
      <c r="E2">
        <v>68.3</v>
      </c>
      <c r="F2">
        <v>37</v>
      </c>
      <c r="G2">
        <v>87.5</v>
      </c>
      <c r="H2">
        <v>68.3</v>
      </c>
      <c r="I2">
        <v>37</v>
      </c>
      <c r="J2">
        <v>87.5</v>
      </c>
      <c r="K2">
        <v>68.3</v>
      </c>
      <c r="L2">
        <v>37</v>
      </c>
      <c r="M2">
        <v>87.5</v>
      </c>
      <c r="N2">
        <v>68.3</v>
      </c>
      <c r="O2">
        <v>37</v>
      </c>
      <c r="P2">
        <v>87.5</v>
      </c>
      <c r="Q2">
        <v>68.3</v>
      </c>
      <c r="R2">
        <v>37</v>
      </c>
      <c r="S2">
        <v>87.5</v>
      </c>
      <c r="T2">
        <v>68.3</v>
      </c>
      <c r="U2">
        <v>37</v>
      </c>
      <c r="V2">
        <v>87.5</v>
      </c>
      <c r="W2">
        <v>68.3</v>
      </c>
      <c r="X2">
        <v>37</v>
      </c>
      <c r="Y2">
        <v>87.5</v>
      </c>
      <c r="Z2">
        <v>68.3</v>
      </c>
      <c r="AA2">
        <v>37</v>
      </c>
      <c r="AB2">
        <v>87.5</v>
      </c>
      <c r="AC2">
        <v>68.3</v>
      </c>
      <c r="AD2">
        <v>37</v>
      </c>
      <c r="AE2">
        <v>87.5</v>
      </c>
      <c r="AF2">
        <v>68.3</v>
      </c>
      <c r="AG2">
        <v>37</v>
      </c>
      <c r="AH2">
        <v>87.5</v>
      </c>
      <c r="AI2">
        <v>68.3</v>
      </c>
      <c r="AJ2">
        <v>37</v>
      </c>
      <c r="AK2">
        <v>87.5</v>
      </c>
      <c r="AL2">
        <v>68.3</v>
      </c>
      <c r="AM2">
        <v>37</v>
      </c>
      <c r="AN2">
        <v>87.5</v>
      </c>
      <c r="AO2">
        <v>68.3</v>
      </c>
      <c r="AP2">
        <v>37</v>
      </c>
      <c r="AQ2">
        <v>89.2</v>
      </c>
      <c r="AR2">
        <v>68.3</v>
      </c>
      <c r="AS2">
        <v>37</v>
      </c>
    </row>
    <row r="3" spans="1:45" x14ac:dyDescent="0.25">
      <c r="A3" t="s">
        <v>24</v>
      </c>
      <c r="B3" t="s">
        <v>27</v>
      </c>
      <c r="C3" t="s">
        <v>2</v>
      </c>
      <c r="D3">
        <v>84.2</v>
      </c>
      <c r="E3">
        <v>65.5</v>
      </c>
      <c r="F3">
        <v>35.9</v>
      </c>
      <c r="G3">
        <v>87.5</v>
      </c>
      <c r="H3">
        <v>72.3</v>
      </c>
      <c r="I3">
        <v>35.9</v>
      </c>
      <c r="J3">
        <v>80.400000000000006</v>
      </c>
      <c r="K3">
        <v>72.3</v>
      </c>
      <c r="L3">
        <v>29</v>
      </c>
      <c r="M3">
        <v>87.3</v>
      </c>
      <c r="N3">
        <v>72.3</v>
      </c>
      <c r="O3">
        <v>22</v>
      </c>
      <c r="P3">
        <v>56.3</v>
      </c>
      <c r="Q3">
        <v>58.9</v>
      </c>
      <c r="R3">
        <v>29</v>
      </c>
      <c r="S3">
        <v>77.900000000000006</v>
      </c>
      <c r="T3">
        <v>65.5</v>
      </c>
      <c r="U3">
        <v>29</v>
      </c>
      <c r="V3">
        <v>77.900000000000006</v>
      </c>
      <c r="W3">
        <v>65.5</v>
      </c>
      <c r="X3">
        <v>29</v>
      </c>
      <c r="Y3">
        <v>85</v>
      </c>
      <c r="Z3">
        <v>65.5</v>
      </c>
      <c r="AA3">
        <v>35.9</v>
      </c>
      <c r="AB3">
        <v>87.5</v>
      </c>
      <c r="AC3">
        <v>72.3</v>
      </c>
      <c r="AD3">
        <v>35.9</v>
      </c>
      <c r="AE3">
        <v>80.400000000000006</v>
      </c>
      <c r="AF3">
        <v>71.900000000000006</v>
      </c>
      <c r="AG3">
        <v>22</v>
      </c>
      <c r="AH3">
        <v>87.1</v>
      </c>
      <c r="AI3">
        <v>58.3</v>
      </c>
      <c r="AJ3">
        <v>35.6</v>
      </c>
      <c r="AK3">
        <v>71</v>
      </c>
      <c r="AL3">
        <v>58.9</v>
      </c>
      <c r="AM3">
        <v>35.9</v>
      </c>
      <c r="AN3">
        <v>71</v>
      </c>
      <c r="AO3">
        <v>58.9</v>
      </c>
      <c r="AP3">
        <v>35.9</v>
      </c>
      <c r="AQ3">
        <v>71</v>
      </c>
      <c r="AR3">
        <v>65.5</v>
      </c>
      <c r="AS3">
        <v>16</v>
      </c>
    </row>
    <row r="4" spans="1:45" x14ac:dyDescent="0.25">
      <c r="A4" t="s">
        <v>24</v>
      </c>
      <c r="B4" t="s">
        <v>29</v>
      </c>
      <c r="C4" t="s">
        <v>2</v>
      </c>
      <c r="D4">
        <v>-0.7</v>
      </c>
      <c r="E4">
        <v>-2.8</v>
      </c>
      <c r="F4">
        <v>-1.2</v>
      </c>
      <c r="G4">
        <v>0</v>
      </c>
      <c r="H4">
        <v>4</v>
      </c>
      <c r="I4">
        <v>-1.2</v>
      </c>
      <c r="J4">
        <v>-7.1</v>
      </c>
      <c r="K4">
        <v>4</v>
      </c>
      <c r="L4">
        <v>-8.1</v>
      </c>
      <c r="M4">
        <v>-0.2</v>
      </c>
      <c r="N4">
        <v>4</v>
      </c>
      <c r="O4">
        <v>-15</v>
      </c>
      <c r="P4">
        <v>-31.2</v>
      </c>
      <c r="Q4">
        <v>-9.4</v>
      </c>
      <c r="R4">
        <v>-8.1</v>
      </c>
      <c r="S4">
        <v>-9.6</v>
      </c>
      <c r="T4">
        <v>-2.8</v>
      </c>
      <c r="U4">
        <v>-8.1</v>
      </c>
      <c r="V4">
        <v>-9.6</v>
      </c>
      <c r="W4">
        <v>-2.8</v>
      </c>
      <c r="X4">
        <v>-8.1</v>
      </c>
      <c r="Y4">
        <v>-2.4</v>
      </c>
      <c r="Z4">
        <v>-2.8</v>
      </c>
      <c r="AA4">
        <v>-1.2</v>
      </c>
      <c r="AB4">
        <v>0</v>
      </c>
      <c r="AC4">
        <v>4</v>
      </c>
      <c r="AD4">
        <v>-1.2</v>
      </c>
      <c r="AE4">
        <v>-7.1</v>
      </c>
      <c r="AF4">
        <v>3.6</v>
      </c>
      <c r="AG4">
        <v>-15</v>
      </c>
      <c r="AH4">
        <v>-0.4</v>
      </c>
      <c r="AI4">
        <v>-10</v>
      </c>
      <c r="AJ4">
        <v>-1.4</v>
      </c>
      <c r="AK4">
        <v>-16.5</v>
      </c>
      <c r="AL4">
        <v>-9.4</v>
      </c>
      <c r="AM4">
        <v>-1.2</v>
      </c>
      <c r="AN4">
        <v>-16.5</v>
      </c>
      <c r="AO4">
        <v>-9.4</v>
      </c>
      <c r="AP4">
        <v>-1.2</v>
      </c>
      <c r="AQ4">
        <v>-18.100000000000001</v>
      </c>
      <c r="AR4">
        <v>-2.8</v>
      </c>
      <c r="AS4">
        <v>-20.9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F602-CC99-4AF7-8B52-7404AB17566C}">
  <sheetPr>
    <tabColor theme="7"/>
  </sheetPr>
  <dimension ref="A1:AS4"/>
  <sheetViews>
    <sheetView workbookViewId="0">
      <selection sqref="A1:AS4"/>
    </sheetView>
    <sheetView workbookViewId="1"/>
  </sheetViews>
  <sheetFormatPr defaultRowHeight="15" x14ac:dyDescent="0.25"/>
  <cols>
    <col min="1" max="1" width="9.5703125" bestFit="1" customWidth="1"/>
    <col min="2" max="2" width="13.140625" bestFit="1" customWidth="1"/>
    <col min="3" max="3" width="16.42578125" bestFit="1" customWidth="1"/>
    <col min="4" max="4" width="11.7109375" bestFit="1" customWidth="1"/>
    <col min="5" max="5" width="11.5703125" bestFit="1" customWidth="1"/>
    <col min="6" max="6" width="14.28515625" bestFit="1" customWidth="1"/>
    <col min="7" max="7" width="11.7109375" bestFit="1" customWidth="1"/>
    <col min="8" max="8" width="11.5703125" bestFit="1" customWidth="1"/>
    <col min="9" max="9" width="14.28515625" bestFit="1" customWidth="1"/>
    <col min="10" max="10" width="11.7109375" bestFit="1" customWidth="1"/>
    <col min="11" max="11" width="11.5703125" bestFit="1" customWidth="1"/>
    <col min="12" max="12" width="14.28515625" bestFit="1" customWidth="1"/>
    <col min="13" max="13" width="11.7109375" bestFit="1" customWidth="1"/>
    <col min="14" max="14" width="11.5703125" bestFit="1" customWidth="1"/>
    <col min="15" max="15" width="14.28515625" bestFit="1" customWidth="1"/>
    <col min="16" max="16" width="11.7109375" bestFit="1" customWidth="1"/>
    <col min="17" max="17" width="11.5703125" bestFit="1" customWidth="1"/>
    <col min="18" max="18" width="14.28515625" bestFit="1" customWidth="1"/>
    <col min="19" max="19" width="11.7109375" bestFit="1" customWidth="1"/>
    <col min="20" max="20" width="11.5703125" bestFit="1" customWidth="1"/>
    <col min="21" max="21" width="14.28515625" bestFit="1" customWidth="1"/>
    <col min="22" max="22" width="11.7109375" bestFit="1" customWidth="1"/>
    <col min="23" max="23" width="11.5703125" bestFit="1" customWidth="1"/>
    <col min="24" max="24" width="14.28515625" bestFit="1" customWidth="1"/>
    <col min="25" max="25" width="11.7109375" bestFit="1" customWidth="1"/>
    <col min="26" max="26" width="11.5703125" bestFit="1" customWidth="1"/>
    <col min="27" max="27" width="14.28515625" bestFit="1" customWidth="1"/>
    <col min="28" max="28" width="11.7109375" bestFit="1" customWidth="1"/>
    <col min="29" max="29" width="11.5703125" bestFit="1" customWidth="1"/>
    <col min="30" max="30" width="14.28515625" bestFit="1" customWidth="1"/>
    <col min="31" max="31" width="11.7109375" bestFit="1" customWidth="1"/>
    <col min="32" max="32" width="11.5703125" bestFit="1" customWidth="1"/>
    <col min="33" max="33" width="14.28515625" bestFit="1" customWidth="1"/>
    <col min="34" max="34" width="11.7109375" bestFit="1" customWidth="1"/>
    <col min="35" max="35" width="11.5703125" bestFit="1" customWidth="1"/>
    <col min="36" max="36" width="14.28515625" bestFit="1" customWidth="1"/>
    <col min="37" max="37" width="11.7109375" bestFit="1" customWidth="1"/>
    <col min="38" max="38" width="11.5703125" bestFit="1" customWidth="1"/>
    <col min="39" max="39" width="14.28515625" bestFit="1" customWidth="1"/>
    <col min="40" max="40" width="10.7109375" bestFit="1" customWidth="1"/>
    <col min="41" max="41" width="10.5703125" bestFit="1" customWidth="1"/>
    <col min="42" max="42" width="13.28515625" bestFit="1" customWidth="1"/>
    <col min="43" max="43" width="10.7109375" bestFit="1" customWidth="1"/>
    <col min="44" max="44" width="10.5703125" bestFit="1" customWidth="1"/>
    <col min="45" max="45" width="13.28515625" bestFit="1" customWidth="1"/>
  </cols>
  <sheetData>
    <row r="1" spans="1:45" x14ac:dyDescent="0.25">
      <c r="A1" t="s">
        <v>23</v>
      </c>
      <c r="B1" t="s">
        <v>25</v>
      </c>
      <c r="C1" t="s">
        <v>0</v>
      </c>
      <c r="D1" t="s">
        <v>33</v>
      </c>
      <c r="E1" t="s">
        <v>34</v>
      </c>
      <c r="F1" t="s">
        <v>35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30</v>
      </c>
      <c r="AO1" t="s">
        <v>31</v>
      </c>
      <c r="AP1" t="s">
        <v>32</v>
      </c>
      <c r="AQ1" t="s">
        <v>36</v>
      </c>
      <c r="AR1" t="s">
        <v>37</v>
      </c>
      <c r="AS1" t="s">
        <v>38</v>
      </c>
    </row>
    <row r="2" spans="1:45" x14ac:dyDescent="0.25">
      <c r="A2" t="s">
        <v>24</v>
      </c>
      <c r="B2" t="s">
        <v>28</v>
      </c>
      <c r="C2" t="s">
        <v>4</v>
      </c>
      <c r="D2">
        <v>13.9</v>
      </c>
      <c r="E2">
        <v>15.2</v>
      </c>
      <c r="F2">
        <v>7.6</v>
      </c>
      <c r="G2">
        <v>14.8</v>
      </c>
      <c r="H2">
        <v>15.2</v>
      </c>
      <c r="I2">
        <v>7.6</v>
      </c>
      <c r="J2">
        <v>14.8</v>
      </c>
      <c r="K2">
        <v>15.2</v>
      </c>
      <c r="L2">
        <v>7.6</v>
      </c>
      <c r="M2">
        <v>14.8</v>
      </c>
      <c r="N2">
        <v>15.2</v>
      </c>
      <c r="O2">
        <v>7.6</v>
      </c>
      <c r="P2">
        <v>14.8</v>
      </c>
      <c r="Q2">
        <v>15.2</v>
      </c>
      <c r="R2">
        <v>7.6</v>
      </c>
      <c r="S2">
        <v>14.8</v>
      </c>
      <c r="T2">
        <v>15.2</v>
      </c>
      <c r="U2">
        <v>7.6</v>
      </c>
      <c r="V2">
        <v>14.8</v>
      </c>
      <c r="W2">
        <v>15.2</v>
      </c>
      <c r="X2">
        <v>7.6</v>
      </c>
      <c r="Y2">
        <v>14.8</v>
      </c>
      <c r="Z2">
        <v>15.2</v>
      </c>
      <c r="AA2">
        <v>7.6</v>
      </c>
      <c r="AB2">
        <v>14.8</v>
      </c>
      <c r="AC2">
        <v>15.2</v>
      </c>
      <c r="AD2">
        <v>7.6</v>
      </c>
      <c r="AE2">
        <v>14.8</v>
      </c>
      <c r="AF2">
        <v>15.2</v>
      </c>
      <c r="AG2">
        <v>7.6</v>
      </c>
      <c r="AH2">
        <v>14.8</v>
      </c>
      <c r="AI2">
        <v>15.2</v>
      </c>
      <c r="AJ2">
        <v>7.6</v>
      </c>
      <c r="AK2">
        <v>14.8</v>
      </c>
      <c r="AL2">
        <v>15.2</v>
      </c>
      <c r="AM2">
        <v>7.6</v>
      </c>
      <c r="AN2">
        <v>14.8</v>
      </c>
      <c r="AO2">
        <v>15.2</v>
      </c>
      <c r="AP2">
        <v>7.6</v>
      </c>
      <c r="AQ2">
        <v>15</v>
      </c>
      <c r="AR2">
        <v>15.2</v>
      </c>
      <c r="AS2">
        <v>7.6</v>
      </c>
    </row>
    <row r="3" spans="1:45" x14ac:dyDescent="0.25">
      <c r="A3" t="s">
        <v>24</v>
      </c>
      <c r="B3" t="s">
        <v>27</v>
      </c>
      <c r="C3" t="s">
        <v>4</v>
      </c>
      <c r="D3">
        <v>19.2</v>
      </c>
      <c r="E3">
        <v>10.5</v>
      </c>
      <c r="F3">
        <v>7.1</v>
      </c>
      <c r="G3">
        <v>14.8</v>
      </c>
      <c r="H3">
        <v>8.3000000000000007</v>
      </c>
      <c r="I3">
        <v>7.1</v>
      </c>
      <c r="J3">
        <v>14.8</v>
      </c>
      <c r="K3">
        <v>0.9</v>
      </c>
      <c r="L3">
        <v>6.9</v>
      </c>
      <c r="M3">
        <v>13.7</v>
      </c>
      <c r="N3">
        <v>7.4</v>
      </c>
      <c r="O3">
        <v>7.1</v>
      </c>
      <c r="P3">
        <v>20.9</v>
      </c>
      <c r="Q3">
        <v>15.2</v>
      </c>
      <c r="R3">
        <v>7.4</v>
      </c>
      <c r="S3">
        <v>7.6</v>
      </c>
      <c r="T3">
        <v>15.2</v>
      </c>
      <c r="U3">
        <v>7.4</v>
      </c>
      <c r="V3">
        <v>14.8</v>
      </c>
      <c r="W3">
        <v>15.6</v>
      </c>
      <c r="X3">
        <v>7.4</v>
      </c>
      <c r="Y3">
        <v>19.7</v>
      </c>
      <c r="Z3">
        <v>10.5</v>
      </c>
      <c r="AA3">
        <v>7.1</v>
      </c>
      <c r="AB3">
        <v>14.8</v>
      </c>
      <c r="AC3">
        <v>8.3000000000000007</v>
      </c>
      <c r="AD3">
        <v>7.1</v>
      </c>
      <c r="AE3">
        <v>14.8</v>
      </c>
      <c r="AF3">
        <v>0.9</v>
      </c>
      <c r="AG3">
        <v>6.9</v>
      </c>
      <c r="AH3">
        <v>13.7</v>
      </c>
      <c r="AI3">
        <v>0</v>
      </c>
      <c r="AJ3">
        <v>6.9</v>
      </c>
      <c r="AK3">
        <v>28.1</v>
      </c>
      <c r="AL3">
        <v>15.6</v>
      </c>
      <c r="AM3">
        <v>7.4</v>
      </c>
      <c r="AN3">
        <v>7.6</v>
      </c>
      <c r="AO3">
        <v>15.2</v>
      </c>
      <c r="AP3">
        <v>7.4</v>
      </c>
      <c r="AQ3">
        <v>7.6</v>
      </c>
      <c r="AR3">
        <v>15.2</v>
      </c>
      <c r="AS3">
        <v>4.0999999999999996</v>
      </c>
    </row>
    <row r="4" spans="1:45" x14ac:dyDescent="0.25">
      <c r="A4" t="s">
        <v>24</v>
      </c>
      <c r="B4" t="s">
        <v>29</v>
      </c>
      <c r="C4" t="s">
        <v>4</v>
      </c>
      <c r="D4">
        <v>5.3</v>
      </c>
      <c r="E4">
        <v>-4.7</v>
      </c>
      <c r="F4">
        <v>-0.5</v>
      </c>
      <c r="G4">
        <v>0</v>
      </c>
      <c r="H4">
        <v>-6.9</v>
      </c>
      <c r="I4">
        <v>-0.5</v>
      </c>
      <c r="J4">
        <v>0</v>
      </c>
      <c r="K4">
        <v>-14.3</v>
      </c>
      <c r="L4">
        <v>-0.7</v>
      </c>
      <c r="M4">
        <v>-1</v>
      </c>
      <c r="N4">
        <v>-7.8</v>
      </c>
      <c r="O4">
        <v>-0.5</v>
      </c>
      <c r="P4">
        <v>6.1</v>
      </c>
      <c r="Q4">
        <v>0</v>
      </c>
      <c r="R4">
        <v>-0.2</v>
      </c>
      <c r="S4">
        <v>-7.2</v>
      </c>
      <c r="T4">
        <v>0</v>
      </c>
      <c r="U4">
        <v>-0.2</v>
      </c>
      <c r="V4">
        <v>0</v>
      </c>
      <c r="W4">
        <v>0.5</v>
      </c>
      <c r="X4">
        <v>-0.2</v>
      </c>
      <c r="Y4">
        <v>4.9000000000000004</v>
      </c>
      <c r="Z4">
        <v>-4.7</v>
      </c>
      <c r="AA4">
        <v>-0.5</v>
      </c>
      <c r="AB4">
        <v>0</v>
      </c>
      <c r="AC4">
        <v>-6.9</v>
      </c>
      <c r="AD4">
        <v>-0.5</v>
      </c>
      <c r="AE4">
        <v>0</v>
      </c>
      <c r="AF4">
        <v>-14.3</v>
      </c>
      <c r="AG4">
        <v>-0.7</v>
      </c>
      <c r="AH4">
        <v>-1</v>
      </c>
      <c r="AI4">
        <v>-15.2</v>
      </c>
      <c r="AJ4">
        <v>-0.7</v>
      </c>
      <c r="AK4">
        <v>13.3</v>
      </c>
      <c r="AL4">
        <v>0.5</v>
      </c>
      <c r="AM4">
        <v>-0.2</v>
      </c>
      <c r="AN4">
        <v>-7.2</v>
      </c>
      <c r="AO4">
        <v>0</v>
      </c>
      <c r="AP4">
        <v>-0.2</v>
      </c>
      <c r="AQ4">
        <v>-7.4</v>
      </c>
      <c r="AR4">
        <v>0</v>
      </c>
      <c r="AS4">
        <v>-3.5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9AD1-739A-4D32-AC3C-AFF39B8E85FB}">
  <sheetPr>
    <tabColor theme="7"/>
  </sheetPr>
  <dimension ref="A1:H888"/>
  <sheetViews>
    <sheetView workbookViewId="0">
      <selection activeCell="E685" sqref="E685"/>
    </sheetView>
    <sheetView workbookViewId="1"/>
  </sheetViews>
  <sheetFormatPr defaultRowHeight="15" x14ac:dyDescent="0.25"/>
  <cols>
    <col min="1" max="1" width="27.42578125" bestFit="1" customWidth="1"/>
    <col min="2" max="2" width="16.42578125" bestFit="1" customWidth="1"/>
    <col min="3" max="3" width="10.7109375" bestFit="1" customWidth="1"/>
    <col min="4" max="4" width="7.42578125" bestFit="1" customWidth="1"/>
    <col min="5" max="5" width="21.42578125" bestFit="1" customWidth="1"/>
    <col min="6" max="6" width="15.85546875" bestFit="1" customWidth="1"/>
    <col min="7" max="7" width="14.28515625" bestFit="1" customWidth="1"/>
    <col min="8" max="8" width="9.5703125" bestFit="1" customWidth="1"/>
  </cols>
  <sheetData>
    <row r="1" spans="1:8" x14ac:dyDescent="0.25">
      <c r="A1" t="s">
        <v>1</v>
      </c>
      <c r="B1" t="s">
        <v>0</v>
      </c>
      <c r="C1" t="s">
        <v>231</v>
      </c>
      <c r="D1" t="s">
        <v>232</v>
      </c>
      <c r="E1" t="s">
        <v>200</v>
      </c>
      <c r="F1" t="s">
        <v>233</v>
      </c>
      <c r="G1" t="s">
        <v>234</v>
      </c>
      <c r="H1" t="s">
        <v>23</v>
      </c>
    </row>
    <row r="2" spans="1:8" hidden="1" x14ac:dyDescent="0.25">
      <c r="A2" t="s">
        <v>199</v>
      </c>
      <c r="B2" t="s">
        <v>4</v>
      </c>
      <c r="C2" s="38">
        <v>45068</v>
      </c>
      <c r="D2" t="s">
        <v>235</v>
      </c>
      <c r="E2" t="s">
        <v>205</v>
      </c>
      <c r="F2">
        <v>2.2999999999999998</v>
      </c>
      <c r="G2">
        <v>0.5</v>
      </c>
      <c r="H2" t="s">
        <v>24</v>
      </c>
    </row>
    <row r="3" spans="1:8" hidden="1" x14ac:dyDescent="0.25">
      <c r="A3" t="s">
        <v>199</v>
      </c>
      <c r="B3" t="s">
        <v>4</v>
      </c>
      <c r="C3" s="38">
        <v>45068</v>
      </c>
      <c r="D3" t="s">
        <v>236</v>
      </c>
      <c r="E3" t="s">
        <v>201</v>
      </c>
      <c r="F3">
        <v>5.2</v>
      </c>
      <c r="G3">
        <v>0.5</v>
      </c>
      <c r="H3" t="s">
        <v>24</v>
      </c>
    </row>
    <row r="4" spans="1:8" hidden="1" x14ac:dyDescent="0.25">
      <c r="A4" t="s">
        <v>173</v>
      </c>
      <c r="B4" t="s">
        <v>2</v>
      </c>
      <c r="C4" s="38">
        <v>45068</v>
      </c>
      <c r="D4" t="s">
        <v>236</v>
      </c>
      <c r="E4" t="s">
        <v>205</v>
      </c>
      <c r="F4">
        <v>7.5</v>
      </c>
      <c r="G4">
        <v>0</v>
      </c>
      <c r="H4" t="s">
        <v>24</v>
      </c>
    </row>
    <row r="5" spans="1:8" hidden="1" x14ac:dyDescent="0.25">
      <c r="A5" t="s">
        <v>178</v>
      </c>
      <c r="B5" t="s">
        <v>2</v>
      </c>
      <c r="C5" s="38">
        <v>45068</v>
      </c>
      <c r="D5" t="s">
        <v>236</v>
      </c>
      <c r="E5" t="s">
        <v>204</v>
      </c>
      <c r="F5">
        <v>0</v>
      </c>
      <c r="G5">
        <v>0</v>
      </c>
      <c r="H5" t="s">
        <v>24</v>
      </c>
    </row>
    <row r="6" spans="1:8" hidden="1" x14ac:dyDescent="0.25">
      <c r="A6" t="s">
        <v>237</v>
      </c>
      <c r="B6" t="s">
        <v>2</v>
      </c>
      <c r="C6" s="38">
        <v>45068</v>
      </c>
      <c r="D6" t="s">
        <v>236</v>
      </c>
      <c r="E6" t="s">
        <v>204</v>
      </c>
      <c r="F6">
        <v>0</v>
      </c>
      <c r="G6">
        <v>0</v>
      </c>
      <c r="H6" t="s">
        <v>24</v>
      </c>
    </row>
    <row r="7" spans="1:8" hidden="1" x14ac:dyDescent="0.25">
      <c r="A7" t="s">
        <v>185</v>
      </c>
      <c r="B7" t="s">
        <v>2</v>
      </c>
      <c r="C7" s="38">
        <v>45068</v>
      </c>
      <c r="D7" t="s">
        <v>236</v>
      </c>
      <c r="E7" t="s">
        <v>204</v>
      </c>
      <c r="F7">
        <v>0</v>
      </c>
      <c r="G7">
        <v>0</v>
      </c>
      <c r="H7" t="s">
        <v>24</v>
      </c>
    </row>
    <row r="8" spans="1:8" hidden="1" x14ac:dyDescent="0.25">
      <c r="A8" t="s">
        <v>198</v>
      </c>
      <c r="B8" t="s">
        <v>4</v>
      </c>
      <c r="C8" s="38">
        <v>45068</v>
      </c>
      <c r="D8" t="s">
        <v>236</v>
      </c>
      <c r="E8" t="s">
        <v>205</v>
      </c>
      <c r="F8">
        <v>7.5</v>
      </c>
      <c r="G8">
        <v>0</v>
      </c>
      <c r="H8" t="s">
        <v>24</v>
      </c>
    </row>
    <row r="9" spans="1:8" hidden="1" x14ac:dyDescent="0.25">
      <c r="A9" t="s">
        <v>198</v>
      </c>
      <c r="B9" t="s">
        <v>4</v>
      </c>
      <c r="C9" s="38">
        <v>45068</v>
      </c>
      <c r="D9" t="s">
        <v>235</v>
      </c>
      <c r="E9" t="s">
        <v>201</v>
      </c>
      <c r="F9">
        <v>0.5</v>
      </c>
      <c r="G9">
        <v>0</v>
      </c>
      <c r="H9" t="s">
        <v>24</v>
      </c>
    </row>
    <row r="10" spans="1:8" hidden="1" x14ac:dyDescent="0.25">
      <c r="A10" t="s">
        <v>238</v>
      </c>
      <c r="B10" t="s">
        <v>4</v>
      </c>
      <c r="C10" s="38">
        <v>45068</v>
      </c>
      <c r="D10" t="s">
        <v>236</v>
      </c>
      <c r="E10" t="s">
        <v>204</v>
      </c>
      <c r="F10">
        <v>0</v>
      </c>
      <c r="G10">
        <v>0</v>
      </c>
      <c r="H10" t="s">
        <v>24</v>
      </c>
    </row>
    <row r="11" spans="1:8" hidden="1" x14ac:dyDescent="0.25">
      <c r="A11" t="s">
        <v>239</v>
      </c>
      <c r="B11" t="s">
        <v>4</v>
      </c>
      <c r="C11" s="38">
        <v>45068</v>
      </c>
      <c r="D11" t="s">
        <v>235</v>
      </c>
      <c r="E11" t="s">
        <v>204</v>
      </c>
      <c r="F11">
        <v>0</v>
      </c>
      <c r="G11">
        <v>0</v>
      </c>
      <c r="H11" t="s">
        <v>24</v>
      </c>
    </row>
    <row r="12" spans="1:8" hidden="1" x14ac:dyDescent="0.25">
      <c r="A12" t="s">
        <v>167</v>
      </c>
      <c r="B12" t="s">
        <v>2</v>
      </c>
      <c r="C12" s="38">
        <v>45068</v>
      </c>
      <c r="D12" t="s">
        <v>235</v>
      </c>
      <c r="E12" t="s">
        <v>205</v>
      </c>
      <c r="F12">
        <v>7.8</v>
      </c>
      <c r="G12">
        <v>0</v>
      </c>
      <c r="H12" t="s">
        <v>24</v>
      </c>
    </row>
    <row r="13" spans="1:8" hidden="1" x14ac:dyDescent="0.25">
      <c r="A13" t="s">
        <v>167</v>
      </c>
      <c r="B13" t="s">
        <v>2</v>
      </c>
      <c r="C13" s="38">
        <v>45068</v>
      </c>
      <c r="D13" t="s">
        <v>240</v>
      </c>
      <c r="E13" t="s">
        <v>201</v>
      </c>
      <c r="F13">
        <v>0.2</v>
      </c>
      <c r="G13">
        <v>0</v>
      </c>
      <c r="H13" t="s">
        <v>24</v>
      </c>
    </row>
    <row r="14" spans="1:8" hidden="1" x14ac:dyDescent="0.25">
      <c r="A14" t="s">
        <v>170</v>
      </c>
      <c r="B14" t="s">
        <v>2</v>
      </c>
      <c r="C14" s="38">
        <v>45068</v>
      </c>
      <c r="D14" t="s">
        <v>236</v>
      </c>
      <c r="E14" t="s">
        <v>205</v>
      </c>
      <c r="F14">
        <v>6</v>
      </c>
      <c r="G14">
        <v>1.9</v>
      </c>
      <c r="H14" t="s">
        <v>24</v>
      </c>
    </row>
    <row r="15" spans="1:8" hidden="1" x14ac:dyDescent="0.25">
      <c r="A15" t="s">
        <v>178</v>
      </c>
      <c r="B15" t="s">
        <v>2</v>
      </c>
      <c r="C15" s="38">
        <v>45068</v>
      </c>
      <c r="D15" t="s">
        <v>235</v>
      </c>
      <c r="E15" t="s">
        <v>204</v>
      </c>
      <c r="F15">
        <v>0</v>
      </c>
      <c r="G15">
        <v>0</v>
      </c>
      <c r="H15" t="s">
        <v>24</v>
      </c>
    </row>
    <row r="16" spans="1:8" hidden="1" x14ac:dyDescent="0.25">
      <c r="A16" t="s">
        <v>161</v>
      </c>
      <c r="B16" t="s">
        <v>2</v>
      </c>
      <c r="C16" s="38">
        <v>45068</v>
      </c>
      <c r="D16" t="s">
        <v>240</v>
      </c>
      <c r="E16" t="s">
        <v>205</v>
      </c>
      <c r="F16">
        <v>7.3</v>
      </c>
      <c r="G16">
        <v>0.7</v>
      </c>
      <c r="H16" t="s">
        <v>24</v>
      </c>
    </row>
    <row r="17" spans="1:8" hidden="1" x14ac:dyDescent="0.25">
      <c r="A17" t="s">
        <v>241</v>
      </c>
      <c r="B17" t="s">
        <v>2</v>
      </c>
      <c r="C17" s="38">
        <v>45068</v>
      </c>
      <c r="D17" t="s">
        <v>236</v>
      </c>
      <c r="E17" t="s">
        <v>204</v>
      </c>
      <c r="F17">
        <v>0</v>
      </c>
      <c r="G17">
        <v>0</v>
      </c>
      <c r="H17" t="s">
        <v>24</v>
      </c>
    </row>
    <row r="18" spans="1:8" hidden="1" x14ac:dyDescent="0.25">
      <c r="A18" t="s">
        <v>202</v>
      </c>
      <c r="B18" t="s">
        <v>2</v>
      </c>
      <c r="C18" s="38">
        <v>45068</v>
      </c>
      <c r="D18" t="s">
        <v>236</v>
      </c>
      <c r="E18" t="s">
        <v>201</v>
      </c>
      <c r="F18">
        <v>7.5</v>
      </c>
      <c r="G18">
        <v>0.5</v>
      </c>
      <c r="H18" t="s">
        <v>24</v>
      </c>
    </row>
    <row r="19" spans="1:8" hidden="1" x14ac:dyDescent="0.25">
      <c r="A19" t="s">
        <v>196</v>
      </c>
      <c r="B19" t="s">
        <v>2</v>
      </c>
      <c r="C19" s="38">
        <v>45068</v>
      </c>
      <c r="D19" t="s">
        <v>235</v>
      </c>
      <c r="E19" t="s">
        <v>201</v>
      </c>
      <c r="F19">
        <v>7.8</v>
      </c>
      <c r="G19">
        <v>0</v>
      </c>
      <c r="H19" t="s">
        <v>24</v>
      </c>
    </row>
    <row r="20" spans="1:8" hidden="1" x14ac:dyDescent="0.25">
      <c r="A20" t="s">
        <v>182</v>
      </c>
      <c r="B20" t="s">
        <v>2</v>
      </c>
      <c r="C20" s="38">
        <v>45068</v>
      </c>
      <c r="D20" t="s">
        <v>236</v>
      </c>
      <c r="E20" t="s">
        <v>205</v>
      </c>
      <c r="F20">
        <v>7.5</v>
      </c>
      <c r="G20">
        <v>0</v>
      </c>
      <c r="H20" t="s">
        <v>24</v>
      </c>
    </row>
    <row r="21" spans="1:8" hidden="1" x14ac:dyDescent="0.25">
      <c r="A21" t="s">
        <v>189</v>
      </c>
      <c r="B21" t="s">
        <v>2</v>
      </c>
      <c r="C21" s="38">
        <v>45068</v>
      </c>
      <c r="D21" t="s">
        <v>240</v>
      </c>
      <c r="E21" t="s">
        <v>205</v>
      </c>
      <c r="F21">
        <v>7.3</v>
      </c>
      <c r="G21">
        <v>0.7</v>
      </c>
      <c r="H21" t="s">
        <v>24</v>
      </c>
    </row>
    <row r="22" spans="1:8" hidden="1" x14ac:dyDescent="0.25">
      <c r="A22" t="s">
        <v>196</v>
      </c>
      <c r="B22" t="s">
        <v>2</v>
      </c>
      <c r="C22" s="38">
        <v>45068</v>
      </c>
      <c r="D22" t="s">
        <v>240</v>
      </c>
      <c r="E22" t="s">
        <v>201</v>
      </c>
      <c r="F22">
        <v>0.2</v>
      </c>
      <c r="G22">
        <v>0</v>
      </c>
      <c r="H22" t="s">
        <v>24</v>
      </c>
    </row>
    <row r="23" spans="1:8" hidden="1" x14ac:dyDescent="0.25">
      <c r="A23" t="s">
        <v>178</v>
      </c>
      <c r="B23" t="s">
        <v>2</v>
      </c>
      <c r="C23" s="38">
        <v>45068</v>
      </c>
      <c r="D23" t="s">
        <v>240</v>
      </c>
      <c r="E23" t="s">
        <v>201</v>
      </c>
      <c r="F23">
        <v>7.3</v>
      </c>
      <c r="G23">
        <v>0.7</v>
      </c>
      <c r="H23" t="s">
        <v>24</v>
      </c>
    </row>
    <row r="24" spans="1:8" hidden="1" x14ac:dyDescent="0.25">
      <c r="A24" t="s">
        <v>180</v>
      </c>
      <c r="B24" t="s">
        <v>2</v>
      </c>
      <c r="C24" s="38">
        <v>45068</v>
      </c>
      <c r="D24" t="s">
        <v>235</v>
      </c>
      <c r="E24" t="s">
        <v>205</v>
      </c>
      <c r="F24">
        <v>7</v>
      </c>
      <c r="G24">
        <v>1</v>
      </c>
      <c r="H24" t="s">
        <v>24</v>
      </c>
    </row>
    <row r="25" spans="1:8" hidden="1" x14ac:dyDescent="0.25">
      <c r="A25" t="s">
        <v>182</v>
      </c>
      <c r="B25" t="s">
        <v>2</v>
      </c>
      <c r="C25" s="38">
        <v>45068</v>
      </c>
      <c r="D25" t="s">
        <v>235</v>
      </c>
      <c r="E25" t="s">
        <v>201</v>
      </c>
      <c r="F25">
        <v>0.5</v>
      </c>
      <c r="G25">
        <v>0</v>
      </c>
      <c r="H25" t="s">
        <v>24</v>
      </c>
    </row>
    <row r="26" spans="1:8" hidden="1" x14ac:dyDescent="0.25">
      <c r="A26" t="s">
        <v>187</v>
      </c>
      <c r="B26" t="s">
        <v>2</v>
      </c>
      <c r="C26" s="38">
        <v>45068</v>
      </c>
      <c r="D26" t="s">
        <v>240</v>
      </c>
      <c r="E26" t="s">
        <v>205</v>
      </c>
      <c r="F26">
        <v>7.3</v>
      </c>
      <c r="G26">
        <v>0.7</v>
      </c>
      <c r="H26" t="s">
        <v>24</v>
      </c>
    </row>
    <row r="27" spans="1:8" hidden="1" x14ac:dyDescent="0.25">
      <c r="A27" t="s">
        <v>159</v>
      </c>
      <c r="B27" t="s">
        <v>2</v>
      </c>
      <c r="C27" s="38">
        <v>45068</v>
      </c>
      <c r="D27" t="s">
        <v>236</v>
      </c>
      <c r="E27" t="s">
        <v>205</v>
      </c>
      <c r="F27">
        <v>7.5</v>
      </c>
      <c r="G27">
        <v>0.5</v>
      </c>
      <c r="H27" t="s">
        <v>24</v>
      </c>
    </row>
    <row r="28" spans="1:8" hidden="1" x14ac:dyDescent="0.25">
      <c r="A28" t="s">
        <v>171</v>
      </c>
      <c r="B28" t="s">
        <v>2</v>
      </c>
      <c r="C28" s="38">
        <v>45068</v>
      </c>
      <c r="D28" t="s">
        <v>236</v>
      </c>
      <c r="E28" t="s">
        <v>205</v>
      </c>
      <c r="F28">
        <v>7.5</v>
      </c>
      <c r="G28">
        <v>0.5</v>
      </c>
      <c r="H28" t="s">
        <v>24</v>
      </c>
    </row>
    <row r="29" spans="1:8" hidden="1" x14ac:dyDescent="0.25">
      <c r="A29" t="s">
        <v>3</v>
      </c>
      <c r="B29" t="s">
        <v>2</v>
      </c>
      <c r="C29" s="38">
        <v>45068</v>
      </c>
      <c r="D29" t="s">
        <v>236</v>
      </c>
      <c r="E29" t="s">
        <v>205</v>
      </c>
      <c r="F29">
        <v>7.5</v>
      </c>
      <c r="G29">
        <v>0</v>
      </c>
      <c r="H29" t="s">
        <v>24</v>
      </c>
    </row>
    <row r="30" spans="1:8" hidden="1" x14ac:dyDescent="0.25">
      <c r="A30" t="s">
        <v>206</v>
      </c>
      <c r="B30" t="s">
        <v>2</v>
      </c>
      <c r="C30" s="38">
        <v>45068</v>
      </c>
      <c r="D30" t="s">
        <v>236</v>
      </c>
      <c r="E30" t="s">
        <v>201</v>
      </c>
      <c r="F30">
        <v>7.5</v>
      </c>
      <c r="G30">
        <v>0.5</v>
      </c>
      <c r="H30" t="s">
        <v>24</v>
      </c>
    </row>
    <row r="31" spans="1:8" x14ac:dyDescent="0.25">
      <c r="A31" t="s">
        <v>5</v>
      </c>
      <c r="B31" t="s">
        <v>4</v>
      </c>
      <c r="C31" s="38">
        <v>45068</v>
      </c>
      <c r="D31" t="s">
        <v>236</v>
      </c>
      <c r="E31" t="s">
        <v>201</v>
      </c>
      <c r="F31">
        <v>7.5</v>
      </c>
      <c r="G31">
        <v>0</v>
      </c>
      <c r="H31" t="s">
        <v>24</v>
      </c>
    </row>
    <row r="32" spans="1:8" x14ac:dyDescent="0.25">
      <c r="A32" t="s">
        <v>5</v>
      </c>
      <c r="B32" t="s">
        <v>4</v>
      </c>
      <c r="C32" s="38">
        <v>45068</v>
      </c>
      <c r="D32" t="s">
        <v>235</v>
      </c>
      <c r="E32" t="s">
        <v>205</v>
      </c>
      <c r="F32">
        <v>0.5</v>
      </c>
      <c r="G32">
        <v>0</v>
      </c>
      <c r="H32" t="s">
        <v>24</v>
      </c>
    </row>
    <row r="33" spans="1:8" hidden="1" x14ac:dyDescent="0.25">
      <c r="A33" t="s">
        <v>164</v>
      </c>
      <c r="B33" t="s">
        <v>2</v>
      </c>
      <c r="C33" s="38">
        <v>45068</v>
      </c>
      <c r="D33" t="s">
        <v>236</v>
      </c>
      <c r="E33" t="s">
        <v>205</v>
      </c>
      <c r="F33">
        <v>7.5</v>
      </c>
      <c r="G33">
        <v>0</v>
      </c>
      <c r="H33" t="s">
        <v>24</v>
      </c>
    </row>
    <row r="34" spans="1:8" hidden="1" x14ac:dyDescent="0.25">
      <c r="A34" t="s">
        <v>164</v>
      </c>
      <c r="B34" t="s">
        <v>2</v>
      </c>
      <c r="C34" s="38">
        <v>45068</v>
      </c>
      <c r="D34" t="s">
        <v>235</v>
      </c>
      <c r="E34" t="s">
        <v>201</v>
      </c>
      <c r="F34">
        <v>0.5</v>
      </c>
      <c r="G34">
        <v>0</v>
      </c>
      <c r="H34" t="s">
        <v>24</v>
      </c>
    </row>
    <row r="35" spans="1:8" hidden="1" x14ac:dyDescent="0.25">
      <c r="A35" t="s">
        <v>168</v>
      </c>
      <c r="B35" t="s">
        <v>2</v>
      </c>
      <c r="C35" s="38">
        <v>45068</v>
      </c>
      <c r="D35" t="s">
        <v>240</v>
      </c>
      <c r="E35" t="s">
        <v>205</v>
      </c>
      <c r="F35">
        <v>7.3</v>
      </c>
      <c r="G35">
        <v>0.7</v>
      </c>
      <c r="H35" t="s">
        <v>24</v>
      </c>
    </row>
    <row r="36" spans="1:8" hidden="1" x14ac:dyDescent="0.25">
      <c r="A36" t="s">
        <v>158</v>
      </c>
      <c r="B36" t="s">
        <v>2</v>
      </c>
      <c r="C36" s="38">
        <v>45068</v>
      </c>
      <c r="D36" t="s">
        <v>235</v>
      </c>
      <c r="E36" t="s">
        <v>205</v>
      </c>
      <c r="F36">
        <v>7.8</v>
      </c>
      <c r="G36">
        <v>0</v>
      </c>
      <c r="H36" t="s">
        <v>24</v>
      </c>
    </row>
    <row r="37" spans="1:8" hidden="1" x14ac:dyDescent="0.25">
      <c r="A37" t="s">
        <v>210</v>
      </c>
      <c r="B37" t="s">
        <v>2</v>
      </c>
      <c r="C37" s="38">
        <v>45068</v>
      </c>
      <c r="D37" t="s">
        <v>236</v>
      </c>
      <c r="E37" t="s">
        <v>204</v>
      </c>
      <c r="F37">
        <v>0</v>
      </c>
      <c r="G37">
        <v>0</v>
      </c>
      <c r="H37" t="s">
        <v>24</v>
      </c>
    </row>
    <row r="38" spans="1:8" hidden="1" x14ac:dyDescent="0.25">
      <c r="A38" t="s">
        <v>155</v>
      </c>
      <c r="B38" t="s">
        <v>2</v>
      </c>
      <c r="C38" s="38">
        <v>45068</v>
      </c>
      <c r="D38" t="s">
        <v>235</v>
      </c>
      <c r="E38" t="s">
        <v>204</v>
      </c>
      <c r="F38">
        <v>0</v>
      </c>
      <c r="G38">
        <v>0</v>
      </c>
      <c r="H38" t="s">
        <v>24</v>
      </c>
    </row>
    <row r="39" spans="1:8" hidden="1" x14ac:dyDescent="0.25">
      <c r="A39" t="s">
        <v>158</v>
      </c>
      <c r="B39" t="s">
        <v>2</v>
      </c>
      <c r="C39" s="38">
        <v>45068</v>
      </c>
      <c r="D39" t="s">
        <v>240</v>
      </c>
      <c r="E39" t="s">
        <v>201</v>
      </c>
      <c r="F39">
        <v>0.2</v>
      </c>
      <c r="G39">
        <v>0</v>
      </c>
      <c r="H39" t="s">
        <v>24</v>
      </c>
    </row>
    <row r="40" spans="1:8" hidden="1" x14ac:dyDescent="0.25">
      <c r="A40" t="s">
        <v>156</v>
      </c>
      <c r="B40" t="s">
        <v>2</v>
      </c>
      <c r="C40" s="38">
        <v>45068</v>
      </c>
      <c r="D40" t="s">
        <v>236</v>
      </c>
      <c r="E40" t="s">
        <v>205</v>
      </c>
      <c r="F40">
        <v>7.5</v>
      </c>
      <c r="G40">
        <v>0</v>
      </c>
      <c r="H40" t="s">
        <v>24</v>
      </c>
    </row>
    <row r="41" spans="1:8" hidden="1" x14ac:dyDescent="0.25">
      <c r="A41" t="s">
        <v>156</v>
      </c>
      <c r="B41" t="s">
        <v>2</v>
      </c>
      <c r="C41" s="38">
        <v>45068</v>
      </c>
      <c r="D41" t="s">
        <v>235</v>
      </c>
      <c r="E41" t="s">
        <v>201</v>
      </c>
      <c r="F41">
        <v>0.5</v>
      </c>
      <c r="G41">
        <v>0</v>
      </c>
      <c r="H41" t="s">
        <v>24</v>
      </c>
    </row>
    <row r="42" spans="1:8" hidden="1" x14ac:dyDescent="0.25">
      <c r="A42" t="s">
        <v>152</v>
      </c>
      <c r="B42" t="s">
        <v>2</v>
      </c>
      <c r="C42" s="38">
        <v>45068</v>
      </c>
      <c r="D42" t="s">
        <v>236</v>
      </c>
      <c r="E42" t="s">
        <v>204</v>
      </c>
      <c r="F42">
        <v>0</v>
      </c>
      <c r="G42">
        <v>0</v>
      </c>
      <c r="H42" t="s">
        <v>24</v>
      </c>
    </row>
    <row r="43" spans="1:8" hidden="1" x14ac:dyDescent="0.25">
      <c r="A43" t="s">
        <v>242</v>
      </c>
      <c r="B43" t="s">
        <v>2</v>
      </c>
      <c r="C43" s="38">
        <v>45068</v>
      </c>
      <c r="D43" t="s">
        <v>236</v>
      </c>
      <c r="E43" t="s">
        <v>204</v>
      </c>
      <c r="F43">
        <v>0</v>
      </c>
      <c r="G43">
        <v>0</v>
      </c>
      <c r="H43" t="s">
        <v>24</v>
      </c>
    </row>
    <row r="44" spans="1:8" hidden="1" x14ac:dyDescent="0.25">
      <c r="A44" t="s">
        <v>210</v>
      </c>
      <c r="B44" t="s">
        <v>2</v>
      </c>
      <c r="C44" s="38">
        <v>45068</v>
      </c>
      <c r="D44" t="s">
        <v>235</v>
      </c>
      <c r="E44" t="s">
        <v>205</v>
      </c>
      <c r="F44">
        <v>7.8</v>
      </c>
      <c r="G44">
        <v>0</v>
      </c>
      <c r="H44" t="s">
        <v>24</v>
      </c>
    </row>
    <row r="45" spans="1:8" hidden="1" x14ac:dyDescent="0.25">
      <c r="A45" t="s">
        <v>141</v>
      </c>
      <c r="B45" t="s">
        <v>4</v>
      </c>
      <c r="C45" s="38">
        <v>45068</v>
      </c>
      <c r="D45" t="s">
        <v>240</v>
      </c>
      <c r="E45" t="s">
        <v>205</v>
      </c>
      <c r="F45">
        <v>0.2</v>
      </c>
      <c r="G45">
        <v>0</v>
      </c>
      <c r="H45" t="s">
        <v>24</v>
      </c>
    </row>
    <row r="46" spans="1:8" hidden="1" x14ac:dyDescent="0.25">
      <c r="A46" t="s">
        <v>153</v>
      </c>
      <c r="B46" t="s">
        <v>2</v>
      </c>
      <c r="C46" s="38">
        <v>45068</v>
      </c>
      <c r="D46" t="s">
        <v>236</v>
      </c>
      <c r="E46" t="s">
        <v>204</v>
      </c>
      <c r="F46">
        <v>0</v>
      </c>
      <c r="G46">
        <v>0</v>
      </c>
      <c r="H46" t="s">
        <v>24</v>
      </c>
    </row>
    <row r="47" spans="1:8" hidden="1" x14ac:dyDescent="0.25">
      <c r="A47" t="s">
        <v>141</v>
      </c>
      <c r="B47" t="s">
        <v>4</v>
      </c>
      <c r="C47" s="38">
        <v>45068</v>
      </c>
      <c r="D47" t="s">
        <v>235</v>
      </c>
      <c r="E47" t="s">
        <v>201</v>
      </c>
      <c r="F47">
        <v>7.8</v>
      </c>
      <c r="G47">
        <v>0</v>
      </c>
      <c r="H47" t="s">
        <v>24</v>
      </c>
    </row>
    <row r="48" spans="1:8" hidden="1" x14ac:dyDescent="0.25">
      <c r="A48" t="s">
        <v>243</v>
      </c>
      <c r="B48" t="s">
        <v>4</v>
      </c>
      <c r="C48" s="38">
        <v>45068</v>
      </c>
      <c r="D48" t="s">
        <v>236</v>
      </c>
      <c r="E48" t="s">
        <v>204</v>
      </c>
      <c r="F48">
        <v>0</v>
      </c>
      <c r="G48">
        <v>0</v>
      </c>
      <c r="H48" t="s">
        <v>24</v>
      </c>
    </row>
    <row r="49" spans="1:8" hidden="1" x14ac:dyDescent="0.25">
      <c r="A49" t="s">
        <v>210</v>
      </c>
      <c r="B49" t="s">
        <v>2</v>
      </c>
      <c r="C49" s="38">
        <v>45068</v>
      </c>
      <c r="D49" t="s">
        <v>240</v>
      </c>
      <c r="E49" t="s">
        <v>205</v>
      </c>
      <c r="F49">
        <v>0.2</v>
      </c>
      <c r="G49">
        <v>0</v>
      </c>
      <c r="H49" t="s">
        <v>24</v>
      </c>
    </row>
    <row r="50" spans="1:8" hidden="1" x14ac:dyDescent="0.25">
      <c r="A50" t="s">
        <v>157</v>
      </c>
      <c r="B50" t="s">
        <v>2</v>
      </c>
      <c r="C50" s="38">
        <v>45068</v>
      </c>
      <c r="D50" t="s">
        <v>236</v>
      </c>
      <c r="E50" t="s">
        <v>205</v>
      </c>
      <c r="F50">
        <v>7.5</v>
      </c>
      <c r="G50">
        <v>0.5</v>
      </c>
      <c r="H50" t="s">
        <v>24</v>
      </c>
    </row>
    <row r="51" spans="1:8" hidden="1" x14ac:dyDescent="0.25">
      <c r="A51" t="s">
        <v>148</v>
      </c>
      <c r="B51" t="s">
        <v>2</v>
      </c>
      <c r="C51" s="38">
        <v>45068</v>
      </c>
      <c r="D51" t="s">
        <v>235</v>
      </c>
      <c r="E51" t="s">
        <v>205</v>
      </c>
      <c r="F51">
        <v>7</v>
      </c>
      <c r="G51">
        <v>1</v>
      </c>
      <c r="H51" t="s">
        <v>24</v>
      </c>
    </row>
    <row r="52" spans="1:8" hidden="1" x14ac:dyDescent="0.25">
      <c r="A52" t="s">
        <v>144</v>
      </c>
      <c r="B52" t="s">
        <v>4</v>
      </c>
      <c r="C52" s="38">
        <v>45068</v>
      </c>
      <c r="D52" t="s">
        <v>240</v>
      </c>
      <c r="E52" t="s">
        <v>205</v>
      </c>
      <c r="F52">
        <v>7.3</v>
      </c>
      <c r="G52">
        <v>0.7</v>
      </c>
      <c r="H52" t="s">
        <v>24</v>
      </c>
    </row>
    <row r="53" spans="1:8" hidden="1" x14ac:dyDescent="0.25">
      <c r="A53" t="s">
        <v>150</v>
      </c>
      <c r="B53" t="s">
        <v>2</v>
      </c>
      <c r="C53" s="38">
        <v>45068</v>
      </c>
      <c r="D53" t="s">
        <v>235</v>
      </c>
      <c r="E53" t="s">
        <v>205</v>
      </c>
      <c r="F53">
        <v>7</v>
      </c>
      <c r="G53">
        <v>1</v>
      </c>
      <c r="H53" t="s">
        <v>24</v>
      </c>
    </row>
    <row r="54" spans="1:8" hidden="1" x14ac:dyDescent="0.25">
      <c r="A54" t="s">
        <v>154</v>
      </c>
      <c r="B54" t="s">
        <v>2</v>
      </c>
      <c r="C54" s="38">
        <v>45068</v>
      </c>
      <c r="D54" t="s">
        <v>240</v>
      </c>
      <c r="E54" t="s">
        <v>201</v>
      </c>
      <c r="F54">
        <v>0.2</v>
      </c>
      <c r="G54">
        <v>0</v>
      </c>
      <c r="H54" t="s">
        <v>24</v>
      </c>
    </row>
    <row r="55" spans="1:8" hidden="1" x14ac:dyDescent="0.25">
      <c r="A55" t="s">
        <v>155</v>
      </c>
      <c r="B55" t="s">
        <v>2</v>
      </c>
      <c r="C55" s="38">
        <v>45068</v>
      </c>
      <c r="D55" t="s">
        <v>236</v>
      </c>
      <c r="E55" t="s">
        <v>205</v>
      </c>
      <c r="F55">
        <v>7.5</v>
      </c>
      <c r="G55">
        <v>0.5</v>
      </c>
      <c r="H55" t="s">
        <v>24</v>
      </c>
    </row>
    <row r="56" spans="1:8" hidden="1" x14ac:dyDescent="0.25">
      <c r="A56" t="s">
        <v>173</v>
      </c>
      <c r="B56" t="s">
        <v>2</v>
      </c>
      <c r="C56" s="38">
        <v>45068</v>
      </c>
      <c r="D56" t="s">
        <v>235</v>
      </c>
      <c r="E56" t="s">
        <v>204</v>
      </c>
      <c r="F56">
        <v>0</v>
      </c>
      <c r="G56">
        <v>0</v>
      </c>
      <c r="H56" t="s">
        <v>24</v>
      </c>
    </row>
    <row r="57" spans="1:8" hidden="1" x14ac:dyDescent="0.25">
      <c r="A57" t="s">
        <v>154</v>
      </c>
      <c r="B57" t="s">
        <v>2</v>
      </c>
      <c r="C57" s="38">
        <v>45068</v>
      </c>
      <c r="D57" t="s">
        <v>235</v>
      </c>
      <c r="E57" t="s">
        <v>205</v>
      </c>
      <c r="F57">
        <v>7.8</v>
      </c>
      <c r="G57">
        <v>0</v>
      </c>
      <c r="H57" t="s">
        <v>24</v>
      </c>
    </row>
    <row r="58" spans="1:8" hidden="1" x14ac:dyDescent="0.25">
      <c r="A58" t="s">
        <v>244</v>
      </c>
      <c r="B58" t="s">
        <v>2</v>
      </c>
      <c r="C58" s="38">
        <v>45068</v>
      </c>
      <c r="D58" t="s">
        <v>235</v>
      </c>
      <c r="E58" t="s">
        <v>204</v>
      </c>
      <c r="F58">
        <v>0</v>
      </c>
      <c r="G58">
        <v>0</v>
      </c>
      <c r="H58" t="s">
        <v>24</v>
      </c>
    </row>
    <row r="59" spans="1:8" hidden="1" x14ac:dyDescent="0.25">
      <c r="A59" t="s">
        <v>152</v>
      </c>
      <c r="B59" t="s">
        <v>2</v>
      </c>
      <c r="C59" s="38">
        <v>45068</v>
      </c>
      <c r="D59" t="s">
        <v>235</v>
      </c>
      <c r="E59" t="s">
        <v>205</v>
      </c>
      <c r="F59">
        <v>7.8</v>
      </c>
      <c r="G59">
        <v>0</v>
      </c>
      <c r="H59" t="s">
        <v>24</v>
      </c>
    </row>
    <row r="60" spans="1:8" hidden="1" x14ac:dyDescent="0.25">
      <c r="A60" t="s">
        <v>244</v>
      </c>
      <c r="B60" t="s">
        <v>2</v>
      </c>
      <c r="C60" s="38">
        <v>45068</v>
      </c>
      <c r="D60" t="s">
        <v>236</v>
      </c>
      <c r="E60" t="s">
        <v>204</v>
      </c>
      <c r="F60">
        <v>0</v>
      </c>
      <c r="G60">
        <v>0</v>
      </c>
      <c r="H60" t="s">
        <v>24</v>
      </c>
    </row>
    <row r="61" spans="1:8" hidden="1" x14ac:dyDescent="0.25">
      <c r="A61" t="s">
        <v>152</v>
      </c>
      <c r="B61" t="s">
        <v>2</v>
      </c>
      <c r="C61" s="38">
        <v>45068</v>
      </c>
      <c r="D61" t="s">
        <v>240</v>
      </c>
      <c r="E61" t="s">
        <v>205</v>
      </c>
      <c r="F61">
        <v>0.2</v>
      </c>
      <c r="G61">
        <v>0</v>
      </c>
      <c r="H61" t="s">
        <v>24</v>
      </c>
    </row>
    <row r="62" spans="1:8" hidden="1" x14ac:dyDescent="0.25">
      <c r="A62" t="s">
        <v>245</v>
      </c>
      <c r="B62" t="s">
        <v>2</v>
      </c>
      <c r="C62" s="38">
        <v>45068</v>
      </c>
      <c r="D62" t="s">
        <v>236</v>
      </c>
      <c r="E62" t="s">
        <v>204</v>
      </c>
      <c r="F62">
        <v>0</v>
      </c>
      <c r="G62">
        <v>0</v>
      </c>
      <c r="H62" t="s">
        <v>24</v>
      </c>
    </row>
    <row r="63" spans="1:8" hidden="1" x14ac:dyDescent="0.25">
      <c r="A63" t="s">
        <v>245</v>
      </c>
      <c r="B63" t="s">
        <v>2</v>
      </c>
      <c r="C63" s="38">
        <v>45068</v>
      </c>
      <c r="D63" t="s">
        <v>235</v>
      </c>
      <c r="E63" t="s">
        <v>204</v>
      </c>
      <c r="F63">
        <v>0</v>
      </c>
      <c r="G63">
        <v>0</v>
      </c>
      <c r="H63" t="s">
        <v>24</v>
      </c>
    </row>
    <row r="64" spans="1:8" hidden="1" x14ac:dyDescent="0.25">
      <c r="A64" t="s">
        <v>154</v>
      </c>
      <c r="B64" t="s">
        <v>2</v>
      </c>
      <c r="C64" s="38">
        <v>45069</v>
      </c>
      <c r="D64" t="s">
        <v>240</v>
      </c>
      <c r="E64" t="s">
        <v>201</v>
      </c>
      <c r="F64">
        <v>0.2</v>
      </c>
      <c r="G64">
        <v>0</v>
      </c>
      <c r="H64" t="s">
        <v>24</v>
      </c>
    </row>
    <row r="65" spans="1:8" hidden="1" x14ac:dyDescent="0.25">
      <c r="A65" t="s">
        <v>154</v>
      </c>
      <c r="B65" t="s">
        <v>2</v>
      </c>
      <c r="C65" s="38">
        <v>45069</v>
      </c>
      <c r="D65" t="s">
        <v>235</v>
      </c>
      <c r="E65" t="s">
        <v>205</v>
      </c>
      <c r="F65">
        <v>7.8</v>
      </c>
      <c r="G65">
        <v>0</v>
      </c>
      <c r="H65" t="s">
        <v>24</v>
      </c>
    </row>
    <row r="66" spans="1:8" x14ac:dyDescent="0.25">
      <c r="A66" t="s">
        <v>5</v>
      </c>
      <c r="B66" t="s">
        <v>4</v>
      </c>
      <c r="C66" s="38">
        <v>45069</v>
      </c>
      <c r="D66" t="s">
        <v>236</v>
      </c>
      <c r="E66" t="s">
        <v>201</v>
      </c>
      <c r="F66">
        <v>7.5</v>
      </c>
      <c r="G66">
        <v>0</v>
      </c>
      <c r="H66" t="s">
        <v>24</v>
      </c>
    </row>
    <row r="67" spans="1:8" hidden="1" x14ac:dyDescent="0.25">
      <c r="A67" t="s">
        <v>174</v>
      </c>
      <c r="B67" t="s">
        <v>2</v>
      </c>
      <c r="C67" s="38">
        <v>45069</v>
      </c>
      <c r="D67" t="s">
        <v>236</v>
      </c>
      <c r="E67" t="s">
        <v>205</v>
      </c>
      <c r="F67">
        <v>7.5</v>
      </c>
      <c r="G67">
        <v>0.5</v>
      </c>
      <c r="H67" t="s">
        <v>24</v>
      </c>
    </row>
    <row r="68" spans="1:8" hidden="1" x14ac:dyDescent="0.25">
      <c r="A68" t="s">
        <v>187</v>
      </c>
      <c r="B68" t="s">
        <v>2</v>
      </c>
      <c r="C68" s="38">
        <v>45069</v>
      </c>
      <c r="D68" t="s">
        <v>240</v>
      </c>
      <c r="E68" t="s">
        <v>205</v>
      </c>
      <c r="F68">
        <v>7.3</v>
      </c>
      <c r="G68">
        <v>0.5</v>
      </c>
      <c r="H68" t="s">
        <v>24</v>
      </c>
    </row>
    <row r="69" spans="1:8" hidden="1" x14ac:dyDescent="0.25">
      <c r="A69" t="s">
        <v>187</v>
      </c>
      <c r="B69" t="s">
        <v>2</v>
      </c>
      <c r="C69" s="38">
        <v>45069</v>
      </c>
      <c r="D69" t="s">
        <v>236</v>
      </c>
      <c r="E69" t="s">
        <v>201</v>
      </c>
      <c r="F69">
        <v>0.2</v>
      </c>
      <c r="G69">
        <v>0.5</v>
      </c>
      <c r="H69" t="s">
        <v>24</v>
      </c>
    </row>
    <row r="70" spans="1:8" hidden="1" x14ac:dyDescent="0.25">
      <c r="A70" t="s">
        <v>150</v>
      </c>
      <c r="B70" t="s">
        <v>2</v>
      </c>
      <c r="C70" s="38">
        <v>45069</v>
      </c>
      <c r="D70" t="s">
        <v>235</v>
      </c>
      <c r="E70" t="s">
        <v>205</v>
      </c>
      <c r="F70">
        <v>7</v>
      </c>
      <c r="G70">
        <v>1</v>
      </c>
      <c r="H70" t="s">
        <v>24</v>
      </c>
    </row>
    <row r="71" spans="1:8" hidden="1" x14ac:dyDescent="0.25">
      <c r="A71" t="s">
        <v>3</v>
      </c>
      <c r="B71" t="s">
        <v>2</v>
      </c>
      <c r="C71" s="38">
        <v>45069</v>
      </c>
      <c r="D71" t="s">
        <v>236</v>
      </c>
      <c r="E71" t="s">
        <v>205</v>
      </c>
      <c r="F71">
        <v>7.5</v>
      </c>
      <c r="G71">
        <v>0</v>
      </c>
      <c r="H71" t="s">
        <v>24</v>
      </c>
    </row>
    <row r="72" spans="1:8" hidden="1" x14ac:dyDescent="0.25">
      <c r="A72" t="s">
        <v>198</v>
      </c>
      <c r="B72" t="s">
        <v>4</v>
      </c>
      <c r="C72" s="38">
        <v>45069</v>
      </c>
      <c r="D72" t="s">
        <v>235</v>
      </c>
      <c r="E72" t="s">
        <v>201</v>
      </c>
      <c r="F72">
        <v>0.5</v>
      </c>
      <c r="G72">
        <v>0</v>
      </c>
      <c r="H72" t="s">
        <v>24</v>
      </c>
    </row>
    <row r="73" spans="1:8" hidden="1" x14ac:dyDescent="0.25">
      <c r="A73" t="s">
        <v>198</v>
      </c>
      <c r="B73" t="s">
        <v>4</v>
      </c>
      <c r="C73" s="38">
        <v>45069</v>
      </c>
      <c r="D73" t="s">
        <v>236</v>
      </c>
      <c r="E73" t="s">
        <v>205</v>
      </c>
      <c r="F73">
        <v>7.5</v>
      </c>
      <c r="G73">
        <v>0</v>
      </c>
      <c r="H73" t="s">
        <v>24</v>
      </c>
    </row>
    <row r="74" spans="1:8" hidden="1" x14ac:dyDescent="0.25">
      <c r="A74" t="s">
        <v>196</v>
      </c>
      <c r="B74" t="s">
        <v>2</v>
      </c>
      <c r="C74" s="38">
        <v>45069</v>
      </c>
      <c r="D74" t="s">
        <v>235</v>
      </c>
      <c r="E74" t="s">
        <v>201</v>
      </c>
      <c r="F74">
        <v>7</v>
      </c>
      <c r="G74">
        <v>1</v>
      </c>
      <c r="H74" t="s">
        <v>24</v>
      </c>
    </row>
    <row r="75" spans="1:8" hidden="1" x14ac:dyDescent="0.25">
      <c r="A75" t="s">
        <v>158</v>
      </c>
      <c r="B75" t="s">
        <v>2</v>
      </c>
      <c r="C75" s="38">
        <v>45069</v>
      </c>
      <c r="D75" t="s">
        <v>240</v>
      </c>
      <c r="E75" t="s">
        <v>201</v>
      </c>
      <c r="F75">
        <v>0.2</v>
      </c>
      <c r="G75">
        <v>0</v>
      </c>
      <c r="H75" t="s">
        <v>24</v>
      </c>
    </row>
    <row r="76" spans="1:8" hidden="1" x14ac:dyDescent="0.25">
      <c r="A76" t="s">
        <v>158</v>
      </c>
      <c r="B76" t="s">
        <v>2</v>
      </c>
      <c r="C76" s="38">
        <v>45069</v>
      </c>
      <c r="D76" t="s">
        <v>235</v>
      </c>
      <c r="E76" t="s">
        <v>205</v>
      </c>
      <c r="F76">
        <v>7.8</v>
      </c>
      <c r="G76">
        <v>0</v>
      </c>
      <c r="H76" t="s">
        <v>24</v>
      </c>
    </row>
    <row r="77" spans="1:8" hidden="1" x14ac:dyDescent="0.25">
      <c r="A77" t="s">
        <v>215</v>
      </c>
      <c r="B77" t="s">
        <v>2</v>
      </c>
      <c r="C77" s="38">
        <v>45069</v>
      </c>
      <c r="D77" t="s">
        <v>240</v>
      </c>
      <c r="E77" t="s">
        <v>201</v>
      </c>
      <c r="F77">
        <v>0.2</v>
      </c>
      <c r="G77">
        <v>0</v>
      </c>
      <c r="H77" t="s">
        <v>24</v>
      </c>
    </row>
    <row r="78" spans="1:8" hidden="1" x14ac:dyDescent="0.25">
      <c r="A78" t="s">
        <v>182</v>
      </c>
      <c r="B78" t="s">
        <v>2</v>
      </c>
      <c r="C78" s="38">
        <v>45069</v>
      </c>
      <c r="D78" t="s">
        <v>236</v>
      </c>
      <c r="E78" t="s">
        <v>205</v>
      </c>
      <c r="F78">
        <v>7.5</v>
      </c>
      <c r="G78">
        <v>0</v>
      </c>
      <c r="H78" t="s">
        <v>24</v>
      </c>
    </row>
    <row r="79" spans="1:8" hidden="1" x14ac:dyDescent="0.25">
      <c r="A79" t="s">
        <v>159</v>
      </c>
      <c r="B79" t="s">
        <v>2</v>
      </c>
      <c r="C79" s="38">
        <v>45069</v>
      </c>
      <c r="D79" t="s">
        <v>236</v>
      </c>
      <c r="E79" t="s">
        <v>205</v>
      </c>
      <c r="F79">
        <v>7.5</v>
      </c>
      <c r="G79">
        <v>0.5</v>
      </c>
      <c r="H79" t="s">
        <v>24</v>
      </c>
    </row>
    <row r="80" spans="1:8" hidden="1" x14ac:dyDescent="0.25">
      <c r="A80" t="s">
        <v>171</v>
      </c>
      <c r="B80" t="s">
        <v>2</v>
      </c>
      <c r="C80" s="38">
        <v>45069</v>
      </c>
      <c r="D80" t="s">
        <v>236</v>
      </c>
      <c r="E80" t="s">
        <v>205</v>
      </c>
      <c r="F80">
        <v>7.5</v>
      </c>
      <c r="G80">
        <v>0.5</v>
      </c>
      <c r="H80" t="s">
        <v>24</v>
      </c>
    </row>
    <row r="81" spans="1:8" hidden="1" x14ac:dyDescent="0.25">
      <c r="A81" t="s">
        <v>161</v>
      </c>
      <c r="B81" t="s">
        <v>2</v>
      </c>
      <c r="C81" s="38">
        <v>45069</v>
      </c>
      <c r="D81" t="s">
        <v>236</v>
      </c>
      <c r="E81" t="s">
        <v>201</v>
      </c>
      <c r="F81">
        <v>0.2</v>
      </c>
      <c r="G81">
        <v>0.5</v>
      </c>
      <c r="H81" t="s">
        <v>24</v>
      </c>
    </row>
    <row r="82" spans="1:8" hidden="1" x14ac:dyDescent="0.25">
      <c r="A82" t="s">
        <v>206</v>
      </c>
      <c r="B82" t="s">
        <v>2</v>
      </c>
      <c r="C82" s="38">
        <v>45069</v>
      </c>
      <c r="D82" t="s">
        <v>236</v>
      </c>
      <c r="E82" t="s">
        <v>201</v>
      </c>
      <c r="F82">
        <v>7.5</v>
      </c>
      <c r="G82">
        <v>0.5</v>
      </c>
      <c r="H82" t="s">
        <v>24</v>
      </c>
    </row>
    <row r="83" spans="1:8" hidden="1" x14ac:dyDescent="0.25">
      <c r="A83" t="s">
        <v>161</v>
      </c>
      <c r="B83" t="s">
        <v>2</v>
      </c>
      <c r="C83" s="38">
        <v>45069</v>
      </c>
      <c r="D83" t="s">
        <v>240</v>
      </c>
      <c r="E83" t="s">
        <v>205</v>
      </c>
      <c r="F83">
        <v>7.3</v>
      </c>
      <c r="G83">
        <v>0.5</v>
      </c>
      <c r="H83" t="s">
        <v>24</v>
      </c>
    </row>
    <row r="84" spans="1:8" hidden="1" x14ac:dyDescent="0.25">
      <c r="A84" t="s">
        <v>190</v>
      </c>
      <c r="B84" t="s">
        <v>2</v>
      </c>
      <c r="C84" s="38">
        <v>45069</v>
      </c>
      <c r="D84" t="s">
        <v>235</v>
      </c>
      <c r="E84" t="s">
        <v>205</v>
      </c>
      <c r="F84">
        <v>7.1</v>
      </c>
      <c r="G84">
        <v>0</v>
      </c>
      <c r="H84" t="s">
        <v>24</v>
      </c>
    </row>
    <row r="85" spans="1:8" hidden="1" x14ac:dyDescent="0.25">
      <c r="A85" t="s">
        <v>190</v>
      </c>
      <c r="B85" t="s">
        <v>2</v>
      </c>
      <c r="C85" s="38">
        <v>45069</v>
      </c>
      <c r="D85" t="s">
        <v>236</v>
      </c>
      <c r="E85" t="s">
        <v>201</v>
      </c>
      <c r="F85">
        <v>2.4</v>
      </c>
      <c r="G85">
        <v>0</v>
      </c>
      <c r="H85" t="s">
        <v>24</v>
      </c>
    </row>
    <row r="86" spans="1:8" hidden="1" x14ac:dyDescent="0.25">
      <c r="A86" t="s">
        <v>189</v>
      </c>
      <c r="B86" t="s">
        <v>2</v>
      </c>
      <c r="C86" s="38">
        <v>45069</v>
      </c>
      <c r="D86" t="s">
        <v>236</v>
      </c>
      <c r="E86" t="s">
        <v>201</v>
      </c>
      <c r="F86">
        <v>0.2</v>
      </c>
      <c r="G86">
        <v>0.5</v>
      </c>
      <c r="H86" t="s">
        <v>24</v>
      </c>
    </row>
    <row r="87" spans="1:8" hidden="1" x14ac:dyDescent="0.25">
      <c r="A87" t="s">
        <v>215</v>
      </c>
      <c r="B87" t="s">
        <v>2</v>
      </c>
      <c r="C87" s="38">
        <v>45069</v>
      </c>
      <c r="D87" t="s">
        <v>235</v>
      </c>
      <c r="E87" t="s">
        <v>201</v>
      </c>
      <c r="F87">
        <v>7.8</v>
      </c>
      <c r="G87">
        <v>0</v>
      </c>
      <c r="H87" t="s">
        <v>24</v>
      </c>
    </row>
    <row r="88" spans="1:8" hidden="1" x14ac:dyDescent="0.25">
      <c r="A88" t="s">
        <v>189</v>
      </c>
      <c r="B88" t="s">
        <v>2</v>
      </c>
      <c r="C88" s="38">
        <v>45069</v>
      </c>
      <c r="D88" t="s">
        <v>240</v>
      </c>
      <c r="E88" t="s">
        <v>205</v>
      </c>
      <c r="F88">
        <v>7.3</v>
      </c>
      <c r="G88">
        <v>0.5</v>
      </c>
      <c r="H88" t="s">
        <v>24</v>
      </c>
    </row>
    <row r="89" spans="1:8" hidden="1" x14ac:dyDescent="0.25">
      <c r="A89" t="s">
        <v>164</v>
      </c>
      <c r="B89" t="s">
        <v>2</v>
      </c>
      <c r="C89" s="38">
        <v>45069</v>
      </c>
      <c r="D89" t="s">
        <v>235</v>
      </c>
      <c r="E89" t="s">
        <v>201</v>
      </c>
      <c r="F89">
        <v>0.5</v>
      </c>
      <c r="G89">
        <v>0</v>
      </c>
      <c r="H89" t="s">
        <v>24</v>
      </c>
    </row>
    <row r="90" spans="1:8" hidden="1" x14ac:dyDescent="0.25">
      <c r="A90" t="s">
        <v>183</v>
      </c>
      <c r="B90" t="s">
        <v>2</v>
      </c>
      <c r="C90" s="38">
        <v>45069</v>
      </c>
      <c r="D90" t="s">
        <v>236</v>
      </c>
      <c r="E90" t="s">
        <v>205</v>
      </c>
      <c r="F90">
        <v>7.5</v>
      </c>
      <c r="G90">
        <v>0.5</v>
      </c>
      <c r="H90" t="s">
        <v>24</v>
      </c>
    </row>
    <row r="91" spans="1:8" hidden="1" x14ac:dyDescent="0.25">
      <c r="A91" t="s">
        <v>178</v>
      </c>
      <c r="B91" t="s">
        <v>2</v>
      </c>
      <c r="C91" s="38">
        <v>45069</v>
      </c>
      <c r="D91" t="s">
        <v>236</v>
      </c>
      <c r="E91" t="s">
        <v>205</v>
      </c>
      <c r="F91">
        <v>0.2</v>
      </c>
      <c r="G91">
        <v>0.5</v>
      </c>
      <c r="H91" t="s">
        <v>24</v>
      </c>
    </row>
    <row r="92" spans="1:8" hidden="1" x14ac:dyDescent="0.25">
      <c r="A92" t="s">
        <v>185</v>
      </c>
      <c r="B92" t="s">
        <v>2</v>
      </c>
      <c r="C92" s="38">
        <v>45069</v>
      </c>
      <c r="D92" t="s">
        <v>236</v>
      </c>
      <c r="E92" t="s">
        <v>205</v>
      </c>
      <c r="F92">
        <v>7.5</v>
      </c>
      <c r="G92">
        <v>0.5</v>
      </c>
      <c r="H92" t="s">
        <v>24</v>
      </c>
    </row>
    <row r="93" spans="1:8" hidden="1" x14ac:dyDescent="0.25">
      <c r="A93" t="s">
        <v>182</v>
      </c>
      <c r="B93" t="s">
        <v>2</v>
      </c>
      <c r="C93" s="38">
        <v>45069</v>
      </c>
      <c r="D93" t="s">
        <v>235</v>
      </c>
      <c r="E93" t="s">
        <v>201</v>
      </c>
      <c r="F93">
        <v>0.5</v>
      </c>
      <c r="G93">
        <v>0</v>
      </c>
      <c r="H93" t="s">
        <v>24</v>
      </c>
    </row>
    <row r="94" spans="1:8" hidden="1" x14ac:dyDescent="0.25">
      <c r="A94" t="s">
        <v>173</v>
      </c>
      <c r="B94" t="s">
        <v>2</v>
      </c>
      <c r="C94" s="38">
        <v>45069</v>
      </c>
      <c r="D94" t="s">
        <v>236</v>
      </c>
      <c r="E94" t="s">
        <v>205</v>
      </c>
      <c r="F94">
        <v>7.5</v>
      </c>
      <c r="G94">
        <v>0</v>
      </c>
      <c r="H94" t="s">
        <v>24</v>
      </c>
    </row>
    <row r="95" spans="1:8" hidden="1" x14ac:dyDescent="0.25">
      <c r="A95" t="s">
        <v>210</v>
      </c>
      <c r="B95" t="s">
        <v>2</v>
      </c>
      <c r="C95" s="38">
        <v>45069</v>
      </c>
      <c r="D95" t="s">
        <v>235</v>
      </c>
      <c r="E95" t="s">
        <v>205</v>
      </c>
      <c r="F95">
        <v>7.8</v>
      </c>
      <c r="G95">
        <v>0</v>
      </c>
      <c r="H95" t="s">
        <v>24</v>
      </c>
    </row>
    <row r="96" spans="1:8" hidden="1" x14ac:dyDescent="0.25">
      <c r="A96" t="s">
        <v>164</v>
      </c>
      <c r="B96" t="s">
        <v>2</v>
      </c>
      <c r="C96" s="38">
        <v>45069</v>
      </c>
      <c r="D96" t="s">
        <v>236</v>
      </c>
      <c r="E96" t="s">
        <v>205</v>
      </c>
      <c r="F96">
        <v>7.5</v>
      </c>
      <c r="G96">
        <v>0</v>
      </c>
      <c r="H96" t="s">
        <v>24</v>
      </c>
    </row>
    <row r="97" spans="1:8" hidden="1" x14ac:dyDescent="0.25">
      <c r="A97" t="s">
        <v>210</v>
      </c>
      <c r="B97" t="s">
        <v>2</v>
      </c>
      <c r="C97" s="38">
        <v>45069</v>
      </c>
      <c r="D97" t="s">
        <v>240</v>
      </c>
      <c r="E97" t="s">
        <v>205</v>
      </c>
      <c r="F97">
        <v>0.2</v>
      </c>
      <c r="G97">
        <v>0</v>
      </c>
      <c r="H97" t="s">
        <v>24</v>
      </c>
    </row>
    <row r="98" spans="1:8" x14ac:dyDescent="0.25">
      <c r="A98" t="s">
        <v>5</v>
      </c>
      <c r="B98" t="s">
        <v>4</v>
      </c>
      <c r="C98" s="38">
        <v>45069</v>
      </c>
      <c r="D98" t="s">
        <v>235</v>
      </c>
      <c r="E98" t="s">
        <v>205</v>
      </c>
      <c r="F98">
        <v>0.5</v>
      </c>
      <c r="G98">
        <v>0</v>
      </c>
      <c r="H98" t="s">
        <v>24</v>
      </c>
    </row>
    <row r="99" spans="1:8" hidden="1" x14ac:dyDescent="0.25">
      <c r="A99" t="s">
        <v>178</v>
      </c>
      <c r="B99" t="s">
        <v>2</v>
      </c>
      <c r="C99" s="38">
        <v>45069</v>
      </c>
      <c r="D99" t="s">
        <v>240</v>
      </c>
      <c r="E99" t="s">
        <v>201</v>
      </c>
      <c r="F99">
        <v>7.3</v>
      </c>
      <c r="G99">
        <v>0.5</v>
      </c>
      <c r="H99" t="s">
        <v>24</v>
      </c>
    </row>
    <row r="100" spans="1:8" hidden="1" x14ac:dyDescent="0.25">
      <c r="A100" t="s">
        <v>144</v>
      </c>
      <c r="B100" t="s">
        <v>4</v>
      </c>
      <c r="C100" s="38">
        <v>45069</v>
      </c>
      <c r="D100" t="s">
        <v>240</v>
      </c>
      <c r="E100" t="s">
        <v>205</v>
      </c>
      <c r="F100">
        <v>7.3</v>
      </c>
      <c r="G100">
        <v>0.2</v>
      </c>
      <c r="H100" t="s">
        <v>24</v>
      </c>
    </row>
    <row r="101" spans="1:8" hidden="1" x14ac:dyDescent="0.25">
      <c r="A101" t="s">
        <v>244</v>
      </c>
      <c r="B101" t="s">
        <v>2</v>
      </c>
      <c r="C101" s="38">
        <v>45069</v>
      </c>
      <c r="D101" t="s">
        <v>235</v>
      </c>
      <c r="E101" t="s">
        <v>204</v>
      </c>
      <c r="F101">
        <v>0</v>
      </c>
      <c r="G101">
        <v>0</v>
      </c>
      <c r="H101" t="s">
        <v>24</v>
      </c>
    </row>
    <row r="102" spans="1:8" hidden="1" x14ac:dyDescent="0.25">
      <c r="A102" t="s">
        <v>152</v>
      </c>
      <c r="B102" t="s">
        <v>2</v>
      </c>
      <c r="C102" s="38">
        <v>45069</v>
      </c>
      <c r="D102" t="s">
        <v>236</v>
      </c>
      <c r="E102" t="s">
        <v>204</v>
      </c>
      <c r="F102">
        <v>0</v>
      </c>
      <c r="G102">
        <v>0</v>
      </c>
      <c r="H102" t="s">
        <v>24</v>
      </c>
    </row>
    <row r="103" spans="1:8" hidden="1" x14ac:dyDescent="0.25">
      <c r="A103" t="s">
        <v>246</v>
      </c>
      <c r="B103" t="s">
        <v>2</v>
      </c>
      <c r="C103" s="38">
        <v>45069</v>
      </c>
      <c r="D103" t="s">
        <v>236</v>
      </c>
      <c r="E103" t="s">
        <v>204</v>
      </c>
      <c r="F103">
        <v>0</v>
      </c>
      <c r="G103">
        <v>0</v>
      </c>
      <c r="H103" t="s">
        <v>24</v>
      </c>
    </row>
    <row r="104" spans="1:8" hidden="1" x14ac:dyDescent="0.25">
      <c r="A104" t="s">
        <v>238</v>
      </c>
      <c r="B104" t="s">
        <v>4</v>
      </c>
      <c r="C104" s="38">
        <v>45069</v>
      </c>
      <c r="D104" t="s">
        <v>236</v>
      </c>
      <c r="E104" t="s">
        <v>204</v>
      </c>
      <c r="F104">
        <v>0</v>
      </c>
      <c r="G104">
        <v>0</v>
      </c>
      <c r="H104" t="s">
        <v>24</v>
      </c>
    </row>
    <row r="105" spans="1:8" hidden="1" x14ac:dyDescent="0.25">
      <c r="A105" t="s">
        <v>141</v>
      </c>
      <c r="B105" t="s">
        <v>4</v>
      </c>
      <c r="C105" s="38">
        <v>45069</v>
      </c>
      <c r="D105" t="s">
        <v>240</v>
      </c>
      <c r="E105" t="s">
        <v>205</v>
      </c>
      <c r="F105">
        <v>0.2</v>
      </c>
      <c r="G105">
        <v>0</v>
      </c>
      <c r="H105" t="s">
        <v>24</v>
      </c>
    </row>
    <row r="106" spans="1:8" hidden="1" x14ac:dyDescent="0.25">
      <c r="A106" t="s">
        <v>144</v>
      </c>
      <c r="B106" t="s">
        <v>4</v>
      </c>
      <c r="C106" s="38">
        <v>45069</v>
      </c>
      <c r="D106" t="s">
        <v>236</v>
      </c>
      <c r="E106" t="s">
        <v>201</v>
      </c>
      <c r="F106">
        <v>0.5</v>
      </c>
      <c r="G106">
        <v>0.2</v>
      </c>
      <c r="H106" t="s">
        <v>24</v>
      </c>
    </row>
    <row r="107" spans="1:8" hidden="1" x14ac:dyDescent="0.25">
      <c r="A107" t="s">
        <v>155</v>
      </c>
      <c r="B107" t="s">
        <v>2</v>
      </c>
      <c r="C107" s="38">
        <v>45069</v>
      </c>
      <c r="D107" t="s">
        <v>235</v>
      </c>
      <c r="E107" t="s">
        <v>204</v>
      </c>
      <c r="F107">
        <v>0</v>
      </c>
      <c r="G107">
        <v>0</v>
      </c>
      <c r="H107" t="s">
        <v>24</v>
      </c>
    </row>
    <row r="108" spans="1:8" hidden="1" x14ac:dyDescent="0.25">
      <c r="A108" t="s">
        <v>243</v>
      </c>
      <c r="B108" t="s">
        <v>4</v>
      </c>
      <c r="C108" s="38">
        <v>45069</v>
      </c>
      <c r="D108" t="s">
        <v>236</v>
      </c>
      <c r="E108" t="s">
        <v>204</v>
      </c>
      <c r="F108">
        <v>0</v>
      </c>
      <c r="G108">
        <v>0</v>
      </c>
      <c r="H108" t="s">
        <v>24</v>
      </c>
    </row>
    <row r="109" spans="1:8" hidden="1" x14ac:dyDescent="0.25">
      <c r="A109" t="s">
        <v>178</v>
      </c>
      <c r="B109" t="s">
        <v>2</v>
      </c>
      <c r="C109" s="38">
        <v>45069</v>
      </c>
      <c r="D109" t="s">
        <v>235</v>
      </c>
      <c r="E109" t="s">
        <v>204</v>
      </c>
      <c r="F109">
        <v>0</v>
      </c>
      <c r="G109">
        <v>0</v>
      </c>
      <c r="H109" t="s">
        <v>24</v>
      </c>
    </row>
    <row r="110" spans="1:8" hidden="1" x14ac:dyDescent="0.25">
      <c r="A110" t="s">
        <v>242</v>
      </c>
      <c r="B110" t="s">
        <v>2</v>
      </c>
      <c r="C110" s="38">
        <v>45069</v>
      </c>
      <c r="D110" t="s">
        <v>236</v>
      </c>
      <c r="E110" t="s">
        <v>204</v>
      </c>
      <c r="F110">
        <v>0</v>
      </c>
      <c r="G110">
        <v>0</v>
      </c>
      <c r="H110" t="s">
        <v>24</v>
      </c>
    </row>
    <row r="111" spans="1:8" hidden="1" x14ac:dyDescent="0.25">
      <c r="A111" t="s">
        <v>239</v>
      </c>
      <c r="B111" t="s">
        <v>4</v>
      </c>
      <c r="C111" s="38">
        <v>45069</v>
      </c>
      <c r="D111" t="s">
        <v>235</v>
      </c>
      <c r="E111" t="s">
        <v>204</v>
      </c>
      <c r="F111">
        <v>0</v>
      </c>
      <c r="G111">
        <v>0</v>
      </c>
      <c r="H111" t="s">
        <v>24</v>
      </c>
    </row>
    <row r="112" spans="1:8" hidden="1" x14ac:dyDescent="0.25">
      <c r="A112" t="s">
        <v>155</v>
      </c>
      <c r="B112" t="s">
        <v>2</v>
      </c>
      <c r="C112" s="38">
        <v>45069</v>
      </c>
      <c r="D112" t="s">
        <v>236</v>
      </c>
      <c r="E112" t="s">
        <v>205</v>
      </c>
      <c r="F112">
        <v>6</v>
      </c>
      <c r="G112">
        <v>1.9</v>
      </c>
      <c r="H112" t="s">
        <v>24</v>
      </c>
    </row>
    <row r="113" spans="1:8" hidden="1" x14ac:dyDescent="0.25">
      <c r="A113" t="s">
        <v>173</v>
      </c>
      <c r="B113" t="s">
        <v>2</v>
      </c>
      <c r="C113" s="38">
        <v>45069</v>
      </c>
      <c r="D113" t="s">
        <v>235</v>
      </c>
      <c r="E113" t="s">
        <v>204</v>
      </c>
      <c r="F113">
        <v>0</v>
      </c>
      <c r="G113">
        <v>0</v>
      </c>
      <c r="H113" t="s">
        <v>24</v>
      </c>
    </row>
    <row r="114" spans="1:8" hidden="1" x14ac:dyDescent="0.25">
      <c r="A114" t="s">
        <v>168</v>
      </c>
      <c r="B114" t="s">
        <v>2</v>
      </c>
      <c r="C114" s="38">
        <v>45069</v>
      </c>
      <c r="D114" t="s">
        <v>236</v>
      </c>
      <c r="E114" t="s">
        <v>201</v>
      </c>
      <c r="F114">
        <v>0.2</v>
      </c>
      <c r="G114">
        <v>0.5</v>
      </c>
      <c r="H114" t="s">
        <v>24</v>
      </c>
    </row>
    <row r="115" spans="1:8" hidden="1" x14ac:dyDescent="0.25">
      <c r="A115" t="s">
        <v>168</v>
      </c>
      <c r="B115" t="s">
        <v>2</v>
      </c>
      <c r="C115" s="38">
        <v>45069</v>
      </c>
      <c r="D115" t="s">
        <v>240</v>
      </c>
      <c r="E115" t="s">
        <v>205</v>
      </c>
      <c r="F115">
        <v>7.3</v>
      </c>
      <c r="G115">
        <v>0.5</v>
      </c>
      <c r="H115" t="s">
        <v>24</v>
      </c>
    </row>
    <row r="116" spans="1:8" hidden="1" x14ac:dyDescent="0.25">
      <c r="A116" t="s">
        <v>153</v>
      </c>
      <c r="B116" t="s">
        <v>2</v>
      </c>
      <c r="C116" s="38">
        <v>45069</v>
      </c>
      <c r="D116" t="s">
        <v>236</v>
      </c>
      <c r="E116" t="s">
        <v>204</v>
      </c>
      <c r="F116">
        <v>0</v>
      </c>
      <c r="G116">
        <v>0</v>
      </c>
      <c r="H116" t="s">
        <v>24</v>
      </c>
    </row>
    <row r="117" spans="1:8" hidden="1" x14ac:dyDescent="0.25">
      <c r="A117" t="s">
        <v>152</v>
      </c>
      <c r="B117" t="s">
        <v>2</v>
      </c>
      <c r="C117" s="38">
        <v>45069</v>
      </c>
      <c r="D117" t="s">
        <v>240</v>
      </c>
      <c r="E117" t="s">
        <v>205</v>
      </c>
      <c r="F117">
        <v>0.2</v>
      </c>
      <c r="G117">
        <v>0</v>
      </c>
      <c r="H117" t="s">
        <v>24</v>
      </c>
    </row>
    <row r="118" spans="1:8" hidden="1" x14ac:dyDescent="0.25">
      <c r="A118" t="s">
        <v>210</v>
      </c>
      <c r="B118" t="s">
        <v>2</v>
      </c>
      <c r="C118" s="38">
        <v>45069</v>
      </c>
      <c r="D118" t="s">
        <v>236</v>
      </c>
      <c r="E118" t="s">
        <v>204</v>
      </c>
      <c r="F118">
        <v>0</v>
      </c>
      <c r="G118">
        <v>0</v>
      </c>
      <c r="H118" t="s">
        <v>24</v>
      </c>
    </row>
    <row r="119" spans="1:8" hidden="1" x14ac:dyDescent="0.25">
      <c r="A119" t="s">
        <v>148</v>
      </c>
      <c r="B119" t="s">
        <v>2</v>
      </c>
      <c r="C119" s="38">
        <v>45069</v>
      </c>
      <c r="D119" t="s">
        <v>235</v>
      </c>
      <c r="E119" t="s">
        <v>205</v>
      </c>
      <c r="F119">
        <v>7</v>
      </c>
      <c r="G119">
        <v>1</v>
      </c>
      <c r="H119" t="s">
        <v>24</v>
      </c>
    </row>
    <row r="120" spans="1:8" hidden="1" x14ac:dyDescent="0.25">
      <c r="A120" t="s">
        <v>152</v>
      </c>
      <c r="B120" t="s">
        <v>2</v>
      </c>
      <c r="C120" s="38">
        <v>45069</v>
      </c>
      <c r="D120" t="s">
        <v>235</v>
      </c>
      <c r="E120" t="s">
        <v>205</v>
      </c>
      <c r="F120">
        <v>7.8</v>
      </c>
      <c r="G120">
        <v>0</v>
      </c>
      <c r="H120" t="s">
        <v>24</v>
      </c>
    </row>
    <row r="121" spans="1:8" hidden="1" x14ac:dyDescent="0.25">
      <c r="A121" t="s">
        <v>245</v>
      </c>
      <c r="B121" t="s">
        <v>2</v>
      </c>
      <c r="C121" s="38">
        <v>45069</v>
      </c>
      <c r="D121" t="s">
        <v>236</v>
      </c>
      <c r="E121" t="s">
        <v>204</v>
      </c>
      <c r="F121">
        <v>0</v>
      </c>
      <c r="G121">
        <v>0</v>
      </c>
      <c r="H121" t="s">
        <v>24</v>
      </c>
    </row>
    <row r="122" spans="1:8" hidden="1" x14ac:dyDescent="0.25">
      <c r="A122" t="s">
        <v>156</v>
      </c>
      <c r="B122" t="s">
        <v>2</v>
      </c>
      <c r="C122" s="38">
        <v>45069</v>
      </c>
      <c r="D122" t="s">
        <v>236</v>
      </c>
      <c r="E122" t="s">
        <v>205</v>
      </c>
      <c r="F122">
        <v>7.5</v>
      </c>
      <c r="G122">
        <v>0</v>
      </c>
      <c r="H122" t="s">
        <v>24</v>
      </c>
    </row>
    <row r="123" spans="1:8" hidden="1" x14ac:dyDescent="0.25">
      <c r="A123" t="s">
        <v>245</v>
      </c>
      <c r="B123" t="s">
        <v>2</v>
      </c>
      <c r="C123" s="38">
        <v>45069</v>
      </c>
      <c r="D123" t="s">
        <v>235</v>
      </c>
      <c r="E123" t="s">
        <v>204</v>
      </c>
      <c r="F123">
        <v>0</v>
      </c>
      <c r="G123">
        <v>0</v>
      </c>
      <c r="H123" t="s">
        <v>24</v>
      </c>
    </row>
    <row r="124" spans="1:8" hidden="1" x14ac:dyDescent="0.25">
      <c r="A124" t="s">
        <v>156</v>
      </c>
      <c r="B124" t="s">
        <v>2</v>
      </c>
      <c r="C124" s="38">
        <v>45069</v>
      </c>
      <c r="D124" t="s">
        <v>235</v>
      </c>
      <c r="E124" t="s">
        <v>201</v>
      </c>
      <c r="F124">
        <v>0.5</v>
      </c>
      <c r="G124">
        <v>0</v>
      </c>
      <c r="H124" t="s">
        <v>24</v>
      </c>
    </row>
    <row r="125" spans="1:8" hidden="1" x14ac:dyDescent="0.25">
      <c r="A125" t="s">
        <v>237</v>
      </c>
      <c r="B125" t="s">
        <v>2</v>
      </c>
      <c r="C125" s="38">
        <v>45069</v>
      </c>
      <c r="D125" t="s">
        <v>236</v>
      </c>
      <c r="E125" t="s">
        <v>204</v>
      </c>
      <c r="F125">
        <v>0</v>
      </c>
      <c r="G125">
        <v>0</v>
      </c>
      <c r="H125" t="s">
        <v>24</v>
      </c>
    </row>
    <row r="126" spans="1:8" hidden="1" x14ac:dyDescent="0.25">
      <c r="A126" t="s">
        <v>141</v>
      </c>
      <c r="B126" t="s">
        <v>4</v>
      </c>
      <c r="C126" s="38">
        <v>45069</v>
      </c>
      <c r="D126" t="s">
        <v>235</v>
      </c>
      <c r="E126" t="s">
        <v>201</v>
      </c>
      <c r="F126">
        <v>7.8</v>
      </c>
      <c r="G126">
        <v>0</v>
      </c>
      <c r="H126" t="s">
        <v>24</v>
      </c>
    </row>
    <row r="127" spans="1:8" hidden="1" x14ac:dyDescent="0.25">
      <c r="A127" t="s">
        <v>151</v>
      </c>
      <c r="B127" t="s">
        <v>2</v>
      </c>
      <c r="C127" s="38">
        <v>45069</v>
      </c>
      <c r="D127" t="s">
        <v>235</v>
      </c>
      <c r="E127" t="s">
        <v>204</v>
      </c>
      <c r="F127">
        <v>0</v>
      </c>
      <c r="G127">
        <v>0</v>
      </c>
      <c r="H127" t="s">
        <v>24</v>
      </c>
    </row>
    <row r="128" spans="1:8" hidden="1" x14ac:dyDescent="0.25">
      <c r="A128" t="s">
        <v>244</v>
      </c>
      <c r="B128" t="s">
        <v>2</v>
      </c>
      <c r="C128" s="38">
        <v>45069</v>
      </c>
      <c r="D128" t="s">
        <v>236</v>
      </c>
      <c r="E128" t="s">
        <v>204</v>
      </c>
      <c r="F128">
        <v>0</v>
      </c>
      <c r="G128">
        <v>0</v>
      </c>
      <c r="H128" t="s">
        <v>24</v>
      </c>
    </row>
    <row r="129" spans="1:8" hidden="1" x14ac:dyDescent="0.25">
      <c r="A129" t="s">
        <v>167</v>
      </c>
      <c r="B129" t="s">
        <v>2</v>
      </c>
      <c r="C129" s="38">
        <v>45069</v>
      </c>
      <c r="D129" t="s">
        <v>240</v>
      </c>
      <c r="E129" t="s">
        <v>201</v>
      </c>
      <c r="F129">
        <v>0.2</v>
      </c>
      <c r="G129">
        <v>0</v>
      </c>
      <c r="H129" t="s">
        <v>24</v>
      </c>
    </row>
    <row r="130" spans="1:8" hidden="1" x14ac:dyDescent="0.25">
      <c r="A130" t="s">
        <v>167</v>
      </c>
      <c r="B130" t="s">
        <v>2</v>
      </c>
      <c r="C130" s="38">
        <v>45069</v>
      </c>
      <c r="D130" t="s">
        <v>235</v>
      </c>
      <c r="E130" t="s">
        <v>205</v>
      </c>
      <c r="F130">
        <v>7.8</v>
      </c>
      <c r="G130">
        <v>0</v>
      </c>
      <c r="H130" t="s">
        <v>24</v>
      </c>
    </row>
    <row r="131" spans="1:8" hidden="1" x14ac:dyDescent="0.25">
      <c r="A131" t="s">
        <v>152</v>
      </c>
      <c r="B131" t="s">
        <v>2</v>
      </c>
      <c r="C131" s="38">
        <v>45070</v>
      </c>
      <c r="D131" t="s">
        <v>240</v>
      </c>
      <c r="E131" t="s">
        <v>204</v>
      </c>
      <c r="F131">
        <v>0</v>
      </c>
      <c r="G131">
        <v>0</v>
      </c>
      <c r="H131" t="s">
        <v>24</v>
      </c>
    </row>
    <row r="132" spans="1:8" hidden="1" x14ac:dyDescent="0.25">
      <c r="A132" t="s">
        <v>167</v>
      </c>
      <c r="B132" t="s">
        <v>2</v>
      </c>
      <c r="C132" s="38">
        <v>45070</v>
      </c>
      <c r="D132" t="s">
        <v>235</v>
      </c>
      <c r="E132" t="s">
        <v>205</v>
      </c>
      <c r="F132">
        <v>7.8</v>
      </c>
      <c r="G132">
        <v>0</v>
      </c>
      <c r="H132" t="s">
        <v>24</v>
      </c>
    </row>
    <row r="133" spans="1:8" hidden="1" x14ac:dyDescent="0.25">
      <c r="A133" t="s">
        <v>155</v>
      </c>
      <c r="B133" t="s">
        <v>2</v>
      </c>
      <c r="C133" s="38">
        <v>45070</v>
      </c>
      <c r="D133" t="s">
        <v>235</v>
      </c>
      <c r="E133" t="s">
        <v>204</v>
      </c>
      <c r="F133">
        <v>0</v>
      </c>
      <c r="G133">
        <v>0</v>
      </c>
      <c r="H133" t="s">
        <v>24</v>
      </c>
    </row>
    <row r="134" spans="1:8" hidden="1" x14ac:dyDescent="0.25">
      <c r="A134" t="s">
        <v>158</v>
      </c>
      <c r="B134" t="s">
        <v>2</v>
      </c>
      <c r="C134" s="38">
        <v>45070</v>
      </c>
      <c r="D134" t="s">
        <v>240</v>
      </c>
      <c r="E134" t="s">
        <v>204</v>
      </c>
      <c r="F134">
        <v>0</v>
      </c>
      <c r="G134">
        <v>0</v>
      </c>
      <c r="H134" t="s">
        <v>24</v>
      </c>
    </row>
    <row r="135" spans="1:8" hidden="1" x14ac:dyDescent="0.25">
      <c r="A135" t="s">
        <v>152</v>
      </c>
      <c r="B135" t="s">
        <v>2</v>
      </c>
      <c r="C135" s="38">
        <v>45070</v>
      </c>
      <c r="D135" t="s">
        <v>236</v>
      </c>
      <c r="E135" t="s">
        <v>204</v>
      </c>
      <c r="F135">
        <v>0</v>
      </c>
      <c r="G135">
        <v>0</v>
      </c>
      <c r="H135" t="s">
        <v>24</v>
      </c>
    </row>
    <row r="136" spans="1:8" hidden="1" x14ac:dyDescent="0.25">
      <c r="A136" t="s">
        <v>159</v>
      </c>
      <c r="B136" t="s">
        <v>2</v>
      </c>
      <c r="C136" s="38">
        <v>45070</v>
      </c>
      <c r="D136" t="s">
        <v>236</v>
      </c>
      <c r="E136" t="s">
        <v>205</v>
      </c>
      <c r="F136">
        <v>7.5</v>
      </c>
      <c r="G136">
        <v>0.5</v>
      </c>
      <c r="H136" t="s">
        <v>24</v>
      </c>
    </row>
    <row r="137" spans="1:8" hidden="1" x14ac:dyDescent="0.25">
      <c r="A137" t="s">
        <v>148</v>
      </c>
      <c r="B137" t="s">
        <v>2</v>
      </c>
      <c r="C137" s="38">
        <v>45070</v>
      </c>
      <c r="D137" t="s">
        <v>235</v>
      </c>
      <c r="E137" t="s">
        <v>204</v>
      </c>
      <c r="F137">
        <v>0</v>
      </c>
      <c r="G137">
        <v>0</v>
      </c>
      <c r="H137" t="s">
        <v>24</v>
      </c>
    </row>
    <row r="138" spans="1:8" hidden="1" x14ac:dyDescent="0.25">
      <c r="A138" t="s">
        <v>152</v>
      </c>
      <c r="B138" t="s">
        <v>2</v>
      </c>
      <c r="C138" s="38">
        <v>45070</v>
      </c>
      <c r="D138" t="s">
        <v>235</v>
      </c>
      <c r="E138" t="s">
        <v>204</v>
      </c>
      <c r="F138">
        <v>0</v>
      </c>
      <c r="G138">
        <v>0</v>
      </c>
      <c r="H138" t="s">
        <v>24</v>
      </c>
    </row>
    <row r="139" spans="1:8" hidden="1" x14ac:dyDescent="0.25">
      <c r="A139" t="s">
        <v>167</v>
      </c>
      <c r="B139" t="s">
        <v>2</v>
      </c>
      <c r="C139" s="38">
        <v>45070</v>
      </c>
      <c r="D139" t="s">
        <v>240</v>
      </c>
      <c r="E139" t="s">
        <v>201</v>
      </c>
      <c r="F139">
        <v>0.2</v>
      </c>
      <c r="G139">
        <v>0</v>
      </c>
      <c r="H139" t="s">
        <v>24</v>
      </c>
    </row>
    <row r="140" spans="1:8" hidden="1" x14ac:dyDescent="0.25">
      <c r="A140" t="s">
        <v>172</v>
      </c>
      <c r="B140" t="s">
        <v>2</v>
      </c>
      <c r="C140" s="38">
        <v>45070</v>
      </c>
      <c r="D140" t="s">
        <v>236</v>
      </c>
      <c r="E140" t="s">
        <v>205</v>
      </c>
      <c r="F140">
        <v>7.5</v>
      </c>
      <c r="G140">
        <v>0.5</v>
      </c>
      <c r="H140" t="s">
        <v>24</v>
      </c>
    </row>
    <row r="141" spans="1:8" hidden="1" x14ac:dyDescent="0.25">
      <c r="A141" t="s">
        <v>243</v>
      </c>
      <c r="B141" t="s">
        <v>4</v>
      </c>
      <c r="C141" s="38">
        <v>45070</v>
      </c>
      <c r="D141" t="s">
        <v>236</v>
      </c>
      <c r="E141" t="s">
        <v>204</v>
      </c>
      <c r="F141">
        <v>0</v>
      </c>
      <c r="G141">
        <v>0</v>
      </c>
      <c r="H141" t="s">
        <v>24</v>
      </c>
    </row>
    <row r="142" spans="1:8" hidden="1" x14ac:dyDescent="0.25">
      <c r="A142" t="s">
        <v>194</v>
      </c>
      <c r="B142" t="s">
        <v>2</v>
      </c>
      <c r="C142" s="38">
        <v>45070</v>
      </c>
      <c r="D142" t="s">
        <v>236</v>
      </c>
      <c r="E142" t="s">
        <v>205</v>
      </c>
      <c r="F142">
        <v>7.5</v>
      </c>
      <c r="G142">
        <v>0.5</v>
      </c>
      <c r="H142" t="s">
        <v>24</v>
      </c>
    </row>
    <row r="143" spans="1:8" hidden="1" x14ac:dyDescent="0.25">
      <c r="A143" t="s">
        <v>198</v>
      </c>
      <c r="B143" t="s">
        <v>4</v>
      </c>
      <c r="C143" s="38">
        <v>45070</v>
      </c>
      <c r="D143" t="s">
        <v>236</v>
      </c>
      <c r="E143" t="s">
        <v>205</v>
      </c>
      <c r="F143">
        <v>7.5</v>
      </c>
      <c r="G143">
        <v>0</v>
      </c>
      <c r="H143" t="s">
        <v>24</v>
      </c>
    </row>
    <row r="144" spans="1:8" hidden="1" x14ac:dyDescent="0.25">
      <c r="A144" t="s">
        <v>210</v>
      </c>
      <c r="B144" t="s">
        <v>2</v>
      </c>
      <c r="C144" s="38">
        <v>45070</v>
      </c>
      <c r="D144" t="s">
        <v>235</v>
      </c>
      <c r="E144" t="s">
        <v>205</v>
      </c>
      <c r="F144">
        <v>7.8</v>
      </c>
      <c r="G144">
        <v>0</v>
      </c>
      <c r="H144" t="s">
        <v>24</v>
      </c>
    </row>
    <row r="145" spans="1:8" hidden="1" x14ac:dyDescent="0.25">
      <c r="A145" t="s">
        <v>210</v>
      </c>
      <c r="B145" t="s">
        <v>2</v>
      </c>
      <c r="C145" s="38">
        <v>45070</v>
      </c>
      <c r="D145" t="s">
        <v>240</v>
      </c>
      <c r="E145" t="s">
        <v>205</v>
      </c>
      <c r="F145">
        <v>0.2</v>
      </c>
      <c r="G145">
        <v>0</v>
      </c>
      <c r="H145" t="s">
        <v>24</v>
      </c>
    </row>
    <row r="146" spans="1:8" hidden="1" x14ac:dyDescent="0.25">
      <c r="A146" t="s">
        <v>198</v>
      </c>
      <c r="B146" t="s">
        <v>4</v>
      </c>
      <c r="C146" s="38">
        <v>45070</v>
      </c>
      <c r="D146" t="s">
        <v>235</v>
      </c>
      <c r="E146" t="s">
        <v>201</v>
      </c>
      <c r="F146">
        <v>0.5</v>
      </c>
      <c r="G146">
        <v>0</v>
      </c>
      <c r="H146" t="s">
        <v>24</v>
      </c>
    </row>
    <row r="147" spans="1:8" hidden="1" x14ac:dyDescent="0.25">
      <c r="A147" t="s">
        <v>174</v>
      </c>
      <c r="B147" t="s">
        <v>2</v>
      </c>
      <c r="C147" s="38">
        <v>45070</v>
      </c>
      <c r="D147" t="s">
        <v>236</v>
      </c>
      <c r="E147" t="s">
        <v>205</v>
      </c>
      <c r="F147">
        <v>7.5</v>
      </c>
      <c r="G147">
        <v>0.5</v>
      </c>
      <c r="H147" t="s">
        <v>24</v>
      </c>
    </row>
    <row r="148" spans="1:8" hidden="1" x14ac:dyDescent="0.25">
      <c r="A148" t="s">
        <v>195</v>
      </c>
      <c r="B148" t="s">
        <v>2</v>
      </c>
      <c r="C148" s="38">
        <v>45070</v>
      </c>
      <c r="D148" t="s">
        <v>235</v>
      </c>
      <c r="E148" t="s">
        <v>205</v>
      </c>
      <c r="F148">
        <v>7.8</v>
      </c>
      <c r="G148">
        <v>0</v>
      </c>
      <c r="H148" t="s">
        <v>24</v>
      </c>
    </row>
    <row r="149" spans="1:8" hidden="1" x14ac:dyDescent="0.25">
      <c r="A149" t="s">
        <v>195</v>
      </c>
      <c r="B149" t="s">
        <v>2</v>
      </c>
      <c r="C149" s="38">
        <v>45070</v>
      </c>
      <c r="D149" t="s">
        <v>240</v>
      </c>
      <c r="E149" t="s">
        <v>201</v>
      </c>
      <c r="F149">
        <v>0.2</v>
      </c>
      <c r="G149">
        <v>0</v>
      </c>
      <c r="H149" t="s">
        <v>24</v>
      </c>
    </row>
    <row r="150" spans="1:8" hidden="1" x14ac:dyDescent="0.25">
      <c r="A150" t="s">
        <v>237</v>
      </c>
      <c r="B150" t="s">
        <v>2</v>
      </c>
      <c r="C150" s="38">
        <v>45070</v>
      </c>
      <c r="D150" t="s">
        <v>236</v>
      </c>
      <c r="E150" t="s">
        <v>204</v>
      </c>
      <c r="F150">
        <v>0</v>
      </c>
      <c r="G150">
        <v>0</v>
      </c>
      <c r="H150" t="s">
        <v>24</v>
      </c>
    </row>
    <row r="151" spans="1:8" hidden="1" x14ac:dyDescent="0.25">
      <c r="A151" t="s">
        <v>238</v>
      </c>
      <c r="B151" t="s">
        <v>4</v>
      </c>
      <c r="C151" s="38">
        <v>45070</v>
      </c>
      <c r="D151" t="s">
        <v>236</v>
      </c>
      <c r="E151" t="s">
        <v>204</v>
      </c>
      <c r="F151">
        <v>0</v>
      </c>
      <c r="G151">
        <v>0</v>
      </c>
      <c r="H151" t="s">
        <v>24</v>
      </c>
    </row>
    <row r="152" spans="1:8" hidden="1" x14ac:dyDescent="0.25">
      <c r="A152" t="s">
        <v>168</v>
      </c>
      <c r="B152" t="s">
        <v>2</v>
      </c>
      <c r="C152" s="38">
        <v>45070</v>
      </c>
      <c r="D152" t="s">
        <v>240</v>
      </c>
      <c r="E152" t="s">
        <v>205</v>
      </c>
      <c r="F152">
        <v>7.3</v>
      </c>
      <c r="G152">
        <v>0.5</v>
      </c>
      <c r="H152" t="s">
        <v>24</v>
      </c>
    </row>
    <row r="153" spans="1:8" x14ac:dyDescent="0.25">
      <c r="A153" t="s">
        <v>5</v>
      </c>
      <c r="B153" t="s">
        <v>4</v>
      </c>
      <c r="C153" s="38">
        <v>45070</v>
      </c>
      <c r="D153" t="s">
        <v>236</v>
      </c>
      <c r="E153" t="s">
        <v>201</v>
      </c>
      <c r="F153">
        <v>7.5</v>
      </c>
      <c r="G153">
        <v>0</v>
      </c>
      <c r="H153" t="s">
        <v>24</v>
      </c>
    </row>
    <row r="154" spans="1:8" x14ac:dyDescent="0.25">
      <c r="A154" t="s">
        <v>5</v>
      </c>
      <c r="B154" t="s">
        <v>4</v>
      </c>
      <c r="C154" s="38">
        <v>45070</v>
      </c>
      <c r="D154" t="s">
        <v>235</v>
      </c>
      <c r="E154" t="s">
        <v>205</v>
      </c>
      <c r="F154">
        <v>0.5</v>
      </c>
      <c r="G154">
        <v>0</v>
      </c>
      <c r="H154" t="s">
        <v>24</v>
      </c>
    </row>
    <row r="155" spans="1:8" hidden="1" x14ac:dyDescent="0.25">
      <c r="A155" t="s">
        <v>164</v>
      </c>
      <c r="B155" t="s">
        <v>2</v>
      </c>
      <c r="C155" s="38">
        <v>45070</v>
      </c>
      <c r="D155" t="s">
        <v>235</v>
      </c>
      <c r="E155" t="s">
        <v>201</v>
      </c>
      <c r="F155">
        <v>0.5</v>
      </c>
      <c r="G155">
        <v>0</v>
      </c>
      <c r="H155" t="s">
        <v>24</v>
      </c>
    </row>
    <row r="156" spans="1:8" hidden="1" x14ac:dyDescent="0.25">
      <c r="A156" t="s">
        <v>164</v>
      </c>
      <c r="B156" t="s">
        <v>2</v>
      </c>
      <c r="C156" s="38">
        <v>45070</v>
      </c>
      <c r="D156" t="s">
        <v>236</v>
      </c>
      <c r="E156" t="s">
        <v>205</v>
      </c>
      <c r="F156">
        <v>7.5</v>
      </c>
      <c r="G156">
        <v>0</v>
      </c>
      <c r="H156" t="s">
        <v>24</v>
      </c>
    </row>
    <row r="157" spans="1:8" hidden="1" x14ac:dyDescent="0.25">
      <c r="A157" t="s">
        <v>168</v>
      </c>
      <c r="B157" t="s">
        <v>2</v>
      </c>
      <c r="C157" s="38">
        <v>45070</v>
      </c>
      <c r="D157" t="s">
        <v>236</v>
      </c>
      <c r="E157" t="s">
        <v>201</v>
      </c>
      <c r="F157">
        <v>0.2</v>
      </c>
      <c r="G157">
        <v>0.5</v>
      </c>
      <c r="H157" t="s">
        <v>24</v>
      </c>
    </row>
    <row r="158" spans="1:8" hidden="1" x14ac:dyDescent="0.25">
      <c r="A158" t="s">
        <v>247</v>
      </c>
      <c r="B158" t="s">
        <v>4</v>
      </c>
      <c r="C158" s="38">
        <v>45070</v>
      </c>
      <c r="D158" t="s">
        <v>240</v>
      </c>
      <c r="E158" t="s">
        <v>204</v>
      </c>
      <c r="F158">
        <v>0</v>
      </c>
      <c r="G158">
        <v>0</v>
      </c>
      <c r="H158" t="s">
        <v>24</v>
      </c>
    </row>
    <row r="159" spans="1:8" hidden="1" x14ac:dyDescent="0.25">
      <c r="A159" t="s">
        <v>210</v>
      </c>
      <c r="B159" t="s">
        <v>2</v>
      </c>
      <c r="C159" s="38">
        <v>45070</v>
      </c>
      <c r="D159" t="s">
        <v>236</v>
      </c>
      <c r="E159" t="s">
        <v>204</v>
      </c>
      <c r="F159">
        <v>0</v>
      </c>
      <c r="G159">
        <v>0</v>
      </c>
      <c r="H159" t="s">
        <v>24</v>
      </c>
    </row>
    <row r="160" spans="1:8" hidden="1" x14ac:dyDescent="0.25">
      <c r="A160" t="s">
        <v>215</v>
      </c>
      <c r="B160" t="s">
        <v>2</v>
      </c>
      <c r="C160" s="38">
        <v>45070</v>
      </c>
      <c r="D160" t="s">
        <v>240</v>
      </c>
      <c r="E160" t="s">
        <v>201</v>
      </c>
      <c r="F160">
        <v>0.2</v>
      </c>
      <c r="G160">
        <v>0</v>
      </c>
      <c r="H160" t="s">
        <v>24</v>
      </c>
    </row>
    <row r="161" spans="1:8" hidden="1" x14ac:dyDescent="0.25">
      <c r="A161" t="s">
        <v>217</v>
      </c>
      <c r="B161" t="s">
        <v>2</v>
      </c>
      <c r="C161" s="38">
        <v>45070</v>
      </c>
      <c r="D161" t="s">
        <v>240</v>
      </c>
      <c r="E161" t="s">
        <v>201</v>
      </c>
      <c r="F161">
        <v>0.2</v>
      </c>
      <c r="G161">
        <v>0</v>
      </c>
      <c r="H161" t="s">
        <v>24</v>
      </c>
    </row>
    <row r="162" spans="1:8" hidden="1" x14ac:dyDescent="0.25">
      <c r="A162" t="s">
        <v>215</v>
      </c>
      <c r="B162" t="s">
        <v>2</v>
      </c>
      <c r="C162" s="38">
        <v>45070</v>
      </c>
      <c r="D162" t="s">
        <v>235</v>
      </c>
      <c r="E162" t="s">
        <v>201</v>
      </c>
      <c r="F162">
        <v>7.8</v>
      </c>
      <c r="G162">
        <v>0</v>
      </c>
      <c r="H162" t="s">
        <v>24</v>
      </c>
    </row>
    <row r="163" spans="1:8" hidden="1" x14ac:dyDescent="0.25">
      <c r="A163" t="s">
        <v>217</v>
      </c>
      <c r="B163" t="s">
        <v>2</v>
      </c>
      <c r="C163" s="38">
        <v>45070</v>
      </c>
      <c r="D163" t="s">
        <v>235</v>
      </c>
      <c r="E163" t="s">
        <v>201</v>
      </c>
      <c r="F163">
        <v>7.8</v>
      </c>
      <c r="G163">
        <v>0</v>
      </c>
      <c r="H163" t="s">
        <v>24</v>
      </c>
    </row>
    <row r="164" spans="1:8" hidden="1" x14ac:dyDescent="0.25">
      <c r="A164" t="s">
        <v>178</v>
      </c>
      <c r="B164" t="s">
        <v>2</v>
      </c>
      <c r="C164" s="38">
        <v>45070</v>
      </c>
      <c r="D164" t="s">
        <v>236</v>
      </c>
      <c r="E164" t="s">
        <v>205</v>
      </c>
      <c r="F164">
        <v>0.2</v>
      </c>
      <c r="G164">
        <v>7.4</v>
      </c>
      <c r="H164" t="s">
        <v>24</v>
      </c>
    </row>
    <row r="165" spans="1:8" hidden="1" x14ac:dyDescent="0.25">
      <c r="A165" t="s">
        <v>245</v>
      </c>
      <c r="B165" t="s">
        <v>2</v>
      </c>
      <c r="C165" s="38">
        <v>45070</v>
      </c>
      <c r="D165" t="s">
        <v>235</v>
      </c>
      <c r="E165" t="s">
        <v>204</v>
      </c>
      <c r="F165">
        <v>0</v>
      </c>
      <c r="G165">
        <v>0</v>
      </c>
      <c r="H165" t="s">
        <v>24</v>
      </c>
    </row>
    <row r="166" spans="1:8" hidden="1" x14ac:dyDescent="0.25">
      <c r="A166" t="s">
        <v>161</v>
      </c>
      <c r="B166" t="s">
        <v>2</v>
      </c>
      <c r="C166" s="38">
        <v>45070</v>
      </c>
      <c r="D166" t="s">
        <v>236</v>
      </c>
      <c r="E166" t="s">
        <v>201</v>
      </c>
      <c r="F166">
        <v>0.2</v>
      </c>
      <c r="G166">
        <v>7.4</v>
      </c>
      <c r="H166" t="s">
        <v>24</v>
      </c>
    </row>
    <row r="167" spans="1:8" hidden="1" x14ac:dyDescent="0.25">
      <c r="A167" t="s">
        <v>245</v>
      </c>
      <c r="B167" t="s">
        <v>2</v>
      </c>
      <c r="C167" s="38">
        <v>45070</v>
      </c>
      <c r="D167" t="s">
        <v>236</v>
      </c>
      <c r="E167" t="s">
        <v>204</v>
      </c>
      <c r="F167">
        <v>0</v>
      </c>
      <c r="G167">
        <v>0</v>
      </c>
      <c r="H167" t="s">
        <v>24</v>
      </c>
    </row>
    <row r="168" spans="1:8" hidden="1" x14ac:dyDescent="0.25">
      <c r="A168" t="s">
        <v>190</v>
      </c>
      <c r="B168" t="s">
        <v>2</v>
      </c>
      <c r="C168" s="38">
        <v>45070</v>
      </c>
      <c r="D168" t="s">
        <v>236</v>
      </c>
      <c r="E168" t="s">
        <v>201</v>
      </c>
      <c r="F168">
        <v>2.4</v>
      </c>
      <c r="G168">
        <v>0</v>
      </c>
      <c r="H168" t="s">
        <v>24</v>
      </c>
    </row>
    <row r="169" spans="1:8" hidden="1" x14ac:dyDescent="0.25">
      <c r="A169" t="s">
        <v>183</v>
      </c>
      <c r="B169" t="s">
        <v>2</v>
      </c>
      <c r="C169" s="38">
        <v>45070</v>
      </c>
      <c r="D169" t="s">
        <v>236</v>
      </c>
      <c r="E169" t="s">
        <v>205</v>
      </c>
      <c r="F169">
        <v>7.5</v>
      </c>
      <c r="G169">
        <v>0.5</v>
      </c>
      <c r="H169" t="s">
        <v>24</v>
      </c>
    </row>
    <row r="170" spans="1:8" hidden="1" x14ac:dyDescent="0.25">
      <c r="A170" t="s">
        <v>244</v>
      </c>
      <c r="B170" t="s">
        <v>2</v>
      </c>
      <c r="C170" s="38">
        <v>45070</v>
      </c>
      <c r="D170" t="s">
        <v>236</v>
      </c>
      <c r="E170" t="s">
        <v>204</v>
      </c>
      <c r="F170">
        <v>0</v>
      </c>
      <c r="G170">
        <v>0</v>
      </c>
      <c r="H170" t="s">
        <v>24</v>
      </c>
    </row>
    <row r="171" spans="1:8" hidden="1" x14ac:dyDescent="0.25">
      <c r="A171" t="s">
        <v>244</v>
      </c>
      <c r="B171" t="s">
        <v>2</v>
      </c>
      <c r="C171" s="38">
        <v>45070</v>
      </c>
      <c r="D171" t="s">
        <v>235</v>
      </c>
      <c r="E171" t="s">
        <v>204</v>
      </c>
      <c r="F171">
        <v>0</v>
      </c>
      <c r="G171">
        <v>0</v>
      </c>
      <c r="H171" t="s">
        <v>24</v>
      </c>
    </row>
    <row r="172" spans="1:8" hidden="1" x14ac:dyDescent="0.25">
      <c r="A172" t="s">
        <v>186</v>
      </c>
      <c r="B172" t="s">
        <v>2</v>
      </c>
      <c r="C172" s="38">
        <v>45070</v>
      </c>
      <c r="D172" t="s">
        <v>235</v>
      </c>
      <c r="E172" t="s">
        <v>205</v>
      </c>
      <c r="F172">
        <v>7</v>
      </c>
      <c r="G172">
        <v>1</v>
      </c>
      <c r="H172" t="s">
        <v>24</v>
      </c>
    </row>
    <row r="173" spans="1:8" hidden="1" x14ac:dyDescent="0.25">
      <c r="A173" t="s">
        <v>178</v>
      </c>
      <c r="B173" t="s">
        <v>2</v>
      </c>
      <c r="C173" s="38">
        <v>45070</v>
      </c>
      <c r="D173" t="s">
        <v>235</v>
      </c>
      <c r="E173" t="s">
        <v>204</v>
      </c>
      <c r="F173">
        <v>0</v>
      </c>
      <c r="G173">
        <v>0</v>
      </c>
      <c r="H173" t="s">
        <v>24</v>
      </c>
    </row>
    <row r="174" spans="1:8" hidden="1" x14ac:dyDescent="0.25">
      <c r="A174" t="s">
        <v>196</v>
      </c>
      <c r="B174" t="s">
        <v>2</v>
      </c>
      <c r="C174" s="38">
        <v>45070</v>
      </c>
      <c r="D174" t="s">
        <v>236</v>
      </c>
      <c r="E174" t="s">
        <v>204</v>
      </c>
      <c r="F174">
        <v>0</v>
      </c>
      <c r="G174">
        <v>0</v>
      </c>
      <c r="H174" t="s">
        <v>24</v>
      </c>
    </row>
    <row r="175" spans="1:8" hidden="1" x14ac:dyDescent="0.25">
      <c r="A175" t="s">
        <v>239</v>
      </c>
      <c r="B175" t="s">
        <v>4</v>
      </c>
      <c r="C175" s="38">
        <v>45070</v>
      </c>
      <c r="D175" t="s">
        <v>235</v>
      </c>
      <c r="E175" t="s">
        <v>204</v>
      </c>
      <c r="F175">
        <v>0</v>
      </c>
      <c r="G175">
        <v>0</v>
      </c>
      <c r="H175" t="s">
        <v>24</v>
      </c>
    </row>
    <row r="176" spans="1:8" hidden="1" x14ac:dyDescent="0.25">
      <c r="A176" t="s">
        <v>179</v>
      </c>
      <c r="B176" t="s">
        <v>2</v>
      </c>
      <c r="C176" s="38">
        <v>45070</v>
      </c>
      <c r="D176" t="s">
        <v>240</v>
      </c>
      <c r="E176" t="s">
        <v>205</v>
      </c>
      <c r="F176">
        <v>7.3</v>
      </c>
      <c r="G176">
        <v>0.7</v>
      </c>
      <c r="H176" t="s">
        <v>24</v>
      </c>
    </row>
    <row r="177" spans="1:8" hidden="1" x14ac:dyDescent="0.25">
      <c r="A177" t="s">
        <v>192</v>
      </c>
      <c r="B177" t="s">
        <v>2</v>
      </c>
      <c r="C177" s="38">
        <v>45070</v>
      </c>
      <c r="D177" t="s">
        <v>240</v>
      </c>
      <c r="E177" t="s">
        <v>205</v>
      </c>
      <c r="F177">
        <v>7.3</v>
      </c>
      <c r="G177">
        <v>0.7</v>
      </c>
      <c r="H177" t="s">
        <v>24</v>
      </c>
    </row>
    <row r="178" spans="1:8" hidden="1" x14ac:dyDescent="0.25">
      <c r="A178" t="s">
        <v>220</v>
      </c>
      <c r="B178" t="s">
        <v>4</v>
      </c>
      <c r="C178" s="38">
        <v>45070</v>
      </c>
      <c r="D178" t="s">
        <v>240</v>
      </c>
      <c r="E178" t="s">
        <v>201</v>
      </c>
      <c r="F178">
        <v>7.3</v>
      </c>
      <c r="G178">
        <v>0.7</v>
      </c>
      <c r="H178" t="s">
        <v>24</v>
      </c>
    </row>
    <row r="179" spans="1:8" hidden="1" x14ac:dyDescent="0.25">
      <c r="A179" t="s">
        <v>3</v>
      </c>
      <c r="B179" t="s">
        <v>2</v>
      </c>
      <c r="C179" s="38">
        <v>45070</v>
      </c>
      <c r="D179" t="s">
        <v>235</v>
      </c>
      <c r="E179" t="s">
        <v>201</v>
      </c>
      <c r="F179">
        <v>0.5</v>
      </c>
      <c r="G179">
        <v>0</v>
      </c>
      <c r="H179" t="s">
        <v>24</v>
      </c>
    </row>
    <row r="180" spans="1:8" hidden="1" x14ac:dyDescent="0.25">
      <c r="A180" t="s">
        <v>190</v>
      </c>
      <c r="B180" t="s">
        <v>2</v>
      </c>
      <c r="C180" s="38">
        <v>45070</v>
      </c>
      <c r="D180" t="s">
        <v>235</v>
      </c>
      <c r="E180" t="s">
        <v>205</v>
      </c>
      <c r="F180">
        <v>7.1</v>
      </c>
      <c r="G180">
        <v>0</v>
      </c>
      <c r="H180" t="s">
        <v>24</v>
      </c>
    </row>
    <row r="181" spans="1:8" hidden="1" x14ac:dyDescent="0.25">
      <c r="A181" t="s">
        <v>189</v>
      </c>
      <c r="B181" t="s">
        <v>2</v>
      </c>
      <c r="C181" s="38">
        <v>45070</v>
      </c>
      <c r="D181" t="s">
        <v>236</v>
      </c>
      <c r="E181" t="s">
        <v>201</v>
      </c>
      <c r="F181">
        <v>0.2</v>
      </c>
      <c r="G181">
        <v>2.4</v>
      </c>
      <c r="H181" t="s">
        <v>24</v>
      </c>
    </row>
    <row r="182" spans="1:8" hidden="1" x14ac:dyDescent="0.25">
      <c r="A182" t="s">
        <v>187</v>
      </c>
      <c r="B182" t="s">
        <v>2</v>
      </c>
      <c r="C182" s="38">
        <v>45070</v>
      </c>
      <c r="D182" t="s">
        <v>236</v>
      </c>
      <c r="E182" t="s">
        <v>201</v>
      </c>
      <c r="F182">
        <v>0.2</v>
      </c>
      <c r="G182">
        <v>7.4</v>
      </c>
      <c r="H182" t="s">
        <v>24</v>
      </c>
    </row>
    <row r="183" spans="1:8" hidden="1" x14ac:dyDescent="0.25">
      <c r="A183" t="s">
        <v>185</v>
      </c>
      <c r="B183" t="s">
        <v>2</v>
      </c>
      <c r="C183" s="38">
        <v>45070</v>
      </c>
      <c r="D183" t="s">
        <v>236</v>
      </c>
      <c r="E183" t="s">
        <v>201</v>
      </c>
      <c r="F183">
        <v>7.5</v>
      </c>
      <c r="G183">
        <v>0.5</v>
      </c>
      <c r="H183" t="s">
        <v>24</v>
      </c>
    </row>
    <row r="184" spans="1:8" hidden="1" x14ac:dyDescent="0.25">
      <c r="A184" t="s">
        <v>3</v>
      </c>
      <c r="B184" t="s">
        <v>2</v>
      </c>
      <c r="C184" s="38">
        <v>45070</v>
      </c>
      <c r="D184" t="s">
        <v>236</v>
      </c>
      <c r="E184" t="s">
        <v>205</v>
      </c>
      <c r="F184">
        <v>7.5</v>
      </c>
      <c r="G184">
        <v>0</v>
      </c>
      <c r="H184" t="s">
        <v>24</v>
      </c>
    </row>
    <row r="185" spans="1:8" hidden="1" x14ac:dyDescent="0.25">
      <c r="A185" t="s">
        <v>196</v>
      </c>
      <c r="B185" t="s">
        <v>2</v>
      </c>
      <c r="C185" s="38">
        <v>45070</v>
      </c>
      <c r="D185" t="s">
        <v>235</v>
      </c>
      <c r="E185" t="s">
        <v>201</v>
      </c>
      <c r="F185">
        <v>7</v>
      </c>
      <c r="G185">
        <v>1</v>
      </c>
      <c r="H185" t="s">
        <v>24</v>
      </c>
    </row>
    <row r="186" spans="1:8" hidden="1" x14ac:dyDescent="0.25">
      <c r="A186" t="s">
        <v>155</v>
      </c>
      <c r="B186" t="s">
        <v>2</v>
      </c>
      <c r="C186" s="38">
        <v>45070</v>
      </c>
      <c r="D186" t="s">
        <v>236</v>
      </c>
      <c r="E186" t="s">
        <v>205</v>
      </c>
      <c r="F186">
        <v>6</v>
      </c>
      <c r="G186">
        <v>1.9</v>
      </c>
      <c r="H186" t="s">
        <v>24</v>
      </c>
    </row>
    <row r="187" spans="1:8" hidden="1" x14ac:dyDescent="0.25">
      <c r="A187" t="s">
        <v>151</v>
      </c>
      <c r="B187" t="s">
        <v>2</v>
      </c>
      <c r="C187" s="38">
        <v>45070</v>
      </c>
      <c r="D187" t="s">
        <v>240</v>
      </c>
      <c r="E187" t="s">
        <v>201</v>
      </c>
      <c r="F187">
        <v>0.2</v>
      </c>
      <c r="G187">
        <v>0</v>
      </c>
      <c r="H187" t="s">
        <v>24</v>
      </c>
    </row>
    <row r="188" spans="1:8" hidden="1" x14ac:dyDescent="0.25">
      <c r="A188" t="s">
        <v>182</v>
      </c>
      <c r="B188" t="s">
        <v>2</v>
      </c>
      <c r="C188" s="38">
        <v>45070</v>
      </c>
      <c r="D188" t="s">
        <v>236</v>
      </c>
      <c r="E188" t="s">
        <v>205</v>
      </c>
      <c r="F188">
        <v>7.5</v>
      </c>
      <c r="G188">
        <v>0</v>
      </c>
      <c r="H188" t="s">
        <v>24</v>
      </c>
    </row>
    <row r="189" spans="1:8" hidden="1" x14ac:dyDescent="0.25">
      <c r="A189" t="s">
        <v>165</v>
      </c>
      <c r="B189" t="s">
        <v>2</v>
      </c>
      <c r="C189" s="38">
        <v>45070</v>
      </c>
      <c r="D189" t="s">
        <v>240</v>
      </c>
      <c r="E189" t="s">
        <v>205</v>
      </c>
      <c r="F189">
        <v>7.3</v>
      </c>
      <c r="G189">
        <v>0.7</v>
      </c>
      <c r="H189" t="s">
        <v>24</v>
      </c>
    </row>
    <row r="190" spans="1:8" hidden="1" x14ac:dyDescent="0.25">
      <c r="A190" t="s">
        <v>150</v>
      </c>
      <c r="B190" t="s">
        <v>2</v>
      </c>
      <c r="C190" s="38">
        <v>45070</v>
      </c>
      <c r="D190" t="s">
        <v>235</v>
      </c>
      <c r="E190" t="s">
        <v>205</v>
      </c>
      <c r="F190">
        <v>7</v>
      </c>
      <c r="G190">
        <v>1</v>
      </c>
      <c r="H190" t="s">
        <v>24</v>
      </c>
    </row>
    <row r="191" spans="1:8" hidden="1" x14ac:dyDescent="0.25">
      <c r="A191" t="s">
        <v>151</v>
      </c>
      <c r="B191" t="s">
        <v>2</v>
      </c>
      <c r="C191" s="38">
        <v>45070</v>
      </c>
      <c r="D191" t="s">
        <v>235</v>
      </c>
      <c r="E191" t="s">
        <v>205</v>
      </c>
      <c r="F191">
        <v>7.8</v>
      </c>
      <c r="G191">
        <v>0</v>
      </c>
      <c r="H191" t="s">
        <v>24</v>
      </c>
    </row>
    <row r="192" spans="1:8" hidden="1" x14ac:dyDescent="0.25">
      <c r="A192" t="s">
        <v>182</v>
      </c>
      <c r="B192" t="s">
        <v>2</v>
      </c>
      <c r="C192" s="38">
        <v>45070</v>
      </c>
      <c r="D192" t="s">
        <v>235</v>
      </c>
      <c r="E192" t="s">
        <v>201</v>
      </c>
      <c r="F192">
        <v>0.5</v>
      </c>
      <c r="G192">
        <v>0</v>
      </c>
      <c r="H192" t="s">
        <v>24</v>
      </c>
    </row>
    <row r="193" spans="1:8" hidden="1" x14ac:dyDescent="0.25">
      <c r="A193" t="s">
        <v>144</v>
      </c>
      <c r="B193" t="s">
        <v>4</v>
      </c>
      <c r="C193" s="38">
        <v>45070</v>
      </c>
      <c r="D193" t="s">
        <v>236</v>
      </c>
      <c r="E193" t="s">
        <v>201</v>
      </c>
      <c r="F193">
        <v>0.5</v>
      </c>
      <c r="G193">
        <v>1.2</v>
      </c>
      <c r="H193" t="s">
        <v>24</v>
      </c>
    </row>
    <row r="194" spans="1:8" hidden="1" x14ac:dyDescent="0.25">
      <c r="A194" t="s">
        <v>153</v>
      </c>
      <c r="B194" t="s">
        <v>2</v>
      </c>
      <c r="C194" s="38">
        <v>45070</v>
      </c>
      <c r="D194" t="s">
        <v>236</v>
      </c>
      <c r="E194" t="s">
        <v>205</v>
      </c>
      <c r="F194">
        <v>7.5</v>
      </c>
      <c r="G194">
        <v>0.5</v>
      </c>
      <c r="H194" t="s">
        <v>24</v>
      </c>
    </row>
    <row r="195" spans="1:8" hidden="1" x14ac:dyDescent="0.25">
      <c r="A195" t="s">
        <v>164</v>
      </c>
      <c r="B195" t="s">
        <v>2</v>
      </c>
      <c r="C195" s="38">
        <v>45071</v>
      </c>
      <c r="D195" t="s">
        <v>236</v>
      </c>
      <c r="E195" t="s">
        <v>205</v>
      </c>
      <c r="F195">
        <v>7.5</v>
      </c>
      <c r="G195">
        <v>0</v>
      </c>
      <c r="H195" t="s">
        <v>24</v>
      </c>
    </row>
    <row r="196" spans="1:8" hidden="1" x14ac:dyDescent="0.25">
      <c r="A196" t="s">
        <v>210</v>
      </c>
      <c r="B196" t="s">
        <v>2</v>
      </c>
      <c r="C196" s="38">
        <v>45071</v>
      </c>
      <c r="D196" t="s">
        <v>235</v>
      </c>
      <c r="E196" t="s">
        <v>205</v>
      </c>
      <c r="F196">
        <v>7.8</v>
      </c>
      <c r="G196">
        <v>0</v>
      </c>
      <c r="H196" t="s">
        <v>24</v>
      </c>
    </row>
    <row r="197" spans="1:8" hidden="1" x14ac:dyDescent="0.25">
      <c r="A197" t="s">
        <v>182</v>
      </c>
      <c r="B197" t="s">
        <v>2</v>
      </c>
      <c r="C197" s="38">
        <v>45071</v>
      </c>
      <c r="D197" t="s">
        <v>236</v>
      </c>
      <c r="E197" t="s">
        <v>205</v>
      </c>
      <c r="F197">
        <v>7.5</v>
      </c>
      <c r="G197">
        <v>0</v>
      </c>
      <c r="H197" t="s">
        <v>24</v>
      </c>
    </row>
    <row r="198" spans="1:8" hidden="1" x14ac:dyDescent="0.25">
      <c r="A198" t="s">
        <v>182</v>
      </c>
      <c r="B198" t="s">
        <v>2</v>
      </c>
      <c r="C198" s="38">
        <v>45071</v>
      </c>
      <c r="D198" t="s">
        <v>235</v>
      </c>
      <c r="E198" t="s">
        <v>201</v>
      </c>
      <c r="F198">
        <v>0.5</v>
      </c>
      <c r="G198">
        <v>0</v>
      </c>
      <c r="H198" t="s">
        <v>24</v>
      </c>
    </row>
    <row r="199" spans="1:8" hidden="1" x14ac:dyDescent="0.25">
      <c r="A199" t="s">
        <v>190</v>
      </c>
      <c r="B199" t="s">
        <v>2</v>
      </c>
      <c r="C199" s="38">
        <v>45071</v>
      </c>
      <c r="D199" t="s">
        <v>235</v>
      </c>
      <c r="E199" t="s">
        <v>205</v>
      </c>
      <c r="F199">
        <v>7.1</v>
      </c>
      <c r="G199">
        <v>0</v>
      </c>
      <c r="H199" t="s">
        <v>24</v>
      </c>
    </row>
    <row r="200" spans="1:8" hidden="1" x14ac:dyDescent="0.25">
      <c r="A200" t="s">
        <v>151</v>
      </c>
      <c r="B200" t="s">
        <v>2</v>
      </c>
      <c r="C200" s="38">
        <v>45071</v>
      </c>
      <c r="D200" t="s">
        <v>240</v>
      </c>
      <c r="E200" t="s">
        <v>201</v>
      </c>
      <c r="F200">
        <v>0.2</v>
      </c>
      <c r="G200">
        <v>0</v>
      </c>
      <c r="H200" t="s">
        <v>24</v>
      </c>
    </row>
    <row r="201" spans="1:8" hidden="1" x14ac:dyDescent="0.25">
      <c r="A201" t="s">
        <v>164</v>
      </c>
      <c r="B201" t="s">
        <v>2</v>
      </c>
      <c r="C201" s="38">
        <v>45071</v>
      </c>
      <c r="D201" t="s">
        <v>235</v>
      </c>
      <c r="E201" t="s">
        <v>201</v>
      </c>
      <c r="F201">
        <v>0.5</v>
      </c>
      <c r="G201">
        <v>0</v>
      </c>
      <c r="H201" t="s">
        <v>24</v>
      </c>
    </row>
    <row r="202" spans="1:8" hidden="1" x14ac:dyDescent="0.25">
      <c r="A202" t="s">
        <v>210</v>
      </c>
      <c r="B202" t="s">
        <v>2</v>
      </c>
      <c r="C202" s="38">
        <v>45071</v>
      </c>
      <c r="D202" t="s">
        <v>240</v>
      </c>
      <c r="E202" t="s">
        <v>205</v>
      </c>
      <c r="F202">
        <v>0.2</v>
      </c>
      <c r="G202">
        <v>0</v>
      </c>
      <c r="H202" t="s">
        <v>24</v>
      </c>
    </row>
    <row r="203" spans="1:8" hidden="1" x14ac:dyDescent="0.25">
      <c r="A203" t="s">
        <v>198</v>
      </c>
      <c r="B203" t="s">
        <v>4</v>
      </c>
      <c r="C203" s="38">
        <v>45071</v>
      </c>
      <c r="D203" t="s">
        <v>236</v>
      </c>
      <c r="E203" t="s">
        <v>205</v>
      </c>
      <c r="F203">
        <v>7</v>
      </c>
      <c r="G203">
        <v>1</v>
      </c>
      <c r="H203" t="s">
        <v>24</v>
      </c>
    </row>
    <row r="204" spans="1:8" hidden="1" x14ac:dyDescent="0.25">
      <c r="A204" t="s">
        <v>220</v>
      </c>
      <c r="B204" t="s">
        <v>4</v>
      </c>
      <c r="C204" s="38">
        <v>45071</v>
      </c>
      <c r="D204" t="s">
        <v>236</v>
      </c>
      <c r="E204" t="s">
        <v>201</v>
      </c>
      <c r="F204">
        <v>0.5</v>
      </c>
      <c r="G204">
        <v>0.2</v>
      </c>
      <c r="H204" t="s">
        <v>24</v>
      </c>
    </row>
    <row r="205" spans="1:8" hidden="1" x14ac:dyDescent="0.25">
      <c r="A205" t="s">
        <v>186</v>
      </c>
      <c r="B205" t="s">
        <v>2</v>
      </c>
      <c r="C205" s="38">
        <v>45071</v>
      </c>
      <c r="D205" t="s">
        <v>235</v>
      </c>
      <c r="E205" t="s">
        <v>205</v>
      </c>
      <c r="F205">
        <v>7.8</v>
      </c>
      <c r="G205">
        <v>0</v>
      </c>
      <c r="H205" t="s">
        <v>24</v>
      </c>
    </row>
    <row r="206" spans="1:8" hidden="1" x14ac:dyDescent="0.25">
      <c r="A206" t="s">
        <v>173</v>
      </c>
      <c r="B206" t="s">
        <v>2</v>
      </c>
      <c r="C206" s="38">
        <v>45071</v>
      </c>
      <c r="D206" t="s">
        <v>236</v>
      </c>
      <c r="E206" t="s">
        <v>205</v>
      </c>
      <c r="F206">
        <v>7.5</v>
      </c>
      <c r="G206">
        <v>0</v>
      </c>
      <c r="H206" t="s">
        <v>24</v>
      </c>
    </row>
    <row r="207" spans="1:8" hidden="1" x14ac:dyDescent="0.25">
      <c r="A207" t="s">
        <v>220</v>
      </c>
      <c r="B207" t="s">
        <v>4</v>
      </c>
      <c r="C207" s="38">
        <v>45071</v>
      </c>
      <c r="D207" t="s">
        <v>240</v>
      </c>
      <c r="E207" t="s">
        <v>201</v>
      </c>
      <c r="F207">
        <v>7.3</v>
      </c>
      <c r="G207">
        <v>0.2</v>
      </c>
      <c r="H207" t="s">
        <v>24</v>
      </c>
    </row>
    <row r="208" spans="1:8" hidden="1" x14ac:dyDescent="0.25">
      <c r="A208" t="s">
        <v>157</v>
      </c>
      <c r="B208" t="s">
        <v>2</v>
      </c>
      <c r="C208" s="38">
        <v>45071</v>
      </c>
      <c r="D208" t="s">
        <v>236</v>
      </c>
      <c r="E208" t="s">
        <v>205</v>
      </c>
      <c r="F208">
        <v>7.5</v>
      </c>
      <c r="G208">
        <v>0.5</v>
      </c>
      <c r="H208" t="s">
        <v>24</v>
      </c>
    </row>
    <row r="209" spans="1:8" hidden="1" x14ac:dyDescent="0.25">
      <c r="A209" t="s">
        <v>196</v>
      </c>
      <c r="B209" t="s">
        <v>2</v>
      </c>
      <c r="C209" s="38">
        <v>45071</v>
      </c>
      <c r="D209" t="s">
        <v>235</v>
      </c>
      <c r="E209" t="s">
        <v>201</v>
      </c>
      <c r="F209">
        <v>7</v>
      </c>
      <c r="G209">
        <v>1</v>
      </c>
      <c r="H209" t="s">
        <v>24</v>
      </c>
    </row>
    <row r="210" spans="1:8" hidden="1" x14ac:dyDescent="0.25">
      <c r="A210" t="s">
        <v>174</v>
      </c>
      <c r="B210" t="s">
        <v>2</v>
      </c>
      <c r="C210" s="38">
        <v>45071</v>
      </c>
      <c r="D210" t="s">
        <v>236</v>
      </c>
      <c r="E210" t="s">
        <v>205</v>
      </c>
      <c r="F210">
        <v>7.5</v>
      </c>
      <c r="G210">
        <v>0.5</v>
      </c>
      <c r="H210" t="s">
        <v>24</v>
      </c>
    </row>
    <row r="211" spans="1:8" hidden="1" x14ac:dyDescent="0.25">
      <c r="A211" t="s">
        <v>151</v>
      </c>
      <c r="B211" t="s">
        <v>2</v>
      </c>
      <c r="C211" s="38">
        <v>45071</v>
      </c>
      <c r="D211" t="s">
        <v>235</v>
      </c>
      <c r="E211" t="s">
        <v>201</v>
      </c>
      <c r="F211">
        <v>7.8</v>
      </c>
      <c r="G211">
        <v>0</v>
      </c>
      <c r="H211" t="s">
        <v>24</v>
      </c>
    </row>
    <row r="212" spans="1:8" x14ac:dyDescent="0.25">
      <c r="A212" t="s">
        <v>5</v>
      </c>
      <c r="B212" t="s">
        <v>4</v>
      </c>
      <c r="C212" s="38">
        <v>45071</v>
      </c>
      <c r="D212" t="s">
        <v>236</v>
      </c>
      <c r="E212" t="s">
        <v>201</v>
      </c>
      <c r="F212">
        <v>7</v>
      </c>
      <c r="G212">
        <v>1</v>
      </c>
      <c r="H212" t="s">
        <v>24</v>
      </c>
    </row>
    <row r="213" spans="1:8" hidden="1" x14ac:dyDescent="0.25">
      <c r="A213" t="s">
        <v>176</v>
      </c>
      <c r="B213" t="s">
        <v>2</v>
      </c>
      <c r="C213" s="38">
        <v>45071</v>
      </c>
      <c r="D213" t="s">
        <v>235</v>
      </c>
      <c r="E213" t="s">
        <v>205</v>
      </c>
      <c r="F213">
        <v>7</v>
      </c>
      <c r="G213">
        <v>1</v>
      </c>
      <c r="H213" t="s">
        <v>24</v>
      </c>
    </row>
    <row r="214" spans="1:8" hidden="1" x14ac:dyDescent="0.25">
      <c r="A214" t="s">
        <v>181</v>
      </c>
      <c r="B214" t="s">
        <v>2</v>
      </c>
      <c r="C214" s="38">
        <v>45071</v>
      </c>
      <c r="D214" t="s">
        <v>236</v>
      </c>
      <c r="E214" t="s">
        <v>205</v>
      </c>
      <c r="F214">
        <v>7.5</v>
      </c>
      <c r="G214">
        <v>0.5</v>
      </c>
      <c r="H214" t="s">
        <v>24</v>
      </c>
    </row>
    <row r="215" spans="1:8" hidden="1" x14ac:dyDescent="0.25">
      <c r="A215" t="s">
        <v>192</v>
      </c>
      <c r="B215" t="s">
        <v>2</v>
      </c>
      <c r="C215" s="38">
        <v>45071</v>
      </c>
      <c r="D215" t="s">
        <v>240</v>
      </c>
      <c r="E215" t="s">
        <v>205</v>
      </c>
      <c r="F215">
        <v>7.3</v>
      </c>
      <c r="G215">
        <v>0.5</v>
      </c>
      <c r="H215" t="s">
        <v>24</v>
      </c>
    </row>
    <row r="216" spans="1:8" hidden="1" x14ac:dyDescent="0.25">
      <c r="A216" t="s">
        <v>3</v>
      </c>
      <c r="B216" t="s">
        <v>2</v>
      </c>
      <c r="C216" s="38">
        <v>45071</v>
      </c>
      <c r="D216" t="s">
        <v>236</v>
      </c>
      <c r="E216" t="s">
        <v>205</v>
      </c>
      <c r="F216">
        <v>7.5</v>
      </c>
      <c r="G216">
        <v>0</v>
      </c>
      <c r="H216" t="s">
        <v>24</v>
      </c>
    </row>
    <row r="217" spans="1:8" hidden="1" x14ac:dyDescent="0.25">
      <c r="A217" t="s">
        <v>192</v>
      </c>
      <c r="B217" t="s">
        <v>2</v>
      </c>
      <c r="C217" s="38">
        <v>45071</v>
      </c>
      <c r="D217" t="s">
        <v>236</v>
      </c>
      <c r="E217" t="s">
        <v>201</v>
      </c>
      <c r="F217">
        <v>0.2</v>
      </c>
      <c r="G217">
        <v>0.5</v>
      </c>
      <c r="H217" t="s">
        <v>24</v>
      </c>
    </row>
    <row r="218" spans="1:8" hidden="1" x14ac:dyDescent="0.25">
      <c r="A218" t="s">
        <v>147</v>
      </c>
      <c r="B218" t="s">
        <v>4</v>
      </c>
      <c r="C218" s="38">
        <v>45071</v>
      </c>
      <c r="D218" t="s">
        <v>235</v>
      </c>
      <c r="E218" t="s">
        <v>205</v>
      </c>
      <c r="F218">
        <v>7.8</v>
      </c>
      <c r="G218">
        <v>0</v>
      </c>
      <c r="H218" t="s">
        <v>24</v>
      </c>
    </row>
    <row r="219" spans="1:8" hidden="1" x14ac:dyDescent="0.25">
      <c r="A219" t="s">
        <v>147</v>
      </c>
      <c r="B219" t="s">
        <v>4</v>
      </c>
      <c r="C219" s="38">
        <v>45071</v>
      </c>
      <c r="D219" t="s">
        <v>240</v>
      </c>
      <c r="E219" t="s">
        <v>201</v>
      </c>
      <c r="F219">
        <v>0.2</v>
      </c>
      <c r="G219">
        <v>0</v>
      </c>
      <c r="H219" t="s">
        <v>24</v>
      </c>
    </row>
    <row r="220" spans="1:8" hidden="1" x14ac:dyDescent="0.25">
      <c r="A220" t="s">
        <v>155</v>
      </c>
      <c r="B220" t="s">
        <v>2</v>
      </c>
      <c r="C220" s="38">
        <v>45071</v>
      </c>
      <c r="D220" t="s">
        <v>236</v>
      </c>
      <c r="E220" t="s">
        <v>205</v>
      </c>
      <c r="F220">
        <v>7.5</v>
      </c>
      <c r="G220">
        <v>0.5</v>
      </c>
      <c r="H220" t="s">
        <v>24</v>
      </c>
    </row>
    <row r="221" spans="1:8" hidden="1" x14ac:dyDescent="0.25">
      <c r="A221" t="s">
        <v>179</v>
      </c>
      <c r="B221" t="s">
        <v>2</v>
      </c>
      <c r="C221" s="38">
        <v>45071</v>
      </c>
      <c r="D221" t="s">
        <v>236</v>
      </c>
      <c r="E221" t="s">
        <v>201</v>
      </c>
      <c r="F221">
        <v>0.2</v>
      </c>
      <c r="G221">
        <v>7.4</v>
      </c>
      <c r="H221" t="s">
        <v>24</v>
      </c>
    </row>
    <row r="222" spans="1:8" hidden="1" x14ac:dyDescent="0.25">
      <c r="A222" t="s">
        <v>187</v>
      </c>
      <c r="B222" t="s">
        <v>2</v>
      </c>
      <c r="C222" s="38">
        <v>45071</v>
      </c>
      <c r="D222" t="s">
        <v>240</v>
      </c>
      <c r="E222" t="s">
        <v>205</v>
      </c>
      <c r="F222">
        <v>7.3</v>
      </c>
      <c r="G222">
        <v>0.7</v>
      </c>
      <c r="H222" t="s">
        <v>24</v>
      </c>
    </row>
    <row r="223" spans="1:8" hidden="1" x14ac:dyDescent="0.25">
      <c r="A223" t="s">
        <v>217</v>
      </c>
      <c r="B223" t="s">
        <v>2</v>
      </c>
      <c r="C223" s="38">
        <v>45071</v>
      </c>
      <c r="D223" t="s">
        <v>240</v>
      </c>
      <c r="E223" t="s">
        <v>201</v>
      </c>
      <c r="F223">
        <v>0.2</v>
      </c>
      <c r="G223">
        <v>0</v>
      </c>
      <c r="H223" t="s">
        <v>24</v>
      </c>
    </row>
    <row r="224" spans="1:8" hidden="1" x14ac:dyDescent="0.25">
      <c r="A224" t="s">
        <v>217</v>
      </c>
      <c r="B224" t="s">
        <v>2</v>
      </c>
      <c r="C224" s="38">
        <v>45071</v>
      </c>
      <c r="D224" t="s">
        <v>235</v>
      </c>
      <c r="E224" t="s">
        <v>201</v>
      </c>
      <c r="F224">
        <v>7.8</v>
      </c>
      <c r="G224">
        <v>0</v>
      </c>
      <c r="H224" t="s">
        <v>24</v>
      </c>
    </row>
    <row r="225" spans="1:8" hidden="1" x14ac:dyDescent="0.25">
      <c r="A225" t="s">
        <v>186</v>
      </c>
      <c r="B225" t="s">
        <v>2</v>
      </c>
      <c r="C225" s="38">
        <v>45071</v>
      </c>
      <c r="D225" t="s">
        <v>240</v>
      </c>
      <c r="E225" t="s">
        <v>201</v>
      </c>
      <c r="F225">
        <v>0.2</v>
      </c>
      <c r="G225">
        <v>0</v>
      </c>
      <c r="H225" t="s">
        <v>24</v>
      </c>
    </row>
    <row r="226" spans="1:8" hidden="1" x14ac:dyDescent="0.25">
      <c r="A226" t="s">
        <v>190</v>
      </c>
      <c r="B226" t="s">
        <v>2</v>
      </c>
      <c r="C226" s="38">
        <v>45071</v>
      </c>
      <c r="D226" t="s">
        <v>236</v>
      </c>
      <c r="E226" t="s">
        <v>201</v>
      </c>
      <c r="F226">
        <v>2.4</v>
      </c>
      <c r="G226">
        <v>0</v>
      </c>
      <c r="H226" t="s">
        <v>24</v>
      </c>
    </row>
    <row r="227" spans="1:8" hidden="1" x14ac:dyDescent="0.25">
      <c r="A227" t="s">
        <v>159</v>
      </c>
      <c r="B227" t="s">
        <v>2</v>
      </c>
      <c r="C227" s="38">
        <v>45071</v>
      </c>
      <c r="D227" t="s">
        <v>236</v>
      </c>
      <c r="E227" t="s">
        <v>205</v>
      </c>
      <c r="F227">
        <v>7.5</v>
      </c>
      <c r="G227">
        <v>0.5</v>
      </c>
      <c r="H227" t="s">
        <v>24</v>
      </c>
    </row>
    <row r="228" spans="1:8" hidden="1" x14ac:dyDescent="0.25">
      <c r="A228" t="s">
        <v>168</v>
      </c>
      <c r="B228" t="s">
        <v>2</v>
      </c>
      <c r="C228" s="38">
        <v>45071</v>
      </c>
      <c r="D228" t="s">
        <v>236</v>
      </c>
      <c r="E228" t="s">
        <v>201</v>
      </c>
      <c r="F228">
        <v>0.2</v>
      </c>
      <c r="G228">
        <v>2.6</v>
      </c>
      <c r="H228" t="s">
        <v>24</v>
      </c>
    </row>
    <row r="229" spans="1:8" hidden="1" x14ac:dyDescent="0.25">
      <c r="A229" t="s">
        <v>3</v>
      </c>
      <c r="B229" t="s">
        <v>2</v>
      </c>
      <c r="C229" s="38">
        <v>45071</v>
      </c>
      <c r="D229" t="s">
        <v>235</v>
      </c>
      <c r="E229" t="s">
        <v>201</v>
      </c>
      <c r="F229">
        <v>0.5</v>
      </c>
      <c r="G229">
        <v>0</v>
      </c>
      <c r="H229" t="s">
        <v>24</v>
      </c>
    </row>
    <row r="230" spans="1:8" hidden="1" x14ac:dyDescent="0.25">
      <c r="A230" t="s">
        <v>194</v>
      </c>
      <c r="B230" t="s">
        <v>2</v>
      </c>
      <c r="C230" s="38">
        <v>45071</v>
      </c>
      <c r="D230" t="s">
        <v>236</v>
      </c>
      <c r="E230" t="s">
        <v>205</v>
      </c>
      <c r="F230">
        <v>7.5</v>
      </c>
      <c r="G230">
        <v>0.5</v>
      </c>
      <c r="H230" t="s">
        <v>24</v>
      </c>
    </row>
    <row r="231" spans="1:8" hidden="1" x14ac:dyDescent="0.25">
      <c r="A231" t="s">
        <v>195</v>
      </c>
      <c r="B231" t="s">
        <v>2</v>
      </c>
      <c r="C231" s="38">
        <v>45071</v>
      </c>
      <c r="D231" t="s">
        <v>235</v>
      </c>
      <c r="E231" t="s">
        <v>205</v>
      </c>
      <c r="F231">
        <v>7.8</v>
      </c>
      <c r="G231">
        <v>0</v>
      </c>
      <c r="H231" t="s">
        <v>24</v>
      </c>
    </row>
    <row r="232" spans="1:8" hidden="1" x14ac:dyDescent="0.25">
      <c r="A232" t="s">
        <v>195</v>
      </c>
      <c r="B232" t="s">
        <v>2</v>
      </c>
      <c r="C232" s="38">
        <v>45071</v>
      </c>
      <c r="D232" t="s">
        <v>240</v>
      </c>
      <c r="E232" t="s">
        <v>201</v>
      </c>
      <c r="F232">
        <v>0.2</v>
      </c>
      <c r="G232">
        <v>0</v>
      </c>
      <c r="H232" t="s">
        <v>24</v>
      </c>
    </row>
    <row r="233" spans="1:8" hidden="1" x14ac:dyDescent="0.25">
      <c r="A233" t="s">
        <v>152</v>
      </c>
      <c r="B233" t="s">
        <v>2</v>
      </c>
      <c r="C233" s="38">
        <v>45071</v>
      </c>
      <c r="D233" t="s">
        <v>240</v>
      </c>
      <c r="E233" t="s">
        <v>205</v>
      </c>
      <c r="F233">
        <v>0.2</v>
      </c>
      <c r="G233">
        <v>0</v>
      </c>
      <c r="H233" t="s">
        <v>24</v>
      </c>
    </row>
    <row r="234" spans="1:8" hidden="1" x14ac:dyDescent="0.25">
      <c r="A234" t="s">
        <v>152</v>
      </c>
      <c r="B234" t="s">
        <v>2</v>
      </c>
      <c r="C234" s="38">
        <v>45071</v>
      </c>
      <c r="D234" t="s">
        <v>235</v>
      </c>
      <c r="E234" t="s">
        <v>205</v>
      </c>
      <c r="F234">
        <v>7.8</v>
      </c>
      <c r="G234">
        <v>0</v>
      </c>
      <c r="H234" t="s">
        <v>24</v>
      </c>
    </row>
    <row r="235" spans="1:8" x14ac:dyDescent="0.25">
      <c r="A235" t="s">
        <v>5</v>
      </c>
      <c r="B235" t="s">
        <v>4</v>
      </c>
      <c r="C235" s="38">
        <v>45071</v>
      </c>
      <c r="D235" t="s">
        <v>235</v>
      </c>
      <c r="E235" t="s">
        <v>204</v>
      </c>
      <c r="F235">
        <v>0</v>
      </c>
      <c r="G235">
        <v>0</v>
      </c>
      <c r="H235" t="s">
        <v>24</v>
      </c>
    </row>
    <row r="236" spans="1:8" hidden="1" x14ac:dyDescent="0.25">
      <c r="A236" t="s">
        <v>178</v>
      </c>
      <c r="B236" t="s">
        <v>2</v>
      </c>
      <c r="C236" s="38">
        <v>45071</v>
      </c>
      <c r="D236" t="s">
        <v>236</v>
      </c>
      <c r="E236" t="s">
        <v>204</v>
      </c>
      <c r="F236">
        <v>0</v>
      </c>
      <c r="G236">
        <v>0</v>
      </c>
      <c r="H236" t="s">
        <v>24</v>
      </c>
    </row>
    <row r="237" spans="1:8" hidden="1" x14ac:dyDescent="0.25">
      <c r="A237" t="s">
        <v>245</v>
      </c>
      <c r="B237" t="s">
        <v>2</v>
      </c>
      <c r="C237" s="38">
        <v>45071</v>
      </c>
      <c r="D237" t="s">
        <v>235</v>
      </c>
      <c r="E237" t="s">
        <v>204</v>
      </c>
      <c r="F237">
        <v>0</v>
      </c>
      <c r="G237">
        <v>0</v>
      </c>
      <c r="H237" t="s">
        <v>24</v>
      </c>
    </row>
    <row r="238" spans="1:8" hidden="1" x14ac:dyDescent="0.25">
      <c r="A238" t="s">
        <v>165</v>
      </c>
      <c r="B238" t="s">
        <v>2</v>
      </c>
      <c r="C238" s="38">
        <v>45071</v>
      </c>
      <c r="D238" t="s">
        <v>240</v>
      </c>
      <c r="E238" t="s">
        <v>205</v>
      </c>
      <c r="F238">
        <v>7.3</v>
      </c>
      <c r="G238">
        <v>0.5</v>
      </c>
      <c r="H238" t="s">
        <v>24</v>
      </c>
    </row>
    <row r="239" spans="1:8" hidden="1" x14ac:dyDescent="0.25">
      <c r="A239" t="s">
        <v>178</v>
      </c>
      <c r="B239" t="s">
        <v>2</v>
      </c>
      <c r="C239" s="38">
        <v>45071</v>
      </c>
      <c r="D239" t="s">
        <v>235</v>
      </c>
      <c r="E239" t="s">
        <v>204</v>
      </c>
      <c r="F239">
        <v>0</v>
      </c>
      <c r="G239">
        <v>0</v>
      </c>
      <c r="H239" t="s">
        <v>24</v>
      </c>
    </row>
    <row r="240" spans="1:8" hidden="1" x14ac:dyDescent="0.25">
      <c r="A240" t="s">
        <v>244</v>
      </c>
      <c r="B240" t="s">
        <v>2</v>
      </c>
      <c r="C240" s="38">
        <v>45071</v>
      </c>
      <c r="D240" t="s">
        <v>235</v>
      </c>
      <c r="E240" t="s">
        <v>204</v>
      </c>
      <c r="F240">
        <v>0</v>
      </c>
      <c r="G240">
        <v>0</v>
      </c>
      <c r="H240" t="s">
        <v>24</v>
      </c>
    </row>
    <row r="241" spans="1:8" hidden="1" x14ac:dyDescent="0.25">
      <c r="A241" t="s">
        <v>196</v>
      </c>
      <c r="B241" t="s">
        <v>2</v>
      </c>
      <c r="C241" s="38">
        <v>45071</v>
      </c>
      <c r="D241" t="s">
        <v>236</v>
      </c>
      <c r="E241" t="s">
        <v>204</v>
      </c>
      <c r="F241">
        <v>0</v>
      </c>
      <c r="G241">
        <v>0</v>
      </c>
      <c r="H241" t="s">
        <v>24</v>
      </c>
    </row>
    <row r="242" spans="1:8" hidden="1" x14ac:dyDescent="0.25">
      <c r="A242" t="s">
        <v>244</v>
      </c>
      <c r="B242" t="s">
        <v>2</v>
      </c>
      <c r="C242" s="38">
        <v>45071</v>
      </c>
      <c r="D242" t="s">
        <v>236</v>
      </c>
      <c r="E242" t="s">
        <v>204</v>
      </c>
      <c r="F242">
        <v>0</v>
      </c>
      <c r="G242">
        <v>0</v>
      </c>
      <c r="H242" t="s">
        <v>24</v>
      </c>
    </row>
    <row r="243" spans="1:8" hidden="1" x14ac:dyDescent="0.25">
      <c r="A243" t="s">
        <v>237</v>
      </c>
      <c r="B243" t="s">
        <v>2</v>
      </c>
      <c r="C243" s="38">
        <v>45071</v>
      </c>
      <c r="D243" t="s">
        <v>236</v>
      </c>
      <c r="E243" t="s">
        <v>204</v>
      </c>
      <c r="F243">
        <v>0</v>
      </c>
      <c r="G243">
        <v>0</v>
      </c>
      <c r="H243" t="s">
        <v>24</v>
      </c>
    </row>
    <row r="244" spans="1:8" hidden="1" x14ac:dyDescent="0.25">
      <c r="A244" t="s">
        <v>239</v>
      </c>
      <c r="B244" t="s">
        <v>4</v>
      </c>
      <c r="C244" s="38">
        <v>45071</v>
      </c>
      <c r="D244" t="s">
        <v>235</v>
      </c>
      <c r="E244" t="s">
        <v>204</v>
      </c>
      <c r="F244">
        <v>0</v>
      </c>
      <c r="G244">
        <v>0</v>
      </c>
      <c r="H244" t="s">
        <v>24</v>
      </c>
    </row>
    <row r="245" spans="1:8" hidden="1" x14ac:dyDescent="0.25">
      <c r="A245" t="s">
        <v>245</v>
      </c>
      <c r="B245" t="s">
        <v>2</v>
      </c>
      <c r="C245" s="38">
        <v>45071</v>
      </c>
      <c r="D245" t="s">
        <v>236</v>
      </c>
      <c r="E245" t="s">
        <v>204</v>
      </c>
      <c r="F245">
        <v>0</v>
      </c>
      <c r="G245">
        <v>0</v>
      </c>
      <c r="H245" t="s">
        <v>24</v>
      </c>
    </row>
    <row r="246" spans="1:8" hidden="1" x14ac:dyDescent="0.25">
      <c r="A246" t="s">
        <v>238</v>
      </c>
      <c r="B246" t="s">
        <v>4</v>
      </c>
      <c r="C246" s="38">
        <v>45071</v>
      </c>
      <c r="D246" t="s">
        <v>236</v>
      </c>
      <c r="E246" t="s">
        <v>204</v>
      </c>
      <c r="F246">
        <v>0</v>
      </c>
      <c r="G246">
        <v>0</v>
      </c>
      <c r="H246" t="s">
        <v>24</v>
      </c>
    </row>
    <row r="247" spans="1:8" hidden="1" x14ac:dyDescent="0.25">
      <c r="A247" t="s">
        <v>247</v>
      </c>
      <c r="B247" t="s">
        <v>4</v>
      </c>
      <c r="C247" s="38">
        <v>45071</v>
      </c>
      <c r="D247" t="s">
        <v>240</v>
      </c>
      <c r="E247" t="s">
        <v>204</v>
      </c>
      <c r="F247">
        <v>0</v>
      </c>
      <c r="G247">
        <v>0</v>
      </c>
      <c r="H247" t="s">
        <v>24</v>
      </c>
    </row>
    <row r="248" spans="1:8" hidden="1" x14ac:dyDescent="0.25">
      <c r="A248" t="s">
        <v>148</v>
      </c>
      <c r="B248" t="s">
        <v>2</v>
      </c>
      <c r="C248" s="38">
        <v>45071</v>
      </c>
      <c r="D248" t="s">
        <v>235</v>
      </c>
      <c r="E248" t="s">
        <v>205</v>
      </c>
      <c r="F248">
        <v>7</v>
      </c>
      <c r="G248">
        <v>1</v>
      </c>
      <c r="H248" t="s">
        <v>24</v>
      </c>
    </row>
    <row r="249" spans="1:8" hidden="1" x14ac:dyDescent="0.25">
      <c r="A249" t="s">
        <v>165</v>
      </c>
      <c r="B249" t="s">
        <v>2</v>
      </c>
      <c r="C249" s="38">
        <v>45071</v>
      </c>
      <c r="D249" t="s">
        <v>236</v>
      </c>
      <c r="E249" t="s">
        <v>201</v>
      </c>
      <c r="F249">
        <v>0.2</v>
      </c>
      <c r="G249">
        <v>0.5</v>
      </c>
      <c r="H249" t="s">
        <v>24</v>
      </c>
    </row>
    <row r="250" spans="1:8" hidden="1" x14ac:dyDescent="0.25">
      <c r="A250" t="s">
        <v>183</v>
      </c>
      <c r="B250" t="s">
        <v>2</v>
      </c>
      <c r="C250" s="38">
        <v>45071</v>
      </c>
      <c r="D250" t="s">
        <v>236</v>
      </c>
      <c r="E250" t="s">
        <v>205</v>
      </c>
      <c r="F250">
        <v>6</v>
      </c>
      <c r="G250">
        <v>1.9</v>
      </c>
      <c r="H250" t="s">
        <v>24</v>
      </c>
    </row>
    <row r="251" spans="1:8" hidden="1" x14ac:dyDescent="0.25">
      <c r="A251" t="s">
        <v>210</v>
      </c>
      <c r="B251" t="s">
        <v>2</v>
      </c>
      <c r="C251" s="38">
        <v>45071</v>
      </c>
      <c r="D251" t="s">
        <v>236</v>
      </c>
      <c r="E251" t="s">
        <v>204</v>
      </c>
      <c r="F251">
        <v>0</v>
      </c>
      <c r="G251">
        <v>0</v>
      </c>
      <c r="H251" t="s">
        <v>24</v>
      </c>
    </row>
    <row r="252" spans="1:8" hidden="1" x14ac:dyDescent="0.25">
      <c r="A252" t="s">
        <v>172</v>
      </c>
      <c r="B252" t="s">
        <v>2</v>
      </c>
      <c r="C252" s="38">
        <v>45071</v>
      </c>
      <c r="D252" t="s">
        <v>236</v>
      </c>
      <c r="E252" t="s">
        <v>205</v>
      </c>
      <c r="F252">
        <v>7.5</v>
      </c>
      <c r="G252">
        <v>0.5</v>
      </c>
      <c r="H252" t="s">
        <v>24</v>
      </c>
    </row>
    <row r="253" spans="1:8" hidden="1" x14ac:dyDescent="0.25">
      <c r="A253" t="s">
        <v>152</v>
      </c>
      <c r="B253" t="s">
        <v>2</v>
      </c>
      <c r="C253" s="38">
        <v>45071</v>
      </c>
      <c r="D253" t="s">
        <v>236</v>
      </c>
      <c r="E253" t="s">
        <v>204</v>
      </c>
      <c r="F253">
        <v>0</v>
      </c>
      <c r="G253">
        <v>0</v>
      </c>
      <c r="H253" t="s">
        <v>24</v>
      </c>
    </row>
    <row r="254" spans="1:8" hidden="1" x14ac:dyDescent="0.25">
      <c r="A254" t="s">
        <v>173</v>
      </c>
      <c r="B254" t="s">
        <v>2</v>
      </c>
      <c r="C254" s="38">
        <v>45071</v>
      </c>
      <c r="D254" t="s">
        <v>235</v>
      </c>
      <c r="E254" t="s">
        <v>204</v>
      </c>
      <c r="F254">
        <v>0</v>
      </c>
      <c r="G254">
        <v>0</v>
      </c>
      <c r="H254" t="s">
        <v>24</v>
      </c>
    </row>
    <row r="255" spans="1:8" hidden="1" x14ac:dyDescent="0.25">
      <c r="A255" t="s">
        <v>155</v>
      </c>
      <c r="B255" t="s">
        <v>2</v>
      </c>
      <c r="C255" s="38">
        <v>45071</v>
      </c>
      <c r="D255" t="s">
        <v>235</v>
      </c>
      <c r="E255" t="s">
        <v>204</v>
      </c>
      <c r="F255">
        <v>0</v>
      </c>
      <c r="G255">
        <v>0</v>
      </c>
      <c r="H255" t="s">
        <v>24</v>
      </c>
    </row>
    <row r="256" spans="1:8" hidden="1" x14ac:dyDescent="0.25">
      <c r="A256" t="s">
        <v>187</v>
      </c>
      <c r="B256" t="s">
        <v>2</v>
      </c>
      <c r="C256" s="38">
        <v>45072</v>
      </c>
      <c r="D256" t="s">
        <v>236</v>
      </c>
      <c r="E256" t="s">
        <v>201</v>
      </c>
      <c r="F256">
        <v>0.2</v>
      </c>
      <c r="G256">
        <v>7.4</v>
      </c>
      <c r="H256" t="s">
        <v>24</v>
      </c>
    </row>
    <row r="257" spans="1:8" hidden="1" x14ac:dyDescent="0.25">
      <c r="A257" t="s">
        <v>199</v>
      </c>
      <c r="B257" t="s">
        <v>4</v>
      </c>
      <c r="C257" s="38">
        <v>45072</v>
      </c>
      <c r="D257" t="s">
        <v>235</v>
      </c>
      <c r="E257" t="s">
        <v>205</v>
      </c>
      <c r="F257">
        <v>7.8</v>
      </c>
      <c r="G257">
        <v>0</v>
      </c>
      <c r="H257" t="s">
        <v>24</v>
      </c>
    </row>
    <row r="258" spans="1:8" hidden="1" x14ac:dyDescent="0.25">
      <c r="A258" t="s">
        <v>178</v>
      </c>
      <c r="B258" t="s">
        <v>2</v>
      </c>
      <c r="C258" s="38">
        <v>45072</v>
      </c>
      <c r="D258" t="s">
        <v>235</v>
      </c>
      <c r="E258" t="s">
        <v>201</v>
      </c>
      <c r="F258">
        <v>7.8</v>
      </c>
      <c r="G258">
        <v>0</v>
      </c>
      <c r="H258" t="s">
        <v>24</v>
      </c>
    </row>
    <row r="259" spans="1:8" hidden="1" x14ac:dyDescent="0.25">
      <c r="A259" t="s">
        <v>144</v>
      </c>
      <c r="B259" t="s">
        <v>4</v>
      </c>
      <c r="C259" s="38">
        <v>45072</v>
      </c>
      <c r="D259" t="s">
        <v>240</v>
      </c>
      <c r="E259" t="s">
        <v>205</v>
      </c>
      <c r="F259">
        <v>7.3</v>
      </c>
      <c r="G259">
        <v>0.7</v>
      </c>
      <c r="H259" t="s">
        <v>24</v>
      </c>
    </row>
    <row r="260" spans="1:8" hidden="1" x14ac:dyDescent="0.25">
      <c r="A260" t="s">
        <v>179</v>
      </c>
      <c r="B260" t="s">
        <v>2</v>
      </c>
      <c r="C260" s="38">
        <v>45072</v>
      </c>
      <c r="D260" t="s">
        <v>240</v>
      </c>
      <c r="E260" t="s">
        <v>205</v>
      </c>
      <c r="F260">
        <v>7.3</v>
      </c>
      <c r="G260">
        <v>0.7</v>
      </c>
      <c r="H260" t="s">
        <v>24</v>
      </c>
    </row>
    <row r="261" spans="1:8" hidden="1" x14ac:dyDescent="0.25">
      <c r="A261" t="s">
        <v>180</v>
      </c>
      <c r="B261" t="s">
        <v>2</v>
      </c>
      <c r="C261" s="38">
        <v>45072</v>
      </c>
      <c r="D261" t="s">
        <v>235</v>
      </c>
      <c r="E261" t="s">
        <v>201</v>
      </c>
      <c r="F261">
        <v>7</v>
      </c>
      <c r="G261">
        <v>1</v>
      </c>
      <c r="H261" t="s">
        <v>24</v>
      </c>
    </row>
    <row r="262" spans="1:8" hidden="1" x14ac:dyDescent="0.25">
      <c r="A262" t="s">
        <v>178</v>
      </c>
      <c r="B262" t="s">
        <v>2</v>
      </c>
      <c r="C262" s="38">
        <v>45072</v>
      </c>
      <c r="D262" t="s">
        <v>240</v>
      </c>
      <c r="E262" t="s">
        <v>201</v>
      </c>
      <c r="F262">
        <v>0.2</v>
      </c>
      <c r="G262">
        <v>0</v>
      </c>
      <c r="H262" t="s">
        <v>24</v>
      </c>
    </row>
    <row r="263" spans="1:8" hidden="1" x14ac:dyDescent="0.25">
      <c r="A263" t="s">
        <v>220</v>
      </c>
      <c r="B263" t="s">
        <v>4</v>
      </c>
      <c r="C263" s="38">
        <v>45072</v>
      </c>
      <c r="D263" t="s">
        <v>236</v>
      </c>
      <c r="E263" t="s">
        <v>201</v>
      </c>
      <c r="F263">
        <v>0.5</v>
      </c>
      <c r="G263">
        <v>7.2</v>
      </c>
      <c r="H263" t="s">
        <v>24</v>
      </c>
    </row>
    <row r="264" spans="1:8" hidden="1" x14ac:dyDescent="0.25">
      <c r="A264" t="s">
        <v>192</v>
      </c>
      <c r="B264" t="s">
        <v>2</v>
      </c>
      <c r="C264" s="38">
        <v>45072</v>
      </c>
      <c r="D264" t="s">
        <v>240</v>
      </c>
      <c r="E264" t="s">
        <v>205</v>
      </c>
      <c r="F264">
        <v>7.3</v>
      </c>
      <c r="G264">
        <v>0.5</v>
      </c>
      <c r="H264" t="s">
        <v>24</v>
      </c>
    </row>
    <row r="265" spans="1:8" hidden="1" x14ac:dyDescent="0.25">
      <c r="A265" t="s">
        <v>164</v>
      </c>
      <c r="B265" t="s">
        <v>2</v>
      </c>
      <c r="C265" s="38">
        <v>45072</v>
      </c>
      <c r="D265" t="s">
        <v>235</v>
      </c>
      <c r="E265" t="s">
        <v>201</v>
      </c>
      <c r="F265">
        <v>0.5</v>
      </c>
      <c r="G265">
        <v>0</v>
      </c>
      <c r="H265" t="s">
        <v>24</v>
      </c>
    </row>
    <row r="266" spans="1:8" hidden="1" x14ac:dyDescent="0.25">
      <c r="A266" t="s">
        <v>192</v>
      </c>
      <c r="B266" t="s">
        <v>2</v>
      </c>
      <c r="C266" s="38">
        <v>45072</v>
      </c>
      <c r="D266" t="s">
        <v>236</v>
      </c>
      <c r="E266" t="s">
        <v>201</v>
      </c>
      <c r="F266">
        <v>0.2</v>
      </c>
      <c r="G266">
        <v>0.5</v>
      </c>
      <c r="H266" t="s">
        <v>24</v>
      </c>
    </row>
    <row r="267" spans="1:8" hidden="1" x14ac:dyDescent="0.25">
      <c r="A267" t="s">
        <v>210</v>
      </c>
      <c r="B267" t="s">
        <v>2</v>
      </c>
      <c r="C267" s="38">
        <v>45072</v>
      </c>
      <c r="D267" t="s">
        <v>240</v>
      </c>
      <c r="E267" t="s">
        <v>205</v>
      </c>
      <c r="F267">
        <v>0.2</v>
      </c>
      <c r="G267">
        <v>0</v>
      </c>
      <c r="H267" t="s">
        <v>24</v>
      </c>
    </row>
    <row r="268" spans="1:8" hidden="1" x14ac:dyDescent="0.25">
      <c r="A268" t="s">
        <v>210</v>
      </c>
      <c r="B268" t="s">
        <v>2</v>
      </c>
      <c r="C268" s="38">
        <v>45072</v>
      </c>
      <c r="D268" t="s">
        <v>235</v>
      </c>
      <c r="E268" t="s">
        <v>205</v>
      </c>
      <c r="F268">
        <v>7.8</v>
      </c>
      <c r="G268">
        <v>0</v>
      </c>
      <c r="H268" t="s">
        <v>24</v>
      </c>
    </row>
    <row r="269" spans="1:8" hidden="1" x14ac:dyDescent="0.25">
      <c r="A269" t="s">
        <v>188</v>
      </c>
      <c r="B269" t="s">
        <v>2</v>
      </c>
      <c r="C269" s="38">
        <v>45072</v>
      </c>
      <c r="D269" t="s">
        <v>240</v>
      </c>
      <c r="E269" t="s">
        <v>205</v>
      </c>
      <c r="F269">
        <v>7.3</v>
      </c>
      <c r="G269">
        <v>0.7</v>
      </c>
      <c r="H269" t="s">
        <v>24</v>
      </c>
    </row>
    <row r="270" spans="1:8" hidden="1" x14ac:dyDescent="0.25">
      <c r="A270" t="s">
        <v>199</v>
      </c>
      <c r="B270" t="s">
        <v>4</v>
      </c>
      <c r="C270" s="38">
        <v>45072</v>
      </c>
      <c r="D270" t="s">
        <v>240</v>
      </c>
      <c r="E270" t="s">
        <v>201</v>
      </c>
      <c r="F270">
        <v>0.2</v>
      </c>
      <c r="G270">
        <v>0</v>
      </c>
      <c r="H270" t="s">
        <v>24</v>
      </c>
    </row>
    <row r="271" spans="1:8" hidden="1" x14ac:dyDescent="0.25">
      <c r="A271" t="s">
        <v>189</v>
      </c>
      <c r="B271" t="s">
        <v>2</v>
      </c>
      <c r="C271" s="38">
        <v>45072</v>
      </c>
      <c r="D271" t="s">
        <v>240</v>
      </c>
      <c r="E271" t="s">
        <v>205</v>
      </c>
      <c r="F271">
        <v>7.3</v>
      </c>
      <c r="G271">
        <v>0.7</v>
      </c>
      <c r="H271" t="s">
        <v>24</v>
      </c>
    </row>
    <row r="272" spans="1:8" hidden="1" x14ac:dyDescent="0.25">
      <c r="A272" t="s">
        <v>164</v>
      </c>
      <c r="B272" t="s">
        <v>2</v>
      </c>
      <c r="C272" s="38">
        <v>45072</v>
      </c>
      <c r="D272" t="s">
        <v>236</v>
      </c>
      <c r="E272" t="s">
        <v>205</v>
      </c>
      <c r="F272">
        <v>7.5</v>
      </c>
      <c r="G272">
        <v>0</v>
      </c>
      <c r="H272" t="s">
        <v>24</v>
      </c>
    </row>
    <row r="273" spans="1:8" hidden="1" x14ac:dyDescent="0.25">
      <c r="A273" t="s">
        <v>186</v>
      </c>
      <c r="B273" t="s">
        <v>2</v>
      </c>
      <c r="C273" s="38">
        <v>45072</v>
      </c>
      <c r="D273" t="s">
        <v>235</v>
      </c>
      <c r="E273" t="s">
        <v>205</v>
      </c>
      <c r="F273">
        <v>7.8</v>
      </c>
      <c r="G273">
        <v>0</v>
      </c>
      <c r="H273" t="s">
        <v>24</v>
      </c>
    </row>
    <row r="274" spans="1:8" hidden="1" x14ac:dyDescent="0.25">
      <c r="A274" t="s">
        <v>186</v>
      </c>
      <c r="B274" t="s">
        <v>2</v>
      </c>
      <c r="C274" s="38">
        <v>45072</v>
      </c>
      <c r="D274" t="s">
        <v>240</v>
      </c>
      <c r="E274" t="s">
        <v>201</v>
      </c>
      <c r="F274">
        <v>0.2</v>
      </c>
      <c r="G274">
        <v>0</v>
      </c>
      <c r="H274" t="s">
        <v>24</v>
      </c>
    </row>
    <row r="275" spans="1:8" hidden="1" x14ac:dyDescent="0.25">
      <c r="A275" t="s">
        <v>147</v>
      </c>
      <c r="B275" t="s">
        <v>4</v>
      </c>
      <c r="C275" s="38">
        <v>45072</v>
      </c>
      <c r="D275" t="s">
        <v>240</v>
      </c>
      <c r="E275" t="s">
        <v>201</v>
      </c>
      <c r="F275">
        <v>0.2</v>
      </c>
      <c r="G275">
        <v>0</v>
      </c>
      <c r="H275" t="s">
        <v>24</v>
      </c>
    </row>
    <row r="276" spans="1:8" hidden="1" x14ac:dyDescent="0.25">
      <c r="A276" t="s">
        <v>217</v>
      </c>
      <c r="B276" t="s">
        <v>2</v>
      </c>
      <c r="C276" s="38">
        <v>45072</v>
      </c>
      <c r="D276" t="s">
        <v>240</v>
      </c>
      <c r="E276" t="s">
        <v>201</v>
      </c>
      <c r="F276">
        <v>0.2</v>
      </c>
      <c r="G276">
        <v>0</v>
      </c>
      <c r="H276" t="s">
        <v>24</v>
      </c>
    </row>
    <row r="277" spans="1:8" hidden="1" x14ac:dyDescent="0.25">
      <c r="A277" t="s">
        <v>206</v>
      </c>
      <c r="B277" t="s">
        <v>2</v>
      </c>
      <c r="C277" s="38">
        <v>45072</v>
      </c>
      <c r="D277" t="s">
        <v>236</v>
      </c>
      <c r="E277" t="s">
        <v>201</v>
      </c>
      <c r="F277">
        <v>7.5</v>
      </c>
      <c r="G277">
        <v>0.5</v>
      </c>
      <c r="H277" t="s">
        <v>24</v>
      </c>
    </row>
    <row r="278" spans="1:8" hidden="1" x14ac:dyDescent="0.25">
      <c r="A278" t="s">
        <v>217</v>
      </c>
      <c r="B278" t="s">
        <v>2</v>
      </c>
      <c r="C278" s="38">
        <v>45072</v>
      </c>
      <c r="D278" t="s">
        <v>235</v>
      </c>
      <c r="E278" t="s">
        <v>201</v>
      </c>
      <c r="F278">
        <v>7.8</v>
      </c>
      <c r="G278">
        <v>0</v>
      </c>
      <c r="H278" t="s">
        <v>24</v>
      </c>
    </row>
    <row r="279" spans="1:8" x14ac:dyDescent="0.25">
      <c r="A279" t="s">
        <v>5</v>
      </c>
      <c r="B279" t="s">
        <v>4</v>
      </c>
      <c r="C279" s="38">
        <v>45072</v>
      </c>
      <c r="D279" t="s">
        <v>236</v>
      </c>
      <c r="E279" t="s">
        <v>201</v>
      </c>
      <c r="F279">
        <v>7</v>
      </c>
      <c r="G279">
        <v>1</v>
      </c>
      <c r="H279" t="s">
        <v>24</v>
      </c>
    </row>
    <row r="280" spans="1:8" hidden="1" x14ac:dyDescent="0.25">
      <c r="A280" t="s">
        <v>171</v>
      </c>
      <c r="B280" t="s">
        <v>2</v>
      </c>
      <c r="C280" s="38">
        <v>45072</v>
      </c>
      <c r="D280" t="s">
        <v>236</v>
      </c>
      <c r="E280" t="s">
        <v>205</v>
      </c>
      <c r="F280">
        <v>6</v>
      </c>
      <c r="G280">
        <v>1.9</v>
      </c>
      <c r="H280" t="s">
        <v>24</v>
      </c>
    </row>
    <row r="281" spans="1:8" hidden="1" x14ac:dyDescent="0.25">
      <c r="A281" t="s">
        <v>202</v>
      </c>
      <c r="B281" t="s">
        <v>2</v>
      </c>
      <c r="C281" s="38">
        <v>45072</v>
      </c>
      <c r="D281" t="s">
        <v>236</v>
      </c>
      <c r="E281" t="s">
        <v>201</v>
      </c>
      <c r="F281">
        <v>7.5</v>
      </c>
      <c r="G281">
        <v>0.5</v>
      </c>
      <c r="H281" t="s">
        <v>24</v>
      </c>
    </row>
    <row r="282" spans="1:8" hidden="1" x14ac:dyDescent="0.25">
      <c r="A282" t="s">
        <v>195</v>
      </c>
      <c r="B282" t="s">
        <v>2</v>
      </c>
      <c r="C282" s="38">
        <v>45072</v>
      </c>
      <c r="D282" t="s">
        <v>235</v>
      </c>
      <c r="E282" t="s">
        <v>205</v>
      </c>
      <c r="F282">
        <v>7.8</v>
      </c>
      <c r="G282">
        <v>0</v>
      </c>
      <c r="H282" t="s">
        <v>24</v>
      </c>
    </row>
    <row r="283" spans="1:8" hidden="1" x14ac:dyDescent="0.25">
      <c r="A283" t="s">
        <v>147</v>
      </c>
      <c r="B283" t="s">
        <v>4</v>
      </c>
      <c r="C283" s="38">
        <v>45072</v>
      </c>
      <c r="D283" t="s">
        <v>235</v>
      </c>
      <c r="E283" t="s">
        <v>205</v>
      </c>
      <c r="F283">
        <v>7.8</v>
      </c>
      <c r="G283">
        <v>0</v>
      </c>
      <c r="H283" t="s">
        <v>24</v>
      </c>
    </row>
    <row r="284" spans="1:8" hidden="1" x14ac:dyDescent="0.25">
      <c r="A284" t="s">
        <v>195</v>
      </c>
      <c r="B284" t="s">
        <v>2</v>
      </c>
      <c r="C284" s="38">
        <v>45072</v>
      </c>
      <c r="D284" t="s">
        <v>240</v>
      </c>
      <c r="E284" t="s">
        <v>201</v>
      </c>
      <c r="F284">
        <v>0.2</v>
      </c>
      <c r="G284">
        <v>0</v>
      </c>
      <c r="H284" t="s">
        <v>24</v>
      </c>
    </row>
    <row r="285" spans="1:8" hidden="1" x14ac:dyDescent="0.25">
      <c r="A285" t="s">
        <v>181</v>
      </c>
      <c r="B285" t="s">
        <v>2</v>
      </c>
      <c r="C285" s="38">
        <v>45072</v>
      </c>
      <c r="D285" t="s">
        <v>235</v>
      </c>
      <c r="E285" t="s">
        <v>201</v>
      </c>
      <c r="F285">
        <v>0.5</v>
      </c>
      <c r="G285">
        <v>0</v>
      </c>
      <c r="H285" t="s">
        <v>24</v>
      </c>
    </row>
    <row r="286" spans="1:8" hidden="1" x14ac:dyDescent="0.25">
      <c r="A286" t="s">
        <v>181</v>
      </c>
      <c r="B286" t="s">
        <v>2</v>
      </c>
      <c r="C286" s="38">
        <v>45072</v>
      </c>
      <c r="D286" t="s">
        <v>236</v>
      </c>
      <c r="E286" t="s">
        <v>205</v>
      </c>
      <c r="F286">
        <v>7.5</v>
      </c>
      <c r="G286">
        <v>0</v>
      </c>
      <c r="H286" t="s">
        <v>24</v>
      </c>
    </row>
    <row r="287" spans="1:8" hidden="1" x14ac:dyDescent="0.25">
      <c r="A287" t="s">
        <v>238</v>
      </c>
      <c r="B287" t="s">
        <v>4</v>
      </c>
      <c r="C287" s="38">
        <v>45072</v>
      </c>
      <c r="D287" t="s">
        <v>236</v>
      </c>
      <c r="E287" t="s">
        <v>204</v>
      </c>
      <c r="F287">
        <v>0</v>
      </c>
      <c r="G287">
        <v>0</v>
      </c>
      <c r="H287" t="s">
        <v>24</v>
      </c>
    </row>
    <row r="288" spans="1:8" hidden="1" x14ac:dyDescent="0.25">
      <c r="A288" t="s">
        <v>156</v>
      </c>
      <c r="B288" t="s">
        <v>2</v>
      </c>
      <c r="C288" s="38">
        <v>45072</v>
      </c>
      <c r="D288" t="s">
        <v>235</v>
      </c>
      <c r="E288" t="s">
        <v>201</v>
      </c>
      <c r="F288">
        <v>0.5</v>
      </c>
      <c r="G288">
        <v>0</v>
      </c>
      <c r="H288" t="s">
        <v>24</v>
      </c>
    </row>
    <row r="289" spans="1:8" hidden="1" x14ac:dyDescent="0.25">
      <c r="A289" t="s">
        <v>165</v>
      </c>
      <c r="B289" t="s">
        <v>2</v>
      </c>
      <c r="C289" s="38">
        <v>45072</v>
      </c>
      <c r="D289" t="s">
        <v>236</v>
      </c>
      <c r="E289" t="s">
        <v>201</v>
      </c>
      <c r="F289">
        <v>0.2</v>
      </c>
      <c r="G289">
        <v>7.4</v>
      </c>
      <c r="H289" t="s">
        <v>24</v>
      </c>
    </row>
    <row r="290" spans="1:8" hidden="1" x14ac:dyDescent="0.25">
      <c r="A290" t="s">
        <v>156</v>
      </c>
      <c r="B290" t="s">
        <v>2</v>
      </c>
      <c r="C290" s="38">
        <v>45072</v>
      </c>
      <c r="D290" t="s">
        <v>236</v>
      </c>
      <c r="E290" t="s">
        <v>205</v>
      </c>
      <c r="F290">
        <v>7.5</v>
      </c>
      <c r="G290">
        <v>0</v>
      </c>
      <c r="H290" t="s">
        <v>24</v>
      </c>
    </row>
    <row r="291" spans="1:8" hidden="1" x14ac:dyDescent="0.25">
      <c r="A291" t="s">
        <v>173</v>
      </c>
      <c r="B291" t="s">
        <v>2</v>
      </c>
      <c r="C291" s="38">
        <v>45072</v>
      </c>
      <c r="D291" t="s">
        <v>236</v>
      </c>
      <c r="E291" t="s">
        <v>205</v>
      </c>
      <c r="F291">
        <v>7.5</v>
      </c>
      <c r="G291">
        <v>0</v>
      </c>
      <c r="H291" t="s">
        <v>24</v>
      </c>
    </row>
    <row r="292" spans="1:8" hidden="1" x14ac:dyDescent="0.25">
      <c r="A292" t="s">
        <v>152</v>
      </c>
      <c r="B292" t="s">
        <v>2</v>
      </c>
      <c r="C292" s="38">
        <v>45072</v>
      </c>
      <c r="D292" t="s">
        <v>236</v>
      </c>
      <c r="E292" t="s">
        <v>204</v>
      </c>
      <c r="F292">
        <v>0</v>
      </c>
      <c r="G292">
        <v>0</v>
      </c>
      <c r="H292" t="s">
        <v>24</v>
      </c>
    </row>
    <row r="293" spans="1:8" x14ac:dyDescent="0.25">
      <c r="A293" t="s">
        <v>5</v>
      </c>
      <c r="B293" t="s">
        <v>4</v>
      </c>
      <c r="C293" s="38">
        <v>45072</v>
      </c>
      <c r="D293" t="s">
        <v>235</v>
      </c>
      <c r="E293" t="s">
        <v>204</v>
      </c>
      <c r="F293">
        <v>0</v>
      </c>
      <c r="G293">
        <v>0</v>
      </c>
      <c r="H293" t="s">
        <v>24</v>
      </c>
    </row>
    <row r="294" spans="1:8" hidden="1" x14ac:dyDescent="0.25">
      <c r="A294" t="s">
        <v>152</v>
      </c>
      <c r="B294" t="s">
        <v>2</v>
      </c>
      <c r="C294" s="38">
        <v>45072</v>
      </c>
      <c r="D294" t="s">
        <v>235</v>
      </c>
      <c r="E294" t="s">
        <v>205</v>
      </c>
      <c r="F294">
        <v>7.8</v>
      </c>
      <c r="G294">
        <v>0</v>
      </c>
      <c r="H294" t="s">
        <v>24</v>
      </c>
    </row>
    <row r="295" spans="1:8" hidden="1" x14ac:dyDescent="0.25">
      <c r="A295" t="s">
        <v>241</v>
      </c>
      <c r="B295" t="s">
        <v>2</v>
      </c>
      <c r="C295" s="38">
        <v>45072</v>
      </c>
      <c r="D295" t="s">
        <v>236</v>
      </c>
      <c r="E295" t="s">
        <v>204</v>
      </c>
      <c r="F295">
        <v>0</v>
      </c>
      <c r="G295">
        <v>0</v>
      </c>
      <c r="H295" t="s">
        <v>24</v>
      </c>
    </row>
    <row r="296" spans="1:8" hidden="1" x14ac:dyDescent="0.25">
      <c r="A296" t="s">
        <v>173</v>
      </c>
      <c r="B296" t="s">
        <v>2</v>
      </c>
      <c r="C296" s="38">
        <v>45072</v>
      </c>
      <c r="D296" t="s">
        <v>235</v>
      </c>
      <c r="E296" t="s">
        <v>204</v>
      </c>
      <c r="F296">
        <v>0</v>
      </c>
      <c r="G296">
        <v>0</v>
      </c>
      <c r="H296" t="s">
        <v>24</v>
      </c>
    </row>
    <row r="297" spans="1:8" hidden="1" x14ac:dyDescent="0.25">
      <c r="A297" t="s">
        <v>152</v>
      </c>
      <c r="B297" t="s">
        <v>2</v>
      </c>
      <c r="C297" s="38">
        <v>45072</v>
      </c>
      <c r="D297" t="s">
        <v>240</v>
      </c>
      <c r="E297" t="s">
        <v>205</v>
      </c>
      <c r="F297">
        <v>0.2</v>
      </c>
      <c r="G297">
        <v>0</v>
      </c>
      <c r="H297" t="s">
        <v>24</v>
      </c>
    </row>
    <row r="298" spans="1:8" hidden="1" x14ac:dyDescent="0.25">
      <c r="A298" t="s">
        <v>155</v>
      </c>
      <c r="B298" t="s">
        <v>2</v>
      </c>
      <c r="C298" s="38">
        <v>45072</v>
      </c>
      <c r="D298" t="s">
        <v>236</v>
      </c>
      <c r="E298" t="s">
        <v>204</v>
      </c>
      <c r="F298">
        <v>0</v>
      </c>
      <c r="G298">
        <v>0</v>
      </c>
      <c r="H298" t="s">
        <v>24</v>
      </c>
    </row>
    <row r="299" spans="1:8" hidden="1" x14ac:dyDescent="0.25">
      <c r="A299" t="s">
        <v>248</v>
      </c>
      <c r="B299" t="s">
        <v>4</v>
      </c>
      <c r="C299" s="38">
        <v>45072</v>
      </c>
      <c r="D299" t="s">
        <v>236</v>
      </c>
      <c r="E299" t="s">
        <v>204</v>
      </c>
      <c r="F299">
        <v>0</v>
      </c>
      <c r="G299">
        <v>0</v>
      </c>
      <c r="H299" t="s">
        <v>24</v>
      </c>
    </row>
    <row r="300" spans="1:8" hidden="1" x14ac:dyDescent="0.25">
      <c r="A300" t="s">
        <v>198</v>
      </c>
      <c r="B300" t="s">
        <v>4</v>
      </c>
      <c r="C300" s="38">
        <v>45072</v>
      </c>
      <c r="D300" t="s">
        <v>236</v>
      </c>
      <c r="E300" t="s">
        <v>205</v>
      </c>
      <c r="F300">
        <v>7</v>
      </c>
      <c r="G300">
        <v>1</v>
      </c>
      <c r="H300" t="s">
        <v>24</v>
      </c>
    </row>
    <row r="301" spans="1:8" hidden="1" x14ac:dyDescent="0.25">
      <c r="A301" t="s">
        <v>203</v>
      </c>
      <c r="B301" t="s">
        <v>4</v>
      </c>
      <c r="C301" s="38">
        <v>45072</v>
      </c>
      <c r="D301" t="s">
        <v>236</v>
      </c>
      <c r="E301" t="s">
        <v>201</v>
      </c>
      <c r="F301">
        <v>7.5</v>
      </c>
      <c r="G301">
        <v>0</v>
      </c>
      <c r="H301" t="s">
        <v>24</v>
      </c>
    </row>
    <row r="302" spans="1:8" hidden="1" x14ac:dyDescent="0.25">
      <c r="A302" t="s">
        <v>244</v>
      </c>
      <c r="B302" t="s">
        <v>2</v>
      </c>
      <c r="C302" s="38">
        <v>45072</v>
      </c>
      <c r="D302" t="s">
        <v>236</v>
      </c>
      <c r="E302" t="s">
        <v>204</v>
      </c>
      <c r="F302">
        <v>0</v>
      </c>
      <c r="G302">
        <v>0</v>
      </c>
      <c r="H302" t="s">
        <v>24</v>
      </c>
    </row>
    <row r="303" spans="1:8" hidden="1" x14ac:dyDescent="0.25">
      <c r="A303" t="s">
        <v>196</v>
      </c>
      <c r="B303" t="s">
        <v>2</v>
      </c>
      <c r="C303" s="38">
        <v>45072</v>
      </c>
      <c r="D303" t="s">
        <v>236</v>
      </c>
      <c r="E303" t="s">
        <v>204</v>
      </c>
      <c r="F303">
        <v>0</v>
      </c>
      <c r="G303">
        <v>0</v>
      </c>
      <c r="H303" t="s">
        <v>24</v>
      </c>
    </row>
    <row r="304" spans="1:8" hidden="1" x14ac:dyDescent="0.25">
      <c r="A304" t="s">
        <v>157</v>
      </c>
      <c r="B304" t="s">
        <v>2</v>
      </c>
      <c r="C304" s="38">
        <v>45072</v>
      </c>
      <c r="D304" t="s">
        <v>236</v>
      </c>
      <c r="E304" t="s">
        <v>205</v>
      </c>
      <c r="F304">
        <v>7.5</v>
      </c>
      <c r="G304">
        <v>0.5</v>
      </c>
      <c r="H304" t="s">
        <v>24</v>
      </c>
    </row>
    <row r="305" spans="1:8" hidden="1" x14ac:dyDescent="0.25">
      <c r="A305" t="s">
        <v>239</v>
      </c>
      <c r="B305" t="s">
        <v>4</v>
      </c>
      <c r="C305" s="38">
        <v>45072</v>
      </c>
      <c r="D305" t="s">
        <v>235</v>
      </c>
      <c r="E305" t="s">
        <v>204</v>
      </c>
      <c r="F305">
        <v>0</v>
      </c>
      <c r="G305">
        <v>0</v>
      </c>
      <c r="H305" t="s">
        <v>24</v>
      </c>
    </row>
    <row r="306" spans="1:8" hidden="1" x14ac:dyDescent="0.25">
      <c r="A306" t="s">
        <v>249</v>
      </c>
      <c r="B306" t="s">
        <v>2</v>
      </c>
      <c r="C306" s="38">
        <v>45072</v>
      </c>
      <c r="D306" t="s">
        <v>235</v>
      </c>
      <c r="E306" t="s">
        <v>204</v>
      </c>
      <c r="F306">
        <v>0</v>
      </c>
      <c r="G306">
        <v>0</v>
      </c>
      <c r="H306" t="s">
        <v>24</v>
      </c>
    </row>
    <row r="307" spans="1:8" hidden="1" x14ac:dyDescent="0.25">
      <c r="A307" t="s">
        <v>176</v>
      </c>
      <c r="B307" t="s">
        <v>2</v>
      </c>
      <c r="C307" s="38">
        <v>45072</v>
      </c>
      <c r="D307" t="s">
        <v>235</v>
      </c>
      <c r="E307" t="s">
        <v>205</v>
      </c>
      <c r="F307">
        <v>7</v>
      </c>
      <c r="G307">
        <v>1</v>
      </c>
      <c r="H307" t="s">
        <v>24</v>
      </c>
    </row>
    <row r="308" spans="1:8" hidden="1" x14ac:dyDescent="0.25">
      <c r="A308" t="s">
        <v>245</v>
      </c>
      <c r="B308" t="s">
        <v>2</v>
      </c>
      <c r="C308" s="38">
        <v>45072</v>
      </c>
      <c r="D308" t="s">
        <v>236</v>
      </c>
      <c r="E308" t="s">
        <v>204</v>
      </c>
      <c r="F308">
        <v>0</v>
      </c>
      <c r="G308">
        <v>0</v>
      </c>
      <c r="H308" t="s">
        <v>24</v>
      </c>
    </row>
    <row r="309" spans="1:8" hidden="1" x14ac:dyDescent="0.25">
      <c r="A309" t="s">
        <v>244</v>
      </c>
      <c r="B309" t="s">
        <v>2</v>
      </c>
      <c r="C309" s="38">
        <v>45072</v>
      </c>
      <c r="D309" t="s">
        <v>235</v>
      </c>
      <c r="E309" t="s">
        <v>204</v>
      </c>
      <c r="F309">
        <v>0</v>
      </c>
      <c r="G309">
        <v>0</v>
      </c>
      <c r="H309" t="s">
        <v>24</v>
      </c>
    </row>
    <row r="310" spans="1:8" hidden="1" x14ac:dyDescent="0.25">
      <c r="A310" t="s">
        <v>245</v>
      </c>
      <c r="B310" t="s">
        <v>2</v>
      </c>
      <c r="C310" s="38">
        <v>45072</v>
      </c>
      <c r="D310" t="s">
        <v>235</v>
      </c>
      <c r="E310" t="s">
        <v>204</v>
      </c>
      <c r="F310">
        <v>0</v>
      </c>
      <c r="G310">
        <v>0</v>
      </c>
      <c r="H310" t="s">
        <v>24</v>
      </c>
    </row>
    <row r="311" spans="1:8" hidden="1" x14ac:dyDescent="0.25">
      <c r="A311" t="s">
        <v>210</v>
      </c>
      <c r="B311" t="s">
        <v>2</v>
      </c>
      <c r="C311" s="38">
        <v>45072</v>
      </c>
      <c r="D311" t="s">
        <v>236</v>
      </c>
      <c r="E311" t="s">
        <v>204</v>
      </c>
      <c r="F311">
        <v>0</v>
      </c>
      <c r="G311">
        <v>0</v>
      </c>
      <c r="H311" t="s">
        <v>24</v>
      </c>
    </row>
    <row r="312" spans="1:8" hidden="1" x14ac:dyDescent="0.25">
      <c r="A312" t="s">
        <v>203</v>
      </c>
      <c r="B312" t="s">
        <v>4</v>
      </c>
      <c r="C312" s="38">
        <v>45072</v>
      </c>
      <c r="D312" t="s">
        <v>235</v>
      </c>
      <c r="E312" t="s">
        <v>201</v>
      </c>
      <c r="F312">
        <v>0.5</v>
      </c>
      <c r="G312">
        <v>0</v>
      </c>
      <c r="H312" t="s">
        <v>24</v>
      </c>
    </row>
    <row r="313" spans="1:8" hidden="1" x14ac:dyDescent="0.25">
      <c r="A313" t="s">
        <v>242</v>
      </c>
      <c r="B313" t="s">
        <v>2</v>
      </c>
      <c r="C313" s="38">
        <v>45072</v>
      </c>
      <c r="D313" t="s">
        <v>236</v>
      </c>
      <c r="E313" t="s">
        <v>204</v>
      </c>
      <c r="F313">
        <v>0</v>
      </c>
      <c r="G313">
        <v>0</v>
      </c>
      <c r="H313" t="s">
        <v>24</v>
      </c>
    </row>
    <row r="314" spans="1:8" hidden="1" x14ac:dyDescent="0.25">
      <c r="A314" t="s">
        <v>189</v>
      </c>
      <c r="B314" t="s">
        <v>2</v>
      </c>
      <c r="C314" s="38">
        <v>45073</v>
      </c>
      <c r="D314" t="s">
        <v>240</v>
      </c>
      <c r="E314" t="s">
        <v>205</v>
      </c>
      <c r="F314">
        <v>7.3</v>
      </c>
      <c r="G314">
        <v>0.5</v>
      </c>
      <c r="H314" t="s">
        <v>24</v>
      </c>
    </row>
    <row r="315" spans="1:8" hidden="1" x14ac:dyDescent="0.25">
      <c r="A315" t="s">
        <v>188</v>
      </c>
      <c r="B315" t="s">
        <v>2</v>
      </c>
      <c r="C315" s="38">
        <v>45073</v>
      </c>
      <c r="D315" t="s">
        <v>236</v>
      </c>
      <c r="E315" t="s">
        <v>201</v>
      </c>
      <c r="F315">
        <v>0.2</v>
      </c>
      <c r="G315">
        <v>0.5</v>
      </c>
      <c r="H315" t="s">
        <v>24</v>
      </c>
    </row>
    <row r="316" spans="1:8" hidden="1" x14ac:dyDescent="0.25">
      <c r="A316" t="s">
        <v>152</v>
      </c>
      <c r="B316" t="s">
        <v>2</v>
      </c>
      <c r="C316" s="38">
        <v>45073</v>
      </c>
      <c r="D316" t="s">
        <v>240</v>
      </c>
      <c r="E316" t="s">
        <v>205</v>
      </c>
      <c r="F316">
        <v>0.2</v>
      </c>
      <c r="G316">
        <v>0</v>
      </c>
      <c r="H316" t="s">
        <v>24</v>
      </c>
    </row>
    <row r="317" spans="1:8" hidden="1" x14ac:dyDescent="0.25">
      <c r="A317" t="s">
        <v>188</v>
      </c>
      <c r="B317" t="s">
        <v>2</v>
      </c>
      <c r="C317" s="38">
        <v>45073</v>
      </c>
      <c r="D317" t="s">
        <v>240</v>
      </c>
      <c r="E317" t="s">
        <v>201</v>
      </c>
      <c r="F317">
        <v>7.3</v>
      </c>
      <c r="G317">
        <v>0.5</v>
      </c>
      <c r="H317" t="s">
        <v>24</v>
      </c>
    </row>
    <row r="318" spans="1:8" hidden="1" x14ac:dyDescent="0.25">
      <c r="A318" t="s">
        <v>152</v>
      </c>
      <c r="B318" t="s">
        <v>2</v>
      </c>
      <c r="C318" s="38">
        <v>45073</v>
      </c>
      <c r="D318" t="s">
        <v>235</v>
      </c>
      <c r="E318" t="s">
        <v>205</v>
      </c>
      <c r="F318">
        <v>7.8</v>
      </c>
      <c r="G318">
        <v>0</v>
      </c>
      <c r="H318" t="s">
        <v>24</v>
      </c>
    </row>
    <row r="319" spans="1:8" hidden="1" x14ac:dyDescent="0.25">
      <c r="A319" t="s">
        <v>216</v>
      </c>
      <c r="B319" t="s">
        <v>2</v>
      </c>
      <c r="C319" s="38">
        <v>45073</v>
      </c>
      <c r="D319" t="s">
        <v>235</v>
      </c>
      <c r="E319" t="s">
        <v>201</v>
      </c>
      <c r="F319">
        <v>7.8</v>
      </c>
      <c r="G319">
        <v>0</v>
      </c>
      <c r="H319" t="s">
        <v>24</v>
      </c>
    </row>
    <row r="320" spans="1:8" hidden="1" x14ac:dyDescent="0.25">
      <c r="A320" t="s">
        <v>216</v>
      </c>
      <c r="B320" t="s">
        <v>2</v>
      </c>
      <c r="C320" s="38">
        <v>45073</v>
      </c>
      <c r="D320" t="s">
        <v>240</v>
      </c>
      <c r="E320" t="s">
        <v>201</v>
      </c>
      <c r="F320">
        <v>0.2</v>
      </c>
      <c r="G320">
        <v>0</v>
      </c>
      <c r="H320" t="s">
        <v>24</v>
      </c>
    </row>
    <row r="321" spans="1:8" hidden="1" x14ac:dyDescent="0.25">
      <c r="A321" t="s">
        <v>194</v>
      </c>
      <c r="B321" t="s">
        <v>2</v>
      </c>
      <c r="C321" s="38">
        <v>45073</v>
      </c>
      <c r="D321" t="s">
        <v>236</v>
      </c>
      <c r="E321" t="s">
        <v>205</v>
      </c>
      <c r="F321">
        <v>7.5</v>
      </c>
      <c r="G321">
        <v>0.5</v>
      </c>
      <c r="H321" t="s">
        <v>24</v>
      </c>
    </row>
    <row r="322" spans="1:8" hidden="1" x14ac:dyDescent="0.25">
      <c r="A322" t="s">
        <v>217</v>
      </c>
      <c r="B322" t="s">
        <v>2</v>
      </c>
      <c r="C322" s="38">
        <v>45073</v>
      </c>
      <c r="D322" t="s">
        <v>240</v>
      </c>
      <c r="E322" t="s">
        <v>201</v>
      </c>
      <c r="F322">
        <v>0.2</v>
      </c>
      <c r="G322">
        <v>0</v>
      </c>
      <c r="H322" t="s">
        <v>24</v>
      </c>
    </row>
    <row r="323" spans="1:8" hidden="1" x14ac:dyDescent="0.25">
      <c r="A323" t="s">
        <v>217</v>
      </c>
      <c r="B323" t="s">
        <v>2</v>
      </c>
      <c r="C323" s="38">
        <v>45073</v>
      </c>
      <c r="D323" t="s">
        <v>235</v>
      </c>
      <c r="E323" t="s">
        <v>201</v>
      </c>
      <c r="F323">
        <v>7.8</v>
      </c>
      <c r="G323">
        <v>0</v>
      </c>
      <c r="H323" t="s">
        <v>24</v>
      </c>
    </row>
    <row r="324" spans="1:8" hidden="1" x14ac:dyDescent="0.25">
      <c r="A324" t="s">
        <v>206</v>
      </c>
      <c r="B324" t="s">
        <v>2</v>
      </c>
      <c r="C324" s="38">
        <v>45073</v>
      </c>
      <c r="D324" t="s">
        <v>236</v>
      </c>
      <c r="E324" t="s">
        <v>201</v>
      </c>
      <c r="F324">
        <v>7.5</v>
      </c>
      <c r="G324">
        <v>0.5</v>
      </c>
      <c r="H324" t="s">
        <v>24</v>
      </c>
    </row>
    <row r="325" spans="1:8" hidden="1" x14ac:dyDescent="0.25">
      <c r="A325" t="s">
        <v>199</v>
      </c>
      <c r="B325" t="s">
        <v>4</v>
      </c>
      <c r="C325" s="38">
        <v>45073</v>
      </c>
      <c r="D325" t="s">
        <v>235</v>
      </c>
      <c r="E325" t="s">
        <v>205</v>
      </c>
      <c r="F325">
        <v>7.8</v>
      </c>
      <c r="G325">
        <v>0</v>
      </c>
      <c r="H325" t="s">
        <v>24</v>
      </c>
    </row>
    <row r="326" spans="1:8" hidden="1" x14ac:dyDescent="0.25">
      <c r="A326" t="s">
        <v>189</v>
      </c>
      <c r="B326" t="s">
        <v>2</v>
      </c>
      <c r="C326" s="38">
        <v>45073</v>
      </c>
      <c r="D326" t="s">
        <v>236</v>
      </c>
      <c r="E326" t="s">
        <v>201</v>
      </c>
      <c r="F326">
        <v>0.2</v>
      </c>
      <c r="G326">
        <v>0.5</v>
      </c>
      <c r="H326" t="s">
        <v>24</v>
      </c>
    </row>
    <row r="327" spans="1:8" hidden="1" x14ac:dyDescent="0.25">
      <c r="A327" t="s">
        <v>199</v>
      </c>
      <c r="B327" t="s">
        <v>4</v>
      </c>
      <c r="C327" s="38">
        <v>45073</v>
      </c>
      <c r="D327" t="s">
        <v>240</v>
      </c>
      <c r="E327" t="s">
        <v>201</v>
      </c>
      <c r="F327">
        <v>0.2</v>
      </c>
      <c r="G327">
        <v>0</v>
      </c>
      <c r="H327" t="s">
        <v>24</v>
      </c>
    </row>
    <row r="328" spans="1:8" hidden="1" x14ac:dyDescent="0.25">
      <c r="A328" t="s">
        <v>195</v>
      </c>
      <c r="B328" t="s">
        <v>2</v>
      </c>
      <c r="C328" s="38">
        <v>45073</v>
      </c>
      <c r="D328" t="s">
        <v>235</v>
      </c>
      <c r="E328" t="s">
        <v>205</v>
      </c>
      <c r="F328">
        <v>7.8</v>
      </c>
      <c r="G328">
        <v>0</v>
      </c>
      <c r="H328" t="s">
        <v>24</v>
      </c>
    </row>
    <row r="329" spans="1:8" hidden="1" x14ac:dyDescent="0.25">
      <c r="A329" t="s">
        <v>195</v>
      </c>
      <c r="B329" t="s">
        <v>2</v>
      </c>
      <c r="C329" s="38">
        <v>45073</v>
      </c>
      <c r="D329" t="s">
        <v>240</v>
      </c>
      <c r="E329" t="s">
        <v>201</v>
      </c>
      <c r="F329">
        <v>0.2</v>
      </c>
      <c r="G329">
        <v>0</v>
      </c>
      <c r="H329" t="s">
        <v>24</v>
      </c>
    </row>
    <row r="330" spans="1:8" hidden="1" x14ac:dyDescent="0.25">
      <c r="A330" t="s">
        <v>144</v>
      </c>
      <c r="B330" t="s">
        <v>4</v>
      </c>
      <c r="C330" s="38">
        <v>45073</v>
      </c>
      <c r="D330" t="s">
        <v>236</v>
      </c>
      <c r="E330" t="s">
        <v>201</v>
      </c>
      <c r="F330">
        <v>0.5</v>
      </c>
      <c r="G330">
        <v>0.2</v>
      </c>
      <c r="H330" t="s">
        <v>24</v>
      </c>
    </row>
    <row r="331" spans="1:8" hidden="1" x14ac:dyDescent="0.25">
      <c r="A331" t="s">
        <v>215</v>
      </c>
      <c r="B331" t="s">
        <v>2</v>
      </c>
      <c r="C331" s="38">
        <v>45073</v>
      </c>
      <c r="D331" t="s">
        <v>235</v>
      </c>
      <c r="E331" t="s">
        <v>201</v>
      </c>
      <c r="F331">
        <v>7.8</v>
      </c>
      <c r="G331">
        <v>0</v>
      </c>
      <c r="H331" t="s">
        <v>24</v>
      </c>
    </row>
    <row r="332" spans="1:8" hidden="1" x14ac:dyDescent="0.25">
      <c r="A332" t="s">
        <v>167</v>
      </c>
      <c r="B332" t="s">
        <v>2</v>
      </c>
      <c r="C332" s="38">
        <v>45073</v>
      </c>
      <c r="D332" t="s">
        <v>235</v>
      </c>
      <c r="E332" t="s">
        <v>205</v>
      </c>
      <c r="F332">
        <v>7.8</v>
      </c>
      <c r="G332">
        <v>0</v>
      </c>
      <c r="H332" t="s">
        <v>24</v>
      </c>
    </row>
    <row r="333" spans="1:8" hidden="1" x14ac:dyDescent="0.25">
      <c r="A333" t="s">
        <v>192</v>
      </c>
      <c r="B333" t="s">
        <v>2</v>
      </c>
      <c r="C333" s="38">
        <v>45073</v>
      </c>
      <c r="D333" t="s">
        <v>236</v>
      </c>
      <c r="E333" t="s">
        <v>201</v>
      </c>
      <c r="F333">
        <v>0.2</v>
      </c>
      <c r="G333">
        <v>2.6</v>
      </c>
      <c r="H333" t="s">
        <v>24</v>
      </c>
    </row>
    <row r="334" spans="1:8" hidden="1" x14ac:dyDescent="0.25">
      <c r="A334" t="s">
        <v>202</v>
      </c>
      <c r="B334" t="s">
        <v>2</v>
      </c>
      <c r="C334" s="38">
        <v>45073</v>
      </c>
      <c r="D334" t="s">
        <v>236</v>
      </c>
      <c r="E334" t="s">
        <v>201</v>
      </c>
      <c r="F334">
        <v>7.5</v>
      </c>
      <c r="G334">
        <v>0.5</v>
      </c>
      <c r="H334" t="s">
        <v>24</v>
      </c>
    </row>
    <row r="335" spans="1:8" hidden="1" x14ac:dyDescent="0.25">
      <c r="A335" t="s">
        <v>3</v>
      </c>
      <c r="B335" t="s">
        <v>2</v>
      </c>
      <c r="C335" s="38">
        <v>45073</v>
      </c>
      <c r="D335" t="s">
        <v>236</v>
      </c>
      <c r="E335" t="s">
        <v>205</v>
      </c>
      <c r="F335">
        <v>7.5</v>
      </c>
      <c r="G335">
        <v>0</v>
      </c>
      <c r="H335" t="s">
        <v>24</v>
      </c>
    </row>
    <row r="336" spans="1:8" hidden="1" x14ac:dyDescent="0.25">
      <c r="A336" t="s">
        <v>215</v>
      </c>
      <c r="B336" t="s">
        <v>2</v>
      </c>
      <c r="C336" s="38">
        <v>45073</v>
      </c>
      <c r="D336" t="s">
        <v>240</v>
      </c>
      <c r="E336" t="s">
        <v>201</v>
      </c>
      <c r="F336">
        <v>0.2</v>
      </c>
      <c r="G336">
        <v>0</v>
      </c>
      <c r="H336" t="s">
        <v>24</v>
      </c>
    </row>
    <row r="337" spans="1:8" hidden="1" x14ac:dyDescent="0.25">
      <c r="A337" t="s">
        <v>144</v>
      </c>
      <c r="B337" t="s">
        <v>4</v>
      </c>
      <c r="C337" s="38">
        <v>45073</v>
      </c>
      <c r="D337" t="s">
        <v>240</v>
      </c>
      <c r="E337" t="s">
        <v>205</v>
      </c>
      <c r="F337">
        <v>7.3</v>
      </c>
      <c r="G337">
        <v>0.2</v>
      </c>
      <c r="H337" t="s">
        <v>24</v>
      </c>
    </row>
    <row r="338" spans="1:8" hidden="1" x14ac:dyDescent="0.25">
      <c r="A338" t="s">
        <v>168</v>
      </c>
      <c r="B338" t="s">
        <v>2</v>
      </c>
      <c r="C338" s="38">
        <v>45073</v>
      </c>
      <c r="D338" t="s">
        <v>240</v>
      </c>
      <c r="E338" t="s">
        <v>205</v>
      </c>
      <c r="F338">
        <v>7.3</v>
      </c>
      <c r="G338">
        <v>0</v>
      </c>
      <c r="H338" t="s">
        <v>24</v>
      </c>
    </row>
    <row r="339" spans="1:8" hidden="1" x14ac:dyDescent="0.25">
      <c r="A339" t="s">
        <v>185</v>
      </c>
      <c r="B339" t="s">
        <v>2</v>
      </c>
      <c r="C339" s="38">
        <v>45073</v>
      </c>
      <c r="D339" t="s">
        <v>236</v>
      </c>
      <c r="E339" t="s">
        <v>205</v>
      </c>
      <c r="F339">
        <v>7.5</v>
      </c>
      <c r="G339">
        <v>0</v>
      </c>
      <c r="H339" t="s">
        <v>24</v>
      </c>
    </row>
    <row r="340" spans="1:8" hidden="1" x14ac:dyDescent="0.25">
      <c r="A340" t="s">
        <v>180</v>
      </c>
      <c r="B340" t="s">
        <v>2</v>
      </c>
      <c r="C340" s="38">
        <v>45073</v>
      </c>
      <c r="D340" t="s">
        <v>235</v>
      </c>
      <c r="E340" t="s">
        <v>205</v>
      </c>
      <c r="F340">
        <v>7</v>
      </c>
      <c r="G340">
        <v>1</v>
      </c>
      <c r="H340" t="s">
        <v>24</v>
      </c>
    </row>
    <row r="341" spans="1:8" hidden="1" x14ac:dyDescent="0.25">
      <c r="A341" t="s">
        <v>167</v>
      </c>
      <c r="B341" t="s">
        <v>2</v>
      </c>
      <c r="C341" s="38">
        <v>45073</v>
      </c>
      <c r="D341" t="s">
        <v>240</v>
      </c>
      <c r="E341" t="s">
        <v>201</v>
      </c>
      <c r="F341">
        <v>0.2</v>
      </c>
      <c r="G341">
        <v>0</v>
      </c>
      <c r="H341" t="s">
        <v>24</v>
      </c>
    </row>
    <row r="342" spans="1:8" hidden="1" x14ac:dyDescent="0.25">
      <c r="A342" t="s">
        <v>186</v>
      </c>
      <c r="B342" t="s">
        <v>2</v>
      </c>
      <c r="C342" s="38">
        <v>45073</v>
      </c>
      <c r="D342" t="s">
        <v>235</v>
      </c>
      <c r="E342" t="s">
        <v>205</v>
      </c>
      <c r="F342">
        <v>7</v>
      </c>
      <c r="G342">
        <v>1</v>
      </c>
      <c r="H342" t="s">
        <v>24</v>
      </c>
    </row>
    <row r="343" spans="1:8" hidden="1" x14ac:dyDescent="0.25">
      <c r="A343" t="s">
        <v>245</v>
      </c>
      <c r="B343" t="s">
        <v>2</v>
      </c>
      <c r="C343" s="38">
        <v>45073</v>
      </c>
      <c r="D343" t="s">
        <v>235</v>
      </c>
      <c r="E343" t="s">
        <v>204</v>
      </c>
      <c r="F343">
        <v>0</v>
      </c>
      <c r="G343">
        <v>0</v>
      </c>
      <c r="H343" t="s">
        <v>24</v>
      </c>
    </row>
    <row r="344" spans="1:8" hidden="1" x14ac:dyDescent="0.25">
      <c r="A344" t="s">
        <v>244</v>
      </c>
      <c r="B344" t="s">
        <v>2</v>
      </c>
      <c r="C344" s="38">
        <v>45073</v>
      </c>
      <c r="D344" t="s">
        <v>236</v>
      </c>
      <c r="E344" t="s">
        <v>204</v>
      </c>
      <c r="F344">
        <v>0</v>
      </c>
      <c r="G344">
        <v>0</v>
      </c>
      <c r="H344" t="s">
        <v>24</v>
      </c>
    </row>
    <row r="345" spans="1:8" hidden="1" x14ac:dyDescent="0.25">
      <c r="A345" t="s">
        <v>244</v>
      </c>
      <c r="B345" t="s">
        <v>2</v>
      </c>
      <c r="C345" s="38">
        <v>45073</v>
      </c>
      <c r="D345" t="s">
        <v>235</v>
      </c>
      <c r="E345" t="s">
        <v>204</v>
      </c>
      <c r="F345">
        <v>0</v>
      </c>
      <c r="G345">
        <v>0</v>
      </c>
      <c r="H345" t="s">
        <v>24</v>
      </c>
    </row>
    <row r="346" spans="1:8" hidden="1" x14ac:dyDescent="0.25">
      <c r="A346" t="s">
        <v>156</v>
      </c>
      <c r="B346" t="s">
        <v>2</v>
      </c>
      <c r="C346" s="38">
        <v>45073</v>
      </c>
      <c r="D346" t="s">
        <v>235</v>
      </c>
      <c r="E346" t="s">
        <v>201</v>
      </c>
      <c r="F346">
        <v>0.5</v>
      </c>
      <c r="G346">
        <v>0</v>
      </c>
      <c r="H346" t="s">
        <v>24</v>
      </c>
    </row>
    <row r="347" spans="1:8" hidden="1" x14ac:dyDescent="0.25">
      <c r="A347" t="s">
        <v>243</v>
      </c>
      <c r="B347" t="s">
        <v>4</v>
      </c>
      <c r="C347" s="38">
        <v>45073</v>
      </c>
      <c r="D347" t="s">
        <v>235</v>
      </c>
      <c r="E347" t="s">
        <v>204</v>
      </c>
      <c r="F347">
        <v>0</v>
      </c>
      <c r="G347">
        <v>0</v>
      </c>
      <c r="H347" t="s">
        <v>24</v>
      </c>
    </row>
    <row r="348" spans="1:8" hidden="1" x14ac:dyDescent="0.25">
      <c r="A348" t="s">
        <v>181</v>
      </c>
      <c r="B348" t="s">
        <v>2</v>
      </c>
      <c r="C348" s="38">
        <v>45073</v>
      </c>
      <c r="D348" t="s">
        <v>235</v>
      </c>
      <c r="E348" t="s">
        <v>201</v>
      </c>
      <c r="F348">
        <v>0.5</v>
      </c>
      <c r="G348">
        <v>0</v>
      </c>
      <c r="H348" t="s">
        <v>24</v>
      </c>
    </row>
    <row r="349" spans="1:8" hidden="1" x14ac:dyDescent="0.25">
      <c r="A349" t="s">
        <v>250</v>
      </c>
      <c r="B349" t="s">
        <v>4</v>
      </c>
      <c r="C349" s="38">
        <v>45073</v>
      </c>
      <c r="D349" t="s">
        <v>235</v>
      </c>
      <c r="E349" t="s">
        <v>204</v>
      </c>
      <c r="F349">
        <v>0</v>
      </c>
      <c r="G349">
        <v>0</v>
      </c>
      <c r="H349" t="s">
        <v>24</v>
      </c>
    </row>
    <row r="350" spans="1:8" hidden="1" x14ac:dyDescent="0.25">
      <c r="A350" t="s">
        <v>181</v>
      </c>
      <c r="B350" t="s">
        <v>2</v>
      </c>
      <c r="C350" s="38">
        <v>45073</v>
      </c>
      <c r="D350" t="s">
        <v>236</v>
      </c>
      <c r="E350" t="s">
        <v>205</v>
      </c>
      <c r="F350">
        <v>7.5</v>
      </c>
      <c r="G350">
        <v>0</v>
      </c>
      <c r="H350" t="s">
        <v>24</v>
      </c>
    </row>
    <row r="351" spans="1:8" hidden="1" x14ac:dyDescent="0.25">
      <c r="A351" t="s">
        <v>249</v>
      </c>
      <c r="B351" t="s">
        <v>2</v>
      </c>
      <c r="C351" s="38">
        <v>45073</v>
      </c>
      <c r="D351" t="s">
        <v>235</v>
      </c>
      <c r="E351" t="s">
        <v>204</v>
      </c>
      <c r="F351">
        <v>0</v>
      </c>
      <c r="G351">
        <v>0</v>
      </c>
      <c r="H351" t="s">
        <v>24</v>
      </c>
    </row>
    <row r="352" spans="1:8" hidden="1" x14ac:dyDescent="0.25">
      <c r="A352" t="s">
        <v>242</v>
      </c>
      <c r="B352" t="s">
        <v>2</v>
      </c>
      <c r="C352" s="38">
        <v>45073</v>
      </c>
      <c r="D352" t="s">
        <v>236</v>
      </c>
      <c r="E352" t="s">
        <v>204</v>
      </c>
      <c r="F352">
        <v>0</v>
      </c>
      <c r="G352">
        <v>0</v>
      </c>
      <c r="H352" t="s">
        <v>24</v>
      </c>
    </row>
    <row r="353" spans="1:8" hidden="1" x14ac:dyDescent="0.25">
      <c r="A353" t="s">
        <v>156</v>
      </c>
      <c r="B353" t="s">
        <v>2</v>
      </c>
      <c r="C353" s="38">
        <v>45073</v>
      </c>
      <c r="D353" t="s">
        <v>236</v>
      </c>
      <c r="E353" t="s">
        <v>205</v>
      </c>
      <c r="F353">
        <v>7.5</v>
      </c>
      <c r="G353">
        <v>0</v>
      </c>
      <c r="H353" t="s">
        <v>24</v>
      </c>
    </row>
    <row r="354" spans="1:8" hidden="1" x14ac:dyDescent="0.25">
      <c r="A354" t="s">
        <v>175</v>
      </c>
      <c r="B354" t="s">
        <v>2</v>
      </c>
      <c r="C354" s="38">
        <v>45073</v>
      </c>
      <c r="D354" t="s">
        <v>235</v>
      </c>
      <c r="E354" t="s">
        <v>201</v>
      </c>
      <c r="F354">
        <v>0.5</v>
      </c>
      <c r="G354">
        <v>0</v>
      </c>
      <c r="H354" t="s">
        <v>24</v>
      </c>
    </row>
    <row r="355" spans="1:8" hidden="1" x14ac:dyDescent="0.25">
      <c r="A355" t="s">
        <v>175</v>
      </c>
      <c r="B355" t="s">
        <v>2</v>
      </c>
      <c r="C355" s="38">
        <v>45073</v>
      </c>
      <c r="D355" t="s">
        <v>236</v>
      </c>
      <c r="E355" t="s">
        <v>205</v>
      </c>
      <c r="F355">
        <v>7.5</v>
      </c>
      <c r="G355">
        <v>0</v>
      </c>
      <c r="H355" t="s">
        <v>24</v>
      </c>
    </row>
    <row r="356" spans="1:8" hidden="1" x14ac:dyDescent="0.25">
      <c r="A356" t="s">
        <v>203</v>
      </c>
      <c r="B356" t="s">
        <v>4</v>
      </c>
      <c r="C356" s="38">
        <v>45073</v>
      </c>
      <c r="D356" t="s">
        <v>235</v>
      </c>
      <c r="E356" t="s">
        <v>201</v>
      </c>
      <c r="F356">
        <v>0.5</v>
      </c>
      <c r="G356">
        <v>0</v>
      </c>
      <c r="H356" t="s">
        <v>24</v>
      </c>
    </row>
    <row r="357" spans="1:8" hidden="1" x14ac:dyDescent="0.25">
      <c r="A357" t="s">
        <v>177</v>
      </c>
      <c r="B357" t="s">
        <v>2</v>
      </c>
      <c r="C357" s="38">
        <v>45073</v>
      </c>
      <c r="D357" t="s">
        <v>236</v>
      </c>
      <c r="E357" t="s">
        <v>205</v>
      </c>
      <c r="F357">
        <v>7.5</v>
      </c>
      <c r="G357">
        <v>0.5</v>
      </c>
      <c r="H357" t="s">
        <v>24</v>
      </c>
    </row>
    <row r="358" spans="1:8" hidden="1" x14ac:dyDescent="0.25">
      <c r="A358" t="s">
        <v>176</v>
      </c>
      <c r="B358" t="s">
        <v>2</v>
      </c>
      <c r="C358" s="38">
        <v>45073</v>
      </c>
      <c r="D358" t="s">
        <v>235</v>
      </c>
      <c r="E358" t="s">
        <v>205</v>
      </c>
      <c r="F358">
        <v>7</v>
      </c>
      <c r="G358">
        <v>1</v>
      </c>
      <c r="H358" t="s">
        <v>24</v>
      </c>
    </row>
    <row r="359" spans="1:8" hidden="1" x14ac:dyDescent="0.25">
      <c r="A359" t="s">
        <v>179</v>
      </c>
      <c r="B359" t="s">
        <v>2</v>
      </c>
      <c r="C359" s="38">
        <v>45073</v>
      </c>
      <c r="D359" t="s">
        <v>240</v>
      </c>
      <c r="E359" t="s">
        <v>205</v>
      </c>
      <c r="F359">
        <v>7.3</v>
      </c>
      <c r="G359">
        <v>0.5</v>
      </c>
      <c r="H359" t="s">
        <v>24</v>
      </c>
    </row>
    <row r="360" spans="1:8" hidden="1" x14ac:dyDescent="0.25">
      <c r="A360" t="s">
        <v>179</v>
      </c>
      <c r="B360" t="s">
        <v>2</v>
      </c>
      <c r="C360" s="38">
        <v>45073</v>
      </c>
      <c r="D360" t="s">
        <v>236</v>
      </c>
      <c r="E360" t="s">
        <v>201</v>
      </c>
      <c r="F360">
        <v>0.2</v>
      </c>
      <c r="G360">
        <v>0.5</v>
      </c>
      <c r="H360" t="s">
        <v>24</v>
      </c>
    </row>
    <row r="361" spans="1:8" hidden="1" x14ac:dyDescent="0.25">
      <c r="A361" t="s">
        <v>152</v>
      </c>
      <c r="B361" t="s">
        <v>2</v>
      </c>
      <c r="C361" s="38">
        <v>45073</v>
      </c>
      <c r="D361" t="s">
        <v>236</v>
      </c>
      <c r="E361" t="s">
        <v>204</v>
      </c>
      <c r="F361">
        <v>0</v>
      </c>
      <c r="G361">
        <v>0</v>
      </c>
      <c r="H361" t="s">
        <v>24</v>
      </c>
    </row>
    <row r="362" spans="1:8" hidden="1" x14ac:dyDescent="0.25">
      <c r="A362" t="s">
        <v>203</v>
      </c>
      <c r="B362" t="s">
        <v>4</v>
      </c>
      <c r="C362" s="38">
        <v>45073</v>
      </c>
      <c r="D362" t="s">
        <v>236</v>
      </c>
      <c r="E362" t="s">
        <v>201</v>
      </c>
      <c r="F362">
        <v>7.5</v>
      </c>
      <c r="G362">
        <v>0</v>
      </c>
      <c r="H362" t="s">
        <v>24</v>
      </c>
    </row>
    <row r="363" spans="1:8" hidden="1" x14ac:dyDescent="0.25">
      <c r="A363" t="s">
        <v>241</v>
      </c>
      <c r="B363" t="s">
        <v>2</v>
      </c>
      <c r="C363" s="38">
        <v>45073</v>
      </c>
      <c r="D363" t="s">
        <v>236</v>
      </c>
      <c r="E363" t="s">
        <v>204</v>
      </c>
      <c r="F363">
        <v>0</v>
      </c>
      <c r="G363">
        <v>0</v>
      </c>
      <c r="H363" t="s">
        <v>24</v>
      </c>
    </row>
    <row r="364" spans="1:8" hidden="1" x14ac:dyDescent="0.25">
      <c r="A364" t="s">
        <v>157</v>
      </c>
      <c r="B364" t="s">
        <v>2</v>
      </c>
      <c r="C364" s="38">
        <v>45073</v>
      </c>
      <c r="D364" t="s">
        <v>236</v>
      </c>
      <c r="E364" t="s">
        <v>205</v>
      </c>
      <c r="F364">
        <v>7.5</v>
      </c>
      <c r="G364">
        <v>0.5</v>
      </c>
      <c r="H364" t="s">
        <v>24</v>
      </c>
    </row>
    <row r="365" spans="1:8" hidden="1" x14ac:dyDescent="0.25">
      <c r="A365" t="s">
        <v>141</v>
      </c>
      <c r="B365" t="s">
        <v>4</v>
      </c>
      <c r="C365" s="38">
        <v>45073</v>
      </c>
      <c r="D365" t="s">
        <v>235</v>
      </c>
      <c r="E365" t="s">
        <v>201</v>
      </c>
      <c r="F365">
        <v>7.8</v>
      </c>
      <c r="G365">
        <v>0</v>
      </c>
      <c r="H365" t="s">
        <v>24</v>
      </c>
    </row>
    <row r="366" spans="1:8" hidden="1" x14ac:dyDescent="0.25">
      <c r="A366" t="s">
        <v>173</v>
      </c>
      <c r="B366" t="s">
        <v>2</v>
      </c>
      <c r="C366" s="38">
        <v>45073</v>
      </c>
      <c r="D366" t="s">
        <v>236</v>
      </c>
      <c r="E366" t="s">
        <v>205</v>
      </c>
      <c r="F366">
        <v>6</v>
      </c>
      <c r="G366">
        <v>1.9</v>
      </c>
      <c r="H366" t="s">
        <v>24</v>
      </c>
    </row>
    <row r="367" spans="1:8" hidden="1" x14ac:dyDescent="0.25">
      <c r="A367" t="s">
        <v>173</v>
      </c>
      <c r="B367" t="s">
        <v>2</v>
      </c>
      <c r="C367" s="38">
        <v>45073</v>
      </c>
      <c r="D367" t="s">
        <v>235</v>
      </c>
      <c r="E367" t="s">
        <v>204</v>
      </c>
      <c r="F367">
        <v>0</v>
      </c>
      <c r="G367">
        <v>0</v>
      </c>
      <c r="H367" t="s">
        <v>24</v>
      </c>
    </row>
    <row r="368" spans="1:8" hidden="1" x14ac:dyDescent="0.25">
      <c r="A368" t="s">
        <v>155</v>
      </c>
      <c r="B368" t="s">
        <v>2</v>
      </c>
      <c r="C368" s="38">
        <v>45073</v>
      </c>
      <c r="D368" t="s">
        <v>236</v>
      </c>
      <c r="E368" t="s">
        <v>204</v>
      </c>
      <c r="F368">
        <v>0</v>
      </c>
      <c r="G368">
        <v>0</v>
      </c>
      <c r="H368" t="s">
        <v>24</v>
      </c>
    </row>
    <row r="369" spans="1:8" hidden="1" x14ac:dyDescent="0.25">
      <c r="A369" t="s">
        <v>245</v>
      </c>
      <c r="B369" t="s">
        <v>2</v>
      </c>
      <c r="C369" s="38">
        <v>45073</v>
      </c>
      <c r="D369" t="s">
        <v>236</v>
      </c>
      <c r="E369" t="s">
        <v>204</v>
      </c>
      <c r="F369">
        <v>0</v>
      </c>
      <c r="G369">
        <v>0</v>
      </c>
      <c r="H369" t="s">
        <v>24</v>
      </c>
    </row>
    <row r="370" spans="1:8" hidden="1" x14ac:dyDescent="0.25">
      <c r="A370" t="s">
        <v>248</v>
      </c>
      <c r="B370" t="s">
        <v>4</v>
      </c>
      <c r="C370" s="38">
        <v>45073</v>
      </c>
      <c r="D370" t="s">
        <v>236</v>
      </c>
      <c r="E370" t="s">
        <v>204</v>
      </c>
      <c r="F370">
        <v>0</v>
      </c>
      <c r="G370">
        <v>0</v>
      </c>
      <c r="H370" t="s">
        <v>24</v>
      </c>
    </row>
    <row r="371" spans="1:8" hidden="1" x14ac:dyDescent="0.25">
      <c r="A371" t="s">
        <v>141</v>
      </c>
      <c r="B371" t="s">
        <v>4</v>
      </c>
      <c r="C371" s="38">
        <v>45073</v>
      </c>
      <c r="D371" t="s">
        <v>240</v>
      </c>
      <c r="E371" t="s">
        <v>205</v>
      </c>
      <c r="F371">
        <v>0.2</v>
      </c>
      <c r="G371">
        <v>0</v>
      </c>
      <c r="H371" t="s">
        <v>24</v>
      </c>
    </row>
    <row r="372" spans="1:8" hidden="1" x14ac:dyDescent="0.25">
      <c r="A372" t="s">
        <v>216</v>
      </c>
      <c r="B372" t="s">
        <v>2</v>
      </c>
      <c r="C372" s="38">
        <v>45074</v>
      </c>
      <c r="D372" t="s">
        <v>240</v>
      </c>
      <c r="E372" t="s">
        <v>201</v>
      </c>
      <c r="F372">
        <v>0.2</v>
      </c>
      <c r="G372">
        <v>0</v>
      </c>
      <c r="H372" t="s">
        <v>24</v>
      </c>
    </row>
    <row r="373" spans="1:8" hidden="1" x14ac:dyDescent="0.25">
      <c r="A373" t="s">
        <v>199</v>
      </c>
      <c r="B373" t="s">
        <v>4</v>
      </c>
      <c r="C373" s="38">
        <v>45074</v>
      </c>
      <c r="D373" t="s">
        <v>240</v>
      </c>
      <c r="E373" t="s">
        <v>201</v>
      </c>
      <c r="F373">
        <v>0.2</v>
      </c>
      <c r="G373">
        <v>0</v>
      </c>
      <c r="H373" t="s">
        <v>24</v>
      </c>
    </row>
    <row r="374" spans="1:8" hidden="1" x14ac:dyDescent="0.25">
      <c r="A374" t="s">
        <v>215</v>
      </c>
      <c r="B374" t="s">
        <v>2</v>
      </c>
      <c r="C374" s="38">
        <v>45074</v>
      </c>
      <c r="D374" t="s">
        <v>235</v>
      </c>
      <c r="E374" t="s">
        <v>201</v>
      </c>
      <c r="F374">
        <v>7.8</v>
      </c>
      <c r="G374">
        <v>0</v>
      </c>
      <c r="H374" t="s">
        <v>24</v>
      </c>
    </row>
    <row r="375" spans="1:8" hidden="1" x14ac:dyDescent="0.25">
      <c r="A375" t="s">
        <v>199</v>
      </c>
      <c r="B375" t="s">
        <v>4</v>
      </c>
      <c r="C375" s="38">
        <v>45074</v>
      </c>
      <c r="D375" t="s">
        <v>235</v>
      </c>
      <c r="E375" t="s">
        <v>205</v>
      </c>
      <c r="F375">
        <v>7.8</v>
      </c>
      <c r="G375">
        <v>0</v>
      </c>
      <c r="H375" t="s">
        <v>24</v>
      </c>
    </row>
    <row r="376" spans="1:8" hidden="1" x14ac:dyDescent="0.25">
      <c r="A376" t="s">
        <v>216</v>
      </c>
      <c r="B376" t="s">
        <v>2</v>
      </c>
      <c r="C376" s="38">
        <v>45074</v>
      </c>
      <c r="D376" t="s">
        <v>235</v>
      </c>
      <c r="E376" t="s">
        <v>201</v>
      </c>
      <c r="F376">
        <v>7.8</v>
      </c>
      <c r="G376">
        <v>0</v>
      </c>
      <c r="H376" t="s">
        <v>24</v>
      </c>
    </row>
    <row r="377" spans="1:8" hidden="1" x14ac:dyDescent="0.25">
      <c r="A377" t="s">
        <v>187</v>
      </c>
      <c r="B377" t="s">
        <v>2</v>
      </c>
      <c r="C377" s="38">
        <v>45074</v>
      </c>
      <c r="D377" t="s">
        <v>240</v>
      </c>
      <c r="E377" t="s">
        <v>205</v>
      </c>
      <c r="F377">
        <v>7.3</v>
      </c>
      <c r="G377">
        <v>0.7</v>
      </c>
      <c r="H377" t="s">
        <v>24</v>
      </c>
    </row>
    <row r="378" spans="1:8" hidden="1" x14ac:dyDescent="0.25">
      <c r="A378" t="s">
        <v>241</v>
      </c>
      <c r="B378" t="s">
        <v>2</v>
      </c>
      <c r="C378" s="38">
        <v>45074</v>
      </c>
      <c r="D378" t="s">
        <v>236</v>
      </c>
      <c r="E378" t="s">
        <v>204</v>
      </c>
      <c r="F378">
        <v>0</v>
      </c>
      <c r="G378">
        <v>0</v>
      </c>
      <c r="H378" t="s">
        <v>24</v>
      </c>
    </row>
    <row r="379" spans="1:8" hidden="1" x14ac:dyDescent="0.25">
      <c r="A379" t="s">
        <v>244</v>
      </c>
      <c r="B379" t="s">
        <v>2</v>
      </c>
      <c r="C379" s="38">
        <v>45074</v>
      </c>
      <c r="D379" t="s">
        <v>236</v>
      </c>
      <c r="E379" t="s">
        <v>204</v>
      </c>
      <c r="F379">
        <v>0</v>
      </c>
      <c r="G379">
        <v>0</v>
      </c>
      <c r="H379" t="s">
        <v>24</v>
      </c>
    </row>
    <row r="380" spans="1:8" hidden="1" x14ac:dyDescent="0.25">
      <c r="A380" t="s">
        <v>244</v>
      </c>
      <c r="B380" t="s">
        <v>2</v>
      </c>
      <c r="C380" s="38">
        <v>45074</v>
      </c>
      <c r="D380" t="s">
        <v>235</v>
      </c>
      <c r="E380" t="s">
        <v>204</v>
      </c>
      <c r="F380">
        <v>0</v>
      </c>
      <c r="G380">
        <v>0</v>
      </c>
      <c r="H380" t="s">
        <v>24</v>
      </c>
    </row>
    <row r="381" spans="1:8" hidden="1" x14ac:dyDescent="0.25">
      <c r="A381" t="s">
        <v>152</v>
      </c>
      <c r="B381" t="s">
        <v>2</v>
      </c>
      <c r="C381" s="38">
        <v>45074</v>
      </c>
      <c r="D381" t="s">
        <v>235</v>
      </c>
      <c r="E381" t="s">
        <v>204</v>
      </c>
      <c r="F381">
        <v>0</v>
      </c>
      <c r="G381">
        <v>0</v>
      </c>
      <c r="H381" t="s">
        <v>24</v>
      </c>
    </row>
    <row r="382" spans="1:8" hidden="1" x14ac:dyDescent="0.25">
      <c r="A382" t="s">
        <v>215</v>
      </c>
      <c r="B382" t="s">
        <v>2</v>
      </c>
      <c r="C382" s="38">
        <v>45074</v>
      </c>
      <c r="D382" t="s">
        <v>240</v>
      </c>
      <c r="E382" t="s">
        <v>201</v>
      </c>
      <c r="F382">
        <v>0.2</v>
      </c>
      <c r="G382">
        <v>0</v>
      </c>
      <c r="H382" t="s">
        <v>24</v>
      </c>
    </row>
    <row r="383" spans="1:8" hidden="1" x14ac:dyDescent="0.25">
      <c r="A383" t="s">
        <v>249</v>
      </c>
      <c r="B383" t="s">
        <v>2</v>
      </c>
      <c r="C383" s="38">
        <v>45074</v>
      </c>
      <c r="D383" t="s">
        <v>235</v>
      </c>
      <c r="E383" t="s">
        <v>204</v>
      </c>
      <c r="F383">
        <v>0</v>
      </c>
      <c r="G383">
        <v>0</v>
      </c>
      <c r="H383" t="s">
        <v>24</v>
      </c>
    </row>
    <row r="384" spans="1:8" hidden="1" x14ac:dyDescent="0.25">
      <c r="A384" t="s">
        <v>250</v>
      </c>
      <c r="B384" t="s">
        <v>4</v>
      </c>
      <c r="C384" s="38">
        <v>45074</v>
      </c>
      <c r="D384" t="s">
        <v>235</v>
      </c>
      <c r="E384" t="s">
        <v>204</v>
      </c>
      <c r="F384">
        <v>0</v>
      </c>
      <c r="G384">
        <v>0</v>
      </c>
      <c r="H384" t="s">
        <v>24</v>
      </c>
    </row>
    <row r="385" spans="1:8" hidden="1" x14ac:dyDescent="0.25">
      <c r="A385" t="s">
        <v>194</v>
      </c>
      <c r="B385" t="s">
        <v>2</v>
      </c>
      <c r="C385" s="38">
        <v>45074</v>
      </c>
      <c r="D385" t="s">
        <v>236</v>
      </c>
      <c r="E385" t="s">
        <v>205</v>
      </c>
      <c r="F385">
        <v>7.5</v>
      </c>
      <c r="G385">
        <v>0.5</v>
      </c>
      <c r="H385" t="s">
        <v>24</v>
      </c>
    </row>
    <row r="386" spans="1:8" hidden="1" x14ac:dyDescent="0.25">
      <c r="A386" t="s">
        <v>195</v>
      </c>
      <c r="B386" t="s">
        <v>2</v>
      </c>
      <c r="C386" s="38">
        <v>45074</v>
      </c>
      <c r="D386" t="s">
        <v>235</v>
      </c>
      <c r="E386" t="s">
        <v>205</v>
      </c>
      <c r="F386">
        <v>7.8</v>
      </c>
      <c r="G386">
        <v>0</v>
      </c>
      <c r="H386" t="s">
        <v>24</v>
      </c>
    </row>
    <row r="387" spans="1:8" hidden="1" x14ac:dyDescent="0.25">
      <c r="A387" t="s">
        <v>180</v>
      </c>
      <c r="B387" t="s">
        <v>2</v>
      </c>
      <c r="C387" s="38">
        <v>45074</v>
      </c>
      <c r="D387" t="s">
        <v>235</v>
      </c>
      <c r="E387" t="s">
        <v>205</v>
      </c>
      <c r="F387">
        <v>7</v>
      </c>
      <c r="G387">
        <v>1</v>
      </c>
      <c r="H387" t="s">
        <v>24</v>
      </c>
    </row>
    <row r="388" spans="1:8" hidden="1" x14ac:dyDescent="0.25">
      <c r="A388" t="s">
        <v>195</v>
      </c>
      <c r="B388" t="s">
        <v>2</v>
      </c>
      <c r="C388" s="38">
        <v>45074</v>
      </c>
      <c r="D388" t="s">
        <v>240</v>
      </c>
      <c r="E388" t="s">
        <v>201</v>
      </c>
      <c r="F388">
        <v>0.2</v>
      </c>
      <c r="G388">
        <v>0</v>
      </c>
      <c r="H388" t="s">
        <v>24</v>
      </c>
    </row>
    <row r="389" spans="1:8" hidden="1" x14ac:dyDescent="0.25">
      <c r="A389" t="s">
        <v>171</v>
      </c>
      <c r="B389" t="s">
        <v>2</v>
      </c>
      <c r="C389" s="38">
        <v>45074</v>
      </c>
      <c r="D389" t="s">
        <v>236</v>
      </c>
      <c r="E389" t="s">
        <v>201</v>
      </c>
      <c r="F389">
        <v>7.5</v>
      </c>
      <c r="G389">
        <v>0.5</v>
      </c>
      <c r="H389" t="s">
        <v>24</v>
      </c>
    </row>
    <row r="390" spans="1:8" hidden="1" x14ac:dyDescent="0.25">
      <c r="A390" t="s">
        <v>248</v>
      </c>
      <c r="B390" t="s">
        <v>4</v>
      </c>
      <c r="C390" s="38">
        <v>45074</v>
      </c>
      <c r="D390" t="s">
        <v>236</v>
      </c>
      <c r="E390" t="s">
        <v>204</v>
      </c>
      <c r="F390">
        <v>0</v>
      </c>
      <c r="G390">
        <v>0</v>
      </c>
      <c r="H390" t="s">
        <v>24</v>
      </c>
    </row>
    <row r="391" spans="1:8" hidden="1" x14ac:dyDescent="0.25">
      <c r="A391" t="s">
        <v>155</v>
      </c>
      <c r="B391" t="s">
        <v>2</v>
      </c>
      <c r="C391" s="38">
        <v>45074</v>
      </c>
      <c r="D391" t="s">
        <v>236</v>
      </c>
      <c r="E391" t="s">
        <v>204</v>
      </c>
      <c r="F391">
        <v>0</v>
      </c>
      <c r="G391">
        <v>0</v>
      </c>
      <c r="H391" t="s">
        <v>24</v>
      </c>
    </row>
    <row r="392" spans="1:8" hidden="1" x14ac:dyDescent="0.25">
      <c r="A392" t="s">
        <v>185</v>
      </c>
      <c r="B392" t="s">
        <v>2</v>
      </c>
      <c r="C392" s="38">
        <v>45074</v>
      </c>
      <c r="D392" t="s">
        <v>236</v>
      </c>
      <c r="E392" t="s">
        <v>205</v>
      </c>
      <c r="F392">
        <v>7.5</v>
      </c>
      <c r="G392">
        <v>0.5</v>
      </c>
      <c r="H392" t="s">
        <v>24</v>
      </c>
    </row>
    <row r="393" spans="1:8" hidden="1" x14ac:dyDescent="0.25">
      <c r="A393" t="s">
        <v>189</v>
      </c>
      <c r="B393" t="s">
        <v>2</v>
      </c>
      <c r="C393" s="38">
        <v>45074</v>
      </c>
      <c r="D393" t="s">
        <v>236</v>
      </c>
      <c r="E393" t="s">
        <v>201</v>
      </c>
      <c r="F393">
        <v>0.2</v>
      </c>
      <c r="G393">
        <v>0.5</v>
      </c>
      <c r="H393" t="s">
        <v>24</v>
      </c>
    </row>
    <row r="394" spans="1:8" hidden="1" x14ac:dyDescent="0.25">
      <c r="A394" t="s">
        <v>173</v>
      </c>
      <c r="B394" t="s">
        <v>2</v>
      </c>
      <c r="C394" s="38">
        <v>45074</v>
      </c>
      <c r="D394" t="s">
        <v>235</v>
      </c>
      <c r="E394" t="s">
        <v>204</v>
      </c>
      <c r="F394">
        <v>0</v>
      </c>
      <c r="G394">
        <v>0</v>
      </c>
      <c r="H394" t="s">
        <v>24</v>
      </c>
    </row>
    <row r="395" spans="1:8" hidden="1" x14ac:dyDescent="0.25">
      <c r="A395" t="s">
        <v>152</v>
      </c>
      <c r="B395" t="s">
        <v>2</v>
      </c>
      <c r="C395" s="38">
        <v>45074</v>
      </c>
      <c r="D395" t="s">
        <v>236</v>
      </c>
      <c r="E395" t="s">
        <v>204</v>
      </c>
      <c r="F395">
        <v>0</v>
      </c>
      <c r="G395">
        <v>0</v>
      </c>
      <c r="H395" t="s">
        <v>24</v>
      </c>
    </row>
    <row r="396" spans="1:8" hidden="1" x14ac:dyDescent="0.25">
      <c r="A396" t="s">
        <v>152</v>
      </c>
      <c r="B396" t="s">
        <v>2</v>
      </c>
      <c r="C396" s="38">
        <v>45074</v>
      </c>
      <c r="D396" t="s">
        <v>240</v>
      </c>
      <c r="E396" t="s">
        <v>204</v>
      </c>
      <c r="F396">
        <v>0</v>
      </c>
      <c r="G396">
        <v>0</v>
      </c>
      <c r="H396" t="s">
        <v>24</v>
      </c>
    </row>
    <row r="397" spans="1:8" hidden="1" x14ac:dyDescent="0.25">
      <c r="A397" t="s">
        <v>245</v>
      </c>
      <c r="B397" t="s">
        <v>2</v>
      </c>
      <c r="C397" s="38">
        <v>45074</v>
      </c>
      <c r="D397" t="s">
        <v>235</v>
      </c>
      <c r="E397" t="s">
        <v>204</v>
      </c>
      <c r="F397">
        <v>0</v>
      </c>
      <c r="G397">
        <v>0</v>
      </c>
      <c r="H397" t="s">
        <v>24</v>
      </c>
    </row>
    <row r="398" spans="1:8" hidden="1" x14ac:dyDescent="0.25">
      <c r="A398" t="s">
        <v>245</v>
      </c>
      <c r="B398" t="s">
        <v>2</v>
      </c>
      <c r="C398" s="38">
        <v>45074</v>
      </c>
      <c r="D398" t="s">
        <v>236</v>
      </c>
      <c r="E398" t="s">
        <v>204</v>
      </c>
      <c r="F398">
        <v>0</v>
      </c>
      <c r="G398">
        <v>0</v>
      </c>
      <c r="H398" t="s">
        <v>24</v>
      </c>
    </row>
    <row r="399" spans="1:8" hidden="1" x14ac:dyDescent="0.25">
      <c r="A399" t="s">
        <v>189</v>
      </c>
      <c r="B399" t="s">
        <v>2</v>
      </c>
      <c r="C399" s="38">
        <v>45074</v>
      </c>
      <c r="D399" t="s">
        <v>240</v>
      </c>
      <c r="E399" t="s">
        <v>205</v>
      </c>
      <c r="F399">
        <v>7.3</v>
      </c>
      <c r="G399">
        <v>0.5</v>
      </c>
      <c r="H399" t="s">
        <v>24</v>
      </c>
    </row>
    <row r="400" spans="1:8" hidden="1" x14ac:dyDescent="0.25">
      <c r="A400" t="s">
        <v>188</v>
      </c>
      <c r="B400" t="s">
        <v>2</v>
      </c>
      <c r="C400" s="38">
        <v>45074</v>
      </c>
      <c r="D400" t="s">
        <v>236</v>
      </c>
      <c r="E400" t="s">
        <v>201</v>
      </c>
      <c r="F400">
        <v>0.2</v>
      </c>
      <c r="G400">
        <v>0.5</v>
      </c>
      <c r="H400" t="s">
        <v>24</v>
      </c>
    </row>
    <row r="401" spans="1:8" hidden="1" x14ac:dyDescent="0.25">
      <c r="A401" t="s">
        <v>188</v>
      </c>
      <c r="B401" t="s">
        <v>2</v>
      </c>
      <c r="C401" s="38">
        <v>45074</v>
      </c>
      <c r="D401" t="s">
        <v>240</v>
      </c>
      <c r="E401" t="s">
        <v>201</v>
      </c>
      <c r="F401">
        <v>7.3</v>
      </c>
      <c r="G401">
        <v>0.5</v>
      </c>
      <c r="H401" t="s">
        <v>24</v>
      </c>
    </row>
    <row r="402" spans="1:8" hidden="1" x14ac:dyDescent="0.25">
      <c r="A402" t="s">
        <v>147</v>
      </c>
      <c r="B402" t="s">
        <v>4</v>
      </c>
      <c r="C402" s="38">
        <v>45074</v>
      </c>
      <c r="D402" t="s">
        <v>235</v>
      </c>
      <c r="E402" t="s">
        <v>201</v>
      </c>
      <c r="F402">
        <v>0.5</v>
      </c>
      <c r="G402">
        <v>0</v>
      </c>
      <c r="H402" t="s">
        <v>24</v>
      </c>
    </row>
    <row r="403" spans="1:8" hidden="1" x14ac:dyDescent="0.25">
      <c r="A403" t="s">
        <v>141</v>
      </c>
      <c r="B403" t="s">
        <v>4</v>
      </c>
      <c r="C403" s="38">
        <v>45074</v>
      </c>
      <c r="D403" t="s">
        <v>240</v>
      </c>
      <c r="E403" t="s">
        <v>205</v>
      </c>
      <c r="F403">
        <v>0.2</v>
      </c>
      <c r="G403">
        <v>0</v>
      </c>
      <c r="H403" t="s">
        <v>24</v>
      </c>
    </row>
    <row r="404" spans="1:8" hidden="1" x14ac:dyDescent="0.25">
      <c r="A404" t="s">
        <v>147</v>
      </c>
      <c r="B404" t="s">
        <v>4</v>
      </c>
      <c r="C404" s="38">
        <v>45074</v>
      </c>
      <c r="D404" t="s">
        <v>236</v>
      </c>
      <c r="E404" t="s">
        <v>205</v>
      </c>
      <c r="F404">
        <v>7.5</v>
      </c>
      <c r="G404">
        <v>0</v>
      </c>
      <c r="H404" t="s">
        <v>24</v>
      </c>
    </row>
    <row r="405" spans="1:8" hidden="1" x14ac:dyDescent="0.25">
      <c r="A405" t="s">
        <v>177</v>
      </c>
      <c r="B405" t="s">
        <v>2</v>
      </c>
      <c r="C405" s="38">
        <v>45074</v>
      </c>
      <c r="D405" t="s">
        <v>236</v>
      </c>
      <c r="E405" t="s">
        <v>205</v>
      </c>
      <c r="F405">
        <v>7.5</v>
      </c>
      <c r="G405">
        <v>0.5</v>
      </c>
      <c r="H405" t="s">
        <v>24</v>
      </c>
    </row>
    <row r="406" spans="1:8" hidden="1" x14ac:dyDescent="0.25">
      <c r="A406" t="s">
        <v>168</v>
      </c>
      <c r="B406" t="s">
        <v>2</v>
      </c>
      <c r="C406" s="38">
        <v>45074</v>
      </c>
      <c r="D406" t="s">
        <v>240</v>
      </c>
      <c r="E406" t="s">
        <v>205</v>
      </c>
      <c r="F406">
        <v>7.3</v>
      </c>
      <c r="G406">
        <v>0.5</v>
      </c>
      <c r="H406" t="s">
        <v>24</v>
      </c>
    </row>
    <row r="407" spans="1:8" hidden="1" x14ac:dyDescent="0.25">
      <c r="A407" t="s">
        <v>3</v>
      </c>
      <c r="B407" t="s">
        <v>2</v>
      </c>
      <c r="C407" s="38">
        <v>45074</v>
      </c>
      <c r="D407" t="s">
        <v>236</v>
      </c>
      <c r="E407" t="s">
        <v>205</v>
      </c>
      <c r="F407">
        <v>7.5</v>
      </c>
      <c r="G407">
        <v>0</v>
      </c>
      <c r="H407" t="s">
        <v>24</v>
      </c>
    </row>
    <row r="408" spans="1:8" hidden="1" x14ac:dyDescent="0.25">
      <c r="A408" t="s">
        <v>186</v>
      </c>
      <c r="B408" t="s">
        <v>2</v>
      </c>
      <c r="C408" s="38">
        <v>45074</v>
      </c>
      <c r="D408" t="s">
        <v>235</v>
      </c>
      <c r="E408" t="s">
        <v>205</v>
      </c>
      <c r="F408">
        <v>7</v>
      </c>
      <c r="G408">
        <v>1</v>
      </c>
      <c r="H408" t="s">
        <v>24</v>
      </c>
    </row>
    <row r="409" spans="1:8" hidden="1" x14ac:dyDescent="0.25">
      <c r="A409" t="s">
        <v>202</v>
      </c>
      <c r="B409" t="s">
        <v>2</v>
      </c>
      <c r="C409" s="38">
        <v>45074</v>
      </c>
      <c r="D409" t="s">
        <v>236</v>
      </c>
      <c r="E409" t="s">
        <v>201</v>
      </c>
      <c r="F409">
        <v>7.5</v>
      </c>
      <c r="G409">
        <v>0.5</v>
      </c>
      <c r="H409" t="s">
        <v>24</v>
      </c>
    </row>
    <row r="410" spans="1:8" hidden="1" x14ac:dyDescent="0.25">
      <c r="A410" t="s">
        <v>144</v>
      </c>
      <c r="B410" t="s">
        <v>4</v>
      </c>
      <c r="C410" s="38">
        <v>45074</v>
      </c>
      <c r="D410" t="s">
        <v>236</v>
      </c>
      <c r="E410" t="s">
        <v>201</v>
      </c>
      <c r="F410">
        <v>0.5</v>
      </c>
      <c r="G410">
        <v>0.2</v>
      </c>
      <c r="H410" t="s">
        <v>24</v>
      </c>
    </row>
    <row r="411" spans="1:8" hidden="1" x14ac:dyDescent="0.25">
      <c r="A411" t="s">
        <v>144</v>
      </c>
      <c r="B411" t="s">
        <v>4</v>
      </c>
      <c r="C411" s="38">
        <v>45074</v>
      </c>
      <c r="D411" t="s">
        <v>240</v>
      </c>
      <c r="E411" t="s">
        <v>205</v>
      </c>
      <c r="F411">
        <v>7.3</v>
      </c>
      <c r="G411">
        <v>0.2</v>
      </c>
      <c r="H411" t="s">
        <v>24</v>
      </c>
    </row>
    <row r="412" spans="1:8" hidden="1" x14ac:dyDescent="0.25">
      <c r="A412" t="s">
        <v>167</v>
      </c>
      <c r="B412" t="s">
        <v>2</v>
      </c>
      <c r="C412" s="38">
        <v>45074</v>
      </c>
      <c r="D412" t="s">
        <v>235</v>
      </c>
      <c r="E412" t="s">
        <v>205</v>
      </c>
      <c r="F412">
        <v>7.8</v>
      </c>
      <c r="G412">
        <v>0</v>
      </c>
      <c r="H412" t="s">
        <v>24</v>
      </c>
    </row>
    <row r="413" spans="1:8" hidden="1" x14ac:dyDescent="0.25">
      <c r="A413" t="s">
        <v>173</v>
      </c>
      <c r="B413" t="s">
        <v>2</v>
      </c>
      <c r="C413" s="38">
        <v>45074</v>
      </c>
      <c r="D413" t="s">
        <v>236</v>
      </c>
      <c r="E413" t="s">
        <v>205</v>
      </c>
      <c r="F413">
        <v>6</v>
      </c>
      <c r="G413">
        <v>0</v>
      </c>
      <c r="H413" t="s">
        <v>24</v>
      </c>
    </row>
    <row r="414" spans="1:8" hidden="1" x14ac:dyDescent="0.25">
      <c r="A414" t="s">
        <v>167</v>
      </c>
      <c r="B414" t="s">
        <v>2</v>
      </c>
      <c r="C414" s="38">
        <v>45074</v>
      </c>
      <c r="D414" t="s">
        <v>240</v>
      </c>
      <c r="E414" t="s">
        <v>201</v>
      </c>
      <c r="F414">
        <v>0.2</v>
      </c>
      <c r="G414">
        <v>0</v>
      </c>
      <c r="H414" t="s">
        <v>24</v>
      </c>
    </row>
    <row r="415" spans="1:8" hidden="1" x14ac:dyDescent="0.25">
      <c r="A415" t="s">
        <v>176</v>
      </c>
      <c r="B415" t="s">
        <v>2</v>
      </c>
      <c r="C415" s="38">
        <v>45074</v>
      </c>
      <c r="D415" t="s">
        <v>235</v>
      </c>
      <c r="E415" t="s">
        <v>205</v>
      </c>
      <c r="F415">
        <v>7</v>
      </c>
      <c r="G415">
        <v>1</v>
      </c>
      <c r="H415" t="s">
        <v>24</v>
      </c>
    </row>
    <row r="416" spans="1:8" hidden="1" x14ac:dyDescent="0.25">
      <c r="A416" t="s">
        <v>141</v>
      </c>
      <c r="B416" t="s">
        <v>4</v>
      </c>
      <c r="C416" s="38">
        <v>45074</v>
      </c>
      <c r="D416" t="s">
        <v>235</v>
      </c>
      <c r="E416" t="s">
        <v>201</v>
      </c>
      <c r="F416">
        <v>7.8</v>
      </c>
      <c r="G416">
        <v>0</v>
      </c>
      <c r="H416" t="s">
        <v>24</v>
      </c>
    </row>
    <row r="417" spans="1:8" hidden="1" x14ac:dyDescent="0.25">
      <c r="A417" t="s">
        <v>175</v>
      </c>
      <c r="B417" t="s">
        <v>2</v>
      </c>
      <c r="C417" s="38">
        <v>45074</v>
      </c>
      <c r="D417" t="s">
        <v>235</v>
      </c>
      <c r="E417" t="s">
        <v>201</v>
      </c>
      <c r="F417">
        <v>0.5</v>
      </c>
      <c r="G417">
        <v>0</v>
      </c>
      <c r="H417" t="s">
        <v>24</v>
      </c>
    </row>
    <row r="418" spans="1:8" hidden="1" x14ac:dyDescent="0.25">
      <c r="A418" t="s">
        <v>157</v>
      </c>
      <c r="B418" t="s">
        <v>2</v>
      </c>
      <c r="C418" s="38">
        <v>45074</v>
      </c>
      <c r="D418" t="s">
        <v>236</v>
      </c>
      <c r="E418" t="s">
        <v>205</v>
      </c>
      <c r="F418">
        <v>7.5</v>
      </c>
      <c r="G418">
        <v>0.5</v>
      </c>
      <c r="H418" t="s">
        <v>24</v>
      </c>
    </row>
    <row r="419" spans="1:8" hidden="1" x14ac:dyDescent="0.25">
      <c r="A419" t="s">
        <v>175</v>
      </c>
      <c r="B419" t="s">
        <v>2</v>
      </c>
      <c r="C419" s="38">
        <v>45074</v>
      </c>
      <c r="D419" t="s">
        <v>236</v>
      </c>
      <c r="E419" t="s">
        <v>205</v>
      </c>
      <c r="F419">
        <v>7.5</v>
      </c>
      <c r="G419">
        <v>0</v>
      </c>
      <c r="H419" t="s">
        <v>24</v>
      </c>
    </row>
    <row r="420" spans="1:8" hidden="1" x14ac:dyDescent="0.25">
      <c r="A420" t="s">
        <v>168</v>
      </c>
      <c r="B420" t="s">
        <v>2</v>
      </c>
      <c r="C420" s="38">
        <v>45074</v>
      </c>
      <c r="D420" t="s">
        <v>236</v>
      </c>
      <c r="E420" t="s">
        <v>201</v>
      </c>
      <c r="F420">
        <v>0.2</v>
      </c>
      <c r="G420">
        <v>0.5</v>
      </c>
      <c r="H420" t="s">
        <v>24</v>
      </c>
    </row>
    <row r="421" spans="1:8" hidden="1" x14ac:dyDescent="0.25">
      <c r="A421" t="s">
        <v>210</v>
      </c>
      <c r="B421" t="s">
        <v>2</v>
      </c>
      <c r="C421" s="38">
        <v>45074</v>
      </c>
      <c r="D421" t="s">
        <v>240</v>
      </c>
      <c r="E421" t="s">
        <v>201</v>
      </c>
      <c r="F421">
        <v>0.2</v>
      </c>
      <c r="G421">
        <v>0</v>
      </c>
      <c r="H421" t="s">
        <v>24</v>
      </c>
    </row>
    <row r="422" spans="1:8" hidden="1" x14ac:dyDescent="0.25">
      <c r="A422" t="s">
        <v>210</v>
      </c>
      <c r="B422" t="s">
        <v>2</v>
      </c>
      <c r="C422" s="38">
        <v>45074</v>
      </c>
      <c r="D422" t="s">
        <v>235</v>
      </c>
      <c r="E422" t="s">
        <v>201</v>
      </c>
      <c r="F422">
        <v>7.8</v>
      </c>
      <c r="G422">
        <v>0</v>
      </c>
      <c r="H422" t="s">
        <v>24</v>
      </c>
    </row>
    <row r="423" spans="1:8" hidden="1" x14ac:dyDescent="0.25">
      <c r="A423" t="s">
        <v>203</v>
      </c>
      <c r="B423" t="s">
        <v>4</v>
      </c>
      <c r="C423" s="38">
        <v>45074</v>
      </c>
      <c r="D423" t="s">
        <v>236</v>
      </c>
      <c r="E423" t="s">
        <v>201</v>
      </c>
      <c r="F423">
        <v>7.5</v>
      </c>
      <c r="G423">
        <v>0</v>
      </c>
      <c r="H423" t="s">
        <v>24</v>
      </c>
    </row>
    <row r="424" spans="1:8" hidden="1" x14ac:dyDescent="0.25">
      <c r="A424" t="s">
        <v>203</v>
      </c>
      <c r="B424" t="s">
        <v>4</v>
      </c>
      <c r="C424" s="38">
        <v>45074</v>
      </c>
      <c r="D424" t="s">
        <v>235</v>
      </c>
      <c r="E424" t="s">
        <v>201</v>
      </c>
      <c r="F424">
        <v>0.5</v>
      </c>
      <c r="G424">
        <v>0</v>
      </c>
      <c r="H424" t="s">
        <v>24</v>
      </c>
    </row>
    <row r="425" spans="1:8" hidden="1" x14ac:dyDescent="0.25">
      <c r="A425" t="s">
        <v>151</v>
      </c>
      <c r="B425" t="s">
        <v>2</v>
      </c>
      <c r="C425" s="38">
        <v>45074</v>
      </c>
      <c r="D425" t="s">
        <v>235</v>
      </c>
      <c r="E425" t="s">
        <v>205</v>
      </c>
      <c r="F425">
        <v>7.8</v>
      </c>
      <c r="G425">
        <v>0</v>
      </c>
      <c r="H425" t="s">
        <v>24</v>
      </c>
    </row>
    <row r="426" spans="1:8" hidden="1" x14ac:dyDescent="0.25">
      <c r="A426" t="s">
        <v>181</v>
      </c>
      <c r="B426" t="s">
        <v>2</v>
      </c>
      <c r="C426" s="38">
        <v>45074</v>
      </c>
      <c r="D426" t="s">
        <v>236</v>
      </c>
      <c r="E426" t="s">
        <v>205</v>
      </c>
      <c r="F426">
        <v>7.5</v>
      </c>
      <c r="G426">
        <v>0</v>
      </c>
      <c r="H426" t="s">
        <v>24</v>
      </c>
    </row>
    <row r="427" spans="1:8" hidden="1" x14ac:dyDescent="0.25">
      <c r="A427" t="s">
        <v>179</v>
      </c>
      <c r="B427" t="s">
        <v>2</v>
      </c>
      <c r="C427" s="38">
        <v>45074</v>
      </c>
      <c r="D427" t="s">
        <v>236</v>
      </c>
      <c r="E427" t="s">
        <v>201</v>
      </c>
      <c r="F427">
        <v>0.2</v>
      </c>
      <c r="G427">
        <v>7.4</v>
      </c>
      <c r="H427" t="s">
        <v>24</v>
      </c>
    </row>
    <row r="428" spans="1:8" hidden="1" x14ac:dyDescent="0.25">
      <c r="A428" t="s">
        <v>151</v>
      </c>
      <c r="B428" t="s">
        <v>2</v>
      </c>
      <c r="C428" s="38">
        <v>45074</v>
      </c>
      <c r="D428" t="s">
        <v>240</v>
      </c>
      <c r="E428" t="s">
        <v>201</v>
      </c>
      <c r="F428">
        <v>0.2</v>
      </c>
      <c r="G428">
        <v>0</v>
      </c>
      <c r="H428" t="s">
        <v>24</v>
      </c>
    </row>
    <row r="429" spans="1:8" hidden="1" x14ac:dyDescent="0.25">
      <c r="A429" t="s">
        <v>181</v>
      </c>
      <c r="B429" t="s">
        <v>2</v>
      </c>
      <c r="C429" s="38">
        <v>45074</v>
      </c>
      <c r="D429" t="s">
        <v>235</v>
      </c>
      <c r="E429" t="s">
        <v>201</v>
      </c>
      <c r="F429">
        <v>0.5</v>
      </c>
      <c r="G429">
        <v>0</v>
      </c>
      <c r="H429" t="s">
        <v>24</v>
      </c>
    </row>
    <row r="430" spans="1:8" hidden="1" x14ac:dyDescent="0.25">
      <c r="A430" t="s">
        <v>156</v>
      </c>
      <c r="B430" t="s">
        <v>2</v>
      </c>
      <c r="C430" s="38">
        <v>45074</v>
      </c>
      <c r="D430" t="s">
        <v>236</v>
      </c>
      <c r="E430" t="s">
        <v>205</v>
      </c>
      <c r="F430">
        <v>7.5</v>
      </c>
      <c r="G430">
        <v>0</v>
      </c>
      <c r="H430" t="s">
        <v>24</v>
      </c>
    </row>
    <row r="431" spans="1:8" hidden="1" x14ac:dyDescent="0.25">
      <c r="A431" t="s">
        <v>156</v>
      </c>
      <c r="B431" t="s">
        <v>2</v>
      </c>
      <c r="C431" s="38">
        <v>45074</v>
      </c>
      <c r="D431" t="s">
        <v>235</v>
      </c>
      <c r="E431" t="s">
        <v>201</v>
      </c>
      <c r="F431">
        <v>0.5</v>
      </c>
      <c r="G431">
        <v>0</v>
      </c>
      <c r="H431" t="s">
        <v>24</v>
      </c>
    </row>
    <row r="432" spans="1:8" x14ac:dyDescent="0.25">
      <c r="A432" t="s">
        <v>5</v>
      </c>
      <c r="B432" t="s">
        <v>4</v>
      </c>
      <c r="C432" s="38">
        <v>45075</v>
      </c>
      <c r="D432" t="s">
        <v>235</v>
      </c>
      <c r="E432" t="s">
        <v>205</v>
      </c>
      <c r="F432">
        <v>0.5</v>
      </c>
      <c r="G432">
        <v>0</v>
      </c>
      <c r="H432" t="s">
        <v>24</v>
      </c>
    </row>
    <row r="433" spans="1:8" hidden="1" x14ac:dyDescent="0.25">
      <c r="A433" t="s">
        <v>154</v>
      </c>
      <c r="B433" t="s">
        <v>2</v>
      </c>
      <c r="C433" s="38">
        <v>45075</v>
      </c>
      <c r="D433" t="s">
        <v>235</v>
      </c>
      <c r="E433" t="s">
        <v>205</v>
      </c>
      <c r="F433">
        <v>7.8</v>
      </c>
      <c r="G433">
        <v>0</v>
      </c>
      <c r="H433" t="s">
        <v>24</v>
      </c>
    </row>
    <row r="434" spans="1:8" x14ac:dyDescent="0.25">
      <c r="A434" t="s">
        <v>5</v>
      </c>
      <c r="B434" t="s">
        <v>4</v>
      </c>
      <c r="C434" s="38">
        <v>45075</v>
      </c>
      <c r="D434" t="s">
        <v>236</v>
      </c>
      <c r="E434" t="s">
        <v>201</v>
      </c>
      <c r="F434">
        <v>7.5</v>
      </c>
      <c r="G434">
        <v>0</v>
      </c>
      <c r="H434" t="s">
        <v>24</v>
      </c>
    </row>
    <row r="435" spans="1:8" hidden="1" x14ac:dyDescent="0.25">
      <c r="A435" t="s">
        <v>178</v>
      </c>
      <c r="B435" t="s">
        <v>2</v>
      </c>
      <c r="C435" s="38">
        <v>45075</v>
      </c>
      <c r="D435" t="s">
        <v>235</v>
      </c>
      <c r="E435" t="s">
        <v>205</v>
      </c>
      <c r="F435">
        <v>7</v>
      </c>
      <c r="G435">
        <v>1</v>
      </c>
      <c r="H435" t="s">
        <v>24</v>
      </c>
    </row>
    <row r="436" spans="1:8" hidden="1" x14ac:dyDescent="0.25">
      <c r="A436" t="s">
        <v>158</v>
      </c>
      <c r="B436" t="s">
        <v>2</v>
      </c>
      <c r="C436" s="38">
        <v>45075</v>
      </c>
      <c r="D436" t="s">
        <v>240</v>
      </c>
      <c r="E436" t="s">
        <v>201</v>
      </c>
      <c r="F436">
        <v>0.2</v>
      </c>
      <c r="G436">
        <v>0</v>
      </c>
      <c r="H436" t="s">
        <v>24</v>
      </c>
    </row>
    <row r="437" spans="1:8" hidden="1" x14ac:dyDescent="0.25">
      <c r="A437" t="s">
        <v>158</v>
      </c>
      <c r="B437" t="s">
        <v>2</v>
      </c>
      <c r="C437" s="38">
        <v>45075</v>
      </c>
      <c r="D437" t="s">
        <v>235</v>
      </c>
      <c r="E437" t="s">
        <v>205</v>
      </c>
      <c r="F437">
        <v>7.8</v>
      </c>
      <c r="G437">
        <v>0</v>
      </c>
      <c r="H437" t="s">
        <v>24</v>
      </c>
    </row>
    <row r="438" spans="1:8" hidden="1" x14ac:dyDescent="0.25">
      <c r="A438" t="s">
        <v>185</v>
      </c>
      <c r="B438" t="s">
        <v>2</v>
      </c>
      <c r="C438" s="38">
        <v>45075</v>
      </c>
      <c r="D438" t="s">
        <v>236</v>
      </c>
      <c r="E438" t="s">
        <v>205</v>
      </c>
      <c r="F438">
        <v>7.5</v>
      </c>
      <c r="G438">
        <v>0.5</v>
      </c>
      <c r="H438" t="s">
        <v>24</v>
      </c>
    </row>
    <row r="439" spans="1:8" hidden="1" x14ac:dyDescent="0.25">
      <c r="A439" t="s">
        <v>150</v>
      </c>
      <c r="B439" t="s">
        <v>2</v>
      </c>
      <c r="C439" s="38">
        <v>45075</v>
      </c>
      <c r="D439" t="s">
        <v>235</v>
      </c>
      <c r="E439" t="s">
        <v>205</v>
      </c>
      <c r="F439">
        <v>7</v>
      </c>
      <c r="G439">
        <v>1</v>
      </c>
      <c r="H439" t="s">
        <v>24</v>
      </c>
    </row>
    <row r="440" spans="1:8" hidden="1" x14ac:dyDescent="0.25">
      <c r="A440" t="s">
        <v>154</v>
      </c>
      <c r="B440" t="s">
        <v>2</v>
      </c>
      <c r="C440" s="38">
        <v>45075</v>
      </c>
      <c r="D440" t="s">
        <v>240</v>
      </c>
      <c r="E440" t="s">
        <v>201</v>
      </c>
      <c r="F440">
        <v>0.2</v>
      </c>
      <c r="G440">
        <v>0</v>
      </c>
      <c r="H440" t="s">
        <v>24</v>
      </c>
    </row>
    <row r="441" spans="1:8" hidden="1" x14ac:dyDescent="0.25">
      <c r="A441" t="s">
        <v>194</v>
      </c>
      <c r="B441" t="s">
        <v>2</v>
      </c>
      <c r="C441" s="38">
        <v>45075</v>
      </c>
      <c r="D441" t="s">
        <v>236</v>
      </c>
      <c r="E441" t="s">
        <v>205</v>
      </c>
      <c r="F441">
        <v>7.5</v>
      </c>
      <c r="G441">
        <v>0.5</v>
      </c>
      <c r="H441" t="s">
        <v>24</v>
      </c>
    </row>
    <row r="442" spans="1:8" hidden="1" x14ac:dyDescent="0.25">
      <c r="A442" t="s">
        <v>144</v>
      </c>
      <c r="B442" t="s">
        <v>4</v>
      </c>
      <c r="C442" s="38">
        <v>45075</v>
      </c>
      <c r="D442" t="s">
        <v>236</v>
      </c>
      <c r="E442" t="s">
        <v>201</v>
      </c>
      <c r="F442">
        <v>0.5</v>
      </c>
      <c r="G442">
        <v>0.2</v>
      </c>
      <c r="H442" t="s">
        <v>24</v>
      </c>
    </row>
    <row r="443" spans="1:8" hidden="1" x14ac:dyDescent="0.25">
      <c r="A443" t="s">
        <v>167</v>
      </c>
      <c r="B443" t="s">
        <v>2</v>
      </c>
      <c r="C443" s="38">
        <v>45075</v>
      </c>
      <c r="D443" t="s">
        <v>235</v>
      </c>
      <c r="E443" t="s">
        <v>205</v>
      </c>
      <c r="F443">
        <v>7.8</v>
      </c>
      <c r="G443">
        <v>0</v>
      </c>
      <c r="H443" t="s">
        <v>24</v>
      </c>
    </row>
    <row r="444" spans="1:8" hidden="1" x14ac:dyDescent="0.25">
      <c r="A444" t="s">
        <v>167</v>
      </c>
      <c r="B444" t="s">
        <v>2</v>
      </c>
      <c r="C444" s="38">
        <v>45075</v>
      </c>
      <c r="D444" t="s">
        <v>240</v>
      </c>
      <c r="E444" t="s">
        <v>201</v>
      </c>
      <c r="F444">
        <v>0.2</v>
      </c>
      <c r="G444">
        <v>0</v>
      </c>
      <c r="H444" t="s">
        <v>24</v>
      </c>
    </row>
    <row r="445" spans="1:8" hidden="1" x14ac:dyDescent="0.25">
      <c r="A445" t="s">
        <v>144</v>
      </c>
      <c r="B445" t="s">
        <v>4</v>
      </c>
      <c r="C445" s="38">
        <v>45075</v>
      </c>
      <c r="D445" t="s">
        <v>240</v>
      </c>
      <c r="E445" t="s">
        <v>205</v>
      </c>
      <c r="F445">
        <v>7.3</v>
      </c>
      <c r="G445">
        <v>0.2</v>
      </c>
      <c r="H445" t="s">
        <v>24</v>
      </c>
    </row>
    <row r="446" spans="1:8" hidden="1" x14ac:dyDescent="0.25">
      <c r="A446" t="s">
        <v>182</v>
      </c>
      <c r="B446" t="s">
        <v>2</v>
      </c>
      <c r="C446" s="38">
        <v>45075</v>
      </c>
      <c r="D446" t="s">
        <v>236</v>
      </c>
      <c r="E446" t="s">
        <v>205</v>
      </c>
      <c r="F446">
        <v>7.5</v>
      </c>
      <c r="G446">
        <v>0</v>
      </c>
      <c r="H446" t="s">
        <v>24</v>
      </c>
    </row>
    <row r="447" spans="1:8" hidden="1" x14ac:dyDescent="0.25">
      <c r="A447" t="s">
        <v>196</v>
      </c>
      <c r="B447" t="s">
        <v>2</v>
      </c>
      <c r="C447" s="38">
        <v>45075</v>
      </c>
      <c r="D447" t="s">
        <v>240</v>
      </c>
      <c r="E447" t="s">
        <v>201</v>
      </c>
      <c r="F447">
        <v>0.2</v>
      </c>
      <c r="G447">
        <v>0</v>
      </c>
      <c r="H447" t="s">
        <v>24</v>
      </c>
    </row>
    <row r="448" spans="1:8" hidden="1" x14ac:dyDescent="0.25">
      <c r="A448" t="s">
        <v>182</v>
      </c>
      <c r="B448" t="s">
        <v>2</v>
      </c>
      <c r="C448" s="38">
        <v>45075</v>
      </c>
      <c r="D448" t="s">
        <v>235</v>
      </c>
      <c r="E448" t="s">
        <v>201</v>
      </c>
      <c r="F448">
        <v>0.5</v>
      </c>
      <c r="G448">
        <v>0</v>
      </c>
      <c r="H448" t="s">
        <v>24</v>
      </c>
    </row>
    <row r="449" spans="1:8" hidden="1" x14ac:dyDescent="0.25">
      <c r="A449" t="s">
        <v>196</v>
      </c>
      <c r="B449" t="s">
        <v>2</v>
      </c>
      <c r="C449" s="38">
        <v>45075</v>
      </c>
      <c r="D449" t="s">
        <v>235</v>
      </c>
      <c r="E449" t="s">
        <v>201</v>
      </c>
      <c r="F449">
        <v>7.8</v>
      </c>
      <c r="G449">
        <v>0</v>
      </c>
      <c r="H449" t="s">
        <v>24</v>
      </c>
    </row>
    <row r="450" spans="1:8" hidden="1" x14ac:dyDescent="0.25">
      <c r="A450" t="s">
        <v>141</v>
      </c>
      <c r="B450" t="s">
        <v>4</v>
      </c>
      <c r="C450" s="38">
        <v>45075</v>
      </c>
      <c r="D450" t="s">
        <v>235</v>
      </c>
      <c r="E450" t="s">
        <v>201</v>
      </c>
      <c r="F450">
        <v>7.8</v>
      </c>
      <c r="G450">
        <v>0</v>
      </c>
      <c r="H450" t="s">
        <v>24</v>
      </c>
    </row>
    <row r="451" spans="1:8" hidden="1" x14ac:dyDescent="0.25">
      <c r="A451" t="s">
        <v>237</v>
      </c>
      <c r="B451" t="s">
        <v>2</v>
      </c>
      <c r="C451" s="38">
        <v>45075</v>
      </c>
      <c r="D451" t="s">
        <v>236</v>
      </c>
      <c r="E451" t="s">
        <v>204</v>
      </c>
      <c r="F451">
        <v>0</v>
      </c>
      <c r="G451">
        <v>0</v>
      </c>
      <c r="H451" t="s">
        <v>24</v>
      </c>
    </row>
    <row r="452" spans="1:8" hidden="1" x14ac:dyDescent="0.25">
      <c r="A452" t="s">
        <v>210</v>
      </c>
      <c r="B452" t="s">
        <v>2</v>
      </c>
      <c r="C452" s="38">
        <v>45075</v>
      </c>
      <c r="D452" t="s">
        <v>236</v>
      </c>
      <c r="E452" t="s">
        <v>204</v>
      </c>
      <c r="F452">
        <v>0</v>
      </c>
      <c r="G452">
        <v>0</v>
      </c>
      <c r="H452" t="s">
        <v>24</v>
      </c>
    </row>
    <row r="453" spans="1:8" hidden="1" x14ac:dyDescent="0.25">
      <c r="A453" t="s">
        <v>243</v>
      </c>
      <c r="B453" t="s">
        <v>4</v>
      </c>
      <c r="C453" s="38">
        <v>45075</v>
      </c>
      <c r="D453" t="s">
        <v>236</v>
      </c>
      <c r="E453" t="s">
        <v>204</v>
      </c>
      <c r="F453">
        <v>0</v>
      </c>
      <c r="G453">
        <v>0</v>
      </c>
      <c r="H453" t="s">
        <v>24</v>
      </c>
    </row>
    <row r="454" spans="1:8" hidden="1" x14ac:dyDescent="0.25">
      <c r="A454" t="s">
        <v>173</v>
      </c>
      <c r="B454" t="s">
        <v>2</v>
      </c>
      <c r="C454" s="38">
        <v>45075</v>
      </c>
      <c r="D454" t="s">
        <v>235</v>
      </c>
      <c r="E454" t="s">
        <v>204</v>
      </c>
      <c r="F454">
        <v>0</v>
      </c>
      <c r="G454">
        <v>0</v>
      </c>
      <c r="H454" t="s">
        <v>24</v>
      </c>
    </row>
    <row r="455" spans="1:8" hidden="1" x14ac:dyDescent="0.25">
      <c r="A455" t="s">
        <v>244</v>
      </c>
      <c r="B455" t="s">
        <v>2</v>
      </c>
      <c r="C455" s="38">
        <v>45075</v>
      </c>
      <c r="D455" t="s">
        <v>235</v>
      </c>
      <c r="E455" t="s">
        <v>204</v>
      </c>
      <c r="F455">
        <v>0</v>
      </c>
      <c r="G455">
        <v>0</v>
      </c>
      <c r="H455" t="s">
        <v>24</v>
      </c>
    </row>
    <row r="456" spans="1:8" hidden="1" x14ac:dyDescent="0.25">
      <c r="A456" t="s">
        <v>152</v>
      </c>
      <c r="B456" t="s">
        <v>2</v>
      </c>
      <c r="C456" s="38">
        <v>45075</v>
      </c>
      <c r="D456" t="s">
        <v>236</v>
      </c>
      <c r="E456" t="s">
        <v>204</v>
      </c>
      <c r="F456">
        <v>0</v>
      </c>
      <c r="G456">
        <v>0</v>
      </c>
      <c r="H456" t="s">
        <v>24</v>
      </c>
    </row>
    <row r="457" spans="1:8" hidden="1" x14ac:dyDescent="0.25">
      <c r="A457" t="s">
        <v>245</v>
      </c>
      <c r="B457" t="s">
        <v>2</v>
      </c>
      <c r="C457" s="38">
        <v>45075</v>
      </c>
      <c r="D457" t="s">
        <v>235</v>
      </c>
      <c r="E457" t="s">
        <v>204</v>
      </c>
      <c r="F457">
        <v>0</v>
      </c>
      <c r="G457">
        <v>0</v>
      </c>
      <c r="H457" t="s">
        <v>24</v>
      </c>
    </row>
    <row r="458" spans="1:8" hidden="1" x14ac:dyDescent="0.25">
      <c r="A458" t="s">
        <v>245</v>
      </c>
      <c r="B458" t="s">
        <v>2</v>
      </c>
      <c r="C458" s="38">
        <v>45075</v>
      </c>
      <c r="D458" t="s">
        <v>236</v>
      </c>
      <c r="E458" t="s">
        <v>204</v>
      </c>
      <c r="F458">
        <v>0</v>
      </c>
      <c r="G458">
        <v>0</v>
      </c>
      <c r="H458" t="s">
        <v>24</v>
      </c>
    </row>
    <row r="459" spans="1:8" hidden="1" x14ac:dyDescent="0.25">
      <c r="A459" t="s">
        <v>244</v>
      </c>
      <c r="B459" t="s">
        <v>2</v>
      </c>
      <c r="C459" s="38">
        <v>45075</v>
      </c>
      <c r="D459" t="s">
        <v>236</v>
      </c>
      <c r="E459" t="s">
        <v>204</v>
      </c>
      <c r="F459">
        <v>0</v>
      </c>
      <c r="G459">
        <v>0</v>
      </c>
      <c r="H459" t="s">
        <v>24</v>
      </c>
    </row>
    <row r="460" spans="1:8" hidden="1" x14ac:dyDescent="0.25">
      <c r="A460" t="s">
        <v>196</v>
      </c>
      <c r="B460" t="s">
        <v>2</v>
      </c>
      <c r="C460" s="38">
        <v>45075</v>
      </c>
      <c r="D460" t="s">
        <v>236</v>
      </c>
      <c r="E460" t="s">
        <v>204</v>
      </c>
      <c r="F460">
        <v>0</v>
      </c>
      <c r="G460">
        <v>0</v>
      </c>
      <c r="H460" t="s">
        <v>24</v>
      </c>
    </row>
    <row r="461" spans="1:8" hidden="1" x14ac:dyDescent="0.25">
      <c r="A461" t="s">
        <v>242</v>
      </c>
      <c r="B461" t="s">
        <v>2</v>
      </c>
      <c r="C461" s="38">
        <v>45075</v>
      </c>
      <c r="D461" t="s">
        <v>236</v>
      </c>
      <c r="E461" t="s">
        <v>204</v>
      </c>
      <c r="F461">
        <v>0</v>
      </c>
      <c r="G461">
        <v>0</v>
      </c>
      <c r="H461" t="s">
        <v>24</v>
      </c>
    </row>
    <row r="462" spans="1:8" hidden="1" x14ac:dyDescent="0.25">
      <c r="A462" t="s">
        <v>152</v>
      </c>
      <c r="B462" t="s">
        <v>2</v>
      </c>
      <c r="C462" s="38">
        <v>45075</v>
      </c>
      <c r="D462" t="s">
        <v>235</v>
      </c>
      <c r="E462" t="s">
        <v>204</v>
      </c>
      <c r="F462">
        <v>0</v>
      </c>
      <c r="G462">
        <v>0</v>
      </c>
      <c r="H462" t="s">
        <v>24</v>
      </c>
    </row>
    <row r="463" spans="1:8" hidden="1" x14ac:dyDescent="0.25">
      <c r="A463" t="s">
        <v>156</v>
      </c>
      <c r="B463" t="s">
        <v>2</v>
      </c>
      <c r="C463" s="38">
        <v>45075</v>
      </c>
      <c r="D463" t="s">
        <v>235</v>
      </c>
      <c r="E463" t="s">
        <v>201</v>
      </c>
      <c r="F463">
        <v>0.5</v>
      </c>
      <c r="G463">
        <v>0</v>
      </c>
      <c r="H463" t="s">
        <v>24</v>
      </c>
    </row>
    <row r="464" spans="1:8" hidden="1" x14ac:dyDescent="0.25">
      <c r="A464" t="s">
        <v>155</v>
      </c>
      <c r="B464" t="s">
        <v>2</v>
      </c>
      <c r="C464" s="38">
        <v>45075</v>
      </c>
      <c r="D464" t="s">
        <v>235</v>
      </c>
      <c r="E464" t="s">
        <v>204</v>
      </c>
      <c r="F464">
        <v>0</v>
      </c>
      <c r="G464">
        <v>0</v>
      </c>
      <c r="H464" t="s">
        <v>24</v>
      </c>
    </row>
    <row r="465" spans="1:8" hidden="1" x14ac:dyDescent="0.25">
      <c r="A465" t="s">
        <v>153</v>
      </c>
      <c r="B465" t="s">
        <v>2</v>
      </c>
      <c r="C465" s="38">
        <v>45075</v>
      </c>
      <c r="D465" t="s">
        <v>236</v>
      </c>
      <c r="E465" t="s">
        <v>204</v>
      </c>
      <c r="F465">
        <v>0</v>
      </c>
      <c r="G465">
        <v>0</v>
      </c>
      <c r="H465" t="s">
        <v>24</v>
      </c>
    </row>
    <row r="466" spans="1:8" hidden="1" x14ac:dyDescent="0.25">
      <c r="A466" t="s">
        <v>141</v>
      </c>
      <c r="B466" t="s">
        <v>4</v>
      </c>
      <c r="C466" s="38">
        <v>45075</v>
      </c>
      <c r="D466" t="s">
        <v>240</v>
      </c>
      <c r="E466" t="s">
        <v>205</v>
      </c>
      <c r="F466">
        <v>0.2</v>
      </c>
      <c r="G466">
        <v>0</v>
      </c>
      <c r="H466" t="s">
        <v>24</v>
      </c>
    </row>
    <row r="467" spans="1:8" hidden="1" x14ac:dyDescent="0.25">
      <c r="A467" t="s">
        <v>156</v>
      </c>
      <c r="B467" t="s">
        <v>2</v>
      </c>
      <c r="C467" s="38">
        <v>45075</v>
      </c>
      <c r="D467" t="s">
        <v>236</v>
      </c>
      <c r="E467" t="s">
        <v>205</v>
      </c>
      <c r="F467">
        <v>7.5</v>
      </c>
      <c r="G467">
        <v>0</v>
      </c>
      <c r="H467" t="s">
        <v>24</v>
      </c>
    </row>
    <row r="468" spans="1:8" hidden="1" x14ac:dyDescent="0.25">
      <c r="A468" t="s">
        <v>155</v>
      </c>
      <c r="B468" t="s">
        <v>2</v>
      </c>
      <c r="C468" s="38">
        <v>45075</v>
      </c>
      <c r="D468" t="s">
        <v>236</v>
      </c>
      <c r="E468" t="s">
        <v>205</v>
      </c>
      <c r="F468">
        <v>7.5</v>
      </c>
      <c r="G468">
        <v>0.5</v>
      </c>
      <c r="H468" t="s">
        <v>24</v>
      </c>
    </row>
    <row r="469" spans="1:8" hidden="1" x14ac:dyDescent="0.25">
      <c r="A469" t="s">
        <v>239</v>
      </c>
      <c r="B469" t="s">
        <v>4</v>
      </c>
      <c r="C469" s="38">
        <v>45075</v>
      </c>
      <c r="D469" t="s">
        <v>235</v>
      </c>
      <c r="E469" t="s">
        <v>204</v>
      </c>
      <c r="F469">
        <v>0</v>
      </c>
      <c r="G469">
        <v>0</v>
      </c>
      <c r="H469" t="s">
        <v>24</v>
      </c>
    </row>
    <row r="470" spans="1:8" hidden="1" x14ac:dyDescent="0.25">
      <c r="A470" t="s">
        <v>148</v>
      </c>
      <c r="B470" t="s">
        <v>2</v>
      </c>
      <c r="C470" s="38">
        <v>45075</v>
      </c>
      <c r="D470" t="s">
        <v>235</v>
      </c>
      <c r="E470" t="s">
        <v>205</v>
      </c>
      <c r="F470">
        <v>7.8</v>
      </c>
      <c r="G470">
        <v>0</v>
      </c>
      <c r="H470" t="s">
        <v>24</v>
      </c>
    </row>
    <row r="471" spans="1:8" hidden="1" x14ac:dyDescent="0.25">
      <c r="A471" t="s">
        <v>152</v>
      </c>
      <c r="B471" t="s">
        <v>2</v>
      </c>
      <c r="C471" s="38">
        <v>45075</v>
      </c>
      <c r="D471" t="s">
        <v>240</v>
      </c>
      <c r="E471" t="s">
        <v>204</v>
      </c>
      <c r="F471">
        <v>0</v>
      </c>
      <c r="G471">
        <v>0</v>
      </c>
      <c r="H471" t="s">
        <v>24</v>
      </c>
    </row>
    <row r="472" spans="1:8" hidden="1" x14ac:dyDescent="0.25">
      <c r="A472" t="s">
        <v>238</v>
      </c>
      <c r="B472" t="s">
        <v>4</v>
      </c>
      <c r="C472" s="38">
        <v>45075</v>
      </c>
      <c r="D472" t="s">
        <v>236</v>
      </c>
      <c r="E472" t="s">
        <v>204</v>
      </c>
      <c r="F472">
        <v>0</v>
      </c>
      <c r="G472">
        <v>0</v>
      </c>
      <c r="H472" t="s">
        <v>24</v>
      </c>
    </row>
    <row r="473" spans="1:8" hidden="1" x14ac:dyDescent="0.25">
      <c r="A473" t="s">
        <v>148</v>
      </c>
      <c r="B473" t="s">
        <v>2</v>
      </c>
      <c r="C473" s="38">
        <v>45075</v>
      </c>
      <c r="D473" t="s">
        <v>240</v>
      </c>
      <c r="E473" t="s">
        <v>201</v>
      </c>
      <c r="F473">
        <v>0.2</v>
      </c>
      <c r="G473">
        <v>0</v>
      </c>
      <c r="H473" t="s">
        <v>24</v>
      </c>
    </row>
    <row r="474" spans="1:8" hidden="1" x14ac:dyDescent="0.25">
      <c r="A474" t="s">
        <v>178</v>
      </c>
      <c r="B474" t="s">
        <v>2</v>
      </c>
      <c r="C474" s="38">
        <v>45075</v>
      </c>
      <c r="D474" t="s">
        <v>236</v>
      </c>
      <c r="E474" t="s">
        <v>204</v>
      </c>
      <c r="F474">
        <v>0</v>
      </c>
      <c r="G474">
        <v>0</v>
      </c>
      <c r="H474" t="s">
        <v>24</v>
      </c>
    </row>
    <row r="475" spans="1:8" hidden="1" x14ac:dyDescent="0.25">
      <c r="A475" t="s">
        <v>187</v>
      </c>
      <c r="B475" t="s">
        <v>2</v>
      </c>
      <c r="C475" s="38">
        <v>45075</v>
      </c>
      <c r="D475" t="s">
        <v>240</v>
      </c>
      <c r="E475" t="s">
        <v>205</v>
      </c>
      <c r="F475">
        <v>7.3</v>
      </c>
      <c r="G475">
        <v>0.5</v>
      </c>
      <c r="H475" t="s">
        <v>24</v>
      </c>
    </row>
    <row r="476" spans="1:8" hidden="1" x14ac:dyDescent="0.25">
      <c r="A476" t="s">
        <v>173</v>
      </c>
      <c r="B476" t="s">
        <v>2</v>
      </c>
      <c r="C476" s="38">
        <v>45075</v>
      </c>
      <c r="D476" t="s">
        <v>236</v>
      </c>
      <c r="E476" t="s">
        <v>205</v>
      </c>
      <c r="F476">
        <v>6</v>
      </c>
      <c r="G476">
        <v>0</v>
      </c>
      <c r="H476" t="s">
        <v>24</v>
      </c>
    </row>
    <row r="477" spans="1:8" hidden="1" x14ac:dyDescent="0.25">
      <c r="A477" t="s">
        <v>168</v>
      </c>
      <c r="B477" t="s">
        <v>2</v>
      </c>
      <c r="C477" s="38">
        <v>45075</v>
      </c>
      <c r="D477" t="s">
        <v>236</v>
      </c>
      <c r="E477" t="s">
        <v>201</v>
      </c>
      <c r="F477">
        <v>0.2</v>
      </c>
      <c r="G477">
        <v>0.5</v>
      </c>
      <c r="H477" t="s">
        <v>24</v>
      </c>
    </row>
    <row r="478" spans="1:8" hidden="1" x14ac:dyDescent="0.25">
      <c r="A478" t="s">
        <v>188</v>
      </c>
      <c r="B478" t="s">
        <v>2</v>
      </c>
      <c r="C478" s="38">
        <v>45075</v>
      </c>
      <c r="D478" t="s">
        <v>236</v>
      </c>
      <c r="E478" t="s">
        <v>201</v>
      </c>
      <c r="F478">
        <v>0.2</v>
      </c>
      <c r="G478">
        <v>7.4</v>
      </c>
      <c r="H478" t="s">
        <v>24</v>
      </c>
    </row>
    <row r="479" spans="1:8" hidden="1" x14ac:dyDescent="0.25">
      <c r="A479" t="s">
        <v>180</v>
      </c>
      <c r="B479" t="s">
        <v>2</v>
      </c>
      <c r="C479" s="38">
        <v>45075</v>
      </c>
      <c r="D479" t="s">
        <v>235</v>
      </c>
      <c r="E479" t="s">
        <v>205</v>
      </c>
      <c r="F479">
        <v>7</v>
      </c>
      <c r="G479">
        <v>1</v>
      </c>
      <c r="H479" t="s">
        <v>24</v>
      </c>
    </row>
    <row r="480" spans="1:8" hidden="1" x14ac:dyDescent="0.25">
      <c r="A480" t="s">
        <v>187</v>
      </c>
      <c r="B480" t="s">
        <v>2</v>
      </c>
      <c r="C480" s="38">
        <v>45075</v>
      </c>
      <c r="D480" t="s">
        <v>236</v>
      </c>
      <c r="E480" t="s">
        <v>201</v>
      </c>
      <c r="F480">
        <v>0.2</v>
      </c>
      <c r="G480">
        <v>0.5</v>
      </c>
      <c r="H480" t="s">
        <v>24</v>
      </c>
    </row>
    <row r="481" spans="1:8" hidden="1" x14ac:dyDescent="0.25">
      <c r="A481" t="s">
        <v>168</v>
      </c>
      <c r="B481" t="s">
        <v>2</v>
      </c>
      <c r="C481" s="38">
        <v>45075</v>
      </c>
      <c r="D481" t="s">
        <v>240</v>
      </c>
      <c r="E481" t="s">
        <v>205</v>
      </c>
      <c r="F481">
        <v>7.3</v>
      </c>
      <c r="G481">
        <v>0.5</v>
      </c>
      <c r="H481" t="s">
        <v>24</v>
      </c>
    </row>
    <row r="482" spans="1:8" hidden="1" x14ac:dyDescent="0.25">
      <c r="A482" t="s">
        <v>198</v>
      </c>
      <c r="B482" t="s">
        <v>4</v>
      </c>
      <c r="C482" s="38">
        <v>45075</v>
      </c>
      <c r="D482" t="s">
        <v>235</v>
      </c>
      <c r="E482" t="s">
        <v>201</v>
      </c>
      <c r="F482">
        <v>0.5</v>
      </c>
      <c r="G482">
        <v>0</v>
      </c>
      <c r="H482" t="s">
        <v>24</v>
      </c>
    </row>
    <row r="483" spans="1:8" hidden="1" x14ac:dyDescent="0.25">
      <c r="A483" t="s">
        <v>183</v>
      </c>
      <c r="B483" t="s">
        <v>2</v>
      </c>
      <c r="C483" s="38">
        <v>45075</v>
      </c>
      <c r="D483" t="s">
        <v>236</v>
      </c>
      <c r="E483" t="s">
        <v>205</v>
      </c>
      <c r="F483">
        <v>7.5</v>
      </c>
      <c r="G483">
        <v>0</v>
      </c>
      <c r="H483" t="s">
        <v>24</v>
      </c>
    </row>
    <row r="484" spans="1:8" hidden="1" x14ac:dyDescent="0.25">
      <c r="A484" t="s">
        <v>198</v>
      </c>
      <c r="B484" t="s">
        <v>4</v>
      </c>
      <c r="C484" s="38">
        <v>45075</v>
      </c>
      <c r="D484" t="s">
        <v>236</v>
      </c>
      <c r="E484" t="s">
        <v>205</v>
      </c>
      <c r="F484">
        <v>7.5</v>
      </c>
      <c r="G484">
        <v>0</v>
      </c>
      <c r="H484" t="s">
        <v>24</v>
      </c>
    </row>
    <row r="485" spans="1:8" hidden="1" x14ac:dyDescent="0.25">
      <c r="A485" t="s">
        <v>161</v>
      </c>
      <c r="B485" t="s">
        <v>2</v>
      </c>
      <c r="C485" s="38">
        <v>45075</v>
      </c>
      <c r="D485" t="s">
        <v>240</v>
      </c>
      <c r="E485" t="s">
        <v>205</v>
      </c>
      <c r="F485">
        <v>7.3</v>
      </c>
      <c r="G485">
        <v>0.7</v>
      </c>
      <c r="H485" t="s">
        <v>24</v>
      </c>
    </row>
    <row r="486" spans="1:8" hidden="1" x14ac:dyDescent="0.25">
      <c r="A486" t="s">
        <v>159</v>
      </c>
      <c r="B486" t="s">
        <v>2</v>
      </c>
      <c r="C486" s="38">
        <v>45075</v>
      </c>
      <c r="D486" t="s">
        <v>236</v>
      </c>
      <c r="E486" t="s">
        <v>205</v>
      </c>
      <c r="F486">
        <v>7.5</v>
      </c>
      <c r="G486">
        <v>0.5</v>
      </c>
      <c r="H486" t="s">
        <v>24</v>
      </c>
    </row>
    <row r="487" spans="1:8" hidden="1" x14ac:dyDescent="0.25">
      <c r="A487" t="s">
        <v>3</v>
      </c>
      <c r="B487" t="s">
        <v>2</v>
      </c>
      <c r="C487" s="38">
        <v>45075</v>
      </c>
      <c r="D487" t="s">
        <v>236</v>
      </c>
      <c r="E487" t="s">
        <v>205</v>
      </c>
      <c r="F487">
        <v>7.5</v>
      </c>
      <c r="G487">
        <v>0</v>
      </c>
      <c r="H487" t="s">
        <v>24</v>
      </c>
    </row>
    <row r="488" spans="1:8" hidden="1" x14ac:dyDescent="0.25">
      <c r="A488" t="s">
        <v>210</v>
      </c>
      <c r="B488" t="s">
        <v>2</v>
      </c>
      <c r="C488" s="38">
        <v>45075</v>
      </c>
      <c r="D488" t="s">
        <v>240</v>
      </c>
      <c r="E488" t="s">
        <v>205</v>
      </c>
      <c r="F488">
        <v>0.2</v>
      </c>
      <c r="G488">
        <v>0</v>
      </c>
      <c r="H488" t="s">
        <v>24</v>
      </c>
    </row>
    <row r="489" spans="1:8" hidden="1" x14ac:dyDescent="0.25">
      <c r="A489" t="s">
        <v>172</v>
      </c>
      <c r="B489" t="s">
        <v>2</v>
      </c>
      <c r="C489" s="38">
        <v>45075</v>
      </c>
      <c r="D489" t="s">
        <v>236</v>
      </c>
      <c r="E489" t="s">
        <v>205</v>
      </c>
      <c r="F489">
        <v>7.5</v>
      </c>
      <c r="G489">
        <v>0.5</v>
      </c>
      <c r="H489" t="s">
        <v>24</v>
      </c>
    </row>
    <row r="490" spans="1:8" hidden="1" x14ac:dyDescent="0.25">
      <c r="A490" t="s">
        <v>206</v>
      </c>
      <c r="B490" t="s">
        <v>2</v>
      </c>
      <c r="C490" s="38">
        <v>45075</v>
      </c>
      <c r="D490" t="s">
        <v>236</v>
      </c>
      <c r="E490" t="s">
        <v>201</v>
      </c>
      <c r="F490">
        <v>7.5</v>
      </c>
      <c r="G490">
        <v>0.5</v>
      </c>
      <c r="H490" t="s">
        <v>24</v>
      </c>
    </row>
    <row r="491" spans="1:8" hidden="1" x14ac:dyDescent="0.25">
      <c r="A491" t="s">
        <v>189</v>
      </c>
      <c r="B491" t="s">
        <v>2</v>
      </c>
      <c r="C491" s="38">
        <v>45075</v>
      </c>
      <c r="D491" t="s">
        <v>236</v>
      </c>
      <c r="E491" t="s">
        <v>201</v>
      </c>
      <c r="F491">
        <v>0.2</v>
      </c>
      <c r="G491">
        <v>0.5</v>
      </c>
      <c r="H491" t="s">
        <v>24</v>
      </c>
    </row>
    <row r="492" spans="1:8" hidden="1" x14ac:dyDescent="0.25">
      <c r="A492" t="s">
        <v>189</v>
      </c>
      <c r="B492" t="s">
        <v>2</v>
      </c>
      <c r="C492" s="38">
        <v>45075</v>
      </c>
      <c r="D492" t="s">
        <v>240</v>
      </c>
      <c r="E492" t="s">
        <v>205</v>
      </c>
      <c r="F492">
        <v>7.3</v>
      </c>
      <c r="G492">
        <v>0.5</v>
      </c>
      <c r="H492" t="s">
        <v>24</v>
      </c>
    </row>
    <row r="493" spans="1:8" hidden="1" x14ac:dyDescent="0.25">
      <c r="A493" t="s">
        <v>210</v>
      </c>
      <c r="B493" t="s">
        <v>2</v>
      </c>
      <c r="C493" s="38">
        <v>45075</v>
      </c>
      <c r="D493" t="s">
        <v>235</v>
      </c>
      <c r="E493" t="s">
        <v>205</v>
      </c>
      <c r="F493">
        <v>7.8</v>
      </c>
      <c r="G493">
        <v>0</v>
      </c>
      <c r="H493" t="s">
        <v>24</v>
      </c>
    </row>
    <row r="494" spans="1:8" hidden="1" x14ac:dyDescent="0.25">
      <c r="A494" t="s">
        <v>164</v>
      </c>
      <c r="B494" t="s">
        <v>2</v>
      </c>
      <c r="C494" s="38">
        <v>45075</v>
      </c>
      <c r="D494" t="s">
        <v>235</v>
      </c>
      <c r="E494" t="s">
        <v>201</v>
      </c>
      <c r="F494">
        <v>0.5</v>
      </c>
      <c r="G494">
        <v>0</v>
      </c>
      <c r="H494" t="s">
        <v>24</v>
      </c>
    </row>
    <row r="495" spans="1:8" hidden="1" x14ac:dyDescent="0.25">
      <c r="A495" t="s">
        <v>199</v>
      </c>
      <c r="B495" t="s">
        <v>4</v>
      </c>
      <c r="C495" s="38">
        <v>45075</v>
      </c>
      <c r="D495" t="s">
        <v>236</v>
      </c>
      <c r="E495" t="s">
        <v>201</v>
      </c>
      <c r="F495">
        <v>5.2</v>
      </c>
      <c r="G495">
        <v>0.5</v>
      </c>
      <c r="H495" t="s">
        <v>24</v>
      </c>
    </row>
    <row r="496" spans="1:8" hidden="1" x14ac:dyDescent="0.25">
      <c r="A496" t="s">
        <v>164</v>
      </c>
      <c r="B496" t="s">
        <v>2</v>
      </c>
      <c r="C496" s="38">
        <v>45075</v>
      </c>
      <c r="D496" t="s">
        <v>236</v>
      </c>
      <c r="E496" t="s">
        <v>205</v>
      </c>
      <c r="F496">
        <v>7.5</v>
      </c>
      <c r="G496">
        <v>0</v>
      </c>
      <c r="H496" t="s">
        <v>24</v>
      </c>
    </row>
    <row r="497" spans="1:8" hidden="1" x14ac:dyDescent="0.25">
      <c r="A497" t="s">
        <v>192</v>
      </c>
      <c r="B497" t="s">
        <v>2</v>
      </c>
      <c r="C497" s="38">
        <v>45075</v>
      </c>
      <c r="D497" t="s">
        <v>240</v>
      </c>
      <c r="E497" t="s">
        <v>205</v>
      </c>
      <c r="F497">
        <v>7.3</v>
      </c>
      <c r="G497">
        <v>0</v>
      </c>
      <c r="H497" t="s">
        <v>24</v>
      </c>
    </row>
    <row r="498" spans="1:8" hidden="1" x14ac:dyDescent="0.25">
      <c r="A498" t="s">
        <v>199</v>
      </c>
      <c r="B498" t="s">
        <v>4</v>
      </c>
      <c r="C498" s="38">
        <v>45075</v>
      </c>
      <c r="D498" t="s">
        <v>235</v>
      </c>
      <c r="E498" t="s">
        <v>205</v>
      </c>
      <c r="F498">
        <v>2.2999999999999998</v>
      </c>
      <c r="G498">
        <v>0.5</v>
      </c>
      <c r="H498" t="s">
        <v>24</v>
      </c>
    </row>
    <row r="499" spans="1:8" hidden="1" x14ac:dyDescent="0.25">
      <c r="A499" t="s">
        <v>178</v>
      </c>
      <c r="B499" t="s">
        <v>2</v>
      </c>
      <c r="C499" s="38">
        <v>45076</v>
      </c>
      <c r="D499" t="s">
        <v>236</v>
      </c>
      <c r="E499" t="s">
        <v>204</v>
      </c>
      <c r="F499">
        <v>0</v>
      </c>
      <c r="G499">
        <v>0</v>
      </c>
      <c r="H499" t="s">
        <v>24</v>
      </c>
    </row>
    <row r="500" spans="1:8" hidden="1" x14ac:dyDescent="0.25">
      <c r="A500" t="s">
        <v>244</v>
      </c>
      <c r="B500" t="s">
        <v>2</v>
      </c>
      <c r="C500" s="38">
        <v>45076</v>
      </c>
      <c r="D500" t="s">
        <v>236</v>
      </c>
      <c r="E500" t="s">
        <v>204</v>
      </c>
      <c r="F500">
        <v>0</v>
      </c>
      <c r="G500">
        <v>0</v>
      </c>
      <c r="H500" t="s">
        <v>24</v>
      </c>
    </row>
    <row r="501" spans="1:8" hidden="1" x14ac:dyDescent="0.25">
      <c r="A501" t="s">
        <v>245</v>
      </c>
      <c r="B501" t="s">
        <v>2</v>
      </c>
      <c r="C501" s="38">
        <v>45076</v>
      </c>
      <c r="D501" t="s">
        <v>235</v>
      </c>
      <c r="E501" t="s">
        <v>204</v>
      </c>
      <c r="F501">
        <v>0</v>
      </c>
      <c r="G501">
        <v>0</v>
      </c>
      <c r="H501" t="s">
        <v>24</v>
      </c>
    </row>
    <row r="502" spans="1:8" hidden="1" x14ac:dyDescent="0.25">
      <c r="A502" t="s">
        <v>239</v>
      </c>
      <c r="B502" t="s">
        <v>4</v>
      </c>
      <c r="C502" s="38">
        <v>45076</v>
      </c>
      <c r="D502" t="s">
        <v>235</v>
      </c>
      <c r="E502" t="s">
        <v>204</v>
      </c>
      <c r="F502">
        <v>0</v>
      </c>
      <c r="G502">
        <v>0</v>
      </c>
      <c r="H502" t="s">
        <v>24</v>
      </c>
    </row>
    <row r="503" spans="1:8" hidden="1" x14ac:dyDescent="0.25">
      <c r="A503" t="s">
        <v>244</v>
      </c>
      <c r="B503" t="s">
        <v>2</v>
      </c>
      <c r="C503" s="38">
        <v>45076</v>
      </c>
      <c r="D503" t="s">
        <v>235</v>
      </c>
      <c r="E503" t="s">
        <v>204</v>
      </c>
      <c r="F503">
        <v>0</v>
      </c>
      <c r="G503">
        <v>0</v>
      </c>
      <c r="H503" t="s">
        <v>24</v>
      </c>
    </row>
    <row r="504" spans="1:8" hidden="1" x14ac:dyDescent="0.25">
      <c r="A504" t="s">
        <v>238</v>
      </c>
      <c r="B504" t="s">
        <v>4</v>
      </c>
      <c r="C504" s="38">
        <v>45076</v>
      </c>
      <c r="D504" t="s">
        <v>236</v>
      </c>
      <c r="E504" t="s">
        <v>204</v>
      </c>
      <c r="F504">
        <v>0</v>
      </c>
      <c r="G504">
        <v>0</v>
      </c>
      <c r="H504" t="s">
        <v>24</v>
      </c>
    </row>
    <row r="505" spans="1:8" hidden="1" x14ac:dyDescent="0.25">
      <c r="A505" t="s">
        <v>243</v>
      </c>
      <c r="B505" t="s">
        <v>4</v>
      </c>
      <c r="C505" s="38">
        <v>45076</v>
      </c>
      <c r="D505" t="s">
        <v>236</v>
      </c>
      <c r="E505" t="s">
        <v>204</v>
      </c>
      <c r="F505">
        <v>0</v>
      </c>
      <c r="G505">
        <v>0</v>
      </c>
      <c r="H505" t="s">
        <v>24</v>
      </c>
    </row>
    <row r="506" spans="1:8" hidden="1" x14ac:dyDescent="0.25">
      <c r="A506" t="s">
        <v>156</v>
      </c>
      <c r="B506" t="s">
        <v>2</v>
      </c>
      <c r="C506" s="38">
        <v>45076</v>
      </c>
      <c r="D506" t="s">
        <v>235</v>
      </c>
      <c r="E506" t="s">
        <v>201</v>
      </c>
      <c r="F506">
        <v>0.5</v>
      </c>
      <c r="G506">
        <v>0</v>
      </c>
      <c r="H506" t="s">
        <v>24</v>
      </c>
    </row>
    <row r="507" spans="1:8" hidden="1" x14ac:dyDescent="0.25">
      <c r="A507" t="s">
        <v>174</v>
      </c>
      <c r="B507" t="s">
        <v>2</v>
      </c>
      <c r="C507" s="38">
        <v>45076</v>
      </c>
      <c r="D507" t="s">
        <v>236</v>
      </c>
      <c r="E507" t="s">
        <v>204</v>
      </c>
      <c r="F507">
        <v>0</v>
      </c>
      <c r="G507">
        <v>0</v>
      </c>
      <c r="H507" t="s">
        <v>24</v>
      </c>
    </row>
    <row r="508" spans="1:8" hidden="1" x14ac:dyDescent="0.25">
      <c r="A508" t="s">
        <v>210</v>
      </c>
      <c r="B508" t="s">
        <v>2</v>
      </c>
      <c r="C508" s="38">
        <v>45076</v>
      </c>
      <c r="D508" t="s">
        <v>236</v>
      </c>
      <c r="E508" t="s">
        <v>204</v>
      </c>
      <c r="F508">
        <v>0</v>
      </c>
      <c r="G508">
        <v>0</v>
      </c>
      <c r="H508" t="s">
        <v>24</v>
      </c>
    </row>
    <row r="509" spans="1:8" hidden="1" x14ac:dyDescent="0.25">
      <c r="A509" t="s">
        <v>152</v>
      </c>
      <c r="B509" t="s">
        <v>2</v>
      </c>
      <c r="C509" s="38">
        <v>45076</v>
      </c>
      <c r="D509" t="s">
        <v>240</v>
      </c>
      <c r="E509" t="s">
        <v>204</v>
      </c>
      <c r="F509">
        <v>0</v>
      </c>
      <c r="G509">
        <v>0</v>
      </c>
      <c r="H509" t="s">
        <v>24</v>
      </c>
    </row>
    <row r="510" spans="1:8" hidden="1" x14ac:dyDescent="0.25">
      <c r="A510" t="s">
        <v>152</v>
      </c>
      <c r="B510" t="s">
        <v>2</v>
      </c>
      <c r="C510" s="38">
        <v>45076</v>
      </c>
      <c r="D510" t="s">
        <v>236</v>
      </c>
      <c r="E510" t="s">
        <v>204</v>
      </c>
      <c r="F510">
        <v>0</v>
      </c>
      <c r="G510">
        <v>0</v>
      </c>
      <c r="H510" t="s">
        <v>24</v>
      </c>
    </row>
    <row r="511" spans="1:8" hidden="1" x14ac:dyDescent="0.25">
      <c r="A511" t="s">
        <v>164</v>
      </c>
      <c r="B511" t="s">
        <v>2</v>
      </c>
      <c r="C511" s="38">
        <v>45076</v>
      </c>
      <c r="D511" t="s">
        <v>235</v>
      </c>
      <c r="E511" t="s">
        <v>201</v>
      </c>
      <c r="F511">
        <v>0.5</v>
      </c>
      <c r="G511">
        <v>0</v>
      </c>
      <c r="H511" t="s">
        <v>24</v>
      </c>
    </row>
    <row r="512" spans="1:8" hidden="1" x14ac:dyDescent="0.25">
      <c r="A512" t="s">
        <v>155</v>
      </c>
      <c r="B512" t="s">
        <v>2</v>
      </c>
      <c r="C512" s="38">
        <v>45076</v>
      </c>
      <c r="D512" t="s">
        <v>235</v>
      </c>
      <c r="E512" t="s">
        <v>204</v>
      </c>
      <c r="F512">
        <v>0</v>
      </c>
      <c r="G512">
        <v>0</v>
      </c>
      <c r="H512" t="s">
        <v>24</v>
      </c>
    </row>
    <row r="513" spans="1:8" hidden="1" x14ac:dyDescent="0.25">
      <c r="A513" t="s">
        <v>242</v>
      </c>
      <c r="B513" t="s">
        <v>2</v>
      </c>
      <c r="C513" s="38">
        <v>45076</v>
      </c>
      <c r="D513" t="s">
        <v>236</v>
      </c>
      <c r="E513" t="s">
        <v>204</v>
      </c>
      <c r="F513">
        <v>0</v>
      </c>
      <c r="G513">
        <v>0</v>
      </c>
      <c r="H513" t="s">
        <v>24</v>
      </c>
    </row>
    <row r="514" spans="1:8" hidden="1" x14ac:dyDescent="0.25">
      <c r="A514" t="s">
        <v>168</v>
      </c>
      <c r="B514" t="s">
        <v>2</v>
      </c>
      <c r="C514" s="38">
        <v>45076</v>
      </c>
      <c r="D514" t="s">
        <v>236</v>
      </c>
      <c r="E514" t="s">
        <v>201</v>
      </c>
      <c r="F514">
        <v>0.2</v>
      </c>
      <c r="G514">
        <v>0</v>
      </c>
      <c r="H514" t="s">
        <v>24</v>
      </c>
    </row>
    <row r="515" spans="1:8" hidden="1" x14ac:dyDescent="0.25">
      <c r="A515" t="s">
        <v>156</v>
      </c>
      <c r="B515" t="s">
        <v>2</v>
      </c>
      <c r="C515" s="38">
        <v>45076</v>
      </c>
      <c r="D515" t="s">
        <v>236</v>
      </c>
      <c r="E515" t="s">
        <v>205</v>
      </c>
      <c r="F515">
        <v>7.5</v>
      </c>
      <c r="G515">
        <v>0</v>
      </c>
      <c r="H515" t="s">
        <v>24</v>
      </c>
    </row>
    <row r="516" spans="1:8" hidden="1" x14ac:dyDescent="0.25">
      <c r="A516" t="s">
        <v>148</v>
      </c>
      <c r="B516" t="s">
        <v>2</v>
      </c>
      <c r="C516" s="38">
        <v>45076</v>
      </c>
      <c r="D516" t="s">
        <v>240</v>
      </c>
      <c r="E516" t="s">
        <v>201</v>
      </c>
      <c r="F516">
        <v>0.2</v>
      </c>
      <c r="G516">
        <v>0</v>
      </c>
      <c r="H516" t="s">
        <v>24</v>
      </c>
    </row>
    <row r="517" spans="1:8" hidden="1" x14ac:dyDescent="0.25">
      <c r="A517" t="s">
        <v>168</v>
      </c>
      <c r="B517" t="s">
        <v>2</v>
      </c>
      <c r="C517" s="38">
        <v>45076</v>
      </c>
      <c r="D517" t="s">
        <v>240</v>
      </c>
      <c r="E517" t="s">
        <v>205</v>
      </c>
      <c r="F517">
        <v>7.3</v>
      </c>
      <c r="G517">
        <v>0</v>
      </c>
      <c r="H517" t="s">
        <v>24</v>
      </c>
    </row>
    <row r="518" spans="1:8" hidden="1" x14ac:dyDescent="0.25">
      <c r="A518" t="s">
        <v>155</v>
      </c>
      <c r="B518" t="s">
        <v>2</v>
      </c>
      <c r="C518" s="38">
        <v>45076</v>
      </c>
      <c r="D518" t="s">
        <v>236</v>
      </c>
      <c r="E518" t="s">
        <v>205</v>
      </c>
      <c r="F518">
        <v>7.5</v>
      </c>
      <c r="G518">
        <v>0.5</v>
      </c>
      <c r="H518" t="s">
        <v>24</v>
      </c>
    </row>
    <row r="519" spans="1:8" hidden="1" x14ac:dyDescent="0.25">
      <c r="A519" t="s">
        <v>210</v>
      </c>
      <c r="B519" t="s">
        <v>2</v>
      </c>
      <c r="C519" s="38">
        <v>45076</v>
      </c>
      <c r="D519" t="s">
        <v>235</v>
      </c>
      <c r="E519" t="s">
        <v>205</v>
      </c>
      <c r="F519">
        <v>7.8</v>
      </c>
      <c r="G519">
        <v>0</v>
      </c>
      <c r="H519" t="s">
        <v>24</v>
      </c>
    </row>
    <row r="520" spans="1:8" hidden="1" x14ac:dyDescent="0.25">
      <c r="A520" t="s">
        <v>206</v>
      </c>
      <c r="B520" t="s">
        <v>2</v>
      </c>
      <c r="C520" s="38">
        <v>45076</v>
      </c>
      <c r="D520" t="s">
        <v>236</v>
      </c>
      <c r="E520" t="s">
        <v>201</v>
      </c>
      <c r="F520">
        <v>7.5</v>
      </c>
      <c r="G520">
        <v>0.5</v>
      </c>
      <c r="H520" t="s">
        <v>24</v>
      </c>
    </row>
    <row r="521" spans="1:8" hidden="1" x14ac:dyDescent="0.25">
      <c r="A521" t="s">
        <v>153</v>
      </c>
      <c r="B521" t="s">
        <v>2</v>
      </c>
      <c r="C521" s="38">
        <v>45076</v>
      </c>
      <c r="D521" t="s">
        <v>236</v>
      </c>
      <c r="E521" t="s">
        <v>205</v>
      </c>
      <c r="F521">
        <v>7.5</v>
      </c>
      <c r="G521">
        <v>0.5</v>
      </c>
      <c r="H521" t="s">
        <v>24</v>
      </c>
    </row>
    <row r="522" spans="1:8" hidden="1" x14ac:dyDescent="0.25">
      <c r="A522" t="s">
        <v>148</v>
      </c>
      <c r="B522" t="s">
        <v>2</v>
      </c>
      <c r="C522" s="38">
        <v>45076</v>
      </c>
      <c r="D522" t="s">
        <v>235</v>
      </c>
      <c r="E522" t="s">
        <v>205</v>
      </c>
      <c r="F522">
        <v>7.8</v>
      </c>
      <c r="G522">
        <v>0</v>
      </c>
      <c r="H522" t="s">
        <v>24</v>
      </c>
    </row>
    <row r="523" spans="1:8" hidden="1" x14ac:dyDescent="0.25">
      <c r="A523" t="s">
        <v>159</v>
      </c>
      <c r="B523" t="s">
        <v>2</v>
      </c>
      <c r="C523" s="38">
        <v>45076</v>
      </c>
      <c r="D523" t="s">
        <v>236</v>
      </c>
      <c r="E523" t="s">
        <v>205</v>
      </c>
      <c r="F523">
        <v>6</v>
      </c>
      <c r="G523">
        <v>1.9</v>
      </c>
      <c r="H523" t="s">
        <v>24</v>
      </c>
    </row>
    <row r="524" spans="1:8" hidden="1" x14ac:dyDescent="0.25">
      <c r="A524" t="s">
        <v>3</v>
      </c>
      <c r="B524" t="s">
        <v>2</v>
      </c>
      <c r="C524" s="38">
        <v>45076</v>
      </c>
      <c r="D524" t="s">
        <v>236</v>
      </c>
      <c r="E524" t="s">
        <v>205</v>
      </c>
      <c r="F524">
        <v>7.5</v>
      </c>
      <c r="G524">
        <v>0</v>
      </c>
      <c r="H524" t="s">
        <v>24</v>
      </c>
    </row>
    <row r="525" spans="1:8" hidden="1" x14ac:dyDescent="0.25">
      <c r="A525" t="s">
        <v>245</v>
      </c>
      <c r="B525" t="s">
        <v>2</v>
      </c>
      <c r="C525" s="38">
        <v>45076</v>
      </c>
      <c r="D525" t="s">
        <v>236</v>
      </c>
      <c r="E525" t="s">
        <v>204</v>
      </c>
      <c r="F525">
        <v>0</v>
      </c>
      <c r="G525">
        <v>0</v>
      </c>
      <c r="H525" t="s">
        <v>24</v>
      </c>
    </row>
    <row r="526" spans="1:8" hidden="1" x14ac:dyDescent="0.25">
      <c r="A526" t="s">
        <v>164</v>
      </c>
      <c r="B526" t="s">
        <v>2</v>
      </c>
      <c r="C526" s="38">
        <v>45076</v>
      </c>
      <c r="D526" t="s">
        <v>236</v>
      </c>
      <c r="E526" t="s">
        <v>205</v>
      </c>
      <c r="F526">
        <v>7.5</v>
      </c>
      <c r="G526">
        <v>0</v>
      </c>
      <c r="H526" t="s">
        <v>24</v>
      </c>
    </row>
    <row r="527" spans="1:8" hidden="1" x14ac:dyDescent="0.25">
      <c r="A527" t="s">
        <v>161</v>
      </c>
      <c r="B527" t="s">
        <v>2</v>
      </c>
      <c r="C527" s="38">
        <v>45076</v>
      </c>
      <c r="D527" t="s">
        <v>236</v>
      </c>
      <c r="E527" t="s">
        <v>201</v>
      </c>
      <c r="F527">
        <v>0.2</v>
      </c>
      <c r="G527">
        <v>0.5</v>
      </c>
      <c r="H527" t="s">
        <v>24</v>
      </c>
    </row>
    <row r="528" spans="1:8" hidden="1" x14ac:dyDescent="0.25">
      <c r="A528" t="s">
        <v>161</v>
      </c>
      <c r="B528" t="s">
        <v>2</v>
      </c>
      <c r="C528" s="38">
        <v>45076</v>
      </c>
      <c r="D528" t="s">
        <v>240</v>
      </c>
      <c r="E528" t="s">
        <v>205</v>
      </c>
      <c r="F528">
        <v>7.3</v>
      </c>
      <c r="G528">
        <v>0.5</v>
      </c>
      <c r="H528" t="s">
        <v>24</v>
      </c>
    </row>
    <row r="529" spans="1:8" hidden="1" x14ac:dyDescent="0.25">
      <c r="A529" t="s">
        <v>183</v>
      </c>
      <c r="B529" t="s">
        <v>2</v>
      </c>
      <c r="C529" s="38">
        <v>45076</v>
      </c>
      <c r="D529" t="s">
        <v>236</v>
      </c>
      <c r="E529" t="s">
        <v>205</v>
      </c>
      <c r="F529">
        <v>7.5</v>
      </c>
      <c r="G529">
        <v>0.5</v>
      </c>
      <c r="H529" t="s">
        <v>24</v>
      </c>
    </row>
    <row r="530" spans="1:8" hidden="1" x14ac:dyDescent="0.25">
      <c r="A530" t="s">
        <v>217</v>
      </c>
      <c r="B530" t="s">
        <v>2</v>
      </c>
      <c r="C530" s="38">
        <v>45076</v>
      </c>
      <c r="D530" t="s">
        <v>236</v>
      </c>
      <c r="E530" t="s">
        <v>201</v>
      </c>
      <c r="F530">
        <v>7.5</v>
      </c>
      <c r="G530">
        <v>0.5</v>
      </c>
      <c r="H530" t="s">
        <v>24</v>
      </c>
    </row>
    <row r="531" spans="1:8" hidden="1" x14ac:dyDescent="0.25">
      <c r="A531" t="s">
        <v>215</v>
      </c>
      <c r="B531" t="s">
        <v>2</v>
      </c>
      <c r="C531" s="38">
        <v>45076</v>
      </c>
      <c r="D531" t="s">
        <v>235</v>
      </c>
      <c r="E531" t="s">
        <v>201</v>
      </c>
      <c r="F531">
        <v>7.8</v>
      </c>
      <c r="G531">
        <v>0</v>
      </c>
      <c r="H531" t="s">
        <v>24</v>
      </c>
    </row>
    <row r="532" spans="1:8" hidden="1" x14ac:dyDescent="0.25">
      <c r="A532" t="s">
        <v>172</v>
      </c>
      <c r="B532" t="s">
        <v>2</v>
      </c>
      <c r="C532" s="38">
        <v>45076</v>
      </c>
      <c r="D532" t="s">
        <v>236</v>
      </c>
      <c r="E532" t="s">
        <v>205</v>
      </c>
      <c r="F532">
        <v>7.5</v>
      </c>
      <c r="G532">
        <v>0.5</v>
      </c>
      <c r="H532" t="s">
        <v>24</v>
      </c>
    </row>
    <row r="533" spans="1:8" hidden="1" x14ac:dyDescent="0.25">
      <c r="A533" t="s">
        <v>189</v>
      </c>
      <c r="B533" t="s">
        <v>2</v>
      </c>
      <c r="C533" s="38">
        <v>45076</v>
      </c>
      <c r="D533" t="s">
        <v>240</v>
      </c>
      <c r="E533" t="s">
        <v>205</v>
      </c>
      <c r="F533">
        <v>7.3</v>
      </c>
      <c r="G533">
        <v>0.5</v>
      </c>
      <c r="H533" t="s">
        <v>24</v>
      </c>
    </row>
    <row r="534" spans="1:8" hidden="1" x14ac:dyDescent="0.25">
      <c r="A534" t="s">
        <v>190</v>
      </c>
      <c r="B534" t="s">
        <v>2</v>
      </c>
      <c r="C534" s="38">
        <v>45076</v>
      </c>
      <c r="D534" t="s">
        <v>236</v>
      </c>
      <c r="E534" t="s">
        <v>201</v>
      </c>
      <c r="F534">
        <v>2.4</v>
      </c>
      <c r="G534">
        <v>0</v>
      </c>
      <c r="H534" t="s">
        <v>24</v>
      </c>
    </row>
    <row r="535" spans="1:8" hidden="1" x14ac:dyDescent="0.25">
      <c r="A535" t="s">
        <v>187</v>
      </c>
      <c r="B535" t="s">
        <v>2</v>
      </c>
      <c r="C535" s="38">
        <v>45076</v>
      </c>
      <c r="D535" t="s">
        <v>240</v>
      </c>
      <c r="E535" t="s">
        <v>205</v>
      </c>
      <c r="F535">
        <v>7.3</v>
      </c>
      <c r="G535">
        <v>0.5</v>
      </c>
      <c r="H535" t="s">
        <v>24</v>
      </c>
    </row>
    <row r="536" spans="1:8" hidden="1" x14ac:dyDescent="0.25">
      <c r="A536" t="s">
        <v>187</v>
      </c>
      <c r="B536" t="s">
        <v>2</v>
      </c>
      <c r="C536" s="38">
        <v>45076</v>
      </c>
      <c r="D536" t="s">
        <v>236</v>
      </c>
      <c r="E536" t="s">
        <v>201</v>
      </c>
      <c r="F536">
        <v>0.2</v>
      </c>
      <c r="G536">
        <v>0.5</v>
      </c>
      <c r="H536" t="s">
        <v>24</v>
      </c>
    </row>
    <row r="537" spans="1:8" hidden="1" x14ac:dyDescent="0.25">
      <c r="A537" t="s">
        <v>154</v>
      </c>
      <c r="B537" t="s">
        <v>2</v>
      </c>
      <c r="C537" s="38">
        <v>45076</v>
      </c>
      <c r="D537" t="s">
        <v>240</v>
      </c>
      <c r="E537" t="s">
        <v>201</v>
      </c>
      <c r="F537">
        <v>0.2</v>
      </c>
      <c r="G537">
        <v>0</v>
      </c>
      <c r="H537" t="s">
        <v>24</v>
      </c>
    </row>
    <row r="538" spans="1:8" hidden="1" x14ac:dyDescent="0.25">
      <c r="A538" t="s">
        <v>167</v>
      </c>
      <c r="B538" t="s">
        <v>2</v>
      </c>
      <c r="C538" s="38">
        <v>45076</v>
      </c>
      <c r="D538" t="s">
        <v>235</v>
      </c>
      <c r="E538" t="s">
        <v>205</v>
      </c>
      <c r="F538">
        <v>7.8</v>
      </c>
      <c r="G538">
        <v>0</v>
      </c>
      <c r="H538" t="s">
        <v>24</v>
      </c>
    </row>
    <row r="539" spans="1:8" hidden="1" x14ac:dyDescent="0.25">
      <c r="A539" t="s">
        <v>182</v>
      </c>
      <c r="B539" t="s">
        <v>2</v>
      </c>
      <c r="C539" s="38">
        <v>45076</v>
      </c>
      <c r="D539" t="s">
        <v>236</v>
      </c>
      <c r="E539" t="s">
        <v>205</v>
      </c>
      <c r="F539">
        <v>7.5</v>
      </c>
      <c r="G539">
        <v>0</v>
      </c>
      <c r="H539" t="s">
        <v>24</v>
      </c>
    </row>
    <row r="540" spans="1:8" hidden="1" x14ac:dyDescent="0.25">
      <c r="A540" t="s">
        <v>144</v>
      </c>
      <c r="B540" t="s">
        <v>4</v>
      </c>
      <c r="C540" s="38">
        <v>45076</v>
      </c>
      <c r="D540" t="s">
        <v>240</v>
      </c>
      <c r="E540" t="s">
        <v>205</v>
      </c>
      <c r="F540">
        <v>7.3</v>
      </c>
      <c r="G540">
        <v>0.2</v>
      </c>
      <c r="H540" t="s">
        <v>24</v>
      </c>
    </row>
    <row r="541" spans="1:8" hidden="1" x14ac:dyDescent="0.25">
      <c r="A541" t="s">
        <v>178</v>
      </c>
      <c r="B541" t="s">
        <v>2</v>
      </c>
      <c r="C541" s="38">
        <v>45076</v>
      </c>
      <c r="D541" t="s">
        <v>235</v>
      </c>
      <c r="E541" t="s">
        <v>205</v>
      </c>
      <c r="F541">
        <v>7</v>
      </c>
      <c r="G541">
        <v>1</v>
      </c>
      <c r="H541" t="s">
        <v>24</v>
      </c>
    </row>
    <row r="542" spans="1:8" hidden="1" x14ac:dyDescent="0.25">
      <c r="A542" t="s">
        <v>144</v>
      </c>
      <c r="B542" t="s">
        <v>4</v>
      </c>
      <c r="C542" s="38">
        <v>45076</v>
      </c>
      <c r="D542" t="s">
        <v>236</v>
      </c>
      <c r="E542" t="s">
        <v>201</v>
      </c>
      <c r="F542">
        <v>0.5</v>
      </c>
      <c r="G542">
        <v>0.2</v>
      </c>
      <c r="H542" t="s">
        <v>24</v>
      </c>
    </row>
    <row r="543" spans="1:8" hidden="1" x14ac:dyDescent="0.25">
      <c r="A543" t="s">
        <v>185</v>
      </c>
      <c r="B543" t="s">
        <v>2</v>
      </c>
      <c r="C543" s="38">
        <v>45076</v>
      </c>
      <c r="D543" t="s">
        <v>236</v>
      </c>
      <c r="E543" t="s">
        <v>205</v>
      </c>
      <c r="F543">
        <v>7.5</v>
      </c>
      <c r="G543">
        <v>0</v>
      </c>
      <c r="H543" t="s">
        <v>24</v>
      </c>
    </row>
    <row r="544" spans="1:8" hidden="1" x14ac:dyDescent="0.25">
      <c r="A544" t="s">
        <v>189</v>
      </c>
      <c r="B544" t="s">
        <v>2</v>
      </c>
      <c r="C544" s="38">
        <v>45076</v>
      </c>
      <c r="D544" t="s">
        <v>236</v>
      </c>
      <c r="E544" t="s">
        <v>201</v>
      </c>
      <c r="F544">
        <v>0.2</v>
      </c>
      <c r="G544">
        <v>0.5</v>
      </c>
      <c r="H544" t="s">
        <v>24</v>
      </c>
    </row>
    <row r="545" spans="1:8" hidden="1" x14ac:dyDescent="0.25">
      <c r="A545" t="s">
        <v>192</v>
      </c>
      <c r="B545" t="s">
        <v>2</v>
      </c>
      <c r="C545" s="38">
        <v>45076</v>
      </c>
      <c r="D545" t="s">
        <v>240</v>
      </c>
      <c r="E545" t="s">
        <v>205</v>
      </c>
      <c r="F545">
        <v>7.3</v>
      </c>
      <c r="G545">
        <v>0.5</v>
      </c>
      <c r="H545" t="s">
        <v>24</v>
      </c>
    </row>
    <row r="546" spans="1:8" hidden="1" x14ac:dyDescent="0.25">
      <c r="A546" t="s">
        <v>190</v>
      </c>
      <c r="B546" t="s">
        <v>2</v>
      </c>
      <c r="C546" s="38">
        <v>45076</v>
      </c>
      <c r="D546" t="s">
        <v>235</v>
      </c>
      <c r="E546" t="s">
        <v>205</v>
      </c>
      <c r="F546">
        <v>7.1</v>
      </c>
      <c r="G546">
        <v>0</v>
      </c>
      <c r="H546" t="s">
        <v>24</v>
      </c>
    </row>
    <row r="547" spans="1:8" hidden="1" x14ac:dyDescent="0.25">
      <c r="A547" t="s">
        <v>192</v>
      </c>
      <c r="B547" t="s">
        <v>2</v>
      </c>
      <c r="C547" s="38">
        <v>45076</v>
      </c>
      <c r="D547" t="s">
        <v>236</v>
      </c>
      <c r="E547" t="s">
        <v>201</v>
      </c>
      <c r="F547">
        <v>0.2</v>
      </c>
      <c r="G547">
        <v>0.5</v>
      </c>
      <c r="H547" t="s">
        <v>24</v>
      </c>
    </row>
    <row r="548" spans="1:8" hidden="1" x14ac:dyDescent="0.25">
      <c r="A548" t="s">
        <v>154</v>
      </c>
      <c r="B548" t="s">
        <v>2</v>
      </c>
      <c r="C548" s="38">
        <v>45076</v>
      </c>
      <c r="D548" t="s">
        <v>235</v>
      </c>
      <c r="E548" t="s">
        <v>205</v>
      </c>
      <c r="F548">
        <v>7.8</v>
      </c>
      <c r="G548">
        <v>0</v>
      </c>
      <c r="H548" t="s">
        <v>24</v>
      </c>
    </row>
    <row r="549" spans="1:8" hidden="1" x14ac:dyDescent="0.25">
      <c r="A549" t="s">
        <v>158</v>
      </c>
      <c r="B549" t="s">
        <v>2</v>
      </c>
      <c r="C549" s="38">
        <v>45076</v>
      </c>
      <c r="D549" t="s">
        <v>235</v>
      </c>
      <c r="E549" t="s">
        <v>205</v>
      </c>
      <c r="F549">
        <v>7.8</v>
      </c>
      <c r="G549">
        <v>0</v>
      </c>
      <c r="H549" t="s">
        <v>24</v>
      </c>
    </row>
    <row r="550" spans="1:8" x14ac:dyDescent="0.25">
      <c r="A550" t="s">
        <v>5</v>
      </c>
      <c r="B550" t="s">
        <v>4</v>
      </c>
      <c r="C550" s="38">
        <v>45076</v>
      </c>
      <c r="D550" t="s">
        <v>235</v>
      </c>
      <c r="E550" t="s">
        <v>205</v>
      </c>
      <c r="F550">
        <v>0.5</v>
      </c>
      <c r="G550">
        <v>0</v>
      </c>
      <c r="H550" t="s">
        <v>24</v>
      </c>
    </row>
    <row r="551" spans="1:8" x14ac:dyDescent="0.25">
      <c r="A551" t="s">
        <v>5</v>
      </c>
      <c r="B551" t="s">
        <v>4</v>
      </c>
      <c r="C551" s="38">
        <v>45076</v>
      </c>
      <c r="D551" t="s">
        <v>236</v>
      </c>
      <c r="E551" t="s">
        <v>201</v>
      </c>
      <c r="F551">
        <v>7.5</v>
      </c>
      <c r="G551">
        <v>0</v>
      </c>
      <c r="H551" t="s">
        <v>24</v>
      </c>
    </row>
    <row r="552" spans="1:8" hidden="1" x14ac:dyDescent="0.25">
      <c r="A552" t="s">
        <v>158</v>
      </c>
      <c r="B552" t="s">
        <v>2</v>
      </c>
      <c r="C552" s="38">
        <v>45076</v>
      </c>
      <c r="D552" t="s">
        <v>240</v>
      </c>
      <c r="E552" t="s">
        <v>201</v>
      </c>
      <c r="F552">
        <v>0.2</v>
      </c>
      <c r="G552">
        <v>0</v>
      </c>
      <c r="H552" t="s">
        <v>24</v>
      </c>
    </row>
    <row r="553" spans="1:8" hidden="1" x14ac:dyDescent="0.25">
      <c r="A553" t="s">
        <v>210</v>
      </c>
      <c r="B553" t="s">
        <v>2</v>
      </c>
      <c r="C553" s="38">
        <v>45076</v>
      </c>
      <c r="D553" t="s">
        <v>240</v>
      </c>
      <c r="E553" t="s">
        <v>205</v>
      </c>
      <c r="F553">
        <v>0.2</v>
      </c>
      <c r="G553">
        <v>0</v>
      </c>
      <c r="H553" t="s">
        <v>24</v>
      </c>
    </row>
    <row r="554" spans="1:8" hidden="1" x14ac:dyDescent="0.25">
      <c r="A554" t="s">
        <v>182</v>
      </c>
      <c r="B554" t="s">
        <v>2</v>
      </c>
      <c r="C554" s="38">
        <v>45076</v>
      </c>
      <c r="D554" t="s">
        <v>235</v>
      </c>
      <c r="E554" t="s">
        <v>201</v>
      </c>
      <c r="F554">
        <v>0.5</v>
      </c>
      <c r="G554">
        <v>0</v>
      </c>
      <c r="H554" t="s">
        <v>24</v>
      </c>
    </row>
    <row r="555" spans="1:8" hidden="1" x14ac:dyDescent="0.25">
      <c r="A555" t="s">
        <v>141</v>
      </c>
      <c r="B555" t="s">
        <v>4</v>
      </c>
      <c r="C555" s="38">
        <v>45076</v>
      </c>
      <c r="D555" t="s">
        <v>240</v>
      </c>
      <c r="E555" t="s">
        <v>205</v>
      </c>
      <c r="F555">
        <v>0.2</v>
      </c>
      <c r="G555">
        <v>0</v>
      </c>
      <c r="H555" t="s">
        <v>24</v>
      </c>
    </row>
    <row r="556" spans="1:8" hidden="1" x14ac:dyDescent="0.25">
      <c r="A556" t="s">
        <v>141</v>
      </c>
      <c r="B556" t="s">
        <v>4</v>
      </c>
      <c r="C556" s="38">
        <v>45076</v>
      </c>
      <c r="D556" t="s">
        <v>235</v>
      </c>
      <c r="E556" t="s">
        <v>201</v>
      </c>
      <c r="F556">
        <v>7.8</v>
      </c>
      <c r="G556">
        <v>0</v>
      </c>
      <c r="H556" t="s">
        <v>24</v>
      </c>
    </row>
    <row r="557" spans="1:8" hidden="1" x14ac:dyDescent="0.25">
      <c r="A557" t="s">
        <v>215</v>
      </c>
      <c r="B557" t="s">
        <v>2</v>
      </c>
      <c r="C557" s="38">
        <v>45076</v>
      </c>
      <c r="D557" t="s">
        <v>240</v>
      </c>
      <c r="E557" t="s">
        <v>201</v>
      </c>
      <c r="F557">
        <v>0.2</v>
      </c>
      <c r="G557">
        <v>0</v>
      </c>
      <c r="H557" t="s">
        <v>24</v>
      </c>
    </row>
    <row r="558" spans="1:8" hidden="1" x14ac:dyDescent="0.25">
      <c r="A558" t="s">
        <v>167</v>
      </c>
      <c r="B558" t="s">
        <v>2</v>
      </c>
      <c r="C558" s="38">
        <v>45076</v>
      </c>
      <c r="D558" t="s">
        <v>240</v>
      </c>
      <c r="E558" t="s">
        <v>201</v>
      </c>
      <c r="F558">
        <v>0.2</v>
      </c>
      <c r="G558">
        <v>0</v>
      </c>
      <c r="H558" t="s">
        <v>24</v>
      </c>
    </row>
    <row r="559" spans="1:8" hidden="1" x14ac:dyDescent="0.25">
      <c r="A559" t="s">
        <v>198</v>
      </c>
      <c r="B559" t="s">
        <v>4</v>
      </c>
      <c r="C559" s="38">
        <v>45076</v>
      </c>
      <c r="D559" t="s">
        <v>236</v>
      </c>
      <c r="E559" t="s">
        <v>205</v>
      </c>
      <c r="F559">
        <v>7.5</v>
      </c>
      <c r="G559">
        <v>0</v>
      </c>
      <c r="H559" t="s">
        <v>24</v>
      </c>
    </row>
    <row r="560" spans="1:8" hidden="1" x14ac:dyDescent="0.25">
      <c r="A560" t="s">
        <v>198</v>
      </c>
      <c r="B560" t="s">
        <v>4</v>
      </c>
      <c r="C560" s="38">
        <v>45076</v>
      </c>
      <c r="D560" t="s">
        <v>235</v>
      </c>
      <c r="E560" t="s">
        <v>201</v>
      </c>
      <c r="F560">
        <v>0.5</v>
      </c>
      <c r="G560">
        <v>0</v>
      </c>
      <c r="H560" t="s">
        <v>24</v>
      </c>
    </row>
    <row r="561" spans="1:8" hidden="1" x14ac:dyDescent="0.25">
      <c r="A561" t="s">
        <v>150</v>
      </c>
      <c r="B561" t="s">
        <v>2</v>
      </c>
      <c r="C561" s="38">
        <v>45076</v>
      </c>
      <c r="D561" t="s">
        <v>235</v>
      </c>
      <c r="E561" t="s">
        <v>205</v>
      </c>
      <c r="F561">
        <v>7</v>
      </c>
      <c r="G561">
        <v>1</v>
      </c>
      <c r="H561" t="s">
        <v>24</v>
      </c>
    </row>
    <row r="562" spans="1:8" hidden="1" x14ac:dyDescent="0.25">
      <c r="A562" t="s">
        <v>152</v>
      </c>
      <c r="B562" t="s">
        <v>2</v>
      </c>
      <c r="C562" s="38">
        <v>45076</v>
      </c>
      <c r="D562" t="s">
        <v>235</v>
      </c>
      <c r="E562" t="s">
        <v>205</v>
      </c>
      <c r="F562">
        <v>7</v>
      </c>
      <c r="G562">
        <v>1</v>
      </c>
      <c r="H562" t="s">
        <v>24</v>
      </c>
    </row>
    <row r="563" spans="1:8" hidden="1" x14ac:dyDescent="0.25">
      <c r="A563" t="s">
        <v>179</v>
      </c>
      <c r="B563" t="s">
        <v>2</v>
      </c>
      <c r="C563" s="38">
        <v>45077</v>
      </c>
      <c r="D563" t="s">
        <v>240</v>
      </c>
      <c r="E563" t="s">
        <v>205</v>
      </c>
      <c r="F563">
        <v>7.3</v>
      </c>
      <c r="G563">
        <v>0.7</v>
      </c>
      <c r="H563" t="s">
        <v>24</v>
      </c>
    </row>
    <row r="564" spans="1:8" hidden="1" x14ac:dyDescent="0.25">
      <c r="A564" t="s">
        <v>167</v>
      </c>
      <c r="B564" t="s">
        <v>2</v>
      </c>
      <c r="C564" s="38">
        <v>45077</v>
      </c>
      <c r="D564" t="s">
        <v>240</v>
      </c>
      <c r="E564" t="s">
        <v>201</v>
      </c>
      <c r="F564">
        <v>0.2</v>
      </c>
      <c r="G564">
        <v>0</v>
      </c>
      <c r="H564" t="s">
        <v>24</v>
      </c>
    </row>
    <row r="565" spans="1:8" hidden="1" x14ac:dyDescent="0.25">
      <c r="A565" t="s">
        <v>167</v>
      </c>
      <c r="B565" t="s">
        <v>2</v>
      </c>
      <c r="C565" s="38">
        <v>45077</v>
      </c>
      <c r="D565" t="s">
        <v>235</v>
      </c>
      <c r="E565" t="s">
        <v>205</v>
      </c>
      <c r="F565">
        <v>7.8</v>
      </c>
      <c r="G565">
        <v>0</v>
      </c>
      <c r="H565" t="s">
        <v>24</v>
      </c>
    </row>
    <row r="566" spans="1:8" hidden="1" x14ac:dyDescent="0.25">
      <c r="A566" t="s">
        <v>144</v>
      </c>
      <c r="B566" t="s">
        <v>4</v>
      </c>
      <c r="C566" s="38">
        <v>45077</v>
      </c>
      <c r="D566" t="s">
        <v>236</v>
      </c>
      <c r="E566" t="s">
        <v>201</v>
      </c>
      <c r="F566">
        <v>0.5</v>
      </c>
      <c r="G566">
        <v>1.2</v>
      </c>
      <c r="H566" t="s">
        <v>24</v>
      </c>
    </row>
    <row r="567" spans="1:8" hidden="1" x14ac:dyDescent="0.25">
      <c r="A567" t="s">
        <v>158</v>
      </c>
      <c r="B567" t="s">
        <v>2</v>
      </c>
      <c r="C567" s="38">
        <v>45077</v>
      </c>
      <c r="D567" t="s">
        <v>235</v>
      </c>
      <c r="E567" t="s">
        <v>201</v>
      </c>
      <c r="F567">
        <v>7.8</v>
      </c>
      <c r="G567">
        <v>0</v>
      </c>
      <c r="H567" t="s">
        <v>24</v>
      </c>
    </row>
    <row r="568" spans="1:8" hidden="1" x14ac:dyDescent="0.25">
      <c r="A568" t="s">
        <v>152</v>
      </c>
      <c r="B568" t="s">
        <v>2</v>
      </c>
      <c r="C568" s="38">
        <v>45077</v>
      </c>
      <c r="D568" t="s">
        <v>235</v>
      </c>
      <c r="E568" t="s">
        <v>205</v>
      </c>
      <c r="F568">
        <v>7</v>
      </c>
      <c r="G568">
        <v>1</v>
      </c>
      <c r="H568" t="s">
        <v>24</v>
      </c>
    </row>
    <row r="569" spans="1:8" hidden="1" x14ac:dyDescent="0.25">
      <c r="A569" t="s">
        <v>150</v>
      </c>
      <c r="B569" t="s">
        <v>2</v>
      </c>
      <c r="C569" s="38">
        <v>45077</v>
      </c>
      <c r="D569" t="s">
        <v>235</v>
      </c>
      <c r="E569" t="s">
        <v>205</v>
      </c>
      <c r="F569">
        <v>7</v>
      </c>
      <c r="G569">
        <v>1</v>
      </c>
      <c r="H569" t="s">
        <v>24</v>
      </c>
    </row>
    <row r="570" spans="1:8" hidden="1" x14ac:dyDescent="0.25">
      <c r="A570" t="s">
        <v>158</v>
      </c>
      <c r="B570" t="s">
        <v>2</v>
      </c>
      <c r="C570" s="38">
        <v>45077</v>
      </c>
      <c r="D570" t="s">
        <v>240</v>
      </c>
      <c r="E570" t="s">
        <v>201</v>
      </c>
      <c r="F570">
        <v>0.2</v>
      </c>
      <c r="G570">
        <v>0</v>
      </c>
      <c r="H570" t="s">
        <v>24</v>
      </c>
    </row>
    <row r="571" spans="1:8" hidden="1" x14ac:dyDescent="0.25">
      <c r="A571" t="s">
        <v>198</v>
      </c>
      <c r="B571" t="s">
        <v>4</v>
      </c>
      <c r="C571" s="38">
        <v>45077</v>
      </c>
      <c r="D571" t="s">
        <v>235</v>
      </c>
      <c r="E571" t="s">
        <v>201</v>
      </c>
      <c r="F571">
        <v>0.5</v>
      </c>
      <c r="G571">
        <v>0</v>
      </c>
      <c r="H571" t="s">
        <v>24</v>
      </c>
    </row>
    <row r="572" spans="1:8" hidden="1" x14ac:dyDescent="0.25">
      <c r="A572" t="s">
        <v>157</v>
      </c>
      <c r="B572" t="s">
        <v>2</v>
      </c>
      <c r="C572" s="38">
        <v>45077</v>
      </c>
      <c r="D572" t="s">
        <v>236</v>
      </c>
      <c r="E572" t="s">
        <v>205</v>
      </c>
      <c r="F572">
        <v>7.5</v>
      </c>
      <c r="G572">
        <v>0.5</v>
      </c>
      <c r="H572" t="s">
        <v>24</v>
      </c>
    </row>
    <row r="573" spans="1:8" hidden="1" x14ac:dyDescent="0.25">
      <c r="A573" t="s">
        <v>198</v>
      </c>
      <c r="B573" t="s">
        <v>4</v>
      </c>
      <c r="C573" s="38">
        <v>45077</v>
      </c>
      <c r="D573" t="s">
        <v>236</v>
      </c>
      <c r="E573" t="s">
        <v>205</v>
      </c>
      <c r="F573">
        <v>7.5</v>
      </c>
      <c r="G573">
        <v>0</v>
      </c>
      <c r="H573" t="s">
        <v>24</v>
      </c>
    </row>
    <row r="574" spans="1:8" hidden="1" x14ac:dyDescent="0.25">
      <c r="A574" t="s">
        <v>181</v>
      </c>
      <c r="B574" t="s">
        <v>2</v>
      </c>
      <c r="C574" s="38">
        <v>45077</v>
      </c>
      <c r="D574" t="s">
        <v>235</v>
      </c>
      <c r="E574" t="s">
        <v>201</v>
      </c>
      <c r="F574">
        <v>0.5</v>
      </c>
      <c r="G574">
        <v>0</v>
      </c>
      <c r="H574" t="s">
        <v>24</v>
      </c>
    </row>
    <row r="575" spans="1:8" hidden="1" x14ac:dyDescent="0.25">
      <c r="A575" t="s">
        <v>181</v>
      </c>
      <c r="B575" t="s">
        <v>2</v>
      </c>
      <c r="C575" s="38">
        <v>45077</v>
      </c>
      <c r="D575" t="s">
        <v>236</v>
      </c>
      <c r="E575" t="s">
        <v>205</v>
      </c>
      <c r="F575">
        <v>7.5</v>
      </c>
      <c r="G575">
        <v>0</v>
      </c>
      <c r="H575" t="s">
        <v>24</v>
      </c>
    </row>
    <row r="576" spans="1:8" hidden="1" x14ac:dyDescent="0.25">
      <c r="A576" t="s">
        <v>174</v>
      </c>
      <c r="B576" t="s">
        <v>2</v>
      </c>
      <c r="C576" s="38">
        <v>45077</v>
      </c>
      <c r="D576" t="s">
        <v>236</v>
      </c>
      <c r="E576" t="s">
        <v>205</v>
      </c>
      <c r="F576">
        <v>7.5</v>
      </c>
      <c r="G576">
        <v>0.5</v>
      </c>
      <c r="H576" t="s">
        <v>24</v>
      </c>
    </row>
    <row r="577" spans="1:8" hidden="1" x14ac:dyDescent="0.25">
      <c r="A577" t="s">
        <v>183</v>
      </c>
      <c r="B577" t="s">
        <v>2</v>
      </c>
      <c r="C577" s="38">
        <v>45077</v>
      </c>
      <c r="D577" t="s">
        <v>236</v>
      </c>
      <c r="E577" t="s">
        <v>205</v>
      </c>
      <c r="F577">
        <v>6</v>
      </c>
      <c r="G577">
        <v>1.9</v>
      </c>
      <c r="H577" t="s">
        <v>24</v>
      </c>
    </row>
    <row r="578" spans="1:8" hidden="1" x14ac:dyDescent="0.25">
      <c r="A578" t="s">
        <v>176</v>
      </c>
      <c r="B578" t="s">
        <v>2</v>
      </c>
      <c r="C578" s="38">
        <v>45077</v>
      </c>
      <c r="D578" t="s">
        <v>240</v>
      </c>
      <c r="E578" t="s">
        <v>201</v>
      </c>
      <c r="F578">
        <v>0.2</v>
      </c>
      <c r="G578">
        <v>0</v>
      </c>
      <c r="H578" t="s">
        <v>24</v>
      </c>
    </row>
    <row r="579" spans="1:8" hidden="1" x14ac:dyDescent="0.25">
      <c r="A579" t="s">
        <v>165</v>
      </c>
      <c r="B579" t="s">
        <v>2</v>
      </c>
      <c r="C579" s="38">
        <v>45077</v>
      </c>
      <c r="D579" t="s">
        <v>240</v>
      </c>
      <c r="E579" t="s">
        <v>205</v>
      </c>
      <c r="F579">
        <v>7.3</v>
      </c>
      <c r="G579">
        <v>0.7</v>
      </c>
      <c r="H579" t="s">
        <v>24</v>
      </c>
    </row>
    <row r="580" spans="1:8" hidden="1" x14ac:dyDescent="0.25">
      <c r="A580" t="s">
        <v>176</v>
      </c>
      <c r="B580" t="s">
        <v>2</v>
      </c>
      <c r="C580" s="38">
        <v>45077</v>
      </c>
      <c r="D580" t="s">
        <v>235</v>
      </c>
      <c r="E580" t="s">
        <v>205</v>
      </c>
      <c r="F580">
        <v>7.8</v>
      </c>
      <c r="G580">
        <v>0</v>
      </c>
      <c r="H580" t="s">
        <v>24</v>
      </c>
    </row>
    <row r="581" spans="1:8" hidden="1" x14ac:dyDescent="0.25">
      <c r="A581" t="s">
        <v>186</v>
      </c>
      <c r="B581" t="s">
        <v>2</v>
      </c>
      <c r="C581" s="38">
        <v>45077</v>
      </c>
      <c r="D581" t="s">
        <v>235</v>
      </c>
      <c r="E581" t="s">
        <v>205</v>
      </c>
      <c r="F581">
        <v>7</v>
      </c>
      <c r="G581">
        <v>1</v>
      </c>
      <c r="H581" t="s">
        <v>24</v>
      </c>
    </row>
    <row r="582" spans="1:8" hidden="1" x14ac:dyDescent="0.25">
      <c r="A582" t="s">
        <v>217</v>
      </c>
      <c r="B582" t="s">
        <v>2</v>
      </c>
      <c r="C582" s="38">
        <v>45077</v>
      </c>
      <c r="D582" t="s">
        <v>235</v>
      </c>
      <c r="E582" t="s">
        <v>201</v>
      </c>
      <c r="F582">
        <v>7.8</v>
      </c>
      <c r="G582">
        <v>0</v>
      </c>
      <c r="H582" t="s">
        <v>24</v>
      </c>
    </row>
    <row r="583" spans="1:8" hidden="1" x14ac:dyDescent="0.25">
      <c r="A583" t="s">
        <v>244</v>
      </c>
      <c r="B583" t="s">
        <v>2</v>
      </c>
      <c r="C583" s="38">
        <v>45077</v>
      </c>
      <c r="D583" t="s">
        <v>235</v>
      </c>
      <c r="E583" t="s">
        <v>204</v>
      </c>
      <c r="F583">
        <v>0</v>
      </c>
      <c r="G583">
        <v>0</v>
      </c>
      <c r="H583" t="s">
        <v>24</v>
      </c>
    </row>
    <row r="584" spans="1:8" hidden="1" x14ac:dyDescent="0.25">
      <c r="A584" t="s">
        <v>220</v>
      </c>
      <c r="B584" t="s">
        <v>4</v>
      </c>
      <c r="C584" s="38">
        <v>45077</v>
      </c>
      <c r="D584" t="s">
        <v>240</v>
      </c>
      <c r="E584" t="s">
        <v>201</v>
      </c>
      <c r="F584">
        <v>7.3</v>
      </c>
      <c r="G584">
        <v>0.7</v>
      </c>
      <c r="H584" t="s">
        <v>24</v>
      </c>
    </row>
    <row r="585" spans="1:8" hidden="1" x14ac:dyDescent="0.25">
      <c r="A585" t="s">
        <v>243</v>
      </c>
      <c r="B585" t="s">
        <v>4</v>
      </c>
      <c r="C585" s="38">
        <v>45077</v>
      </c>
      <c r="D585" t="s">
        <v>235</v>
      </c>
      <c r="E585" t="s">
        <v>204</v>
      </c>
      <c r="F585">
        <v>0</v>
      </c>
      <c r="G585">
        <v>0</v>
      </c>
      <c r="H585" t="s">
        <v>24</v>
      </c>
    </row>
    <row r="586" spans="1:8" hidden="1" x14ac:dyDescent="0.25">
      <c r="A586" t="s">
        <v>244</v>
      </c>
      <c r="B586" t="s">
        <v>2</v>
      </c>
      <c r="C586" s="38">
        <v>45077</v>
      </c>
      <c r="D586" t="s">
        <v>236</v>
      </c>
      <c r="E586" t="s">
        <v>204</v>
      </c>
      <c r="F586">
        <v>0</v>
      </c>
      <c r="G586">
        <v>0</v>
      </c>
      <c r="H586" t="s">
        <v>24</v>
      </c>
    </row>
    <row r="587" spans="1:8" hidden="1" x14ac:dyDescent="0.25">
      <c r="A587" t="s">
        <v>182</v>
      </c>
      <c r="B587" t="s">
        <v>2</v>
      </c>
      <c r="C587" s="38">
        <v>45077</v>
      </c>
      <c r="D587" t="s">
        <v>235</v>
      </c>
      <c r="E587" t="s">
        <v>201</v>
      </c>
      <c r="F587">
        <v>0.5</v>
      </c>
      <c r="G587">
        <v>0</v>
      </c>
      <c r="H587" t="s">
        <v>24</v>
      </c>
    </row>
    <row r="588" spans="1:8" hidden="1" x14ac:dyDescent="0.25">
      <c r="A588" t="s">
        <v>187</v>
      </c>
      <c r="B588" t="s">
        <v>2</v>
      </c>
      <c r="C588" s="38">
        <v>45077</v>
      </c>
      <c r="D588" t="s">
        <v>236</v>
      </c>
      <c r="E588" t="s">
        <v>201</v>
      </c>
      <c r="F588">
        <v>0.2</v>
      </c>
      <c r="G588">
        <v>2.6</v>
      </c>
      <c r="H588" t="s">
        <v>24</v>
      </c>
    </row>
    <row r="589" spans="1:8" hidden="1" x14ac:dyDescent="0.25">
      <c r="A589" t="s">
        <v>242</v>
      </c>
      <c r="B589" t="s">
        <v>2</v>
      </c>
      <c r="C589" s="38">
        <v>45077</v>
      </c>
      <c r="D589" t="s">
        <v>236</v>
      </c>
      <c r="E589" t="s">
        <v>204</v>
      </c>
      <c r="F589">
        <v>0</v>
      </c>
      <c r="G589">
        <v>0</v>
      </c>
      <c r="H589" t="s">
        <v>24</v>
      </c>
    </row>
    <row r="590" spans="1:8" hidden="1" x14ac:dyDescent="0.25">
      <c r="A590" t="s">
        <v>152</v>
      </c>
      <c r="B590" t="s">
        <v>2</v>
      </c>
      <c r="C590" s="38">
        <v>45077</v>
      </c>
      <c r="D590" t="s">
        <v>236</v>
      </c>
      <c r="E590" t="s">
        <v>204</v>
      </c>
      <c r="F590">
        <v>0</v>
      </c>
      <c r="G590">
        <v>0</v>
      </c>
      <c r="H590" t="s">
        <v>24</v>
      </c>
    </row>
    <row r="591" spans="1:8" hidden="1" x14ac:dyDescent="0.25">
      <c r="A591" t="s">
        <v>245</v>
      </c>
      <c r="B591" t="s">
        <v>2</v>
      </c>
      <c r="C591" s="38">
        <v>45077</v>
      </c>
      <c r="D591" t="s">
        <v>235</v>
      </c>
      <c r="E591" t="s">
        <v>204</v>
      </c>
      <c r="F591">
        <v>0</v>
      </c>
      <c r="G591">
        <v>0</v>
      </c>
      <c r="H591" t="s">
        <v>24</v>
      </c>
    </row>
    <row r="592" spans="1:8" hidden="1" x14ac:dyDescent="0.25">
      <c r="A592" t="s">
        <v>182</v>
      </c>
      <c r="B592" t="s">
        <v>2</v>
      </c>
      <c r="C592" s="38">
        <v>45077</v>
      </c>
      <c r="D592" t="s">
        <v>236</v>
      </c>
      <c r="E592" t="s">
        <v>205</v>
      </c>
      <c r="F592">
        <v>7.5</v>
      </c>
      <c r="G592">
        <v>0</v>
      </c>
      <c r="H592" t="s">
        <v>24</v>
      </c>
    </row>
    <row r="593" spans="1:8" hidden="1" x14ac:dyDescent="0.25">
      <c r="A593" t="s">
        <v>215</v>
      </c>
      <c r="B593" t="s">
        <v>2</v>
      </c>
      <c r="C593" s="38">
        <v>45077</v>
      </c>
      <c r="D593" t="s">
        <v>235</v>
      </c>
      <c r="E593" t="s">
        <v>201</v>
      </c>
      <c r="F593">
        <v>7.8</v>
      </c>
      <c r="G593">
        <v>0</v>
      </c>
      <c r="H593" t="s">
        <v>24</v>
      </c>
    </row>
    <row r="594" spans="1:8" x14ac:dyDescent="0.25">
      <c r="A594" t="s">
        <v>5</v>
      </c>
      <c r="B594" t="s">
        <v>4</v>
      </c>
      <c r="C594" s="38">
        <v>45077</v>
      </c>
      <c r="D594" t="s">
        <v>235</v>
      </c>
      <c r="E594" t="s">
        <v>205</v>
      </c>
      <c r="F594">
        <v>0.5</v>
      </c>
      <c r="G594">
        <v>0</v>
      </c>
      <c r="H594" t="s">
        <v>24</v>
      </c>
    </row>
    <row r="595" spans="1:8" x14ac:dyDescent="0.25">
      <c r="A595" t="s">
        <v>5</v>
      </c>
      <c r="B595" t="s">
        <v>4</v>
      </c>
      <c r="C595" s="38">
        <v>45077</v>
      </c>
      <c r="D595" t="s">
        <v>236</v>
      </c>
      <c r="E595" t="s">
        <v>201</v>
      </c>
      <c r="F595">
        <v>7.5</v>
      </c>
      <c r="G595">
        <v>0</v>
      </c>
      <c r="H595" t="s">
        <v>24</v>
      </c>
    </row>
    <row r="596" spans="1:8" hidden="1" x14ac:dyDescent="0.25">
      <c r="A596" t="s">
        <v>171</v>
      </c>
      <c r="B596" t="s">
        <v>2</v>
      </c>
      <c r="C596" s="38">
        <v>45077</v>
      </c>
      <c r="D596" t="s">
        <v>236</v>
      </c>
      <c r="E596" t="s">
        <v>205</v>
      </c>
      <c r="F596">
        <v>7.5</v>
      </c>
      <c r="G596">
        <v>0.5</v>
      </c>
      <c r="H596" t="s">
        <v>24</v>
      </c>
    </row>
    <row r="597" spans="1:8" hidden="1" x14ac:dyDescent="0.25">
      <c r="A597" t="s">
        <v>190</v>
      </c>
      <c r="B597" t="s">
        <v>2</v>
      </c>
      <c r="C597" s="38">
        <v>45077</v>
      </c>
      <c r="D597" t="s">
        <v>235</v>
      </c>
      <c r="E597" t="s">
        <v>205</v>
      </c>
      <c r="F597">
        <v>7.1</v>
      </c>
      <c r="G597">
        <v>0</v>
      </c>
      <c r="H597" t="s">
        <v>24</v>
      </c>
    </row>
    <row r="598" spans="1:8" hidden="1" x14ac:dyDescent="0.25">
      <c r="A598" t="s">
        <v>190</v>
      </c>
      <c r="B598" t="s">
        <v>2</v>
      </c>
      <c r="C598" s="38">
        <v>45077</v>
      </c>
      <c r="D598" t="s">
        <v>236</v>
      </c>
      <c r="E598" t="s">
        <v>201</v>
      </c>
      <c r="F598">
        <v>2.4</v>
      </c>
      <c r="G598">
        <v>0</v>
      </c>
      <c r="H598" t="s">
        <v>24</v>
      </c>
    </row>
    <row r="599" spans="1:8" hidden="1" x14ac:dyDescent="0.25">
      <c r="A599" t="s">
        <v>192</v>
      </c>
      <c r="B599" t="s">
        <v>2</v>
      </c>
      <c r="C599" s="38">
        <v>45077</v>
      </c>
      <c r="D599" t="s">
        <v>236</v>
      </c>
      <c r="E599" t="s">
        <v>201</v>
      </c>
      <c r="F599">
        <v>0.2</v>
      </c>
      <c r="G599">
        <v>2.6</v>
      </c>
      <c r="H599" t="s">
        <v>24</v>
      </c>
    </row>
    <row r="600" spans="1:8" hidden="1" x14ac:dyDescent="0.25">
      <c r="A600" t="s">
        <v>3</v>
      </c>
      <c r="B600" t="s">
        <v>2</v>
      </c>
      <c r="C600" s="38">
        <v>45077</v>
      </c>
      <c r="D600" t="s">
        <v>236</v>
      </c>
      <c r="E600" t="s">
        <v>205</v>
      </c>
      <c r="F600">
        <v>7.5</v>
      </c>
      <c r="G600">
        <v>0</v>
      </c>
      <c r="H600" t="s">
        <v>24</v>
      </c>
    </row>
    <row r="601" spans="1:8" hidden="1" x14ac:dyDescent="0.25">
      <c r="A601" t="s">
        <v>215</v>
      </c>
      <c r="B601" t="s">
        <v>2</v>
      </c>
      <c r="C601" s="38">
        <v>45077</v>
      </c>
      <c r="D601" t="s">
        <v>240</v>
      </c>
      <c r="E601" t="s">
        <v>201</v>
      </c>
      <c r="F601">
        <v>0.2</v>
      </c>
      <c r="G601">
        <v>0</v>
      </c>
      <c r="H601" t="s">
        <v>24</v>
      </c>
    </row>
    <row r="602" spans="1:8" hidden="1" x14ac:dyDescent="0.25">
      <c r="A602" t="s">
        <v>194</v>
      </c>
      <c r="B602" t="s">
        <v>2</v>
      </c>
      <c r="C602" s="38">
        <v>45077</v>
      </c>
      <c r="D602" t="s">
        <v>236</v>
      </c>
      <c r="E602" t="s">
        <v>205</v>
      </c>
      <c r="F602">
        <v>7.5</v>
      </c>
      <c r="G602">
        <v>0.5</v>
      </c>
      <c r="H602" t="s">
        <v>24</v>
      </c>
    </row>
    <row r="603" spans="1:8" hidden="1" x14ac:dyDescent="0.25">
      <c r="A603" t="s">
        <v>189</v>
      </c>
      <c r="B603" t="s">
        <v>2</v>
      </c>
      <c r="C603" s="38">
        <v>45077</v>
      </c>
      <c r="D603" t="s">
        <v>236</v>
      </c>
      <c r="E603" t="s">
        <v>201</v>
      </c>
      <c r="F603">
        <v>0.2</v>
      </c>
      <c r="G603">
        <v>2.4</v>
      </c>
      <c r="H603" t="s">
        <v>24</v>
      </c>
    </row>
    <row r="604" spans="1:8" hidden="1" x14ac:dyDescent="0.25">
      <c r="A604" t="s">
        <v>195</v>
      </c>
      <c r="B604" t="s">
        <v>2</v>
      </c>
      <c r="C604" s="38">
        <v>45077</v>
      </c>
      <c r="D604" t="s">
        <v>235</v>
      </c>
      <c r="E604" t="s">
        <v>205</v>
      </c>
      <c r="F604">
        <v>7.8</v>
      </c>
      <c r="G604">
        <v>0</v>
      </c>
      <c r="H604" t="s">
        <v>24</v>
      </c>
    </row>
    <row r="605" spans="1:8" hidden="1" x14ac:dyDescent="0.25">
      <c r="A605" t="s">
        <v>195</v>
      </c>
      <c r="B605" t="s">
        <v>2</v>
      </c>
      <c r="C605" s="38">
        <v>45077</v>
      </c>
      <c r="D605" t="s">
        <v>240</v>
      </c>
      <c r="E605" t="s">
        <v>201</v>
      </c>
      <c r="F605">
        <v>0.2</v>
      </c>
      <c r="G605">
        <v>0</v>
      </c>
      <c r="H605" t="s">
        <v>24</v>
      </c>
    </row>
    <row r="606" spans="1:8" hidden="1" x14ac:dyDescent="0.25">
      <c r="A606" t="s">
        <v>237</v>
      </c>
      <c r="B606" t="s">
        <v>2</v>
      </c>
      <c r="C606" s="38">
        <v>45077</v>
      </c>
      <c r="D606" t="s">
        <v>236</v>
      </c>
      <c r="E606" t="s">
        <v>204</v>
      </c>
      <c r="F606">
        <v>0</v>
      </c>
      <c r="G606">
        <v>0</v>
      </c>
      <c r="H606" t="s">
        <v>24</v>
      </c>
    </row>
    <row r="607" spans="1:8" hidden="1" x14ac:dyDescent="0.25">
      <c r="A607" t="s">
        <v>152</v>
      </c>
      <c r="B607" t="s">
        <v>2</v>
      </c>
      <c r="C607" s="38">
        <v>45077</v>
      </c>
      <c r="D607" t="s">
        <v>240</v>
      </c>
      <c r="E607" t="s">
        <v>204</v>
      </c>
      <c r="F607">
        <v>0</v>
      </c>
      <c r="G607">
        <v>0</v>
      </c>
      <c r="H607" t="s">
        <v>24</v>
      </c>
    </row>
    <row r="608" spans="1:8" hidden="1" x14ac:dyDescent="0.25">
      <c r="A608" t="s">
        <v>245</v>
      </c>
      <c r="B608" t="s">
        <v>2</v>
      </c>
      <c r="C608" s="38">
        <v>45077</v>
      </c>
      <c r="D608" t="s">
        <v>236</v>
      </c>
      <c r="E608" t="s">
        <v>204</v>
      </c>
      <c r="F608">
        <v>0</v>
      </c>
      <c r="G608">
        <v>0</v>
      </c>
      <c r="H608" t="s">
        <v>24</v>
      </c>
    </row>
    <row r="609" spans="1:8" hidden="1" x14ac:dyDescent="0.25">
      <c r="A609" t="s">
        <v>151</v>
      </c>
      <c r="B609" t="s">
        <v>2</v>
      </c>
      <c r="C609" s="38">
        <v>45077</v>
      </c>
      <c r="D609" t="s">
        <v>235</v>
      </c>
      <c r="E609" t="s">
        <v>204</v>
      </c>
      <c r="F609">
        <v>0</v>
      </c>
      <c r="G609">
        <v>0</v>
      </c>
      <c r="H609" t="s">
        <v>24</v>
      </c>
    </row>
    <row r="610" spans="1:8" hidden="1" x14ac:dyDescent="0.25">
      <c r="A610" t="s">
        <v>155</v>
      </c>
      <c r="B610" t="s">
        <v>2</v>
      </c>
      <c r="C610" s="38">
        <v>45077</v>
      </c>
      <c r="D610" t="s">
        <v>235</v>
      </c>
      <c r="E610" t="s">
        <v>204</v>
      </c>
      <c r="F610">
        <v>0</v>
      </c>
      <c r="G610">
        <v>0</v>
      </c>
      <c r="H610" t="s">
        <v>24</v>
      </c>
    </row>
    <row r="611" spans="1:8" hidden="1" x14ac:dyDescent="0.25">
      <c r="A611" t="s">
        <v>159</v>
      </c>
      <c r="B611" t="s">
        <v>2</v>
      </c>
      <c r="C611" s="38">
        <v>45077</v>
      </c>
      <c r="D611" t="s">
        <v>236</v>
      </c>
      <c r="E611" t="s">
        <v>204</v>
      </c>
      <c r="F611">
        <v>0</v>
      </c>
      <c r="G611">
        <v>0</v>
      </c>
      <c r="H611" t="s">
        <v>24</v>
      </c>
    </row>
    <row r="612" spans="1:8" hidden="1" x14ac:dyDescent="0.25">
      <c r="A612" t="s">
        <v>206</v>
      </c>
      <c r="B612" t="s">
        <v>2</v>
      </c>
      <c r="C612" s="38">
        <v>45077</v>
      </c>
      <c r="D612" t="s">
        <v>236</v>
      </c>
      <c r="E612" t="s">
        <v>201</v>
      </c>
      <c r="F612">
        <v>7.5</v>
      </c>
      <c r="G612">
        <v>0.5</v>
      </c>
      <c r="H612" t="s">
        <v>24</v>
      </c>
    </row>
    <row r="613" spans="1:8" hidden="1" x14ac:dyDescent="0.25">
      <c r="A613" t="s">
        <v>155</v>
      </c>
      <c r="B613" t="s">
        <v>2</v>
      </c>
      <c r="C613" s="38">
        <v>45077</v>
      </c>
      <c r="D613" t="s">
        <v>236</v>
      </c>
      <c r="E613" t="s">
        <v>205</v>
      </c>
      <c r="F613">
        <v>7.5</v>
      </c>
      <c r="G613">
        <v>0.5</v>
      </c>
      <c r="H613" t="s">
        <v>24</v>
      </c>
    </row>
    <row r="614" spans="1:8" hidden="1" x14ac:dyDescent="0.25">
      <c r="A614" t="s">
        <v>178</v>
      </c>
      <c r="B614" t="s">
        <v>2</v>
      </c>
      <c r="C614" s="38">
        <v>45077</v>
      </c>
      <c r="D614" t="s">
        <v>240</v>
      </c>
      <c r="E614" t="s">
        <v>201</v>
      </c>
      <c r="F614">
        <v>7.3</v>
      </c>
      <c r="G614">
        <v>0.7</v>
      </c>
      <c r="H614" t="s">
        <v>24</v>
      </c>
    </row>
    <row r="615" spans="1:8" hidden="1" x14ac:dyDescent="0.25">
      <c r="A615" t="s">
        <v>168</v>
      </c>
      <c r="B615" t="s">
        <v>2</v>
      </c>
      <c r="C615" s="38">
        <v>45077</v>
      </c>
      <c r="D615" t="s">
        <v>236</v>
      </c>
      <c r="E615" t="s">
        <v>201</v>
      </c>
      <c r="F615">
        <v>0.2</v>
      </c>
      <c r="G615">
        <v>2.2000000000000002</v>
      </c>
      <c r="H615" t="s">
        <v>24</v>
      </c>
    </row>
    <row r="616" spans="1:8" hidden="1" x14ac:dyDescent="0.25">
      <c r="A616" t="s">
        <v>153</v>
      </c>
      <c r="B616" t="s">
        <v>2</v>
      </c>
      <c r="C616" s="38">
        <v>45077</v>
      </c>
      <c r="D616" t="s">
        <v>236</v>
      </c>
      <c r="E616" t="s">
        <v>204</v>
      </c>
      <c r="F616">
        <v>0</v>
      </c>
      <c r="G616">
        <v>0</v>
      </c>
      <c r="H616" t="s">
        <v>24</v>
      </c>
    </row>
    <row r="617" spans="1:8" hidden="1" x14ac:dyDescent="0.25">
      <c r="A617" t="s">
        <v>151</v>
      </c>
      <c r="B617" t="s">
        <v>2</v>
      </c>
      <c r="C617" s="38">
        <v>45077</v>
      </c>
      <c r="D617" t="s">
        <v>236</v>
      </c>
      <c r="E617" t="s">
        <v>201</v>
      </c>
      <c r="F617">
        <v>7.5</v>
      </c>
      <c r="G617">
        <v>0.5</v>
      </c>
      <c r="H617" t="s">
        <v>24</v>
      </c>
    </row>
    <row r="618" spans="1:8" hidden="1" x14ac:dyDescent="0.25">
      <c r="A618" t="s">
        <v>238</v>
      </c>
      <c r="B618" t="s">
        <v>4</v>
      </c>
      <c r="C618" s="38">
        <v>45077</v>
      </c>
      <c r="D618" t="s">
        <v>236</v>
      </c>
      <c r="E618" t="s">
        <v>204</v>
      </c>
      <c r="F618">
        <v>0</v>
      </c>
      <c r="G618">
        <v>0</v>
      </c>
      <c r="H618" t="s">
        <v>24</v>
      </c>
    </row>
    <row r="619" spans="1:8" hidden="1" x14ac:dyDescent="0.25">
      <c r="A619" t="s">
        <v>210</v>
      </c>
      <c r="B619" t="s">
        <v>2</v>
      </c>
      <c r="C619" s="38">
        <v>45077</v>
      </c>
      <c r="D619" t="s">
        <v>236</v>
      </c>
      <c r="E619" t="s">
        <v>204</v>
      </c>
      <c r="F619">
        <v>0</v>
      </c>
      <c r="G619">
        <v>0</v>
      </c>
      <c r="H619" t="s">
        <v>24</v>
      </c>
    </row>
    <row r="620" spans="1:8" hidden="1" x14ac:dyDescent="0.25">
      <c r="A620" t="s">
        <v>217</v>
      </c>
      <c r="B620" t="s">
        <v>2</v>
      </c>
      <c r="C620" s="38">
        <v>45077</v>
      </c>
      <c r="D620" t="s">
        <v>240</v>
      </c>
      <c r="E620" t="s">
        <v>201</v>
      </c>
      <c r="F620">
        <v>0.2</v>
      </c>
      <c r="G620">
        <v>0</v>
      </c>
      <c r="H620" t="s">
        <v>24</v>
      </c>
    </row>
    <row r="621" spans="1:8" hidden="1" x14ac:dyDescent="0.25">
      <c r="A621" t="s">
        <v>239</v>
      </c>
      <c r="B621" t="s">
        <v>4</v>
      </c>
      <c r="C621" s="38">
        <v>45077</v>
      </c>
      <c r="D621" t="s">
        <v>235</v>
      </c>
      <c r="E621" t="s">
        <v>204</v>
      </c>
      <c r="F621">
        <v>0</v>
      </c>
      <c r="G621">
        <v>0</v>
      </c>
      <c r="H621" t="s">
        <v>24</v>
      </c>
    </row>
    <row r="622" spans="1:8" hidden="1" x14ac:dyDescent="0.25">
      <c r="A622" t="s">
        <v>210</v>
      </c>
      <c r="B622" t="s">
        <v>2</v>
      </c>
      <c r="C622" s="38">
        <v>45077</v>
      </c>
      <c r="D622" t="s">
        <v>240</v>
      </c>
      <c r="E622" t="s">
        <v>204</v>
      </c>
      <c r="F622">
        <v>0</v>
      </c>
      <c r="G622">
        <v>0</v>
      </c>
      <c r="H622" t="s">
        <v>24</v>
      </c>
    </row>
    <row r="623" spans="1:8" hidden="1" x14ac:dyDescent="0.25">
      <c r="A623" t="s">
        <v>148</v>
      </c>
      <c r="B623" t="s">
        <v>2</v>
      </c>
      <c r="C623" s="38">
        <v>45077</v>
      </c>
      <c r="D623" t="s">
        <v>235</v>
      </c>
      <c r="E623" t="s">
        <v>204</v>
      </c>
      <c r="F623">
        <v>0</v>
      </c>
      <c r="G623">
        <v>0</v>
      </c>
      <c r="H623" t="s">
        <v>24</v>
      </c>
    </row>
    <row r="624" spans="1:8" hidden="1" x14ac:dyDescent="0.25">
      <c r="A624" t="s">
        <v>210</v>
      </c>
      <c r="B624" t="s">
        <v>2</v>
      </c>
      <c r="C624" s="38">
        <v>45077</v>
      </c>
      <c r="D624" t="s">
        <v>235</v>
      </c>
      <c r="E624" t="s">
        <v>204</v>
      </c>
      <c r="F624">
        <v>0</v>
      </c>
      <c r="G624">
        <v>0</v>
      </c>
      <c r="H624" t="s">
        <v>24</v>
      </c>
    </row>
    <row r="625" spans="1:8" hidden="1" x14ac:dyDescent="0.25">
      <c r="A625" t="s">
        <v>247</v>
      </c>
      <c r="B625" t="s">
        <v>4</v>
      </c>
      <c r="C625" s="38">
        <v>45077</v>
      </c>
      <c r="D625" t="s">
        <v>240</v>
      </c>
      <c r="E625" t="s">
        <v>204</v>
      </c>
      <c r="F625">
        <v>0</v>
      </c>
      <c r="G625">
        <v>0</v>
      </c>
      <c r="H625" t="s">
        <v>24</v>
      </c>
    </row>
    <row r="626" spans="1:8" hidden="1" x14ac:dyDescent="0.25">
      <c r="A626" t="s">
        <v>161</v>
      </c>
      <c r="B626" t="s">
        <v>2</v>
      </c>
      <c r="C626" s="38">
        <v>45077</v>
      </c>
      <c r="D626" t="s">
        <v>236</v>
      </c>
      <c r="E626" t="s">
        <v>201</v>
      </c>
      <c r="F626">
        <v>0.2</v>
      </c>
      <c r="G626">
        <v>7.4</v>
      </c>
      <c r="H626" t="s">
        <v>24</v>
      </c>
    </row>
    <row r="627" spans="1:8" hidden="1" x14ac:dyDescent="0.25">
      <c r="A627" t="s">
        <v>251</v>
      </c>
      <c r="B627" t="s">
        <v>2</v>
      </c>
      <c r="C627" s="38">
        <v>45077</v>
      </c>
      <c r="D627" t="s">
        <v>236</v>
      </c>
      <c r="E627" t="s">
        <v>204</v>
      </c>
      <c r="F627">
        <v>0</v>
      </c>
      <c r="G627">
        <v>0</v>
      </c>
      <c r="H627" t="s">
        <v>24</v>
      </c>
    </row>
    <row r="628" spans="1:8" hidden="1" x14ac:dyDescent="0.25">
      <c r="A628" t="s">
        <v>178</v>
      </c>
      <c r="B628" t="s">
        <v>2</v>
      </c>
      <c r="C628" s="38">
        <v>45077</v>
      </c>
      <c r="D628" t="s">
        <v>235</v>
      </c>
      <c r="E628" t="s">
        <v>204</v>
      </c>
      <c r="F628">
        <v>0</v>
      </c>
      <c r="G628">
        <v>0</v>
      </c>
      <c r="H628" t="s">
        <v>24</v>
      </c>
    </row>
    <row r="629" spans="1:8" hidden="1" x14ac:dyDescent="0.25">
      <c r="A629" t="s">
        <v>178</v>
      </c>
      <c r="B629" t="s">
        <v>2</v>
      </c>
      <c r="C629" s="38">
        <v>45077</v>
      </c>
      <c r="D629" t="s">
        <v>236</v>
      </c>
      <c r="E629" t="s">
        <v>204</v>
      </c>
      <c r="F629">
        <v>0</v>
      </c>
      <c r="G629">
        <v>0</v>
      </c>
      <c r="H629" t="s">
        <v>24</v>
      </c>
    </row>
    <row r="630" spans="1:8" hidden="1" x14ac:dyDescent="0.25">
      <c r="A630" t="s">
        <v>198</v>
      </c>
      <c r="B630" t="s">
        <v>4</v>
      </c>
      <c r="C630" s="38">
        <v>45078</v>
      </c>
      <c r="D630" t="s">
        <v>236</v>
      </c>
      <c r="E630" t="s">
        <v>205</v>
      </c>
      <c r="F630">
        <v>7</v>
      </c>
      <c r="G630">
        <v>1</v>
      </c>
      <c r="H630" t="s">
        <v>24</v>
      </c>
    </row>
    <row r="631" spans="1:8" hidden="1" x14ac:dyDescent="0.25">
      <c r="A631" t="s">
        <v>187</v>
      </c>
      <c r="B631" t="s">
        <v>2</v>
      </c>
      <c r="C631" s="38">
        <v>45078</v>
      </c>
      <c r="D631" t="s">
        <v>236</v>
      </c>
      <c r="E631" t="s">
        <v>204</v>
      </c>
      <c r="F631">
        <v>0</v>
      </c>
      <c r="G631">
        <v>0</v>
      </c>
      <c r="H631" t="s">
        <v>24</v>
      </c>
    </row>
    <row r="632" spans="1:8" hidden="1" x14ac:dyDescent="0.25">
      <c r="A632" t="s">
        <v>239</v>
      </c>
      <c r="B632" t="s">
        <v>4</v>
      </c>
      <c r="C632" s="38">
        <v>45078</v>
      </c>
      <c r="D632" t="s">
        <v>235</v>
      </c>
      <c r="E632" t="s">
        <v>204</v>
      </c>
      <c r="F632">
        <v>0</v>
      </c>
      <c r="G632">
        <v>0</v>
      </c>
      <c r="H632" t="s">
        <v>24</v>
      </c>
    </row>
    <row r="633" spans="1:8" hidden="1" x14ac:dyDescent="0.25">
      <c r="A633" t="s">
        <v>238</v>
      </c>
      <c r="B633" t="s">
        <v>4</v>
      </c>
      <c r="C633" s="38">
        <v>45078</v>
      </c>
      <c r="D633" t="s">
        <v>236</v>
      </c>
      <c r="E633" t="s">
        <v>204</v>
      </c>
      <c r="F633">
        <v>0</v>
      </c>
      <c r="G633">
        <v>0</v>
      </c>
      <c r="H633" t="s">
        <v>24</v>
      </c>
    </row>
    <row r="634" spans="1:8" hidden="1" x14ac:dyDescent="0.25">
      <c r="A634" t="s">
        <v>159</v>
      </c>
      <c r="B634" t="s">
        <v>2</v>
      </c>
      <c r="C634" s="38">
        <v>45078</v>
      </c>
      <c r="D634" t="s">
        <v>236</v>
      </c>
      <c r="E634" t="s">
        <v>204</v>
      </c>
      <c r="F634">
        <v>0</v>
      </c>
      <c r="G634">
        <v>0</v>
      </c>
      <c r="H634" t="s">
        <v>24</v>
      </c>
    </row>
    <row r="635" spans="1:8" hidden="1" x14ac:dyDescent="0.25">
      <c r="A635" t="s">
        <v>176</v>
      </c>
      <c r="B635" t="s">
        <v>2</v>
      </c>
      <c r="C635" s="38">
        <v>45078</v>
      </c>
      <c r="D635" t="s">
        <v>240</v>
      </c>
      <c r="E635" t="s">
        <v>201</v>
      </c>
      <c r="F635">
        <v>0.2</v>
      </c>
      <c r="G635">
        <v>0</v>
      </c>
      <c r="H635" t="s">
        <v>24</v>
      </c>
    </row>
    <row r="636" spans="1:8" hidden="1" x14ac:dyDescent="0.25">
      <c r="A636" t="s">
        <v>196</v>
      </c>
      <c r="B636" t="s">
        <v>2</v>
      </c>
      <c r="C636" s="38">
        <v>45078</v>
      </c>
      <c r="D636" t="s">
        <v>236</v>
      </c>
      <c r="E636" t="s">
        <v>204</v>
      </c>
      <c r="F636">
        <v>0</v>
      </c>
      <c r="G636">
        <v>0</v>
      </c>
      <c r="H636" t="s">
        <v>24</v>
      </c>
    </row>
    <row r="637" spans="1:8" hidden="1" x14ac:dyDescent="0.25">
      <c r="A637" t="s">
        <v>152</v>
      </c>
      <c r="B637" t="s">
        <v>2</v>
      </c>
      <c r="C637" s="38">
        <v>45078</v>
      </c>
      <c r="D637" t="s">
        <v>236</v>
      </c>
      <c r="E637" t="s">
        <v>204</v>
      </c>
      <c r="F637">
        <v>0</v>
      </c>
      <c r="G637">
        <v>0</v>
      </c>
      <c r="H637" t="s">
        <v>24</v>
      </c>
    </row>
    <row r="638" spans="1:8" hidden="1" x14ac:dyDescent="0.25">
      <c r="A638" t="s">
        <v>243</v>
      </c>
      <c r="B638" t="s">
        <v>4</v>
      </c>
      <c r="C638" s="38">
        <v>45078</v>
      </c>
      <c r="D638" t="s">
        <v>235</v>
      </c>
      <c r="E638" t="s">
        <v>204</v>
      </c>
      <c r="F638">
        <v>0</v>
      </c>
      <c r="G638">
        <v>0</v>
      </c>
      <c r="H638" t="s">
        <v>24</v>
      </c>
    </row>
    <row r="639" spans="1:8" hidden="1" x14ac:dyDescent="0.25">
      <c r="A639" t="s">
        <v>152</v>
      </c>
      <c r="B639" t="s">
        <v>2</v>
      </c>
      <c r="C639" s="38">
        <v>45078</v>
      </c>
      <c r="D639" t="s">
        <v>240</v>
      </c>
      <c r="E639" t="s">
        <v>204</v>
      </c>
      <c r="F639">
        <v>0</v>
      </c>
      <c r="G639">
        <v>0</v>
      </c>
      <c r="H639" t="s">
        <v>24</v>
      </c>
    </row>
    <row r="640" spans="1:8" hidden="1" x14ac:dyDescent="0.25">
      <c r="A640" t="s">
        <v>237</v>
      </c>
      <c r="B640" t="s">
        <v>2</v>
      </c>
      <c r="C640" s="38">
        <v>45078</v>
      </c>
      <c r="D640" t="s">
        <v>236</v>
      </c>
      <c r="E640" t="s">
        <v>204</v>
      </c>
      <c r="F640">
        <v>0</v>
      </c>
      <c r="G640">
        <v>0</v>
      </c>
      <c r="H640" t="s">
        <v>24</v>
      </c>
    </row>
    <row r="641" spans="1:8" hidden="1" x14ac:dyDescent="0.25">
      <c r="A641" t="s">
        <v>173</v>
      </c>
      <c r="B641" t="s">
        <v>2</v>
      </c>
      <c r="C641" s="38">
        <v>45078</v>
      </c>
      <c r="D641" t="s">
        <v>235</v>
      </c>
      <c r="E641" t="s">
        <v>204</v>
      </c>
      <c r="F641">
        <v>0</v>
      </c>
      <c r="G641">
        <v>0</v>
      </c>
      <c r="H641" t="s">
        <v>24</v>
      </c>
    </row>
    <row r="642" spans="1:8" hidden="1" x14ac:dyDescent="0.25">
      <c r="A642" t="s">
        <v>176</v>
      </c>
      <c r="B642" t="s">
        <v>2</v>
      </c>
      <c r="C642" s="38">
        <v>45078</v>
      </c>
      <c r="D642" t="s">
        <v>235</v>
      </c>
      <c r="E642" t="s">
        <v>205</v>
      </c>
      <c r="F642">
        <v>7.8</v>
      </c>
      <c r="G642">
        <v>0</v>
      </c>
      <c r="H642" t="s">
        <v>24</v>
      </c>
    </row>
    <row r="643" spans="1:8" hidden="1" x14ac:dyDescent="0.25">
      <c r="A643" t="s">
        <v>165</v>
      </c>
      <c r="B643" t="s">
        <v>2</v>
      </c>
      <c r="C643" s="38">
        <v>45078</v>
      </c>
      <c r="D643" t="s">
        <v>240</v>
      </c>
      <c r="E643" t="s">
        <v>205</v>
      </c>
      <c r="F643">
        <v>7.3</v>
      </c>
      <c r="G643">
        <v>0.5</v>
      </c>
      <c r="H643" t="s">
        <v>24</v>
      </c>
    </row>
    <row r="644" spans="1:8" hidden="1" x14ac:dyDescent="0.25">
      <c r="A644" t="s">
        <v>152</v>
      </c>
      <c r="B644" t="s">
        <v>2</v>
      </c>
      <c r="C644" s="38">
        <v>45078</v>
      </c>
      <c r="D644" t="s">
        <v>235</v>
      </c>
      <c r="E644" t="s">
        <v>205</v>
      </c>
      <c r="F644">
        <v>7</v>
      </c>
      <c r="G644">
        <v>1</v>
      </c>
      <c r="H644" t="s">
        <v>24</v>
      </c>
    </row>
    <row r="645" spans="1:8" hidden="1" x14ac:dyDescent="0.25">
      <c r="A645" t="s">
        <v>165</v>
      </c>
      <c r="B645" t="s">
        <v>2</v>
      </c>
      <c r="C645" s="38">
        <v>45078</v>
      </c>
      <c r="D645" t="s">
        <v>236</v>
      </c>
      <c r="E645" t="s">
        <v>201</v>
      </c>
      <c r="F645">
        <v>0.2</v>
      </c>
      <c r="G645">
        <v>0.5</v>
      </c>
      <c r="H645" t="s">
        <v>24</v>
      </c>
    </row>
    <row r="646" spans="1:8" hidden="1" x14ac:dyDescent="0.25">
      <c r="A646" t="s">
        <v>247</v>
      </c>
      <c r="B646" t="s">
        <v>4</v>
      </c>
      <c r="C646" s="38">
        <v>45078</v>
      </c>
      <c r="D646" t="s">
        <v>240</v>
      </c>
      <c r="E646" t="s">
        <v>204</v>
      </c>
      <c r="F646">
        <v>0</v>
      </c>
      <c r="G646">
        <v>0</v>
      </c>
      <c r="H646" t="s">
        <v>24</v>
      </c>
    </row>
    <row r="647" spans="1:8" hidden="1" x14ac:dyDescent="0.25">
      <c r="A647" t="s">
        <v>155</v>
      </c>
      <c r="B647" t="s">
        <v>2</v>
      </c>
      <c r="C647" s="38">
        <v>45078</v>
      </c>
      <c r="D647" t="s">
        <v>235</v>
      </c>
      <c r="E647" t="s">
        <v>204</v>
      </c>
      <c r="F647">
        <v>0</v>
      </c>
      <c r="G647">
        <v>0</v>
      </c>
      <c r="H647" t="s">
        <v>24</v>
      </c>
    </row>
    <row r="648" spans="1:8" hidden="1" x14ac:dyDescent="0.25">
      <c r="A648" t="s">
        <v>151</v>
      </c>
      <c r="B648" t="s">
        <v>2</v>
      </c>
      <c r="C648" s="38">
        <v>45078</v>
      </c>
      <c r="D648" t="s">
        <v>236</v>
      </c>
      <c r="E648" t="s">
        <v>201</v>
      </c>
      <c r="F648">
        <v>7.5</v>
      </c>
      <c r="G648">
        <v>0.5</v>
      </c>
      <c r="H648" t="s">
        <v>24</v>
      </c>
    </row>
    <row r="649" spans="1:8" hidden="1" x14ac:dyDescent="0.25">
      <c r="A649" t="s">
        <v>155</v>
      </c>
      <c r="B649" t="s">
        <v>2</v>
      </c>
      <c r="C649" s="38">
        <v>45078</v>
      </c>
      <c r="D649" t="s">
        <v>236</v>
      </c>
      <c r="E649" t="s">
        <v>205</v>
      </c>
      <c r="F649">
        <v>7.5</v>
      </c>
      <c r="G649">
        <v>0.5</v>
      </c>
      <c r="H649" t="s">
        <v>24</v>
      </c>
    </row>
    <row r="650" spans="1:8" hidden="1" x14ac:dyDescent="0.25">
      <c r="A650" t="s">
        <v>156</v>
      </c>
      <c r="B650" t="s">
        <v>2</v>
      </c>
      <c r="C650" s="38">
        <v>45078</v>
      </c>
      <c r="D650" t="s">
        <v>236</v>
      </c>
      <c r="E650" t="s">
        <v>205</v>
      </c>
      <c r="F650">
        <v>7.5</v>
      </c>
      <c r="G650">
        <v>0</v>
      </c>
      <c r="H650" t="s">
        <v>24</v>
      </c>
    </row>
    <row r="651" spans="1:8" hidden="1" x14ac:dyDescent="0.25">
      <c r="A651" t="s">
        <v>157</v>
      </c>
      <c r="B651" t="s">
        <v>2</v>
      </c>
      <c r="C651" s="38">
        <v>45078</v>
      </c>
      <c r="D651" t="s">
        <v>236</v>
      </c>
      <c r="E651" t="s">
        <v>205</v>
      </c>
      <c r="F651">
        <v>7.5</v>
      </c>
      <c r="G651">
        <v>0.5</v>
      </c>
      <c r="H651" t="s">
        <v>24</v>
      </c>
    </row>
    <row r="652" spans="1:8" hidden="1" x14ac:dyDescent="0.25">
      <c r="A652" t="s">
        <v>156</v>
      </c>
      <c r="B652" t="s">
        <v>2</v>
      </c>
      <c r="C652" s="38">
        <v>45078</v>
      </c>
      <c r="D652" t="s">
        <v>235</v>
      </c>
      <c r="E652" t="s">
        <v>201</v>
      </c>
      <c r="F652">
        <v>0.5</v>
      </c>
      <c r="G652">
        <v>0</v>
      </c>
      <c r="H652" t="s">
        <v>24</v>
      </c>
    </row>
    <row r="653" spans="1:8" hidden="1" x14ac:dyDescent="0.25">
      <c r="A653" t="s">
        <v>173</v>
      </c>
      <c r="B653" t="s">
        <v>2</v>
      </c>
      <c r="C653" s="38">
        <v>45078</v>
      </c>
      <c r="D653" t="s">
        <v>236</v>
      </c>
      <c r="E653" t="s">
        <v>205</v>
      </c>
      <c r="F653">
        <v>7.5</v>
      </c>
      <c r="G653">
        <v>0.5</v>
      </c>
      <c r="H653" t="s">
        <v>24</v>
      </c>
    </row>
    <row r="654" spans="1:8" hidden="1" x14ac:dyDescent="0.25">
      <c r="A654" t="s">
        <v>178</v>
      </c>
      <c r="B654" t="s">
        <v>2</v>
      </c>
      <c r="C654" s="38">
        <v>45078</v>
      </c>
      <c r="D654" t="s">
        <v>235</v>
      </c>
      <c r="E654" t="s">
        <v>204</v>
      </c>
      <c r="F654">
        <v>0</v>
      </c>
      <c r="G654">
        <v>0</v>
      </c>
      <c r="H654" t="s">
        <v>24</v>
      </c>
    </row>
    <row r="655" spans="1:8" hidden="1" x14ac:dyDescent="0.25">
      <c r="A655" t="s">
        <v>174</v>
      </c>
      <c r="B655" t="s">
        <v>2</v>
      </c>
      <c r="C655" s="38">
        <v>45078</v>
      </c>
      <c r="D655" t="s">
        <v>236</v>
      </c>
      <c r="E655" t="s">
        <v>201</v>
      </c>
      <c r="F655">
        <v>7.5</v>
      </c>
      <c r="G655">
        <v>0.5</v>
      </c>
      <c r="H655" t="s">
        <v>24</v>
      </c>
    </row>
    <row r="656" spans="1:8" hidden="1" x14ac:dyDescent="0.25">
      <c r="A656" t="s">
        <v>151</v>
      </c>
      <c r="B656" t="s">
        <v>2</v>
      </c>
      <c r="C656" s="38">
        <v>45078</v>
      </c>
      <c r="D656" t="s">
        <v>235</v>
      </c>
      <c r="E656" t="s">
        <v>204</v>
      </c>
      <c r="F656">
        <v>0</v>
      </c>
      <c r="G656">
        <v>0</v>
      </c>
      <c r="H656" t="s">
        <v>24</v>
      </c>
    </row>
    <row r="657" spans="1:8" hidden="1" x14ac:dyDescent="0.25">
      <c r="A657" t="s">
        <v>245</v>
      </c>
      <c r="B657" t="s">
        <v>2</v>
      </c>
      <c r="C657" s="38">
        <v>45078</v>
      </c>
      <c r="D657" t="s">
        <v>235</v>
      </c>
      <c r="E657" t="s">
        <v>204</v>
      </c>
      <c r="F657">
        <v>0</v>
      </c>
      <c r="G657">
        <v>0</v>
      </c>
      <c r="H657" t="s">
        <v>24</v>
      </c>
    </row>
    <row r="658" spans="1:8" hidden="1" x14ac:dyDescent="0.25">
      <c r="A658" t="s">
        <v>244</v>
      </c>
      <c r="B658" t="s">
        <v>2</v>
      </c>
      <c r="C658" s="38">
        <v>45078</v>
      </c>
      <c r="D658" t="s">
        <v>236</v>
      </c>
      <c r="E658" t="s">
        <v>204</v>
      </c>
      <c r="F658">
        <v>0</v>
      </c>
      <c r="G658">
        <v>0</v>
      </c>
      <c r="H658" t="s">
        <v>24</v>
      </c>
    </row>
    <row r="659" spans="1:8" x14ac:dyDescent="0.25">
      <c r="A659" t="s">
        <v>5</v>
      </c>
      <c r="B659" t="s">
        <v>4</v>
      </c>
      <c r="C659" s="38">
        <v>45078</v>
      </c>
      <c r="D659" t="s">
        <v>235</v>
      </c>
      <c r="E659" t="s">
        <v>204</v>
      </c>
      <c r="F659">
        <v>0</v>
      </c>
      <c r="G659">
        <v>0</v>
      </c>
      <c r="H659" t="s">
        <v>24</v>
      </c>
    </row>
    <row r="660" spans="1:8" hidden="1" x14ac:dyDescent="0.25">
      <c r="A660" t="s">
        <v>244</v>
      </c>
      <c r="B660" t="s">
        <v>2</v>
      </c>
      <c r="C660" s="38">
        <v>45078</v>
      </c>
      <c r="D660" t="s">
        <v>235</v>
      </c>
      <c r="E660" t="s">
        <v>204</v>
      </c>
      <c r="F660">
        <v>0</v>
      </c>
      <c r="G660">
        <v>0</v>
      </c>
      <c r="H660" t="s">
        <v>24</v>
      </c>
    </row>
    <row r="661" spans="1:8" hidden="1" x14ac:dyDescent="0.25">
      <c r="A661" t="s">
        <v>245</v>
      </c>
      <c r="B661" t="s">
        <v>2</v>
      </c>
      <c r="C661" s="38">
        <v>45078</v>
      </c>
      <c r="D661" t="s">
        <v>236</v>
      </c>
      <c r="E661" t="s">
        <v>204</v>
      </c>
      <c r="F661">
        <v>0</v>
      </c>
      <c r="G661">
        <v>0</v>
      </c>
      <c r="H661" t="s">
        <v>24</v>
      </c>
    </row>
    <row r="662" spans="1:8" hidden="1" x14ac:dyDescent="0.25">
      <c r="A662" t="s">
        <v>3</v>
      </c>
      <c r="B662" t="s">
        <v>2</v>
      </c>
      <c r="C662" s="38">
        <v>45078</v>
      </c>
      <c r="D662" t="s">
        <v>236</v>
      </c>
      <c r="E662" t="s">
        <v>204</v>
      </c>
      <c r="F662">
        <v>0</v>
      </c>
      <c r="G662">
        <v>0</v>
      </c>
      <c r="H662" t="s">
        <v>24</v>
      </c>
    </row>
    <row r="663" spans="1:8" hidden="1" x14ac:dyDescent="0.25">
      <c r="A663" t="s">
        <v>186</v>
      </c>
      <c r="B663" t="s">
        <v>2</v>
      </c>
      <c r="C663" s="38">
        <v>45078</v>
      </c>
      <c r="D663" t="s">
        <v>235</v>
      </c>
      <c r="E663" t="s">
        <v>205</v>
      </c>
      <c r="F663">
        <v>7.8</v>
      </c>
      <c r="G663">
        <v>0</v>
      </c>
      <c r="H663" t="s">
        <v>24</v>
      </c>
    </row>
    <row r="664" spans="1:8" hidden="1" x14ac:dyDescent="0.25">
      <c r="A664" t="s">
        <v>210</v>
      </c>
      <c r="B664" t="s">
        <v>2</v>
      </c>
      <c r="C664" s="38">
        <v>45078</v>
      </c>
      <c r="D664" t="s">
        <v>240</v>
      </c>
      <c r="E664" t="s">
        <v>204</v>
      </c>
      <c r="F664">
        <v>0</v>
      </c>
      <c r="G664">
        <v>0</v>
      </c>
      <c r="H664" t="s">
        <v>24</v>
      </c>
    </row>
    <row r="665" spans="1:8" hidden="1" x14ac:dyDescent="0.25">
      <c r="A665" t="s">
        <v>186</v>
      </c>
      <c r="B665" t="s">
        <v>2</v>
      </c>
      <c r="C665" s="38">
        <v>45078</v>
      </c>
      <c r="D665" t="s">
        <v>240</v>
      </c>
      <c r="E665" t="s">
        <v>201</v>
      </c>
      <c r="F665">
        <v>0.2</v>
      </c>
      <c r="G665">
        <v>0</v>
      </c>
      <c r="H665" t="s">
        <v>24</v>
      </c>
    </row>
    <row r="666" spans="1:8" hidden="1" x14ac:dyDescent="0.25">
      <c r="A666" t="s">
        <v>190</v>
      </c>
      <c r="B666" t="s">
        <v>2</v>
      </c>
      <c r="C666" s="38">
        <v>45078</v>
      </c>
      <c r="D666" t="s">
        <v>236</v>
      </c>
      <c r="E666" t="s">
        <v>201</v>
      </c>
      <c r="F666">
        <v>2.4</v>
      </c>
      <c r="G666">
        <v>0</v>
      </c>
      <c r="H666" t="s">
        <v>24</v>
      </c>
    </row>
    <row r="667" spans="1:8" hidden="1" x14ac:dyDescent="0.25">
      <c r="A667" t="s">
        <v>190</v>
      </c>
      <c r="B667" t="s">
        <v>2</v>
      </c>
      <c r="C667" s="38">
        <v>45078</v>
      </c>
      <c r="D667" t="s">
        <v>235</v>
      </c>
      <c r="E667" t="s">
        <v>205</v>
      </c>
      <c r="F667">
        <v>7.1</v>
      </c>
      <c r="G667">
        <v>0</v>
      </c>
      <c r="H667" t="s">
        <v>24</v>
      </c>
    </row>
    <row r="668" spans="1:8" hidden="1" x14ac:dyDescent="0.25">
      <c r="A668" t="s">
        <v>192</v>
      </c>
      <c r="B668" t="s">
        <v>2</v>
      </c>
      <c r="C668" s="38">
        <v>45078</v>
      </c>
      <c r="D668" t="s">
        <v>240</v>
      </c>
      <c r="E668" t="s">
        <v>205</v>
      </c>
      <c r="F668">
        <v>7.3</v>
      </c>
      <c r="G668">
        <v>0</v>
      </c>
      <c r="H668" t="s">
        <v>24</v>
      </c>
    </row>
    <row r="669" spans="1:8" hidden="1" x14ac:dyDescent="0.25">
      <c r="A669" t="s">
        <v>217</v>
      </c>
      <c r="B669" t="s">
        <v>2</v>
      </c>
      <c r="C669" s="38">
        <v>45078</v>
      </c>
      <c r="D669" t="s">
        <v>235</v>
      </c>
      <c r="E669" t="s">
        <v>201</v>
      </c>
      <c r="F669">
        <v>7.8</v>
      </c>
      <c r="G669">
        <v>0</v>
      </c>
      <c r="H669" t="s">
        <v>24</v>
      </c>
    </row>
    <row r="670" spans="1:8" hidden="1" x14ac:dyDescent="0.25">
      <c r="A670" t="s">
        <v>217</v>
      </c>
      <c r="B670" t="s">
        <v>2</v>
      </c>
      <c r="C670" s="38">
        <v>45078</v>
      </c>
      <c r="D670" t="s">
        <v>240</v>
      </c>
      <c r="E670" t="s">
        <v>201</v>
      </c>
      <c r="F670">
        <v>0.2</v>
      </c>
      <c r="G670">
        <v>0</v>
      </c>
      <c r="H670" t="s">
        <v>24</v>
      </c>
    </row>
    <row r="671" spans="1:8" hidden="1" x14ac:dyDescent="0.25">
      <c r="A671" t="s">
        <v>168</v>
      </c>
      <c r="B671" t="s">
        <v>2</v>
      </c>
      <c r="C671" s="38">
        <v>45078</v>
      </c>
      <c r="D671" t="s">
        <v>240</v>
      </c>
      <c r="E671" t="s">
        <v>205</v>
      </c>
      <c r="F671">
        <v>7.3</v>
      </c>
      <c r="G671">
        <v>0.7</v>
      </c>
      <c r="H671" t="s">
        <v>24</v>
      </c>
    </row>
    <row r="672" spans="1:8" hidden="1" x14ac:dyDescent="0.25">
      <c r="A672" t="s">
        <v>164</v>
      </c>
      <c r="B672" t="s">
        <v>2</v>
      </c>
      <c r="C672" s="38">
        <v>45078</v>
      </c>
      <c r="D672" t="s">
        <v>235</v>
      </c>
      <c r="E672" t="s">
        <v>201</v>
      </c>
      <c r="F672">
        <v>0.5</v>
      </c>
      <c r="G672">
        <v>0</v>
      </c>
      <c r="H672" t="s">
        <v>24</v>
      </c>
    </row>
    <row r="673" spans="1:8" hidden="1" x14ac:dyDescent="0.25">
      <c r="A673" t="s">
        <v>164</v>
      </c>
      <c r="B673" t="s">
        <v>2</v>
      </c>
      <c r="C673" s="38">
        <v>45078</v>
      </c>
      <c r="D673" t="s">
        <v>236</v>
      </c>
      <c r="E673" t="s">
        <v>205</v>
      </c>
      <c r="F673">
        <v>7.5</v>
      </c>
      <c r="G673">
        <v>0</v>
      </c>
      <c r="H673" t="s">
        <v>24</v>
      </c>
    </row>
    <row r="674" spans="1:8" hidden="1" x14ac:dyDescent="0.25">
      <c r="A674" t="s">
        <v>171</v>
      </c>
      <c r="B674" t="s">
        <v>2</v>
      </c>
      <c r="C674" s="38">
        <v>45078</v>
      </c>
      <c r="D674" t="s">
        <v>236</v>
      </c>
      <c r="E674" t="s">
        <v>205</v>
      </c>
      <c r="F674">
        <v>7.5</v>
      </c>
      <c r="G674">
        <v>0.5</v>
      </c>
      <c r="H674" t="s">
        <v>24</v>
      </c>
    </row>
    <row r="675" spans="1:8" x14ac:dyDescent="0.25">
      <c r="A675" t="s">
        <v>5</v>
      </c>
      <c r="B675" t="s">
        <v>4</v>
      </c>
      <c r="C675" s="38">
        <v>45078</v>
      </c>
      <c r="D675" t="s">
        <v>236</v>
      </c>
      <c r="E675" t="s">
        <v>201</v>
      </c>
      <c r="F675">
        <v>7</v>
      </c>
      <c r="G675">
        <v>1</v>
      </c>
      <c r="H675" t="s">
        <v>24</v>
      </c>
    </row>
    <row r="676" spans="1:8" hidden="1" x14ac:dyDescent="0.25">
      <c r="A676" t="s">
        <v>196</v>
      </c>
      <c r="B676" t="s">
        <v>2</v>
      </c>
      <c r="C676" s="38">
        <v>45078</v>
      </c>
      <c r="D676" t="s">
        <v>240</v>
      </c>
      <c r="E676" t="s">
        <v>201</v>
      </c>
      <c r="F676">
        <v>0.2</v>
      </c>
      <c r="G676">
        <v>0</v>
      </c>
      <c r="H676" t="s">
        <v>24</v>
      </c>
    </row>
    <row r="677" spans="1:8" hidden="1" x14ac:dyDescent="0.25">
      <c r="A677" t="s">
        <v>185</v>
      </c>
      <c r="B677" t="s">
        <v>2</v>
      </c>
      <c r="C677" s="38">
        <v>45078</v>
      </c>
      <c r="D677" t="s">
        <v>236</v>
      </c>
      <c r="E677" t="s">
        <v>205</v>
      </c>
      <c r="F677">
        <v>7.5</v>
      </c>
      <c r="G677">
        <v>0.5</v>
      </c>
      <c r="H677" t="s">
        <v>24</v>
      </c>
    </row>
    <row r="678" spans="1:8" hidden="1" x14ac:dyDescent="0.25">
      <c r="A678" t="s">
        <v>178</v>
      </c>
      <c r="B678" t="s">
        <v>2</v>
      </c>
      <c r="C678" s="38">
        <v>45078</v>
      </c>
      <c r="D678" t="s">
        <v>236</v>
      </c>
      <c r="E678" t="s">
        <v>205</v>
      </c>
      <c r="F678">
        <v>0.2</v>
      </c>
      <c r="G678">
        <v>0.5</v>
      </c>
      <c r="H678" t="s">
        <v>24</v>
      </c>
    </row>
    <row r="679" spans="1:8" hidden="1" x14ac:dyDescent="0.25">
      <c r="A679" t="s">
        <v>187</v>
      </c>
      <c r="B679" t="s">
        <v>2</v>
      </c>
      <c r="C679" s="38">
        <v>45078</v>
      </c>
      <c r="D679" t="s">
        <v>240</v>
      </c>
      <c r="E679" t="s">
        <v>201</v>
      </c>
      <c r="F679">
        <v>7.3</v>
      </c>
      <c r="G679">
        <v>0.7</v>
      </c>
      <c r="H679" t="s">
        <v>24</v>
      </c>
    </row>
    <row r="680" spans="1:8" hidden="1" x14ac:dyDescent="0.25">
      <c r="A680" t="s">
        <v>178</v>
      </c>
      <c r="B680" t="s">
        <v>2</v>
      </c>
      <c r="C680" s="38">
        <v>45078</v>
      </c>
      <c r="D680" t="s">
        <v>240</v>
      </c>
      <c r="E680" t="s">
        <v>201</v>
      </c>
      <c r="F680">
        <v>7.3</v>
      </c>
      <c r="G680">
        <v>0.5</v>
      </c>
      <c r="H680" t="s">
        <v>24</v>
      </c>
    </row>
    <row r="681" spans="1:8" hidden="1" x14ac:dyDescent="0.25">
      <c r="A681" t="s">
        <v>196</v>
      </c>
      <c r="B681" t="s">
        <v>2</v>
      </c>
      <c r="C681" s="38">
        <v>45078</v>
      </c>
      <c r="D681" t="s">
        <v>235</v>
      </c>
      <c r="E681" t="s">
        <v>201</v>
      </c>
      <c r="F681">
        <v>7.8</v>
      </c>
      <c r="G681">
        <v>0</v>
      </c>
      <c r="H681" t="s">
        <v>24</v>
      </c>
    </row>
    <row r="682" spans="1:8" hidden="1" x14ac:dyDescent="0.25">
      <c r="A682" t="s">
        <v>194</v>
      </c>
      <c r="B682" t="s">
        <v>2</v>
      </c>
      <c r="C682" s="38">
        <v>45078</v>
      </c>
      <c r="D682" t="s">
        <v>236</v>
      </c>
      <c r="E682" t="s">
        <v>205</v>
      </c>
      <c r="F682">
        <v>7.5</v>
      </c>
      <c r="G682">
        <v>0.5</v>
      </c>
      <c r="H682" t="s">
        <v>24</v>
      </c>
    </row>
    <row r="683" spans="1:8" hidden="1" x14ac:dyDescent="0.25">
      <c r="A683" t="s">
        <v>195</v>
      </c>
      <c r="B683" t="s">
        <v>2</v>
      </c>
      <c r="C683" s="38">
        <v>45078</v>
      </c>
      <c r="D683" t="s">
        <v>240</v>
      </c>
      <c r="E683" t="s">
        <v>201</v>
      </c>
      <c r="F683">
        <v>0.2</v>
      </c>
      <c r="G683">
        <v>0</v>
      </c>
      <c r="H683" t="s">
        <v>24</v>
      </c>
    </row>
    <row r="684" spans="1:8" hidden="1" x14ac:dyDescent="0.25">
      <c r="A684" t="s">
        <v>195</v>
      </c>
      <c r="B684" t="s">
        <v>2</v>
      </c>
      <c r="C684" s="38">
        <v>45078</v>
      </c>
      <c r="D684" t="s">
        <v>235</v>
      </c>
      <c r="E684" t="s">
        <v>205</v>
      </c>
      <c r="F684">
        <v>7.8</v>
      </c>
      <c r="G684">
        <v>0</v>
      </c>
      <c r="H684" t="s">
        <v>24</v>
      </c>
    </row>
    <row r="685" spans="1:8" hidden="1" x14ac:dyDescent="0.25">
      <c r="A685" t="s">
        <v>180</v>
      </c>
      <c r="B685" t="s">
        <v>2</v>
      </c>
      <c r="C685" s="38">
        <v>45078</v>
      </c>
      <c r="D685" t="s">
        <v>235</v>
      </c>
      <c r="E685" t="s">
        <v>205</v>
      </c>
      <c r="F685">
        <v>7</v>
      </c>
      <c r="G685">
        <v>1</v>
      </c>
      <c r="H685" t="s">
        <v>24</v>
      </c>
    </row>
    <row r="686" spans="1:8" hidden="1" x14ac:dyDescent="0.25">
      <c r="A686" t="s">
        <v>220</v>
      </c>
      <c r="B686" t="s">
        <v>4</v>
      </c>
      <c r="C686" s="38">
        <v>45078</v>
      </c>
      <c r="D686" t="s">
        <v>240</v>
      </c>
      <c r="E686" t="s">
        <v>201</v>
      </c>
      <c r="F686">
        <v>7.3</v>
      </c>
      <c r="G686">
        <v>0.2</v>
      </c>
      <c r="H686" t="s">
        <v>24</v>
      </c>
    </row>
    <row r="687" spans="1:8" hidden="1" x14ac:dyDescent="0.25">
      <c r="A687" t="s">
        <v>220</v>
      </c>
      <c r="B687" t="s">
        <v>4</v>
      </c>
      <c r="C687" s="38">
        <v>45078</v>
      </c>
      <c r="D687" t="s">
        <v>236</v>
      </c>
      <c r="E687" t="s">
        <v>201</v>
      </c>
      <c r="F687">
        <v>0.5</v>
      </c>
      <c r="G687">
        <v>0.2</v>
      </c>
      <c r="H687" t="s">
        <v>24</v>
      </c>
    </row>
    <row r="688" spans="1:8" hidden="1" x14ac:dyDescent="0.25">
      <c r="A688" t="s">
        <v>181</v>
      </c>
      <c r="B688" t="s">
        <v>2</v>
      </c>
      <c r="C688" s="38">
        <v>45078</v>
      </c>
      <c r="D688" t="s">
        <v>236</v>
      </c>
      <c r="E688" t="s">
        <v>205</v>
      </c>
      <c r="F688">
        <v>7.5</v>
      </c>
      <c r="G688">
        <v>0</v>
      </c>
      <c r="H688" t="s">
        <v>24</v>
      </c>
    </row>
    <row r="689" spans="1:8" hidden="1" x14ac:dyDescent="0.25">
      <c r="A689" t="s">
        <v>181</v>
      </c>
      <c r="B689" t="s">
        <v>2</v>
      </c>
      <c r="C689" s="38">
        <v>45078</v>
      </c>
      <c r="D689" t="s">
        <v>235</v>
      </c>
      <c r="E689" t="s">
        <v>201</v>
      </c>
      <c r="F689">
        <v>0.5</v>
      </c>
      <c r="G689">
        <v>0</v>
      </c>
      <c r="H689" t="s">
        <v>24</v>
      </c>
    </row>
    <row r="690" spans="1:8" hidden="1" x14ac:dyDescent="0.25">
      <c r="A690" t="s">
        <v>183</v>
      </c>
      <c r="B690" t="s">
        <v>2</v>
      </c>
      <c r="C690" s="38">
        <v>45078</v>
      </c>
      <c r="D690" t="s">
        <v>236</v>
      </c>
      <c r="E690" t="s">
        <v>205</v>
      </c>
      <c r="F690">
        <v>6</v>
      </c>
      <c r="G690">
        <v>0</v>
      </c>
      <c r="H690" t="s">
        <v>24</v>
      </c>
    </row>
    <row r="691" spans="1:8" hidden="1" x14ac:dyDescent="0.25">
      <c r="A691" t="s">
        <v>210</v>
      </c>
      <c r="B691" t="s">
        <v>2</v>
      </c>
      <c r="C691" s="38">
        <v>45078</v>
      </c>
      <c r="D691" t="s">
        <v>236</v>
      </c>
      <c r="E691" t="s">
        <v>204</v>
      </c>
      <c r="F691">
        <v>0</v>
      </c>
      <c r="G691">
        <v>0</v>
      </c>
      <c r="H691" t="s">
        <v>24</v>
      </c>
    </row>
    <row r="692" spans="1:8" hidden="1" x14ac:dyDescent="0.25">
      <c r="A692" t="s">
        <v>179</v>
      </c>
      <c r="B692" t="s">
        <v>2</v>
      </c>
      <c r="C692" s="38">
        <v>45078</v>
      </c>
      <c r="D692" t="s">
        <v>236</v>
      </c>
      <c r="E692" t="s">
        <v>201</v>
      </c>
      <c r="F692">
        <v>0.2</v>
      </c>
      <c r="G692">
        <v>7.4</v>
      </c>
      <c r="H692" t="s">
        <v>24</v>
      </c>
    </row>
    <row r="693" spans="1:8" hidden="1" x14ac:dyDescent="0.25">
      <c r="A693" t="s">
        <v>210</v>
      </c>
      <c r="B693" t="s">
        <v>2</v>
      </c>
      <c r="C693" s="38">
        <v>45078</v>
      </c>
      <c r="D693" t="s">
        <v>235</v>
      </c>
      <c r="E693" t="s">
        <v>204</v>
      </c>
      <c r="F693">
        <v>0</v>
      </c>
      <c r="G693">
        <v>0</v>
      </c>
      <c r="H693" t="s">
        <v>24</v>
      </c>
    </row>
    <row r="694" spans="1:8" hidden="1" x14ac:dyDescent="0.25">
      <c r="A694" t="s">
        <v>177</v>
      </c>
      <c r="B694" t="s">
        <v>2</v>
      </c>
      <c r="C694" s="38">
        <v>45079</v>
      </c>
      <c r="D694" t="s">
        <v>240</v>
      </c>
      <c r="E694" t="s">
        <v>201</v>
      </c>
      <c r="F694">
        <v>0.2</v>
      </c>
      <c r="G694">
        <v>0</v>
      </c>
      <c r="H694" t="s">
        <v>24</v>
      </c>
    </row>
    <row r="695" spans="1:8" hidden="1" x14ac:dyDescent="0.25">
      <c r="A695" t="s">
        <v>156</v>
      </c>
      <c r="B695" t="s">
        <v>2</v>
      </c>
      <c r="C695" s="38">
        <v>45079</v>
      </c>
      <c r="D695" t="s">
        <v>236</v>
      </c>
      <c r="E695" t="s">
        <v>205</v>
      </c>
      <c r="F695">
        <v>7.5</v>
      </c>
      <c r="G695">
        <v>0</v>
      </c>
      <c r="H695" t="s">
        <v>24</v>
      </c>
    </row>
    <row r="696" spans="1:8" hidden="1" x14ac:dyDescent="0.25">
      <c r="A696" t="s">
        <v>141</v>
      </c>
      <c r="B696" t="s">
        <v>4</v>
      </c>
      <c r="C696" s="38">
        <v>45079</v>
      </c>
      <c r="D696" t="s">
        <v>235</v>
      </c>
      <c r="E696" t="s">
        <v>201</v>
      </c>
      <c r="F696">
        <v>7.8</v>
      </c>
      <c r="G696">
        <v>0</v>
      </c>
      <c r="H696" t="s">
        <v>24</v>
      </c>
    </row>
    <row r="697" spans="1:8" hidden="1" x14ac:dyDescent="0.25">
      <c r="A697" t="s">
        <v>165</v>
      </c>
      <c r="B697" t="s">
        <v>2</v>
      </c>
      <c r="C697" s="38">
        <v>45079</v>
      </c>
      <c r="D697" t="s">
        <v>236</v>
      </c>
      <c r="E697" t="s">
        <v>201</v>
      </c>
      <c r="F697">
        <v>0.2</v>
      </c>
      <c r="G697">
        <v>0.5</v>
      </c>
      <c r="H697" t="s">
        <v>24</v>
      </c>
    </row>
    <row r="698" spans="1:8" hidden="1" x14ac:dyDescent="0.25">
      <c r="A698" t="s">
        <v>158</v>
      </c>
      <c r="B698" t="s">
        <v>2</v>
      </c>
      <c r="C698" s="38">
        <v>45079</v>
      </c>
      <c r="D698" t="s">
        <v>235</v>
      </c>
      <c r="E698" t="s">
        <v>201</v>
      </c>
      <c r="F698">
        <v>7.8</v>
      </c>
      <c r="G698">
        <v>0</v>
      </c>
      <c r="H698" t="s">
        <v>24</v>
      </c>
    </row>
    <row r="699" spans="1:8" hidden="1" x14ac:dyDescent="0.25">
      <c r="A699" t="s">
        <v>158</v>
      </c>
      <c r="B699" t="s">
        <v>2</v>
      </c>
      <c r="C699" s="38">
        <v>45079</v>
      </c>
      <c r="D699" t="s">
        <v>240</v>
      </c>
      <c r="E699" t="s">
        <v>201</v>
      </c>
      <c r="F699">
        <v>0.2</v>
      </c>
      <c r="G699">
        <v>0</v>
      </c>
      <c r="H699" t="s">
        <v>24</v>
      </c>
    </row>
    <row r="700" spans="1:8" hidden="1" x14ac:dyDescent="0.25">
      <c r="A700" t="s">
        <v>156</v>
      </c>
      <c r="B700" t="s">
        <v>2</v>
      </c>
      <c r="C700" s="38">
        <v>45079</v>
      </c>
      <c r="D700" t="s">
        <v>235</v>
      </c>
      <c r="E700" t="s">
        <v>201</v>
      </c>
      <c r="F700">
        <v>0.5</v>
      </c>
      <c r="G700">
        <v>0</v>
      </c>
      <c r="H700" t="s">
        <v>24</v>
      </c>
    </row>
    <row r="701" spans="1:8" hidden="1" x14ac:dyDescent="0.25">
      <c r="A701" t="s">
        <v>141</v>
      </c>
      <c r="B701" t="s">
        <v>4</v>
      </c>
      <c r="C701" s="38">
        <v>45079</v>
      </c>
      <c r="D701" t="s">
        <v>240</v>
      </c>
      <c r="E701" t="s">
        <v>205</v>
      </c>
      <c r="F701">
        <v>0.2</v>
      </c>
      <c r="G701">
        <v>0</v>
      </c>
      <c r="H701" t="s">
        <v>24</v>
      </c>
    </row>
    <row r="702" spans="1:8" hidden="1" x14ac:dyDescent="0.25">
      <c r="A702" t="s">
        <v>148</v>
      </c>
      <c r="B702" t="s">
        <v>2</v>
      </c>
      <c r="C702" s="38">
        <v>45079</v>
      </c>
      <c r="D702" t="s">
        <v>236</v>
      </c>
      <c r="E702" t="s">
        <v>201</v>
      </c>
      <c r="F702">
        <v>7.5</v>
      </c>
      <c r="G702">
        <v>0.5</v>
      </c>
      <c r="H702" t="s">
        <v>24</v>
      </c>
    </row>
    <row r="703" spans="1:8" hidden="1" x14ac:dyDescent="0.25">
      <c r="A703" t="s">
        <v>179</v>
      </c>
      <c r="B703" t="s">
        <v>2</v>
      </c>
      <c r="C703" s="38">
        <v>45079</v>
      </c>
      <c r="D703" t="s">
        <v>240</v>
      </c>
      <c r="E703" t="s">
        <v>205</v>
      </c>
      <c r="F703">
        <v>7.3</v>
      </c>
      <c r="G703">
        <v>0.7</v>
      </c>
      <c r="H703" t="s">
        <v>24</v>
      </c>
    </row>
    <row r="704" spans="1:8" hidden="1" x14ac:dyDescent="0.25">
      <c r="A704" t="s">
        <v>203</v>
      </c>
      <c r="B704" t="s">
        <v>4</v>
      </c>
      <c r="C704" s="38">
        <v>45079</v>
      </c>
      <c r="D704" t="s">
        <v>235</v>
      </c>
      <c r="E704" t="s">
        <v>201</v>
      </c>
      <c r="F704">
        <v>0.5</v>
      </c>
      <c r="G704">
        <v>0</v>
      </c>
      <c r="H704" t="s">
        <v>24</v>
      </c>
    </row>
    <row r="705" spans="1:8" hidden="1" x14ac:dyDescent="0.25">
      <c r="A705" t="s">
        <v>203</v>
      </c>
      <c r="B705" t="s">
        <v>4</v>
      </c>
      <c r="C705" s="38">
        <v>45079</v>
      </c>
      <c r="D705" t="s">
        <v>236</v>
      </c>
      <c r="E705" t="s">
        <v>201</v>
      </c>
      <c r="F705">
        <v>7.5</v>
      </c>
      <c r="G705">
        <v>0</v>
      </c>
      <c r="H705" t="s">
        <v>24</v>
      </c>
    </row>
    <row r="706" spans="1:8" hidden="1" x14ac:dyDescent="0.25">
      <c r="A706" t="s">
        <v>151</v>
      </c>
      <c r="B706" t="s">
        <v>2</v>
      </c>
      <c r="C706" s="38">
        <v>45079</v>
      </c>
      <c r="D706" t="s">
        <v>236</v>
      </c>
      <c r="E706" t="s">
        <v>201</v>
      </c>
      <c r="F706">
        <v>7.5</v>
      </c>
      <c r="G706">
        <v>0.5</v>
      </c>
      <c r="H706" t="s">
        <v>24</v>
      </c>
    </row>
    <row r="707" spans="1:8" hidden="1" x14ac:dyDescent="0.25">
      <c r="A707" t="s">
        <v>181</v>
      </c>
      <c r="B707" t="s">
        <v>2</v>
      </c>
      <c r="C707" s="38">
        <v>45079</v>
      </c>
      <c r="D707" t="s">
        <v>235</v>
      </c>
      <c r="E707" t="s">
        <v>201</v>
      </c>
      <c r="F707">
        <v>0.5</v>
      </c>
      <c r="G707">
        <v>0</v>
      </c>
      <c r="H707" t="s">
        <v>24</v>
      </c>
    </row>
    <row r="708" spans="1:8" hidden="1" x14ac:dyDescent="0.25">
      <c r="A708" t="s">
        <v>196</v>
      </c>
      <c r="B708" t="s">
        <v>2</v>
      </c>
      <c r="C708" s="38">
        <v>45079</v>
      </c>
      <c r="D708" t="s">
        <v>235</v>
      </c>
      <c r="E708" t="s">
        <v>201</v>
      </c>
      <c r="F708">
        <v>7.8</v>
      </c>
      <c r="G708">
        <v>0</v>
      </c>
      <c r="H708" t="s">
        <v>24</v>
      </c>
    </row>
    <row r="709" spans="1:8" hidden="1" x14ac:dyDescent="0.25">
      <c r="A709" t="s">
        <v>196</v>
      </c>
      <c r="B709" t="s">
        <v>2</v>
      </c>
      <c r="C709" s="38">
        <v>45079</v>
      </c>
      <c r="D709" t="s">
        <v>240</v>
      </c>
      <c r="E709" t="s">
        <v>201</v>
      </c>
      <c r="F709">
        <v>0.2</v>
      </c>
      <c r="G709">
        <v>0</v>
      </c>
      <c r="H709" t="s">
        <v>24</v>
      </c>
    </row>
    <row r="710" spans="1:8" hidden="1" x14ac:dyDescent="0.25">
      <c r="A710" t="s">
        <v>187</v>
      </c>
      <c r="B710" t="s">
        <v>2</v>
      </c>
      <c r="C710" s="38">
        <v>45079</v>
      </c>
      <c r="D710" t="s">
        <v>236</v>
      </c>
      <c r="E710" t="s">
        <v>201</v>
      </c>
      <c r="F710">
        <v>0.2</v>
      </c>
      <c r="G710">
        <v>7.4</v>
      </c>
      <c r="H710" t="s">
        <v>24</v>
      </c>
    </row>
    <row r="711" spans="1:8" hidden="1" x14ac:dyDescent="0.25">
      <c r="A711" t="s">
        <v>178</v>
      </c>
      <c r="B711" t="s">
        <v>2</v>
      </c>
      <c r="C711" s="38">
        <v>45079</v>
      </c>
      <c r="D711" t="s">
        <v>236</v>
      </c>
      <c r="E711" t="s">
        <v>201</v>
      </c>
      <c r="F711">
        <v>0.2</v>
      </c>
      <c r="G711">
        <v>7.4</v>
      </c>
      <c r="H711" t="s">
        <v>24</v>
      </c>
    </row>
    <row r="712" spans="1:8" hidden="1" x14ac:dyDescent="0.25">
      <c r="A712" t="s">
        <v>220</v>
      </c>
      <c r="B712" t="s">
        <v>4</v>
      </c>
      <c r="C712" s="38">
        <v>45079</v>
      </c>
      <c r="D712" t="s">
        <v>236</v>
      </c>
      <c r="E712" t="s">
        <v>201</v>
      </c>
      <c r="F712">
        <v>0.5</v>
      </c>
      <c r="G712">
        <v>0.2</v>
      </c>
      <c r="H712" t="s">
        <v>24</v>
      </c>
    </row>
    <row r="713" spans="1:8" x14ac:dyDescent="0.25">
      <c r="A713" t="s">
        <v>5</v>
      </c>
      <c r="B713" t="s">
        <v>4</v>
      </c>
      <c r="C713" s="38">
        <v>45079</v>
      </c>
      <c r="D713" t="s">
        <v>236</v>
      </c>
      <c r="E713" t="s">
        <v>201</v>
      </c>
      <c r="F713">
        <v>7</v>
      </c>
      <c r="G713">
        <v>1</v>
      </c>
      <c r="H713" t="s">
        <v>24</v>
      </c>
    </row>
    <row r="714" spans="1:8" hidden="1" x14ac:dyDescent="0.25">
      <c r="A714" t="s">
        <v>192</v>
      </c>
      <c r="B714" t="s">
        <v>2</v>
      </c>
      <c r="C714" s="38">
        <v>45079</v>
      </c>
      <c r="D714" t="s">
        <v>236</v>
      </c>
      <c r="E714" t="s">
        <v>201</v>
      </c>
      <c r="F714">
        <v>0.2</v>
      </c>
      <c r="G714">
        <v>0.5</v>
      </c>
      <c r="H714" t="s">
        <v>24</v>
      </c>
    </row>
    <row r="715" spans="1:8" hidden="1" x14ac:dyDescent="0.25">
      <c r="A715" t="s">
        <v>220</v>
      </c>
      <c r="B715" t="s">
        <v>4</v>
      </c>
      <c r="C715" s="38">
        <v>45079</v>
      </c>
      <c r="D715" t="s">
        <v>240</v>
      </c>
      <c r="E715" t="s">
        <v>201</v>
      </c>
      <c r="F715">
        <v>7.3</v>
      </c>
      <c r="G715">
        <v>0.2</v>
      </c>
      <c r="H715" t="s">
        <v>24</v>
      </c>
    </row>
    <row r="716" spans="1:8" hidden="1" x14ac:dyDescent="0.25">
      <c r="A716" t="s">
        <v>195</v>
      </c>
      <c r="B716" t="s">
        <v>2</v>
      </c>
      <c r="C716" s="38">
        <v>45079</v>
      </c>
      <c r="D716" t="s">
        <v>240</v>
      </c>
      <c r="E716" t="s">
        <v>201</v>
      </c>
      <c r="F716">
        <v>0.2</v>
      </c>
      <c r="G716">
        <v>0</v>
      </c>
      <c r="H716" t="s">
        <v>24</v>
      </c>
    </row>
    <row r="717" spans="1:8" hidden="1" x14ac:dyDescent="0.25">
      <c r="A717" t="s">
        <v>199</v>
      </c>
      <c r="B717" t="s">
        <v>4</v>
      </c>
      <c r="C717" s="38">
        <v>45079</v>
      </c>
      <c r="D717" t="s">
        <v>240</v>
      </c>
      <c r="E717" t="s">
        <v>201</v>
      </c>
      <c r="F717">
        <v>0.2</v>
      </c>
      <c r="G717">
        <v>0</v>
      </c>
      <c r="H717" t="s">
        <v>24</v>
      </c>
    </row>
    <row r="718" spans="1:8" hidden="1" x14ac:dyDescent="0.25">
      <c r="A718" t="s">
        <v>147</v>
      </c>
      <c r="B718" t="s">
        <v>4</v>
      </c>
      <c r="C718" s="38">
        <v>45079</v>
      </c>
      <c r="D718" t="s">
        <v>236</v>
      </c>
      <c r="E718" t="s">
        <v>201</v>
      </c>
      <c r="F718">
        <v>7.5</v>
      </c>
      <c r="G718">
        <v>0</v>
      </c>
      <c r="H718" t="s">
        <v>24</v>
      </c>
    </row>
    <row r="719" spans="1:8" hidden="1" x14ac:dyDescent="0.25">
      <c r="A719" t="s">
        <v>188</v>
      </c>
      <c r="B719" t="s">
        <v>2</v>
      </c>
      <c r="C719" s="38">
        <v>45079</v>
      </c>
      <c r="D719" t="s">
        <v>240</v>
      </c>
      <c r="E719" t="s">
        <v>201</v>
      </c>
      <c r="F719">
        <v>7.3</v>
      </c>
      <c r="G719">
        <v>0.7</v>
      </c>
      <c r="H719" t="s">
        <v>24</v>
      </c>
    </row>
    <row r="720" spans="1:8" hidden="1" x14ac:dyDescent="0.25">
      <c r="A720" t="s">
        <v>186</v>
      </c>
      <c r="B720" t="s">
        <v>2</v>
      </c>
      <c r="C720" s="38">
        <v>45079</v>
      </c>
      <c r="D720" t="s">
        <v>240</v>
      </c>
      <c r="E720" t="s">
        <v>201</v>
      </c>
      <c r="F720">
        <v>0.2</v>
      </c>
      <c r="G720">
        <v>0</v>
      </c>
      <c r="H720" t="s">
        <v>24</v>
      </c>
    </row>
    <row r="721" spans="1:8" hidden="1" x14ac:dyDescent="0.25">
      <c r="A721" t="s">
        <v>147</v>
      </c>
      <c r="B721" t="s">
        <v>4</v>
      </c>
      <c r="C721" s="38">
        <v>45079</v>
      </c>
      <c r="D721" t="s">
        <v>235</v>
      </c>
      <c r="E721" t="s">
        <v>201</v>
      </c>
      <c r="F721">
        <v>0.5</v>
      </c>
      <c r="G721">
        <v>0</v>
      </c>
      <c r="H721" t="s">
        <v>24</v>
      </c>
    </row>
    <row r="722" spans="1:8" hidden="1" x14ac:dyDescent="0.25">
      <c r="A722" t="s">
        <v>202</v>
      </c>
      <c r="B722" t="s">
        <v>2</v>
      </c>
      <c r="C722" s="38">
        <v>45079</v>
      </c>
      <c r="D722" t="s">
        <v>236</v>
      </c>
      <c r="E722" t="s">
        <v>201</v>
      </c>
      <c r="F722">
        <v>7.5</v>
      </c>
      <c r="G722">
        <v>0.5</v>
      </c>
      <c r="H722" t="s">
        <v>24</v>
      </c>
    </row>
    <row r="723" spans="1:8" hidden="1" x14ac:dyDescent="0.25">
      <c r="A723" t="s">
        <v>217</v>
      </c>
      <c r="B723" t="s">
        <v>2</v>
      </c>
      <c r="C723" s="38">
        <v>45079</v>
      </c>
      <c r="D723" t="s">
        <v>240</v>
      </c>
      <c r="E723" t="s">
        <v>201</v>
      </c>
      <c r="F723">
        <v>0.2</v>
      </c>
      <c r="G723">
        <v>0</v>
      </c>
      <c r="H723" t="s">
        <v>24</v>
      </c>
    </row>
    <row r="724" spans="1:8" hidden="1" x14ac:dyDescent="0.25">
      <c r="A724" t="s">
        <v>164</v>
      </c>
      <c r="B724" t="s">
        <v>2</v>
      </c>
      <c r="C724" s="38">
        <v>45079</v>
      </c>
      <c r="D724" t="s">
        <v>235</v>
      </c>
      <c r="E724" t="s">
        <v>201</v>
      </c>
      <c r="F724">
        <v>0.5</v>
      </c>
      <c r="G724">
        <v>0</v>
      </c>
      <c r="H724" t="s">
        <v>24</v>
      </c>
    </row>
    <row r="725" spans="1:8" hidden="1" x14ac:dyDescent="0.25">
      <c r="A725" t="s">
        <v>168</v>
      </c>
      <c r="B725" t="s">
        <v>2</v>
      </c>
      <c r="C725" s="38">
        <v>45079</v>
      </c>
      <c r="D725" t="s">
        <v>236</v>
      </c>
      <c r="E725" t="s">
        <v>201</v>
      </c>
      <c r="F725">
        <v>0.2</v>
      </c>
      <c r="G725">
        <v>0</v>
      </c>
      <c r="H725" t="s">
        <v>24</v>
      </c>
    </row>
    <row r="726" spans="1:8" hidden="1" x14ac:dyDescent="0.25">
      <c r="A726" t="s">
        <v>217</v>
      </c>
      <c r="B726" t="s">
        <v>2</v>
      </c>
      <c r="C726" s="38">
        <v>45079</v>
      </c>
      <c r="D726" t="s">
        <v>235</v>
      </c>
      <c r="E726" t="s">
        <v>201</v>
      </c>
      <c r="F726">
        <v>7.8</v>
      </c>
      <c r="G726">
        <v>0</v>
      </c>
      <c r="H726" t="s">
        <v>24</v>
      </c>
    </row>
    <row r="727" spans="1:8" hidden="1" x14ac:dyDescent="0.25">
      <c r="A727" t="s">
        <v>244</v>
      </c>
      <c r="B727" t="s">
        <v>2</v>
      </c>
      <c r="C727" s="38">
        <v>45079</v>
      </c>
      <c r="D727" t="s">
        <v>236</v>
      </c>
      <c r="E727" t="s">
        <v>204</v>
      </c>
      <c r="F727">
        <v>0</v>
      </c>
      <c r="G727">
        <v>0</v>
      </c>
      <c r="H727" t="s">
        <v>24</v>
      </c>
    </row>
    <row r="728" spans="1:8" hidden="1" x14ac:dyDescent="0.25">
      <c r="A728" t="s">
        <v>248</v>
      </c>
      <c r="B728" t="s">
        <v>4</v>
      </c>
      <c r="C728" s="38">
        <v>45079</v>
      </c>
      <c r="D728" t="s">
        <v>236</v>
      </c>
      <c r="E728" t="s">
        <v>204</v>
      </c>
      <c r="F728">
        <v>0</v>
      </c>
      <c r="G728">
        <v>0</v>
      </c>
      <c r="H728" t="s">
        <v>24</v>
      </c>
    </row>
    <row r="729" spans="1:8" hidden="1" x14ac:dyDescent="0.25">
      <c r="A729" t="s">
        <v>199</v>
      </c>
      <c r="B729" t="s">
        <v>4</v>
      </c>
      <c r="C729" s="38">
        <v>45079</v>
      </c>
      <c r="D729" t="s">
        <v>235</v>
      </c>
      <c r="E729" t="s">
        <v>205</v>
      </c>
      <c r="F729">
        <v>7.8</v>
      </c>
      <c r="G729">
        <v>0</v>
      </c>
      <c r="H729" t="s">
        <v>24</v>
      </c>
    </row>
    <row r="730" spans="1:8" hidden="1" x14ac:dyDescent="0.25">
      <c r="A730" t="s">
        <v>164</v>
      </c>
      <c r="B730" t="s">
        <v>2</v>
      </c>
      <c r="C730" s="38">
        <v>45079</v>
      </c>
      <c r="D730" t="s">
        <v>236</v>
      </c>
      <c r="E730" t="s">
        <v>205</v>
      </c>
      <c r="F730">
        <v>7.5</v>
      </c>
      <c r="G730">
        <v>0</v>
      </c>
      <c r="H730" t="s">
        <v>24</v>
      </c>
    </row>
    <row r="731" spans="1:8" hidden="1" x14ac:dyDescent="0.25">
      <c r="A731" t="s">
        <v>241</v>
      </c>
      <c r="B731" t="s">
        <v>2</v>
      </c>
      <c r="C731" s="38">
        <v>45079</v>
      </c>
      <c r="D731" t="s">
        <v>235</v>
      </c>
      <c r="E731" t="s">
        <v>204</v>
      </c>
      <c r="F731">
        <v>0</v>
      </c>
      <c r="G731">
        <v>0</v>
      </c>
      <c r="H731" t="s">
        <v>24</v>
      </c>
    </row>
    <row r="732" spans="1:8" hidden="1" x14ac:dyDescent="0.25">
      <c r="A732" t="s">
        <v>245</v>
      </c>
      <c r="B732" t="s">
        <v>2</v>
      </c>
      <c r="C732" s="38">
        <v>45079</v>
      </c>
      <c r="D732" t="s">
        <v>236</v>
      </c>
      <c r="E732" t="s">
        <v>204</v>
      </c>
      <c r="F732">
        <v>0</v>
      </c>
      <c r="G732">
        <v>0</v>
      </c>
      <c r="H732" t="s">
        <v>24</v>
      </c>
    </row>
    <row r="733" spans="1:8" hidden="1" x14ac:dyDescent="0.25">
      <c r="A733" t="s">
        <v>173</v>
      </c>
      <c r="B733" t="s">
        <v>2</v>
      </c>
      <c r="C733" s="38">
        <v>45079</v>
      </c>
      <c r="D733" t="s">
        <v>235</v>
      </c>
      <c r="E733" t="s">
        <v>204</v>
      </c>
      <c r="F733">
        <v>0</v>
      </c>
      <c r="G733">
        <v>0</v>
      </c>
      <c r="H733" t="s">
        <v>24</v>
      </c>
    </row>
    <row r="734" spans="1:8" hidden="1" x14ac:dyDescent="0.25">
      <c r="A734" t="s">
        <v>152</v>
      </c>
      <c r="B734" t="s">
        <v>2</v>
      </c>
      <c r="C734" s="38">
        <v>45079</v>
      </c>
      <c r="D734" t="s">
        <v>236</v>
      </c>
      <c r="E734" t="s">
        <v>204</v>
      </c>
      <c r="F734">
        <v>0</v>
      </c>
      <c r="G734">
        <v>0</v>
      </c>
      <c r="H734" t="s">
        <v>24</v>
      </c>
    </row>
    <row r="735" spans="1:8" hidden="1" x14ac:dyDescent="0.25">
      <c r="A735" t="s">
        <v>245</v>
      </c>
      <c r="B735" t="s">
        <v>2</v>
      </c>
      <c r="C735" s="38">
        <v>45079</v>
      </c>
      <c r="D735" t="s">
        <v>235</v>
      </c>
      <c r="E735" t="s">
        <v>204</v>
      </c>
      <c r="F735">
        <v>0</v>
      </c>
      <c r="G735">
        <v>0</v>
      </c>
      <c r="H735" t="s">
        <v>24</v>
      </c>
    </row>
    <row r="736" spans="1:8" hidden="1" x14ac:dyDescent="0.25">
      <c r="A736" t="s">
        <v>165</v>
      </c>
      <c r="B736" t="s">
        <v>2</v>
      </c>
      <c r="C736" s="38">
        <v>45079</v>
      </c>
      <c r="D736" t="s">
        <v>240</v>
      </c>
      <c r="E736" t="s">
        <v>205</v>
      </c>
      <c r="F736">
        <v>7.3</v>
      </c>
      <c r="G736">
        <v>0.5</v>
      </c>
      <c r="H736" t="s">
        <v>24</v>
      </c>
    </row>
    <row r="737" spans="1:8" hidden="1" x14ac:dyDescent="0.25">
      <c r="A737" t="s">
        <v>239</v>
      </c>
      <c r="B737" t="s">
        <v>4</v>
      </c>
      <c r="C737" s="38">
        <v>45079</v>
      </c>
      <c r="D737" t="s">
        <v>235</v>
      </c>
      <c r="E737" t="s">
        <v>204</v>
      </c>
      <c r="F737">
        <v>0</v>
      </c>
      <c r="G737">
        <v>0</v>
      </c>
      <c r="H737" t="s">
        <v>24</v>
      </c>
    </row>
    <row r="738" spans="1:8" hidden="1" x14ac:dyDescent="0.25">
      <c r="A738" t="s">
        <v>196</v>
      </c>
      <c r="B738" t="s">
        <v>2</v>
      </c>
      <c r="C738" s="38">
        <v>45079</v>
      </c>
      <c r="D738" t="s">
        <v>236</v>
      </c>
      <c r="E738" t="s">
        <v>204</v>
      </c>
      <c r="F738">
        <v>0</v>
      </c>
      <c r="G738">
        <v>0</v>
      </c>
      <c r="H738" t="s">
        <v>24</v>
      </c>
    </row>
    <row r="739" spans="1:8" hidden="1" x14ac:dyDescent="0.25">
      <c r="A739" t="s">
        <v>168</v>
      </c>
      <c r="B739" t="s">
        <v>2</v>
      </c>
      <c r="C739" s="38">
        <v>45079</v>
      </c>
      <c r="D739" t="s">
        <v>240</v>
      </c>
      <c r="E739" t="s">
        <v>205</v>
      </c>
      <c r="F739">
        <v>7.3</v>
      </c>
      <c r="G739">
        <v>0</v>
      </c>
      <c r="H739" t="s">
        <v>24</v>
      </c>
    </row>
    <row r="740" spans="1:8" hidden="1" x14ac:dyDescent="0.25">
      <c r="A740" t="s">
        <v>151</v>
      </c>
      <c r="B740" t="s">
        <v>2</v>
      </c>
      <c r="C740" s="38">
        <v>45079</v>
      </c>
      <c r="D740" t="s">
        <v>235</v>
      </c>
      <c r="E740" t="s">
        <v>204</v>
      </c>
      <c r="F740">
        <v>0</v>
      </c>
      <c r="G740">
        <v>0</v>
      </c>
      <c r="H740" t="s">
        <v>24</v>
      </c>
    </row>
    <row r="741" spans="1:8" hidden="1" x14ac:dyDescent="0.25">
      <c r="A741" t="s">
        <v>170</v>
      </c>
      <c r="B741" t="s">
        <v>2</v>
      </c>
      <c r="C741" s="38">
        <v>45079</v>
      </c>
      <c r="D741" t="s">
        <v>236</v>
      </c>
      <c r="E741" t="s">
        <v>205</v>
      </c>
      <c r="F741">
        <v>6</v>
      </c>
      <c r="G741">
        <v>1.9</v>
      </c>
      <c r="H741" t="s">
        <v>24</v>
      </c>
    </row>
    <row r="742" spans="1:8" hidden="1" x14ac:dyDescent="0.25">
      <c r="A742" t="s">
        <v>244</v>
      </c>
      <c r="B742" t="s">
        <v>2</v>
      </c>
      <c r="C742" s="38">
        <v>45079</v>
      </c>
      <c r="D742" t="s">
        <v>235</v>
      </c>
      <c r="E742" t="s">
        <v>204</v>
      </c>
      <c r="F742">
        <v>0</v>
      </c>
      <c r="G742">
        <v>0</v>
      </c>
      <c r="H742" t="s">
        <v>24</v>
      </c>
    </row>
    <row r="743" spans="1:8" hidden="1" x14ac:dyDescent="0.25">
      <c r="A743" t="s">
        <v>247</v>
      </c>
      <c r="B743" t="s">
        <v>4</v>
      </c>
      <c r="C743" s="38">
        <v>45079</v>
      </c>
      <c r="D743" t="s">
        <v>240</v>
      </c>
      <c r="E743" t="s">
        <v>204</v>
      </c>
      <c r="F743">
        <v>0</v>
      </c>
      <c r="G743">
        <v>0</v>
      </c>
      <c r="H743" t="s">
        <v>24</v>
      </c>
    </row>
    <row r="744" spans="1:8" hidden="1" x14ac:dyDescent="0.25">
      <c r="A744" t="s">
        <v>186</v>
      </c>
      <c r="B744" t="s">
        <v>2</v>
      </c>
      <c r="C744" s="38">
        <v>45079</v>
      </c>
      <c r="D744" t="s">
        <v>235</v>
      </c>
      <c r="E744" t="s">
        <v>205</v>
      </c>
      <c r="F744">
        <v>7.8</v>
      </c>
      <c r="G744">
        <v>0</v>
      </c>
      <c r="H744" t="s">
        <v>24</v>
      </c>
    </row>
    <row r="745" spans="1:8" hidden="1" x14ac:dyDescent="0.25">
      <c r="A745" t="s">
        <v>155</v>
      </c>
      <c r="B745" t="s">
        <v>2</v>
      </c>
      <c r="C745" s="38">
        <v>45079</v>
      </c>
      <c r="D745" t="s">
        <v>236</v>
      </c>
      <c r="E745" t="s">
        <v>204</v>
      </c>
      <c r="F745">
        <v>0</v>
      </c>
      <c r="G745">
        <v>0</v>
      </c>
      <c r="H745" t="s">
        <v>24</v>
      </c>
    </row>
    <row r="746" spans="1:8" hidden="1" x14ac:dyDescent="0.25">
      <c r="A746" t="s">
        <v>173</v>
      </c>
      <c r="B746" t="s">
        <v>2</v>
      </c>
      <c r="C746" s="38">
        <v>45079</v>
      </c>
      <c r="D746" t="s">
        <v>236</v>
      </c>
      <c r="E746" t="s">
        <v>205</v>
      </c>
      <c r="F746">
        <v>7.5</v>
      </c>
      <c r="G746">
        <v>0.5</v>
      </c>
      <c r="H746" t="s">
        <v>24</v>
      </c>
    </row>
    <row r="747" spans="1:8" hidden="1" x14ac:dyDescent="0.25">
      <c r="A747" t="s">
        <v>157</v>
      </c>
      <c r="B747" t="s">
        <v>2</v>
      </c>
      <c r="C747" s="38">
        <v>45079</v>
      </c>
      <c r="D747" t="s">
        <v>236</v>
      </c>
      <c r="E747" t="s">
        <v>205</v>
      </c>
      <c r="F747">
        <v>7.5</v>
      </c>
      <c r="G747">
        <v>0.5</v>
      </c>
      <c r="H747" t="s">
        <v>24</v>
      </c>
    </row>
    <row r="748" spans="1:8" hidden="1" x14ac:dyDescent="0.25">
      <c r="A748" t="s">
        <v>177</v>
      </c>
      <c r="B748" t="s">
        <v>2</v>
      </c>
      <c r="C748" s="38">
        <v>45079</v>
      </c>
      <c r="D748" t="s">
        <v>235</v>
      </c>
      <c r="E748" t="s">
        <v>205</v>
      </c>
      <c r="F748">
        <v>7.8</v>
      </c>
      <c r="G748">
        <v>0</v>
      </c>
      <c r="H748" t="s">
        <v>24</v>
      </c>
    </row>
    <row r="749" spans="1:8" hidden="1" x14ac:dyDescent="0.25">
      <c r="A749" t="s">
        <v>180</v>
      </c>
      <c r="B749" t="s">
        <v>2</v>
      </c>
      <c r="C749" s="38">
        <v>45079</v>
      </c>
      <c r="D749" t="s">
        <v>235</v>
      </c>
      <c r="E749" t="s">
        <v>205</v>
      </c>
      <c r="F749">
        <v>7</v>
      </c>
      <c r="G749">
        <v>1</v>
      </c>
      <c r="H749" t="s">
        <v>24</v>
      </c>
    </row>
    <row r="750" spans="1:8" hidden="1" x14ac:dyDescent="0.25">
      <c r="A750" t="s">
        <v>195</v>
      </c>
      <c r="B750" t="s">
        <v>2</v>
      </c>
      <c r="C750" s="38">
        <v>45079</v>
      </c>
      <c r="D750" t="s">
        <v>235</v>
      </c>
      <c r="E750" t="s">
        <v>205</v>
      </c>
      <c r="F750">
        <v>7.8</v>
      </c>
      <c r="G750">
        <v>0</v>
      </c>
      <c r="H750" t="s">
        <v>24</v>
      </c>
    </row>
    <row r="751" spans="1:8" hidden="1" x14ac:dyDescent="0.25">
      <c r="A751" t="s">
        <v>152</v>
      </c>
      <c r="B751" t="s">
        <v>2</v>
      </c>
      <c r="C751" s="38">
        <v>45079</v>
      </c>
      <c r="D751" t="s">
        <v>235</v>
      </c>
      <c r="E751" t="s">
        <v>205</v>
      </c>
      <c r="F751">
        <v>7</v>
      </c>
      <c r="G751">
        <v>1</v>
      </c>
      <c r="H751" t="s">
        <v>24</v>
      </c>
    </row>
    <row r="752" spans="1:8" x14ac:dyDescent="0.25">
      <c r="A752" t="s">
        <v>5</v>
      </c>
      <c r="B752" t="s">
        <v>4</v>
      </c>
      <c r="C752" s="38">
        <v>45079</v>
      </c>
      <c r="D752" t="s">
        <v>235</v>
      </c>
      <c r="E752" t="s">
        <v>204</v>
      </c>
      <c r="F752">
        <v>0</v>
      </c>
      <c r="G752">
        <v>0</v>
      </c>
      <c r="H752" t="s">
        <v>24</v>
      </c>
    </row>
    <row r="753" spans="1:8" hidden="1" x14ac:dyDescent="0.25">
      <c r="A753" t="s">
        <v>185</v>
      </c>
      <c r="B753" t="s">
        <v>2</v>
      </c>
      <c r="C753" s="38">
        <v>45079</v>
      </c>
      <c r="D753" t="s">
        <v>236</v>
      </c>
      <c r="E753" t="s">
        <v>205</v>
      </c>
      <c r="F753">
        <v>7.5</v>
      </c>
      <c r="G753">
        <v>0</v>
      </c>
      <c r="H753" t="s">
        <v>24</v>
      </c>
    </row>
    <row r="754" spans="1:8" hidden="1" x14ac:dyDescent="0.25">
      <c r="A754" t="s">
        <v>192</v>
      </c>
      <c r="B754" t="s">
        <v>2</v>
      </c>
      <c r="C754" s="38">
        <v>45079</v>
      </c>
      <c r="D754" t="s">
        <v>240</v>
      </c>
      <c r="E754" t="s">
        <v>205</v>
      </c>
      <c r="F754">
        <v>7.3</v>
      </c>
      <c r="G754">
        <v>0.5</v>
      </c>
      <c r="H754" t="s">
        <v>24</v>
      </c>
    </row>
    <row r="755" spans="1:8" hidden="1" x14ac:dyDescent="0.25">
      <c r="A755" t="s">
        <v>152</v>
      </c>
      <c r="B755" t="s">
        <v>2</v>
      </c>
      <c r="C755" s="38">
        <v>45079</v>
      </c>
      <c r="D755" t="s">
        <v>240</v>
      </c>
      <c r="E755" t="s">
        <v>204</v>
      </c>
      <c r="F755">
        <v>0</v>
      </c>
      <c r="G755">
        <v>0</v>
      </c>
      <c r="H755" t="s">
        <v>24</v>
      </c>
    </row>
    <row r="756" spans="1:8" hidden="1" x14ac:dyDescent="0.25">
      <c r="A756" t="s">
        <v>238</v>
      </c>
      <c r="B756" t="s">
        <v>4</v>
      </c>
      <c r="C756" s="38">
        <v>45079</v>
      </c>
      <c r="D756" t="s">
        <v>236</v>
      </c>
      <c r="E756" t="s">
        <v>204</v>
      </c>
      <c r="F756">
        <v>0</v>
      </c>
      <c r="G756">
        <v>0</v>
      </c>
      <c r="H756" t="s">
        <v>24</v>
      </c>
    </row>
    <row r="757" spans="1:8" hidden="1" x14ac:dyDescent="0.25">
      <c r="A757" t="s">
        <v>181</v>
      </c>
      <c r="B757" t="s">
        <v>2</v>
      </c>
      <c r="C757" s="38">
        <v>45079</v>
      </c>
      <c r="D757" t="s">
        <v>236</v>
      </c>
      <c r="E757" t="s">
        <v>205</v>
      </c>
      <c r="F757">
        <v>7.5</v>
      </c>
      <c r="G757">
        <v>0</v>
      </c>
      <c r="H757" t="s">
        <v>24</v>
      </c>
    </row>
    <row r="758" spans="1:8" hidden="1" x14ac:dyDescent="0.25">
      <c r="A758" t="s">
        <v>148</v>
      </c>
      <c r="B758" t="s">
        <v>2</v>
      </c>
      <c r="C758" s="38">
        <v>45079</v>
      </c>
      <c r="D758" t="s">
        <v>235</v>
      </c>
      <c r="E758" t="s">
        <v>204</v>
      </c>
      <c r="F758">
        <v>0</v>
      </c>
      <c r="G758">
        <v>0</v>
      </c>
      <c r="H758" t="s">
        <v>24</v>
      </c>
    </row>
    <row r="759" spans="1:8" hidden="1" x14ac:dyDescent="0.25">
      <c r="A759" t="s">
        <v>198</v>
      </c>
      <c r="B759" t="s">
        <v>4</v>
      </c>
      <c r="C759" s="38">
        <v>45079</v>
      </c>
      <c r="D759" t="s">
        <v>236</v>
      </c>
      <c r="E759" t="s">
        <v>205</v>
      </c>
      <c r="F759">
        <v>7</v>
      </c>
      <c r="G759">
        <v>1</v>
      </c>
      <c r="H759" t="s">
        <v>24</v>
      </c>
    </row>
    <row r="760" spans="1:8" hidden="1" x14ac:dyDescent="0.25">
      <c r="A760" t="s">
        <v>152</v>
      </c>
      <c r="B760" t="s">
        <v>2</v>
      </c>
      <c r="C760" s="38">
        <v>45080</v>
      </c>
      <c r="D760" t="s">
        <v>240</v>
      </c>
      <c r="E760" t="s">
        <v>204</v>
      </c>
      <c r="F760">
        <v>0</v>
      </c>
      <c r="G760">
        <v>0</v>
      </c>
      <c r="H760" t="s">
        <v>24</v>
      </c>
    </row>
    <row r="761" spans="1:8" hidden="1" x14ac:dyDescent="0.25">
      <c r="A761" t="s">
        <v>154</v>
      </c>
      <c r="B761" t="s">
        <v>2</v>
      </c>
      <c r="C761" s="38">
        <v>45080</v>
      </c>
      <c r="D761" t="s">
        <v>235</v>
      </c>
      <c r="E761" t="s">
        <v>205</v>
      </c>
      <c r="F761">
        <v>7.8</v>
      </c>
      <c r="G761">
        <v>0</v>
      </c>
      <c r="H761" t="s">
        <v>24</v>
      </c>
    </row>
    <row r="762" spans="1:8" hidden="1" x14ac:dyDescent="0.25">
      <c r="A762" t="s">
        <v>158</v>
      </c>
      <c r="B762" t="s">
        <v>2</v>
      </c>
      <c r="C762" s="38">
        <v>45080</v>
      </c>
      <c r="D762" t="s">
        <v>235</v>
      </c>
      <c r="E762" t="s">
        <v>205</v>
      </c>
      <c r="F762">
        <v>7.8</v>
      </c>
      <c r="G762">
        <v>0</v>
      </c>
      <c r="H762" t="s">
        <v>24</v>
      </c>
    </row>
    <row r="763" spans="1:8" hidden="1" x14ac:dyDescent="0.25">
      <c r="A763" t="s">
        <v>170</v>
      </c>
      <c r="B763" t="s">
        <v>2</v>
      </c>
      <c r="C763" s="38">
        <v>45080</v>
      </c>
      <c r="D763" t="s">
        <v>236</v>
      </c>
      <c r="E763" t="s">
        <v>205</v>
      </c>
      <c r="F763">
        <v>6</v>
      </c>
      <c r="G763">
        <v>1.9</v>
      </c>
      <c r="H763" t="s">
        <v>24</v>
      </c>
    </row>
    <row r="764" spans="1:8" hidden="1" x14ac:dyDescent="0.25">
      <c r="A764" t="s">
        <v>177</v>
      </c>
      <c r="B764" t="s">
        <v>2</v>
      </c>
      <c r="C764" s="38">
        <v>45080</v>
      </c>
      <c r="D764" t="s">
        <v>235</v>
      </c>
      <c r="E764" t="s">
        <v>205</v>
      </c>
      <c r="F764">
        <v>7.8</v>
      </c>
      <c r="G764">
        <v>0</v>
      </c>
      <c r="H764" t="s">
        <v>24</v>
      </c>
    </row>
    <row r="765" spans="1:8" hidden="1" x14ac:dyDescent="0.25">
      <c r="A765" t="s">
        <v>176</v>
      </c>
      <c r="B765" t="s">
        <v>2</v>
      </c>
      <c r="C765" s="38">
        <v>45080</v>
      </c>
      <c r="D765" t="s">
        <v>236</v>
      </c>
      <c r="E765" t="s">
        <v>205</v>
      </c>
      <c r="F765">
        <v>7.5</v>
      </c>
      <c r="G765">
        <v>0.5</v>
      </c>
      <c r="H765" t="s">
        <v>24</v>
      </c>
    </row>
    <row r="766" spans="1:8" hidden="1" x14ac:dyDescent="0.25">
      <c r="A766" t="s">
        <v>172</v>
      </c>
      <c r="B766" t="s">
        <v>2</v>
      </c>
      <c r="C766" s="38">
        <v>45080</v>
      </c>
      <c r="D766" t="s">
        <v>236</v>
      </c>
      <c r="E766" t="s">
        <v>205</v>
      </c>
      <c r="F766">
        <v>7.5</v>
      </c>
      <c r="G766">
        <v>0.5</v>
      </c>
      <c r="H766" t="s">
        <v>24</v>
      </c>
    </row>
    <row r="767" spans="1:8" hidden="1" x14ac:dyDescent="0.25">
      <c r="A767" t="s">
        <v>165</v>
      </c>
      <c r="B767" t="s">
        <v>2</v>
      </c>
      <c r="C767" s="38">
        <v>45080</v>
      </c>
      <c r="D767" t="s">
        <v>240</v>
      </c>
      <c r="E767" t="s">
        <v>205</v>
      </c>
      <c r="F767">
        <v>7.3</v>
      </c>
      <c r="G767">
        <v>0.5</v>
      </c>
      <c r="H767" t="s">
        <v>24</v>
      </c>
    </row>
    <row r="768" spans="1:8" hidden="1" x14ac:dyDescent="0.25">
      <c r="A768" t="s">
        <v>141</v>
      </c>
      <c r="B768" t="s">
        <v>4</v>
      </c>
      <c r="C768" s="38">
        <v>45080</v>
      </c>
      <c r="D768" t="s">
        <v>240</v>
      </c>
      <c r="E768" t="s">
        <v>205</v>
      </c>
      <c r="F768">
        <v>0.2</v>
      </c>
      <c r="G768">
        <v>0</v>
      </c>
      <c r="H768" t="s">
        <v>24</v>
      </c>
    </row>
    <row r="769" spans="1:8" hidden="1" x14ac:dyDescent="0.25">
      <c r="A769" t="s">
        <v>150</v>
      </c>
      <c r="B769" t="s">
        <v>2</v>
      </c>
      <c r="C769" s="38">
        <v>45080</v>
      </c>
      <c r="D769" t="s">
        <v>235</v>
      </c>
      <c r="E769" t="s">
        <v>205</v>
      </c>
      <c r="F769">
        <v>7</v>
      </c>
      <c r="G769">
        <v>1</v>
      </c>
      <c r="H769" t="s">
        <v>24</v>
      </c>
    </row>
    <row r="770" spans="1:8" hidden="1" x14ac:dyDescent="0.25">
      <c r="A770" t="s">
        <v>175</v>
      </c>
      <c r="B770" t="s">
        <v>2</v>
      </c>
      <c r="C770" s="38">
        <v>45080</v>
      </c>
      <c r="D770" t="s">
        <v>236</v>
      </c>
      <c r="E770" t="s">
        <v>205</v>
      </c>
      <c r="F770">
        <v>7.5</v>
      </c>
      <c r="G770">
        <v>0.5</v>
      </c>
      <c r="H770" t="s">
        <v>24</v>
      </c>
    </row>
    <row r="771" spans="1:8" hidden="1" x14ac:dyDescent="0.25">
      <c r="A771" t="s">
        <v>182</v>
      </c>
      <c r="B771" t="s">
        <v>2</v>
      </c>
      <c r="C771" s="38">
        <v>45080</v>
      </c>
      <c r="D771" t="s">
        <v>235</v>
      </c>
      <c r="E771" t="s">
        <v>201</v>
      </c>
      <c r="F771">
        <v>0.5</v>
      </c>
      <c r="G771">
        <v>0</v>
      </c>
      <c r="H771" t="s">
        <v>24</v>
      </c>
    </row>
    <row r="772" spans="1:8" hidden="1" x14ac:dyDescent="0.25">
      <c r="A772" t="s">
        <v>182</v>
      </c>
      <c r="B772" t="s">
        <v>2</v>
      </c>
      <c r="C772" s="38">
        <v>45080</v>
      </c>
      <c r="D772" t="s">
        <v>236</v>
      </c>
      <c r="E772" t="s">
        <v>205</v>
      </c>
      <c r="F772">
        <v>7.5</v>
      </c>
      <c r="G772">
        <v>0</v>
      </c>
      <c r="H772" t="s">
        <v>24</v>
      </c>
    </row>
    <row r="773" spans="1:8" hidden="1" x14ac:dyDescent="0.25">
      <c r="A773" t="s">
        <v>187</v>
      </c>
      <c r="B773" t="s">
        <v>2</v>
      </c>
      <c r="C773" s="38">
        <v>45080</v>
      </c>
      <c r="D773" t="s">
        <v>240</v>
      </c>
      <c r="E773" t="s">
        <v>201</v>
      </c>
      <c r="F773">
        <v>7.3</v>
      </c>
      <c r="G773">
        <v>0.7</v>
      </c>
      <c r="H773" t="s">
        <v>24</v>
      </c>
    </row>
    <row r="774" spans="1:8" hidden="1" x14ac:dyDescent="0.25">
      <c r="A774" t="s">
        <v>242</v>
      </c>
      <c r="B774" t="s">
        <v>2</v>
      </c>
      <c r="C774" s="38">
        <v>45080</v>
      </c>
      <c r="D774" t="s">
        <v>236</v>
      </c>
      <c r="E774" t="s">
        <v>204</v>
      </c>
      <c r="F774">
        <v>0</v>
      </c>
      <c r="G774">
        <v>0</v>
      </c>
      <c r="H774" t="s">
        <v>24</v>
      </c>
    </row>
    <row r="775" spans="1:8" hidden="1" x14ac:dyDescent="0.25">
      <c r="A775" t="s">
        <v>249</v>
      </c>
      <c r="B775" t="s">
        <v>2</v>
      </c>
      <c r="C775" s="38">
        <v>45080</v>
      </c>
      <c r="D775" t="s">
        <v>235</v>
      </c>
      <c r="E775" t="s">
        <v>204</v>
      </c>
      <c r="F775">
        <v>0</v>
      </c>
      <c r="G775">
        <v>0</v>
      </c>
      <c r="H775" t="s">
        <v>24</v>
      </c>
    </row>
    <row r="776" spans="1:8" hidden="1" x14ac:dyDescent="0.25">
      <c r="A776" t="s">
        <v>152</v>
      </c>
      <c r="B776" t="s">
        <v>2</v>
      </c>
      <c r="C776" s="38">
        <v>45080</v>
      </c>
      <c r="D776" t="s">
        <v>236</v>
      </c>
      <c r="E776" t="s">
        <v>204</v>
      </c>
      <c r="F776">
        <v>0</v>
      </c>
      <c r="G776">
        <v>0</v>
      </c>
      <c r="H776" t="s">
        <v>24</v>
      </c>
    </row>
    <row r="777" spans="1:8" hidden="1" x14ac:dyDescent="0.25">
      <c r="A777" t="s">
        <v>192</v>
      </c>
      <c r="B777" t="s">
        <v>2</v>
      </c>
      <c r="C777" s="38">
        <v>45080</v>
      </c>
      <c r="D777" t="s">
        <v>236</v>
      </c>
      <c r="E777" t="s">
        <v>201</v>
      </c>
      <c r="F777">
        <v>0.2</v>
      </c>
      <c r="G777">
        <v>0.5</v>
      </c>
      <c r="H777" t="s">
        <v>24</v>
      </c>
    </row>
    <row r="778" spans="1:8" hidden="1" x14ac:dyDescent="0.25">
      <c r="A778" t="s">
        <v>192</v>
      </c>
      <c r="B778" t="s">
        <v>2</v>
      </c>
      <c r="C778" s="38">
        <v>45080</v>
      </c>
      <c r="D778" t="s">
        <v>240</v>
      </c>
      <c r="E778" t="s">
        <v>205</v>
      </c>
      <c r="F778">
        <v>7.3</v>
      </c>
      <c r="G778">
        <v>0.5</v>
      </c>
      <c r="H778" t="s">
        <v>24</v>
      </c>
    </row>
    <row r="779" spans="1:8" hidden="1" x14ac:dyDescent="0.25">
      <c r="A779" t="s">
        <v>215</v>
      </c>
      <c r="B779" t="s">
        <v>2</v>
      </c>
      <c r="C779" s="38">
        <v>45080</v>
      </c>
      <c r="D779" t="s">
        <v>240</v>
      </c>
      <c r="E779" t="s">
        <v>201</v>
      </c>
      <c r="F779">
        <v>0.2</v>
      </c>
      <c r="G779">
        <v>0</v>
      </c>
      <c r="H779" t="s">
        <v>24</v>
      </c>
    </row>
    <row r="780" spans="1:8" hidden="1" x14ac:dyDescent="0.25">
      <c r="A780" t="s">
        <v>196</v>
      </c>
      <c r="B780" t="s">
        <v>2</v>
      </c>
      <c r="C780" s="38">
        <v>45080</v>
      </c>
      <c r="D780" t="s">
        <v>235</v>
      </c>
      <c r="E780" t="s">
        <v>201</v>
      </c>
      <c r="F780">
        <v>7</v>
      </c>
      <c r="G780">
        <v>1</v>
      </c>
      <c r="H780" t="s">
        <v>24</v>
      </c>
    </row>
    <row r="781" spans="1:8" hidden="1" x14ac:dyDescent="0.25">
      <c r="A781" t="s">
        <v>220</v>
      </c>
      <c r="B781" t="s">
        <v>4</v>
      </c>
      <c r="C781" s="38">
        <v>45080</v>
      </c>
      <c r="D781" t="s">
        <v>236</v>
      </c>
      <c r="E781" t="s">
        <v>201</v>
      </c>
      <c r="F781">
        <v>0.5</v>
      </c>
      <c r="G781">
        <v>0.2</v>
      </c>
      <c r="H781" t="s">
        <v>24</v>
      </c>
    </row>
    <row r="782" spans="1:8" hidden="1" x14ac:dyDescent="0.25">
      <c r="A782" t="s">
        <v>220</v>
      </c>
      <c r="B782" t="s">
        <v>4</v>
      </c>
      <c r="C782" s="38">
        <v>45080</v>
      </c>
      <c r="D782" t="s">
        <v>240</v>
      </c>
      <c r="E782" t="s">
        <v>201</v>
      </c>
      <c r="F782">
        <v>7.3</v>
      </c>
      <c r="G782">
        <v>0.2</v>
      </c>
      <c r="H782" t="s">
        <v>24</v>
      </c>
    </row>
    <row r="783" spans="1:8" hidden="1" x14ac:dyDescent="0.25">
      <c r="A783" t="s">
        <v>161</v>
      </c>
      <c r="B783" t="s">
        <v>2</v>
      </c>
      <c r="C783" s="38">
        <v>45080</v>
      </c>
      <c r="D783" t="s">
        <v>235</v>
      </c>
      <c r="E783" t="s">
        <v>204</v>
      </c>
      <c r="F783">
        <v>0</v>
      </c>
      <c r="G783">
        <v>0</v>
      </c>
      <c r="H783" t="s">
        <v>24</v>
      </c>
    </row>
    <row r="784" spans="1:8" hidden="1" x14ac:dyDescent="0.25">
      <c r="A784" t="s">
        <v>248</v>
      </c>
      <c r="B784" t="s">
        <v>4</v>
      </c>
      <c r="C784" s="38">
        <v>45080</v>
      </c>
      <c r="D784" t="s">
        <v>236</v>
      </c>
      <c r="E784" t="s">
        <v>204</v>
      </c>
      <c r="F784">
        <v>0</v>
      </c>
      <c r="G784">
        <v>0</v>
      </c>
      <c r="H784" t="s">
        <v>24</v>
      </c>
    </row>
    <row r="785" spans="1:8" hidden="1" x14ac:dyDescent="0.25">
      <c r="A785" t="s">
        <v>152</v>
      </c>
      <c r="B785" t="s">
        <v>2</v>
      </c>
      <c r="C785" s="38">
        <v>45080</v>
      </c>
      <c r="D785" t="s">
        <v>235</v>
      </c>
      <c r="E785" t="s">
        <v>204</v>
      </c>
      <c r="F785">
        <v>0</v>
      </c>
      <c r="G785">
        <v>0</v>
      </c>
      <c r="H785" t="s">
        <v>24</v>
      </c>
    </row>
    <row r="786" spans="1:8" hidden="1" x14ac:dyDescent="0.25">
      <c r="A786" t="s">
        <v>245</v>
      </c>
      <c r="B786" t="s">
        <v>2</v>
      </c>
      <c r="C786" s="38">
        <v>45080</v>
      </c>
      <c r="D786" t="s">
        <v>236</v>
      </c>
      <c r="E786" t="s">
        <v>204</v>
      </c>
      <c r="F786">
        <v>0</v>
      </c>
      <c r="G786">
        <v>0</v>
      </c>
      <c r="H786" t="s">
        <v>24</v>
      </c>
    </row>
    <row r="787" spans="1:8" hidden="1" x14ac:dyDescent="0.25">
      <c r="A787" t="s">
        <v>247</v>
      </c>
      <c r="B787" t="s">
        <v>4</v>
      </c>
      <c r="C787" s="38">
        <v>45080</v>
      </c>
      <c r="D787" t="s">
        <v>240</v>
      </c>
      <c r="E787" t="s">
        <v>204</v>
      </c>
      <c r="F787">
        <v>0</v>
      </c>
      <c r="G787">
        <v>0</v>
      </c>
      <c r="H787" t="s">
        <v>24</v>
      </c>
    </row>
    <row r="788" spans="1:8" hidden="1" x14ac:dyDescent="0.25">
      <c r="A788" t="s">
        <v>148</v>
      </c>
      <c r="B788" t="s">
        <v>2</v>
      </c>
      <c r="C788" s="38">
        <v>45080</v>
      </c>
      <c r="D788" t="s">
        <v>235</v>
      </c>
      <c r="E788" t="s">
        <v>204</v>
      </c>
      <c r="F788">
        <v>0</v>
      </c>
      <c r="G788">
        <v>0</v>
      </c>
      <c r="H788" t="s">
        <v>24</v>
      </c>
    </row>
    <row r="789" spans="1:8" hidden="1" x14ac:dyDescent="0.25">
      <c r="A789" t="s">
        <v>3</v>
      </c>
      <c r="B789" t="s">
        <v>2</v>
      </c>
      <c r="C789" s="38">
        <v>45080</v>
      </c>
      <c r="D789" t="s">
        <v>236</v>
      </c>
      <c r="E789" t="s">
        <v>204</v>
      </c>
      <c r="F789">
        <v>0</v>
      </c>
      <c r="G789">
        <v>0</v>
      </c>
      <c r="H789" t="s">
        <v>24</v>
      </c>
    </row>
    <row r="790" spans="1:8" hidden="1" x14ac:dyDescent="0.25">
      <c r="A790" t="s">
        <v>156</v>
      </c>
      <c r="B790" t="s">
        <v>2</v>
      </c>
      <c r="C790" s="38">
        <v>45080</v>
      </c>
      <c r="D790" t="s">
        <v>236</v>
      </c>
      <c r="E790" t="s">
        <v>204</v>
      </c>
      <c r="F790">
        <v>0</v>
      </c>
      <c r="G790">
        <v>0</v>
      </c>
      <c r="H790" t="s">
        <v>24</v>
      </c>
    </row>
    <row r="791" spans="1:8" hidden="1" x14ac:dyDescent="0.25">
      <c r="A791" t="s">
        <v>244</v>
      </c>
      <c r="B791" t="s">
        <v>2</v>
      </c>
      <c r="C791" s="38">
        <v>45080</v>
      </c>
      <c r="D791" t="s">
        <v>235</v>
      </c>
      <c r="E791" t="s">
        <v>204</v>
      </c>
      <c r="F791">
        <v>0</v>
      </c>
      <c r="G791">
        <v>0</v>
      </c>
      <c r="H791" t="s">
        <v>24</v>
      </c>
    </row>
    <row r="792" spans="1:8" hidden="1" x14ac:dyDescent="0.25">
      <c r="A792" t="s">
        <v>155</v>
      </c>
      <c r="B792" t="s">
        <v>2</v>
      </c>
      <c r="C792" s="38">
        <v>45080</v>
      </c>
      <c r="D792" t="s">
        <v>236</v>
      </c>
      <c r="E792" t="s">
        <v>204</v>
      </c>
      <c r="F792">
        <v>0</v>
      </c>
      <c r="G792">
        <v>0</v>
      </c>
      <c r="H792" t="s">
        <v>24</v>
      </c>
    </row>
    <row r="793" spans="1:8" hidden="1" x14ac:dyDescent="0.25">
      <c r="A793" t="s">
        <v>245</v>
      </c>
      <c r="B793" t="s">
        <v>2</v>
      </c>
      <c r="C793" s="38">
        <v>45080</v>
      </c>
      <c r="D793" t="s">
        <v>235</v>
      </c>
      <c r="E793" t="s">
        <v>204</v>
      </c>
      <c r="F793">
        <v>0</v>
      </c>
      <c r="G793">
        <v>0</v>
      </c>
      <c r="H793" t="s">
        <v>24</v>
      </c>
    </row>
    <row r="794" spans="1:8" hidden="1" x14ac:dyDescent="0.25">
      <c r="A794" t="s">
        <v>250</v>
      </c>
      <c r="B794" t="s">
        <v>4</v>
      </c>
      <c r="C794" s="38">
        <v>45080</v>
      </c>
      <c r="D794" t="s">
        <v>235</v>
      </c>
      <c r="E794" t="s">
        <v>204</v>
      </c>
      <c r="F794">
        <v>0</v>
      </c>
      <c r="G794">
        <v>0</v>
      </c>
      <c r="H794" t="s">
        <v>24</v>
      </c>
    </row>
    <row r="795" spans="1:8" hidden="1" x14ac:dyDescent="0.25">
      <c r="A795" t="s">
        <v>244</v>
      </c>
      <c r="B795" t="s">
        <v>2</v>
      </c>
      <c r="C795" s="38">
        <v>45080</v>
      </c>
      <c r="D795" t="s">
        <v>236</v>
      </c>
      <c r="E795" t="s">
        <v>204</v>
      </c>
      <c r="F795">
        <v>0</v>
      </c>
      <c r="G795">
        <v>0</v>
      </c>
      <c r="H795" t="s">
        <v>24</v>
      </c>
    </row>
    <row r="796" spans="1:8" hidden="1" x14ac:dyDescent="0.25">
      <c r="A796" t="s">
        <v>215</v>
      </c>
      <c r="B796" t="s">
        <v>2</v>
      </c>
      <c r="C796" s="38">
        <v>45080</v>
      </c>
      <c r="D796" t="s">
        <v>235</v>
      </c>
      <c r="E796" t="s">
        <v>201</v>
      </c>
      <c r="F796">
        <v>7.8</v>
      </c>
      <c r="G796">
        <v>0</v>
      </c>
      <c r="H796" t="s">
        <v>24</v>
      </c>
    </row>
    <row r="797" spans="1:8" hidden="1" x14ac:dyDescent="0.25">
      <c r="A797" t="s">
        <v>181</v>
      </c>
      <c r="B797" t="s">
        <v>2</v>
      </c>
      <c r="C797" s="38">
        <v>45080</v>
      </c>
      <c r="D797" t="s">
        <v>236</v>
      </c>
      <c r="E797" t="s">
        <v>205</v>
      </c>
      <c r="F797">
        <v>7.5</v>
      </c>
      <c r="G797">
        <v>0</v>
      </c>
      <c r="H797" t="s">
        <v>24</v>
      </c>
    </row>
    <row r="798" spans="1:8" hidden="1" x14ac:dyDescent="0.25">
      <c r="A798" t="s">
        <v>183</v>
      </c>
      <c r="B798" t="s">
        <v>2</v>
      </c>
      <c r="C798" s="38">
        <v>45080</v>
      </c>
      <c r="D798" t="s">
        <v>236</v>
      </c>
      <c r="E798" t="s">
        <v>205</v>
      </c>
      <c r="F798">
        <v>7.5</v>
      </c>
      <c r="G798">
        <v>0.5</v>
      </c>
      <c r="H798" t="s">
        <v>24</v>
      </c>
    </row>
    <row r="799" spans="1:8" hidden="1" x14ac:dyDescent="0.25">
      <c r="A799" t="s">
        <v>179</v>
      </c>
      <c r="B799" t="s">
        <v>2</v>
      </c>
      <c r="C799" s="38">
        <v>45080</v>
      </c>
      <c r="D799" t="s">
        <v>240</v>
      </c>
      <c r="E799" t="s">
        <v>205</v>
      </c>
      <c r="F799">
        <v>7.3</v>
      </c>
      <c r="G799">
        <v>0.5</v>
      </c>
      <c r="H799" t="s">
        <v>24</v>
      </c>
    </row>
    <row r="800" spans="1:8" hidden="1" x14ac:dyDescent="0.25">
      <c r="A800" t="s">
        <v>181</v>
      </c>
      <c r="B800" t="s">
        <v>2</v>
      </c>
      <c r="C800" s="38">
        <v>45080</v>
      </c>
      <c r="D800" t="s">
        <v>235</v>
      </c>
      <c r="E800" t="s">
        <v>201</v>
      </c>
      <c r="F800">
        <v>0.5</v>
      </c>
      <c r="G800">
        <v>0</v>
      </c>
      <c r="H800" t="s">
        <v>24</v>
      </c>
    </row>
    <row r="801" spans="1:8" hidden="1" x14ac:dyDescent="0.25">
      <c r="A801" t="s">
        <v>168</v>
      </c>
      <c r="B801" t="s">
        <v>2</v>
      </c>
      <c r="C801" s="38">
        <v>45080</v>
      </c>
      <c r="D801" t="s">
        <v>236</v>
      </c>
      <c r="E801" t="s">
        <v>201</v>
      </c>
      <c r="F801">
        <v>0.2</v>
      </c>
      <c r="G801">
        <v>2.2000000000000002</v>
      </c>
      <c r="H801" t="s">
        <v>24</v>
      </c>
    </row>
    <row r="802" spans="1:8" hidden="1" x14ac:dyDescent="0.25">
      <c r="A802" t="s">
        <v>148</v>
      </c>
      <c r="B802" t="s">
        <v>2</v>
      </c>
      <c r="C802" s="38">
        <v>45080</v>
      </c>
      <c r="D802" t="s">
        <v>236</v>
      </c>
      <c r="E802" t="s">
        <v>201</v>
      </c>
      <c r="F802">
        <v>7.5</v>
      </c>
      <c r="G802">
        <v>0.5</v>
      </c>
      <c r="H802" t="s">
        <v>24</v>
      </c>
    </row>
    <row r="803" spans="1:8" hidden="1" x14ac:dyDescent="0.25">
      <c r="A803" t="s">
        <v>188</v>
      </c>
      <c r="B803" t="s">
        <v>2</v>
      </c>
      <c r="C803" s="38">
        <v>45080</v>
      </c>
      <c r="D803" t="s">
        <v>236</v>
      </c>
      <c r="E803" t="s">
        <v>201</v>
      </c>
      <c r="F803">
        <v>0.2</v>
      </c>
      <c r="G803">
        <v>0.5</v>
      </c>
      <c r="H803" t="s">
        <v>24</v>
      </c>
    </row>
    <row r="804" spans="1:8" hidden="1" x14ac:dyDescent="0.25">
      <c r="A804" t="s">
        <v>188</v>
      </c>
      <c r="B804" t="s">
        <v>2</v>
      </c>
      <c r="C804" s="38">
        <v>45080</v>
      </c>
      <c r="D804" t="s">
        <v>240</v>
      </c>
      <c r="E804" t="s">
        <v>205</v>
      </c>
      <c r="F804">
        <v>7.3</v>
      </c>
      <c r="G804">
        <v>0.5</v>
      </c>
      <c r="H804" t="s">
        <v>24</v>
      </c>
    </row>
    <row r="805" spans="1:8" hidden="1" x14ac:dyDescent="0.25">
      <c r="A805" t="s">
        <v>141</v>
      </c>
      <c r="B805" t="s">
        <v>4</v>
      </c>
      <c r="C805" s="38">
        <v>45080</v>
      </c>
      <c r="D805" t="s">
        <v>235</v>
      </c>
      <c r="E805" t="s">
        <v>201</v>
      </c>
      <c r="F805">
        <v>7.8</v>
      </c>
      <c r="G805">
        <v>0</v>
      </c>
      <c r="H805" t="s">
        <v>24</v>
      </c>
    </row>
    <row r="806" spans="1:8" hidden="1" x14ac:dyDescent="0.25">
      <c r="A806" t="s">
        <v>158</v>
      </c>
      <c r="B806" t="s">
        <v>2</v>
      </c>
      <c r="C806" s="38">
        <v>45080</v>
      </c>
      <c r="D806" t="s">
        <v>240</v>
      </c>
      <c r="E806" t="s">
        <v>201</v>
      </c>
      <c r="F806">
        <v>0.2</v>
      </c>
      <c r="G806">
        <v>0</v>
      </c>
      <c r="H806" t="s">
        <v>24</v>
      </c>
    </row>
    <row r="807" spans="1:8" hidden="1" x14ac:dyDescent="0.25">
      <c r="A807" t="s">
        <v>203</v>
      </c>
      <c r="B807" t="s">
        <v>4</v>
      </c>
      <c r="C807" s="38">
        <v>45080</v>
      </c>
      <c r="D807" t="s">
        <v>236</v>
      </c>
      <c r="E807" t="s">
        <v>201</v>
      </c>
      <c r="F807">
        <v>7.5</v>
      </c>
      <c r="G807">
        <v>0</v>
      </c>
      <c r="H807" t="s">
        <v>24</v>
      </c>
    </row>
    <row r="808" spans="1:8" hidden="1" x14ac:dyDescent="0.25">
      <c r="A808" t="s">
        <v>203</v>
      </c>
      <c r="B808" t="s">
        <v>4</v>
      </c>
      <c r="C808" s="38">
        <v>45080</v>
      </c>
      <c r="D808" t="s">
        <v>235</v>
      </c>
      <c r="E808" t="s">
        <v>201</v>
      </c>
      <c r="F808">
        <v>0.5</v>
      </c>
      <c r="G808">
        <v>0</v>
      </c>
      <c r="H808" t="s">
        <v>24</v>
      </c>
    </row>
    <row r="809" spans="1:8" hidden="1" x14ac:dyDescent="0.25">
      <c r="A809" t="s">
        <v>177</v>
      </c>
      <c r="B809" t="s">
        <v>2</v>
      </c>
      <c r="C809" s="38">
        <v>45080</v>
      </c>
      <c r="D809" t="s">
        <v>240</v>
      </c>
      <c r="E809" t="s">
        <v>201</v>
      </c>
      <c r="F809">
        <v>0.2</v>
      </c>
      <c r="G809">
        <v>0</v>
      </c>
      <c r="H809" t="s">
        <v>24</v>
      </c>
    </row>
    <row r="810" spans="1:8" hidden="1" x14ac:dyDescent="0.25">
      <c r="A810" t="s">
        <v>179</v>
      </c>
      <c r="B810" t="s">
        <v>2</v>
      </c>
      <c r="C810" s="38">
        <v>45080</v>
      </c>
      <c r="D810" t="s">
        <v>236</v>
      </c>
      <c r="E810" t="s">
        <v>201</v>
      </c>
      <c r="F810">
        <v>0.2</v>
      </c>
      <c r="G810">
        <v>0.5</v>
      </c>
      <c r="H810" t="s">
        <v>24</v>
      </c>
    </row>
    <row r="811" spans="1:8" hidden="1" x14ac:dyDescent="0.25">
      <c r="A811" t="s">
        <v>154</v>
      </c>
      <c r="B811" t="s">
        <v>2</v>
      </c>
      <c r="C811" s="38">
        <v>45080</v>
      </c>
      <c r="D811" t="s">
        <v>240</v>
      </c>
      <c r="E811" t="s">
        <v>201</v>
      </c>
      <c r="F811">
        <v>0.2</v>
      </c>
      <c r="G811">
        <v>0</v>
      </c>
      <c r="H811" t="s">
        <v>24</v>
      </c>
    </row>
    <row r="812" spans="1:8" hidden="1" x14ac:dyDescent="0.25">
      <c r="A812" t="s">
        <v>165</v>
      </c>
      <c r="B812" t="s">
        <v>2</v>
      </c>
      <c r="C812" s="38">
        <v>45080</v>
      </c>
      <c r="D812" t="s">
        <v>236</v>
      </c>
      <c r="E812" t="s">
        <v>201</v>
      </c>
      <c r="F812">
        <v>0.2</v>
      </c>
      <c r="G812">
        <v>0.5</v>
      </c>
      <c r="H812" t="s">
        <v>24</v>
      </c>
    </row>
    <row r="813" spans="1:8" hidden="1" x14ac:dyDescent="0.25">
      <c r="A813" t="s">
        <v>206</v>
      </c>
      <c r="B813" t="s">
        <v>2</v>
      </c>
      <c r="C813" s="38">
        <v>45080</v>
      </c>
      <c r="D813" t="s">
        <v>236</v>
      </c>
      <c r="E813" t="s">
        <v>201</v>
      </c>
      <c r="F813">
        <v>7.5</v>
      </c>
      <c r="G813">
        <v>0.5</v>
      </c>
      <c r="H813" t="s">
        <v>24</v>
      </c>
    </row>
    <row r="814" spans="1:8" hidden="1" x14ac:dyDescent="0.25">
      <c r="A814" t="s">
        <v>216</v>
      </c>
      <c r="B814" t="s">
        <v>2</v>
      </c>
      <c r="C814" s="38">
        <v>45080</v>
      </c>
      <c r="D814" t="s">
        <v>235</v>
      </c>
      <c r="E814" t="s">
        <v>201</v>
      </c>
      <c r="F814">
        <v>0.5</v>
      </c>
      <c r="G814">
        <v>0</v>
      </c>
      <c r="H814" t="s">
        <v>24</v>
      </c>
    </row>
    <row r="815" spans="1:8" hidden="1" x14ac:dyDescent="0.25">
      <c r="A815" t="s">
        <v>210</v>
      </c>
      <c r="B815" t="s">
        <v>2</v>
      </c>
      <c r="C815" s="38">
        <v>45080</v>
      </c>
      <c r="D815" t="s">
        <v>240</v>
      </c>
      <c r="E815" t="s">
        <v>201</v>
      </c>
      <c r="F815">
        <v>0.2</v>
      </c>
      <c r="G815">
        <v>0</v>
      </c>
      <c r="H815" t="s">
        <v>24</v>
      </c>
    </row>
    <row r="816" spans="1:8" hidden="1" x14ac:dyDescent="0.25">
      <c r="A816" t="s">
        <v>210</v>
      </c>
      <c r="B816" t="s">
        <v>2</v>
      </c>
      <c r="C816" s="38">
        <v>45080</v>
      </c>
      <c r="D816" t="s">
        <v>235</v>
      </c>
      <c r="E816" t="s">
        <v>201</v>
      </c>
      <c r="F816">
        <v>7.8</v>
      </c>
      <c r="G816">
        <v>0</v>
      </c>
      <c r="H816" t="s">
        <v>24</v>
      </c>
    </row>
    <row r="817" spans="1:8" hidden="1" x14ac:dyDescent="0.25">
      <c r="A817" t="s">
        <v>217</v>
      </c>
      <c r="B817" t="s">
        <v>2</v>
      </c>
      <c r="C817" s="38">
        <v>45080</v>
      </c>
      <c r="D817" t="s">
        <v>235</v>
      </c>
      <c r="E817" t="s">
        <v>201</v>
      </c>
      <c r="F817">
        <v>7.8</v>
      </c>
      <c r="G817">
        <v>0</v>
      </c>
      <c r="H817" t="s">
        <v>24</v>
      </c>
    </row>
    <row r="818" spans="1:8" hidden="1" x14ac:dyDescent="0.25">
      <c r="A818" t="s">
        <v>216</v>
      </c>
      <c r="B818" t="s">
        <v>2</v>
      </c>
      <c r="C818" s="38">
        <v>45080</v>
      </c>
      <c r="D818" t="s">
        <v>236</v>
      </c>
      <c r="E818" t="s">
        <v>201</v>
      </c>
      <c r="F818">
        <v>7.5</v>
      </c>
      <c r="G818">
        <v>0</v>
      </c>
      <c r="H818" t="s">
        <v>24</v>
      </c>
    </row>
    <row r="819" spans="1:8" hidden="1" x14ac:dyDescent="0.25">
      <c r="A819" t="s">
        <v>199</v>
      </c>
      <c r="B819" t="s">
        <v>4</v>
      </c>
      <c r="C819" s="38">
        <v>45080</v>
      </c>
      <c r="D819" t="s">
        <v>240</v>
      </c>
      <c r="E819" t="s">
        <v>201</v>
      </c>
      <c r="F819">
        <v>0.2</v>
      </c>
      <c r="G819">
        <v>0</v>
      </c>
      <c r="H819" t="s">
        <v>24</v>
      </c>
    </row>
    <row r="820" spans="1:8" hidden="1" x14ac:dyDescent="0.25">
      <c r="A820" t="s">
        <v>199</v>
      </c>
      <c r="B820" t="s">
        <v>4</v>
      </c>
      <c r="C820" s="38">
        <v>45080</v>
      </c>
      <c r="D820" t="s">
        <v>235</v>
      </c>
      <c r="E820" t="s">
        <v>205</v>
      </c>
      <c r="F820">
        <v>7.8</v>
      </c>
      <c r="G820">
        <v>0</v>
      </c>
      <c r="H820" t="s">
        <v>24</v>
      </c>
    </row>
    <row r="821" spans="1:8" hidden="1" x14ac:dyDescent="0.25">
      <c r="A821" t="s">
        <v>217</v>
      </c>
      <c r="B821" t="s">
        <v>2</v>
      </c>
      <c r="C821" s="38">
        <v>45080</v>
      </c>
      <c r="D821" t="s">
        <v>240</v>
      </c>
      <c r="E821" t="s">
        <v>201</v>
      </c>
      <c r="F821">
        <v>0.2</v>
      </c>
      <c r="G821">
        <v>0</v>
      </c>
      <c r="H821" t="s">
        <v>24</v>
      </c>
    </row>
    <row r="822" spans="1:8" hidden="1" x14ac:dyDescent="0.25">
      <c r="A822" t="s">
        <v>243</v>
      </c>
      <c r="B822" t="s">
        <v>4</v>
      </c>
      <c r="C822" s="38">
        <v>45081</v>
      </c>
      <c r="D822" t="s">
        <v>236</v>
      </c>
      <c r="E822" t="s">
        <v>204</v>
      </c>
      <c r="F822">
        <v>0</v>
      </c>
      <c r="G822">
        <v>0</v>
      </c>
      <c r="H822" t="s">
        <v>24</v>
      </c>
    </row>
    <row r="823" spans="1:8" hidden="1" x14ac:dyDescent="0.25">
      <c r="A823" t="s">
        <v>148</v>
      </c>
      <c r="B823" t="s">
        <v>2</v>
      </c>
      <c r="C823" s="38">
        <v>45081</v>
      </c>
      <c r="D823" t="s">
        <v>235</v>
      </c>
      <c r="E823" t="s">
        <v>204</v>
      </c>
      <c r="F823">
        <v>0</v>
      </c>
      <c r="G823">
        <v>0</v>
      </c>
      <c r="H823" t="s">
        <v>24</v>
      </c>
    </row>
    <row r="824" spans="1:8" hidden="1" x14ac:dyDescent="0.25">
      <c r="A824" t="s">
        <v>152</v>
      </c>
      <c r="B824" t="s">
        <v>2</v>
      </c>
      <c r="C824" s="38">
        <v>45081</v>
      </c>
      <c r="D824" t="s">
        <v>236</v>
      </c>
      <c r="E824" t="s">
        <v>204</v>
      </c>
      <c r="F824">
        <v>0</v>
      </c>
      <c r="G824">
        <v>0</v>
      </c>
      <c r="H824" t="s">
        <v>24</v>
      </c>
    </row>
    <row r="825" spans="1:8" hidden="1" x14ac:dyDescent="0.25">
      <c r="A825" t="s">
        <v>249</v>
      </c>
      <c r="B825" t="s">
        <v>2</v>
      </c>
      <c r="C825" s="38">
        <v>45081</v>
      </c>
      <c r="D825" t="s">
        <v>235</v>
      </c>
      <c r="E825" t="s">
        <v>204</v>
      </c>
      <c r="F825">
        <v>0</v>
      </c>
      <c r="G825">
        <v>0</v>
      </c>
      <c r="H825" t="s">
        <v>24</v>
      </c>
    </row>
    <row r="826" spans="1:8" hidden="1" x14ac:dyDescent="0.25">
      <c r="A826" t="s">
        <v>245</v>
      </c>
      <c r="B826" t="s">
        <v>2</v>
      </c>
      <c r="C826" s="38">
        <v>45081</v>
      </c>
      <c r="D826" t="s">
        <v>235</v>
      </c>
      <c r="E826" t="s">
        <v>204</v>
      </c>
      <c r="F826">
        <v>0</v>
      </c>
      <c r="G826">
        <v>0</v>
      </c>
      <c r="H826" t="s">
        <v>24</v>
      </c>
    </row>
    <row r="827" spans="1:8" hidden="1" x14ac:dyDescent="0.25">
      <c r="A827" t="s">
        <v>152</v>
      </c>
      <c r="B827" t="s">
        <v>2</v>
      </c>
      <c r="C827" s="38">
        <v>45081</v>
      </c>
      <c r="D827" t="s">
        <v>240</v>
      </c>
      <c r="E827" t="s">
        <v>204</v>
      </c>
      <c r="F827">
        <v>0</v>
      </c>
      <c r="G827">
        <v>0</v>
      </c>
      <c r="H827" t="s">
        <v>24</v>
      </c>
    </row>
    <row r="828" spans="1:8" hidden="1" x14ac:dyDescent="0.25">
      <c r="A828" t="s">
        <v>210</v>
      </c>
      <c r="B828" t="s">
        <v>2</v>
      </c>
      <c r="C828" s="38">
        <v>45081</v>
      </c>
      <c r="D828" t="s">
        <v>236</v>
      </c>
      <c r="E828" t="s">
        <v>204</v>
      </c>
      <c r="F828">
        <v>0</v>
      </c>
      <c r="G828">
        <v>0</v>
      </c>
      <c r="H828" t="s">
        <v>24</v>
      </c>
    </row>
    <row r="829" spans="1:8" hidden="1" x14ac:dyDescent="0.25">
      <c r="A829" t="s">
        <v>152</v>
      </c>
      <c r="B829" t="s">
        <v>2</v>
      </c>
      <c r="C829" s="38">
        <v>45081</v>
      </c>
      <c r="D829" t="s">
        <v>235</v>
      </c>
      <c r="E829" t="s">
        <v>204</v>
      </c>
      <c r="F829">
        <v>0</v>
      </c>
      <c r="G829">
        <v>0</v>
      </c>
      <c r="H829" t="s">
        <v>24</v>
      </c>
    </row>
    <row r="830" spans="1:8" hidden="1" x14ac:dyDescent="0.25">
      <c r="A830" t="s">
        <v>248</v>
      </c>
      <c r="B830" t="s">
        <v>4</v>
      </c>
      <c r="C830" s="38">
        <v>45081</v>
      </c>
      <c r="D830" t="s">
        <v>236</v>
      </c>
      <c r="E830" t="s">
        <v>204</v>
      </c>
      <c r="F830">
        <v>0</v>
      </c>
      <c r="G830">
        <v>0</v>
      </c>
      <c r="H830" t="s">
        <v>24</v>
      </c>
    </row>
    <row r="831" spans="1:8" hidden="1" x14ac:dyDescent="0.25">
      <c r="A831" t="s">
        <v>244</v>
      </c>
      <c r="B831" t="s">
        <v>2</v>
      </c>
      <c r="C831" s="38">
        <v>45081</v>
      </c>
      <c r="D831" t="s">
        <v>235</v>
      </c>
      <c r="E831" t="s">
        <v>204</v>
      </c>
      <c r="F831">
        <v>0</v>
      </c>
      <c r="G831">
        <v>0</v>
      </c>
      <c r="H831" t="s">
        <v>24</v>
      </c>
    </row>
    <row r="832" spans="1:8" hidden="1" x14ac:dyDescent="0.25">
      <c r="A832" t="s">
        <v>247</v>
      </c>
      <c r="B832" t="s">
        <v>4</v>
      </c>
      <c r="C832" s="38">
        <v>45081</v>
      </c>
      <c r="D832" t="s">
        <v>240</v>
      </c>
      <c r="E832" t="s">
        <v>204</v>
      </c>
      <c r="F832">
        <v>0</v>
      </c>
      <c r="G832">
        <v>0</v>
      </c>
      <c r="H832" t="s">
        <v>24</v>
      </c>
    </row>
    <row r="833" spans="1:8" hidden="1" x14ac:dyDescent="0.25">
      <c r="A833" t="s">
        <v>155</v>
      </c>
      <c r="B833" t="s">
        <v>2</v>
      </c>
      <c r="C833" s="38">
        <v>45081</v>
      </c>
      <c r="D833" t="s">
        <v>236</v>
      </c>
      <c r="E833" t="s">
        <v>204</v>
      </c>
      <c r="F833">
        <v>0</v>
      </c>
      <c r="G833">
        <v>0</v>
      </c>
      <c r="H833" t="s">
        <v>24</v>
      </c>
    </row>
    <row r="834" spans="1:8" hidden="1" x14ac:dyDescent="0.25">
      <c r="A834" t="s">
        <v>250</v>
      </c>
      <c r="B834" t="s">
        <v>4</v>
      </c>
      <c r="C834" s="38">
        <v>45081</v>
      </c>
      <c r="D834" t="s">
        <v>235</v>
      </c>
      <c r="E834" t="s">
        <v>204</v>
      </c>
      <c r="F834">
        <v>0</v>
      </c>
      <c r="G834">
        <v>0</v>
      </c>
      <c r="H834" t="s">
        <v>24</v>
      </c>
    </row>
    <row r="835" spans="1:8" hidden="1" x14ac:dyDescent="0.25">
      <c r="A835" t="s">
        <v>245</v>
      </c>
      <c r="B835" t="s">
        <v>2</v>
      </c>
      <c r="C835" s="38">
        <v>45081</v>
      </c>
      <c r="D835" t="s">
        <v>236</v>
      </c>
      <c r="E835" t="s">
        <v>204</v>
      </c>
      <c r="F835">
        <v>0</v>
      </c>
      <c r="G835">
        <v>0</v>
      </c>
      <c r="H835" t="s">
        <v>24</v>
      </c>
    </row>
    <row r="836" spans="1:8" hidden="1" x14ac:dyDescent="0.25">
      <c r="A836" t="s">
        <v>244</v>
      </c>
      <c r="B836" t="s">
        <v>2</v>
      </c>
      <c r="C836" s="38">
        <v>45081</v>
      </c>
      <c r="D836" t="s">
        <v>236</v>
      </c>
      <c r="E836" t="s">
        <v>204</v>
      </c>
      <c r="F836">
        <v>0</v>
      </c>
      <c r="G836">
        <v>0</v>
      </c>
      <c r="H836" t="s">
        <v>24</v>
      </c>
    </row>
    <row r="837" spans="1:8" hidden="1" x14ac:dyDescent="0.25">
      <c r="A837" t="s">
        <v>177</v>
      </c>
      <c r="B837" t="s">
        <v>2</v>
      </c>
      <c r="C837" s="38">
        <v>45081</v>
      </c>
      <c r="D837" t="s">
        <v>235</v>
      </c>
      <c r="E837" t="s">
        <v>205</v>
      </c>
      <c r="F837">
        <v>7</v>
      </c>
      <c r="G837">
        <v>1</v>
      </c>
      <c r="H837" t="s">
        <v>24</v>
      </c>
    </row>
    <row r="838" spans="1:8" hidden="1" x14ac:dyDescent="0.25">
      <c r="A838" t="s">
        <v>179</v>
      </c>
      <c r="B838" t="s">
        <v>2</v>
      </c>
      <c r="C838" s="38">
        <v>45081</v>
      </c>
      <c r="D838" t="s">
        <v>236</v>
      </c>
      <c r="E838" t="s">
        <v>201</v>
      </c>
      <c r="F838">
        <v>0.2</v>
      </c>
      <c r="G838">
        <v>7.4</v>
      </c>
      <c r="H838" t="s">
        <v>24</v>
      </c>
    </row>
    <row r="839" spans="1:8" hidden="1" x14ac:dyDescent="0.25">
      <c r="A839" t="s">
        <v>176</v>
      </c>
      <c r="B839" t="s">
        <v>2</v>
      </c>
      <c r="C839" s="38">
        <v>45081</v>
      </c>
      <c r="D839" t="s">
        <v>236</v>
      </c>
      <c r="E839" t="s">
        <v>205</v>
      </c>
      <c r="F839">
        <v>7.5</v>
      </c>
      <c r="G839">
        <v>0.5</v>
      </c>
      <c r="H839" t="s">
        <v>24</v>
      </c>
    </row>
    <row r="840" spans="1:8" hidden="1" x14ac:dyDescent="0.25">
      <c r="A840" t="s">
        <v>174</v>
      </c>
      <c r="B840" t="s">
        <v>2</v>
      </c>
      <c r="C840" s="38">
        <v>45081</v>
      </c>
      <c r="D840" t="s">
        <v>236</v>
      </c>
      <c r="E840" t="s">
        <v>201</v>
      </c>
      <c r="F840">
        <v>7.5</v>
      </c>
      <c r="G840">
        <v>0.5</v>
      </c>
      <c r="H840" t="s">
        <v>24</v>
      </c>
    </row>
    <row r="841" spans="1:8" hidden="1" x14ac:dyDescent="0.25">
      <c r="A841" t="s">
        <v>175</v>
      </c>
      <c r="B841" t="s">
        <v>2</v>
      </c>
      <c r="C841" s="38">
        <v>45081</v>
      </c>
      <c r="D841" t="s">
        <v>236</v>
      </c>
      <c r="E841" t="s">
        <v>205</v>
      </c>
      <c r="F841">
        <v>7.5</v>
      </c>
      <c r="G841">
        <v>0.5</v>
      </c>
      <c r="H841" t="s">
        <v>24</v>
      </c>
    </row>
    <row r="842" spans="1:8" hidden="1" x14ac:dyDescent="0.25">
      <c r="A842" t="s">
        <v>181</v>
      </c>
      <c r="B842" t="s">
        <v>2</v>
      </c>
      <c r="C842" s="38">
        <v>45081</v>
      </c>
      <c r="D842" t="s">
        <v>236</v>
      </c>
      <c r="E842" t="s">
        <v>205</v>
      </c>
      <c r="F842">
        <v>7.5</v>
      </c>
      <c r="G842">
        <v>0</v>
      </c>
      <c r="H842" t="s">
        <v>24</v>
      </c>
    </row>
    <row r="843" spans="1:8" hidden="1" x14ac:dyDescent="0.25">
      <c r="A843" t="s">
        <v>203</v>
      </c>
      <c r="B843" t="s">
        <v>4</v>
      </c>
      <c r="C843" s="38">
        <v>45081</v>
      </c>
      <c r="D843" t="s">
        <v>235</v>
      </c>
      <c r="E843" t="s">
        <v>201</v>
      </c>
      <c r="F843">
        <v>0.5</v>
      </c>
      <c r="G843">
        <v>0</v>
      </c>
      <c r="H843" t="s">
        <v>24</v>
      </c>
    </row>
    <row r="844" spans="1:8" hidden="1" x14ac:dyDescent="0.25">
      <c r="A844" t="s">
        <v>210</v>
      </c>
      <c r="B844" t="s">
        <v>2</v>
      </c>
      <c r="C844" s="38">
        <v>45081</v>
      </c>
      <c r="D844" t="s">
        <v>235</v>
      </c>
      <c r="E844" t="s">
        <v>205</v>
      </c>
      <c r="F844">
        <v>7.8</v>
      </c>
      <c r="G844">
        <v>0</v>
      </c>
      <c r="H844" t="s">
        <v>24</v>
      </c>
    </row>
    <row r="845" spans="1:8" hidden="1" x14ac:dyDescent="0.25">
      <c r="A845" t="s">
        <v>188</v>
      </c>
      <c r="B845" t="s">
        <v>2</v>
      </c>
      <c r="C845" s="38">
        <v>45081</v>
      </c>
      <c r="D845" t="s">
        <v>240</v>
      </c>
      <c r="E845" t="s">
        <v>205</v>
      </c>
      <c r="F845">
        <v>3.9</v>
      </c>
      <c r="G845">
        <v>3.7</v>
      </c>
      <c r="H845" t="s">
        <v>24</v>
      </c>
    </row>
    <row r="846" spans="1:8" hidden="1" x14ac:dyDescent="0.25">
      <c r="A846" t="s">
        <v>181</v>
      </c>
      <c r="B846" t="s">
        <v>2</v>
      </c>
      <c r="C846" s="38">
        <v>45081</v>
      </c>
      <c r="D846" t="s">
        <v>235</v>
      </c>
      <c r="E846" t="s">
        <v>201</v>
      </c>
      <c r="F846">
        <v>0.5</v>
      </c>
      <c r="G846">
        <v>0</v>
      </c>
      <c r="H846" t="s">
        <v>24</v>
      </c>
    </row>
    <row r="847" spans="1:8" hidden="1" x14ac:dyDescent="0.25">
      <c r="A847" t="s">
        <v>183</v>
      </c>
      <c r="B847" t="s">
        <v>2</v>
      </c>
      <c r="C847" s="38">
        <v>45081</v>
      </c>
      <c r="D847" t="s">
        <v>236</v>
      </c>
      <c r="E847" t="s">
        <v>205</v>
      </c>
      <c r="F847">
        <v>7.5</v>
      </c>
      <c r="G847">
        <v>0</v>
      </c>
      <c r="H847" t="s">
        <v>24</v>
      </c>
    </row>
    <row r="848" spans="1:8" hidden="1" x14ac:dyDescent="0.25">
      <c r="A848" t="s">
        <v>172</v>
      </c>
      <c r="B848" t="s">
        <v>2</v>
      </c>
      <c r="C848" s="38">
        <v>45081</v>
      </c>
      <c r="D848" t="s">
        <v>236</v>
      </c>
      <c r="E848" t="s">
        <v>205</v>
      </c>
      <c r="F848">
        <v>7.5</v>
      </c>
      <c r="G848">
        <v>0.5</v>
      </c>
      <c r="H848" t="s">
        <v>24</v>
      </c>
    </row>
    <row r="849" spans="1:8" hidden="1" x14ac:dyDescent="0.25">
      <c r="A849" t="s">
        <v>158</v>
      </c>
      <c r="B849" t="s">
        <v>2</v>
      </c>
      <c r="C849" s="38">
        <v>45081</v>
      </c>
      <c r="D849" t="s">
        <v>235</v>
      </c>
      <c r="E849" t="s">
        <v>205</v>
      </c>
      <c r="F849">
        <v>7.8</v>
      </c>
      <c r="G849">
        <v>0</v>
      </c>
      <c r="H849" t="s">
        <v>24</v>
      </c>
    </row>
    <row r="850" spans="1:8" hidden="1" x14ac:dyDescent="0.25">
      <c r="A850" t="s">
        <v>158</v>
      </c>
      <c r="B850" t="s">
        <v>2</v>
      </c>
      <c r="C850" s="38">
        <v>45081</v>
      </c>
      <c r="D850" t="s">
        <v>240</v>
      </c>
      <c r="E850" t="s">
        <v>201</v>
      </c>
      <c r="F850">
        <v>0.2</v>
      </c>
      <c r="G850">
        <v>0</v>
      </c>
      <c r="H850" t="s">
        <v>24</v>
      </c>
    </row>
    <row r="851" spans="1:8" hidden="1" x14ac:dyDescent="0.25">
      <c r="A851" t="s">
        <v>141</v>
      </c>
      <c r="B851" t="s">
        <v>4</v>
      </c>
      <c r="C851" s="38">
        <v>45081</v>
      </c>
      <c r="D851" t="s">
        <v>235</v>
      </c>
      <c r="E851" t="s">
        <v>201</v>
      </c>
      <c r="F851">
        <v>7.8</v>
      </c>
      <c r="G851">
        <v>0</v>
      </c>
      <c r="H851" t="s">
        <v>24</v>
      </c>
    </row>
    <row r="852" spans="1:8" hidden="1" x14ac:dyDescent="0.25">
      <c r="A852" t="s">
        <v>203</v>
      </c>
      <c r="B852" t="s">
        <v>4</v>
      </c>
      <c r="C852" s="38">
        <v>45081</v>
      </c>
      <c r="D852" t="s">
        <v>236</v>
      </c>
      <c r="E852" t="s">
        <v>201</v>
      </c>
      <c r="F852">
        <v>7.5</v>
      </c>
      <c r="G852">
        <v>0</v>
      </c>
      <c r="H852" t="s">
        <v>24</v>
      </c>
    </row>
    <row r="853" spans="1:8" hidden="1" x14ac:dyDescent="0.25">
      <c r="A853" t="s">
        <v>141</v>
      </c>
      <c r="B853" t="s">
        <v>4</v>
      </c>
      <c r="C853" s="38">
        <v>45081</v>
      </c>
      <c r="D853" t="s">
        <v>240</v>
      </c>
      <c r="E853" t="s">
        <v>205</v>
      </c>
      <c r="F853">
        <v>0.2</v>
      </c>
      <c r="G853">
        <v>0</v>
      </c>
      <c r="H853" t="s">
        <v>24</v>
      </c>
    </row>
    <row r="854" spans="1:8" hidden="1" x14ac:dyDescent="0.25">
      <c r="A854" t="s">
        <v>150</v>
      </c>
      <c r="B854" t="s">
        <v>2</v>
      </c>
      <c r="C854" s="38">
        <v>45081</v>
      </c>
      <c r="D854" t="s">
        <v>235</v>
      </c>
      <c r="E854" t="s">
        <v>205</v>
      </c>
      <c r="F854">
        <v>7</v>
      </c>
      <c r="G854">
        <v>1</v>
      </c>
      <c r="H854" t="s">
        <v>24</v>
      </c>
    </row>
    <row r="855" spans="1:8" hidden="1" x14ac:dyDescent="0.25">
      <c r="A855" t="s">
        <v>165</v>
      </c>
      <c r="B855" t="s">
        <v>2</v>
      </c>
      <c r="C855" s="38">
        <v>45081</v>
      </c>
      <c r="D855" t="s">
        <v>240</v>
      </c>
      <c r="E855" t="s">
        <v>205</v>
      </c>
      <c r="F855">
        <v>3.9</v>
      </c>
      <c r="G855">
        <v>3.7</v>
      </c>
      <c r="H855" t="s">
        <v>24</v>
      </c>
    </row>
    <row r="856" spans="1:8" hidden="1" x14ac:dyDescent="0.25">
      <c r="A856" t="s">
        <v>170</v>
      </c>
      <c r="B856" t="s">
        <v>2</v>
      </c>
      <c r="C856" s="38">
        <v>45081</v>
      </c>
      <c r="D856" t="s">
        <v>236</v>
      </c>
      <c r="E856" t="s">
        <v>205</v>
      </c>
      <c r="F856">
        <v>6</v>
      </c>
      <c r="G856">
        <v>1.9</v>
      </c>
      <c r="H856" t="s">
        <v>24</v>
      </c>
    </row>
    <row r="857" spans="1:8" hidden="1" x14ac:dyDescent="0.25">
      <c r="A857" t="s">
        <v>165</v>
      </c>
      <c r="B857" t="s">
        <v>2</v>
      </c>
      <c r="C857" s="38">
        <v>45081</v>
      </c>
      <c r="D857" t="s">
        <v>236</v>
      </c>
      <c r="E857" t="s">
        <v>201</v>
      </c>
      <c r="F857">
        <v>0.2</v>
      </c>
      <c r="G857">
        <v>3.7</v>
      </c>
      <c r="H857" t="s">
        <v>24</v>
      </c>
    </row>
    <row r="858" spans="1:8" hidden="1" x14ac:dyDescent="0.25">
      <c r="A858" t="s">
        <v>154</v>
      </c>
      <c r="B858" t="s">
        <v>2</v>
      </c>
      <c r="C858" s="38">
        <v>45081</v>
      </c>
      <c r="D858" t="s">
        <v>235</v>
      </c>
      <c r="E858" t="s">
        <v>205</v>
      </c>
      <c r="F858">
        <v>7.8</v>
      </c>
      <c r="G858">
        <v>0</v>
      </c>
      <c r="H858" t="s">
        <v>24</v>
      </c>
    </row>
    <row r="859" spans="1:8" hidden="1" x14ac:dyDescent="0.25">
      <c r="A859" t="s">
        <v>154</v>
      </c>
      <c r="B859" t="s">
        <v>2</v>
      </c>
      <c r="C859" s="38">
        <v>45081</v>
      </c>
      <c r="D859" t="s">
        <v>240</v>
      </c>
      <c r="E859" t="s">
        <v>201</v>
      </c>
      <c r="F859">
        <v>0.2</v>
      </c>
      <c r="G859">
        <v>0</v>
      </c>
      <c r="H859" t="s">
        <v>24</v>
      </c>
    </row>
    <row r="860" spans="1:8" hidden="1" x14ac:dyDescent="0.25">
      <c r="A860" t="s">
        <v>210</v>
      </c>
      <c r="B860" t="s">
        <v>2</v>
      </c>
      <c r="C860" s="38">
        <v>45081</v>
      </c>
      <c r="D860" t="s">
        <v>240</v>
      </c>
      <c r="E860" t="s">
        <v>205</v>
      </c>
      <c r="F860">
        <v>0.2</v>
      </c>
      <c r="G860">
        <v>0</v>
      </c>
      <c r="H860" t="s">
        <v>24</v>
      </c>
    </row>
    <row r="861" spans="1:8" hidden="1" x14ac:dyDescent="0.25">
      <c r="A861" t="s">
        <v>187</v>
      </c>
      <c r="B861" t="s">
        <v>2</v>
      </c>
      <c r="C861" s="38">
        <v>45081</v>
      </c>
      <c r="D861" t="s">
        <v>240</v>
      </c>
      <c r="E861" t="s">
        <v>201</v>
      </c>
      <c r="F861">
        <v>3.9</v>
      </c>
      <c r="G861">
        <v>3.7</v>
      </c>
      <c r="H861" t="s">
        <v>24</v>
      </c>
    </row>
    <row r="862" spans="1:8" hidden="1" x14ac:dyDescent="0.25">
      <c r="A862" t="s">
        <v>182</v>
      </c>
      <c r="B862" t="s">
        <v>2</v>
      </c>
      <c r="C862" s="38">
        <v>45081</v>
      </c>
      <c r="D862" t="s">
        <v>235</v>
      </c>
      <c r="E862" t="s">
        <v>201</v>
      </c>
      <c r="F862">
        <v>0.5</v>
      </c>
      <c r="G862">
        <v>0</v>
      </c>
      <c r="H862" t="s">
        <v>24</v>
      </c>
    </row>
    <row r="863" spans="1:8" hidden="1" x14ac:dyDescent="0.25">
      <c r="A863" t="s">
        <v>187</v>
      </c>
      <c r="B863" t="s">
        <v>2</v>
      </c>
      <c r="C863" s="38">
        <v>45081</v>
      </c>
      <c r="D863" t="s">
        <v>236</v>
      </c>
      <c r="E863" t="s">
        <v>201</v>
      </c>
      <c r="F863">
        <v>0.2</v>
      </c>
      <c r="G863">
        <v>3.7</v>
      </c>
      <c r="H863" t="s">
        <v>24</v>
      </c>
    </row>
    <row r="864" spans="1:8" hidden="1" x14ac:dyDescent="0.25">
      <c r="A864" t="s">
        <v>196</v>
      </c>
      <c r="B864" t="s">
        <v>2</v>
      </c>
      <c r="C864" s="38">
        <v>45081</v>
      </c>
      <c r="D864" t="s">
        <v>235</v>
      </c>
      <c r="E864" t="s">
        <v>201</v>
      </c>
      <c r="F864">
        <v>7.8</v>
      </c>
      <c r="G864">
        <v>0</v>
      </c>
      <c r="H864" t="s">
        <v>24</v>
      </c>
    </row>
    <row r="865" spans="1:8" hidden="1" x14ac:dyDescent="0.25">
      <c r="A865" t="s">
        <v>180</v>
      </c>
      <c r="B865" t="s">
        <v>2</v>
      </c>
      <c r="C865" s="38">
        <v>45081</v>
      </c>
      <c r="D865" t="s">
        <v>235</v>
      </c>
      <c r="E865" t="s">
        <v>205</v>
      </c>
      <c r="F865">
        <v>7</v>
      </c>
      <c r="G865">
        <v>1</v>
      </c>
      <c r="H865" t="s">
        <v>24</v>
      </c>
    </row>
    <row r="866" spans="1:8" hidden="1" x14ac:dyDescent="0.25">
      <c r="A866" t="s">
        <v>182</v>
      </c>
      <c r="B866" t="s">
        <v>2</v>
      </c>
      <c r="C866" s="38">
        <v>45081</v>
      </c>
      <c r="D866" t="s">
        <v>236</v>
      </c>
      <c r="E866" t="s">
        <v>205</v>
      </c>
      <c r="F866">
        <v>7.5</v>
      </c>
      <c r="G866">
        <v>0</v>
      </c>
      <c r="H866" t="s">
        <v>24</v>
      </c>
    </row>
    <row r="867" spans="1:8" hidden="1" x14ac:dyDescent="0.25">
      <c r="A867" t="s">
        <v>148</v>
      </c>
      <c r="B867" t="s">
        <v>2</v>
      </c>
      <c r="C867" s="38">
        <v>45081</v>
      </c>
      <c r="D867" t="s">
        <v>236</v>
      </c>
      <c r="E867" t="s">
        <v>201</v>
      </c>
      <c r="F867">
        <v>7.5</v>
      </c>
      <c r="G867">
        <v>0.5</v>
      </c>
      <c r="H867" t="s">
        <v>24</v>
      </c>
    </row>
    <row r="868" spans="1:8" hidden="1" x14ac:dyDescent="0.25">
      <c r="A868" t="s">
        <v>188</v>
      </c>
      <c r="B868" t="s">
        <v>2</v>
      </c>
      <c r="C868" s="38">
        <v>45081</v>
      </c>
      <c r="D868" t="s">
        <v>236</v>
      </c>
      <c r="E868" t="s">
        <v>201</v>
      </c>
      <c r="F868">
        <v>0.2</v>
      </c>
      <c r="G868">
        <v>3.7</v>
      </c>
      <c r="H868" t="s">
        <v>24</v>
      </c>
    </row>
    <row r="869" spans="1:8" hidden="1" x14ac:dyDescent="0.25">
      <c r="A869" t="s">
        <v>151</v>
      </c>
      <c r="B869" t="s">
        <v>2</v>
      </c>
      <c r="C869" s="38">
        <v>45081</v>
      </c>
      <c r="D869" t="s">
        <v>235</v>
      </c>
      <c r="E869" t="s">
        <v>205</v>
      </c>
      <c r="F869">
        <v>7.8</v>
      </c>
      <c r="G869">
        <v>0</v>
      </c>
      <c r="H869" t="s">
        <v>24</v>
      </c>
    </row>
    <row r="870" spans="1:8" hidden="1" x14ac:dyDescent="0.25">
      <c r="A870" t="s">
        <v>3</v>
      </c>
      <c r="B870" t="s">
        <v>2</v>
      </c>
      <c r="C870" s="38">
        <v>45081</v>
      </c>
      <c r="D870" t="s">
        <v>236</v>
      </c>
      <c r="E870" t="s">
        <v>204</v>
      </c>
      <c r="F870">
        <v>0</v>
      </c>
      <c r="G870">
        <v>0</v>
      </c>
      <c r="H870" t="s">
        <v>24</v>
      </c>
    </row>
    <row r="871" spans="1:8" hidden="1" x14ac:dyDescent="0.25">
      <c r="A871" t="s">
        <v>151</v>
      </c>
      <c r="B871" t="s">
        <v>2</v>
      </c>
      <c r="C871" s="38">
        <v>45081</v>
      </c>
      <c r="D871" t="s">
        <v>240</v>
      </c>
      <c r="E871" t="s">
        <v>201</v>
      </c>
      <c r="F871">
        <v>0.2</v>
      </c>
      <c r="G871">
        <v>0</v>
      </c>
      <c r="H871" t="s">
        <v>24</v>
      </c>
    </row>
    <row r="872" spans="1:8" hidden="1" x14ac:dyDescent="0.25">
      <c r="A872" t="s">
        <v>199</v>
      </c>
      <c r="B872" t="s">
        <v>4</v>
      </c>
      <c r="C872" s="38">
        <v>45081</v>
      </c>
      <c r="D872" t="s">
        <v>235</v>
      </c>
      <c r="E872" t="s">
        <v>205</v>
      </c>
      <c r="F872">
        <v>7.8</v>
      </c>
      <c r="G872">
        <v>0</v>
      </c>
      <c r="H872" t="s">
        <v>24</v>
      </c>
    </row>
    <row r="873" spans="1:8" hidden="1" x14ac:dyDescent="0.25">
      <c r="A873" t="s">
        <v>215</v>
      </c>
      <c r="B873" t="s">
        <v>2</v>
      </c>
      <c r="C873" s="38">
        <v>45081</v>
      </c>
      <c r="D873" t="s">
        <v>235</v>
      </c>
      <c r="E873" t="s">
        <v>201</v>
      </c>
      <c r="F873">
        <v>7.8</v>
      </c>
      <c r="G873">
        <v>0</v>
      </c>
      <c r="H873" t="s">
        <v>24</v>
      </c>
    </row>
    <row r="874" spans="1:8" hidden="1" x14ac:dyDescent="0.25">
      <c r="A874" t="s">
        <v>199</v>
      </c>
      <c r="B874" t="s">
        <v>4</v>
      </c>
      <c r="C874" s="38">
        <v>45081</v>
      </c>
      <c r="D874" t="s">
        <v>240</v>
      </c>
      <c r="E874" t="s">
        <v>201</v>
      </c>
      <c r="F874">
        <v>0.2</v>
      </c>
      <c r="G874">
        <v>0</v>
      </c>
      <c r="H874" t="s">
        <v>24</v>
      </c>
    </row>
    <row r="875" spans="1:8" hidden="1" x14ac:dyDescent="0.25">
      <c r="A875" t="s">
        <v>216</v>
      </c>
      <c r="B875" t="s">
        <v>2</v>
      </c>
      <c r="C875" s="38">
        <v>45081</v>
      </c>
      <c r="D875" t="s">
        <v>235</v>
      </c>
      <c r="E875" t="s">
        <v>201</v>
      </c>
      <c r="F875">
        <v>0.5</v>
      </c>
      <c r="G875">
        <v>0</v>
      </c>
      <c r="H875" t="s">
        <v>24</v>
      </c>
    </row>
    <row r="876" spans="1:8" hidden="1" x14ac:dyDescent="0.25">
      <c r="A876" t="s">
        <v>216</v>
      </c>
      <c r="B876" t="s">
        <v>2</v>
      </c>
      <c r="C876" s="38">
        <v>45081</v>
      </c>
      <c r="D876" t="s">
        <v>236</v>
      </c>
      <c r="E876" t="s">
        <v>201</v>
      </c>
      <c r="F876">
        <v>7.5</v>
      </c>
      <c r="G876">
        <v>0</v>
      </c>
      <c r="H876" t="s">
        <v>24</v>
      </c>
    </row>
    <row r="877" spans="1:8" hidden="1" x14ac:dyDescent="0.25">
      <c r="A877" t="s">
        <v>215</v>
      </c>
      <c r="B877" t="s">
        <v>2</v>
      </c>
      <c r="C877" s="38">
        <v>45081</v>
      </c>
      <c r="D877" t="s">
        <v>240</v>
      </c>
      <c r="E877" t="s">
        <v>201</v>
      </c>
      <c r="F877">
        <v>0.2</v>
      </c>
      <c r="G877">
        <v>0</v>
      </c>
      <c r="H877" t="s">
        <v>24</v>
      </c>
    </row>
    <row r="878" spans="1:8" hidden="1" x14ac:dyDescent="0.25">
      <c r="A878" t="s">
        <v>220</v>
      </c>
      <c r="B878" t="s">
        <v>4</v>
      </c>
      <c r="C878" s="38">
        <v>45081</v>
      </c>
      <c r="D878" t="s">
        <v>236</v>
      </c>
      <c r="E878" t="s">
        <v>201</v>
      </c>
      <c r="F878">
        <v>0.5</v>
      </c>
      <c r="G878">
        <v>3.5</v>
      </c>
      <c r="H878" t="s">
        <v>24</v>
      </c>
    </row>
    <row r="879" spans="1:8" hidden="1" x14ac:dyDescent="0.25">
      <c r="A879" t="s">
        <v>196</v>
      </c>
      <c r="B879" t="s">
        <v>2</v>
      </c>
      <c r="C879" s="38">
        <v>45081</v>
      </c>
      <c r="D879" t="s">
        <v>240</v>
      </c>
      <c r="E879" t="s">
        <v>201</v>
      </c>
      <c r="F879">
        <v>0.2</v>
      </c>
      <c r="G879">
        <v>0</v>
      </c>
      <c r="H879" t="s">
        <v>24</v>
      </c>
    </row>
    <row r="880" spans="1:8" hidden="1" x14ac:dyDescent="0.25">
      <c r="A880" t="s">
        <v>220</v>
      </c>
      <c r="B880" t="s">
        <v>4</v>
      </c>
      <c r="C880" s="38">
        <v>45081</v>
      </c>
      <c r="D880" t="s">
        <v>240</v>
      </c>
      <c r="E880" t="s">
        <v>201</v>
      </c>
      <c r="F880">
        <v>3.9</v>
      </c>
      <c r="G880">
        <v>3.5</v>
      </c>
      <c r="H880" t="s">
        <v>24</v>
      </c>
    </row>
    <row r="881" spans="1:8" hidden="1" x14ac:dyDescent="0.25">
      <c r="A881" t="s">
        <v>192</v>
      </c>
      <c r="B881" t="s">
        <v>2</v>
      </c>
      <c r="C881" s="38">
        <v>45081</v>
      </c>
      <c r="D881" t="s">
        <v>240</v>
      </c>
      <c r="E881" t="s">
        <v>205</v>
      </c>
      <c r="F881">
        <v>3.9</v>
      </c>
      <c r="G881">
        <v>0</v>
      </c>
      <c r="H881" t="s">
        <v>24</v>
      </c>
    </row>
    <row r="882" spans="1:8" hidden="1" x14ac:dyDescent="0.25">
      <c r="A882" t="s">
        <v>192</v>
      </c>
      <c r="B882" t="s">
        <v>2</v>
      </c>
      <c r="C882" s="38">
        <v>45081</v>
      </c>
      <c r="D882" t="s">
        <v>236</v>
      </c>
      <c r="E882" t="s">
        <v>201</v>
      </c>
      <c r="F882">
        <v>0.2</v>
      </c>
      <c r="G882">
        <v>0</v>
      </c>
      <c r="H882" t="s">
        <v>24</v>
      </c>
    </row>
    <row r="883" spans="1:8" hidden="1" x14ac:dyDescent="0.25">
      <c r="A883" t="s">
        <v>165</v>
      </c>
      <c r="B883" t="s">
        <v>2</v>
      </c>
      <c r="C883" s="38">
        <v>45082</v>
      </c>
      <c r="D883" t="s">
        <v>240</v>
      </c>
      <c r="E883" t="s">
        <v>201</v>
      </c>
      <c r="F883">
        <v>3.6</v>
      </c>
      <c r="G883">
        <v>2.4</v>
      </c>
      <c r="H883" t="s">
        <v>24</v>
      </c>
    </row>
    <row r="884" spans="1:8" hidden="1" x14ac:dyDescent="0.25">
      <c r="A884" t="s">
        <v>220</v>
      </c>
      <c r="B884" t="s">
        <v>4</v>
      </c>
      <c r="C884" s="38">
        <v>45082</v>
      </c>
      <c r="D884" t="s">
        <v>236</v>
      </c>
      <c r="E884" t="s">
        <v>201</v>
      </c>
      <c r="F884">
        <v>0.2</v>
      </c>
      <c r="G884">
        <v>1.2</v>
      </c>
      <c r="H884" t="s">
        <v>24</v>
      </c>
    </row>
    <row r="885" spans="1:8" hidden="1" x14ac:dyDescent="0.25">
      <c r="A885" t="s">
        <v>220</v>
      </c>
      <c r="B885" t="s">
        <v>4</v>
      </c>
      <c r="C885" s="38">
        <v>45082</v>
      </c>
      <c r="D885" t="s">
        <v>240</v>
      </c>
      <c r="E885" t="s">
        <v>201</v>
      </c>
      <c r="F885">
        <v>3.6</v>
      </c>
      <c r="G885">
        <v>1.2</v>
      </c>
      <c r="H885" t="s">
        <v>24</v>
      </c>
    </row>
    <row r="886" spans="1:8" hidden="1" x14ac:dyDescent="0.25">
      <c r="A886" t="s">
        <v>192</v>
      </c>
      <c r="B886" t="s">
        <v>2</v>
      </c>
      <c r="C886" s="38">
        <v>45082</v>
      </c>
      <c r="D886" t="s">
        <v>240</v>
      </c>
      <c r="E886" t="s">
        <v>201</v>
      </c>
      <c r="F886">
        <v>3.6</v>
      </c>
      <c r="G886">
        <v>2.2000000000000002</v>
      </c>
      <c r="H886" t="s">
        <v>24</v>
      </c>
    </row>
    <row r="887" spans="1:8" hidden="1" x14ac:dyDescent="0.25">
      <c r="A887" t="s">
        <v>187</v>
      </c>
      <c r="B887" t="s">
        <v>2</v>
      </c>
      <c r="C887" s="38">
        <v>45082</v>
      </c>
      <c r="D887" t="s">
        <v>240</v>
      </c>
      <c r="E887" t="s">
        <v>201</v>
      </c>
      <c r="F887">
        <v>3.6</v>
      </c>
      <c r="G887">
        <v>4.0999999999999996</v>
      </c>
      <c r="H887" t="s">
        <v>24</v>
      </c>
    </row>
    <row r="888" spans="1:8" hidden="1" x14ac:dyDescent="0.25">
      <c r="A888" t="s">
        <v>188</v>
      </c>
      <c r="B888" t="s">
        <v>2</v>
      </c>
      <c r="C888" s="38">
        <v>45082</v>
      </c>
      <c r="D888" t="s">
        <v>240</v>
      </c>
      <c r="E888" t="s">
        <v>201</v>
      </c>
      <c r="F888">
        <v>3.6</v>
      </c>
      <c r="G888">
        <v>4.0999999999999996</v>
      </c>
      <c r="H888" t="s">
        <v>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2D32-AA17-443D-8D80-453BF387D6FC}">
  <sheetPr>
    <tabColor theme="7"/>
  </sheetPr>
  <dimension ref="A1:AU9"/>
  <sheetViews>
    <sheetView workbookViewId="0">
      <selection activeCell="G2" sqref="G2"/>
    </sheetView>
    <sheetView workbookViewId="1">
      <selection activeCell="P1" sqref="P1"/>
    </sheetView>
  </sheetViews>
  <sheetFormatPr defaultRowHeight="15" x14ac:dyDescent="0.25"/>
  <cols>
    <col min="1" max="1" width="9.5703125" bestFit="1" customWidth="1"/>
    <col min="2" max="2" width="21" bestFit="1" customWidth="1"/>
    <col min="3" max="3" width="19.140625" bestFit="1" customWidth="1"/>
    <col min="4" max="4" width="16.42578125" bestFit="1" customWidth="1"/>
    <col min="5" max="5" width="15.140625" bestFit="1" customWidth="1"/>
    <col min="6" max="6" width="11.7109375" bestFit="1" customWidth="1"/>
    <col min="7" max="7" width="11.5703125" bestFit="1" customWidth="1"/>
    <col min="8" max="8" width="14.28515625" bestFit="1" customWidth="1"/>
    <col min="9" max="9" width="11.7109375" bestFit="1" customWidth="1"/>
    <col min="10" max="10" width="11.5703125" bestFit="1" customWidth="1"/>
    <col min="11" max="11" width="14.28515625" bestFit="1" customWidth="1"/>
    <col min="12" max="12" width="11.7109375" bestFit="1" customWidth="1"/>
    <col min="13" max="13" width="11.5703125" bestFit="1" customWidth="1"/>
    <col min="14" max="14" width="14.28515625" bestFit="1" customWidth="1"/>
    <col min="15" max="15" width="11.7109375" bestFit="1" customWidth="1"/>
    <col min="16" max="16" width="11.5703125" bestFit="1" customWidth="1"/>
    <col min="17" max="17" width="14.28515625" bestFit="1" customWidth="1"/>
    <col min="18" max="18" width="11.7109375" bestFit="1" customWidth="1"/>
    <col min="19" max="19" width="11.5703125" bestFit="1" customWidth="1"/>
    <col min="20" max="20" width="14.28515625" bestFit="1" customWidth="1"/>
    <col min="21" max="21" width="11.7109375" bestFit="1" customWidth="1"/>
    <col min="22" max="22" width="11.5703125" bestFit="1" customWidth="1"/>
    <col min="23" max="23" width="14.28515625" bestFit="1" customWidth="1"/>
    <col min="24" max="24" width="11.7109375" bestFit="1" customWidth="1"/>
    <col min="25" max="25" width="11.5703125" bestFit="1" customWidth="1"/>
    <col min="26" max="26" width="14.28515625" bestFit="1" customWidth="1"/>
    <col min="27" max="27" width="11.7109375" bestFit="1" customWidth="1"/>
    <col min="28" max="28" width="11.5703125" bestFit="1" customWidth="1"/>
    <col min="29" max="29" width="14.28515625" bestFit="1" customWidth="1"/>
    <col min="30" max="30" width="11.7109375" bestFit="1" customWidth="1"/>
    <col min="31" max="31" width="11.5703125" bestFit="1" customWidth="1"/>
    <col min="32" max="32" width="14.28515625" bestFit="1" customWidth="1"/>
    <col min="33" max="33" width="11.7109375" bestFit="1" customWidth="1"/>
    <col min="34" max="34" width="11.5703125" bestFit="1" customWidth="1"/>
    <col min="35" max="35" width="14.28515625" bestFit="1" customWidth="1"/>
    <col min="36" max="36" width="11.7109375" bestFit="1" customWidth="1"/>
    <col min="37" max="37" width="11.5703125" bestFit="1" customWidth="1"/>
    <col min="38" max="38" width="14.28515625" bestFit="1" customWidth="1"/>
    <col min="39" max="39" width="11.7109375" bestFit="1" customWidth="1"/>
    <col min="40" max="40" width="11.5703125" bestFit="1" customWidth="1"/>
    <col min="41" max="41" width="14.28515625" bestFit="1" customWidth="1"/>
    <col min="42" max="42" width="10.7109375" bestFit="1" customWidth="1"/>
    <col min="43" max="43" width="10.5703125" bestFit="1" customWidth="1"/>
    <col min="44" max="44" width="13.28515625" bestFit="1" customWidth="1"/>
    <col min="45" max="45" width="10.7109375" bestFit="1" customWidth="1"/>
    <col min="46" max="46" width="10.5703125" bestFit="1" customWidth="1"/>
    <col min="47" max="48" width="13.28515625" customWidth="1"/>
  </cols>
  <sheetData>
    <row r="1" spans="1:47" x14ac:dyDescent="0.25">
      <c r="A1" t="s">
        <v>23</v>
      </c>
      <c r="B1" t="s">
        <v>200</v>
      </c>
      <c r="C1" t="s">
        <v>1</v>
      </c>
      <c r="D1" t="s">
        <v>0</v>
      </c>
      <c r="E1" t="s">
        <v>126</v>
      </c>
      <c r="F1" t="s">
        <v>33</v>
      </c>
      <c r="G1" t="s">
        <v>34</v>
      </c>
      <c r="H1" t="s">
        <v>35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30</v>
      </c>
      <c r="AQ1" t="s">
        <v>31</v>
      </c>
      <c r="AR1" t="s">
        <v>32</v>
      </c>
      <c r="AS1" t="s">
        <v>36</v>
      </c>
      <c r="AT1" t="s">
        <v>37</v>
      </c>
      <c r="AU1" t="s">
        <v>38</v>
      </c>
    </row>
    <row r="2" spans="1:47" x14ac:dyDescent="0.25">
      <c r="A2" t="s">
        <v>24</v>
      </c>
      <c r="B2" t="s">
        <v>201</v>
      </c>
      <c r="C2" t="s">
        <v>5</v>
      </c>
      <c r="D2" t="s">
        <v>4</v>
      </c>
      <c r="E2">
        <v>76</v>
      </c>
      <c r="F2" t="s">
        <v>136</v>
      </c>
      <c r="G2" t="s">
        <v>137</v>
      </c>
      <c r="I2" t="s">
        <v>136</v>
      </c>
      <c r="J2" t="s">
        <v>137</v>
      </c>
      <c r="L2" t="s">
        <v>136</v>
      </c>
      <c r="M2" t="s">
        <v>137</v>
      </c>
      <c r="O2" t="s">
        <v>138</v>
      </c>
      <c r="R2" t="s">
        <v>138</v>
      </c>
      <c r="AA2" t="s">
        <v>136</v>
      </c>
      <c r="AB2" t="s">
        <v>137</v>
      </c>
      <c r="AD2" t="s">
        <v>136</v>
      </c>
      <c r="AE2" t="s">
        <v>137</v>
      </c>
      <c r="AG2" t="s">
        <v>136</v>
      </c>
      <c r="AH2" t="s">
        <v>137</v>
      </c>
      <c r="AJ2" t="s">
        <v>138</v>
      </c>
      <c r="AM2" t="s">
        <v>138</v>
      </c>
    </row>
    <row r="3" spans="1:47" x14ac:dyDescent="0.25">
      <c r="A3" t="s">
        <v>24</v>
      </c>
      <c r="B3" t="s">
        <v>201</v>
      </c>
      <c r="C3" t="s">
        <v>199</v>
      </c>
      <c r="D3" t="s">
        <v>4</v>
      </c>
      <c r="E3">
        <v>63</v>
      </c>
      <c r="F3" t="s">
        <v>218</v>
      </c>
      <c r="G3" t="s">
        <v>219</v>
      </c>
      <c r="S3" t="s">
        <v>142</v>
      </c>
      <c r="T3" t="s">
        <v>143</v>
      </c>
      <c r="V3" t="s">
        <v>142</v>
      </c>
      <c r="W3" t="s">
        <v>143</v>
      </c>
      <c r="Y3" t="s">
        <v>142</v>
      </c>
      <c r="Z3" t="s">
        <v>143</v>
      </c>
      <c r="AA3" t="s">
        <v>218</v>
      </c>
      <c r="AB3" t="s">
        <v>219</v>
      </c>
      <c r="AN3" t="s">
        <v>142</v>
      </c>
      <c r="AO3" t="s">
        <v>143</v>
      </c>
      <c r="AQ3" t="s">
        <v>142</v>
      </c>
      <c r="AR3" t="s">
        <v>143</v>
      </c>
      <c r="AT3" t="s">
        <v>142</v>
      </c>
      <c r="AU3" t="s">
        <v>143</v>
      </c>
    </row>
    <row r="4" spans="1:47" x14ac:dyDescent="0.25">
      <c r="A4" t="s">
        <v>24</v>
      </c>
      <c r="B4" t="s">
        <v>201</v>
      </c>
      <c r="C4" t="s">
        <v>198</v>
      </c>
      <c r="D4" t="s">
        <v>4</v>
      </c>
      <c r="E4">
        <v>76</v>
      </c>
      <c r="F4" t="s">
        <v>136</v>
      </c>
      <c r="G4" t="s">
        <v>137</v>
      </c>
      <c r="I4" t="s">
        <v>136</v>
      </c>
      <c r="J4" t="s">
        <v>137</v>
      </c>
      <c r="L4" t="s">
        <v>136</v>
      </c>
      <c r="M4" t="s">
        <v>137</v>
      </c>
      <c r="O4" t="s">
        <v>138</v>
      </c>
      <c r="R4" t="s">
        <v>138</v>
      </c>
      <c r="AA4" t="s">
        <v>136</v>
      </c>
      <c r="AB4" t="s">
        <v>137</v>
      </c>
      <c r="AD4" t="s">
        <v>136</v>
      </c>
      <c r="AE4" t="s">
        <v>137</v>
      </c>
      <c r="AG4" t="s">
        <v>136</v>
      </c>
      <c r="AH4" t="s">
        <v>137</v>
      </c>
      <c r="AJ4" t="s">
        <v>138</v>
      </c>
      <c r="AM4" t="s">
        <v>138</v>
      </c>
    </row>
    <row r="5" spans="1:47" x14ac:dyDescent="0.25">
      <c r="A5" t="s">
        <v>24</v>
      </c>
      <c r="B5" t="s">
        <v>201</v>
      </c>
      <c r="C5" t="s">
        <v>141</v>
      </c>
      <c r="D5" t="s">
        <v>4</v>
      </c>
      <c r="E5">
        <v>72</v>
      </c>
      <c r="G5" t="s">
        <v>142</v>
      </c>
      <c r="H5" t="s">
        <v>143</v>
      </c>
      <c r="J5" t="s">
        <v>142</v>
      </c>
      <c r="K5" t="s">
        <v>143</v>
      </c>
      <c r="V5" t="s">
        <v>142</v>
      </c>
      <c r="W5" t="s">
        <v>143</v>
      </c>
      <c r="Y5" t="s">
        <v>142</v>
      </c>
      <c r="Z5" t="s">
        <v>143</v>
      </c>
      <c r="AB5" t="s">
        <v>142</v>
      </c>
      <c r="AC5" t="s">
        <v>143</v>
      </c>
      <c r="AE5" t="s">
        <v>142</v>
      </c>
      <c r="AF5" t="s">
        <v>143</v>
      </c>
      <c r="AN5" t="s">
        <v>142</v>
      </c>
      <c r="AO5" t="s">
        <v>143</v>
      </c>
      <c r="AQ5" t="s">
        <v>142</v>
      </c>
      <c r="AR5" t="s">
        <v>143</v>
      </c>
      <c r="AT5" t="s">
        <v>142</v>
      </c>
      <c r="AU5" t="s">
        <v>143</v>
      </c>
    </row>
    <row r="6" spans="1:47" x14ac:dyDescent="0.25">
      <c r="A6" t="s">
        <v>24</v>
      </c>
      <c r="B6" t="s">
        <v>201</v>
      </c>
      <c r="C6" t="s">
        <v>144</v>
      </c>
      <c r="D6" t="s">
        <v>4</v>
      </c>
      <c r="E6">
        <v>54.599999999999994</v>
      </c>
      <c r="H6" t="s">
        <v>145</v>
      </c>
      <c r="I6" t="s">
        <v>208</v>
      </c>
      <c r="K6" t="s">
        <v>146</v>
      </c>
      <c r="L6" t="s">
        <v>209</v>
      </c>
      <c r="T6" t="s">
        <v>145</v>
      </c>
      <c r="U6" t="s">
        <v>208</v>
      </c>
      <c r="W6" t="s">
        <v>146</v>
      </c>
      <c r="X6" t="s">
        <v>208</v>
      </c>
      <c r="Z6" t="s">
        <v>146</v>
      </c>
      <c r="AA6" t="s">
        <v>208</v>
      </c>
      <c r="AC6" t="s">
        <v>146</v>
      </c>
      <c r="AD6" t="s">
        <v>208</v>
      </c>
      <c r="AF6" t="s">
        <v>146</v>
      </c>
      <c r="AG6" t="s">
        <v>209</v>
      </c>
    </row>
    <row r="7" spans="1:47" x14ac:dyDescent="0.25">
      <c r="A7" t="s">
        <v>24</v>
      </c>
      <c r="B7" t="s">
        <v>201</v>
      </c>
      <c r="C7" t="s">
        <v>220</v>
      </c>
      <c r="D7" t="s">
        <v>4</v>
      </c>
      <c r="E7">
        <v>50.699999999999996</v>
      </c>
      <c r="N7" t="s">
        <v>145</v>
      </c>
      <c r="O7" t="s">
        <v>208</v>
      </c>
      <c r="Q7" t="s">
        <v>146</v>
      </c>
      <c r="R7" t="s">
        <v>221</v>
      </c>
      <c r="AI7" t="s">
        <v>145</v>
      </c>
      <c r="AJ7" t="s">
        <v>208</v>
      </c>
      <c r="AL7" t="s">
        <v>146</v>
      </c>
      <c r="AM7" t="s">
        <v>208</v>
      </c>
      <c r="AO7" t="s">
        <v>146</v>
      </c>
      <c r="AP7" t="s">
        <v>208</v>
      </c>
      <c r="AR7" t="s">
        <v>146</v>
      </c>
      <c r="AS7" t="s">
        <v>222</v>
      </c>
      <c r="AU7" t="s">
        <v>223</v>
      </c>
    </row>
    <row r="8" spans="1:47" x14ac:dyDescent="0.25">
      <c r="A8" t="s">
        <v>24</v>
      </c>
      <c r="B8" t="s">
        <v>201</v>
      </c>
      <c r="C8" t="s">
        <v>147</v>
      </c>
      <c r="D8" t="s">
        <v>4</v>
      </c>
      <c r="E8">
        <v>32</v>
      </c>
      <c r="P8" t="s">
        <v>142</v>
      </c>
      <c r="Q8" t="s">
        <v>143</v>
      </c>
      <c r="S8" t="s">
        <v>142</v>
      </c>
      <c r="T8" t="s">
        <v>143</v>
      </c>
      <c r="X8" t="s">
        <v>136</v>
      </c>
      <c r="Y8" t="s">
        <v>137</v>
      </c>
      <c r="AM8" t="s">
        <v>136</v>
      </c>
      <c r="AN8" t="s">
        <v>137</v>
      </c>
    </row>
    <row r="9" spans="1:47" x14ac:dyDescent="0.25">
      <c r="A9" t="s">
        <v>24</v>
      </c>
      <c r="B9" t="s">
        <v>201</v>
      </c>
      <c r="C9" t="s">
        <v>203</v>
      </c>
      <c r="D9" t="s">
        <v>4</v>
      </c>
      <c r="E9">
        <v>48</v>
      </c>
      <c r="R9" t="s">
        <v>136</v>
      </c>
      <c r="S9" t="s">
        <v>137</v>
      </c>
      <c r="U9" t="s">
        <v>136</v>
      </c>
      <c r="V9" t="s">
        <v>137</v>
      </c>
      <c r="X9" t="s">
        <v>136</v>
      </c>
      <c r="Y9" t="s">
        <v>137</v>
      </c>
      <c r="AM9" t="s">
        <v>136</v>
      </c>
      <c r="AN9" t="s">
        <v>137</v>
      </c>
      <c r="AP9" t="s">
        <v>136</v>
      </c>
      <c r="AQ9" t="s">
        <v>137</v>
      </c>
      <c r="AS9" t="s">
        <v>136</v>
      </c>
      <c r="AT9" t="s">
        <v>137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9A4C-30FB-4AEF-8B4A-B5EB87297533}">
  <dimension ref="B10:CJ25"/>
  <sheetViews>
    <sheetView workbookViewId="0"/>
    <sheetView workbookViewId="1"/>
  </sheetViews>
  <sheetFormatPr defaultRowHeight="15" x14ac:dyDescent="0.25"/>
  <cols>
    <col min="2" max="2" width="11.85546875" bestFit="1" customWidth="1"/>
    <col min="3" max="3" width="14.85546875" bestFit="1" customWidth="1"/>
    <col min="4" max="4" width="16.42578125" bestFit="1" customWidth="1"/>
    <col min="5" max="5" width="14" bestFit="1" customWidth="1"/>
    <col min="6" max="6" width="13.85546875" bestFit="1" customWidth="1"/>
    <col min="7" max="7" width="16.5703125" bestFit="1" customWidth="1"/>
    <col min="8" max="8" width="14" bestFit="1" customWidth="1"/>
    <col min="9" max="9" width="13.85546875" bestFit="1" customWidth="1"/>
    <col min="10" max="10" width="16.5703125" bestFit="1" customWidth="1"/>
    <col min="11" max="11" width="14" bestFit="1" customWidth="1"/>
    <col min="12" max="12" width="13.85546875" bestFit="1" customWidth="1"/>
    <col min="13" max="13" width="16.5703125" bestFit="1" customWidth="1"/>
    <col min="14" max="14" width="14" bestFit="1" customWidth="1"/>
    <col min="15" max="15" width="13.85546875" bestFit="1" customWidth="1"/>
    <col min="16" max="16" width="16.5703125" bestFit="1" customWidth="1"/>
    <col min="17" max="17" width="14" bestFit="1" customWidth="1"/>
    <col min="18" max="18" width="13.85546875" bestFit="1" customWidth="1"/>
    <col min="19" max="19" width="16.5703125" bestFit="1" customWidth="1"/>
    <col min="20" max="20" width="14" bestFit="1" customWidth="1"/>
    <col min="21" max="21" width="13.85546875" bestFit="1" customWidth="1"/>
    <col min="22" max="22" width="16.5703125" bestFit="1" customWidth="1"/>
    <col min="23" max="23" width="14" bestFit="1" customWidth="1"/>
    <col min="24" max="24" width="13.85546875" bestFit="1" customWidth="1"/>
    <col min="25" max="25" width="16.5703125" bestFit="1" customWidth="1"/>
    <col min="26" max="26" width="14" bestFit="1" customWidth="1"/>
    <col min="27" max="27" width="13.85546875" bestFit="1" customWidth="1"/>
    <col min="28" max="28" width="16.5703125" bestFit="1" customWidth="1"/>
    <col min="29" max="29" width="14" bestFit="1" customWidth="1"/>
    <col min="30" max="30" width="13.85546875" bestFit="1" customWidth="1"/>
    <col min="31" max="31" width="16.5703125" bestFit="1" customWidth="1"/>
    <col min="32" max="32" width="14" bestFit="1" customWidth="1"/>
    <col min="33" max="33" width="13.85546875" bestFit="1" customWidth="1"/>
    <col min="34" max="34" width="16.5703125" bestFit="1" customWidth="1"/>
    <col min="35" max="35" width="14" bestFit="1" customWidth="1"/>
    <col min="36" max="36" width="13.85546875" bestFit="1" customWidth="1"/>
    <col min="37" max="37" width="16.5703125" bestFit="1" customWidth="1"/>
    <col min="38" max="38" width="14" bestFit="1" customWidth="1"/>
    <col min="39" max="39" width="13.85546875" bestFit="1" customWidth="1"/>
    <col min="40" max="40" width="16.5703125" bestFit="1" customWidth="1"/>
    <col min="41" max="41" width="13" bestFit="1" customWidth="1"/>
    <col min="42" max="42" width="12.85546875" bestFit="1" customWidth="1"/>
    <col min="43" max="43" width="15.5703125" bestFit="1" customWidth="1"/>
    <col min="44" max="44" width="13" bestFit="1" customWidth="1"/>
    <col min="45" max="45" width="12.85546875" bestFit="1" customWidth="1"/>
    <col min="46" max="46" width="15.5703125" bestFit="1" customWidth="1"/>
    <col min="47" max="47" width="6.7109375" style="12" customWidth="1"/>
    <col min="48" max="88" width="11" style="12" customWidth="1"/>
  </cols>
  <sheetData>
    <row r="10" spans="2:88" s="11" customFormat="1" x14ac:dyDescent="0.25">
      <c r="B10" s="11" t="s">
        <v>23</v>
      </c>
      <c r="C10" s="11" t="s">
        <v>25</v>
      </c>
      <c r="D10" s="11" t="s">
        <v>0</v>
      </c>
      <c r="E10" s="11" t="s">
        <v>33</v>
      </c>
      <c r="F10" s="11" t="s">
        <v>34</v>
      </c>
      <c r="G10" s="11" t="s">
        <v>35</v>
      </c>
      <c r="H10" s="11" t="s">
        <v>39</v>
      </c>
      <c r="I10" s="11" t="s">
        <v>40</v>
      </c>
      <c r="J10" s="11" t="s">
        <v>41</v>
      </c>
      <c r="K10" s="11" t="s">
        <v>42</v>
      </c>
      <c r="L10" s="11" t="s">
        <v>43</v>
      </c>
      <c r="M10" s="11" t="s">
        <v>44</v>
      </c>
      <c r="N10" s="11" t="s">
        <v>45</v>
      </c>
      <c r="O10" s="11" t="s">
        <v>46</v>
      </c>
      <c r="P10" s="11" t="s">
        <v>47</v>
      </c>
      <c r="Q10" s="11" t="s">
        <v>48</v>
      </c>
      <c r="R10" s="11" t="s">
        <v>49</v>
      </c>
      <c r="S10" s="11" t="s">
        <v>50</v>
      </c>
      <c r="T10" s="11" t="s">
        <v>51</v>
      </c>
      <c r="U10" s="11" t="s">
        <v>52</v>
      </c>
      <c r="V10" s="11" t="s">
        <v>53</v>
      </c>
      <c r="W10" s="11" t="s">
        <v>54</v>
      </c>
      <c r="X10" s="11" t="s">
        <v>55</v>
      </c>
      <c r="Y10" s="11" t="s">
        <v>56</v>
      </c>
      <c r="Z10" s="11" t="s">
        <v>57</v>
      </c>
      <c r="AA10" s="11" t="s">
        <v>58</v>
      </c>
      <c r="AB10" s="11" t="s">
        <v>59</v>
      </c>
      <c r="AC10" s="11" t="s">
        <v>60</v>
      </c>
      <c r="AD10" s="11" t="s">
        <v>61</v>
      </c>
      <c r="AE10" s="11" t="s">
        <v>62</v>
      </c>
      <c r="AF10" s="11" t="s">
        <v>63</v>
      </c>
      <c r="AG10" s="11" t="s">
        <v>64</v>
      </c>
      <c r="AH10" s="11" t="s">
        <v>65</v>
      </c>
      <c r="AI10" s="11" t="s">
        <v>66</v>
      </c>
      <c r="AJ10" s="11" t="s">
        <v>67</v>
      </c>
      <c r="AK10" s="11" t="s">
        <v>68</v>
      </c>
      <c r="AL10" s="11" t="s">
        <v>69</v>
      </c>
      <c r="AM10" s="11" t="s">
        <v>70</v>
      </c>
      <c r="AN10" s="11" t="s">
        <v>71</v>
      </c>
      <c r="AO10" s="11" t="s">
        <v>30</v>
      </c>
      <c r="AP10" s="11" t="s">
        <v>31</v>
      </c>
      <c r="AQ10" s="11" t="s">
        <v>32</v>
      </c>
      <c r="AR10" s="11" t="s">
        <v>36</v>
      </c>
      <c r="AS10" s="11" t="s">
        <v>37</v>
      </c>
      <c r="AT10" s="11" t="s">
        <v>38</v>
      </c>
    </row>
    <row r="11" spans="2:88" x14ac:dyDescent="0.25">
      <c r="B11" t="s">
        <v>24</v>
      </c>
      <c r="C11" t="s">
        <v>28</v>
      </c>
      <c r="D11" t="s">
        <v>2</v>
      </c>
      <c r="E11" s="12">
        <v>84.8</v>
      </c>
      <c r="F11" s="12">
        <v>68.3</v>
      </c>
      <c r="G11" s="12">
        <v>37</v>
      </c>
      <c r="H11" s="12">
        <v>87.5</v>
      </c>
      <c r="I11" s="12">
        <v>68.3</v>
      </c>
      <c r="J11" s="12">
        <v>37</v>
      </c>
      <c r="K11" s="12">
        <v>87.5</v>
      </c>
      <c r="L11" s="12">
        <v>68.3</v>
      </c>
      <c r="M11" s="12">
        <v>37</v>
      </c>
      <c r="N11" s="12">
        <v>87.5</v>
      </c>
      <c r="O11" s="12">
        <v>68.3</v>
      </c>
      <c r="P11" s="12">
        <v>37</v>
      </c>
      <c r="Q11" s="12">
        <v>87.5</v>
      </c>
      <c r="R11" s="12">
        <v>68.3</v>
      </c>
      <c r="S11" s="12">
        <v>37</v>
      </c>
      <c r="T11" s="12">
        <v>87.5</v>
      </c>
      <c r="U11" s="12">
        <v>68.3</v>
      </c>
      <c r="V11" s="12">
        <v>37</v>
      </c>
      <c r="W11" s="12">
        <v>87.5</v>
      </c>
      <c r="X11" s="12">
        <v>68.3</v>
      </c>
      <c r="Y11" s="12">
        <v>37</v>
      </c>
      <c r="Z11" s="12">
        <v>87.5</v>
      </c>
      <c r="AA11" s="12">
        <v>68.3</v>
      </c>
      <c r="AB11" s="12">
        <v>37</v>
      </c>
      <c r="AC11" s="12">
        <v>87.5</v>
      </c>
      <c r="AD11" s="12">
        <v>68.3</v>
      </c>
      <c r="AE11" s="12">
        <v>37</v>
      </c>
      <c r="AF11" s="12">
        <v>87.5</v>
      </c>
      <c r="AG11" s="12">
        <v>68.3</v>
      </c>
      <c r="AH11" s="12">
        <v>37</v>
      </c>
      <c r="AI11" s="12">
        <v>87.5</v>
      </c>
      <c r="AJ11" s="12">
        <v>68.3</v>
      </c>
      <c r="AK11" s="12">
        <v>37</v>
      </c>
      <c r="AL11" s="12">
        <v>87.5</v>
      </c>
      <c r="AM11" s="12">
        <v>68.3</v>
      </c>
      <c r="AN11" s="12">
        <v>37</v>
      </c>
      <c r="AO11" s="12">
        <v>87.5</v>
      </c>
      <c r="AP11" s="12">
        <v>68.3</v>
      </c>
      <c r="AQ11" s="12">
        <v>37</v>
      </c>
      <c r="AR11" s="12">
        <v>89.2</v>
      </c>
      <c r="AS11" s="12">
        <v>68.3</v>
      </c>
      <c r="AT11" s="12">
        <v>37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2:88" x14ac:dyDescent="0.25">
      <c r="B12" t="s">
        <v>24</v>
      </c>
      <c r="C12" t="s">
        <v>27</v>
      </c>
      <c r="D12" t="s">
        <v>2</v>
      </c>
      <c r="E12" s="12">
        <v>84.2</v>
      </c>
      <c r="F12" s="12">
        <v>65.5</v>
      </c>
      <c r="G12" s="12">
        <v>35.9</v>
      </c>
      <c r="H12" s="12">
        <v>87.5</v>
      </c>
      <c r="I12" s="12">
        <v>72.3</v>
      </c>
      <c r="J12" s="12">
        <v>35.9</v>
      </c>
      <c r="K12" s="12">
        <v>80.400000000000006</v>
      </c>
      <c r="L12" s="12">
        <v>72.3</v>
      </c>
      <c r="M12" s="12">
        <v>29</v>
      </c>
      <c r="N12" s="12">
        <v>87.3</v>
      </c>
      <c r="O12" s="12">
        <v>72.3</v>
      </c>
      <c r="P12" s="12">
        <v>22</v>
      </c>
      <c r="Q12" s="12">
        <v>56.3</v>
      </c>
      <c r="R12" s="12">
        <v>58.9</v>
      </c>
      <c r="S12" s="12">
        <v>29</v>
      </c>
      <c r="T12" s="12">
        <v>77.900000000000006</v>
      </c>
      <c r="U12" s="12">
        <v>65.5</v>
      </c>
      <c r="V12" s="12">
        <v>29</v>
      </c>
      <c r="W12" s="12">
        <v>77.900000000000006</v>
      </c>
      <c r="X12" s="12">
        <v>65.5</v>
      </c>
      <c r="Y12" s="12">
        <v>29</v>
      </c>
      <c r="Z12" s="12">
        <v>85</v>
      </c>
      <c r="AA12" s="12">
        <v>65.5</v>
      </c>
      <c r="AB12" s="12">
        <v>35.9</v>
      </c>
      <c r="AC12" s="12">
        <v>87.5</v>
      </c>
      <c r="AD12" s="12">
        <v>72.3</v>
      </c>
      <c r="AE12" s="12">
        <v>35.9</v>
      </c>
      <c r="AF12" s="12">
        <v>80.400000000000006</v>
      </c>
      <c r="AG12" s="12">
        <v>71.900000000000006</v>
      </c>
      <c r="AH12" s="12">
        <v>22</v>
      </c>
      <c r="AI12" s="12">
        <v>87.1</v>
      </c>
      <c r="AJ12" s="12">
        <v>58.3</v>
      </c>
      <c r="AK12" s="12">
        <v>35.6</v>
      </c>
      <c r="AL12" s="12">
        <v>71</v>
      </c>
      <c r="AM12" s="12">
        <v>58.9</v>
      </c>
      <c r="AN12" s="12">
        <v>35.9</v>
      </c>
      <c r="AO12" s="12">
        <v>71</v>
      </c>
      <c r="AP12" s="12">
        <v>58.9</v>
      </c>
      <c r="AQ12" s="12">
        <v>35.9</v>
      </c>
      <c r="AR12" s="12">
        <v>71</v>
      </c>
      <c r="AS12" s="12">
        <v>65.5</v>
      </c>
      <c r="AT12" s="12">
        <v>16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2:88" x14ac:dyDescent="0.25">
      <c r="B13" t="s">
        <v>24</v>
      </c>
      <c r="C13" t="s">
        <v>29</v>
      </c>
      <c r="D13" t="s">
        <v>2</v>
      </c>
      <c r="E13" s="12">
        <v>-0.7</v>
      </c>
      <c r="F13" s="12">
        <v>-2.8</v>
      </c>
      <c r="G13" s="12">
        <v>-1.2</v>
      </c>
      <c r="H13" s="12">
        <v>0</v>
      </c>
      <c r="I13" s="12">
        <v>4</v>
      </c>
      <c r="J13" s="12">
        <v>-1.2</v>
      </c>
      <c r="K13" s="12">
        <v>-7.1</v>
      </c>
      <c r="L13" s="12">
        <v>4</v>
      </c>
      <c r="M13" s="12">
        <v>-8.1</v>
      </c>
      <c r="N13" s="12">
        <v>-0.2</v>
      </c>
      <c r="O13" s="12">
        <v>4</v>
      </c>
      <c r="P13" s="12">
        <v>-15</v>
      </c>
      <c r="Q13" s="12">
        <v>-31.2</v>
      </c>
      <c r="R13" s="12">
        <v>-9.4</v>
      </c>
      <c r="S13" s="12">
        <v>-8.1</v>
      </c>
      <c r="T13" s="12">
        <v>-9.6</v>
      </c>
      <c r="U13" s="12">
        <v>-2.8</v>
      </c>
      <c r="V13" s="12">
        <v>-8.1</v>
      </c>
      <c r="W13" s="12">
        <v>-9.6</v>
      </c>
      <c r="X13" s="12">
        <v>-2.8</v>
      </c>
      <c r="Y13" s="12">
        <v>-8.1</v>
      </c>
      <c r="Z13" s="12">
        <v>-2.4</v>
      </c>
      <c r="AA13" s="12">
        <v>-2.8</v>
      </c>
      <c r="AB13" s="12">
        <v>-1.2</v>
      </c>
      <c r="AC13" s="12">
        <v>0</v>
      </c>
      <c r="AD13" s="12">
        <v>4</v>
      </c>
      <c r="AE13" s="12">
        <v>-1.2</v>
      </c>
      <c r="AF13" s="12">
        <v>-7.1</v>
      </c>
      <c r="AG13" s="12">
        <v>3.6</v>
      </c>
      <c r="AH13" s="12">
        <v>-15</v>
      </c>
      <c r="AI13" s="12">
        <v>-0.4</v>
      </c>
      <c r="AJ13" s="12">
        <v>-10</v>
      </c>
      <c r="AK13" s="12">
        <v>-1.4</v>
      </c>
      <c r="AL13" s="12">
        <v>-16.5</v>
      </c>
      <c r="AM13" s="12">
        <v>-9.4</v>
      </c>
      <c r="AN13" s="12">
        <v>-1.2</v>
      </c>
      <c r="AO13" s="12">
        <v>-16.5</v>
      </c>
      <c r="AP13" s="12">
        <v>-9.4</v>
      </c>
      <c r="AQ13" s="12">
        <v>-1.2</v>
      </c>
      <c r="AR13" s="12">
        <v>-18.100000000000001</v>
      </c>
      <c r="AS13" s="12">
        <v>-2.8</v>
      </c>
      <c r="AT13" s="12">
        <v>-20.9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2:88" x14ac:dyDescent="0.25">
      <c r="B14" t="s">
        <v>24</v>
      </c>
      <c r="C14" t="s">
        <v>28</v>
      </c>
      <c r="D14" t="s">
        <v>4</v>
      </c>
      <c r="E14" s="12">
        <v>13.9</v>
      </c>
      <c r="F14" s="12">
        <v>15.2</v>
      </c>
      <c r="G14" s="12">
        <v>7.6</v>
      </c>
      <c r="H14" s="12">
        <v>14.8</v>
      </c>
      <c r="I14" s="12">
        <v>15.2</v>
      </c>
      <c r="J14" s="12">
        <v>7.6</v>
      </c>
      <c r="K14" s="12">
        <v>14.8</v>
      </c>
      <c r="L14" s="12">
        <v>15.2</v>
      </c>
      <c r="M14" s="12">
        <v>7.6</v>
      </c>
      <c r="N14" s="12">
        <v>14.8</v>
      </c>
      <c r="O14" s="12">
        <v>15.2</v>
      </c>
      <c r="P14" s="12">
        <v>7.6</v>
      </c>
      <c r="Q14" s="12">
        <v>14.8</v>
      </c>
      <c r="R14" s="12">
        <v>15.2</v>
      </c>
      <c r="S14" s="12">
        <v>7.6</v>
      </c>
      <c r="T14" s="12">
        <v>14.8</v>
      </c>
      <c r="U14" s="12">
        <v>15.2</v>
      </c>
      <c r="V14" s="12">
        <v>7.6</v>
      </c>
      <c r="W14" s="12">
        <v>14.8</v>
      </c>
      <c r="X14" s="12">
        <v>15.2</v>
      </c>
      <c r="Y14" s="12">
        <v>7.6</v>
      </c>
      <c r="Z14" s="12">
        <v>14.8</v>
      </c>
      <c r="AA14" s="12">
        <v>15.2</v>
      </c>
      <c r="AB14" s="12">
        <v>7.6</v>
      </c>
      <c r="AC14" s="12">
        <v>14.8</v>
      </c>
      <c r="AD14" s="12">
        <v>15.2</v>
      </c>
      <c r="AE14" s="12">
        <v>7.6</v>
      </c>
      <c r="AF14" s="12">
        <v>14.8</v>
      </c>
      <c r="AG14" s="12">
        <v>15.2</v>
      </c>
      <c r="AH14" s="12">
        <v>7.6</v>
      </c>
      <c r="AI14" s="12">
        <v>14.8</v>
      </c>
      <c r="AJ14" s="12">
        <v>15.2</v>
      </c>
      <c r="AK14" s="12">
        <v>7.6</v>
      </c>
      <c r="AL14" s="12">
        <v>14.8</v>
      </c>
      <c r="AM14" s="12">
        <v>15.2</v>
      </c>
      <c r="AN14" s="12">
        <v>7.6</v>
      </c>
      <c r="AO14" s="12">
        <v>14.8</v>
      </c>
      <c r="AP14" s="12">
        <v>15.2</v>
      </c>
      <c r="AQ14" s="12">
        <v>7.6</v>
      </c>
      <c r="AR14" s="12">
        <v>15</v>
      </c>
      <c r="AS14" s="12">
        <v>15.2</v>
      </c>
      <c r="AT14" s="12">
        <v>7.6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2:88" x14ac:dyDescent="0.25">
      <c r="B15" t="s">
        <v>24</v>
      </c>
      <c r="C15" t="s">
        <v>27</v>
      </c>
      <c r="D15" t="s">
        <v>4</v>
      </c>
      <c r="E15" s="12">
        <v>19.2</v>
      </c>
      <c r="F15" s="12">
        <v>10.5</v>
      </c>
      <c r="G15" s="12">
        <v>7.1</v>
      </c>
      <c r="H15" s="12">
        <v>14.8</v>
      </c>
      <c r="I15" s="12">
        <v>8.3000000000000007</v>
      </c>
      <c r="J15" s="12">
        <v>7.1</v>
      </c>
      <c r="K15" s="12">
        <v>14.8</v>
      </c>
      <c r="L15" s="12">
        <v>0.9</v>
      </c>
      <c r="M15" s="12">
        <v>6.9</v>
      </c>
      <c r="N15" s="12">
        <v>13.7</v>
      </c>
      <c r="O15" s="12">
        <v>7.4</v>
      </c>
      <c r="P15" s="12">
        <v>7.1</v>
      </c>
      <c r="Q15" s="12">
        <v>20.9</v>
      </c>
      <c r="R15" s="12">
        <v>15.2</v>
      </c>
      <c r="S15" s="12">
        <v>7.4</v>
      </c>
      <c r="T15" s="12">
        <v>7.6</v>
      </c>
      <c r="U15" s="12">
        <v>15.2</v>
      </c>
      <c r="V15" s="12">
        <v>7.4</v>
      </c>
      <c r="W15" s="12">
        <v>14.8</v>
      </c>
      <c r="X15" s="12">
        <v>15.6</v>
      </c>
      <c r="Y15" s="12">
        <v>7.4</v>
      </c>
      <c r="Z15" s="12">
        <v>19.7</v>
      </c>
      <c r="AA15" s="12">
        <v>10.5</v>
      </c>
      <c r="AB15" s="12">
        <v>7.1</v>
      </c>
      <c r="AC15" s="12">
        <v>14.8</v>
      </c>
      <c r="AD15" s="12">
        <v>8.3000000000000007</v>
      </c>
      <c r="AE15" s="12">
        <v>7.1</v>
      </c>
      <c r="AF15" s="12">
        <v>14.8</v>
      </c>
      <c r="AG15" s="12">
        <v>0.9</v>
      </c>
      <c r="AH15" s="12">
        <v>6.9</v>
      </c>
      <c r="AI15" s="12">
        <v>13.7</v>
      </c>
      <c r="AJ15" s="12">
        <v>0</v>
      </c>
      <c r="AK15" s="12">
        <v>6.9</v>
      </c>
      <c r="AL15" s="12">
        <v>28.1</v>
      </c>
      <c r="AM15" s="12">
        <v>15.6</v>
      </c>
      <c r="AN15" s="12">
        <v>7.4</v>
      </c>
      <c r="AO15" s="12">
        <v>7.6</v>
      </c>
      <c r="AP15" s="12">
        <v>15.2</v>
      </c>
      <c r="AQ15" s="12">
        <v>7.4</v>
      </c>
      <c r="AR15" s="12">
        <v>7.6</v>
      </c>
      <c r="AS15" s="12">
        <v>15.2</v>
      </c>
      <c r="AT15" s="12">
        <v>4.0999999999999996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2:88" x14ac:dyDescent="0.25">
      <c r="B16" t="s">
        <v>24</v>
      </c>
      <c r="C16" t="s">
        <v>29</v>
      </c>
      <c r="D16" t="s">
        <v>4</v>
      </c>
      <c r="E16" s="12">
        <v>5.3</v>
      </c>
      <c r="F16" s="12">
        <v>-4.7</v>
      </c>
      <c r="G16" s="12">
        <v>-0.5</v>
      </c>
      <c r="H16" s="12">
        <v>0</v>
      </c>
      <c r="I16" s="12">
        <v>-6.9</v>
      </c>
      <c r="J16" s="12">
        <v>-0.5</v>
      </c>
      <c r="K16" s="12">
        <v>0</v>
      </c>
      <c r="L16" s="12">
        <v>-14.3</v>
      </c>
      <c r="M16" s="12">
        <v>-0.7</v>
      </c>
      <c r="N16" s="12">
        <v>-1</v>
      </c>
      <c r="O16" s="12">
        <v>-7.8</v>
      </c>
      <c r="P16" s="12">
        <v>-0.5</v>
      </c>
      <c r="Q16" s="12">
        <v>6.1</v>
      </c>
      <c r="R16" s="12">
        <v>0</v>
      </c>
      <c r="S16" s="12">
        <v>-0.2</v>
      </c>
      <c r="T16" s="12">
        <v>-7.2</v>
      </c>
      <c r="U16" s="12">
        <v>0</v>
      </c>
      <c r="V16" s="12">
        <v>-0.2</v>
      </c>
      <c r="W16" s="12">
        <v>0</v>
      </c>
      <c r="X16" s="12">
        <v>0.5</v>
      </c>
      <c r="Y16" s="12">
        <v>-0.2</v>
      </c>
      <c r="Z16" s="12">
        <v>4.9000000000000004</v>
      </c>
      <c r="AA16" s="12">
        <v>-4.7</v>
      </c>
      <c r="AB16" s="12">
        <v>-0.5</v>
      </c>
      <c r="AC16" s="12">
        <v>0</v>
      </c>
      <c r="AD16" s="12">
        <v>-6.9</v>
      </c>
      <c r="AE16" s="12">
        <v>-0.5</v>
      </c>
      <c r="AF16" s="12">
        <v>0</v>
      </c>
      <c r="AG16" s="12">
        <v>-14.3</v>
      </c>
      <c r="AH16" s="12">
        <v>-0.7</v>
      </c>
      <c r="AI16" s="12">
        <v>-1</v>
      </c>
      <c r="AJ16" s="12">
        <v>-15.2</v>
      </c>
      <c r="AK16" s="12">
        <v>-0.7</v>
      </c>
      <c r="AL16" s="12">
        <v>13.3</v>
      </c>
      <c r="AM16" s="12">
        <v>0.5</v>
      </c>
      <c r="AN16" s="12">
        <v>-0.2</v>
      </c>
      <c r="AO16" s="12">
        <v>-7.2</v>
      </c>
      <c r="AP16" s="12">
        <v>0</v>
      </c>
      <c r="AQ16" s="12">
        <v>-0.2</v>
      </c>
      <c r="AR16" s="12">
        <v>-7.4</v>
      </c>
      <c r="AS16" s="12">
        <v>0</v>
      </c>
      <c r="AT16" s="12">
        <v>-3.5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193D-1DF7-4078-B1CC-86F2004A1A7A}">
  <dimension ref="A1"/>
  <sheetViews>
    <sheetView workbookViewId="0"/>
    <sheetView workbookViewId="1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76AA-5B2E-4213-B6A9-EF30177D43B6}">
  <dimension ref="A1:AT14"/>
  <sheetViews>
    <sheetView workbookViewId="0">
      <selection sqref="A1:AT2"/>
    </sheetView>
    <sheetView workbookViewId="1"/>
  </sheetViews>
  <sheetFormatPr defaultRowHeight="15" x14ac:dyDescent="0.25"/>
  <cols>
    <col min="1" max="1" width="15.28515625" bestFit="1" customWidth="1"/>
    <col min="2" max="2" width="16.42578125" bestFit="1" customWidth="1"/>
    <col min="3" max="3" width="15.140625" bestFit="1" customWidth="1"/>
    <col min="4" max="4" width="9.5703125" bestFit="1" customWidth="1"/>
    <col min="5" max="5" width="11.7109375" bestFit="1" customWidth="1"/>
    <col min="6" max="6" width="8.140625" bestFit="1" customWidth="1"/>
    <col min="7" max="7" width="9" bestFit="1" customWidth="1"/>
    <col min="8" max="8" width="11.7109375" bestFit="1" customWidth="1"/>
    <col min="9" max="9" width="8.140625" bestFit="1" customWidth="1"/>
    <col min="10" max="10" width="9" bestFit="1" customWidth="1"/>
    <col min="11" max="11" width="11.7109375" bestFit="1" customWidth="1"/>
    <col min="12" max="12" width="8.140625" bestFit="1" customWidth="1"/>
    <col min="13" max="13" width="9" bestFit="1" customWidth="1"/>
    <col min="14" max="14" width="11.7109375" bestFit="1" customWidth="1"/>
    <col min="15" max="15" width="8.140625" bestFit="1" customWidth="1"/>
    <col min="16" max="16" width="9" bestFit="1" customWidth="1"/>
    <col min="17" max="17" width="11.7109375" bestFit="1" customWidth="1"/>
    <col min="18" max="18" width="8.140625" bestFit="1" customWidth="1"/>
    <col min="19" max="19" width="9" bestFit="1" customWidth="1"/>
    <col min="20" max="20" width="11.7109375" bestFit="1" customWidth="1"/>
    <col min="21" max="21" width="8.140625" bestFit="1" customWidth="1"/>
    <col min="22" max="22" width="9" bestFit="1" customWidth="1"/>
    <col min="23" max="23" width="11.7109375" bestFit="1" customWidth="1"/>
    <col min="24" max="24" width="8.140625" bestFit="1" customWidth="1"/>
    <col min="25" max="25" width="9" bestFit="1" customWidth="1"/>
    <col min="26" max="26" width="11.7109375" bestFit="1" customWidth="1"/>
    <col min="27" max="27" width="8.140625" bestFit="1" customWidth="1"/>
    <col min="28" max="28" width="9" bestFit="1" customWidth="1"/>
    <col min="29" max="29" width="11.7109375" bestFit="1" customWidth="1"/>
    <col min="30" max="30" width="8.140625" bestFit="1" customWidth="1"/>
    <col min="31" max="31" width="9" bestFit="1" customWidth="1"/>
    <col min="32" max="32" width="11.7109375" bestFit="1" customWidth="1"/>
    <col min="33" max="33" width="8.140625" bestFit="1" customWidth="1"/>
    <col min="34" max="34" width="9" bestFit="1" customWidth="1"/>
    <col min="35" max="35" width="11.7109375" bestFit="1" customWidth="1"/>
    <col min="36" max="36" width="8.140625" bestFit="1" customWidth="1"/>
    <col min="37" max="37" width="9" bestFit="1" customWidth="1"/>
    <col min="38" max="38" width="11.7109375" bestFit="1" customWidth="1"/>
    <col min="39" max="39" width="8.140625" bestFit="1" customWidth="1"/>
    <col min="40" max="40" width="9" bestFit="1" customWidth="1"/>
    <col min="41" max="41" width="10.7109375" bestFit="1" customWidth="1"/>
    <col min="42" max="42" width="10.5703125" bestFit="1" customWidth="1"/>
    <col min="43" max="43" width="9" bestFit="1" customWidth="1"/>
    <col min="44" max="44" width="10.7109375" bestFit="1" customWidth="1"/>
    <col min="45" max="45" width="10.5703125" bestFit="1" customWidth="1"/>
    <col min="46" max="46" width="13.28515625" bestFit="1" customWidth="1"/>
    <col min="47" max="48" width="13.28515625" customWidth="1"/>
    <col min="49" max="49" width="11.7109375" bestFit="1" customWidth="1"/>
    <col min="50" max="50" width="11.5703125" bestFit="1" customWidth="1"/>
    <col min="51" max="51" width="14.28515625" bestFit="1" customWidth="1"/>
    <col min="52" max="52" width="11.7109375" bestFit="1" customWidth="1"/>
    <col min="53" max="53" width="11.5703125" bestFit="1" customWidth="1"/>
    <col min="54" max="54" width="14.28515625" bestFit="1" customWidth="1"/>
    <col min="55" max="55" width="11.7109375" bestFit="1" customWidth="1"/>
    <col min="56" max="56" width="11.5703125" bestFit="1" customWidth="1"/>
    <col min="57" max="57" width="14.28515625" bestFit="1" customWidth="1"/>
    <col min="58" max="58" width="11.7109375" bestFit="1" customWidth="1"/>
    <col min="59" max="59" width="11.5703125" bestFit="1" customWidth="1"/>
    <col min="60" max="60" width="14.28515625" bestFit="1" customWidth="1"/>
    <col min="61" max="61" width="11.7109375" bestFit="1" customWidth="1"/>
    <col min="62" max="62" width="11.5703125" bestFit="1" customWidth="1"/>
    <col min="63" max="63" width="14.28515625" bestFit="1" customWidth="1"/>
    <col min="64" max="64" width="11.7109375" bestFit="1" customWidth="1"/>
    <col min="65" max="65" width="11.5703125" bestFit="1" customWidth="1"/>
    <col min="66" max="66" width="14.28515625" bestFit="1" customWidth="1"/>
    <col min="67" max="67" width="11.7109375" bestFit="1" customWidth="1"/>
    <col min="68" max="68" width="11.5703125" bestFit="1" customWidth="1"/>
    <col min="69" max="69" width="14.28515625" bestFit="1" customWidth="1"/>
    <col min="70" max="70" width="11.7109375" bestFit="1" customWidth="1"/>
    <col min="71" max="71" width="11.5703125" bestFit="1" customWidth="1"/>
    <col min="72" max="72" width="14.28515625" bestFit="1" customWidth="1"/>
    <col min="73" max="73" width="11.7109375" bestFit="1" customWidth="1"/>
    <col min="74" max="74" width="11.5703125" bestFit="1" customWidth="1"/>
    <col min="75" max="75" width="14.28515625" bestFit="1" customWidth="1"/>
    <col min="76" max="76" width="11.7109375" bestFit="1" customWidth="1"/>
    <col min="77" max="77" width="11.5703125" bestFit="1" customWidth="1"/>
    <col min="78" max="78" width="14.28515625" bestFit="1" customWidth="1"/>
    <col min="79" max="79" width="10.7109375" bestFit="1" customWidth="1"/>
    <col min="80" max="80" width="10.5703125" bestFit="1" customWidth="1"/>
    <col min="81" max="81" width="13.28515625" bestFit="1" customWidth="1"/>
    <col min="82" max="82" width="10.7109375" bestFit="1" customWidth="1"/>
    <col min="83" max="83" width="10.5703125" bestFit="1" customWidth="1"/>
    <col min="84" max="84" width="13.28515625" bestFit="1" customWidth="1"/>
    <col min="85" max="85" width="10.7109375" bestFit="1" customWidth="1"/>
    <col min="86" max="86" width="10.5703125" bestFit="1" customWidth="1"/>
    <col min="87" max="87" width="13.28515625" bestFit="1" customWidth="1"/>
    <col min="88" max="88" width="10.7109375" bestFit="1" customWidth="1"/>
    <col min="89" max="89" width="10.5703125" bestFit="1" customWidth="1"/>
    <col min="90" max="91" width="13.28515625" bestFit="1" customWidth="1"/>
  </cols>
  <sheetData>
    <row r="1" spans="1:46" s="20" customFormat="1" ht="30" x14ac:dyDescent="0.25">
      <c r="A1" s="20" t="s">
        <v>1</v>
      </c>
      <c r="B1" s="20" t="s">
        <v>0</v>
      </c>
      <c r="C1" t="s">
        <v>126</v>
      </c>
      <c r="D1" s="20" t="s">
        <v>23</v>
      </c>
      <c r="E1" s="20" t="s">
        <v>33</v>
      </c>
      <c r="F1" s="20" t="s">
        <v>34</v>
      </c>
      <c r="G1" s="20" t="s">
        <v>35</v>
      </c>
      <c r="H1" s="20" t="s">
        <v>39</v>
      </c>
      <c r="I1" s="20" t="s">
        <v>40</v>
      </c>
      <c r="J1" s="20" t="s">
        <v>41</v>
      </c>
      <c r="K1" s="20" t="s">
        <v>42</v>
      </c>
      <c r="L1" s="20" t="s">
        <v>43</v>
      </c>
      <c r="M1" s="20" t="s">
        <v>44</v>
      </c>
      <c r="N1" s="20" t="s">
        <v>45</v>
      </c>
      <c r="O1" s="20" t="s">
        <v>46</v>
      </c>
      <c r="P1" s="20" t="s">
        <v>47</v>
      </c>
      <c r="Q1" s="20" t="s">
        <v>48</v>
      </c>
      <c r="R1" s="20" t="s">
        <v>49</v>
      </c>
      <c r="S1" s="20" t="s">
        <v>50</v>
      </c>
      <c r="T1" s="20" t="s">
        <v>51</v>
      </c>
      <c r="U1" s="20" t="s">
        <v>52</v>
      </c>
      <c r="V1" s="20" t="s">
        <v>53</v>
      </c>
      <c r="W1" s="20" t="s">
        <v>54</v>
      </c>
      <c r="X1" s="20" t="s">
        <v>55</v>
      </c>
      <c r="Y1" s="20" t="s">
        <v>56</v>
      </c>
      <c r="Z1" s="20" t="s">
        <v>57</v>
      </c>
      <c r="AA1" s="20" t="s">
        <v>58</v>
      </c>
      <c r="AB1" s="20" t="s">
        <v>59</v>
      </c>
      <c r="AC1" s="20" t="s">
        <v>60</v>
      </c>
      <c r="AD1" s="20" t="s">
        <v>61</v>
      </c>
      <c r="AE1" s="20" t="s">
        <v>62</v>
      </c>
      <c r="AF1" s="20" t="s">
        <v>63</v>
      </c>
      <c r="AG1" s="20" t="s">
        <v>64</v>
      </c>
      <c r="AH1" s="20" t="s">
        <v>65</v>
      </c>
      <c r="AI1" s="20" t="s">
        <v>66</v>
      </c>
      <c r="AJ1" s="20" t="s">
        <v>67</v>
      </c>
      <c r="AK1" s="20" t="s">
        <v>68</v>
      </c>
      <c r="AL1" s="20" t="s">
        <v>69</v>
      </c>
      <c r="AM1" s="20" t="s">
        <v>70</v>
      </c>
      <c r="AN1" s="20" t="s">
        <v>71</v>
      </c>
      <c r="AO1" s="20" t="s">
        <v>30</v>
      </c>
      <c r="AP1" s="20" t="s">
        <v>31</v>
      </c>
      <c r="AQ1" s="20" t="s">
        <v>32</v>
      </c>
      <c r="AR1" s="20" t="s">
        <v>36</v>
      </c>
      <c r="AS1" s="20" t="s">
        <v>37</v>
      </c>
      <c r="AT1" s="20" t="s">
        <v>38</v>
      </c>
    </row>
    <row r="2" spans="1:46" x14ac:dyDescent="0.25">
      <c r="A2" t="s">
        <v>5</v>
      </c>
      <c r="B2" t="s">
        <v>4</v>
      </c>
      <c r="D2" t="s">
        <v>24</v>
      </c>
      <c r="E2" s="39" t="s">
        <v>136</v>
      </c>
      <c r="F2" s="39" t="s">
        <v>137</v>
      </c>
      <c r="G2" s="39"/>
      <c r="H2" s="39" t="s">
        <v>136</v>
      </c>
      <c r="I2" s="39" t="s">
        <v>137</v>
      </c>
      <c r="J2" s="39"/>
      <c r="K2" s="39" t="s">
        <v>136</v>
      </c>
      <c r="L2" s="39" t="s">
        <v>137</v>
      </c>
      <c r="M2" s="39"/>
      <c r="N2" s="39" t="s">
        <v>138</v>
      </c>
      <c r="O2" s="39" t="s">
        <v>139</v>
      </c>
      <c r="P2" s="39"/>
      <c r="Q2" s="39" t="s">
        <v>138</v>
      </c>
      <c r="R2" s="39" t="s">
        <v>139</v>
      </c>
      <c r="S2" s="39"/>
      <c r="T2" s="39"/>
      <c r="U2" s="39"/>
      <c r="V2" s="39"/>
      <c r="W2" s="39"/>
      <c r="X2" s="39"/>
      <c r="Y2" s="39"/>
      <c r="Z2" s="39" t="s">
        <v>136</v>
      </c>
      <c r="AA2" s="39" t="s">
        <v>137</v>
      </c>
      <c r="AB2" s="39"/>
      <c r="AC2" s="39" t="s">
        <v>136</v>
      </c>
      <c r="AD2" s="39" t="s">
        <v>137</v>
      </c>
      <c r="AE2" s="39"/>
      <c r="AF2" s="39" t="s">
        <v>136</v>
      </c>
      <c r="AG2" s="39" t="s">
        <v>137</v>
      </c>
      <c r="AH2" s="39"/>
      <c r="AI2" s="39" t="s">
        <v>138</v>
      </c>
      <c r="AJ2" s="39" t="s">
        <v>139</v>
      </c>
      <c r="AK2" s="39"/>
      <c r="AL2" s="39" t="s">
        <v>138</v>
      </c>
      <c r="AM2" s="39" t="s">
        <v>139</v>
      </c>
      <c r="AN2" s="39"/>
      <c r="AO2" s="39"/>
      <c r="AP2" s="39"/>
      <c r="AQ2" s="39"/>
      <c r="AR2" s="39"/>
      <c r="AS2" s="39"/>
      <c r="AT2" s="39"/>
    </row>
    <row r="14" spans="1:46" x14ac:dyDescent="0.25">
      <c r="H14" s="37" t="str">
        <f>H2</f>
        <v>0/ 7.5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FA57A9D-7983-41E8-994C-18A5E95F3CD8}">
            <xm:f>NOT(ISERROR(SEARCH("-",E2)))</xm:f>
            <xm:f>"-"</xm:f>
            <x14:dxf>
              <font>
                <color rgb="FF006100"/>
              </font>
              <fill>
                <patternFill>
                  <bgColor rgb="FFFFCC99"/>
                </patternFill>
              </fill>
            </x14:dxf>
          </x14:cfRule>
          <xm:sqref>E2:AT2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4D4FB4-3F06-4125-8CB2-C03A78D25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B9DDF8-8771-4241-A767-B88AE85006B3}">
  <ds:schemaRefs>
    <ds:schemaRef ds:uri="http://purl.org/dc/terms/"/>
    <ds:schemaRef ds:uri="http://schemas.openxmlformats.org/package/2006/metadata/core-properties"/>
    <ds:schemaRef ds:uri="cb0fa578-f870-47d6-b0d9-5a423e2a9cfb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b568fc2f-4d2a-4f1a-a92d-be6ea9d479bf"/>
    <ds:schemaRef ds:uri="http://www.w3.org/XML/1998/namespace"/>
    <ds:schemaRef ds:uri="http://purl.org/dc/dcmitype/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FA1F60BB-2206-451B-BECC-7D68DAE08C9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7FE50EE-4BCE-4D8B-91F5-E836E81A1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CARER (2)</vt:lpstr>
      <vt:lpstr>FILEPATH</vt:lpstr>
      <vt:lpstr>Carer</vt:lpstr>
      <vt:lpstr>RN</vt:lpstr>
      <vt:lpstr>Residual-RosteredMATRIX-CARER</vt:lpstr>
      <vt:lpstr>Header-CARER</vt:lpstr>
      <vt:lpstr>Header-RN</vt:lpstr>
      <vt:lpstr>Table_Master_Avail_Alloc_Residu</vt:lpstr>
      <vt:lpstr>Residual-RosteredMATRIX-RN</vt:lpstr>
      <vt:lpstr>Header</vt:lpstr>
      <vt:lpstr>Sheet2</vt:lpstr>
      <vt:lpstr>Residual-Rostered</vt:lpstr>
      <vt:lpstr>Client</vt:lpstr>
      <vt:lpstr>Date</vt:lpstr>
      <vt:lpstr>FTE</vt:lpstr>
      <vt:lpstr>HRS</vt:lpstr>
      <vt:lpstr>MAIT_date_adjusted_for_example</vt:lpstr>
      <vt:lpstr>Carer!Max_HRS</vt:lpstr>
      <vt:lpstr>Max_HRS</vt:lpstr>
      <vt:lpstr>Type</vt:lpstr>
      <vt:lpstr>Carer!UNIT</vt:lpstr>
      <vt:lpstr>'CARER (2)'!UNIT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2023-06-22T05:33:58Z</dcterms:created>
  <dcterms:modified xsi:type="dcterms:W3CDTF">2026-09-25T02:26:21Z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