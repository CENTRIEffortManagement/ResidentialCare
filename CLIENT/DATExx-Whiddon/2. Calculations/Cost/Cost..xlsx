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drawings/drawing1.xml" ContentType="application/vnd.openxmlformats-officedocument.drawing+xml"/>
  <Override PartName="/xl/tables/table10.xml" ContentType="application/vnd.openxmlformats-officedocument.spreadsheetml.table+xml"/>
  <Override PartName="/xl/queryTables/queryTable8.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Alex\CentriNOTSYNC\ResidentialCare\CLIENT\DATExx-Whiddon\2. Calculations\Cost\"/>
    </mc:Choice>
  </mc:AlternateContent>
  <xr:revisionPtr revIDLastSave="0" documentId="13_ncr:1_{7ADF246D-1305-4753-9009-304FEEA9B827}" xr6:coauthVersionLast="47" xr6:coauthVersionMax="47" xr10:uidLastSave="{00000000-0000-0000-0000-000000000000}"/>
  <bookViews>
    <workbookView xWindow="10260" yWindow="990" windowWidth="14400" windowHeight="15225" tabRatio="770" xr2:uid="{B7D79E9A-E966-4872-9B1C-2D8EC0687B6D}"/>
  </bookViews>
  <sheets>
    <sheet name="Unit1Path" sheetId="14" r:id="rId1"/>
    <sheet name="Rates" sheetId="1" r:id="rId2"/>
    <sheet name="EffortOutcomesAG1_1DayShiftAB" sheetId="4" r:id="rId3"/>
    <sheet name="CostAG1_1DayShiftAB" sheetId="5" r:id="rId4"/>
    <sheet name="CostPerDay" sheetId="12" r:id="rId5"/>
    <sheet name="TargetRatebyDate" sheetId="10" r:id="rId6"/>
    <sheet name="SavingFacilityDay" sheetId="13" r:id="rId7"/>
    <sheet name="Saving" sheetId="11" r:id="rId8"/>
    <sheet name="Summary" sheetId="8" r:id="rId9"/>
    <sheet name="Benhome Actuals Last fn" sheetId="7" r:id="rId10"/>
  </sheets>
  <externalReferences>
    <externalReference r:id="rId11"/>
    <externalReference r:id="rId12"/>
  </externalReferences>
  <definedNames>
    <definedName name="a">#REF!</definedName>
    <definedName name="ABCap" localSheetId="0">#REF!</definedName>
    <definedName name="ABCap">[1]Factors!$B$6</definedName>
    <definedName name="ABGoal" localSheetId="0">#REF!</definedName>
    <definedName name="ABGoal">[1]Factors!$B$10</definedName>
    <definedName name="b">#REF!</definedName>
    <definedName name="c_">#REF!</definedName>
    <definedName name="Client" localSheetId="0">Unit1Path!$B$19</definedName>
    <definedName name="Client">#REF!</definedName>
    <definedName name="Contractor_Margin" localSheetId="0">#REF!</definedName>
    <definedName name="Contractor_Margin">[1]Factors!$B$35</definedName>
    <definedName name="Date">#REF!</definedName>
    <definedName name="Directory">#REF!</definedName>
    <definedName name="EFCap" localSheetId="0">#REF!</definedName>
    <definedName name="EFCap">[1]Factors!$B$7</definedName>
    <definedName name="EFGoal" localSheetId="0">#REF!</definedName>
    <definedName name="EFGoal">[1]Factors!$B$11</definedName>
    <definedName name="ExternalData_1" localSheetId="3" hidden="1">'CostAG1_1DayShiftAB'!$A$1:$T$505</definedName>
    <definedName name="ExternalData_1" localSheetId="2" hidden="1">EffortOutcomesAG1_1DayShiftAB!$A$1:$AJ$505</definedName>
    <definedName name="ExternalData_1" localSheetId="8" hidden="1">Summary!$A$1:$G$7</definedName>
    <definedName name="ExternalData_1" localSheetId="0" hidden="1">Unit1Path!$A$3:$B$10</definedName>
    <definedName name="ExternalData_2" localSheetId="4" hidden="1">CostPerDay!$A$1:$B$3</definedName>
    <definedName name="ExternalData_2" localSheetId="7" hidden="1">Saving!$A$1:$C$29</definedName>
    <definedName name="ExternalData_2" localSheetId="5" hidden="1">TargetRatebyDate!$A$1:$B$29</definedName>
    <definedName name="ExternalData_3" localSheetId="6" hidden="1">SavingFacilityDay!$A$1:$C$29</definedName>
    <definedName name="Facility">#REF!</definedName>
    <definedName name="FilePathUrl">Unit1Path!$B$1</definedName>
    <definedName name="FTE">#REF!</definedName>
    <definedName name="HeadFolder">#REF!</definedName>
    <definedName name="HRS">#REF!</definedName>
    <definedName name="INCap" localSheetId="0">#REF!</definedName>
    <definedName name="INCap">[1]Factors!$B$8</definedName>
    <definedName name="INGoal" localSheetId="0">#REF!</definedName>
    <definedName name="INGoal">[1]Factors!$B$12</definedName>
    <definedName name="KSa">#REF!</definedName>
    <definedName name="KSb">#REF!</definedName>
    <definedName name="KSc">#REF!</definedName>
    <definedName name="Ksmag">#REF!</definedName>
    <definedName name="KTa">#REF!</definedName>
    <definedName name="KTb">#REF!</definedName>
    <definedName name="KTc">#REF!</definedName>
    <definedName name="KTmag">#REF!</definedName>
    <definedName name="Kx">#REF!</definedName>
    <definedName name="Ky">#REF!</definedName>
    <definedName name="Kz">#REF!</definedName>
    <definedName name="LabourCost" localSheetId="0">#REF!</definedName>
    <definedName name="LabourCost">[1]Factors!$B$21</definedName>
    <definedName name="LabourStretchCost" localSheetId="0">#REF!</definedName>
    <definedName name="LabourStretchCost">[1]Factors!$B$22</definedName>
    <definedName name="Location" localSheetId="0">Unit1Path!#REF!</definedName>
    <definedName name="Location">#REF!</definedName>
    <definedName name="MAIT_date_adjusted_for_example">#REF!</definedName>
    <definedName name="Max_HRS">#REF!</definedName>
    <definedName name="MaxCapacityFactor">[2]MaxCapacity!$A$2</definedName>
    <definedName name="Overtime" localSheetId="0">#REF!</definedName>
    <definedName name="Overtime">[1]Factors!$B$4</definedName>
    <definedName name="Revenue_per_labour_factor" localSheetId="0">#REF!</definedName>
    <definedName name="Revenue_per_labour_factor">[1]Factors!$B$19</definedName>
    <definedName name="RevenueRate" localSheetId="0">#REF!</definedName>
    <definedName name="RevenueRate">[1]Factors!$B$23</definedName>
    <definedName name="RevPerWorker" localSheetId="0">#REF!</definedName>
    <definedName name="RevPerWorker">[1]Factors!$E$23</definedName>
    <definedName name="Role" localSheetId="0">Unit1Path!$B$40</definedName>
    <definedName name="Role">#REF!</definedName>
    <definedName name="ROLE_TITLE">#REF!</definedName>
    <definedName name="Scale">#REF!</definedName>
    <definedName name="Slicer_Facility">#N/A</definedName>
    <definedName name="Slicer_Version">#N/A</definedName>
    <definedName name="Type">#REF!</definedName>
    <definedName name="UNIT">#REF!</definedName>
    <definedName name="xxxxRange">#REF!</definedName>
  </definedNames>
  <calcPr calcId="191029" iterateDelta="0"/>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8" l="1"/>
  <c r="B1" i="14" a="1"/>
  <c r="B1" i="14" s="1"/>
  <c r="D3" i="12"/>
  <c r="D2" i="12"/>
  <c r="K24" i="1"/>
  <c r="L24" i="1"/>
  <c r="M24" i="1"/>
  <c r="N24" i="1"/>
  <c r="O24" i="1"/>
  <c r="P24" i="1"/>
  <c r="K25" i="1"/>
  <c r="L25" i="1"/>
  <c r="M25" i="1"/>
  <c r="N25" i="1"/>
  <c r="O25" i="1"/>
  <c r="P25" i="1"/>
  <c r="K26" i="1"/>
  <c r="L26" i="1"/>
  <c r="M26" i="1"/>
  <c r="N26" i="1"/>
  <c r="O26" i="1"/>
  <c r="P26" i="1"/>
  <c r="J25" i="1"/>
  <c r="J26" i="1"/>
  <c r="J18" i="1"/>
  <c r="J19" i="1"/>
  <c r="J20" i="1"/>
  <c r="J21" i="1"/>
  <c r="J22" i="1"/>
  <c r="J23" i="1"/>
  <c r="J24" i="1"/>
  <c r="P14" i="1"/>
  <c r="P16" i="1" s="1"/>
  <c r="O14" i="1"/>
  <c r="P11" i="1"/>
  <c r="P12" i="1" s="1"/>
  <c r="O11" i="1"/>
  <c r="O12" i="1" s="1"/>
  <c r="K12" i="1"/>
  <c r="L12" i="1"/>
  <c r="M12" i="1"/>
  <c r="N12" i="1"/>
  <c r="K13" i="1"/>
  <c r="L13" i="1"/>
  <c r="M13" i="1"/>
  <c r="N13" i="1"/>
  <c r="J13" i="1"/>
  <c r="J12" i="1"/>
  <c r="K15" i="1"/>
  <c r="L15" i="1"/>
  <c r="M15" i="1"/>
  <c r="N15" i="1"/>
  <c r="K16" i="1"/>
  <c r="L16" i="1"/>
  <c r="M16" i="1"/>
  <c r="N16" i="1"/>
  <c r="J16" i="1"/>
  <c r="J15" i="1"/>
  <c r="O15" i="1" l="1"/>
  <c r="O16" i="1"/>
  <c r="P13" i="1"/>
  <c r="P15" i="1"/>
  <c r="O13" i="1"/>
  <c r="K18" i="1" l="1"/>
  <c r="L18" i="1"/>
  <c r="M18" i="1"/>
  <c r="N18" i="1"/>
  <c r="O18" i="1"/>
  <c r="P18" i="1"/>
  <c r="K19" i="1"/>
  <c r="L19" i="1"/>
  <c r="M19" i="1"/>
  <c r="N19" i="1"/>
  <c r="O19" i="1"/>
  <c r="P19" i="1"/>
  <c r="K20" i="1"/>
  <c r="L20" i="1"/>
  <c r="M20" i="1"/>
  <c r="N20" i="1"/>
  <c r="O20" i="1"/>
  <c r="P20" i="1"/>
  <c r="K21" i="1"/>
  <c r="L21" i="1"/>
  <c r="M21" i="1"/>
  <c r="N21" i="1"/>
  <c r="O21" i="1"/>
  <c r="P21" i="1"/>
  <c r="K22" i="1"/>
  <c r="L22" i="1"/>
  <c r="M22" i="1"/>
  <c r="N22" i="1"/>
  <c r="O22" i="1"/>
  <c r="P22" i="1"/>
  <c r="K23" i="1"/>
  <c r="L23" i="1"/>
  <c r="M23" i="1"/>
  <c r="N23" i="1"/>
  <c r="O23" i="1"/>
  <c r="P23" i="1"/>
  <c r="Z34" i="7"/>
  <c r="Y34" i="7"/>
  <c r="X34" i="7"/>
  <c r="W34" i="7"/>
  <c r="V34" i="7"/>
  <c r="U34" i="7"/>
  <c r="T34" i="7"/>
  <c r="S34" i="7"/>
  <c r="R34" i="7"/>
  <c r="Q34" i="7"/>
  <c r="P34" i="7"/>
  <c r="O34" i="7"/>
  <c r="N34" i="7"/>
  <c r="M34" i="7"/>
  <c r="L34" i="7"/>
  <c r="K34" i="7"/>
  <c r="J34" i="7"/>
  <c r="I34" i="7"/>
  <c r="H34" i="7"/>
  <c r="G34" i="7"/>
  <c r="U33" i="7"/>
  <c r="T33" i="7"/>
  <c r="S33" i="7"/>
  <c r="R33" i="7"/>
  <c r="Q33" i="7"/>
  <c r="P33" i="7"/>
  <c r="O33" i="7"/>
  <c r="N33" i="7"/>
  <c r="M33" i="7"/>
  <c r="L33" i="7"/>
  <c r="K33" i="7"/>
  <c r="J33" i="7"/>
  <c r="I33" i="7"/>
  <c r="H33" i="7"/>
  <c r="Z32" i="7"/>
  <c r="Y32" i="7"/>
  <c r="X32" i="7"/>
  <c r="W32" i="7"/>
  <c r="V32" i="7"/>
  <c r="U32" i="7"/>
  <c r="T32" i="7"/>
  <c r="S32" i="7"/>
  <c r="R32" i="7"/>
  <c r="Q32" i="7"/>
  <c r="P32" i="7"/>
  <c r="O32" i="7"/>
  <c r="N32" i="7"/>
  <c r="M32" i="7"/>
  <c r="L32" i="7"/>
  <c r="K32" i="7"/>
  <c r="J32" i="7"/>
  <c r="I32" i="7"/>
  <c r="H32" i="7"/>
  <c r="G32" i="7"/>
  <c r="Z31" i="7"/>
  <c r="Y31" i="7"/>
  <c r="X31" i="7"/>
  <c r="W31" i="7"/>
  <c r="V31" i="7"/>
  <c r="U31" i="7"/>
  <c r="U35" i="7" s="1"/>
  <c r="T31" i="7"/>
  <c r="T35" i="7" s="1"/>
  <c r="S31" i="7"/>
  <c r="S35" i="7" s="1"/>
  <c r="R31" i="7"/>
  <c r="R35" i="7" s="1"/>
  <c r="Q31" i="7"/>
  <c r="Q35" i="7" s="1"/>
  <c r="P31" i="7"/>
  <c r="P35" i="7" s="1"/>
  <c r="O31" i="7"/>
  <c r="O35" i="7" s="1"/>
  <c r="N31" i="7"/>
  <c r="N35" i="7" s="1"/>
  <c r="M31" i="7"/>
  <c r="M35" i="7" s="1"/>
  <c r="L31" i="7"/>
  <c r="L35" i="7" s="1"/>
  <c r="K31" i="7"/>
  <c r="K35" i="7" s="1"/>
  <c r="J31" i="7"/>
  <c r="J35" i="7" s="1"/>
  <c r="I31" i="7"/>
  <c r="I35" i="7" s="1"/>
  <c r="H31" i="7"/>
  <c r="H35" i="7" s="1"/>
  <c r="U30" i="7"/>
  <c r="T30" i="7"/>
  <c r="S30" i="7"/>
  <c r="R30" i="7"/>
  <c r="Q30" i="7"/>
  <c r="P30" i="7"/>
  <c r="O30" i="7"/>
  <c r="N30" i="7"/>
  <c r="M30" i="7"/>
  <c r="L30" i="7"/>
  <c r="K30" i="7"/>
  <c r="J30" i="7"/>
  <c r="I30" i="7"/>
  <c r="H30" i="7"/>
  <c r="V30" i="7" s="1"/>
  <c r="W29" i="7"/>
  <c r="X29" i="7" s="1"/>
  <c r="Y29" i="7" s="1"/>
  <c r="Z29" i="7" s="1"/>
  <c r="V29" i="7"/>
  <c r="V28" i="7"/>
  <c r="W28" i="7" s="1"/>
  <c r="W27" i="7"/>
  <c r="V27" i="7"/>
  <c r="V26" i="7"/>
  <c r="W26" i="7" s="1"/>
  <c r="V25" i="7"/>
  <c r="W25" i="7" s="1"/>
  <c r="X25" i="7" s="1"/>
  <c r="Y25" i="7" s="1"/>
  <c r="Z25" i="7" s="1"/>
  <c r="W24" i="7"/>
  <c r="X24" i="7" s="1"/>
  <c r="Y24" i="7" s="1"/>
  <c r="Z24" i="7" s="1"/>
  <c r="V24" i="7"/>
  <c r="V23" i="7"/>
  <c r="W23" i="7" s="1"/>
  <c r="X23" i="7" s="1"/>
  <c r="Y23" i="7" s="1"/>
  <c r="Z23" i="7" s="1"/>
  <c r="V22" i="7"/>
  <c r="W22" i="7" s="1"/>
  <c r="X22" i="7" s="1"/>
  <c r="Y22" i="7" s="1"/>
  <c r="Z22" i="7" s="1"/>
  <c r="V21" i="7"/>
  <c r="W21" i="7" s="1"/>
  <c r="X21" i="7" s="1"/>
  <c r="Y21" i="7" s="1"/>
  <c r="Z21" i="7" s="1"/>
  <c r="W20" i="7"/>
  <c r="X20" i="7" s="1"/>
  <c r="Y20" i="7" s="1"/>
  <c r="Z20" i="7" s="1"/>
  <c r="V20" i="7"/>
  <c r="W19" i="7"/>
  <c r="X19" i="7" s="1"/>
  <c r="Y19" i="7" s="1"/>
  <c r="Z19" i="7" s="1"/>
  <c r="V19" i="7"/>
  <c r="W18" i="7"/>
  <c r="V17" i="7"/>
  <c r="W17" i="7" s="1"/>
  <c r="X17" i="7" s="1"/>
  <c r="Y17" i="7" s="1"/>
  <c r="Z17" i="7" s="1"/>
  <c r="V16" i="7"/>
  <c r="W16" i="7" s="1"/>
  <c r="X16" i="7" s="1"/>
  <c r="Y16" i="7" s="1"/>
  <c r="Z16" i="7" s="1"/>
  <c r="V15" i="7"/>
  <c r="W15" i="7" s="1"/>
  <c r="X15" i="7" s="1"/>
  <c r="Y15" i="7" s="1"/>
  <c r="Z15" i="7" s="1"/>
  <c r="V14" i="7"/>
  <c r="W14" i="7" s="1"/>
  <c r="X14" i="7" s="1"/>
  <c r="Y14" i="7" s="1"/>
  <c r="V13" i="7"/>
  <c r="W13" i="7" s="1"/>
  <c r="V12" i="7"/>
  <c r="W12" i="7" s="1"/>
  <c r="V11" i="7"/>
  <c r="W11" i="7" s="1"/>
  <c r="V10" i="7"/>
  <c r="W10" i="7" s="1"/>
  <c r="Y30" i="7" l="1"/>
  <c r="Y33" i="7"/>
  <c r="Y35" i="7" s="1"/>
  <c r="Z14" i="7"/>
  <c r="X13" i="7"/>
  <c r="Z13" i="7"/>
  <c r="Z12" i="7"/>
  <c r="X12" i="7"/>
  <c r="X10" i="7"/>
  <c r="Z10" i="7"/>
  <c r="W30" i="7"/>
  <c r="W33" i="7"/>
  <c r="G33" i="7" s="1"/>
  <c r="X11" i="7"/>
  <c r="Z11" i="7"/>
  <c r="V33" i="7"/>
  <c r="V35" i="7" s="1"/>
  <c r="X33" i="7" l="1"/>
  <c r="X35" i="7" s="1"/>
  <c r="X30" i="7"/>
  <c r="W35" i="7"/>
  <c r="Z30" i="7"/>
  <c r="Z33" i="7"/>
  <c r="Z3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99F23F-7172-4AB1-852F-0239D57AF1B9}" keepAlive="1" name="Query - CostAG1_1DayShiftAB" description="Connection to the 'CostAG1_1DayShiftAB' query in the workbook." type="5" refreshedVersion="8" background="1" saveData="1">
    <dbPr connection="Provider=Microsoft.Mashup.OleDb.1;Data Source=$Workbook$;Location=CostAG1_1DayShiftAB;Extended Properties=&quot;&quot;" command="SELECT * FROM [CostAG1_1DayShiftAB]"/>
  </connection>
  <connection id="2" xr16:uid="{1E224CE4-F2D0-458C-868F-78AE15BE2593}" keepAlive="1" name="Query - CostAG1_1DayShiftABSummary" description="Connection to the 'CostAG1_1DayShiftABSummary' query in the workbook." type="5" refreshedVersion="8" background="1" saveData="1">
    <dbPr connection="Provider=Microsoft.Mashup.OleDb.1;Data Source=$Workbook$;Location=CostAG1_1DayShiftABSummary;Extended Properties=&quot;&quot;" command="SELECT * FROM [CostAG1_1DayShiftABSummary]"/>
  </connection>
  <connection id="3" xr16:uid="{4F9158E3-E150-4E76-AE67-F811C6BB12CF}" keepAlive="1" name="Query - CostPerDay" description="Connection to the 'CostPerDay' query in the workbook." type="5" refreshedVersion="8" background="1" saveData="1">
    <dbPr connection="Provider=Microsoft.Mashup.OleDb.1;Data Source=$Workbook$;Location=CostPerDay;Extended Properties=&quot;&quot;" command="SELECT * FROM [CostPerDay]"/>
  </connection>
  <connection id="4" xr16:uid="{7C7DD9F5-2C84-4A2E-9004-2CE2DC0395D7}" keepAlive="1" name="Query - EffortOutcomesAG1_1DayShiftAB" description="Connection to the 'EffortOutcomesAG1_1DayShiftAB' query in the workbook." type="5" refreshedVersion="8" background="1" saveData="1">
    <dbPr connection="Provider=Microsoft.Mashup.OleDb.1;Data Source=$Workbook$;Location=EffortOutcomesAG1_1DayShiftAB;Extended Properties=&quot;&quot;" command="SELECT * FROM [EffortOutcomesAG1_1DayShiftAB]"/>
  </connection>
  <connection id="5" xr16:uid="{C4D1A26F-25A3-41E9-AD72-66A401EF7212}" keepAlive="1" name="Query - PermutationDimensions" description="Connection to the 'PermutationDimensions' query in the workbook." type="5" refreshedVersion="0" background="1">
    <dbPr connection="Provider=Microsoft.Mashup.OleDb.1;Data Source=$Workbook$;Location=PermutationDimensions;Extended Properties=&quot;&quot;" command="SELECT * FROM [PermutationDimensions]"/>
  </connection>
  <connection id="6" xr16:uid="{1C1776CB-B819-473A-8FF3-14A4463C74E1}" keepAlive="1" name="Query - Rates" description="Connection to the 'Rates' query in the workbook." type="5" refreshedVersion="0" background="1">
    <dbPr connection="Provider=Microsoft.Mashup.OleDb.1;Data Source=$Workbook$;Location=Rates;Extended Properties=&quot;&quot;" command="SELECT * FROM [Rates]"/>
  </connection>
  <connection id="7" xr16:uid="{468E6618-46A5-44BA-8DDE-8522C6640A98}" keepAlive="1" name="Query - RatesDelta" description="Connection to the 'RatesDelta' query in the workbook." type="5" refreshedVersion="0" background="1">
    <dbPr connection="Provider=Microsoft.Mashup.OleDb.1;Data Source=$Workbook$;Location=RatesDelta;Extended Properties=&quot;&quot;" command="SELECT * FROM [RatesDelta]"/>
  </connection>
  <connection id="8" xr16:uid="{E5C010AB-6A87-4A7F-9860-56A32126BD0B}" keepAlive="1" name="Query - Saving" description="Connection to the 'Saving' query in the workbook." type="5" refreshedVersion="8" background="1" saveData="1">
    <dbPr connection="Provider=Microsoft.Mashup.OleDb.1;Data Source=$Workbook$;Location=Saving;Extended Properties=&quot;&quot;" command="SELECT * FROM [Saving]"/>
  </connection>
  <connection id="9" xr16:uid="{E01485BC-F39A-4B1E-9C7D-CFA878F2B9D4}" keepAlive="1" name="Query - SavingFacilityDay" description="Connection to the 'SavingFacilityDay' query in the workbook." type="5" refreshedVersion="8" background="1" saveData="1">
    <dbPr connection="Provider=Microsoft.Mashup.OleDb.1;Data Source=$Workbook$;Location=SavingFacilityDay;Extended Properties=&quot;&quot;" command="SELECT * FROM [SavingFacilityDay]"/>
  </connection>
  <connection id="10" xr16:uid="{7A26F0C0-E53B-475D-93E1-4F732E8420AF}" keepAlive="1" name="Query - ShiftHrs" description="Connection to the 'ShiftHrs' query in the workbook." type="5" refreshedVersion="0" background="1">
    <dbPr connection="Provider=Microsoft.Mashup.OleDb.1;Data Source=$Workbook$;Location=ShiftHrs;Extended Properties=&quot;&quot;" command="SELECT * FROM [ShiftHrs]"/>
  </connection>
  <connection id="11" xr16:uid="{4DF768C6-540A-42F7-A7E5-BE742E1C5FBB}" keepAlive="1" name="Query - TargetDailyRate" description="Connection to the 'TargetDailyRate' query in the workbook." type="5" refreshedVersion="0" background="1">
    <dbPr connection="Provider=Microsoft.Mashup.OleDb.1;Data Source=$Workbook$;Location=TargetDailyRate;Extended Properties=&quot;&quot;" command="SELECT * FROM [TargetDailyRate]"/>
  </connection>
  <connection id="12" xr16:uid="{B39ACE7F-62E7-4A03-B8E3-991D45780D4C}" keepAlive="1" name="Query - TargetRatebyDate" description="Connection to the 'TargetRatebyDate' query in the workbook." type="5" refreshedVersion="8" background="1" saveData="1">
    <dbPr connection="Provider=Microsoft.Mashup.OleDb.1;Data Source=$Workbook$;Location=TargetRatebyDate;Extended Properties=&quot;&quot;" command="SELECT * FROM [TargetRatebyDate]"/>
  </connection>
  <connection id="13" xr16:uid="{BEFAF6F0-05A7-4F41-B388-0E5925AAA7E0}" keepAlive="1" name="Query - UnitL1PathTABLE" description="Connection to the 'UnitL1PathTABLE' query in the workbook." type="5" refreshedVersion="8" background="1" saveData="1">
    <dbPr connection="Provider=Microsoft.Mashup.OleDb.1;Data Source=$Workbook$;Location=UnitL1PathTABLE;Extended Properties=&quot;&quot;" command="SELECT * FROM [UnitL1PathTABL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<sst xmlns="http://schemas.openxmlformats.org/spreadsheetml/2006/main" count="5783" uniqueCount="248">
  <si>
    <t>Date</t>
  </si>
  <si>
    <t>Role</t>
  </si>
  <si>
    <t>D</t>
  </si>
  <si>
    <t>Cs</t>
  </si>
  <si>
    <t>CX</t>
  </si>
  <si>
    <t>A</t>
  </si>
  <si>
    <t>Apn</t>
  </si>
  <si>
    <t>Apx</t>
  </si>
  <si>
    <t>Ai</t>
  </si>
  <si>
    <t>AB Potential</t>
  </si>
  <si>
    <t>AM</t>
  </si>
  <si>
    <t>NIGHT</t>
  </si>
  <si>
    <t>PM</t>
  </si>
  <si>
    <t>RN</t>
  </si>
  <si>
    <t>L1.1</t>
  </si>
  <si>
    <t>L1.2</t>
  </si>
  <si>
    <t>EXCESS OVER-ALLOCATION</t>
  </si>
  <si>
    <t>SPARE STRETCH</t>
  </si>
  <si>
    <t>SPARE SLACK</t>
  </si>
  <si>
    <t>SPARE STRETCH ALLOCATED</t>
  </si>
  <si>
    <t>SPARE SLACK ALLOCATED</t>
  </si>
  <si>
    <t>EXCESS STRETCH (ALLOCATED)</t>
  </si>
  <si>
    <t>EXCESS ALLOCATED SLACK</t>
  </si>
  <si>
    <t>EXCESS STRETCH</t>
  </si>
  <si>
    <t>EXCESS SLACK</t>
  </si>
  <si>
    <t>POTENTIAL SHORTFALL (OVER-ALLOCATED)</t>
  </si>
  <si>
    <t>POTENTIAL SHORTFALL</t>
  </si>
  <si>
    <t>WASTED STRETCH</t>
  </si>
  <si>
    <t>WASTED SLACK</t>
  </si>
  <si>
    <t>ALLOCATED STRETCH</t>
  </si>
  <si>
    <t>ALLOCATED SLACK</t>
  </si>
  <si>
    <t>UNALLOCATED SLACK</t>
  </si>
  <si>
    <t>LATENT</t>
  </si>
  <si>
    <t>LATENT.ALLOCATED</t>
  </si>
  <si>
    <t>LATENT.OVERALLOCATED</t>
  </si>
  <si>
    <t>Rate</t>
  </si>
  <si>
    <t>OTLoading</t>
  </si>
  <si>
    <t>AgencyPremium</t>
  </si>
  <si>
    <t>ExcessAllocation</t>
  </si>
  <si>
    <t>Shortage</t>
  </si>
  <si>
    <t>PlannedOvertime</t>
  </si>
  <si>
    <t>UnnecessaryAllocation$</t>
  </si>
  <si>
    <t>ShortageReplacement$</t>
  </si>
  <si>
    <t>Overtime$</t>
  </si>
  <si>
    <t>InefficiencyCost</t>
  </si>
  <si>
    <t>CapacityMaxHC</t>
  </si>
  <si>
    <t>DATESHIFT</t>
  </si>
  <si>
    <t>Carer</t>
  </si>
  <si>
    <t>Registered Nurse</t>
  </si>
  <si>
    <t>Use of Agency Labour</t>
  </si>
  <si>
    <t>Village:</t>
  </si>
  <si>
    <t>BENHOME</t>
  </si>
  <si>
    <t>Variance to GST</t>
  </si>
  <si>
    <t>For the fortnight ending:</t>
  </si>
  <si>
    <t>4.6.2023</t>
  </si>
  <si>
    <t>Must complete all shaded cells</t>
  </si>
  <si>
    <t>Incl / Excl Invoice?</t>
  </si>
  <si>
    <t>22.5.23</t>
  </si>
  <si>
    <t>23.5.23</t>
  </si>
  <si>
    <t>24.5.23</t>
  </si>
  <si>
    <t>25.5.23</t>
  </si>
  <si>
    <t>26.5.23</t>
  </si>
  <si>
    <t>27.5.23</t>
  </si>
  <si>
    <t>28.5.23</t>
  </si>
  <si>
    <t>29.5.23</t>
  </si>
  <si>
    <t>30.5.23</t>
  </si>
  <si>
    <t>31.5.23</t>
  </si>
  <si>
    <t>1.6.23</t>
  </si>
  <si>
    <t>2.6.23</t>
  </si>
  <si>
    <t>3.6.23</t>
  </si>
  <si>
    <t>4.6.23</t>
  </si>
  <si>
    <t>Variance to GST Excl. Inv</t>
  </si>
  <si>
    <t>Name of Agency Company</t>
  </si>
  <si>
    <t>Agency staff name</t>
  </si>
  <si>
    <t>Classication</t>
  </si>
  <si>
    <t>Shift</t>
  </si>
  <si>
    <t>Billable Hourly Rate</t>
  </si>
  <si>
    <t>Mon</t>
  </si>
  <si>
    <t>Tue</t>
  </si>
  <si>
    <t>Wed</t>
  </si>
  <si>
    <t>Thu</t>
  </si>
  <si>
    <t>Fri</t>
  </si>
  <si>
    <t>Sat</t>
  </si>
  <si>
    <t>Sun</t>
  </si>
  <si>
    <t>Total Hours</t>
  </si>
  <si>
    <t>Total Cost Excl. GST</t>
  </si>
  <si>
    <r>
      <t xml:space="preserve">Total Cost </t>
    </r>
    <r>
      <rPr>
        <b/>
        <sz val="13"/>
        <color rgb="FF0000FF"/>
        <rFont val="Calibri"/>
        <family val="2"/>
        <scheme val="minor"/>
      </rPr>
      <t>Incl. GST</t>
    </r>
  </si>
  <si>
    <t>Cost per Invoice</t>
  </si>
  <si>
    <t>Variance</t>
  </si>
  <si>
    <t>Explanation</t>
  </si>
  <si>
    <t>NN</t>
  </si>
  <si>
    <t>Sarah Hamilton</t>
  </si>
  <si>
    <t>Rate should have been $80/hr</t>
  </si>
  <si>
    <t>Vacant Shift</t>
  </si>
  <si>
    <t>HCA</t>
  </si>
  <si>
    <t>Suzanne Asquith</t>
  </si>
  <si>
    <t>Night</t>
  </si>
  <si>
    <t>EN</t>
  </si>
  <si>
    <t>Raj Tung</t>
  </si>
  <si>
    <t>Extra hour worked due to buddy shifts</t>
  </si>
  <si>
    <t>Other</t>
  </si>
  <si>
    <t>Anna Sithole</t>
  </si>
  <si>
    <t>Kathryn Bevan</t>
  </si>
  <si>
    <t>PH</t>
  </si>
  <si>
    <t>Brenda Karmi</t>
  </si>
  <si>
    <t>Divia Sitoula</t>
  </si>
  <si>
    <t>Terry Surjan</t>
  </si>
  <si>
    <t>Megala Devi</t>
  </si>
  <si>
    <t>Hardeep Kaur</t>
  </si>
  <si>
    <t>Raman Kaur</t>
  </si>
  <si>
    <t>Total</t>
  </si>
  <si>
    <t>Completed By:</t>
  </si>
  <si>
    <t>Kristin Smith</t>
  </si>
  <si>
    <t>Date:</t>
  </si>
  <si>
    <t>5.6.23</t>
  </si>
  <si>
    <t>General Manager</t>
  </si>
  <si>
    <t>Approved By:</t>
  </si>
  <si>
    <t>Regional General Manager</t>
  </si>
  <si>
    <t>Weekday</t>
  </si>
  <si>
    <t>Saturday</t>
  </si>
  <si>
    <t>Sunday</t>
  </si>
  <si>
    <t>Agency</t>
  </si>
  <si>
    <t>Workers</t>
  </si>
  <si>
    <t>Period</t>
  </si>
  <si>
    <t>Day Name</t>
  </si>
  <si>
    <t>Monday</t>
  </si>
  <si>
    <t>Tuesday</t>
  </si>
  <si>
    <t>Wednesday</t>
  </si>
  <si>
    <t>Thursday</t>
  </si>
  <si>
    <t>Friday</t>
  </si>
  <si>
    <t xml:space="preserve">Saturday </t>
  </si>
  <si>
    <t xml:space="preserve">Sunday </t>
  </si>
  <si>
    <t>Rates.Attribute</t>
  </si>
  <si>
    <t>Rates.Value</t>
  </si>
  <si>
    <t>RoleCost</t>
  </si>
  <si>
    <t>Facility</t>
  </si>
  <si>
    <t>Berry</t>
  </si>
  <si>
    <t>MAIT</t>
  </si>
  <si>
    <t>ExcessAllocation-Reaslistic</t>
  </si>
  <si>
    <t>Shortage-Realistic</t>
  </si>
  <si>
    <t>UnnecessaryAllocation</t>
  </si>
  <si>
    <t>Shortage Replacement</t>
  </si>
  <si>
    <t>OT</t>
  </si>
  <si>
    <t>SharedPath</t>
  </si>
  <si>
    <t>Client</t>
  </si>
  <si>
    <t>Version</t>
  </si>
  <si>
    <t>TargetRate</t>
  </si>
  <si>
    <t>Savings</t>
  </si>
  <si>
    <t>ShiftDurations.ShiftDuration</t>
  </si>
  <si>
    <t>AIN</t>
  </si>
  <si>
    <t>X</t>
  </si>
  <si>
    <t>AINC4</t>
  </si>
  <si>
    <t>Count</t>
  </si>
  <si>
    <t>Cost per Resident</t>
  </si>
  <si>
    <t>DateX</t>
  </si>
  <si>
    <t>Variable Name</t>
  </si>
  <si>
    <t>Value</t>
  </si>
  <si>
    <t>UserName</t>
  </si>
  <si>
    <t>Root Path</t>
  </si>
  <si>
    <t>FilePathUrl</t>
  </si>
  <si>
    <t>Unit</t>
  </si>
  <si>
    <t>Unit1</t>
  </si>
  <si>
    <t>FileName</t>
  </si>
  <si>
    <t>20/07/2026NIGHT</t>
  </si>
  <si>
    <t>20/07/2026PM</t>
  </si>
  <si>
    <t>20/07/2026AM</t>
  </si>
  <si>
    <t>Unit2</t>
  </si>
  <si>
    <t>21/07/2026NIGHT</t>
  </si>
  <si>
    <t>21/07/2026AM</t>
  </si>
  <si>
    <t>21/07/2026PM</t>
  </si>
  <si>
    <t>22/07/2026AM</t>
  </si>
  <si>
    <t>22/07/2026PM</t>
  </si>
  <si>
    <t>22/07/2026NIGHT</t>
  </si>
  <si>
    <t>23/07/2026PM</t>
  </si>
  <si>
    <t>23/07/2026AM</t>
  </si>
  <si>
    <t>23/07/2026NIGHT</t>
  </si>
  <si>
    <t>24/07/2026AM</t>
  </si>
  <si>
    <t>24/07/2026NIGHT</t>
  </si>
  <si>
    <t>24/07/2026PM</t>
  </si>
  <si>
    <t>25/07/2026AM</t>
  </si>
  <si>
    <t>25/07/2026NIGHT</t>
  </si>
  <si>
    <t>25/07/2026PM</t>
  </si>
  <si>
    <t>26/07/2026NIGHT</t>
  </si>
  <si>
    <t>26/07/2026PM</t>
  </si>
  <si>
    <t>26/07/2026AM</t>
  </si>
  <si>
    <t>27/07/2026PM</t>
  </si>
  <si>
    <t>27/07/2026AM</t>
  </si>
  <si>
    <t>27/07/2026NIGHT</t>
  </si>
  <si>
    <t>28/07/2026PM</t>
  </si>
  <si>
    <t>28/07/2026NIGHT</t>
  </si>
  <si>
    <t>28/07/2026AM</t>
  </si>
  <si>
    <t>29/07/2026NIGHT</t>
  </si>
  <si>
    <t>29/07/2026PM</t>
  </si>
  <si>
    <t>29/07/2026AM</t>
  </si>
  <si>
    <t>30/07/2026PM</t>
  </si>
  <si>
    <t>30/07/2026AM</t>
  </si>
  <si>
    <t>30/07/2026NIGHT</t>
  </si>
  <si>
    <t>31/07/2026AM</t>
  </si>
  <si>
    <t>31/07/2026NIGHT</t>
  </si>
  <si>
    <t>31/07/2026PM</t>
  </si>
  <si>
    <t>1/08/2026AM</t>
  </si>
  <si>
    <t>1/08/2026PM</t>
  </si>
  <si>
    <t>1/08/2026NIGHT</t>
  </si>
  <si>
    <t>2/08/2026PM</t>
  </si>
  <si>
    <t>2/08/2026NIGHT</t>
  </si>
  <si>
    <t>2/08/2026AM</t>
  </si>
  <si>
    <t>3/08/2026AM</t>
  </si>
  <si>
    <t>3/08/2026NIGHT</t>
  </si>
  <si>
    <t>3/08/2026PM</t>
  </si>
  <si>
    <t>4/08/2026PM</t>
  </si>
  <si>
    <t>4/08/2026NIGHT</t>
  </si>
  <si>
    <t>4/08/2026AM</t>
  </si>
  <si>
    <t>5/08/2026NIGHT</t>
  </si>
  <si>
    <t>5/08/2026PM</t>
  </si>
  <si>
    <t>5/08/2026AM</t>
  </si>
  <si>
    <t>6/08/2026NIGHT</t>
  </si>
  <si>
    <t>6/08/2026AM</t>
  </si>
  <si>
    <t>6/08/2026PM</t>
  </si>
  <si>
    <t>7/08/2026PM</t>
  </si>
  <si>
    <t>7/08/2026NIGHT</t>
  </si>
  <si>
    <t>7/08/2026AM</t>
  </si>
  <si>
    <t>8/08/2026PM</t>
  </si>
  <si>
    <t>8/08/2026AM</t>
  </si>
  <si>
    <t>8/08/2026NIGHT</t>
  </si>
  <si>
    <t>9/08/2026PM</t>
  </si>
  <si>
    <t>9/08/2026AM</t>
  </si>
  <si>
    <t>9/08/2026NIGHT</t>
  </si>
  <si>
    <t>10/08/2026AM</t>
  </si>
  <si>
    <t>10/08/2026NIGHT</t>
  </si>
  <si>
    <t>10/08/2026PM</t>
  </si>
  <si>
    <t>11/08/2026PM</t>
  </si>
  <si>
    <t>11/08/2026AM</t>
  </si>
  <si>
    <t>11/08/2026NIGHT</t>
  </si>
  <si>
    <t>12/08/2026AM</t>
  </si>
  <si>
    <t>12/08/2026NIGHT</t>
  </si>
  <si>
    <t>12/08/2026PM</t>
  </si>
  <si>
    <t>13/08/2026PM</t>
  </si>
  <si>
    <t>13/08/2026NIGHT</t>
  </si>
  <si>
    <t>13/08/2026AM</t>
  </si>
  <si>
    <t>14/08/2026PM</t>
  </si>
  <si>
    <t>14/08/2026NIGHT</t>
  </si>
  <si>
    <t>14/08/2026AM</t>
  </si>
  <si>
    <t>15/08/2026PM</t>
  </si>
  <si>
    <t>15/08/2026NIGHT</t>
  </si>
  <si>
    <t>15/08/2026AM</t>
  </si>
  <si>
    <t>16/08/2026AM</t>
  </si>
  <si>
    <t>16/08/2026NIGHT</t>
  </si>
  <si>
    <t>16/08/2026PM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</si>
</sst>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8" formatCode="&quot;$&quot;#,##0.00;[Red]\-&quot;$&quot;#,##0.00"/>
    <numFmt numFmtId="44" formatCode="_-&quot;$&quot;* #,##0.00_-;\-&quot;$&quot;* #,##0.00_-;_-&quot;$&quot;* &quot;-&quot;??_-;_-@_-"/>
    <numFmt numFmtId="43" formatCode="_-* #,##0.00_-;\-* #,##0.00_-;_-* &quot;-&quot;??_-;_-@_-"/>
    <numFmt numFmtId="164" formatCode="_-* #,##0.0_-;\-* #,##0.0_-;_-* &quot;-&quot;??_-;_-@_-"/>
    <numFmt numFmtId="165" formatCode="_-&quot;$&quot;* #,##0_-;\-&quot;$&quot;* #,##0_-;_-&quot;$&quot;* &quot;-&quot;??_-;_-@_-"/>
    <numFmt numFmtId="166" formatCode="0.0%"/>
  </numFmts>
  <fonts count="27" x14ac:knownFonts="1">
    <font>
      <sz val="11"/>
      <color theme="1"/>
      <name val="Calibri"/>
      <family val="2"/>
      <scheme val="minor"/>
    </font>
    <font>
      <sz val="10"/>
      <color rgb="FF000000"/>
      <name val="Times New Roman"/>
      <family val="1"/>
    </font>
    <font>
      <sz val="10"/>
      <color rgb="FFFF0000"/>
      <name val="Times New Roman"/>
      <family val="1"/>
    </font>
    <font>
      <sz val="10"/>
      <color theme="4"/>
      <name val="Times New Roman"/>
      <family val="1"/>
    </font>
    <font>
      <sz val="10"/>
      <color theme="0" tint="-0.499984740745262"/>
      <name val="Times New Roman"/>
      <family val="1"/>
    </font>
    <font>
      <sz val="10"/>
      <color theme="8"/>
      <name val="Times New Roman"/>
      <family val="1"/>
    </font>
    <font>
      <sz val="11"/>
      <color theme="1"/>
      <name val="Calibri"/>
      <family val="2"/>
      <scheme val="minor"/>
    </font>
    <font>
      <b/>
      <sz val="11"/>
      <color theme="1"/>
      <name val="Calibri"/>
      <family val="2"/>
      <scheme val="minor"/>
    </font>
    <font>
      <b/>
      <sz val="18"/>
      <color theme="1"/>
      <name val="Arial"/>
      <family val="2"/>
    </font>
    <font>
      <b/>
      <sz val="13"/>
      <color theme="1"/>
      <name val="Arial"/>
      <family val="2"/>
    </font>
    <font>
      <b/>
      <sz val="14"/>
      <color theme="1"/>
      <name val="Arial"/>
      <family val="2"/>
    </font>
    <font>
      <b/>
      <sz val="14"/>
      <color rgb="FF0000FF"/>
      <name val="Calibri"/>
      <family val="2"/>
      <scheme val="minor"/>
    </font>
    <font>
      <sz val="11"/>
      <color rgb="FF0000FF"/>
      <name val="Calibri"/>
      <family val="2"/>
      <scheme val="minor"/>
    </font>
    <font>
      <b/>
      <sz val="16"/>
      <color rgb="FF0000FF"/>
      <name val="Calibri"/>
      <family val="2"/>
      <scheme val="minor"/>
    </font>
    <font>
      <b/>
      <sz val="12"/>
      <color theme="1"/>
      <name val="Calibri"/>
      <family val="2"/>
      <scheme val="minor"/>
    </font>
    <font>
      <b/>
      <sz val="13"/>
      <color theme="1"/>
      <name val="Calibri"/>
      <family val="2"/>
      <scheme val="minor"/>
    </font>
    <font>
      <b/>
      <sz val="13"/>
      <color rgb="FF0000FF"/>
      <name val="Calibri"/>
      <family val="2"/>
      <scheme val="minor"/>
    </font>
    <font>
      <sz val="12"/>
      <color theme="1"/>
      <name val="Arial"/>
      <family val="2"/>
    </font>
    <font>
      <sz val="11"/>
      <color theme="1"/>
      <name val="Arial"/>
      <family val="2"/>
    </font>
    <font>
      <b/>
      <sz val="12"/>
      <color theme="1"/>
      <name val="Arial"/>
      <family val="2"/>
    </font>
    <font>
      <b/>
      <sz val="11"/>
      <color theme="1"/>
      <name val="Arial"/>
      <family val="2"/>
    </font>
    <font>
      <sz val="12"/>
      <color rgb="FF0000FF"/>
      <name val="Arial"/>
      <family val="2"/>
    </font>
    <font>
      <b/>
      <sz val="12"/>
      <color rgb="FF0000FF"/>
      <name val="Arial"/>
      <family val="2"/>
    </font>
    <font>
      <b/>
      <sz val="11"/>
      <color rgb="FF0000FF"/>
      <name val="Arial"/>
      <family val="2"/>
    </font>
    <font>
      <sz val="8"/>
      <name val="Calibri"/>
      <family val="2"/>
      <scheme val="minor"/>
    </font>
    <font>
      <sz val="11"/>
      <color theme="8"/>
      <name val="Calibri"/>
      <family val="2"/>
      <scheme val="minor"/>
    </font>
    <font>
      <sz val="5"/>
      <color theme="4"/>
      <name val="Muli"/>
    </font>
  </fonts>
  <fills count="6">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
      <patternFill patternType="solid">
        <fgColor theme="7" tint="0.79998168889431442"/>
        <bgColor indexed="64"/>
      </patternFill>
    </fill>
    <fill>
      <patternFill patternType="solid">
        <fgColor rgb="FFFFFF00"/>
        <bgColor indexed="64"/>
      </patternFill>
    </fill>
  </fills>
  <borders count="32">
    <border>
      <left/>
      <right/>
      <top/>
      <bottom/>
      <diagonal/>
    </border>
    <border>
      <left/>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double">
        <color indexed="64"/>
      </right>
      <top style="hair">
        <color indexed="64"/>
      </top>
      <bottom style="hair">
        <color indexed="64"/>
      </bottom>
      <diagonal/>
    </border>
    <border>
      <left/>
      <right style="thin">
        <color indexed="64"/>
      </right>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style="thin">
        <color indexed="64"/>
      </bottom>
      <diagonal/>
    </border>
    <border>
      <left style="thin">
        <color indexed="64"/>
      </left>
      <right style="double">
        <color indexed="64"/>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thin">
        <color indexed="64"/>
      </right>
      <top/>
      <bottom style="double">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s>
  <cellStyleXfs count="5">
    <xf numFmtId="0" fontId="0" fillId="0" borderId="0"/>
    <xf numFmtId="0" fontId="1" fillId="0" borderId="0"/>
    <xf numFmtId="43" fontId="6" fillId="0" borderId="0" applyFont="0" applyFill="0" applyBorder="0" applyAlignment="0" applyProtection="0"/>
    <xf numFmtId="44" fontId="6" fillId="0" borderId="0" applyFont="0" applyFill="0" applyBorder="0" applyAlignment="0" applyProtection="0"/>
    <xf numFmtId="9" fontId="6" fillId="0" borderId="0" applyFont="0" applyFill="0" applyBorder="0" applyAlignment="0" applyProtection="0"/>
  </cellStyleXfs>
  <cellXfs count="144">
    <xf numFmtId="0" fontId="0" fillId="0" borderId="0" xfId="0"/>
    <xf numFmtId="14" fontId="0" fillId="0" borderId="0" xfId="0" applyNumberFormat="1"/>
    <xf numFmtId="0" fontId="2" fillId="0" borderId="0" xfId="1" applyFont="1" applyAlignment="1">
      <alignment horizontal="left" vertical="top"/>
    </xf>
    <xf numFmtId="0" fontId="1" fillId="0" borderId="0" xfId="1" applyAlignment="1">
      <alignment horizontal="left" vertical="top"/>
    </xf>
    <xf numFmtId="0" fontId="3" fillId="0" borderId="0" xfId="1" applyFont="1" applyAlignment="1">
      <alignment horizontal="left" vertical="top"/>
    </xf>
    <xf numFmtId="0" fontId="4" fillId="0" borderId="0" xfId="1" applyFont="1" applyAlignment="1">
      <alignment horizontal="left" vertical="top"/>
    </xf>
    <xf numFmtId="0" fontId="5" fillId="0" borderId="0" xfId="1" applyFont="1" applyAlignment="1">
      <alignment horizontal="left" vertical="top"/>
    </xf>
    <xf numFmtId="0" fontId="0" fillId="2" borderId="1" xfId="0" applyFill="1" applyBorder="1"/>
    <xf numFmtId="0" fontId="0" fillId="0" borderId="1" xfId="0" applyBorder="1"/>
    <xf numFmtId="0" fontId="0" fillId="3" borderId="0" xfId="0" applyFill="1"/>
    <xf numFmtId="0" fontId="9" fillId="3" borderId="2" xfId="0" applyFont="1" applyFill="1" applyBorder="1" applyAlignment="1">
      <alignment horizontal="left" indent="1"/>
    </xf>
    <xf numFmtId="0" fontId="10" fillId="4" borderId="3" xfId="0" applyFont="1" applyFill="1" applyBorder="1" applyAlignment="1" applyProtection="1">
      <alignment horizontal="center"/>
      <protection locked="0"/>
    </xf>
    <xf numFmtId="0" fontId="11" fillId="3" borderId="0" xfId="0" applyFont="1" applyFill="1" applyAlignment="1">
      <alignment horizontal="left"/>
    </xf>
    <xf numFmtId="0" fontId="0" fillId="3" borderId="0" xfId="0" applyFill="1" applyAlignment="1">
      <alignment horizontal="center"/>
    </xf>
    <xf numFmtId="0" fontId="12" fillId="3" borderId="0" xfId="0" applyFont="1" applyFill="1" applyAlignment="1">
      <alignment horizontal="center"/>
    </xf>
    <xf numFmtId="0" fontId="9" fillId="3" borderId="4" xfId="0" applyFont="1" applyFill="1" applyBorder="1" applyAlignment="1">
      <alignment horizontal="left" indent="1"/>
    </xf>
    <xf numFmtId="14" fontId="10" fillId="4" borderId="5" xfId="0" applyNumberFormat="1" applyFont="1" applyFill="1" applyBorder="1" applyAlignment="1" applyProtection="1">
      <alignment horizontal="center"/>
      <protection locked="0"/>
    </xf>
    <xf numFmtId="0" fontId="13" fillId="3" borderId="0" xfId="0" applyFont="1" applyFill="1" applyAlignment="1">
      <alignment horizontal="left"/>
    </xf>
    <xf numFmtId="14" fontId="0" fillId="3" borderId="0" xfId="0" applyNumberFormat="1" applyFill="1" applyAlignment="1">
      <alignment horizontal="center"/>
    </xf>
    <xf numFmtId="0" fontId="14" fillId="3" borderId="0" xfId="0" applyFont="1" applyFill="1"/>
    <xf numFmtId="0" fontId="0" fillId="5" borderId="0" xfId="0" applyFill="1" applyAlignment="1" applyProtection="1">
      <alignment horizontal="center"/>
      <protection locked="0"/>
    </xf>
    <xf numFmtId="0" fontId="15" fillId="0" borderId="6" xfId="0" applyFont="1" applyBorder="1" applyAlignment="1">
      <alignment horizontal="center" vertical="center" wrapText="1"/>
    </xf>
    <xf numFmtId="0" fontId="14" fillId="0" borderId="7" xfId="0" applyFont="1" applyBorder="1" applyAlignment="1">
      <alignment horizontal="center" vertical="center" wrapText="1"/>
    </xf>
    <xf numFmtId="0" fontId="15" fillId="0" borderId="8" xfId="0" applyFont="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horizontal="center" vertical="center" wrapText="1"/>
    </xf>
    <xf numFmtId="0" fontId="14" fillId="3" borderId="0" xfId="0" applyFont="1" applyFill="1" applyAlignment="1">
      <alignment vertical="center"/>
    </xf>
    <xf numFmtId="0" fontId="14" fillId="0" borderId="0" xfId="0" applyFont="1" applyAlignment="1">
      <alignment vertical="center"/>
    </xf>
    <xf numFmtId="0" fontId="17" fillId="4" borderId="9" xfId="0" applyFont="1" applyFill="1" applyBorder="1" applyAlignment="1" applyProtection="1">
      <alignment horizontal="left" indent="1"/>
      <protection locked="0"/>
    </xf>
    <xf numFmtId="0" fontId="18" fillId="4" borderId="9" xfId="0" applyFont="1" applyFill="1" applyBorder="1" applyAlignment="1" applyProtection="1">
      <alignment horizontal="left" indent="1"/>
      <protection locked="0"/>
    </xf>
    <xf numFmtId="44" fontId="19" fillId="4" borderId="10" xfId="3" applyFont="1" applyFill="1" applyBorder="1" applyProtection="1">
      <protection locked="0"/>
    </xf>
    <xf numFmtId="164" fontId="17" fillId="4" borderId="11" xfId="2" applyNumberFormat="1" applyFont="1" applyFill="1" applyBorder="1" applyProtection="1">
      <protection locked="0"/>
    </xf>
    <xf numFmtId="164" fontId="17" fillId="4" borderId="10" xfId="2" applyNumberFormat="1" applyFont="1" applyFill="1" applyBorder="1" applyProtection="1">
      <protection locked="0"/>
    </xf>
    <xf numFmtId="164" fontId="17" fillId="0" borderId="12" xfId="0" applyNumberFormat="1" applyFont="1" applyBorder="1"/>
    <xf numFmtId="165" fontId="17" fillId="0" borderId="9" xfId="3" applyNumberFormat="1" applyFont="1" applyBorder="1" applyProtection="1"/>
    <xf numFmtId="165" fontId="19" fillId="4" borderId="13" xfId="3" applyNumberFormat="1" applyFont="1" applyFill="1" applyBorder="1" applyProtection="1">
      <protection locked="0"/>
    </xf>
    <xf numFmtId="6" fontId="19" fillId="3" borderId="9" xfId="3" applyNumberFormat="1" applyFont="1" applyFill="1" applyBorder="1" applyProtection="1"/>
    <xf numFmtId="164" fontId="17" fillId="4" borderId="12" xfId="2" applyNumberFormat="1" applyFont="1" applyFill="1" applyBorder="1" applyAlignment="1" applyProtection="1">
      <alignment horizontal="left" wrapText="1"/>
      <protection locked="0"/>
    </xf>
    <xf numFmtId="164" fontId="17" fillId="0" borderId="14" xfId="0" applyNumberFormat="1" applyFont="1" applyBorder="1"/>
    <xf numFmtId="165" fontId="19" fillId="4" borderId="9" xfId="3" applyNumberFormat="1" applyFont="1" applyFill="1" applyBorder="1" applyProtection="1">
      <protection locked="0"/>
    </xf>
    <xf numFmtId="164" fontId="17" fillId="4" borderId="14" xfId="2" applyNumberFormat="1" applyFont="1" applyFill="1" applyBorder="1" applyAlignment="1" applyProtection="1">
      <alignment horizontal="left" wrapText="1"/>
      <protection locked="0"/>
    </xf>
    <xf numFmtId="0" fontId="17" fillId="4" borderId="15" xfId="0" applyFont="1" applyFill="1" applyBorder="1" applyAlignment="1" applyProtection="1">
      <alignment horizontal="left" indent="1"/>
      <protection locked="0"/>
    </xf>
    <xf numFmtId="44" fontId="19" fillId="4" borderId="16" xfId="3" applyFont="1" applyFill="1" applyBorder="1" applyProtection="1">
      <protection locked="0"/>
    </xf>
    <xf numFmtId="164" fontId="17" fillId="4" borderId="14" xfId="2" applyNumberFormat="1" applyFont="1" applyFill="1" applyBorder="1" applyProtection="1">
      <protection locked="0"/>
    </xf>
    <xf numFmtId="164" fontId="17" fillId="4" borderId="9" xfId="2" applyNumberFormat="1" applyFont="1" applyFill="1" applyBorder="1" applyProtection="1">
      <protection locked="0"/>
    </xf>
    <xf numFmtId="164" fontId="17" fillId="4" borderId="16" xfId="2" applyNumberFormat="1" applyFont="1" applyFill="1" applyBorder="1" applyProtection="1">
      <protection locked="0"/>
    </xf>
    <xf numFmtId="164" fontId="17" fillId="0" borderId="17" xfId="0" applyNumberFormat="1" applyFont="1" applyBorder="1"/>
    <xf numFmtId="165" fontId="17" fillId="0" borderId="15" xfId="3" applyNumberFormat="1" applyFont="1" applyBorder="1" applyProtection="1"/>
    <xf numFmtId="165" fontId="19" fillId="4" borderId="15" xfId="3" applyNumberFormat="1" applyFont="1" applyFill="1" applyBorder="1" applyProtection="1">
      <protection locked="0"/>
    </xf>
    <xf numFmtId="6" fontId="19" fillId="3" borderId="15" xfId="3" applyNumberFormat="1" applyFont="1" applyFill="1" applyBorder="1" applyProtection="1"/>
    <xf numFmtId="164" fontId="17" fillId="4" borderId="17" xfId="2" applyNumberFormat="1" applyFont="1" applyFill="1" applyBorder="1" applyAlignment="1" applyProtection="1">
      <alignment horizontal="left" wrapText="1"/>
      <protection locked="0"/>
    </xf>
    <xf numFmtId="8" fontId="19" fillId="4" borderId="16" xfId="3" applyNumberFormat="1" applyFont="1" applyFill="1" applyBorder="1" applyProtection="1">
      <protection locked="0"/>
    </xf>
    <xf numFmtId="0" fontId="17" fillId="4" borderId="11" xfId="0" applyFont="1" applyFill="1" applyBorder="1" applyAlignment="1" applyProtection="1">
      <alignment horizontal="left" indent="1"/>
      <protection locked="0"/>
    </xf>
    <xf numFmtId="164" fontId="17" fillId="4" borderId="18" xfId="2" applyNumberFormat="1" applyFont="1" applyFill="1" applyBorder="1" applyProtection="1">
      <protection locked="0"/>
    </xf>
    <xf numFmtId="165" fontId="17" fillId="0" borderId="11" xfId="3" applyNumberFormat="1" applyFont="1" applyBorder="1" applyProtection="1"/>
    <xf numFmtId="165" fontId="19" fillId="4" borderId="11" xfId="3" applyNumberFormat="1" applyFont="1" applyFill="1" applyBorder="1" applyProtection="1">
      <protection locked="0"/>
    </xf>
    <xf numFmtId="6" fontId="19" fillId="3" borderId="11" xfId="3" applyNumberFormat="1" applyFont="1" applyFill="1" applyBorder="1" applyProtection="1"/>
    <xf numFmtId="164" fontId="17" fillId="4" borderId="18" xfId="2" applyNumberFormat="1" applyFont="1" applyFill="1" applyBorder="1" applyAlignment="1" applyProtection="1">
      <alignment horizontal="left" wrapText="1"/>
      <protection locked="0"/>
    </xf>
    <xf numFmtId="0" fontId="17" fillId="4" borderId="19" xfId="0" applyFont="1" applyFill="1" applyBorder="1" applyAlignment="1" applyProtection="1">
      <alignment horizontal="left" indent="1"/>
      <protection locked="0"/>
    </xf>
    <xf numFmtId="44" fontId="19" fillId="4" borderId="20" xfId="3" applyFont="1" applyFill="1" applyBorder="1" applyProtection="1">
      <protection locked="0"/>
    </xf>
    <xf numFmtId="164" fontId="17" fillId="4" borderId="21" xfId="2" applyNumberFormat="1" applyFont="1" applyFill="1" applyBorder="1" applyProtection="1">
      <protection locked="0"/>
    </xf>
    <xf numFmtId="164" fontId="17" fillId="4" borderId="19" xfId="2" applyNumberFormat="1" applyFont="1" applyFill="1" applyBorder="1" applyProtection="1">
      <protection locked="0"/>
    </xf>
    <xf numFmtId="164" fontId="17" fillId="4" borderId="20" xfId="2" applyNumberFormat="1" applyFont="1" applyFill="1" applyBorder="1" applyProtection="1">
      <protection locked="0"/>
    </xf>
    <xf numFmtId="164" fontId="17" fillId="0" borderId="21" xfId="0" applyNumberFormat="1" applyFont="1" applyBorder="1"/>
    <xf numFmtId="165" fontId="17" fillId="0" borderId="19" xfId="3" applyNumberFormat="1" applyFont="1" applyBorder="1" applyProtection="1"/>
    <xf numFmtId="165" fontId="19" fillId="4" borderId="19" xfId="3" applyNumberFormat="1" applyFont="1" applyFill="1" applyBorder="1" applyProtection="1">
      <protection locked="0"/>
    </xf>
    <xf numFmtId="6" fontId="19" fillId="3" borderId="19" xfId="3" applyNumberFormat="1" applyFont="1" applyFill="1" applyBorder="1" applyProtection="1"/>
    <xf numFmtId="164" fontId="17" fillId="4" borderId="21" xfId="2" applyNumberFormat="1" applyFont="1" applyFill="1" applyBorder="1" applyAlignment="1" applyProtection="1">
      <alignment horizontal="left" wrapText="1"/>
      <protection locked="0"/>
    </xf>
    <xf numFmtId="0" fontId="20" fillId="0" borderId="22" xfId="0" applyFont="1" applyBorder="1"/>
    <xf numFmtId="0" fontId="19" fillId="0" borderId="22" xfId="0" applyFont="1" applyBorder="1" applyAlignment="1">
      <alignment horizontal="right" indent="1"/>
    </xf>
    <xf numFmtId="44" fontId="20" fillId="0" borderId="23" xfId="3" applyFont="1" applyBorder="1" applyProtection="1"/>
    <xf numFmtId="164" fontId="19" fillId="0" borderId="24" xfId="2" applyNumberFormat="1" applyFont="1" applyBorder="1" applyProtection="1"/>
    <xf numFmtId="164" fontId="19" fillId="0" borderId="22" xfId="2" applyNumberFormat="1" applyFont="1" applyBorder="1" applyProtection="1"/>
    <xf numFmtId="164" fontId="19" fillId="0" borderId="23" xfId="2" applyNumberFormat="1" applyFont="1" applyBorder="1" applyProtection="1"/>
    <xf numFmtId="164" fontId="19" fillId="0" borderId="24" xfId="0" applyNumberFormat="1" applyFont="1" applyBorder="1"/>
    <xf numFmtId="165" fontId="19" fillId="0" borderId="22" xfId="3" applyNumberFormat="1" applyFont="1" applyBorder="1" applyProtection="1"/>
    <xf numFmtId="6" fontId="19" fillId="0" borderId="22" xfId="3" applyNumberFormat="1" applyFont="1" applyBorder="1" applyProtection="1"/>
    <xf numFmtId="0" fontId="21" fillId="3" borderId="15" xfId="0" applyFont="1" applyFill="1" applyBorder="1" applyAlignment="1">
      <alignment horizontal="left" indent="1"/>
    </xf>
    <xf numFmtId="0" fontId="22" fillId="3" borderId="15" xfId="0" applyFont="1" applyFill="1" applyBorder="1" applyAlignment="1">
      <alignment horizontal="right" indent="1"/>
    </xf>
    <xf numFmtId="0" fontId="22" fillId="3" borderId="15" xfId="0" applyFont="1" applyFill="1" applyBorder="1" applyAlignment="1">
      <alignment horizontal="left" indent="1"/>
    </xf>
    <xf numFmtId="44" fontId="22" fillId="3" borderId="25" xfId="3" applyFont="1" applyFill="1" applyBorder="1" applyProtection="1"/>
    <xf numFmtId="164" fontId="22" fillId="3" borderId="17" xfId="2" applyNumberFormat="1" applyFont="1" applyFill="1" applyBorder="1" applyProtection="1"/>
    <xf numFmtId="164" fontId="22" fillId="3" borderId="15" xfId="2" applyNumberFormat="1" applyFont="1" applyFill="1" applyBorder="1" applyProtection="1"/>
    <xf numFmtId="164" fontId="22" fillId="3" borderId="25" xfId="2" applyNumberFormat="1" applyFont="1" applyFill="1" applyBorder="1" applyProtection="1"/>
    <xf numFmtId="164" fontId="22" fillId="0" borderId="17" xfId="0" applyNumberFormat="1" applyFont="1" applyBorder="1"/>
    <xf numFmtId="165" fontId="22" fillId="0" borderId="15" xfId="3" applyNumberFormat="1" applyFont="1" applyBorder="1" applyProtection="1"/>
    <xf numFmtId="6" fontId="22" fillId="0" borderId="15" xfId="3" applyNumberFormat="1" applyFont="1" applyBorder="1" applyProtection="1"/>
    <xf numFmtId="0" fontId="21" fillId="3" borderId="9" xfId="0" applyFont="1" applyFill="1" applyBorder="1" applyAlignment="1">
      <alignment horizontal="left" indent="1"/>
    </xf>
    <xf numFmtId="0" fontId="22" fillId="3" borderId="9" xfId="0" applyFont="1" applyFill="1" applyBorder="1" applyAlignment="1">
      <alignment horizontal="right" indent="1"/>
    </xf>
    <xf numFmtId="0" fontId="22" fillId="3" borderId="9" xfId="0" applyFont="1" applyFill="1" applyBorder="1" applyAlignment="1">
      <alignment horizontal="left" indent="1"/>
    </xf>
    <xf numFmtId="44" fontId="22" fillId="3" borderId="16" xfId="3" applyFont="1" applyFill="1" applyBorder="1" applyProtection="1"/>
    <xf numFmtId="164" fontId="22" fillId="3" borderId="14" xfId="2" applyNumberFormat="1" applyFont="1" applyFill="1" applyBorder="1" applyProtection="1"/>
    <xf numFmtId="164" fontId="22" fillId="3" borderId="9" xfId="2" applyNumberFormat="1" applyFont="1" applyFill="1" applyBorder="1" applyProtection="1"/>
    <xf numFmtId="164" fontId="22" fillId="3" borderId="16" xfId="2" applyNumberFormat="1" applyFont="1" applyFill="1" applyBorder="1" applyProtection="1"/>
    <xf numFmtId="164" fontId="22" fillId="0" borderId="14" xfId="0" applyNumberFormat="1" applyFont="1" applyBorder="1"/>
    <xf numFmtId="165" fontId="22" fillId="0" borderId="9" xfId="3" applyNumberFormat="1" applyFont="1" applyBorder="1" applyProtection="1"/>
    <xf numFmtId="6" fontId="22" fillId="0" borderId="9" xfId="3" applyNumberFormat="1" applyFont="1" applyBorder="1" applyProtection="1"/>
    <xf numFmtId="0" fontId="21" fillId="3" borderId="19" xfId="0" applyFont="1" applyFill="1" applyBorder="1" applyAlignment="1">
      <alignment horizontal="left" indent="1"/>
    </xf>
    <xf numFmtId="0" fontId="22" fillId="3" borderId="19" xfId="0" applyFont="1" applyFill="1" applyBorder="1" applyAlignment="1">
      <alignment horizontal="right" indent="1"/>
    </xf>
    <xf numFmtId="0" fontId="22" fillId="3" borderId="19" xfId="0" applyFont="1" applyFill="1" applyBorder="1" applyAlignment="1">
      <alignment horizontal="left" indent="1"/>
    </xf>
    <xf numFmtId="44" fontId="22" fillId="3" borderId="20" xfId="3" applyFont="1" applyFill="1" applyBorder="1" applyProtection="1"/>
    <xf numFmtId="164" fontId="22" fillId="3" borderId="21" xfId="2" applyNumberFormat="1" applyFont="1" applyFill="1" applyBorder="1" applyProtection="1"/>
    <xf numFmtId="164" fontId="22" fillId="3" borderId="19" xfId="2" applyNumberFormat="1" applyFont="1" applyFill="1" applyBorder="1" applyProtection="1"/>
    <xf numFmtId="164" fontId="22" fillId="3" borderId="20" xfId="2" applyNumberFormat="1" applyFont="1" applyFill="1" applyBorder="1" applyProtection="1"/>
    <xf numFmtId="164" fontId="22" fillId="0" borderId="26" xfId="0" applyNumberFormat="1" applyFont="1" applyBorder="1"/>
    <xf numFmtId="165" fontId="22" fillId="0" borderId="19" xfId="3" applyNumberFormat="1" applyFont="1" applyBorder="1" applyProtection="1"/>
    <xf numFmtId="6" fontId="22" fillId="0" borderId="19" xfId="3" applyNumberFormat="1" applyFont="1" applyBorder="1" applyProtection="1"/>
    <xf numFmtId="0" fontId="23" fillId="0" borderId="22" xfId="0" applyFont="1" applyBorder="1"/>
    <xf numFmtId="0" fontId="22" fillId="0" borderId="22" xfId="0" applyFont="1" applyBorder="1" applyAlignment="1">
      <alignment horizontal="right" indent="1"/>
    </xf>
    <xf numFmtId="44" fontId="23" fillId="0" borderId="23" xfId="3" applyFont="1" applyBorder="1" applyProtection="1"/>
    <xf numFmtId="164" fontId="22" fillId="0" borderId="24" xfId="2" applyNumberFormat="1" applyFont="1" applyBorder="1" applyProtection="1"/>
    <xf numFmtId="164" fontId="22" fillId="0" borderId="22" xfId="2" applyNumberFormat="1" applyFont="1" applyBorder="1" applyProtection="1"/>
    <xf numFmtId="164" fontId="22" fillId="0" borderId="23" xfId="2" applyNumberFormat="1" applyFont="1" applyBorder="1" applyProtection="1"/>
    <xf numFmtId="164" fontId="22" fillId="0" borderId="24" xfId="0" applyNumberFormat="1" applyFont="1" applyBorder="1"/>
    <xf numFmtId="165" fontId="22" fillId="0" borderId="22" xfId="3" applyNumberFormat="1" applyFont="1" applyBorder="1" applyProtection="1"/>
    <xf numFmtId="6" fontId="22" fillId="0" borderId="22" xfId="3" applyNumberFormat="1" applyFont="1" applyBorder="1" applyProtection="1"/>
    <xf numFmtId="0" fontId="7" fillId="3" borderId="0" xfId="0" applyFont="1" applyFill="1"/>
    <xf numFmtId="0" fontId="7" fillId="0" borderId="0" xfId="0" applyFont="1"/>
    <xf numFmtId="0" fontId="19" fillId="3" borderId="2" xfId="0" applyFont="1" applyFill="1" applyBorder="1" applyAlignment="1">
      <alignment horizontal="left" indent="1"/>
    </xf>
    <xf numFmtId="0" fontId="19" fillId="3" borderId="27" xfId="0" applyFont="1" applyFill="1" applyBorder="1"/>
    <xf numFmtId="0" fontId="19" fillId="3" borderId="27" xfId="0" applyFont="1" applyFill="1" applyBorder="1" applyAlignment="1">
      <alignment horizontal="right"/>
    </xf>
    <xf numFmtId="0" fontId="0" fillId="3" borderId="27" xfId="0" applyFill="1" applyBorder="1"/>
    <xf numFmtId="0" fontId="0" fillId="3" borderId="3" xfId="0" applyFill="1" applyBorder="1"/>
    <xf numFmtId="0" fontId="19" fillId="3" borderId="4" xfId="0" applyFont="1" applyFill="1" applyBorder="1" applyAlignment="1">
      <alignment horizontal="left" vertical="top" indent="1"/>
    </xf>
    <xf numFmtId="0" fontId="19" fillId="3" borderId="28" xfId="0" applyFont="1" applyFill="1" applyBorder="1"/>
    <xf numFmtId="0" fontId="19" fillId="3" borderId="28" xfId="0" applyFont="1" applyFill="1" applyBorder="1" applyAlignment="1">
      <alignment horizontal="right"/>
    </xf>
    <xf numFmtId="0" fontId="0" fillId="3" borderId="28" xfId="0" applyFill="1" applyBorder="1"/>
    <xf numFmtId="0" fontId="0" fillId="3" borderId="5" xfId="0" applyFill="1" applyBorder="1"/>
    <xf numFmtId="0" fontId="19" fillId="3" borderId="29" xfId="0" applyFont="1" applyFill="1" applyBorder="1" applyAlignment="1">
      <alignment horizontal="left" indent="1"/>
    </xf>
    <xf numFmtId="0" fontId="19" fillId="3" borderId="0" xfId="0" applyFont="1" applyFill="1"/>
    <xf numFmtId="0" fontId="19" fillId="3" borderId="0" xfId="0" applyFont="1" applyFill="1" applyAlignment="1">
      <alignment horizontal="right"/>
    </xf>
    <xf numFmtId="0" fontId="0" fillId="3" borderId="30" xfId="0" applyFill="1" applyBorder="1"/>
    <xf numFmtId="0" fontId="19" fillId="3" borderId="29" xfId="0" applyFont="1" applyFill="1" applyBorder="1" applyAlignment="1">
      <alignment horizontal="left" vertical="top" indent="1"/>
    </xf>
    <xf numFmtId="9" fontId="0" fillId="0" borderId="0" xfId="4" applyFont="1"/>
    <xf numFmtId="0" fontId="0" fillId="5" borderId="0" xfId="0" applyFill="1"/>
    <xf numFmtId="2" fontId="0" fillId="0" borderId="0" xfId="0" applyNumberFormat="1"/>
    <xf numFmtId="2" fontId="0" fillId="5" borderId="0" xfId="0" applyNumberFormat="1" applyFill="1"/>
    <xf numFmtId="166" fontId="0" fillId="0" borderId="0" xfId="4" applyNumberFormat="1" applyFont="1"/>
    <xf numFmtId="0" fontId="25" fillId="0" borderId="31" xfId="0" applyFont="1" applyBorder="1"/>
    <xf numFmtId="0" fontId="26" fillId="0" borderId="0" xfId="1" applyFont="1" applyAlignment="1">
      <alignment horizontal="left" vertical="top"/>
    </xf>
    <xf numFmtId="0" fontId="1" fillId="0" borderId="0" xfId="1" applyAlignment="1">
      <alignment horizontal="right" vertical="top"/>
    </xf>
    <xf numFmtId="0" fontId="1" fillId="0" borderId="28" xfId="1" applyBorder="1" applyAlignment="1">
      <alignment horizontal="right" vertical="top"/>
    </xf>
    <xf numFmtId="0" fontId="8" fillId="3" borderId="0" xfId="0" applyFont="1" applyFill="1" applyAlignment="1">
      <alignment horizontal="center"/>
    </xf>
  </cellXfs>
  <cellStyles count="5">
    <cellStyle name="Comma" xfId="2" builtinId="3"/>
    <cellStyle name="Currency" xfId="3" builtinId="4"/>
    <cellStyle name="Normal" xfId="0" builtinId="0"/>
    <cellStyle name="Normal 2" xfId="1" xr:uid="{0914B392-064C-476E-9A9E-06F3640EF578}"/>
    <cellStyle name="Percent" xfId="4" builtinId="5"/>
  </cellStyles>
  <dxfs count="23">
    <dxf>
      <numFmt numFmtId="19" formatCode="d/mm/yyyy"/>
    </dxf>
    <dxf>
      <numFmt numFmtId="19" formatCode="d/mm/yyyy"/>
    </dxf>
    <dxf>
      <numFmt numFmtId="19" formatCode="d/mm/yyyy"/>
    </dxf>
    <dxf>
      <numFmt numFmtId="0" formatCode="General"/>
    </dxf>
    <dxf>
      <numFmt numFmtId="19" formatCode="d/mm/yyyy"/>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absolute">
    <xdr:from>
      <xdr:col>11</xdr:col>
      <xdr:colOff>66675</xdr:colOff>
      <xdr:row>7</xdr:row>
      <xdr:rowOff>142875</xdr:rowOff>
    </xdr:from>
    <xdr:to>
      <xdr:col>14</xdr:col>
      <xdr:colOff>66675</xdr:colOff>
      <xdr:row>21</xdr:row>
      <xdr:rowOff>0</xdr:rowOff>
    </xdr:to>
    <mc:AlternateContent xmlns:mc="http://schemas.openxmlformats.org/markup-compatibility/2006" xmlns:sle15="http://schemas.microsoft.com/office/drawing/2012/slicer">
      <mc:Choice Requires="sle15">
        <xdr:graphicFrame macro="">
          <xdr:nvGraphicFramePr>
            <xdr:cNvPr id="2" name="Version">
              <a:extLst>
                <a:ext uri="{FF2B5EF4-FFF2-40B4-BE49-F238E27FC236}">
                  <a16:creationId xmlns:a16="http://schemas.microsoft.com/office/drawing/2014/main" id="{5135AEF9-DD6A-C278-DF4B-3DDD0092D9E6}"/>
                </a:ext>
              </a:extLst>
            </xdr:cNvPr>
            <xdr:cNvGraphicFramePr/>
          </xdr:nvGraphicFramePr>
          <xdr:xfrm>
            <a:off x="0" y="0"/>
            <a:ext cx="0" cy="0"/>
          </xdr:xfrm>
          <a:graphic>
            <a:graphicData uri="http://schemas.microsoft.com/office/drawing/2010/slicer">
              <sle:slicer xmlns:sle="http://schemas.microsoft.com/office/drawing/2010/slicer" name="Version"/>
            </a:graphicData>
          </a:graphic>
        </xdr:graphicFrame>
      </mc:Choice>
      <mc:Fallback xmlns="">
        <xdr:sp macro="" textlink="">
          <xdr:nvSpPr>
            <xdr:cNvPr id="0" name=""/>
            <xdr:cNvSpPr>
              <a:spLocks noTextEdit="1"/>
            </xdr:cNvSpPr>
          </xdr:nvSpPr>
          <xdr:spPr>
            <a:xfrm>
              <a:off x="8629650" y="3333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400050</xdr:colOff>
      <xdr:row>7</xdr:row>
      <xdr:rowOff>104775</xdr:rowOff>
    </xdr:from>
    <xdr:to>
      <xdr:col>17</xdr:col>
      <xdr:colOff>400050</xdr:colOff>
      <xdr:row>20</xdr:row>
      <xdr:rowOff>152400</xdr:rowOff>
    </xdr:to>
    <mc:AlternateContent xmlns:mc="http://schemas.openxmlformats.org/markup-compatibility/2006" xmlns:sle15="http://schemas.microsoft.com/office/drawing/2012/slicer">
      <mc:Choice Requires="sle15">
        <xdr:graphicFrame macro="">
          <xdr:nvGraphicFramePr>
            <xdr:cNvPr id="4" name="Facility">
              <a:extLst>
                <a:ext uri="{FF2B5EF4-FFF2-40B4-BE49-F238E27FC236}">
                  <a16:creationId xmlns:a16="http://schemas.microsoft.com/office/drawing/2014/main" id="{90597407-53FA-75E9-95CA-A8B8B4C71785}"/>
                </a:ext>
              </a:extLst>
            </xdr:cNvPr>
            <xdr:cNvGraphicFramePr/>
          </xdr:nvGraphicFramePr>
          <xdr:xfrm>
            <a:off x="0" y="0"/>
            <a:ext cx="0" cy="0"/>
          </xdr:xfrm>
          <a:graphic>
            <a:graphicData uri="http://schemas.microsoft.com/office/drawing/2010/slicer">
              <sle:slicer xmlns:sle="http://schemas.microsoft.com/office/drawing/2010/slicer" name="Facility"/>
            </a:graphicData>
          </a:graphic>
        </xdr:graphicFrame>
      </mc:Choice>
      <mc:Fallback xmlns="">
        <xdr:sp macro="" textlink="">
          <xdr:nvSpPr>
            <xdr:cNvPr id="0" name=""/>
            <xdr:cNvSpPr>
              <a:spLocks noTextEdit="1"/>
            </xdr:cNvSpPr>
          </xdr:nvSpPr>
          <xdr:spPr>
            <a:xfrm>
              <a:off x="10791825" y="2952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centri001.sharepoint.com/sites/2.0Accounts/Shared%20Documents/IndoChinese%20Aged%20Care/4.%20Analysis/221223/2.%20Calculations/P6%20AEM-InefficiencyCheck.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 Id="rId1"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NSITY"/>
      <sheetName val="Months Days"/>
      <sheetName val="Input"/>
      <sheetName val="Factors"/>
      <sheetName val="Role Consol"/>
      <sheetName val="Names"/>
      <sheetName val="Transpose"/>
      <sheetName val="Demand"/>
      <sheetName val="NamesXPeriod"/>
      <sheetName val="NamesByDate+Leave"/>
      <sheetName val="Capacity"/>
      <sheetName val="Allocation"/>
      <sheetName val="Effort+Outcomes"/>
      <sheetName val="Pivot Check"/>
      <sheetName val="1Pool-AB-Op"/>
      <sheetName val="1Pool-EF-Op"/>
      <sheetName val="1Pool-IN-Op"/>
      <sheetName val="2Pond-Unit-AB"/>
      <sheetName val="2Pond-Unit-EF"/>
      <sheetName val="2Pond-Unit-IN"/>
      <sheetName val="2Pond-Role-AB"/>
      <sheetName val="2Pond-Role-EF"/>
      <sheetName val="2Pond-Role-IN"/>
      <sheetName val="3LakeAB"/>
      <sheetName val="3LakeEF"/>
      <sheetName val="3LakeIN"/>
      <sheetName val="SDTX PoolREG.ROLE"/>
      <sheetName val="SD PondROLE+IMP"/>
      <sheetName val="SD PondROLEBase"/>
      <sheetName val="SD PondROLES1"/>
      <sheetName val="IMP PondROLE"/>
      <sheetName val="WGT PondROLESBaseLake"/>
      <sheetName val="WGT PondROLES1Lake"/>
      <sheetName val="SD LakeBase"/>
      <sheetName val="SD LakeS1"/>
      <sheetName val="IMP Lake"/>
      <sheetName val="INTERVENTIONS"/>
      <sheetName val="Value"/>
      <sheetName val="$PoolMPACT"/>
      <sheetName val="$PoolIMPACTTranspose"/>
      <sheetName val="Sheet1"/>
      <sheetName val="Check"/>
    </sheetNames>
    <sheetDataSet>
      <sheetData sheetId="0" refreshError="1"/>
      <sheetData sheetId="1" refreshError="1"/>
      <sheetData sheetId="2" refreshError="1"/>
      <sheetData sheetId="3" refreshError="1">
        <row r="4">
          <cell r="B4">
            <v>1.25</v>
          </cell>
        </row>
        <row r="6">
          <cell r="B6">
            <v>1.25</v>
          </cell>
        </row>
        <row r="7">
          <cell r="B7">
            <v>1.5</v>
          </cell>
        </row>
        <row r="8">
          <cell r="B8">
            <v>1.5</v>
          </cell>
        </row>
        <row r="10">
          <cell r="B10">
            <v>1</v>
          </cell>
        </row>
        <row r="11">
          <cell r="B11">
            <v>1</v>
          </cell>
        </row>
        <row r="12">
          <cell r="B12">
            <v>1</v>
          </cell>
        </row>
        <row r="19">
          <cell r="B19">
            <v>2.5</v>
          </cell>
        </row>
        <row r="21">
          <cell r="B21">
            <v>12500</v>
          </cell>
        </row>
        <row r="22">
          <cell r="B22">
            <v>18750</v>
          </cell>
        </row>
        <row r="23">
          <cell r="B23">
            <v>31250</v>
          </cell>
          <cell r="E23">
            <v>3000000</v>
          </cell>
        </row>
        <row r="35">
          <cell r="B35">
            <v>0.02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PATH-Facility"/>
      <sheetName val="MaxCapacity"/>
      <sheetName val="ShiftHours"/>
      <sheetName val="PermutationDimensions (2)"/>
      <sheetName val="DimensionPermutations"/>
      <sheetName val="Metadata"/>
      <sheetName val="AllocationExtracted"/>
    </sheetNames>
    <sheetDataSet>
      <sheetData sheetId="0" refreshError="1"/>
      <sheetData sheetId="1">
        <row r="2">
          <cell r="A2">
            <v>1</v>
          </cell>
        </row>
      </sheetData>
      <sheetData sheetId="2" refreshError="1"/>
      <sheetData sheetId="3" refreshError="1"/>
      <sheetData sheetId="4" refreshError="1"/>
      <sheetData sheetId="5" refreshError="1"/>
      <sheetData sheetId="6" refreshError="1"/>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3" xr16:uid="{BA0970F7-F3D3-4EA1-A31E-4F3417AD4500}" autoFormatId="16" applyNumberFormats="0" applyBorderFormats="0" applyFontFormats="0" applyPatternFormats="0" applyAlignmentFormats="0" applyWidthHeightFormats="0">
  <queryTableRefresh nextId="3">
    <queryTableFields count="2">
      <queryTableField id="1" name="Variable Name" tableColumnId="1"/>
      <queryTableField id="2" name="Val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292CFF5-EC16-459B-A3C4-6FA6BF6283F5}" autoFormatId="16" applyNumberFormats="0" applyBorderFormats="0" applyFontFormats="0" applyPatternFormats="0" applyAlignmentFormats="0" applyWidthHeightFormats="0">
  <queryTableRefresh nextId="63">
    <queryTableFields count="36">
      <queryTableField id="1" name="Date" tableColumnId="1"/>
      <queryTableField id="2" name="L1.1" tableColumnId="2"/>
      <queryTableField id="3" name="L1.2" tableColumnId="3"/>
      <queryTableField id="4" name="D" tableColumnId="4"/>
      <queryTableField id="5" name="Cs" tableColumnId="5"/>
      <queryTableField id="6" name="CX" tableColumnId="6"/>
      <queryTableField id="7" name="A" tableColumnId="7"/>
      <queryTableField id="8" name="Apn" tableColumnId="8"/>
      <queryTableField id="9" name="Apx" tableColumnId="9"/>
      <queryTableField id="10" name="Ai" tableColumnId="10"/>
      <queryTableField id="11" name="EXCESS OVER-ALLOCATION" tableColumnId="11"/>
      <queryTableField id="12" name="SPARE STRETCH" tableColumnId="12"/>
      <queryTableField id="13" name="SPARE SLACK" tableColumnId="13"/>
      <queryTableField id="14" name="SPARE STRETCH ALLOCATED" tableColumnId="14"/>
      <queryTableField id="15" name="SPARE SLACK ALLOCATED" tableColumnId="15"/>
      <queryTableField id="16" name="EXCESS STRETCH (ALLOCATED)" tableColumnId="16"/>
      <queryTableField id="17" name="EXCESS ALLOCATED SLACK" tableColumnId="17"/>
      <queryTableField id="18" name="EXCESS STRETCH" tableColumnId="18"/>
      <queryTableField id="19" name="EXCESS SLACK" tableColumnId="19"/>
      <queryTableField id="20" name="POTENTIAL SHORTFALL (OVER-ALLOCATED)" tableColumnId="20"/>
      <queryTableField id="21" name="POTENTIAL SHORTFALL" tableColumnId="21"/>
      <queryTableField id="22" name="WASTED STRETCH" tableColumnId="22"/>
      <queryTableField id="23" name="WASTED SLACK" tableColumnId="23"/>
      <queryTableField id="24" name="ALLOCATED STRETCH" tableColumnId="24"/>
      <queryTableField id="25" name="ALLOCATED SLACK" tableColumnId="25"/>
      <queryTableField id="26" name="UNALLOCATED SLACK" tableColumnId="26"/>
      <queryTableField id="27" name="LATENT" tableColumnId="27"/>
      <queryTableField id="28" name="LATENT.ALLOCATED" tableColumnId="28"/>
      <queryTableField id="29" name="LATENT.OVERALLOCATED" tableColumnId="29"/>
      <queryTableField id="30" name="AB Potential" tableColumnId="30"/>
      <queryTableField id="56" name="Facility" tableColumnId="33"/>
      <queryTableField id="54" name="CapacityMaxHC" tableColumnId="31"/>
      <queryTableField id="55" name="DATESHIFT" tableColumnId="32"/>
      <queryTableField id="59" name="ShiftDurations.ShiftDuration" tableColumnId="35"/>
      <queryTableField id="61" name="DateX" tableColumnId="36"/>
      <queryTableField id="58" name="Version" tableColumnId="3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CC18ABC4-C46F-4174-8C25-7541C6CE0519}" autoFormatId="16" applyNumberFormats="0" applyBorderFormats="0" applyFontFormats="0" applyPatternFormats="0" applyAlignmentFormats="0" applyWidthHeightFormats="0">
  <queryTableRefresh nextId="37">
    <queryTableFields count="20">
      <queryTableField id="1" name="Date" tableColumnId="1"/>
      <queryTableField id="2" name="L1.1" tableColumnId="2"/>
      <queryTableField id="3" name="L1.2" tableColumnId="3"/>
      <queryTableField id="4" name="D" tableColumnId="4"/>
      <queryTableField id="25" name="Facility" tableColumnId="8"/>
      <queryTableField id="33" name="ShiftDurations.ShiftDuration" tableColumnId="16"/>
      <queryTableField id="35" name="DateX" tableColumnId="20"/>
      <queryTableField id="31" name="Version" tableColumnId="15"/>
      <queryTableField id="5" name="ExcessAllocation" tableColumnId="5"/>
      <queryTableField id="26" name="ExcessAllocation-Reaslistic" tableColumnId="9"/>
      <queryTableField id="6" name="Shortage" tableColumnId="6"/>
      <queryTableField id="27" name="Shortage-Realistic" tableColumnId="10"/>
      <queryTableField id="7" name="PlannedOvertime" tableColumnId="7"/>
      <queryTableField id="19" name="Day Name" tableColumnId="17"/>
      <queryTableField id="21" name="Rates.Attribute" tableColumnId="18"/>
      <queryTableField id="22" name="Rates.Value" tableColumnId="19"/>
      <queryTableField id="11" name="UnnecessaryAllocation$" tableColumnId="11"/>
      <queryTableField id="12" name="ShortageReplacement$" tableColumnId="12"/>
      <queryTableField id="13" name="Overtime$" tableColumnId="13"/>
      <queryTableField id="14" name="InefficiencyCost"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3" xr16:uid="{35FC7701-A5DC-47E2-8BB3-49AA480CC22A}" autoFormatId="16" applyNumberFormats="0" applyBorderFormats="0" applyFontFormats="0" applyPatternFormats="0" applyAlignmentFormats="0" applyWidthHeightFormats="0">
  <queryTableRefresh nextId="9">
    <queryTableFields count="2">
      <queryTableField id="6" name="Facility" tableColumnId="2"/>
      <queryTableField id="8" name="Count" tableColumnId="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12" xr16:uid="{335401E7-88DC-44AE-909F-D0610D4A51F2}" autoFormatId="16" applyNumberFormats="0" applyBorderFormats="0" applyFontFormats="0" applyPatternFormats="0" applyAlignmentFormats="0" applyWidthHeightFormats="0">
  <queryTableRefresh nextId="4">
    <queryTableFields count="2">
      <queryTableField id="1" name="Date" tableColumnId="1"/>
      <queryTableField id="3" name="TargetRate"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9" xr16:uid="{757BBF4D-674E-43ED-ADA2-473ECD86D717}" autoFormatId="16" applyNumberFormats="0" applyBorderFormats="0" applyFontFormats="0" applyPatternFormats="0" applyAlignmentFormats="0" applyWidthHeightFormats="0">
  <queryTableRefresh nextId="4">
    <queryTableFields count="3">
      <queryTableField id="1" name="Date" tableColumnId="1"/>
      <queryTableField id="2" name="Facility" tableColumnId="2"/>
      <queryTableField id="3" name="Savings"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8" xr16:uid="{B07D0A94-5249-415B-9D1C-07DE963795CD}" autoFormatId="16" applyNumberFormats="0" applyBorderFormats="0" applyFontFormats="0" applyPatternFormats="0" applyAlignmentFormats="0" applyWidthHeightFormats="0">
  <queryTableRefresh nextId="10">
    <queryTableFields count="3">
      <queryTableField id="3" name="Date" tableColumnId="3"/>
      <queryTableField id="8" name="Facility" tableColumnId="1"/>
      <queryTableField id="5" name="Savings" tableColumnId="4"/>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2" xr16:uid="{9015033E-780C-46B0-A0C1-FD28BC5A5D63}" autoFormatId="16" applyNumberFormats="0" applyBorderFormats="0" applyFontFormats="0" applyPatternFormats="0" applyAlignmentFormats="0" applyWidthHeightFormats="0">
  <queryTableRefresh nextId="12">
    <queryTableFields count="7">
      <queryTableField id="8" name="Version" tableColumnId="7"/>
      <queryTableField id="3" name="Facility" tableColumnId="3"/>
      <queryTableField id="1" name="L1.1" tableColumnId="1"/>
      <queryTableField id="2" name="RoleCost" tableColumnId="2"/>
      <queryTableField id="4" name="UnnecessaryAllocation" tableColumnId="4"/>
      <queryTableField id="5" name="Shortage Replacement" tableColumnId="5"/>
      <queryTableField id="6" name="OT"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rsion" xr10:uid="{F1A2611F-78AC-4B3A-9614-AB40398F26AC}" sourceName="Version">
  <extLst>
    <x:ext xmlns:x15="http://schemas.microsoft.com/office/spreadsheetml/2010/11/main" uri="{2F2917AC-EB37-4324-AD4E-5DD8C200BD13}">
      <x15:tableSlicerCache tableId="6" column="7"/>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2E61C122-84A6-4381-9CFE-981C3EABAC5C}" sourceName="Facility">
  <extLst>
    <x:ext xmlns:x15="http://schemas.microsoft.com/office/spreadsheetml/2010/11/main" uri="{2F2917AC-EB37-4324-AD4E-5DD8C200BD13}">
      <x15:tableSlicerCache tableId="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rsion" xr10:uid="{683CBF66-8254-4A7C-B5B5-02415849F6F2}" cache="Slicer_Version" caption="Version" rowHeight="241300"/>
  <slicer name="Facility" xr10:uid="{7144B479-9DCA-4BCD-918B-1C0E9679EF23}" cache="Slicer_Facility" caption="Facilit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160228-5AEF-46C1-9B0B-70F1102021D4}" name="UnitL1PathTABLE" displayName="UnitL1PathTABLE" ref="A3:B10" tableType="queryTable" totalsRowShown="0" headerRowDxfId="22" dataDxfId="21" headerRowCellStyle="Normal 2" dataCellStyle="Normal 2">
  <autoFilter ref="A3:B10" xr:uid="{4DEC0CF8-226F-4A41-80C6-7A1A66A55922}"/>
  <tableColumns count="2">
    <tableColumn id="1" xr3:uid="{28E8BD38-852E-477E-9290-C12CB72A8FC8}" uniqueName="1" name="Variable Name" queryTableFieldId="1" dataDxfId="20" dataCellStyle="Normal 2"/>
    <tableColumn id="2" xr3:uid="{2EAEF9C6-9000-40DA-B6EE-5D40B44F8B59}" uniqueName="2" name="Value" queryTableFieldId="2" dataDxfId="19" dataCellStyle="Normal 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692DBF6-3ECD-4F63-AEE1-C82BCE687309}" name="Rates" displayName="Rates" ref="A1:D3" totalsRowShown="0">
  <autoFilter ref="A1:D3" xr:uid="{C692DBF6-3ECD-4F63-AEE1-C82BCE687309}"/>
  <tableColumns count="4">
    <tableColumn id="1" xr3:uid="{39D88134-2B37-41F0-9262-5665D235DAB7}" name="Role"/>
    <tableColumn id="2" xr3:uid="{D3392DC6-62F7-4C41-AC65-10D4F6A01223}" name="Rate"/>
    <tableColumn id="3" xr3:uid="{A436EC23-10C2-4E83-9612-A3D799F5A5A0}" name="OTLoading"/>
    <tableColumn id="4" xr3:uid="{C90CAEC0-F0AF-4992-9FB9-D83CE55A06F3}" name="AgencyPremium"/>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8B0CBE-73A2-4F8B-A2EF-F58A37A724C7}" name="RatesDelta" displayName="RatesDelta" ref="H17:P26" totalsRowShown="0">
  <autoFilter ref="H17:P26" xr:uid="{B98B0CBE-73A2-4F8B-A2EF-F58A37A724C7}"/>
  <tableColumns count="9">
    <tableColumn id="1" xr3:uid="{0219450F-0F42-4906-8CB2-537BA17757A7}" name="Role"/>
    <tableColumn id="2" xr3:uid="{1A5B7ECF-0047-4BF8-AD72-CC836C44713D}" name="Period"/>
    <tableColumn id="3" xr3:uid="{84D5F6B9-C429-464C-BBB5-5FF39FBD6D25}" name="Monday" dataDxfId="18">
      <calculatedColumnFormula>J5-J11</calculatedColumnFormula>
    </tableColumn>
    <tableColumn id="11" xr3:uid="{80B48055-AB60-450A-A7A9-0C72040BD618}" name="Tuesday" dataDxfId="17">
      <calculatedColumnFormula>K5-K11</calculatedColumnFormula>
    </tableColumn>
    <tableColumn id="8" xr3:uid="{B19E5108-AB19-4C8B-BE0B-A75C5BA72773}" name="Wednesday" dataDxfId="16">
      <calculatedColumnFormula>L5-L11</calculatedColumnFormula>
    </tableColumn>
    <tableColumn id="7" xr3:uid="{095DCEC0-46D8-4C5D-ABDA-DE63455512A6}" name="Thursday" dataDxfId="15">
      <calculatedColumnFormula>M5-M11</calculatedColumnFormula>
    </tableColumn>
    <tableColumn id="6" xr3:uid="{E12B68C0-6919-4030-A3DF-D8DCB6C47C74}" name="Friday" dataDxfId="14">
      <calculatedColumnFormula>N5-N11</calculatedColumnFormula>
    </tableColumn>
    <tableColumn id="4" xr3:uid="{508E353A-32EF-4061-AEAA-51798F465D5E}" name="Saturday" dataDxfId="13">
      <calculatedColumnFormula>O5-O11</calculatedColumnFormula>
    </tableColumn>
    <tableColumn id="5" xr3:uid="{AC78659E-4681-4498-85DA-614053AD52F5}" name="Sunday" dataDxfId="12">
      <calculatedColumnFormula>P5-P11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952DAD-7A59-4980-B6A4-7A4ADC63A1EA}" name="EffortOutcomesAG1_1DayShiftAB" displayName="EffortOutcomesAG1_1DayShiftAB" ref="A1:AJ505" tableType="queryTable" totalsRowShown="0">
  <autoFilter ref="A1:AJ505" xr:uid="{5F952DAD-7A59-4980-B6A4-7A4ADC63A1EA}"/>
  <tableColumns count="36">
    <tableColumn id="1" xr3:uid="{49A5B1F7-F483-4249-88FD-2EC30066A0AD}" uniqueName="1" name="Date" queryTableFieldId="1" dataDxfId="2"/>
    <tableColumn id="2" xr3:uid="{12A61FDC-7E6E-4D9C-8A09-0038AAD2B190}" uniqueName="2" name="L1.1" queryTableFieldId="2" dataDxfId="11"/>
    <tableColumn id="3" xr3:uid="{C71D5555-DC4E-48D7-BF46-7B8564840DC5}" uniqueName="3" name="L1.2" queryTableFieldId="3" dataDxfId="10"/>
    <tableColumn id="4" xr3:uid="{287A5614-D3DF-43ED-B4EE-45B4417136BA}" uniqueName="4" name="D" queryTableFieldId="4"/>
    <tableColumn id="5" xr3:uid="{BA218B9B-CF5E-4372-9589-29749DE4D0BE}" uniqueName="5" name="Cs" queryTableFieldId="5"/>
    <tableColumn id="6" xr3:uid="{C34D28BB-B978-4C45-9172-7C6189522DCB}" uniqueName="6" name="CX" queryTableFieldId="6"/>
    <tableColumn id="7" xr3:uid="{2A8B4AEB-E1CA-4014-8EC0-38A2F19FEB1C}" uniqueName="7" name="A" queryTableFieldId="7"/>
    <tableColumn id="8" xr3:uid="{8DC059DC-5B2D-477C-ABAE-2C0F05F383A6}" uniqueName="8" name="Apn" queryTableFieldId="8"/>
    <tableColumn id="9" xr3:uid="{5EB29CD2-9798-4C81-93CA-EAB2610809A6}" uniqueName="9" name="Apx" queryTableFieldId="9"/>
    <tableColumn id="10" xr3:uid="{F58C45E2-16C5-4D76-B8BD-FB0F5E9C06E4}" uniqueName="10" name="Ai" queryTableFieldId="10"/>
    <tableColumn id="11" xr3:uid="{5F4E18AA-B61D-4AA8-B22B-77D8970FC75E}" uniqueName="11" name="EXCESS OVER-ALLOCATION" queryTableFieldId="11"/>
    <tableColumn id="12" xr3:uid="{540436A0-1BDE-4875-977E-9987A9912907}" uniqueName="12" name="SPARE STRETCH" queryTableFieldId="12"/>
    <tableColumn id="13" xr3:uid="{FE733059-C24F-430B-9D0C-A3E21E6C3A76}" uniqueName="13" name="SPARE SLACK" queryTableFieldId="13"/>
    <tableColumn id="14" xr3:uid="{BB39C41D-0531-4428-AADE-7160EB14E9E5}" uniqueName="14" name="SPARE STRETCH ALLOCATED" queryTableFieldId="14"/>
    <tableColumn id="15" xr3:uid="{2D7BD112-D4D1-46EE-A643-6F03CA4ABCAD}" uniqueName="15" name="SPARE SLACK ALLOCATED" queryTableFieldId="15"/>
    <tableColumn id="16" xr3:uid="{6D2BCC02-4BE7-4304-A3FD-615287857D7B}" uniqueName="16" name="EXCESS STRETCH (ALLOCATED)" queryTableFieldId="16"/>
    <tableColumn id="17" xr3:uid="{5A146505-B454-4B05-BC58-05170D185FE3}" uniqueName="17" name="EXCESS ALLOCATED SLACK" queryTableFieldId="17"/>
    <tableColumn id="18" xr3:uid="{E8694FA9-38BC-4A85-9233-875D6F48DF9B}" uniqueName="18" name="EXCESS STRETCH" queryTableFieldId="18"/>
    <tableColumn id="19" xr3:uid="{7D893BF1-A76A-4874-B8A1-3AAA4F06B98D}" uniqueName="19" name="EXCESS SLACK" queryTableFieldId="19"/>
    <tableColumn id="20" xr3:uid="{6A6ED00A-B39F-49A9-B523-8166C2474C5B}" uniqueName="20" name="POTENTIAL SHORTFALL (OVER-ALLOCATED)" queryTableFieldId="20"/>
    <tableColumn id="21" xr3:uid="{2376D8DD-52DF-46D4-BB13-896EEDBD94AC}" uniqueName="21" name="POTENTIAL SHORTFALL" queryTableFieldId="21"/>
    <tableColumn id="22" xr3:uid="{8CDEDD44-2773-466C-8463-2E0BD9F51B70}" uniqueName="22" name="WASTED STRETCH" queryTableFieldId="22"/>
    <tableColumn id="23" xr3:uid="{DC63AB13-95EF-4073-9BA8-6FB384E29762}" uniqueName="23" name="WASTED SLACK" queryTableFieldId="23"/>
    <tableColumn id="24" xr3:uid="{5DD0D563-994E-4D3C-91A4-E631AFC1BED2}" uniqueName="24" name="ALLOCATED STRETCH" queryTableFieldId="24"/>
    <tableColumn id="25" xr3:uid="{2567B960-8524-4D6B-98A7-6DD2DD832138}" uniqueName="25" name="ALLOCATED SLACK" queryTableFieldId="25"/>
    <tableColumn id="26" xr3:uid="{CF4E13B1-8EE4-4E78-8F52-F442A4B0CA15}" uniqueName="26" name="UNALLOCATED SLACK" queryTableFieldId="26"/>
    <tableColumn id="27" xr3:uid="{9A0204B0-ED78-43EC-A5AF-0E92FDCAB64C}" uniqueName="27" name="LATENT" queryTableFieldId="27"/>
    <tableColumn id="28" xr3:uid="{806BBAC1-3EB2-4342-81EF-5520B75FA09E}" uniqueName="28" name="LATENT.ALLOCATED" queryTableFieldId="28"/>
    <tableColumn id="29" xr3:uid="{7B96071A-C004-4C2A-BE50-F199223CAEAB}" uniqueName="29" name="LATENT.OVERALLOCATED" queryTableFieldId="29"/>
    <tableColumn id="30" xr3:uid="{42F671FF-00B8-43E2-9402-A8B7970656FC}" uniqueName="30" name="AB Potential" queryTableFieldId="30"/>
    <tableColumn id="33" xr3:uid="{3DBA7D14-D8C9-451F-9E8E-8C1E62B25B76}" uniqueName="33" name="Facility" queryTableFieldId="56"/>
    <tableColumn id="31" xr3:uid="{6B39F351-E660-442C-86FC-3382E9A79FFE}" uniqueName="31" name="CapacityMaxHC" queryTableFieldId="54"/>
    <tableColumn id="32" xr3:uid="{5CDC34E0-1BEB-4E8D-A470-6C811D92539D}" uniqueName="32" name="DATESHIFT" queryTableFieldId="55"/>
    <tableColumn id="35" xr3:uid="{534AB6F5-B1C2-48CF-B9E2-2EF0627FC806}" uniqueName="35" name="ShiftDurations.ShiftDuration" queryTableFieldId="59"/>
    <tableColumn id="36" xr3:uid="{78C539ED-2202-4C8B-8550-B39007897D8C}" uniqueName="36" name="DateX" queryTableFieldId="61"/>
    <tableColumn id="34" xr3:uid="{4674B705-81A1-4620-B5E4-82928626AE7A}" uniqueName="34" name="Version" queryTableFieldId="5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D4E535-FE73-48B5-A524-EDB13EC0802C}" name="CostAG1_1DayShiftAB" displayName="CostAG1_1DayShiftAB" ref="A1:T505" tableType="queryTable" totalsRowShown="0">
  <autoFilter ref="A1:T505" xr:uid="{1DD4E535-FE73-48B5-A524-EDB13EC0802C}"/>
  <tableColumns count="20">
    <tableColumn id="1" xr3:uid="{23163B4F-FCD7-431E-8586-92A042DDF304}" uniqueName="1" name="Date" queryTableFieldId="1" dataDxfId="1"/>
    <tableColumn id="2" xr3:uid="{E7B49204-66DD-4FCE-AAB1-EB4A6AE61421}" uniqueName="2" name="L1.1" queryTableFieldId="2" dataDxfId="9"/>
    <tableColumn id="3" xr3:uid="{9E4432ED-375C-41C7-9071-8C6D62D8E7C7}" uniqueName="3" name="L1.2" queryTableFieldId="3" dataDxfId="8"/>
    <tableColumn id="4" xr3:uid="{ED3545DB-E0D4-4634-A01A-83077F64CEAA}" uniqueName="4" name="D" queryTableFieldId="4"/>
    <tableColumn id="8" xr3:uid="{59A202F4-7EE1-4968-9F4B-75E19CE9BE40}" uniqueName="8" name="Facility" queryTableFieldId="25"/>
    <tableColumn id="16" xr3:uid="{D6E95352-A5F3-455C-BFA3-EBC43FB616B7}" uniqueName="16" name="ShiftDurations.ShiftDuration" queryTableFieldId="33"/>
    <tableColumn id="20" xr3:uid="{9337E68A-067F-4497-9E47-757E335D764D}" uniqueName="20" name="DateX" queryTableFieldId="35"/>
    <tableColumn id="15" xr3:uid="{4DD5C1E9-5F02-4127-BBD9-C2C2DB00B57A}" uniqueName="15" name="Version" queryTableFieldId="31"/>
    <tableColumn id="5" xr3:uid="{9C8F0DB2-5A63-4593-BF86-EC04265AF34B}" uniqueName="5" name="ExcessAllocation" queryTableFieldId="5"/>
    <tableColumn id="9" xr3:uid="{666FA46F-20D0-4ADC-B768-BBC0C0BB3375}" uniqueName="9" name="ExcessAllocation-Reaslistic" queryTableFieldId="26"/>
    <tableColumn id="6" xr3:uid="{4C43B9EF-CBE7-482C-BDDC-8AF4EB02279E}" uniqueName="6" name="Shortage" queryTableFieldId="6"/>
    <tableColumn id="10" xr3:uid="{6DE5B5E2-B413-482B-B931-37473E42A784}" uniqueName="10" name="Shortage-Realistic" queryTableFieldId="27"/>
    <tableColumn id="7" xr3:uid="{0C4145FC-E490-4C03-8DE9-B698552F3FA9}" uniqueName="7" name="PlannedOvertime" queryTableFieldId="7"/>
    <tableColumn id="17" xr3:uid="{DCFF978F-3CB3-4005-95A0-3A48D033E208}" uniqueName="17" name="Day Name" queryTableFieldId="19" dataDxfId="7"/>
    <tableColumn id="18" xr3:uid="{3F81B64B-10B4-466C-B2A1-2E56C2C8C9D9}" uniqueName="18" name="Rates.Attribute" queryTableFieldId="21" dataDxfId="6"/>
    <tableColumn id="19" xr3:uid="{B7E605B9-3E9C-46CC-96EC-FA1B7380A5B2}" uniqueName="19" name="Rates.Value" queryTableFieldId="22"/>
    <tableColumn id="11" xr3:uid="{CBA09C3F-F159-4B66-95A0-4FBD70A4A4D1}" uniqueName="11" name="UnnecessaryAllocation$" queryTableFieldId="11"/>
    <tableColumn id="12" xr3:uid="{D77CD316-16F0-45CA-ADA1-8603AA8ACC36}" uniqueName="12" name="ShortageReplacement$" queryTableFieldId="12"/>
    <tableColumn id="13" xr3:uid="{01313F32-A6F9-456C-82B9-E69F1C4675C7}" uniqueName="13" name="Overtime$" queryTableFieldId="13"/>
    <tableColumn id="14" xr3:uid="{45C24500-F627-40A2-978D-D478DDEAFBEC}" uniqueName="14" name="InefficiencyCost" queryTableFieldId="1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7402B85-4613-4B85-A0D4-F82D42BF8A53}" name="Table_CostPerDay" displayName="Table_CostPerDay" ref="A1:B3" tableType="queryTable" totalsRowShown="0">
  <autoFilter ref="A1:B3" xr:uid="{67402B85-4613-4B85-A0D4-F82D42BF8A53}"/>
  <tableColumns count="2">
    <tableColumn id="2" xr3:uid="{A234161E-48A1-47A4-8282-5F7D53ADA238}" uniqueName="2" name="Facility" queryTableFieldId="6"/>
    <tableColumn id="1" xr3:uid="{B1426501-2716-4211-908F-F1474325A794}" uniqueName="1" name="Count" queryTableFieldId="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F3F85F4-17DF-4EA1-8A77-E4A2D558D89B}" name="Table_TargetRatebyDate" displayName="Table_TargetRatebyDate" ref="A1:B29" tableType="queryTable" totalsRowShown="0">
  <autoFilter ref="A1:B29" xr:uid="{2F3F85F4-17DF-4EA1-8A77-E4A2D558D89B}"/>
  <tableColumns count="2">
    <tableColumn id="1" xr3:uid="{737168CC-969B-46C5-A74D-2E8EF1A40EFD}" uniqueName="1" name="Date" queryTableFieldId="1" dataDxfId="0"/>
    <tableColumn id="3" xr3:uid="{34255EEE-188C-426A-9281-1B104FB09B8C}" uniqueName="3" name="TargetRate" queryTableFieldId="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2040AB-78F7-4A03-B25E-38D984DE46AF}" name="Table_SavingFacilityDay" displayName="Table_SavingFacilityDay" ref="A1:C29" tableType="queryTable" totalsRowShown="0">
  <autoFilter ref="A1:C29" xr:uid="{042040AB-78F7-4A03-B25E-38D984DE46AF}"/>
  <tableColumns count="3">
    <tableColumn id="1" xr3:uid="{92D367CC-525A-43C0-9E65-164C2ED8C263}" uniqueName="1" name="Date" queryTableFieldId="1" dataDxfId="5"/>
    <tableColumn id="2" xr3:uid="{CFAFBDD9-1E00-432F-8377-7FC875753DD0}" uniqueName="2" name="Facility" queryTableFieldId="2"/>
    <tableColumn id="3" xr3:uid="{2F2D5019-67EE-4016-8595-EDE3BA3F58D5}" uniqueName="3" name="Savings"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9C4BC0F-78F6-4F98-81C8-0EBCED377C79}" name="Table_Saving" displayName="Table_Saving" ref="A1:C29" tableType="queryTable" totalsRowShown="0">
  <autoFilter ref="A1:C29" xr:uid="{E9C4BC0F-78F6-4F98-81C8-0EBCED377C79}"/>
  <tableColumns count="3">
    <tableColumn id="3" xr3:uid="{29C97FFD-C884-44ED-BBF6-05EDDA059EDE}" uniqueName="3" name="Date" queryTableFieldId="3" dataDxfId="4"/>
    <tableColumn id="1" xr3:uid="{0FEEE663-0DE4-45AC-B514-A26AC81F3322}" uniqueName="1" name="Facility" queryTableFieldId="8"/>
    <tableColumn id="4" xr3:uid="{4C9BA048-1FA5-4EA1-988B-ADD0E7F905BF}" uniqueName="4" name="Savings" queryTableFieldId="5"/>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D50C43-EB2A-4D16-8B49-70207D1F2643}" name="Table_CostAG1_1DayShiftABSummary" displayName="Table_CostAG1_1DayShiftABSummary" ref="A1:G8" tableType="queryTable" totalsRowCount="1">
  <autoFilter ref="A1:G7" xr:uid="{C3D50C43-EB2A-4D16-8B49-70207D1F2643}">
    <filterColumn colId="0">
      <filters>
        <filter val="Base"/>
      </filters>
    </filterColumn>
  </autoFilter>
  <tableColumns count="7">
    <tableColumn id="7" xr3:uid="{9243356B-F7B2-4457-8F6F-B48A184BABFC}" uniqueName="7" name="Version" queryTableFieldId="8"/>
    <tableColumn id="3" xr3:uid="{A1B82DA1-D94B-49AA-9B3F-E7363FF51344}" uniqueName="3" name="Facility" queryTableFieldId="3"/>
    <tableColumn id="1" xr3:uid="{842AD35A-1AD4-4788-B4E8-F5D7C7214194}" uniqueName="1" name="L1.1" queryTableFieldId="1" dataDxfId="3"/>
    <tableColumn id="2" xr3:uid="{879E251D-6825-40AE-A010-7147A11B88F0}" uniqueName="2" name="RoleCost" totalsRowFunction="sum" queryTableFieldId="2"/>
    <tableColumn id="4" xr3:uid="{77229F25-B5EE-47C7-AAA7-434AF0D41E02}" uniqueName="4" name="UnnecessaryAllocation" queryTableFieldId="4"/>
    <tableColumn id="5" xr3:uid="{BC5E91B1-5EB6-4BB8-B25C-0427AA4B1623}" uniqueName="5" name="Shortage Replacement" queryTableFieldId="5"/>
    <tableColumn id="6" xr3:uid="{E96F41E8-8E6E-455B-B27B-36BD9670AF07}" uniqueName="6" name="OT"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0.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AA5F-719C-4DF3-A49D-5709DC886B4E}">
  <sheetPr>
    <tabColor rgb="FFFFFF00"/>
  </sheetPr>
  <dimension ref="A1:C31"/>
  <sheetViews>
    <sheetView tabSelected="1" workbookViewId="0">
      <selection activeCell="G7" sqref="G7"/>
    </sheetView>
  </sheetViews>
  <sheetFormatPr defaultColWidth="8" defaultRowHeight="12.75" x14ac:dyDescent="0.25"/>
  <cols>
    <col min="1" max="1" width="14.85546875" style="3" bestFit="1" customWidth="1"/>
    <col min="2" max="2" width="7.85546875" style="3" bestFit="1" customWidth="1"/>
    <col min="3" max="3" width="14.85546875" style="3" customWidth="1"/>
    <col min="4" max="16384" width="8" style="3"/>
  </cols>
  <sheetData>
    <row r="1" spans="1:2" ht="15" x14ac:dyDescent="0.25">
      <c r="A1" s="139" t="s">
        <v>143</v>
      </c>
      <c r="B1" s="139" t="str" cm="1">
        <f t="array" aca="1" ref="B1" ca="1">CELL("filename")</f>
        <v>C:\Users\Alex\CentriNOTSYNC\ResidentialCare\CLIENT\DATExx-Whiddon\2. Calculations\Cost\[Cost..xlsx]Unit1Path</v>
      </c>
    </row>
    <row r="2" spans="1:2" x14ac:dyDescent="0.25">
      <c r="A2" s="4"/>
      <c r="B2" s="4"/>
    </row>
    <row r="3" spans="1:2" x14ac:dyDescent="0.25">
      <c r="A3" s="4" t="s">
        <v>155</v>
      </c>
      <c r="B3" s="4" t="s">
        <v>156</v>
      </c>
    </row>
    <row r="4" spans="1:2" ht="15" x14ac:dyDescent="0.25">
      <c r="A4" t="s">
        <v>157</v>
      </c>
      <c r="B4"/>
    </row>
    <row r="5" spans="1:2" ht="15" x14ac:dyDescent="0.25">
      <c r="A5" t="s">
        <v>158</v>
      </c>
      <c r="B5"/>
    </row>
    <row r="6" spans="1:2" ht="15" x14ac:dyDescent="0.25">
      <c r="A6" t="s">
        <v>159</v>
      </c>
      <c r="B6"/>
    </row>
    <row r="7" spans="1:2" ht="15" x14ac:dyDescent="0.25">
      <c r="A7" t="s">
        <v>144</v>
      </c>
      <c r="B7"/>
    </row>
    <row r="8" spans="1:2" ht="15" x14ac:dyDescent="0.25">
      <c r="A8" t="s">
        <v>0</v>
      </c>
      <c r="B8"/>
    </row>
    <row r="9" spans="1:2" ht="15" x14ac:dyDescent="0.25">
      <c r="A9" t="s">
        <v>160</v>
      </c>
      <c r="B9"/>
    </row>
    <row r="10" spans="1:2" ht="15" x14ac:dyDescent="0.25">
      <c r="A10" t="s">
        <v>162</v>
      </c>
      <c r="B10"/>
    </row>
    <row r="11" spans="1:2" x14ac:dyDescent="0.25">
      <c r="A11" s="4"/>
      <c r="B11" s="4"/>
    </row>
    <row r="12" spans="1:2" x14ac:dyDescent="0.25">
      <c r="A12" s="4"/>
      <c r="B12" s="4"/>
    </row>
    <row r="15" spans="1:2" x14ac:dyDescent="0.25">
      <c r="A15" s="4"/>
      <c r="B15" s="4"/>
    </row>
    <row r="16" spans="1:2" x14ac:dyDescent="0.25">
      <c r="A16" s="140"/>
      <c r="B16" s="4"/>
    </row>
    <row r="17" spans="1:3" x14ac:dyDescent="0.25">
      <c r="A17" s="4"/>
      <c r="B17" s="4"/>
    </row>
    <row r="18" spans="1:3" x14ac:dyDescent="0.25">
      <c r="A18" s="4"/>
      <c r="B18" s="4"/>
    </row>
    <row r="19" spans="1:3" ht="15" x14ac:dyDescent="0.25">
      <c r="A19" s="5"/>
      <c r="B19"/>
    </row>
    <row r="20" spans="1:3" x14ac:dyDescent="0.25">
      <c r="A20" s="4"/>
      <c r="B20" s="4"/>
      <c r="C20" s="141"/>
    </row>
    <row r="21" spans="1:3" x14ac:dyDescent="0.25">
      <c r="C21" s="141"/>
    </row>
    <row r="22" spans="1:3" x14ac:dyDescent="0.25">
      <c r="C22" s="141"/>
    </row>
    <row r="23" spans="1:3" x14ac:dyDescent="0.25">
      <c r="C23" s="141"/>
    </row>
    <row r="24" spans="1:3" x14ac:dyDescent="0.25">
      <c r="A24" s="2"/>
      <c r="B24" s="2"/>
      <c r="C24" s="142"/>
    </row>
    <row r="25" spans="1:3" x14ac:dyDescent="0.25">
      <c r="C25" s="141"/>
    </row>
    <row r="26" spans="1:3" x14ac:dyDescent="0.25">
      <c r="A26" s="141"/>
      <c r="B26" s="141"/>
      <c r="C26" s="141"/>
    </row>
    <row r="27" spans="1:3" x14ac:dyDescent="0.25">
      <c r="A27" s="141"/>
      <c r="B27" s="141"/>
      <c r="C27" s="141"/>
    </row>
    <row r="31" spans="1:3" x14ac:dyDescent="0.25">
      <c r="B31" s="6"/>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12BBE-902F-4251-A7D7-D522F85D3658}">
  <dimension ref="A1:R26"/>
  <sheetViews>
    <sheetView topLeftCell="D4" zoomScale="205" zoomScaleNormal="205" workbookViewId="0">
      <selection activeCell="J18" sqref="J18"/>
    </sheetView>
  </sheetViews>
  <sheetFormatPr defaultRowHeight="15" x14ac:dyDescent="0.25"/>
  <cols>
    <col min="1" max="1" width="16" customWidth="1"/>
    <col min="3" max="3" width="12.42578125" customWidth="1"/>
    <col min="4" max="4" width="17.7109375" customWidth="1"/>
    <col min="8" max="8" width="17.28515625" customWidth="1"/>
    <col min="10" max="16" width="9.5703125" customWidth="1"/>
    <col min="17" max="17" width="14.42578125" customWidth="1"/>
    <col min="18" max="18" width="13" customWidth="1"/>
  </cols>
  <sheetData>
    <row r="1" spans="1:18" x14ac:dyDescent="0.25">
      <c r="A1" t="s">
        <v>1</v>
      </c>
      <c r="B1" t="s">
        <v>35</v>
      </c>
      <c r="C1" t="s">
        <v>36</v>
      </c>
      <c r="D1" t="s">
        <v>37</v>
      </c>
    </row>
    <row r="2" spans="1:18" x14ac:dyDescent="0.25">
      <c r="A2" t="s">
        <v>47</v>
      </c>
      <c r="B2">
        <v>23</v>
      </c>
      <c r="C2">
        <v>0.5</v>
      </c>
      <c r="D2">
        <v>0.85</v>
      </c>
    </row>
    <row r="3" spans="1:18" x14ac:dyDescent="0.25">
      <c r="A3" t="s">
        <v>48</v>
      </c>
      <c r="B3">
        <v>44</v>
      </c>
      <c r="C3">
        <v>0.5</v>
      </c>
      <c r="D3">
        <v>0.75</v>
      </c>
      <c r="O3" s="134">
        <v>1.5</v>
      </c>
      <c r="P3" s="134">
        <v>1.75</v>
      </c>
    </row>
    <row r="4" spans="1:18" x14ac:dyDescent="0.25">
      <c r="J4" t="s">
        <v>118</v>
      </c>
      <c r="O4" t="s">
        <v>130</v>
      </c>
      <c r="P4" t="s">
        <v>131</v>
      </c>
    </row>
    <row r="5" spans="1:18" x14ac:dyDescent="0.25">
      <c r="G5" t="s">
        <v>121</v>
      </c>
      <c r="H5" t="s">
        <v>13</v>
      </c>
      <c r="I5" s="7" t="s">
        <v>10</v>
      </c>
      <c r="J5">
        <v>66</v>
      </c>
      <c r="K5">
        <v>66</v>
      </c>
      <c r="L5">
        <v>66</v>
      </c>
      <c r="M5">
        <v>66</v>
      </c>
      <c r="N5">
        <v>66</v>
      </c>
      <c r="O5">
        <v>122.16</v>
      </c>
      <c r="P5">
        <v>142.53</v>
      </c>
    </row>
    <row r="6" spans="1:18" x14ac:dyDescent="0.25">
      <c r="G6" t="s">
        <v>121</v>
      </c>
      <c r="H6" t="s">
        <v>13</v>
      </c>
      <c r="I6" s="8" t="s">
        <v>12</v>
      </c>
      <c r="J6">
        <v>93</v>
      </c>
      <c r="K6">
        <v>93</v>
      </c>
      <c r="L6">
        <v>93</v>
      </c>
      <c r="M6">
        <v>93</v>
      </c>
      <c r="N6">
        <v>93</v>
      </c>
      <c r="O6">
        <v>122.16</v>
      </c>
      <c r="P6">
        <v>142.53</v>
      </c>
    </row>
    <row r="7" spans="1:18" x14ac:dyDescent="0.25">
      <c r="G7" t="s">
        <v>121</v>
      </c>
      <c r="H7" t="s">
        <v>13</v>
      </c>
      <c r="I7" s="7" t="s">
        <v>96</v>
      </c>
      <c r="J7">
        <v>95.02</v>
      </c>
      <c r="K7">
        <v>95.02</v>
      </c>
      <c r="L7">
        <v>95.02</v>
      </c>
      <c r="M7">
        <v>95.02</v>
      </c>
      <c r="N7">
        <v>95.02</v>
      </c>
      <c r="O7">
        <v>122.16</v>
      </c>
      <c r="P7">
        <v>142.53</v>
      </c>
    </row>
    <row r="8" spans="1:18" x14ac:dyDescent="0.25">
      <c r="G8" t="s">
        <v>121</v>
      </c>
      <c r="H8" t="s">
        <v>149</v>
      </c>
      <c r="I8" s="7" t="s">
        <v>10</v>
      </c>
      <c r="J8">
        <v>51.25</v>
      </c>
      <c r="K8">
        <v>51.25</v>
      </c>
      <c r="L8">
        <v>51.25</v>
      </c>
      <c r="M8">
        <v>51.25</v>
      </c>
      <c r="N8">
        <v>51.25</v>
      </c>
      <c r="O8">
        <v>73.12</v>
      </c>
      <c r="P8">
        <v>84.23</v>
      </c>
    </row>
    <row r="9" spans="1:18" x14ac:dyDescent="0.25">
      <c r="G9" t="s">
        <v>121</v>
      </c>
      <c r="H9" t="s">
        <v>149</v>
      </c>
      <c r="I9" s="8" t="s">
        <v>12</v>
      </c>
      <c r="J9">
        <v>55</v>
      </c>
      <c r="K9">
        <v>55</v>
      </c>
      <c r="L9">
        <v>55</v>
      </c>
      <c r="M9">
        <v>55</v>
      </c>
      <c r="N9">
        <v>55</v>
      </c>
      <c r="O9">
        <v>73.12</v>
      </c>
      <c r="P9">
        <v>84.23</v>
      </c>
    </row>
    <row r="10" spans="1:18" x14ac:dyDescent="0.25">
      <c r="G10" t="s">
        <v>121</v>
      </c>
      <c r="H10" t="s">
        <v>149</v>
      </c>
      <c r="I10" s="7" t="s">
        <v>96</v>
      </c>
      <c r="J10">
        <v>56.65</v>
      </c>
      <c r="K10">
        <v>56.65</v>
      </c>
      <c r="L10">
        <v>56.65</v>
      </c>
      <c r="M10">
        <v>56.65</v>
      </c>
      <c r="N10">
        <v>56.65</v>
      </c>
      <c r="O10">
        <v>73.12</v>
      </c>
      <c r="P10">
        <v>84.23</v>
      </c>
    </row>
    <row r="11" spans="1:18" x14ac:dyDescent="0.25">
      <c r="G11" t="s">
        <v>122</v>
      </c>
      <c r="H11" t="s">
        <v>13</v>
      </c>
      <c r="I11" s="7" t="s">
        <v>10</v>
      </c>
      <c r="J11">
        <v>42.88</v>
      </c>
      <c r="K11">
        <v>42.88</v>
      </c>
      <c r="L11">
        <v>42.88</v>
      </c>
      <c r="M11">
        <v>42.88</v>
      </c>
      <c r="N11">
        <v>42.88</v>
      </c>
      <c r="O11" s="135">
        <f>$O$3*J11</f>
        <v>64.320000000000007</v>
      </c>
      <c r="P11" s="135">
        <f>J11*$P$3</f>
        <v>75.040000000000006</v>
      </c>
    </row>
    <row r="12" spans="1:18" x14ac:dyDescent="0.25">
      <c r="G12" t="s">
        <v>122</v>
      </c>
      <c r="H12" t="s">
        <v>13</v>
      </c>
      <c r="I12" s="8" t="s">
        <v>12</v>
      </c>
      <c r="J12">
        <f>J11*$Q$15</f>
        <v>48.24</v>
      </c>
      <c r="K12">
        <f t="shared" ref="K12:P12" si="0">K11*$Q$15</f>
        <v>48.24</v>
      </c>
      <c r="L12">
        <f t="shared" si="0"/>
        <v>48.24</v>
      </c>
      <c r="M12">
        <f t="shared" si="0"/>
        <v>48.24</v>
      </c>
      <c r="N12">
        <f t="shared" si="0"/>
        <v>48.24</v>
      </c>
      <c r="O12">
        <f t="shared" si="0"/>
        <v>72.360000000000014</v>
      </c>
      <c r="P12">
        <f t="shared" si="0"/>
        <v>84.42</v>
      </c>
    </row>
    <row r="13" spans="1:18" x14ac:dyDescent="0.25">
      <c r="G13" t="s">
        <v>122</v>
      </c>
      <c r="H13" t="s">
        <v>13</v>
      </c>
      <c r="I13" s="7" t="s">
        <v>96</v>
      </c>
      <c r="J13">
        <f>J11*$Q$16</f>
        <v>49.311999999999998</v>
      </c>
      <c r="K13">
        <f t="shared" ref="K13:P13" si="1">K11*$Q$16</f>
        <v>49.311999999999998</v>
      </c>
      <c r="L13">
        <f t="shared" si="1"/>
        <v>49.311999999999998</v>
      </c>
      <c r="M13">
        <f t="shared" si="1"/>
        <v>49.311999999999998</v>
      </c>
      <c r="N13">
        <f t="shared" si="1"/>
        <v>49.311999999999998</v>
      </c>
      <c r="O13">
        <f t="shared" si="1"/>
        <v>73.968000000000004</v>
      </c>
      <c r="P13">
        <f t="shared" si="1"/>
        <v>86.296000000000006</v>
      </c>
    </row>
    <row r="14" spans="1:18" x14ac:dyDescent="0.25">
      <c r="G14" t="s">
        <v>122</v>
      </c>
      <c r="H14" t="s">
        <v>149</v>
      </c>
      <c r="I14" s="7" t="s">
        <v>10</v>
      </c>
      <c r="J14">
        <v>23.68</v>
      </c>
      <c r="K14">
        <v>23.68</v>
      </c>
      <c r="L14">
        <v>23.68</v>
      </c>
      <c r="M14">
        <v>23.68</v>
      </c>
      <c r="N14">
        <v>23.68</v>
      </c>
      <c r="O14" s="135">
        <f>$O$3*J14</f>
        <v>35.519999999999996</v>
      </c>
      <c r="P14" s="135">
        <f>J14*$P$3</f>
        <v>41.44</v>
      </c>
    </row>
    <row r="15" spans="1:18" x14ac:dyDescent="0.25">
      <c r="G15" t="s">
        <v>122</v>
      </c>
      <c r="H15" t="s">
        <v>149</v>
      </c>
      <c r="I15" s="8" t="s">
        <v>12</v>
      </c>
      <c r="J15" s="136">
        <f>J14*$Q$15</f>
        <v>26.64</v>
      </c>
      <c r="K15" s="136">
        <f t="shared" ref="K15:P15" si="2">K14*$Q$15</f>
        <v>26.64</v>
      </c>
      <c r="L15" s="136">
        <f t="shared" si="2"/>
        <v>26.64</v>
      </c>
      <c r="M15" s="136">
        <f t="shared" si="2"/>
        <v>26.64</v>
      </c>
      <c r="N15" s="136">
        <f t="shared" si="2"/>
        <v>26.64</v>
      </c>
      <c r="O15" s="136">
        <f t="shared" si="2"/>
        <v>39.959999999999994</v>
      </c>
      <c r="P15" s="136">
        <f t="shared" si="2"/>
        <v>46.62</v>
      </c>
      <c r="Q15" s="138">
        <v>1.125</v>
      </c>
      <c r="R15" t="s">
        <v>12</v>
      </c>
    </row>
    <row r="16" spans="1:18" x14ac:dyDescent="0.25">
      <c r="G16" t="s">
        <v>122</v>
      </c>
      <c r="H16" t="s">
        <v>149</v>
      </c>
      <c r="I16" s="7" t="s">
        <v>96</v>
      </c>
      <c r="J16" s="136">
        <f>J14*$Q$16</f>
        <v>27.231999999999999</v>
      </c>
      <c r="K16" s="136">
        <f t="shared" ref="K16:P16" si="3">K14*$Q$16</f>
        <v>27.231999999999999</v>
      </c>
      <c r="L16" s="136">
        <f t="shared" si="3"/>
        <v>27.231999999999999</v>
      </c>
      <c r="M16" s="136">
        <f t="shared" si="3"/>
        <v>27.231999999999999</v>
      </c>
      <c r="N16" s="136">
        <f t="shared" si="3"/>
        <v>27.231999999999999</v>
      </c>
      <c r="O16" s="136">
        <f t="shared" si="3"/>
        <v>40.847999999999992</v>
      </c>
      <c r="P16" s="136">
        <f t="shared" si="3"/>
        <v>47.655999999999992</v>
      </c>
      <c r="Q16" s="138">
        <v>1.1499999999999999</v>
      </c>
      <c r="R16" t="s">
        <v>96</v>
      </c>
    </row>
    <row r="17" spans="8:16" x14ac:dyDescent="0.25">
      <c r="H17" t="s">
        <v>1</v>
      </c>
      <c r="I17" t="s">
        <v>123</v>
      </c>
      <c r="J17" t="s">
        <v>125</v>
      </c>
      <c r="K17" t="s">
        <v>126</v>
      </c>
      <c r="L17" t="s">
        <v>127</v>
      </c>
      <c r="M17" t="s">
        <v>128</v>
      </c>
      <c r="N17" t="s">
        <v>129</v>
      </c>
      <c r="O17" t="s">
        <v>119</v>
      </c>
      <c r="P17" t="s">
        <v>120</v>
      </c>
    </row>
    <row r="18" spans="8:16" x14ac:dyDescent="0.25">
      <c r="H18" t="s">
        <v>48</v>
      </c>
      <c r="I18" t="s">
        <v>10</v>
      </c>
      <c r="J18" s="136">
        <f>J5-J11</f>
        <v>23.119999999999997</v>
      </c>
      <c r="K18" s="136">
        <f t="shared" ref="K18:P18" si="4">K5-K11</f>
        <v>23.119999999999997</v>
      </c>
      <c r="L18" s="136">
        <f t="shared" si="4"/>
        <v>23.119999999999997</v>
      </c>
      <c r="M18" s="136">
        <f t="shared" si="4"/>
        <v>23.119999999999997</v>
      </c>
      <c r="N18" s="136">
        <f t="shared" si="4"/>
        <v>23.119999999999997</v>
      </c>
      <c r="O18" s="136">
        <f t="shared" si="4"/>
        <v>57.839999999999989</v>
      </c>
      <c r="P18" s="136">
        <f t="shared" si="4"/>
        <v>67.489999999999995</v>
      </c>
    </row>
    <row r="19" spans="8:16" x14ac:dyDescent="0.25">
      <c r="H19" t="s">
        <v>48</v>
      </c>
      <c r="I19" t="s">
        <v>12</v>
      </c>
      <c r="J19" s="136">
        <f t="shared" ref="J19:P23" si="5">J6-J12</f>
        <v>44.76</v>
      </c>
      <c r="K19" s="136">
        <f t="shared" si="5"/>
        <v>44.76</v>
      </c>
      <c r="L19" s="136">
        <f t="shared" si="5"/>
        <v>44.76</v>
      </c>
      <c r="M19" s="136">
        <f t="shared" si="5"/>
        <v>44.76</v>
      </c>
      <c r="N19" s="136">
        <f t="shared" si="5"/>
        <v>44.76</v>
      </c>
      <c r="O19" s="136">
        <f t="shared" si="5"/>
        <v>49.799999999999983</v>
      </c>
      <c r="P19" s="136">
        <f t="shared" si="5"/>
        <v>58.11</v>
      </c>
    </row>
    <row r="20" spans="8:16" x14ac:dyDescent="0.25">
      <c r="H20" t="s">
        <v>48</v>
      </c>
      <c r="I20" t="s">
        <v>11</v>
      </c>
      <c r="J20" s="136">
        <f>J7-J13</f>
        <v>45.707999999999998</v>
      </c>
      <c r="K20" s="136">
        <f t="shared" si="5"/>
        <v>45.707999999999998</v>
      </c>
      <c r="L20" s="136">
        <f t="shared" si="5"/>
        <v>45.707999999999998</v>
      </c>
      <c r="M20" s="136">
        <f t="shared" si="5"/>
        <v>45.707999999999998</v>
      </c>
      <c r="N20" s="136">
        <f t="shared" si="5"/>
        <v>45.707999999999998</v>
      </c>
      <c r="O20" s="136">
        <f t="shared" si="5"/>
        <v>48.191999999999993</v>
      </c>
      <c r="P20" s="136">
        <f t="shared" si="5"/>
        <v>56.233999999999995</v>
      </c>
    </row>
    <row r="21" spans="8:16" x14ac:dyDescent="0.25">
      <c r="H21" t="s">
        <v>149</v>
      </c>
      <c r="I21" t="s">
        <v>10</v>
      </c>
      <c r="J21" s="136">
        <f t="shared" si="5"/>
        <v>27.57</v>
      </c>
      <c r="K21" s="136">
        <f t="shared" si="5"/>
        <v>27.57</v>
      </c>
      <c r="L21" s="136">
        <f t="shared" si="5"/>
        <v>27.57</v>
      </c>
      <c r="M21" s="136">
        <f t="shared" si="5"/>
        <v>27.57</v>
      </c>
      <c r="N21" s="136">
        <f t="shared" si="5"/>
        <v>27.57</v>
      </c>
      <c r="O21" s="136">
        <f t="shared" si="5"/>
        <v>37.600000000000009</v>
      </c>
      <c r="P21" s="136">
        <f t="shared" si="5"/>
        <v>42.790000000000006</v>
      </c>
    </row>
    <row r="22" spans="8:16" x14ac:dyDescent="0.25">
      <c r="H22" t="s">
        <v>149</v>
      </c>
      <c r="I22" t="s">
        <v>12</v>
      </c>
      <c r="J22" s="136">
        <f t="shared" si="5"/>
        <v>28.36</v>
      </c>
      <c r="K22" s="136">
        <f t="shared" si="5"/>
        <v>28.36</v>
      </c>
      <c r="L22" s="136">
        <f t="shared" si="5"/>
        <v>28.36</v>
      </c>
      <c r="M22" s="136">
        <f t="shared" si="5"/>
        <v>28.36</v>
      </c>
      <c r="N22" s="136">
        <f t="shared" si="5"/>
        <v>28.36</v>
      </c>
      <c r="O22" s="136">
        <f t="shared" si="5"/>
        <v>33.160000000000011</v>
      </c>
      <c r="P22" s="136">
        <f t="shared" si="5"/>
        <v>37.610000000000007</v>
      </c>
    </row>
    <row r="23" spans="8:16" x14ac:dyDescent="0.25">
      <c r="H23" t="s">
        <v>149</v>
      </c>
      <c r="I23" t="s">
        <v>11</v>
      </c>
      <c r="J23" s="136">
        <f t="shared" si="5"/>
        <v>29.417999999999999</v>
      </c>
      <c r="K23" s="136">
        <f t="shared" si="5"/>
        <v>29.417999999999999</v>
      </c>
      <c r="L23" s="136">
        <f t="shared" si="5"/>
        <v>29.417999999999999</v>
      </c>
      <c r="M23" s="136">
        <f t="shared" si="5"/>
        <v>29.417999999999999</v>
      </c>
      <c r="N23" s="136">
        <f t="shared" si="5"/>
        <v>29.417999999999999</v>
      </c>
      <c r="O23" s="136">
        <f t="shared" si="5"/>
        <v>32.272000000000013</v>
      </c>
      <c r="P23" s="136">
        <f t="shared" si="5"/>
        <v>36.574000000000012</v>
      </c>
    </row>
    <row r="24" spans="8:16" x14ac:dyDescent="0.25">
      <c r="H24" t="s">
        <v>151</v>
      </c>
      <c r="I24" t="s">
        <v>10</v>
      </c>
      <c r="J24" s="137">
        <f>J21</f>
        <v>27.57</v>
      </c>
      <c r="K24" s="137">
        <f t="shared" ref="K24:P24" si="6">K21</f>
        <v>27.57</v>
      </c>
      <c r="L24" s="137">
        <f t="shared" si="6"/>
        <v>27.57</v>
      </c>
      <c r="M24" s="137">
        <f t="shared" si="6"/>
        <v>27.57</v>
      </c>
      <c r="N24" s="137">
        <f t="shared" si="6"/>
        <v>27.57</v>
      </c>
      <c r="O24" s="137">
        <f t="shared" si="6"/>
        <v>37.600000000000009</v>
      </c>
      <c r="P24" s="137">
        <f t="shared" si="6"/>
        <v>42.790000000000006</v>
      </c>
    </row>
    <row r="25" spans="8:16" x14ac:dyDescent="0.25">
      <c r="H25" t="s">
        <v>151</v>
      </c>
      <c r="I25" t="s">
        <v>12</v>
      </c>
      <c r="J25" s="137">
        <f t="shared" ref="J25:P26" si="7">J22</f>
        <v>28.36</v>
      </c>
      <c r="K25" s="137">
        <f t="shared" si="7"/>
        <v>28.36</v>
      </c>
      <c r="L25" s="137">
        <f t="shared" si="7"/>
        <v>28.36</v>
      </c>
      <c r="M25" s="137">
        <f t="shared" si="7"/>
        <v>28.36</v>
      </c>
      <c r="N25" s="137">
        <f t="shared" si="7"/>
        <v>28.36</v>
      </c>
      <c r="O25" s="137">
        <f t="shared" si="7"/>
        <v>33.160000000000011</v>
      </c>
      <c r="P25" s="137">
        <f t="shared" si="7"/>
        <v>37.610000000000007</v>
      </c>
    </row>
    <row r="26" spans="8:16" x14ac:dyDescent="0.25">
      <c r="H26" t="s">
        <v>151</v>
      </c>
      <c r="I26" t="s">
        <v>11</v>
      </c>
      <c r="J26" s="137">
        <f t="shared" si="7"/>
        <v>29.417999999999999</v>
      </c>
      <c r="K26" s="137">
        <f t="shared" si="7"/>
        <v>29.417999999999999</v>
      </c>
      <c r="L26" s="137">
        <f t="shared" si="7"/>
        <v>29.417999999999999</v>
      </c>
      <c r="M26" s="137">
        <f t="shared" si="7"/>
        <v>29.417999999999999</v>
      </c>
      <c r="N26" s="137">
        <f t="shared" si="7"/>
        <v>29.417999999999999</v>
      </c>
      <c r="O26" s="137">
        <f t="shared" si="7"/>
        <v>32.272000000000013</v>
      </c>
      <c r="P26" s="137">
        <f t="shared" si="7"/>
        <v>36.574000000000012</v>
      </c>
    </row>
  </sheetData>
  <phoneticPr fontId="24" type="noConversion"/>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03C76-498B-44E8-9E14-E59FE46B3892}">
  <dimension ref="A1:AJ505"/>
  <sheetViews>
    <sheetView topLeftCell="D1" workbookViewId="0">
      <selection activeCell="V26" sqref="V26"/>
    </sheetView>
  </sheetViews>
  <sheetFormatPr defaultRowHeight="15" x14ac:dyDescent="0.25"/>
  <cols>
    <col min="1" max="1" width="10.7109375" bestFit="1" customWidth="1"/>
    <col min="2" max="3" width="6.7109375" bestFit="1" customWidth="1"/>
    <col min="4" max="4" width="12" bestFit="1" customWidth="1"/>
    <col min="5" max="6" width="6" bestFit="1" customWidth="1"/>
    <col min="7" max="10" width="12" bestFit="1" customWidth="1"/>
    <col min="11" max="11" width="27.28515625" bestFit="1" customWidth="1"/>
    <col min="12" max="12" width="17" bestFit="1" customWidth="1"/>
    <col min="13" max="13" width="14.7109375" bestFit="1" customWidth="1"/>
    <col min="14" max="14" width="28" bestFit="1" customWidth="1"/>
    <col min="15" max="15" width="25.7109375" bestFit="1" customWidth="1"/>
    <col min="16" max="16" width="30.140625" bestFit="1" customWidth="1"/>
    <col min="17" max="17" width="26.42578125" bestFit="1" customWidth="1"/>
    <col min="18" max="18" width="17.7109375" bestFit="1" customWidth="1"/>
    <col min="19" max="19" width="15.5703125" bestFit="1" customWidth="1"/>
    <col min="20" max="20" width="41.85546875" bestFit="1" customWidth="1"/>
    <col min="21" max="21" width="23.7109375" bestFit="1" customWidth="1"/>
    <col min="22" max="22" width="19" bestFit="1" customWidth="1"/>
    <col min="23" max="23" width="16.85546875" bestFit="1" customWidth="1"/>
    <col min="24" max="24" width="21.7109375" bestFit="1" customWidth="1"/>
    <col min="25" max="25" width="19.5703125" bestFit="1" customWidth="1"/>
    <col min="26" max="26" width="22.42578125" bestFit="1" customWidth="1"/>
    <col min="27" max="27" width="9.85546875" bestFit="1" customWidth="1"/>
    <col min="28" max="28" width="20.85546875" bestFit="1" customWidth="1"/>
    <col min="29" max="29" width="25.85546875" bestFit="1" customWidth="1"/>
    <col min="30" max="30" width="14.28515625" bestFit="1" customWidth="1"/>
    <col min="31" max="31" width="9.5703125" bestFit="1" customWidth="1"/>
    <col min="32" max="32" width="17.140625" bestFit="1" customWidth="1"/>
    <col min="33" max="33" width="16.42578125" customWidth="1"/>
    <col min="34" max="34" width="29" bestFit="1" customWidth="1"/>
    <col min="35" max="35" width="8.5703125" bestFit="1" customWidth="1"/>
    <col min="36" max="36" width="10.140625" customWidth="1"/>
    <col min="37" max="37" width="8.5703125" bestFit="1" customWidth="1"/>
    <col min="38" max="38" width="32" bestFit="1" customWidth="1"/>
    <col min="39" max="39" width="21.5703125" bestFit="1" customWidth="1"/>
    <col min="40" max="40" width="19.28515625" bestFit="1" customWidth="1"/>
    <col min="41" max="41" width="32.5703125" bestFit="1" customWidth="1"/>
    <col min="42" max="42" width="30.28515625" bestFit="1" customWidth="1"/>
    <col min="43" max="43" width="34.7109375" bestFit="1" customWidth="1"/>
    <col min="44" max="44" width="31" bestFit="1" customWidth="1"/>
    <col min="45" max="45" width="22.28515625" bestFit="1" customWidth="1"/>
    <col min="46" max="46" width="20.140625" bestFit="1" customWidth="1"/>
    <col min="47" max="47" width="46.42578125" bestFit="1" customWidth="1"/>
    <col min="48" max="48" width="28.28515625" bestFit="1" customWidth="1"/>
    <col min="49" max="49" width="23.7109375" bestFit="1" customWidth="1"/>
    <col min="50" max="50" width="21.42578125" bestFit="1" customWidth="1"/>
    <col min="51" max="51" width="26.28515625" bestFit="1" customWidth="1"/>
    <col min="52" max="52" width="24.140625" bestFit="1" customWidth="1"/>
    <col min="53" max="53" width="26.42578125" bestFit="1" customWidth="1"/>
    <col min="54" max="54" width="14.28515625" bestFit="1" customWidth="1"/>
    <col min="55" max="55" width="25.42578125" bestFit="1" customWidth="1"/>
    <col min="56" max="56" width="30.42578125" bestFit="1" customWidth="1"/>
    <col min="57" max="57" width="13" bestFit="1" customWidth="1"/>
    <col min="58" max="59" width="11.140625" bestFit="1" customWidth="1"/>
  </cols>
  <sheetData>
    <row r="1" spans="1:36" x14ac:dyDescent="0.25">
      <c r="A1" t="s">
        <v>0</v>
      </c>
      <c r="B1" t="s">
        <v>14</v>
      </c>
      <c r="C1" t="s">
        <v>15</v>
      </c>
      <c r="D1" t="s">
        <v>2</v>
      </c>
      <c r="E1" t="s">
        <v>3</v>
      </c>
      <c r="F1" t="s">
        <v>4</v>
      </c>
      <c r="G1" t="s">
        <v>5</v>
      </c>
      <c r="H1" t="s">
        <v>6</v>
      </c>
      <c r="I1" t="s">
        <v>7</v>
      </c>
      <c r="J1" t="s">
        <v>8</v>
      </c>
      <c r="K1" t="s">
        <v>16</v>
      </c>
      <c r="L1" t="s">
        <v>17</v>
      </c>
      <c r="M1" t="s">
        <v>18</v>
      </c>
      <c r="N1" t="s">
        <v>19</v>
      </c>
      <c r="O1" t="s">
        <v>20</v>
      </c>
      <c r="P1" t="s">
        <v>21</v>
      </c>
      <c r="Q1" t="s">
        <v>22</v>
      </c>
      <c r="R1" t="s">
        <v>23</v>
      </c>
      <c r="S1" t="s">
        <v>24</v>
      </c>
      <c r="T1" t="s">
        <v>25</v>
      </c>
      <c r="U1" t="s">
        <v>26</v>
      </c>
      <c r="V1" t="s">
        <v>27</v>
      </c>
      <c r="W1" t="s">
        <v>28</v>
      </c>
      <c r="X1" t="s">
        <v>29</v>
      </c>
      <c r="Y1" t="s">
        <v>30</v>
      </c>
      <c r="Z1" t="s">
        <v>31</v>
      </c>
      <c r="AA1" t="s">
        <v>32</v>
      </c>
      <c r="AB1" t="s">
        <v>33</v>
      </c>
      <c r="AC1" t="s">
        <v>34</v>
      </c>
      <c r="AD1" t="s">
        <v>9</v>
      </c>
      <c r="AE1" t="s">
        <v>135</v>
      </c>
      <c r="AF1" t="s">
        <v>45</v>
      </c>
      <c r="AG1" t="s">
        <v>46</v>
      </c>
      <c r="AH1" t="s">
        <v>148</v>
      </c>
      <c r="AI1" t="s">
        <v>154</v>
      </c>
      <c r="AJ1" t="s">
        <v>145</v>
      </c>
    </row>
    <row r="2" spans="1:36" x14ac:dyDescent="0.25">
      <c r="A2" s="1">
        <v>46223</v>
      </c>
      <c r="B2" t="s">
        <v>149</v>
      </c>
      <c r="C2" t="s">
        <v>11</v>
      </c>
      <c r="D2">
        <v>4.220105607573192</v>
      </c>
      <c r="E2">
        <v>6.6499999999999995</v>
      </c>
      <c r="F2">
        <v>6.6499999999999995</v>
      </c>
      <c r="G2">
        <v>4.6875</v>
      </c>
      <c r="H2">
        <v>1.5757899489686324</v>
      </c>
      <c r="I2">
        <v>1.5757899489686324</v>
      </c>
      <c r="J2">
        <v>1.1107541933519496</v>
      </c>
      <c r="K2">
        <v>0</v>
      </c>
      <c r="L2">
        <v>0</v>
      </c>
      <c r="M2">
        <v>0.32578994896863245</v>
      </c>
      <c r="N2">
        <v>0</v>
      </c>
      <c r="O2">
        <v>0</v>
      </c>
      <c r="P2">
        <v>0</v>
      </c>
      <c r="Q2">
        <v>0.11075419335194958</v>
      </c>
      <c r="R2">
        <v>0</v>
      </c>
      <c r="S2">
        <v>0.13924580664805042</v>
      </c>
      <c r="T2">
        <v>0</v>
      </c>
      <c r="U2">
        <v>0</v>
      </c>
      <c r="V2">
        <v>0</v>
      </c>
      <c r="W2">
        <v>0</v>
      </c>
      <c r="X2">
        <v>0</v>
      </c>
      <c r="Y2">
        <v>1</v>
      </c>
      <c r="Z2">
        <v>0</v>
      </c>
      <c r="AA2">
        <v>0</v>
      </c>
      <c r="AB2">
        <v>0</v>
      </c>
      <c r="AC2">
        <v>0</v>
      </c>
      <c r="AD2">
        <v>0</v>
      </c>
      <c r="AE2" t="s">
        <v>161</v>
      </c>
      <c r="AF2">
        <v>20</v>
      </c>
      <c r="AG2" t="s">
        <v>163</v>
      </c>
      <c r="AI2">
        <v>46223</v>
      </c>
      <c r="AJ2" t="s">
        <v>150</v>
      </c>
    </row>
    <row r="3" spans="1:36" x14ac:dyDescent="0.25">
      <c r="A3" s="1">
        <v>46223</v>
      </c>
      <c r="B3" t="s">
        <v>149</v>
      </c>
      <c r="C3" t="s">
        <v>12</v>
      </c>
      <c r="D3">
        <v>10.972274579690296</v>
      </c>
      <c r="E3">
        <v>16.149999999999999</v>
      </c>
      <c r="F3">
        <v>16.149999999999999</v>
      </c>
      <c r="G3">
        <v>10.234375</v>
      </c>
      <c r="H3">
        <v>1.4718917105750966</v>
      </c>
      <c r="I3">
        <v>1.4718917105750966</v>
      </c>
      <c r="J3">
        <v>0.93274871364811174</v>
      </c>
      <c r="K3">
        <v>0</v>
      </c>
      <c r="L3">
        <v>0</v>
      </c>
      <c r="M3">
        <v>0.2218917105750966</v>
      </c>
      <c r="N3">
        <v>0</v>
      </c>
      <c r="O3">
        <v>0</v>
      </c>
      <c r="P3">
        <v>0</v>
      </c>
      <c r="Q3">
        <v>0</v>
      </c>
      <c r="R3">
        <v>0</v>
      </c>
      <c r="S3">
        <v>0.25</v>
      </c>
      <c r="T3">
        <v>0</v>
      </c>
      <c r="U3">
        <v>0</v>
      </c>
      <c r="V3">
        <v>0</v>
      </c>
      <c r="W3">
        <v>6.7251286351888262E-2</v>
      </c>
      <c r="X3">
        <v>0</v>
      </c>
      <c r="Y3">
        <v>0.93274871364811174</v>
      </c>
      <c r="Z3">
        <v>0</v>
      </c>
      <c r="AA3">
        <v>0</v>
      </c>
      <c r="AB3">
        <v>0</v>
      </c>
      <c r="AC3">
        <v>0</v>
      </c>
      <c r="AD3">
        <v>0</v>
      </c>
      <c r="AE3" t="s">
        <v>161</v>
      </c>
      <c r="AF3">
        <v>20</v>
      </c>
      <c r="AG3" t="s">
        <v>164</v>
      </c>
      <c r="AI3">
        <v>46223</v>
      </c>
      <c r="AJ3" t="s">
        <v>150</v>
      </c>
    </row>
    <row r="4" spans="1:36" x14ac:dyDescent="0.25">
      <c r="A4" s="1">
        <v>46223</v>
      </c>
      <c r="B4" t="s">
        <v>149</v>
      </c>
      <c r="C4" t="s">
        <v>10</v>
      </c>
      <c r="D4">
        <v>11.872563775972576</v>
      </c>
      <c r="E4">
        <v>21.85</v>
      </c>
      <c r="F4">
        <v>21.85</v>
      </c>
      <c r="G4">
        <v>10.447916666666666</v>
      </c>
      <c r="H4">
        <v>1.8403775639613349</v>
      </c>
      <c r="I4">
        <v>1.8403775639613349</v>
      </c>
      <c r="J4">
        <v>0.88000509947235839</v>
      </c>
      <c r="K4">
        <v>0</v>
      </c>
      <c r="L4">
        <v>0</v>
      </c>
      <c r="M4">
        <v>0.59037756396133489</v>
      </c>
      <c r="N4">
        <v>0</v>
      </c>
      <c r="O4">
        <v>0</v>
      </c>
      <c r="P4">
        <v>0</v>
      </c>
      <c r="Q4">
        <v>0</v>
      </c>
      <c r="R4">
        <v>0</v>
      </c>
      <c r="S4">
        <v>0.25</v>
      </c>
      <c r="T4">
        <v>0</v>
      </c>
      <c r="U4">
        <v>0</v>
      </c>
      <c r="V4">
        <v>0</v>
      </c>
      <c r="W4">
        <v>0.11999490052764161</v>
      </c>
      <c r="X4">
        <v>0</v>
      </c>
      <c r="Y4">
        <v>0.88000509947235839</v>
      </c>
      <c r="Z4">
        <v>0</v>
      </c>
      <c r="AA4">
        <v>0</v>
      </c>
      <c r="AB4">
        <v>0</v>
      </c>
      <c r="AC4">
        <v>0</v>
      </c>
      <c r="AD4">
        <v>0</v>
      </c>
      <c r="AE4" t="s">
        <v>161</v>
      </c>
      <c r="AF4">
        <v>20</v>
      </c>
      <c r="AG4" t="s">
        <v>165</v>
      </c>
      <c r="AI4">
        <v>46223</v>
      </c>
      <c r="AJ4" t="s">
        <v>150</v>
      </c>
    </row>
    <row r="5" spans="1:36" x14ac:dyDescent="0.25">
      <c r="A5" s="1">
        <v>46223</v>
      </c>
      <c r="B5" t="s">
        <v>149</v>
      </c>
      <c r="C5" t="s">
        <v>11</v>
      </c>
      <c r="D5">
        <v>4.2207252494765797</v>
      </c>
      <c r="E5">
        <v>0</v>
      </c>
      <c r="F5">
        <v>0</v>
      </c>
      <c r="G5">
        <v>4.6875</v>
      </c>
      <c r="H5">
        <v>0</v>
      </c>
      <c r="I5">
        <v>0</v>
      </c>
      <c r="J5">
        <v>1.1105911242579236</v>
      </c>
      <c r="K5">
        <v>0.11059112425792361</v>
      </c>
      <c r="L5">
        <v>0</v>
      </c>
      <c r="M5">
        <v>0</v>
      </c>
      <c r="N5">
        <v>0</v>
      </c>
      <c r="O5">
        <v>0</v>
      </c>
      <c r="P5">
        <v>0</v>
      </c>
      <c r="Q5">
        <v>0</v>
      </c>
      <c r="R5">
        <v>0</v>
      </c>
      <c r="S5">
        <v>0</v>
      </c>
      <c r="T5">
        <v>0</v>
      </c>
      <c r="U5">
        <v>0</v>
      </c>
      <c r="V5">
        <v>0</v>
      </c>
      <c r="W5">
        <v>0</v>
      </c>
      <c r="X5">
        <v>0</v>
      </c>
      <c r="Y5">
        <v>0</v>
      </c>
      <c r="Z5">
        <v>0</v>
      </c>
      <c r="AA5">
        <v>0</v>
      </c>
      <c r="AB5">
        <v>0</v>
      </c>
      <c r="AC5">
        <v>1</v>
      </c>
      <c r="AD5">
        <v>0</v>
      </c>
      <c r="AE5" t="s">
        <v>166</v>
      </c>
      <c r="AF5">
        <v>10</v>
      </c>
      <c r="AG5" t="s">
        <v>163</v>
      </c>
      <c r="AH5">
        <v>1</v>
      </c>
      <c r="AI5">
        <v>46223</v>
      </c>
      <c r="AJ5" t="s">
        <v>150</v>
      </c>
    </row>
    <row r="6" spans="1:36" x14ac:dyDescent="0.25">
      <c r="A6" s="1">
        <v>46223</v>
      </c>
      <c r="B6" t="s">
        <v>149</v>
      </c>
      <c r="C6" t="s">
        <v>12</v>
      </c>
      <c r="D6">
        <v>10.973885648639106</v>
      </c>
      <c r="E6">
        <v>0.95</v>
      </c>
      <c r="F6">
        <v>0.95</v>
      </c>
      <c r="G6">
        <v>10.234375</v>
      </c>
      <c r="H6">
        <v>8.6569154301130463E-2</v>
      </c>
      <c r="I6">
        <v>8.6569154301130463E-2</v>
      </c>
      <c r="J6">
        <v>0.93261177742171808</v>
      </c>
      <c r="K6">
        <v>0</v>
      </c>
      <c r="L6">
        <v>0</v>
      </c>
      <c r="M6">
        <v>0</v>
      </c>
      <c r="N6">
        <v>0</v>
      </c>
      <c r="O6">
        <v>0</v>
      </c>
      <c r="P6">
        <v>0</v>
      </c>
      <c r="Q6">
        <v>0</v>
      </c>
      <c r="R6">
        <v>0</v>
      </c>
      <c r="S6">
        <v>0</v>
      </c>
      <c r="T6">
        <v>0.84604262312058764</v>
      </c>
      <c r="U6">
        <v>6.738822257828192E-2</v>
      </c>
      <c r="V6">
        <v>0</v>
      </c>
      <c r="W6">
        <v>0</v>
      </c>
      <c r="X6">
        <v>0</v>
      </c>
      <c r="Y6">
        <v>8.6569154301130463E-2</v>
      </c>
      <c r="Z6">
        <v>0</v>
      </c>
      <c r="AA6">
        <v>0</v>
      </c>
      <c r="AB6">
        <v>0</v>
      </c>
      <c r="AC6">
        <v>0</v>
      </c>
      <c r="AD6">
        <v>0</v>
      </c>
      <c r="AE6" t="s">
        <v>166</v>
      </c>
      <c r="AF6">
        <v>10</v>
      </c>
      <c r="AG6" t="s">
        <v>164</v>
      </c>
      <c r="AH6">
        <v>1</v>
      </c>
      <c r="AI6">
        <v>46223</v>
      </c>
      <c r="AJ6" t="s">
        <v>150</v>
      </c>
    </row>
    <row r="7" spans="1:36" x14ac:dyDescent="0.25">
      <c r="A7" s="1">
        <v>46223</v>
      </c>
      <c r="B7" t="s">
        <v>149</v>
      </c>
      <c r="C7" t="s">
        <v>10</v>
      </c>
      <c r="D7">
        <v>11.87078976415288</v>
      </c>
      <c r="E7">
        <v>3.8</v>
      </c>
      <c r="F7">
        <v>3.8</v>
      </c>
      <c r="G7">
        <v>10.447916666666666</v>
      </c>
      <c r="H7">
        <v>0.32011349501573577</v>
      </c>
      <c r="I7">
        <v>0.32011349501573577</v>
      </c>
      <c r="J7">
        <v>0.88013661047363745</v>
      </c>
      <c r="K7">
        <v>0</v>
      </c>
      <c r="L7">
        <v>0</v>
      </c>
      <c r="M7">
        <v>0</v>
      </c>
      <c r="N7">
        <v>0</v>
      </c>
      <c r="O7">
        <v>0</v>
      </c>
      <c r="P7">
        <v>0</v>
      </c>
      <c r="Q7">
        <v>0</v>
      </c>
      <c r="R7">
        <v>0</v>
      </c>
      <c r="S7">
        <v>0</v>
      </c>
      <c r="T7">
        <v>0.56002311545790162</v>
      </c>
      <c r="U7">
        <v>0.11986338952636255</v>
      </c>
      <c r="V7">
        <v>0</v>
      </c>
      <c r="W7">
        <v>0</v>
      </c>
      <c r="X7">
        <v>0</v>
      </c>
      <c r="Y7">
        <v>0.32011349501573577</v>
      </c>
      <c r="Z7">
        <v>0</v>
      </c>
      <c r="AA7">
        <v>0</v>
      </c>
      <c r="AB7">
        <v>0</v>
      </c>
      <c r="AC7">
        <v>0</v>
      </c>
      <c r="AD7">
        <v>0</v>
      </c>
      <c r="AE7" t="s">
        <v>166</v>
      </c>
      <c r="AF7">
        <v>10</v>
      </c>
      <c r="AG7" t="s">
        <v>165</v>
      </c>
      <c r="AH7">
        <v>1</v>
      </c>
      <c r="AI7">
        <v>46223</v>
      </c>
      <c r="AJ7" t="s">
        <v>150</v>
      </c>
    </row>
    <row r="8" spans="1:36" x14ac:dyDescent="0.25">
      <c r="A8" s="1">
        <v>46224</v>
      </c>
      <c r="B8" t="s">
        <v>149</v>
      </c>
      <c r="C8" t="s">
        <v>11</v>
      </c>
      <c r="D8">
        <v>4.220105607573192</v>
      </c>
      <c r="E8">
        <v>5.6999999999999993</v>
      </c>
      <c r="F8">
        <v>5.6999999999999993</v>
      </c>
      <c r="G8">
        <v>4.6875</v>
      </c>
      <c r="H8">
        <v>1.3506770991159704</v>
      </c>
      <c r="I8">
        <v>1.3506770991159704</v>
      </c>
      <c r="J8">
        <v>1.1107541933519496</v>
      </c>
      <c r="K8">
        <v>0</v>
      </c>
      <c r="L8">
        <v>0</v>
      </c>
      <c r="M8">
        <v>0.10067709911597045</v>
      </c>
      <c r="N8">
        <v>0</v>
      </c>
      <c r="O8">
        <v>0</v>
      </c>
      <c r="P8">
        <v>0</v>
      </c>
      <c r="Q8">
        <v>0.11075419335194958</v>
      </c>
      <c r="R8">
        <v>0</v>
      </c>
      <c r="S8">
        <v>0.13924580664805042</v>
      </c>
      <c r="T8">
        <v>0</v>
      </c>
      <c r="U8">
        <v>0</v>
      </c>
      <c r="V8">
        <v>0</v>
      </c>
      <c r="W8">
        <v>0</v>
      </c>
      <c r="X8">
        <v>0</v>
      </c>
      <c r="Y8">
        <v>1</v>
      </c>
      <c r="Z8">
        <v>0</v>
      </c>
      <c r="AA8">
        <v>0</v>
      </c>
      <c r="AB8">
        <v>0</v>
      </c>
      <c r="AC8">
        <v>0</v>
      </c>
      <c r="AD8">
        <v>0</v>
      </c>
      <c r="AE8" t="s">
        <v>161</v>
      </c>
      <c r="AF8">
        <v>20</v>
      </c>
      <c r="AG8" t="s">
        <v>167</v>
      </c>
      <c r="AI8">
        <v>46224</v>
      </c>
      <c r="AJ8" t="s">
        <v>150</v>
      </c>
    </row>
    <row r="9" spans="1:36" x14ac:dyDescent="0.25">
      <c r="A9" s="1">
        <v>46224</v>
      </c>
      <c r="B9" t="s">
        <v>149</v>
      </c>
      <c r="C9" t="s">
        <v>10</v>
      </c>
      <c r="D9">
        <v>13.026059308709252</v>
      </c>
      <c r="E9">
        <v>24.7</v>
      </c>
      <c r="F9">
        <v>24.7</v>
      </c>
      <c r="G9">
        <v>11.6875</v>
      </c>
      <c r="H9">
        <v>1.8961989512427235</v>
      </c>
      <c r="I9">
        <v>1.8961989512427235</v>
      </c>
      <c r="J9">
        <v>0.8972398883663697</v>
      </c>
      <c r="K9">
        <v>0</v>
      </c>
      <c r="L9">
        <v>0</v>
      </c>
      <c r="M9">
        <v>0.64619895124272353</v>
      </c>
      <c r="N9">
        <v>0</v>
      </c>
      <c r="O9">
        <v>0</v>
      </c>
      <c r="P9">
        <v>0</v>
      </c>
      <c r="Q9">
        <v>0</v>
      </c>
      <c r="R9">
        <v>0</v>
      </c>
      <c r="S9">
        <v>0.25</v>
      </c>
      <c r="T9">
        <v>0</v>
      </c>
      <c r="U9">
        <v>0</v>
      </c>
      <c r="V9">
        <v>0</v>
      </c>
      <c r="W9">
        <v>0.1027601116336303</v>
      </c>
      <c r="X9">
        <v>0</v>
      </c>
      <c r="Y9">
        <v>0.8972398883663697</v>
      </c>
      <c r="Z9">
        <v>0</v>
      </c>
      <c r="AA9">
        <v>0</v>
      </c>
      <c r="AB9">
        <v>0</v>
      </c>
      <c r="AC9">
        <v>0</v>
      </c>
      <c r="AD9">
        <v>0</v>
      </c>
      <c r="AE9" t="s">
        <v>161</v>
      </c>
      <c r="AF9">
        <v>20</v>
      </c>
      <c r="AG9" t="s">
        <v>168</v>
      </c>
      <c r="AI9">
        <v>46224</v>
      </c>
      <c r="AJ9" t="s">
        <v>150</v>
      </c>
    </row>
    <row r="10" spans="1:36" x14ac:dyDescent="0.25">
      <c r="A10" s="1">
        <v>46224</v>
      </c>
      <c r="B10" t="s">
        <v>149</v>
      </c>
      <c r="C10" t="s">
        <v>12</v>
      </c>
      <c r="D10">
        <v>10.972274579690296</v>
      </c>
      <c r="E10">
        <v>16.149999999999999</v>
      </c>
      <c r="F10">
        <v>16.149999999999999</v>
      </c>
      <c r="G10">
        <v>11.25</v>
      </c>
      <c r="H10">
        <v>1.4718917105750966</v>
      </c>
      <c r="I10">
        <v>1.4718917105750966</v>
      </c>
      <c r="J10">
        <v>1.0253115630941076</v>
      </c>
      <c r="K10">
        <v>0</v>
      </c>
      <c r="L10">
        <v>0</v>
      </c>
      <c r="M10">
        <v>0.2218917105750966</v>
      </c>
      <c r="N10">
        <v>0</v>
      </c>
      <c r="O10">
        <v>0</v>
      </c>
      <c r="P10">
        <v>0</v>
      </c>
      <c r="Q10">
        <v>2.5311563094107647E-2</v>
      </c>
      <c r="R10">
        <v>0</v>
      </c>
      <c r="S10">
        <v>0.22468843690589235</v>
      </c>
      <c r="T10">
        <v>0</v>
      </c>
      <c r="U10">
        <v>0</v>
      </c>
      <c r="V10">
        <v>0</v>
      </c>
      <c r="W10">
        <v>0</v>
      </c>
      <c r="X10">
        <v>0</v>
      </c>
      <c r="Y10">
        <v>1</v>
      </c>
      <c r="Z10">
        <v>0</v>
      </c>
      <c r="AA10">
        <v>0</v>
      </c>
      <c r="AB10">
        <v>0</v>
      </c>
      <c r="AC10">
        <v>0</v>
      </c>
      <c r="AD10">
        <v>0</v>
      </c>
      <c r="AE10" t="s">
        <v>161</v>
      </c>
      <c r="AF10">
        <v>20</v>
      </c>
      <c r="AG10" t="s">
        <v>169</v>
      </c>
      <c r="AI10">
        <v>46224</v>
      </c>
      <c r="AJ10" t="s">
        <v>150</v>
      </c>
    </row>
    <row r="11" spans="1:36" x14ac:dyDescent="0.25">
      <c r="A11" s="1">
        <v>46224</v>
      </c>
      <c r="B11" t="s">
        <v>149</v>
      </c>
      <c r="C11" t="s">
        <v>11</v>
      </c>
      <c r="D11">
        <v>4.2207252494765797</v>
      </c>
      <c r="E11">
        <v>0</v>
      </c>
      <c r="F11">
        <v>0</v>
      </c>
      <c r="G11">
        <v>4.6875</v>
      </c>
      <c r="H11">
        <v>0</v>
      </c>
      <c r="I11">
        <v>0</v>
      </c>
      <c r="J11">
        <v>1.1105911242579236</v>
      </c>
      <c r="K11">
        <v>0.11059112425792361</v>
      </c>
      <c r="L11">
        <v>0</v>
      </c>
      <c r="M11">
        <v>0</v>
      </c>
      <c r="N11">
        <v>0</v>
      </c>
      <c r="O11">
        <v>0</v>
      </c>
      <c r="P11">
        <v>0</v>
      </c>
      <c r="Q11">
        <v>0</v>
      </c>
      <c r="R11">
        <v>0</v>
      </c>
      <c r="S11">
        <v>0</v>
      </c>
      <c r="T11">
        <v>0</v>
      </c>
      <c r="U11">
        <v>0</v>
      </c>
      <c r="V11">
        <v>0</v>
      </c>
      <c r="W11">
        <v>0</v>
      </c>
      <c r="X11">
        <v>0</v>
      </c>
      <c r="Y11">
        <v>0</v>
      </c>
      <c r="Z11">
        <v>0</v>
      </c>
      <c r="AA11">
        <v>0</v>
      </c>
      <c r="AB11">
        <v>0</v>
      </c>
      <c r="AC11">
        <v>1</v>
      </c>
      <c r="AD11">
        <v>0</v>
      </c>
      <c r="AE11" t="s">
        <v>166</v>
      </c>
      <c r="AF11">
        <v>10</v>
      </c>
      <c r="AG11" t="s">
        <v>167</v>
      </c>
      <c r="AH11">
        <v>1</v>
      </c>
      <c r="AI11">
        <v>46224</v>
      </c>
      <c r="AJ11" t="s">
        <v>150</v>
      </c>
    </row>
    <row r="12" spans="1:36" x14ac:dyDescent="0.25">
      <c r="A12" s="1">
        <v>46224</v>
      </c>
      <c r="B12" t="s">
        <v>149</v>
      </c>
      <c r="C12" t="s">
        <v>10</v>
      </c>
      <c r="D12">
        <v>13.005109674949711</v>
      </c>
      <c r="E12">
        <v>1.9</v>
      </c>
      <c r="F12">
        <v>1.9</v>
      </c>
      <c r="G12">
        <v>11.6875</v>
      </c>
      <c r="H12">
        <v>0.14609642267452441</v>
      </c>
      <c r="I12">
        <v>0.14609642267452441</v>
      </c>
      <c r="J12">
        <v>0.89868523158342328</v>
      </c>
      <c r="K12">
        <v>0</v>
      </c>
      <c r="L12">
        <v>0</v>
      </c>
      <c r="M12">
        <v>0</v>
      </c>
      <c r="N12">
        <v>0</v>
      </c>
      <c r="O12">
        <v>0</v>
      </c>
      <c r="P12">
        <v>0</v>
      </c>
      <c r="Q12">
        <v>0</v>
      </c>
      <c r="R12">
        <v>0</v>
      </c>
      <c r="S12">
        <v>0</v>
      </c>
      <c r="T12">
        <v>0.7525888089088989</v>
      </c>
      <c r="U12">
        <v>0.10131476841657672</v>
      </c>
      <c r="V12">
        <v>0</v>
      </c>
      <c r="W12">
        <v>0</v>
      </c>
      <c r="X12">
        <v>0</v>
      </c>
      <c r="Y12">
        <v>0.14609642267452441</v>
      </c>
      <c r="Z12">
        <v>0</v>
      </c>
      <c r="AA12">
        <v>0</v>
      </c>
      <c r="AB12">
        <v>0</v>
      </c>
      <c r="AC12">
        <v>0</v>
      </c>
      <c r="AD12">
        <v>0</v>
      </c>
      <c r="AE12" t="s">
        <v>166</v>
      </c>
      <c r="AF12">
        <v>10</v>
      </c>
      <c r="AG12" t="s">
        <v>168</v>
      </c>
      <c r="AH12">
        <v>1</v>
      </c>
      <c r="AI12">
        <v>46224</v>
      </c>
      <c r="AJ12" t="s">
        <v>150</v>
      </c>
    </row>
    <row r="13" spans="1:36" x14ac:dyDescent="0.25">
      <c r="A13" s="1">
        <v>46224</v>
      </c>
      <c r="B13" t="s">
        <v>149</v>
      </c>
      <c r="C13" t="s">
        <v>12</v>
      </c>
      <c r="D13">
        <v>10.973885648639106</v>
      </c>
      <c r="E13">
        <v>2.8499999999999996</v>
      </c>
      <c r="F13">
        <v>2.8499999999999996</v>
      </c>
      <c r="G13">
        <v>11.25</v>
      </c>
      <c r="H13">
        <v>0.25970746290339136</v>
      </c>
      <c r="I13">
        <v>0.25970746290339136</v>
      </c>
      <c r="J13">
        <v>1.025161037776545</v>
      </c>
      <c r="K13">
        <v>2.5161037776544992E-2</v>
      </c>
      <c r="L13">
        <v>0</v>
      </c>
      <c r="M13">
        <v>0</v>
      </c>
      <c r="N13">
        <v>0</v>
      </c>
      <c r="O13">
        <v>0</v>
      </c>
      <c r="P13">
        <v>0</v>
      </c>
      <c r="Q13">
        <v>0</v>
      </c>
      <c r="R13">
        <v>0</v>
      </c>
      <c r="S13">
        <v>0</v>
      </c>
      <c r="T13">
        <v>0.74029253709660869</v>
      </c>
      <c r="U13">
        <v>0</v>
      </c>
      <c r="V13">
        <v>0</v>
      </c>
      <c r="W13">
        <v>0</v>
      </c>
      <c r="X13">
        <v>0</v>
      </c>
      <c r="Y13">
        <v>0.25970746290339136</v>
      </c>
      <c r="Z13">
        <v>0</v>
      </c>
      <c r="AA13">
        <v>0</v>
      </c>
      <c r="AB13">
        <v>0</v>
      </c>
      <c r="AC13">
        <v>0</v>
      </c>
      <c r="AD13">
        <v>0</v>
      </c>
      <c r="AE13" t="s">
        <v>166</v>
      </c>
      <c r="AF13">
        <v>10</v>
      </c>
      <c r="AG13" t="s">
        <v>169</v>
      </c>
      <c r="AH13">
        <v>1</v>
      </c>
      <c r="AI13">
        <v>46224</v>
      </c>
      <c r="AJ13" t="s">
        <v>150</v>
      </c>
    </row>
    <row r="14" spans="1:36" x14ac:dyDescent="0.25">
      <c r="A14" s="1">
        <v>46225</v>
      </c>
      <c r="B14" t="s">
        <v>149</v>
      </c>
      <c r="C14" t="s">
        <v>10</v>
      </c>
      <c r="D14">
        <v>12.57591471056811</v>
      </c>
      <c r="E14">
        <v>22.799999999999997</v>
      </c>
      <c r="F14">
        <v>22.799999999999997</v>
      </c>
      <c r="G14">
        <v>11.496323529411764</v>
      </c>
      <c r="H14">
        <v>1.8129893947865379</v>
      </c>
      <c r="I14">
        <v>1.8129893947865379</v>
      </c>
      <c r="J14">
        <v>0.91415406306396807</v>
      </c>
      <c r="K14">
        <v>0</v>
      </c>
      <c r="L14">
        <v>0</v>
      </c>
      <c r="M14">
        <v>0.56298939478653787</v>
      </c>
      <c r="N14">
        <v>0</v>
      </c>
      <c r="O14">
        <v>0</v>
      </c>
      <c r="P14">
        <v>0</v>
      </c>
      <c r="Q14">
        <v>0</v>
      </c>
      <c r="R14">
        <v>0</v>
      </c>
      <c r="S14">
        <v>0.25</v>
      </c>
      <c r="T14">
        <v>0</v>
      </c>
      <c r="U14">
        <v>0</v>
      </c>
      <c r="V14">
        <v>0</v>
      </c>
      <c r="W14">
        <v>8.584593693603193E-2</v>
      </c>
      <c r="X14">
        <v>0</v>
      </c>
      <c r="Y14">
        <v>0.91415406306396807</v>
      </c>
      <c r="Z14">
        <v>0</v>
      </c>
      <c r="AA14">
        <v>0</v>
      </c>
      <c r="AB14">
        <v>0</v>
      </c>
      <c r="AC14">
        <v>0</v>
      </c>
      <c r="AD14">
        <v>0</v>
      </c>
      <c r="AE14" t="s">
        <v>161</v>
      </c>
      <c r="AF14">
        <v>20</v>
      </c>
      <c r="AG14" t="s">
        <v>170</v>
      </c>
      <c r="AI14">
        <v>46225</v>
      </c>
      <c r="AJ14" t="s">
        <v>150</v>
      </c>
    </row>
    <row r="15" spans="1:36" x14ac:dyDescent="0.25">
      <c r="A15" s="1">
        <v>46225</v>
      </c>
      <c r="B15" t="s">
        <v>149</v>
      </c>
      <c r="C15" t="s">
        <v>12</v>
      </c>
      <c r="D15">
        <v>10.80347035538737</v>
      </c>
      <c r="E15">
        <v>15.2</v>
      </c>
      <c r="F15">
        <v>15.2</v>
      </c>
      <c r="G15">
        <v>11.244747899159664</v>
      </c>
      <c r="H15">
        <v>1.4069553115791362</v>
      </c>
      <c r="I15">
        <v>1.4069553115791362</v>
      </c>
      <c r="J15">
        <v>1.0408459068480937</v>
      </c>
      <c r="K15">
        <v>0</v>
      </c>
      <c r="L15">
        <v>0</v>
      </c>
      <c r="M15">
        <v>0.15695531157913623</v>
      </c>
      <c r="N15">
        <v>0</v>
      </c>
      <c r="O15">
        <v>0</v>
      </c>
      <c r="P15">
        <v>0</v>
      </c>
      <c r="Q15">
        <v>4.0845906848093749E-2</v>
      </c>
      <c r="R15">
        <v>0</v>
      </c>
      <c r="S15">
        <v>0.20915409315190625</v>
      </c>
      <c r="T15">
        <v>0</v>
      </c>
      <c r="U15">
        <v>0</v>
      </c>
      <c r="V15">
        <v>0</v>
      </c>
      <c r="W15">
        <v>0</v>
      </c>
      <c r="X15">
        <v>0</v>
      </c>
      <c r="Y15">
        <v>1</v>
      </c>
      <c r="Z15">
        <v>0</v>
      </c>
      <c r="AA15">
        <v>0</v>
      </c>
      <c r="AB15">
        <v>0</v>
      </c>
      <c r="AC15">
        <v>0</v>
      </c>
      <c r="AD15">
        <v>0</v>
      </c>
      <c r="AE15" t="s">
        <v>161</v>
      </c>
      <c r="AF15">
        <v>20</v>
      </c>
      <c r="AG15" t="s">
        <v>171</v>
      </c>
      <c r="AI15">
        <v>46225</v>
      </c>
      <c r="AJ15" t="s">
        <v>150</v>
      </c>
    </row>
    <row r="16" spans="1:36" x14ac:dyDescent="0.25">
      <c r="A16" s="1">
        <v>46225</v>
      </c>
      <c r="B16" t="s">
        <v>149</v>
      </c>
      <c r="C16" t="s">
        <v>11</v>
      </c>
      <c r="D16">
        <v>4.2201056075731911</v>
      </c>
      <c r="E16">
        <v>3.8</v>
      </c>
      <c r="F16">
        <v>3.8</v>
      </c>
      <c r="G16">
        <v>4.5044642857142865</v>
      </c>
      <c r="H16">
        <v>0.90045139941064734</v>
      </c>
      <c r="I16">
        <v>0.90045139941064734</v>
      </c>
      <c r="J16">
        <v>1.0673818867543976</v>
      </c>
      <c r="K16">
        <v>6.7381886754397602E-2</v>
      </c>
      <c r="L16">
        <v>0</v>
      </c>
      <c r="M16">
        <v>0</v>
      </c>
      <c r="N16">
        <v>0</v>
      </c>
      <c r="O16">
        <v>0</v>
      </c>
      <c r="P16">
        <v>0</v>
      </c>
      <c r="Q16">
        <v>0</v>
      </c>
      <c r="R16">
        <v>0</v>
      </c>
      <c r="S16">
        <v>0</v>
      </c>
      <c r="T16">
        <v>9.9548600589352665E-2</v>
      </c>
      <c r="U16">
        <v>0</v>
      </c>
      <c r="V16">
        <v>0</v>
      </c>
      <c r="W16">
        <v>0</v>
      </c>
      <c r="X16">
        <v>0</v>
      </c>
      <c r="Y16">
        <v>0.90045139941064734</v>
      </c>
      <c r="Z16">
        <v>0</v>
      </c>
      <c r="AA16">
        <v>0</v>
      </c>
      <c r="AB16">
        <v>0</v>
      </c>
      <c r="AC16">
        <v>0</v>
      </c>
      <c r="AD16">
        <v>0</v>
      </c>
      <c r="AE16" t="s">
        <v>161</v>
      </c>
      <c r="AF16">
        <v>20</v>
      </c>
      <c r="AG16" t="s">
        <v>172</v>
      </c>
      <c r="AI16">
        <v>46225</v>
      </c>
      <c r="AJ16" t="s">
        <v>150</v>
      </c>
    </row>
    <row r="17" spans="1:36" x14ac:dyDescent="0.25">
      <c r="A17" s="1">
        <v>46225</v>
      </c>
      <c r="B17" t="s">
        <v>149</v>
      </c>
      <c r="C17" t="s">
        <v>10</v>
      </c>
      <c r="D17">
        <v>12.583037150002054</v>
      </c>
      <c r="E17">
        <v>2.8499999999999996</v>
      </c>
      <c r="F17">
        <v>2.8499999999999996</v>
      </c>
      <c r="G17">
        <v>11.496323529411764</v>
      </c>
      <c r="H17">
        <v>0.22649539741679411</v>
      </c>
      <c r="I17">
        <v>0.22649539741679411</v>
      </c>
      <c r="J17">
        <v>0.91363661986882772</v>
      </c>
      <c r="K17">
        <v>0</v>
      </c>
      <c r="L17">
        <v>0</v>
      </c>
      <c r="M17">
        <v>0</v>
      </c>
      <c r="N17">
        <v>0</v>
      </c>
      <c r="O17">
        <v>0</v>
      </c>
      <c r="P17">
        <v>0</v>
      </c>
      <c r="Q17">
        <v>0</v>
      </c>
      <c r="R17">
        <v>0</v>
      </c>
      <c r="S17">
        <v>0</v>
      </c>
      <c r="T17">
        <v>0.68714122245203357</v>
      </c>
      <c r="U17">
        <v>8.6363380131172285E-2</v>
      </c>
      <c r="V17">
        <v>0</v>
      </c>
      <c r="W17">
        <v>0</v>
      </c>
      <c r="X17">
        <v>0</v>
      </c>
      <c r="Y17">
        <v>0.22649539741679411</v>
      </c>
      <c r="Z17">
        <v>0</v>
      </c>
      <c r="AA17">
        <v>0</v>
      </c>
      <c r="AB17">
        <v>0</v>
      </c>
      <c r="AC17">
        <v>0</v>
      </c>
      <c r="AD17">
        <v>0</v>
      </c>
      <c r="AE17" t="s">
        <v>166</v>
      </c>
      <c r="AF17">
        <v>10</v>
      </c>
      <c r="AG17" t="s">
        <v>170</v>
      </c>
      <c r="AH17">
        <v>1</v>
      </c>
      <c r="AI17">
        <v>46225</v>
      </c>
      <c r="AJ17" t="s">
        <v>150</v>
      </c>
    </row>
    <row r="18" spans="1:36" x14ac:dyDescent="0.25">
      <c r="A18" s="1">
        <v>46225</v>
      </c>
      <c r="B18" t="s">
        <v>149</v>
      </c>
      <c r="C18" t="s">
        <v>12</v>
      </c>
      <c r="D18">
        <v>10.815608451783737</v>
      </c>
      <c r="E18">
        <v>0.95</v>
      </c>
      <c r="F18">
        <v>0.95</v>
      </c>
      <c r="G18">
        <v>11.244747899159664</v>
      </c>
      <c r="H18">
        <v>8.7836019973829921E-2</v>
      </c>
      <c r="I18">
        <v>8.7836019973829921E-2</v>
      </c>
      <c r="J18">
        <v>1.0396777906013372</v>
      </c>
      <c r="K18">
        <v>3.9677790601337248E-2</v>
      </c>
      <c r="L18">
        <v>0</v>
      </c>
      <c r="M18">
        <v>0</v>
      </c>
      <c r="N18">
        <v>0</v>
      </c>
      <c r="O18">
        <v>0</v>
      </c>
      <c r="P18">
        <v>0</v>
      </c>
      <c r="Q18">
        <v>0</v>
      </c>
      <c r="R18">
        <v>0</v>
      </c>
      <c r="S18">
        <v>0</v>
      </c>
      <c r="T18">
        <v>0.91216398002617005</v>
      </c>
      <c r="U18">
        <v>0</v>
      </c>
      <c r="V18">
        <v>0</v>
      </c>
      <c r="W18">
        <v>0</v>
      </c>
      <c r="X18">
        <v>0</v>
      </c>
      <c r="Y18">
        <v>8.7836019973829921E-2</v>
      </c>
      <c r="Z18">
        <v>0</v>
      </c>
      <c r="AA18">
        <v>0</v>
      </c>
      <c r="AB18">
        <v>0</v>
      </c>
      <c r="AC18">
        <v>0</v>
      </c>
      <c r="AD18">
        <v>0</v>
      </c>
      <c r="AE18" t="s">
        <v>166</v>
      </c>
      <c r="AF18">
        <v>10</v>
      </c>
      <c r="AG18" t="s">
        <v>171</v>
      </c>
      <c r="AH18">
        <v>1</v>
      </c>
      <c r="AI18">
        <v>46225</v>
      </c>
      <c r="AJ18" t="s">
        <v>150</v>
      </c>
    </row>
    <row r="19" spans="1:36" x14ac:dyDescent="0.25">
      <c r="A19" s="1">
        <v>46225</v>
      </c>
      <c r="B19" t="s">
        <v>149</v>
      </c>
      <c r="C19" t="s">
        <v>11</v>
      </c>
      <c r="D19">
        <v>4.2207252494765788</v>
      </c>
      <c r="E19">
        <v>2.8499999999999996</v>
      </c>
      <c r="F19">
        <v>2.8499999999999996</v>
      </c>
      <c r="G19">
        <v>4.5044642857142865</v>
      </c>
      <c r="H19">
        <v>0.67523940354881762</v>
      </c>
      <c r="I19">
        <v>0.67523940354881762</v>
      </c>
      <c r="J19">
        <v>1.0672251851202337</v>
      </c>
      <c r="K19">
        <v>6.7225185120233677E-2</v>
      </c>
      <c r="L19">
        <v>0</v>
      </c>
      <c r="M19">
        <v>0</v>
      </c>
      <c r="N19">
        <v>0</v>
      </c>
      <c r="O19">
        <v>0</v>
      </c>
      <c r="P19">
        <v>0</v>
      </c>
      <c r="Q19">
        <v>0</v>
      </c>
      <c r="R19">
        <v>0</v>
      </c>
      <c r="S19">
        <v>0</v>
      </c>
      <c r="T19">
        <v>0.32476059645118238</v>
      </c>
      <c r="U19">
        <v>0</v>
      </c>
      <c r="V19">
        <v>0</v>
      </c>
      <c r="W19">
        <v>0</v>
      </c>
      <c r="X19">
        <v>0</v>
      </c>
      <c r="Y19">
        <v>0.67523940354881762</v>
      </c>
      <c r="Z19">
        <v>0</v>
      </c>
      <c r="AA19">
        <v>0</v>
      </c>
      <c r="AB19">
        <v>0</v>
      </c>
      <c r="AC19">
        <v>0</v>
      </c>
      <c r="AD19">
        <v>0</v>
      </c>
      <c r="AE19" t="s">
        <v>166</v>
      </c>
      <c r="AF19">
        <v>10</v>
      </c>
      <c r="AG19" t="s">
        <v>172</v>
      </c>
      <c r="AH19">
        <v>1</v>
      </c>
      <c r="AI19">
        <v>46225</v>
      </c>
      <c r="AJ19" t="s">
        <v>150</v>
      </c>
    </row>
    <row r="20" spans="1:36" x14ac:dyDescent="0.25">
      <c r="A20" s="1">
        <v>46226</v>
      </c>
      <c r="B20" t="s">
        <v>149</v>
      </c>
      <c r="C20" t="s">
        <v>12</v>
      </c>
      <c r="D20">
        <v>10.972274579690296</v>
      </c>
      <c r="E20">
        <v>17.099999999999998</v>
      </c>
      <c r="F20">
        <v>17.099999999999998</v>
      </c>
      <c r="G20">
        <v>10.3125</v>
      </c>
      <c r="H20">
        <v>1.5584735759030433</v>
      </c>
      <c r="I20">
        <v>1.5584735759030433</v>
      </c>
      <c r="J20">
        <v>0.93986893283626527</v>
      </c>
      <c r="K20">
        <v>0</v>
      </c>
      <c r="L20">
        <v>0</v>
      </c>
      <c r="M20">
        <v>0.30847357590304325</v>
      </c>
      <c r="N20">
        <v>0</v>
      </c>
      <c r="O20">
        <v>0</v>
      </c>
      <c r="P20">
        <v>0</v>
      </c>
      <c r="Q20">
        <v>0</v>
      </c>
      <c r="R20">
        <v>0</v>
      </c>
      <c r="S20">
        <v>0.25</v>
      </c>
      <c r="T20">
        <v>0</v>
      </c>
      <c r="U20">
        <v>0</v>
      </c>
      <c r="V20">
        <v>0</v>
      </c>
      <c r="W20">
        <v>6.013106716373473E-2</v>
      </c>
      <c r="X20">
        <v>0</v>
      </c>
      <c r="Y20">
        <v>0.93986893283626527</v>
      </c>
      <c r="Z20">
        <v>0</v>
      </c>
      <c r="AA20">
        <v>0</v>
      </c>
      <c r="AB20">
        <v>0</v>
      </c>
      <c r="AC20">
        <v>0</v>
      </c>
      <c r="AD20">
        <v>0</v>
      </c>
      <c r="AE20" t="s">
        <v>161</v>
      </c>
      <c r="AF20">
        <v>20</v>
      </c>
      <c r="AG20" t="s">
        <v>173</v>
      </c>
      <c r="AI20">
        <v>46226</v>
      </c>
      <c r="AJ20" t="s">
        <v>150</v>
      </c>
    </row>
    <row r="21" spans="1:36" x14ac:dyDescent="0.25">
      <c r="A21" s="1">
        <v>46226</v>
      </c>
      <c r="B21" t="s">
        <v>149</v>
      </c>
      <c r="C21" t="s">
        <v>10</v>
      </c>
      <c r="D21">
        <v>11.73189358905347</v>
      </c>
      <c r="E21">
        <v>25.65</v>
      </c>
      <c r="F21">
        <v>25.65</v>
      </c>
      <c r="G21">
        <v>10.59375</v>
      </c>
      <c r="H21">
        <v>2.186347822310025</v>
      </c>
      <c r="I21">
        <v>2.186347822310025</v>
      </c>
      <c r="J21">
        <v>0.90298722193359959</v>
      </c>
      <c r="K21">
        <v>0</v>
      </c>
      <c r="L21">
        <v>0</v>
      </c>
      <c r="M21">
        <v>0.936347822310025</v>
      </c>
      <c r="N21">
        <v>0</v>
      </c>
      <c r="O21">
        <v>0</v>
      </c>
      <c r="P21">
        <v>0</v>
      </c>
      <c r="Q21">
        <v>0</v>
      </c>
      <c r="R21">
        <v>0</v>
      </c>
      <c r="S21">
        <v>0.25</v>
      </c>
      <c r="T21">
        <v>0</v>
      </c>
      <c r="U21">
        <v>0</v>
      </c>
      <c r="V21">
        <v>0</v>
      </c>
      <c r="W21">
        <v>9.7012778066400407E-2</v>
      </c>
      <c r="X21">
        <v>0</v>
      </c>
      <c r="Y21">
        <v>0.90298722193359959</v>
      </c>
      <c r="Z21">
        <v>0</v>
      </c>
      <c r="AA21">
        <v>0</v>
      </c>
      <c r="AB21">
        <v>0</v>
      </c>
      <c r="AC21">
        <v>0</v>
      </c>
      <c r="AD21">
        <v>0</v>
      </c>
      <c r="AE21" t="s">
        <v>161</v>
      </c>
      <c r="AF21">
        <v>20</v>
      </c>
      <c r="AG21" t="s">
        <v>174</v>
      </c>
      <c r="AI21">
        <v>46226</v>
      </c>
      <c r="AJ21" t="s">
        <v>150</v>
      </c>
    </row>
    <row r="22" spans="1:36" x14ac:dyDescent="0.25">
      <c r="A22" s="1">
        <v>46226</v>
      </c>
      <c r="B22" t="s">
        <v>149</v>
      </c>
      <c r="C22" t="s">
        <v>11</v>
      </c>
      <c r="D22">
        <v>4.220105607573192</v>
      </c>
      <c r="E22">
        <v>4.75</v>
      </c>
      <c r="F22">
        <v>4.75</v>
      </c>
      <c r="G22">
        <v>2.8125</v>
      </c>
      <c r="H22">
        <v>1.1255642492633089</v>
      </c>
      <c r="I22">
        <v>1.1255642492633089</v>
      </c>
      <c r="J22">
        <v>0.66645251601116973</v>
      </c>
      <c r="K22">
        <v>0</v>
      </c>
      <c r="L22">
        <v>0</v>
      </c>
      <c r="M22">
        <v>0</v>
      </c>
      <c r="N22">
        <v>0</v>
      </c>
      <c r="O22">
        <v>0</v>
      </c>
      <c r="P22">
        <v>0</v>
      </c>
      <c r="Q22">
        <v>0</v>
      </c>
      <c r="R22">
        <v>0</v>
      </c>
      <c r="S22">
        <v>0.12556424926330889</v>
      </c>
      <c r="T22">
        <v>0</v>
      </c>
      <c r="U22">
        <v>0</v>
      </c>
      <c r="V22">
        <v>0</v>
      </c>
      <c r="W22">
        <v>0.33354748398883027</v>
      </c>
      <c r="X22">
        <v>0</v>
      </c>
      <c r="Y22">
        <v>0.66645251601116973</v>
      </c>
      <c r="Z22">
        <v>0</v>
      </c>
      <c r="AA22">
        <v>0</v>
      </c>
      <c r="AB22">
        <v>0</v>
      </c>
      <c r="AC22">
        <v>0</v>
      </c>
      <c r="AD22">
        <v>0</v>
      </c>
      <c r="AE22" t="s">
        <v>161</v>
      </c>
      <c r="AF22">
        <v>20</v>
      </c>
      <c r="AG22" t="s">
        <v>175</v>
      </c>
      <c r="AI22">
        <v>46226</v>
      </c>
      <c r="AJ22" t="s">
        <v>150</v>
      </c>
    </row>
    <row r="23" spans="1:36" x14ac:dyDescent="0.25">
      <c r="A23" s="1">
        <v>46226</v>
      </c>
      <c r="B23" t="s">
        <v>149</v>
      </c>
      <c r="C23" t="s">
        <v>12</v>
      </c>
      <c r="D23">
        <v>10.973885648639106</v>
      </c>
      <c r="E23">
        <v>0</v>
      </c>
      <c r="F23">
        <v>0</v>
      </c>
      <c r="G23">
        <v>10.3125</v>
      </c>
      <c r="H23">
        <v>0</v>
      </c>
      <c r="I23">
        <v>0</v>
      </c>
      <c r="J23">
        <v>0.93973095129516626</v>
      </c>
      <c r="K23">
        <v>0</v>
      </c>
      <c r="L23">
        <v>0</v>
      </c>
      <c r="M23">
        <v>0</v>
      </c>
      <c r="N23">
        <v>0</v>
      </c>
      <c r="O23">
        <v>0</v>
      </c>
      <c r="P23">
        <v>0</v>
      </c>
      <c r="Q23">
        <v>0</v>
      </c>
      <c r="R23">
        <v>0</v>
      </c>
      <c r="S23">
        <v>0</v>
      </c>
      <c r="T23">
        <v>0.93973095129516626</v>
      </c>
      <c r="U23">
        <v>6.0269048704833739E-2</v>
      </c>
      <c r="V23">
        <v>0</v>
      </c>
      <c r="W23">
        <v>0</v>
      </c>
      <c r="X23">
        <v>0</v>
      </c>
      <c r="Y23">
        <v>0</v>
      </c>
      <c r="Z23">
        <v>0</v>
      </c>
      <c r="AA23">
        <v>0</v>
      </c>
      <c r="AB23">
        <v>0</v>
      </c>
      <c r="AC23">
        <v>0</v>
      </c>
      <c r="AD23">
        <v>0</v>
      </c>
      <c r="AE23" t="s">
        <v>166</v>
      </c>
      <c r="AF23">
        <v>10</v>
      </c>
      <c r="AG23" t="s">
        <v>173</v>
      </c>
      <c r="AH23">
        <v>1</v>
      </c>
      <c r="AI23">
        <v>46226</v>
      </c>
      <c r="AJ23" t="s">
        <v>150</v>
      </c>
    </row>
    <row r="24" spans="1:36" x14ac:dyDescent="0.25">
      <c r="A24" s="1">
        <v>46226</v>
      </c>
      <c r="B24" t="s">
        <v>149</v>
      </c>
      <c r="C24" t="s">
        <v>10</v>
      </c>
      <c r="D24">
        <v>11.738892100106735</v>
      </c>
      <c r="E24">
        <v>5.6999999999999993</v>
      </c>
      <c r="F24">
        <v>5.6999999999999993</v>
      </c>
      <c r="G24">
        <v>10.59375</v>
      </c>
      <c r="H24">
        <v>0.48556541378791379</v>
      </c>
      <c r="I24">
        <v>0.48556541378791379</v>
      </c>
      <c r="J24">
        <v>0.90244887759924775</v>
      </c>
      <c r="K24">
        <v>0</v>
      </c>
      <c r="L24">
        <v>0</v>
      </c>
      <c r="M24">
        <v>0</v>
      </c>
      <c r="N24">
        <v>0</v>
      </c>
      <c r="O24">
        <v>0</v>
      </c>
      <c r="P24">
        <v>0</v>
      </c>
      <c r="Q24">
        <v>0</v>
      </c>
      <c r="R24">
        <v>0</v>
      </c>
      <c r="S24">
        <v>0</v>
      </c>
      <c r="T24">
        <v>0.41688346381133395</v>
      </c>
      <c r="U24">
        <v>9.7551122400752255E-2</v>
      </c>
      <c r="V24">
        <v>0</v>
      </c>
      <c r="W24">
        <v>0</v>
      </c>
      <c r="X24">
        <v>0</v>
      </c>
      <c r="Y24">
        <v>0.48556541378791379</v>
      </c>
      <c r="Z24">
        <v>0</v>
      </c>
      <c r="AA24">
        <v>0</v>
      </c>
      <c r="AB24">
        <v>0</v>
      </c>
      <c r="AC24">
        <v>0</v>
      </c>
      <c r="AD24">
        <v>0</v>
      </c>
      <c r="AE24" t="s">
        <v>166</v>
      </c>
      <c r="AF24">
        <v>10</v>
      </c>
      <c r="AG24" t="s">
        <v>174</v>
      </c>
      <c r="AH24">
        <v>1</v>
      </c>
      <c r="AI24">
        <v>46226</v>
      </c>
      <c r="AJ24" t="s">
        <v>150</v>
      </c>
    </row>
    <row r="25" spans="1:36" x14ac:dyDescent="0.25">
      <c r="A25" s="1">
        <v>46226</v>
      </c>
      <c r="B25" t="s">
        <v>149</v>
      </c>
      <c r="C25" t="s">
        <v>11</v>
      </c>
      <c r="D25">
        <v>4.2207252494765797</v>
      </c>
      <c r="E25">
        <v>0.95</v>
      </c>
      <c r="F25">
        <v>0.95</v>
      </c>
      <c r="G25">
        <v>2.8125</v>
      </c>
      <c r="H25">
        <v>0.22507980118293919</v>
      </c>
      <c r="I25">
        <v>0.22507980118293919</v>
      </c>
      <c r="J25">
        <v>0.66635467455475417</v>
      </c>
      <c r="K25">
        <v>0</v>
      </c>
      <c r="L25">
        <v>0</v>
      </c>
      <c r="M25">
        <v>0</v>
      </c>
      <c r="N25">
        <v>0</v>
      </c>
      <c r="O25">
        <v>0</v>
      </c>
      <c r="P25">
        <v>0</v>
      </c>
      <c r="Q25">
        <v>0</v>
      </c>
      <c r="R25">
        <v>0</v>
      </c>
      <c r="S25">
        <v>0</v>
      </c>
      <c r="T25">
        <v>0.44127487337181498</v>
      </c>
      <c r="U25">
        <v>0.33364532544524583</v>
      </c>
      <c r="V25">
        <v>0</v>
      </c>
      <c r="W25">
        <v>0</v>
      </c>
      <c r="X25">
        <v>0</v>
      </c>
      <c r="Y25">
        <v>0.22507980118293919</v>
      </c>
      <c r="Z25">
        <v>0</v>
      </c>
      <c r="AA25">
        <v>0</v>
      </c>
      <c r="AB25">
        <v>0</v>
      </c>
      <c r="AC25">
        <v>0</v>
      </c>
      <c r="AD25">
        <v>0</v>
      </c>
      <c r="AE25" t="s">
        <v>166</v>
      </c>
      <c r="AF25">
        <v>10</v>
      </c>
      <c r="AG25" t="s">
        <v>175</v>
      </c>
      <c r="AH25">
        <v>1</v>
      </c>
      <c r="AI25">
        <v>46226</v>
      </c>
      <c r="AJ25" t="s">
        <v>150</v>
      </c>
    </row>
    <row r="26" spans="1:36" x14ac:dyDescent="0.25">
      <c r="A26" s="1">
        <v>46227</v>
      </c>
      <c r="B26" t="s">
        <v>149</v>
      </c>
      <c r="C26" t="s">
        <v>10</v>
      </c>
      <c r="D26">
        <v>10.972274579690296</v>
      </c>
      <c r="E26">
        <v>21.85</v>
      </c>
      <c r="F26">
        <v>21.85</v>
      </c>
      <c r="G26">
        <v>10.505208333333336</v>
      </c>
      <c r="H26">
        <v>1.9913829025427776</v>
      </c>
      <c r="I26">
        <v>1.9913829025427776</v>
      </c>
      <c r="J26">
        <v>0.95743214016704414</v>
      </c>
      <c r="K26">
        <v>0</v>
      </c>
      <c r="L26">
        <v>0</v>
      </c>
      <c r="M26">
        <v>0.74138290254277761</v>
      </c>
      <c r="N26">
        <v>0</v>
      </c>
      <c r="O26">
        <v>0</v>
      </c>
      <c r="P26">
        <v>0</v>
      </c>
      <c r="Q26">
        <v>0</v>
      </c>
      <c r="R26">
        <v>0</v>
      </c>
      <c r="S26">
        <v>0.25</v>
      </c>
      <c r="T26">
        <v>0</v>
      </c>
      <c r="U26">
        <v>0</v>
      </c>
      <c r="V26">
        <v>0</v>
      </c>
      <c r="W26">
        <v>4.2567859832955857E-2</v>
      </c>
      <c r="X26">
        <v>0</v>
      </c>
      <c r="Y26">
        <v>0.95743214016704414</v>
      </c>
      <c r="Z26">
        <v>0</v>
      </c>
      <c r="AA26">
        <v>0</v>
      </c>
      <c r="AB26">
        <v>0</v>
      </c>
      <c r="AC26">
        <v>0</v>
      </c>
      <c r="AD26">
        <v>0</v>
      </c>
      <c r="AE26" t="s">
        <v>161</v>
      </c>
      <c r="AF26">
        <v>20</v>
      </c>
      <c r="AG26" t="s">
        <v>176</v>
      </c>
      <c r="AI26">
        <v>46227</v>
      </c>
      <c r="AJ26" t="s">
        <v>150</v>
      </c>
    </row>
    <row r="27" spans="1:36" x14ac:dyDescent="0.25">
      <c r="A27" s="1">
        <v>46227</v>
      </c>
      <c r="B27" t="s">
        <v>149</v>
      </c>
      <c r="C27" t="s">
        <v>11</v>
      </c>
      <c r="D27">
        <v>4.220105607573192</v>
      </c>
      <c r="E27">
        <v>5.6999999999999993</v>
      </c>
      <c r="F27">
        <v>5.6999999999999993</v>
      </c>
      <c r="G27">
        <v>4.6875</v>
      </c>
      <c r="H27">
        <v>1.3506770991159704</v>
      </c>
      <c r="I27">
        <v>1.3506770991159704</v>
      </c>
      <c r="J27">
        <v>1.1107541933519496</v>
      </c>
      <c r="K27">
        <v>0</v>
      </c>
      <c r="L27">
        <v>0</v>
      </c>
      <c r="M27">
        <v>0.10067709911597045</v>
      </c>
      <c r="N27">
        <v>0</v>
      </c>
      <c r="O27">
        <v>0</v>
      </c>
      <c r="P27">
        <v>0</v>
      </c>
      <c r="Q27">
        <v>0.11075419335194958</v>
      </c>
      <c r="R27">
        <v>0</v>
      </c>
      <c r="S27">
        <v>0.13924580664805042</v>
      </c>
      <c r="T27">
        <v>0</v>
      </c>
      <c r="U27">
        <v>0</v>
      </c>
      <c r="V27">
        <v>0</v>
      </c>
      <c r="W27">
        <v>0</v>
      </c>
      <c r="X27">
        <v>0</v>
      </c>
      <c r="Y27">
        <v>1</v>
      </c>
      <c r="Z27">
        <v>0</v>
      </c>
      <c r="AA27">
        <v>0</v>
      </c>
      <c r="AB27">
        <v>0</v>
      </c>
      <c r="AC27">
        <v>0</v>
      </c>
      <c r="AD27">
        <v>0</v>
      </c>
      <c r="AE27" t="s">
        <v>161</v>
      </c>
      <c r="AF27">
        <v>20</v>
      </c>
      <c r="AG27" t="s">
        <v>177</v>
      </c>
      <c r="AI27">
        <v>46227</v>
      </c>
      <c r="AJ27" t="s">
        <v>150</v>
      </c>
    </row>
    <row r="28" spans="1:36" x14ac:dyDescent="0.25">
      <c r="A28" s="1">
        <v>46227</v>
      </c>
      <c r="B28" t="s">
        <v>149</v>
      </c>
      <c r="C28" t="s">
        <v>12</v>
      </c>
      <c r="D28">
        <v>11.028542654457938</v>
      </c>
      <c r="E28">
        <v>13.3</v>
      </c>
      <c r="F28">
        <v>13.3</v>
      </c>
      <c r="G28">
        <v>11.182291666666668</v>
      </c>
      <c r="H28">
        <v>1.2059616956392598</v>
      </c>
      <c r="I28">
        <v>1.2059616956392598</v>
      </c>
      <c r="J28">
        <v>1.0139410089824137</v>
      </c>
      <c r="K28">
        <v>0</v>
      </c>
      <c r="L28">
        <v>0</v>
      </c>
      <c r="M28">
        <v>0</v>
      </c>
      <c r="N28">
        <v>0</v>
      </c>
      <c r="O28">
        <v>0</v>
      </c>
      <c r="P28">
        <v>0</v>
      </c>
      <c r="Q28">
        <v>1.3941008982413683E-2</v>
      </c>
      <c r="R28">
        <v>0</v>
      </c>
      <c r="S28">
        <v>0.19202068665684613</v>
      </c>
      <c r="T28">
        <v>0</v>
      </c>
      <c r="U28">
        <v>0</v>
      </c>
      <c r="V28">
        <v>0</v>
      </c>
      <c r="W28">
        <v>0</v>
      </c>
      <c r="X28">
        <v>0</v>
      </c>
      <c r="Y28">
        <v>1</v>
      </c>
      <c r="Z28">
        <v>0</v>
      </c>
      <c r="AA28">
        <v>0</v>
      </c>
      <c r="AB28">
        <v>0</v>
      </c>
      <c r="AC28">
        <v>0</v>
      </c>
      <c r="AD28">
        <v>0</v>
      </c>
      <c r="AE28" t="s">
        <v>161</v>
      </c>
      <c r="AF28">
        <v>20</v>
      </c>
      <c r="AG28" t="s">
        <v>178</v>
      </c>
      <c r="AI28">
        <v>46227</v>
      </c>
      <c r="AJ28" t="s">
        <v>150</v>
      </c>
    </row>
    <row r="29" spans="1:36" x14ac:dyDescent="0.25">
      <c r="A29" s="1">
        <v>46227</v>
      </c>
      <c r="B29" t="s">
        <v>149</v>
      </c>
      <c r="C29" t="s">
        <v>10</v>
      </c>
      <c r="D29">
        <v>10.973885648639106</v>
      </c>
      <c r="E29">
        <v>1.9</v>
      </c>
      <c r="F29">
        <v>1.9</v>
      </c>
      <c r="G29">
        <v>10.505208333333336</v>
      </c>
      <c r="H29">
        <v>0.17313830860226093</v>
      </c>
      <c r="I29">
        <v>0.17313830860226093</v>
      </c>
      <c r="J29">
        <v>0.95729158018300542</v>
      </c>
      <c r="K29">
        <v>0</v>
      </c>
      <c r="L29">
        <v>0</v>
      </c>
      <c r="M29">
        <v>0</v>
      </c>
      <c r="N29">
        <v>0</v>
      </c>
      <c r="O29">
        <v>0</v>
      </c>
      <c r="P29">
        <v>0</v>
      </c>
      <c r="Q29">
        <v>0</v>
      </c>
      <c r="R29">
        <v>0</v>
      </c>
      <c r="S29">
        <v>0</v>
      </c>
      <c r="T29">
        <v>0.78415327158074444</v>
      </c>
      <c r="U29">
        <v>4.2708419816994581E-2</v>
      </c>
      <c r="V29">
        <v>0</v>
      </c>
      <c r="W29">
        <v>0</v>
      </c>
      <c r="X29">
        <v>0</v>
      </c>
      <c r="Y29">
        <v>0.17313830860226093</v>
      </c>
      <c r="Z29">
        <v>0</v>
      </c>
      <c r="AA29">
        <v>0</v>
      </c>
      <c r="AB29">
        <v>0</v>
      </c>
      <c r="AC29">
        <v>0</v>
      </c>
      <c r="AD29">
        <v>0</v>
      </c>
      <c r="AE29" t="s">
        <v>166</v>
      </c>
      <c r="AF29">
        <v>10</v>
      </c>
      <c r="AG29" t="s">
        <v>176</v>
      </c>
      <c r="AH29">
        <v>1</v>
      </c>
      <c r="AI29">
        <v>46227</v>
      </c>
      <c r="AJ29" t="s">
        <v>150</v>
      </c>
    </row>
    <row r="30" spans="1:36" x14ac:dyDescent="0.25">
      <c r="A30" s="1">
        <v>46227</v>
      </c>
      <c r="B30" t="s">
        <v>149</v>
      </c>
      <c r="C30" t="s">
        <v>11</v>
      </c>
      <c r="D30">
        <v>4.2207252494765797</v>
      </c>
      <c r="E30">
        <v>1.9</v>
      </c>
      <c r="F30">
        <v>1.9</v>
      </c>
      <c r="G30">
        <v>4.6875</v>
      </c>
      <c r="H30">
        <v>0.45015960236587838</v>
      </c>
      <c r="I30">
        <v>0.45015960236587838</v>
      </c>
      <c r="J30">
        <v>1.1105911242579236</v>
      </c>
      <c r="K30">
        <v>0.11059112425792361</v>
      </c>
      <c r="L30">
        <v>0</v>
      </c>
      <c r="M30">
        <v>0</v>
      </c>
      <c r="N30">
        <v>0</v>
      </c>
      <c r="O30">
        <v>0</v>
      </c>
      <c r="P30">
        <v>0</v>
      </c>
      <c r="Q30">
        <v>0</v>
      </c>
      <c r="R30">
        <v>0</v>
      </c>
      <c r="S30">
        <v>0</v>
      </c>
      <c r="T30">
        <v>0.54984039763412162</v>
      </c>
      <c r="U30">
        <v>0</v>
      </c>
      <c r="V30">
        <v>0</v>
      </c>
      <c r="W30">
        <v>0</v>
      </c>
      <c r="X30">
        <v>0</v>
      </c>
      <c r="Y30">
        <v>0.45015960236587838</v>
      </c>
      <c r="Z30">
        <v>0</v>
      </c>
      <c r="AA30">
        <v>0</v>
      </c>
      <c r="AB30">
        <v>0</v>
      </c>
      <c r="AC30">
        <v>0</v>
      </c>
      <c r="AD30">
        <v>0</v>
      </c>
      <c r="AE30" t="s">
        <v>166</v>
      </c>
      <c r="AF30">
        <v>10</v>
      </c>
      <c r="AG30" t="s">
        <v>177</v>
      </c>
      <c r="AH30">
        <v>1</v>
      </c>
      <c r="AI30">
        <v>46227</v>
      </c>
      <c r="AJ30" t="s">
        <v>150</v>
      </c>
    </row>
    <row r="31" spans="1:36" x14ac:dyDescent="0.25">
      <c r="A31" s="1">
        <v>46227</v>
      </c>
      <c r="B31" t="s">
        <v>149</v>
      </c>
      <c r="C31" t="s">
        <v>12</v>
      </c>
      <c r="D31">
        <v>11.026644714257564</v>
      </c>
      <c r="E31">
        <v>1.9</v>
      </c>
      <c r="F31">
        <v>1.9</v>
      </c>
      <c r="G31">
        <v>11.182291666666668</v>
      </c>
      <c r="H31">
        <v>0.17230989564244148</v>
      </c>
      <c r="I31">
        <v>0.17230989564244148</v>
      </c>
      <c r="J31">
        <v>1.0141155316456194</v>
      </c>
      <c r="K31">
        <v>1.4115531645619406E-2</v>
      </c>
      <c r="L31">
        <v>0</v>
      </c>
      <c r="M31">
        <v>0</v>
      </c>
      <c r="N31">
        <v>0</v>
      </c>
      <c r="O31">
        <v>0</v>
      </c>
      <c r="P31">
        <v>0</v>
      </c>
      <c r="Q31">
        <v>0</v>
      </c>
      <c r="R31">
        <v>0</v>
      </c>
      <c r="S31">
        <v>0</v>
      </c>
      <c r="T31">
        <v>0.82769010435755852</v>
      </c>
      <c r="U31">
        <v>0</v>
      </c>
      <c r="V31">
        <v>0</v>
      </c>
      <c r="W31">
        <v>0</v>
      </c>
      <c r="X31">
        <v>0</v>
      </c>
      <c r="Y31">
        <v>0.17230989564244148</v>
      </c>
      <c r="Z31">
        <v>0</v>
      </c>
      <c r="AA31">
        <v>0</v>
      </c>
      <c r="AB31">
        <v>0</v>
      </c>
      <c r="AC31">
        <v>0</v>
      </c>
      <c r="AD31">
        <v>0</v>
      </c>
      <c r="AE31" t="s">
        <v>166</v>
      </c>
      <c r="AF31">
        <v>10</v>
      </c>
      <c r="AG31" t="s">
        <v>178</v>
      </c>
      <c r="AH31">
        <v>1</v>
      </c>
      <c r="AI31">
        <v>46227</v>
      </c>
      <c r="AJ31" t="s">
        <v>150</v>
      </c>
    </row>
    <row r="32" spans="1:36" x14ac:dyDescent="0.25">
      <c r="A32" s="1">
        <v>46228</v>
      </c>
      <c r="B32" t="s">
        <v>149</v>
      </c>
      <c r="C32" t="s">
        <v>10</v>
      </c>
      <c r="D32">
        <v>11.028542654457938</v>
      </c>
      <c r="E32">
        <v>19.95</v>
      </c>
      <c r="F32">
        <v>19.95</v>
      </c>
      <c r="G32">
        <v>11.253676470588236</v>
      </c>
      <c r="H32">
        <v>1.8089425434588897</v>
      </c>
      <c r="I32">
        <v>1.8089425434588897</v>
      </c>
      <c r="J32">
        <v>1.0204137412515963</v>
      </c>
      <c r="K32">
        <v>0</v>
      </c>
      <c r="L32">
        <v>0</v>
      </c>
      <c r="M32">
        <v>0.55894254345888972</v>
      </c>
      <c r="N32">
        <v>0</v>
      </c>
      <c r="O32">
        <v>0</v>
      </c>
      <c r="P32">
        <v>0</v>
      </c>
      <c r="Q32">
        <v>2.041374125159634E-2</v>
      </c>
      <c r="R32">
        <v>0</v>
      </c>
      <c r="S32">
        <v>0.22958625874840366</v>
      </c>
      <c r="T32">
        <v>0</v>
      </c>
      <c r="U32">
        <v>0</v>
      </c>
      <c r="V32">
        <v>0</v>
      </c>
      <c r="W32">
        <v>0</v>
      </c>
      <c r="X32">
        <v>0</v>
      </c>
      <c r="Y32">
        <v>1</v>
      </c>
      <c r="Z32">
        <v>0</v>
      </c>
      <c r="AA32">
        <v>0</v>
      </c>
      <c r="AB32">
        <v>0</v>
      </c>
      <c r="AC32">
        <v>0</v>
      </c>
      <c r="AD32">
        <v>0</v>
      </c>
      <c r="AE32" t="s">
        <v>161</v>
      </c>
      <c r="AF32">
        <v>20</v>
      </c>
      <c r="AG32" t="s">
        <v>179</v>
      </c>
      <c r="AI32">
        <v>46228</v>
      </c>
      <c r="AJ32" t="s">
        <v>150</v>
      </c>
    </row>
    <row r="33" spans="1:36" x14ac:dyDescent="0.25">
      <c r="A33" s="1">
        <v>46228</v>
      </c>
      <c r="B33" t="s">
        <v>149</v>
      </c>
      <c r="C33" t="s">
        <v>11</v>
      </c>
      <c r="D33">
        <v>4.220105607573192</v>
      </c>
      <c r="E33">
        <v>4.75</v>
      </c>
      <c r="F33">
        <v>4.75</v>
      </c>
      <c r="G33">
        <v>4.6875</v>
      </c>
      <c r="H33">
        <v>1.1255642492633089</v>
      </c>
      <c r="I33">
        <v>1.1255642492633089</v>
      </c>
      <c r="J33">
        <v>1.1107541933519496</v>
      </c>
      <c r="K33">
        <v>0</v>
      </c>
      <c r="L33">
        <v>0</v>
      </c>
      <c r="M33">
        <v>0</v>
      </c>
      <c r="N33">
        <v>0</v>
      </c>
      <c r="O33">
        <v>0</v>
      </c>
      <c r="P33">
        <v>0</v>
      </c>
      <c r="Q33">
        <v>0.11075419335194958</v>
      </c>
      <c r="R33">
        <v>0</v>
      </c>
      <c r="S33">
        <v>1.481005591135931E-2</v>
      </c>
      <c r="T33">
        <v>0</v>
      </c>
      <c r="U33">
        <v>0</v>
      </c>
      <c r="V33">
        <v>0</v>
      </c>
      <c r="W33">
        <v>0</v>
      </c>
      <c r="X33">
        <v>0</v>
      </c>
      <c r="Y33">
        <v>1</v>
      </c>
      <c r="Z33">
        <v>0</v>
      </c>
      <c r="AA33">
        <v>0</v>
      </c>
      <c r="AB33">
        <v>0</v>
      </c>
      <c r="AC33">
        <v>0</v>
      </c>
      <c r="AD33">
        <v>0</v>
      </c>
      <c r="AE33" t="s">
        <v>161</v>
      </c>
      <c r="AF33">
        <v>20</v>
      </c>
      <c r="AG33" t="s">
        <v>180</v>
      </c>
      <c r="AI33">
        <v>46228</v>
      </c>
      <c r="AJ33" t="s">
        <v>150</v>
      </c>
    </row>
    <row r="34" spans="1:36" x14ac:dyDescent="0.25">
      <c r="A34" s="1">
        <v>46228</v>
      </c>
      <c r="B34" t="s">
        <v>149</v>
      </c>
      <c r="C34" t="s">
        <v>12</v>
      </c>
      <c r="D34">
        <v>10.972274579690296</v>
      </c>
      <c r="E34">
        <v>12.35</v>
      </c>
      <c r="F34">
        <v>12.35</v>
      </c>
      <c r="G34">
        <v>11.308823529411764</v>
      </c>
      <c r="H34">
        <v>1.1255642492633091</v>
      </c>
      <c r="I34">
        <v>1.1255642492633091</v>
      </c>
      <c r="J34">
        <v>1.0306726693063644</v>
      </c>
      <c r="K34">
        <v>0</v>
      </c>
      <c r="L34">
        <v>0</v>
      </c>
      <c r="M34">
        <v>0</v>
      </c>
      <c r="N34">
        <v>0</v>
      </c>
      <c r="O34">
        <v>0</v>
      </c>
      <c r="P34">
        <v>0</v>
      </c>
      <c r="Q34">
        <v>3.0672669306364364E-2</v>
      </c>
      <c r="R34">
        <v>0</v>
      </c>
      <c r="S34">
        <v>9.4891579956944749E-2</v>
      </c>
      <c r="T34">
        <v>0</v>
      </c>
      <c r="U34">
        <v>0</v>
      </c>
      <c r="V34">
        <v>0</v>
      </c>
      <c r="W34">
        <v>0</v>
      </c>
      <c r="X34">
        <v>0</v>
      </c>
      <c r="Y34">
        <v>1</v>
      </c>
      <c r="Z34">
        <v>0</v>
      </c>
      <c r="AA34">
        <v>0</v>
      </c>
      <c r="AB34">
        <v>0</v>
      </c>
      <c r="AC34">
        <v>0</v>
      </c>
      <c r="AD34">
        <v>0</v>
      </c>
      <c r="AE34" t="s">
        <v>161</v>
      </c>
      <c r="AF34">
        <v>20</v>
      </c>
      <c r="AG34" t="s">
        <v>181</v>
      </c>
      <c r="AI34">
        <v>46228</v>
      </c>
      <c r="AJ34" t="s">
        <v>150</v>
      </c>
    </row>
    <row r="35" spans="1:36" x14ac:dyDescent="0.25">
      <c r="A35" s="1">
        <v>46228</v>
      </c>
      <c r="B35" t="s">
        <v>149</v>
      </c>
      <c r="C35" t="s">
        <v>10</v>
      </c>
      <c r="D35">
        <v>11.026644714257564</v>
      </c>
      <c r="E35">
        <v>5.6999999999999993</v>
      </c>
      <c r="F35">
        <v>5.6999999999999993</v>
      </c>
      <c r="G35">
        <v>11.253676470588236</v>
      </c>
      <c r="H35">
        <v>0.51692968692732444</v>
      </c>
      <c r="I35">
        <v>0.51692968692732444</v>
      </c>
      <c r="J35">
        <v>1.0205893780215043</v>
      </c>
      <c r="K35">
        <v>2.058937802150429E-2</v>
      </c>
      <c r="L35">
        <v>0</v>
      </c>
      <c r="M35">
        <v>0</v>
      </c>
      <c r="N35">
        <v>0</v>
      </c>
      <c r="O35">
        <v>0</v>
      </c>
      <c r="P35">
        <v>0</v>
      </c>
      <c r="Q35">
        <v>0</v>
      </c>
      <c r="R35">
        <v>0</v>
      </c>
      <c r="S35">
        <v>0</v>
      </c>
      <c r="T35">
        <v>0.48307031307267556</v>
      </c>
      <c r="U35">
        <v>0</v>
      </c>
      <c r="V35">
        <v>0</v>
      </c>
      <c r="W35">
        <v>0</v>
      </c>
      <c r="X35">
        <v>0</v>
      </c>
      <c r="Y35">
        <v>0.51692968692732444</v>
      </c>
      <c r="Z35">
        <v>0</v>
      </c>
      <c r="AA35">
        <v>0</v>
      </c>
      <c r="AB35">
        <v>0</v>
      </c>
      <c r="AC35">
        <v>0</v>
      </c>
      <c r="AD35">
        <v>0</v>
      </c>
      <c r="AE35" t="s">
        <v>166</v>
      </c>
      <c r="AF35">
        <v>10</v>
      </c>
      <c r="AG35" t="s">
        <v>179</v>
      </c>
      <c r="AH35">
        <v>1</v>
      </c>
      <c r="AI35">
        <v>46228</v>
      </c>
      <c r="AJ35" t="s">
        <v>150</v>
      </c>
    </row>
    <row r="36" spans="1:36" x14ac:dyDescent="0.25">
      <c r="A36" s="1">
        <v>46228</v>
      </c>
      <c r="B36" t="s">
        <v>149</v>
      </c>
      <c r="C36" t="s">
        <v>11</v>
      </c>
      <c r="D36">
        <v>4.2207252494765797</v>
      </c>
      <c r="E36">
        <v>0</v>
      </c>
      <c r="F36">
        <v>0</v>
      </c>
      <c r="G36">
        <v>4.6875</v>
      </c>
      <c r="H36">
        <v>0</v>
      </c>
      <c r="I36">
        <v>0</v>
      </c>
      <c r="J36">
        <v>1.1105911242579236</v>
      </c>
      <c r="K36">
        <v>0.11059112425792361</v>
      </c>
      <c r="L36">
        <v>0</v>
      </c>
      <c r="M36">
        <v>0</v>
      </c>
      <c r="N36">
        <v>0</v>
      </c>
      <c r="O36">
        <v>0</v>
      </c>
      <c r="P36">
        <v>0</v>
      </c>
      <c r="Q36">
        <v>0</v>
      </c>
      <c r="R36">
        <v>0</v>
      </c>
      <c r="S36">
        <v>0</v>
      </c>
      <c r="T36">
        <v>0</v>
      </c>
      <c r="U36">
        <v>0</v>
      </c>
      <c r="V36">
        <v>0</v>
      </c>
      <c r="W36">
        <v>0</v>
      </c>
      <c r="X36">
        <v>0</v>
      </c>
      <c r="Y36">
        <v>0</v>
      </c>
      <c r="Z36">
        <v>0</v>
      </c>
      <c r="AA36">
        <v>0</v>
      </c>
      <c r="AB36">
        <v>0</v>
      </c>
      <c r="AC36">
        <v>1</v>
      </c>
      <c r="AD36">
        <v>0</v>
      </c>
      <c r="AE36" t="s">
        <v>166</v>
      </c>
      <c r="AF36">
        <v>10</v>
      </c>
      <c r="AG36" t="s">
        <v>180</v>
      </c>
      <c r="AH36">
        <v>1</v>
      </c>
      <c r="AI36">
        <v>46228</v>
      </c>
      <c r="AJ36" t="s">
        <v>150</v>
      </c>
    </row>
    <row r="37" spans="1:36" x14ac:dyDescent="0.25">
      <c r="A37" s="1">
        <v>46228</v>
      </c>
      <c r="B37" t="s">
        <v>149</v>
      </c>
      <c r="C37" t="s">
        <v>12</v>
      </c>
      <c r="D37">
        <v>10.973885648639106</v>
      </c>
      <c r="E37">
        <v>1.9</v>
      </c>
      <c r="F37">
        <v>1.9</v>
      </c>
      <c r="G37">
        <v>11.308823529411764</v>
      </c>
      <c r="H37">
        <v>0.17313830860226093</v>
      </c>
      <c r="I37">
        <v>0.17313830860226093</v>
      </c>
      <c r="J37">
        <v>1.0305213569283178</v>
      </c>
      <c r="K37">
        <v>3.0521356928317811E-2</v>
      </c>
      <c r="L37">
        <v>0</v>
      </c>
      <c r="M37">
        <v>0</v>
      </c>
      <c r="N37">
        <v>0</v>
      </c>
      <c r="O37">
        <v>0</v>
      </c>
      <c r="P37">
        <v>0</v>
      </c>
      <c r="Q37">
        <v>0</v>
      </c>
      <c r="R37">
        <v>0</v>
      </c>
      <c r="S37">
        <v>0</v>
      </c>
      <c r="T37">
        <v>0.82686169139773913</v>
      </c>
      <c r="U37">
        <v>0</v>
      </c>
      <c r="V37">
        <v>0</v>
      </c>
      <c r="W37">
        <v>0</v>
      </c>
      <c r="X37">
        <v>0</v>
      </c>
      <c r="Y37">
        <v>0.17313830860226093</v>
      </c>
      <c r="Z37">
        <v>0</v>
      </c>
      <c r="AA37">
        <v>0</v>
      </c>
      <c r="AB37">
        <v>0</v>
      </c>
      <c r="AC37">
        <v>0</v>
      </c>
      <c r="AD37">
        <v>0</v>
      </c>
      <c r="AE37" t="s">
        <v>166</v>
      </c>
      <c r="AF37">
        <v>10</v>
      </c>
      <c r="AG37" t="s">
        <v>181</v>
      </c>
      <c r="AH37">
        <v>1</v>
      </c>
      <c r="AI37">
        <v>46228</v>
      </c>
      <c r="AJ37" t="s">
        <v>150</v>
      </c>
    </row>
    <row r="38" spans="1:36" x14ac:dyDescent="0.25">
      <c r="A38" s="1">
        <v>46229</v>
      </c>
      <c r="B38" t="s">
        <v>149</v>
      </c>
      <c r="C38" t="s">
        <v>11</v>
      </c>
      <c r="D38">
        <v>4.220105607573192</v>
      </c>
      <c r="E38">
        <v>5.6999999999999993</v>
      </c>
      <c r="F38">
        <v>5.6999999999999993</v>
      </c>
      <c r="G38">
        <v>4.6875</v>
      </c>
      <c r="H38">
        <v>1.3506770991159704</v>
      </c>
      <c r="I38">
        <v>1.3506770991159704</v>
      </c>
      <c r="J38">
        <v>1.1107541933519496</v>
      </c>
      <c r="K38">
        <v>0</v>
      </c>
      <c r="L38">
        <v>0</v>
      </c>
      <c r="M38">
        <v>0.10067709911597045</v>
      </c>
      <c r="N38">
        <v>0</v>
      </c>
      <c r="O38">
        <v>0</v>
      </c>
      <c r="P38">
        <v>0</v>
      </c>
      <c r="Q38">
        <v>0.11075419335194958</v>
      </c>
      <c r="R38">
        <v>0</v>
      </c>
      <c r="S38">
        <v>0.13924580664805042</v>
      </c>
      <c r="T38">
        <v>0</v>
      </c>
      <c r="U38">
        <v>0</v>
      </c>
      <c r="V38">
        <v>0</v>
      </c>
      <c r="W38">
        <v>0</v>
      </c>
      <c r="X38">
        <v>0</v>
      </c>
      <c r="Y38">
        <v>1</v>
      </c>
      <c r="Z38">
        <v>0</v>
      </c>
      <c r="AA38">
        <v>0</v>
      </c>
      <c r="AB38">
        <v>0</v>
      </c>
      <c r="AC38">
        <v>0</v>
      </c>
      <c r="AD38">
        <v>0</v>
      </c>
      <c r="AE38" t="s">
        <v>161</v>
      </c>
      <c r="AF38">
        <v>20</v>
      </c>
      <c r="AG38" t="s">
        <v>182</v>
      </c>
      <c r="AI38">
        <v>46229</v>
      </c>
      <c r="AJ38" t="s">
        <v>150</v>
      </c>
    </row>
    <row r="39" spans="1:36" x14ac:dyDescent="0.25">
      <c r="A39" s="1">
        <v>46229</v>
      </c>
      <c r="B39" t="s">
        <v>149</v>
      </c>
      <c r="C39" t="s">
        <v>12</v>
      </c>
      <c r="D39">
        <v>11.816295701204934</v>
      </c>
      <c r="E39">
        <v>11.4</v>
      </c>
      <c r="F39">
        <v>11.4</v>
      </c>
      <c r="G39">
        <v>11.994791666666666</v>
      </c>
      <c r="H39">
        <v>0.96476935651140783</v>
      </c>
      <c r="I39">
        <v>0.96476935651140783</v>
      </c>
      <c r="J39">
        <v>1.0151059155910875</v>
      </c>
      <c r="K39">
        <v>1.5105915591087538E-2</v>
      </c>
      <c r="L39">
        <v>0</v>
      </c>
      <c r="M39">
        <v>0</v>
      </c>
      <c r="N39">
        <v>0</v>
      </c>
      <c r="O39">
        <v>0</v>
      </c>
      <c r="P39">
        <v>0</v>
      </c>
      <c r="Q39">
        <v>0</v>
      </c>
      <c r="R39">
        <v>0</v>
      </c>
      <c r="S39">
        <v>0</v>
      </c>
      <c r="T39">
        <v>3.5230643488592173E-2</v>
      </c>
      <c r="U39">
        <v>0</v>
      </c>
      <c r="V39">
        <v>0</v>
      </c>
      <c r="W39">
        <v>0</v>
      </c>
      <c r="X39">
        <v>0</v>
      </c>
      <c r="Y39">
        <v>0.96476935651140783</v>
      </c>
      <c r="Z39">
        <v>0</v>
      </c>
      <c r="AA39">
        <v>0</v>
      </c>
      <c r="AB39">
        <v>0</v>
      </c>
      <c r="AC39">
        <v>0</v>
      </c>
      <c r="AD39">
        <v>0</v>
      </c>
      <c r="AE39" t="s">
        <v>161</v>
      </c>
      <c r="AF39">
        <v>20</v>
      </c>
      <c r="AG39" t="s">
        <v>183</v>
      </c>
      <c r="AI39">
        <v>46229</v>
      </c>
      <c r="AJ39" t="s">
        <v>150</v>
      </c>
    </row>
    <row r="40" spans="1:36" x14ac:dyDescent="0.25">
      <c r="A40" s="1">
        <v>46229</v>
      </c>
      <c r="B40" t="s">
        <v>149</v>
      </c>
      <c r="C40" t="s">
        <v>10</v>
      </c>
      <c r="D40">
        <v>10.972274579690298</v>
      </c>
      <c r="E40">
        <v>10.45</v>
      </c>
      <c r="F40">
        <v>10.45</v>
      </c>
      <c r="G40">
        <v>11</v>
      </c>
      <c r="H40">
        <v>0.95240051860741526</v>
      </c>
      <c r="I40">
        <v>0.95240051860741526</v>
      </c>
      <c r="J40">
        <v>1.0025268616920162</v>
      </c>
      <c r="K40">
        <v>2.5268616920162135E-3</v>
      </c>
      <c r="L40">
        <v>0</v>
      </c>
      <c r="M40">
        <v>0</v>
      </c>
      <c r="N40">
        <v>0</v>
      </c>
      <c r="O40">
        <v>0</v>
      </c>
      <c r="P40">
        <v>0</v>
      </c>
      <c r="Q40">
        <v>0</v>
      </c>
      <c r="R40">
        <v>0</v>
      </c>
      <c r="S40">
        <v>0</v>
      </c>
      <c r="T40">
        <v>4.7599481392584742E-2</v>
      </c>
      <c r="U40">
        <v>0</v>
      </c>
      <c r="V40">
        <v>0</v>
      </c>
      <c r="W40">
        <v>0</v>
      </c>
      <c r="X40">
        <v>0</v>
      </c>
      <c r="Y40">
        <v>0.95240051860741526</v>
      </c>
      <c r="Z40">
        <v>0</v>
      </c>
      <c r="AA40">
        <v>0</v>
      </c>
      <c r="AB40">
        <v>0</v>
      </c>
      <c r="AC40">
        <v>0</v>
      </c>
      <c r="AD40">
        <v>0</v>
      </c>
      <c r="AE40" t="s">
        <v>161</v>
      </c>
      <c r="AF40">
        <v>20</v>
      </c>
      <c r="AG40" t="s">
        <v>184</v>
      </c>
      <c r="AI40">
        <v>46229</v>
      </c>
      <c r="AJ40" t="s">
        <v>150</v>
      </c>
    </row>
    <row r="41" spans="1:36" x14ac:dyDescent="0.25">
      <c r="A41" s="1">
        <v>46229</v>
      </c>
      <c r="B41" t="s">
        <v>149</v>
      </c>
      <c r="C41" t="s">
        <v>11</v>
      </c>
      <c r="D41">
        <v>4.2207252494765797</v>
      </c>
      <c r="E41">
        <v>0.95</v>
      </c>
      <c r="F41">
        <v>0.95</v>
      </c>
      <c r="G41">
        <v>4.6875</v>
      </c>
      <c r="H41">
        <v>0.22507980118293919</v>
      </c>
      <c r="I41">
        <v>0.22507980118293919</v>
      </c>
      <c r="J41">
        <v>1.1105911242579236</v>
      </c>
      <c r="K41">
        <v>0.11059112425792361</v>
      </c>
      <c r="L41">
        <v>0</v>
      </c>
      <c r="M41">
        <v>0</v>
      </c>
      <c r="N41">
        <v>0</v>
      </c>
      <c r="O41">
        <v>0</v>
      </c>
      <c r="P41">
        <v>0</v>
      </c>
      <c r="Q41">
        <v>0</v>
      </c>
      <c r="R41">
        <v>0</v>
      </c>
      <c r="S41">
        <v>0</v>
      </c>
      <c r="T41">
        <v>0.77492019881706087</v>
      </c>
      <c r="U41">
        <v>0</v>
      </c>
      <c r="V41">
        <v>0</v>
      </c>
      <c r="W41">
        <v>0</v>
      </c>
      <c r="X41">
        <v>0</v>
      </c>
      <c r="Y41">
        <v>0.22507980118293919</v>
      </c>
      <c r="Z41">
        <v>0</v>
      </c>
      <c r="AA41">
        <v>0</v>
      </c>
      <c r="AB41">
        <v>0</v>
      </c>
      <c r="AC41">
        <v>0</v>
      </c>
      <c r="AD41">
        <v>0</v>
      </c>
      <c r="AE41" t="s">
        <v>166</v>
      </c>
      <c r="AF41">
        <v>10</v>
      </c>
      <c r="AG41" t="s">
        <v>182</v>
      </c>
      <c r="AH41">
        <v>1</v>
      </c>
      <c r="AI41">
        <v>46229</v>
      </c>
      <c r="AJ41" t="s">
        <v>150</v>
      </c>
    </row>
    <row r="42" spans="1:36" x14ac:dyDescent="0.25">
      <c r="A42" s="1">
        <v>46229</v>
      </c>
      <c r="B42" t="s">
        <v>149</v>
      </c>
      <c r="C42" t="s">
        <v>12</v>
      </c>
      <c r="D42">
        <v>11.818030698534422</v>
      </c>
      <c r="E42">
        <v>5.6999999999999993</v>
      </c>
      <c r="F42">
        <v>5.6999999999999993</v>
      </c>
      <c r="G42">
        <v>11.994791666666666</v>
      </c>
      <c r="H42">
        <v>0.48231385967772683</v>
      </c>
      <c r="I42">
        <v>0.48231385967772683</v>
      </c>
      <c r="J42">
        <v>1.0149568885579359</v>
      </c>
      <c r="K42">
        <v>1.4956888557935866E-2</v>
      </c>
      <c r="L42">
        <v>0</v>
      </c>
      <c r="M42">
        <v>0</v>
      </c>
      <c r="N42">
        <v>0</v>
      </c>
      <c r="O42">
        <v>0</v>
      </c>
      <c r="P42">
        <v>0</v>
      </c>
      <c r="Q42">
        <v>0</v>
      </c>
      <c r="R42">
        <v>0</v>
      </c>
      <c r="S42">
        <v>0</v>
      </c>
      <c r="T42">
        <v>0.51768614032227322</v>
      </c>
      <c r="U42">
        <v>0</v>
      </c>
      <c r="V42">
        <v>0</v>
      </c>
      <c r="W42">
        <v>0</v>
      </c>
      <c r="X42">
        <v>0</v>
      </c>
      <c r="Y42">
        <v>0.48231385967772683</v>
      </c>
      <c r="Z42">
        <v>0</v>
      </c>
      <c r="AA42">
        <v>0</v>
      </c>
      <c r="AB42">
        <v>0</v>
      </c>
      <c r="AC42">
        <v>0</v>
      </c>
      <c r="AD42">
        <v>0</v>
      </c>
      <c r="AE42" t="s">
        <v>166</v>
      </c>
      <c r="AF42">
        <v>10</v>
      </c>
      <c r="AG42" t="s">
        <v>183</v>
      </c>
      <c r="AH42">
        <v>1</v>
      </c>
      <c r="AI42">
        <v>46229</v>
      </c>
      <c r="AJ42" t="s">
        <v>150</v>
      </c>
    </row>
    <row r="43" spans="1:36" x14ac:dyDescent="0.25">
      <c r="A43" s="1">
        <v>46229</v>
      </c>
      <c r="B43" t="s">
        <v>149</v>
      </c>
      <c r="C43" t="s">
        <v>10</v>
      </c>
      <c r="D43">
        <v>10.973885648639108</v>
      </c>
      <c r="E43">
        <v>1.9</v>
      </c>
      <c r="F43">
        <v>1.9</v>
      </c>
      <c r="G43">
        <v>11</v>
      </c>
      <c r="H43">
        <v>0.1731383086022609</v>
      </c>
      <c r="I43">
        <v>0.1731383086022609</v>
      </c>
      <c r="J43">
        <v>1.0023796813815105</v>
      </c>
      <c r="K43">
        <v>2.3796813815104567E-3</v>
      </c>
      <c r="L43">
        <v>0</v>
      </c>
      <c r="M43">
        <v>0</v>
      </c>
      <c r="N43">
        <v>0</v>
      </c>
      <c r="O43">
        <v>0</v>
      </c>
      <c r="P43">
        <v>0</v>
      </c>
      <c r="Q43">
        <v>0</v>
      </c>
      <c r="R43">
        <v>0</v>
      </c>
      <c r="S43">
        <v>0</v>
      </c>
      <c r="T43">
        <v>0.82686169139773913</v>
      </c>
      <c r="U43">
        <v>0</v>
      </c>
      <c r="V43">
        <v>0</v>
      </c>
      <c r="W43">
        <v>0</v>
      </c>
      <c r="X43">
        <v>0</v>
      </c>
      <c r="Y43">
        <v>0.1731383086022609</v>
      </c>
      <c r="Z43">
        <v>0</v>
      </c>
      <c r="AA43">
        <v>0</v>
      </c>
      <c r="AB43">
        <v>0</v>
      </c>
      <c r="AC43">
        <v>0</v>
      </c>
      <c r="AD43">
        <v>0</v>
      </c>
      <c r="AE43" t="s">
        <v>166</v>
      </c>
      <c r="AF43">
        <v>10</v>
      </c>
      <c r="AG43" t="s">
        <v>184</v>
      </c>
      <c r="AH43">
        <v>1</v>
      </c>
      <c r="AI43">
        <v>46229</v>
      </c>
      <c r="AJ43" t="s">
        <v>150</v>
      </c>
    </row>
    <row r="44" spans="1:36" x14ac:dyDescent="0.25">
      <c r="A44" s="1">
        <v>46230</v>
      </c>
      <c r="B44" t="s">
        <v>149</v>
      </c>
      <c r="C44" t="s">
        <v>12</v>
      </c>
      <c r="D44">
        <v>10.972274579690296</v>
      </c>
      <c r="E44">
        <v>10.45</v>
      </c>
      <c r="F44">
        <v>10.45</v>
      </c>
      <c r="G44">
        <v>10.955208333333331</v>
      </c>
      <c r="H44">
        <v>0.95240051860741537</v>
      </c>
      <c r="I44">
        <v>0.95240051860741537</v>
      </c>
      <c r="J44">
        <v>0.99844460269080815</v>
      </c>
      <c r="K44">
        <v>0</v>
      </c>
      <c r="L44">
        <v>0</v>
      </c>
      <c r="M44">
        <v>0</v>
      </c>
      <c r="N44">
        <v>0</v>
      </c>
      <c r="O44">
        <v>0</v>
      </c>
      <c r="P44">
        <v>0</v>
      </c>
      <c r="Q44">
        <v>0</v>
      </c>
      <c r="R44">
        <v>0</v>
      </c>
      <c r="S44">
        <v>0</v>
      </c>
      <c r="T44">
        <v>4.6044084083392778E-2</v>
      </c>
      <c r="U44">
        <v>1.5553973091918527E-3</v>
      </c>
      <c r="V44">
        <v>0</v>
      </c>
      <c r="W44">
        <v>0</v>
      </c>
      <c r="X44">
        <v>0</v>
      </c>
      <c r="Y44">
        <v>0.95240051860741537</v>
      </c>
      <c r="Z44">
        <v>0</v>
      </c>
      <c r="AA44">
        <v>0</v>
      </c>
      <c r="AB44">
        <v>0</v>
      </c>
      <c r="AC44">
        <v>0</v>
      </c>
      <c r="AD44">
        <v>0</v>
      </c>
      <c r="AE44" t="s">
        <v>161</v>
      </c>
      <c r="AF44">
        <v>20</v>
      </c>
      <c r="AG44" t="s">
        <v>185</v>
      </c>
      <c r="AI44">
        <v>46230</v>
      </c>
      <c r="AJ44" t="s">
        <v>150</v>
      </c>
    </row>
    <row r="45" spans="1:36" x14ac:dyDescent="0.25">
      <c r="A45" s="1">
        <v>46230</v>
      </c>
      <c r="B45" t="s">
        <v>149</v>
      </c>
      <c r="C45" t="s">
        <v>10</v>
      </c>
      <c r="D45">
        <v>11.872563775972576</v>
      </c>
      <c r="E45">
        <v>22.799999999999997</v>
      </c>
      <c r="F45">
        <v>22.799999999999997</v>
      </c>
      <c r="G45">
        <v>11.966666666666669</v>
      </c>
      <c r="H45">
        <v>1.9203939797857408</v>
      </c>
      <c r="I45">
        <v>1.9203939797857408</v>
      </c>
      <c r="J45">
        <v>1.0079260800337444</v>
      </c>
      <c r="K45">
        <v>0</v>
      </c>
      <c r="L45">
        <v>0</v>
      </c>
      <c r="M45">
        <v>0.67039397978574078</v>
      </c>
      <c r="N45">
        <v>0</v>
      </c>
      <c r="O45">
        <v>0</v>
      </c>
      <c r="P45">
        <v>0</v>
      </c>
      <c r="Q45">
        <v>7.9260800337443982E-3</v>
      </c>
      <c r="R45">
        <v>0</v>
      </c>
      <c r="S45">
        <v>0.2420739199662556</v>
      </c>
      <c r="T45">
        <v>0</v>
      </c>
      <c r="U45">
        <v>0</v>
      </c>
      <c r="V45">
        <v>0</v>
      </c>
      <c r="W45">
        <v>0</v>
      </c>
      <c r="X45">
        <v>0</v>
      </c>
      <c r="Y45">
        <v>1</v>
      </c>
      <c r="Z45">
        <v>0</v>
      </c>
      <c r="AA45">
        <v>0</v>
      </c>
      <c r="AB45">
        <v>0</v>
      </c>
      <c r="AC45">
        <v>0</v>
      </c>
      <c r="AD45">
        <v>0</v>
      </c>
      <c r="AE45" t="s">
        <v>161</v>
      </c>
      <c r="AF45">
        <v>20</v>
      </c>
      <c r="AG45" t="s">
        <v>186</v>
      </c>
      <c r="AI45">
        <v>46230</v>
      </c>
      <c r="AJ45" t="s">
        <v>150</v>
      </c>
    </row>
    <row r="46" spans="1:36" x14ac:dyDescent="0.25">
      <c r="A46" s="1">
        <v>46230</v>
      </c>
      <c r="B46" t="s">
        <v>149</v>
      </c>
      <c r="C46" t="s">
        <v>11</v>
      </c>
      <c r="D46">
        <v>4.220105607573192</v>
      </c>
      <c r="E46">
        <v>5.6999999999999993</v>
      </c>
      <c r="F46">
        <v>5.6999999999999993</v>
      </c>
      <c r="G46">
        <v>4.6875</v>
      </c>
      <c r="H46">
        <v>1.3506770991159704</v>
      </c>
      <c r="I46">
        <v>1.3506770991159704</v>
      </c>
      <c r="J46">
        <v>1.1107541933519496</v>
      </c>
      <c r="K46">
        <v>0</v>
      </c>
      <c r="L46">
        <v>0</v>
      </c>
      <c r="M46">
        <v>0.10067709911597045</v>
      </c>
      <c r="N46">
        <v>0</v>
      </c>
      <c r="O46">
        <v>0</v>
      </c>
      <c r="P46">
        <v>0</v>
      </c>
      <c r="Q46">
        <v>0.11075419335194958</v>
      </c>
      <c r="R46">
        <v>0</v>
      </c>
      <c r="S46">
        <v>0.13924580664805042</v>
      </c>
      <c r="T46">
        <v>0</v>
      </c>
      <c r="U46">
        <v>0</v>
      </c>
      <c r="V46">
        <v>0</v>
      </c>
      <c r="W46">
        <v>0</v>
      </c>
      <c r="X46">
        <v>0</v>
      </c>
      <c r="Y46">
        <v>1</v>
      </c>
      <c r="Z46">
        <v>0</v>
      </c>
      <c r="AA46">
        <v>0</v>
      </c>
      <c r="AB46">
        <v>0</v>
      </c>
      <c r="AC46">
        <v>0</v>
      </c>
      <c r="AD46">
        <v>0</v>
      </c>
      <c r="AE46" t="s">
        <v>161</v>
      </c>
      <c r="AF46">
        <v>20</v>
      </c>
      <c r="AG46" t="s">
        <v>187</v>
      </c>
      <c r="AI46">
        <v>46230</v>
      </c>
      <c r="AJ46" t="s">
        <v>150</v>
      </c>
    </row>
    <row r="47" spans="1:36" x14ac:dyDescent="0.25">
      <c r="A47" s="1">
        <v>46230</v>
      </c>
      <c r="B47" t="s">
        <v>149</v>
      </c>
      <c r="C47" t="s">
        <v>12</v>
      </c>
      <c r="D47">
        <v>10.973885648639106</v>
      </c>
      <c r="E47">
        <v>0.95</v>
      </c>
      <c r="F47">
        <v>0.95</v>
      </c>
      <c r="G47">
        <v>10.955208333333331</v>
      </c>
      <c r="H47">
        <v>8.6569154301130463E-2</v>
      </c>
      <c r="I47">
        <v>8.6569154301130463E-2</v>
      </c>
      <c r="J47">
        <v>0.99829802169406689</v>
      </c>
      <c r="K47">
        <v>0</v>
      </c>
      <c r="L47">
        <v>0</v>
      </c>
      <c r="M47">
        <v>0</v>
      </c>
      <c r="N47">
        <v>0</v>
      </c>
      <c r="O47">
        <v>0</v>
      </c>
      <c r="P47">
        <v>0</v>
      </c>
      <c r="Q47">
        <v>0</v>
      </c>
      <c r="R47">
        <v>0</v>
      </c>
      <c r="S47">
        <v>0</v>
      </c>
      <c r="T47">
        <v>0.91172886739293646</v>
      </c>
      <c r="U47">
        <v>1.7019783059331051E-3</v>
      </c>
      <c r="V47">
        <v>0</v>
      </c>
      <c r="W47">
        <v>0</v>
      </c>
      <c r="X47">
        <v>0</v>
      </c>
      <c r="Y47">
        <v>8.6569154301130463E-2</v>
      </c>
      <c r="Z47">
        <v>0</v>
      </c>
      <c r="AA47">
        <v>0</v>
      </c>
      <c r="AB47">
        <v>0</v>
      </c>
      <c r="AC47">
        <v>0</v>
      </c>
      <c r="AD47">
        <v>0</v>
      </c>
      <c r="AE47" t="s">
        <v>166</v>
      </c>
      <c r="AF47">
        <v>10</v>
      </c>
      <c r="AG47" t="s">
        <v>185</v>
      </c>
      <c r="AH47">
        <v>1</v>
      </c>
      <c r="AI47">
        <v>46230</v>
      </c>
      <c r="AJ47" t="s">
        <v>150</v>
      </c>
    </row>
    <row r="48" spans="1:36" x14ac:dyDescent="0.25">
      <c r="A48" s="1">
        <v>46230</v>
      </c>
      <c r="B48" t="s">
        <v>149</v>
      </c>
      <c r="C48" t="s">
        <v>10</v>
      </c>
      <c r="D48">
        <v>11.870789764152878</v>
      </c>
      <c r="E48">
        <v>4.75</v>
      </c>
      <c r="F48">
        <v>4.75</v>
      </c>
      <c r="G48">
        <v>11.966666666666669</v>
      </c>
      <c r="H48">
        <v>0.40014186876966978</v>
      </c>
      <c r="I48">
        <v>0.40014186876966978</v>
      </c>
      <c r="J48">
        <v>1.0080767079881507</v>
      </c>
      <c r="K48">
        <v>8.0767079881507442E-3</v>
      </c>
      <c r="L48">
        <v>0</v>
      </c>
      <c r="M48">
        <v>0</v>
      </c>
      <c r="N48">
        <v>0</v>
      </c>
      <c r="O48">
        <v>0</v>
      </c>
      <c r="P48">
        <v>0</v>
      </c>
      <c r="Q48">
        <v>0</v>
      </c>
      <c r="R48">
        <v>0</v>
      </c>
      <c r="S48">
        <v>0</v>
      </c>
      <c r="T48">
        <v>0.59985813123033016</v>
      </c>
      <c r="U48">
        <v>0</v>
      </c>
      <c r="V48">
        <v>0</v>
      </c>
      <c r="W48">
        <v>0</v>
      </c>
      <c r="X48">
        <v>0</v>
      </c>
      <c r="Y48">
        <v>0.40014186876966978</v>
      </c>
      <c r="Z48">
        <v>0</v>
      </c>
      <c r="AA48">
        <v>0</v>
      </c>
      <c r="AB48">
        <v>0</v>
      </c>
      <c r="AC48">
        <v>0</v>
      </c>
      <c r="AD48">
        <v>0</v>
      </c>
      <c r="AE48" t="s">
        <v>166</v>
      </c>
      <c r="AF48">
        <v>10</v>
      </c>
      <c r="AG48" t="s">
        <v>186</v>
      </c>
      <c r="AH48">
        <v>1</v>
      </c>
      <c r="AI48">
        <v>46230</v>
      </c>
      <c r="AJ48" t="s">
        <v>150</v>
      </c>
    </row>
    <row r="49" spans="1:36" x14ac:dyDescent="0.25">
      <c r="A49" s="1">
        <v>46230</v>
      </c>
      <c r="B49" t="s">
        <v>149</v>
      </c>
      <c r="C49" t="s">
        <v>11</v>
      </c>
      <c r="D49">
        <v>4.2207252494765797</v>
      </c>
      <c r="E49">
        <v>0</v>
      </c>
      <c r="F49">
        <v>0</v>
      </c>
      <c r="G49">
        <v>4.6875</v>
      </c>
      <c r="H49">
        <v>0</v>
      </c>
      <c r="I49">
        <v>0</v>
      </c>
      <c r="J49">
        <v>1.1105911242579236</v>
      </c>
      <c r="K49">
        <v>0.11059112425792361</v>
      </c>
      <c r="L49">
        <v>0</v>
      </c>
      <c r="M49">
        <v>0</v>
      </c>
      <c r="N49">
        <v>0</v>
      </c>
      <c r="O49">
        <v>0</v>
      </c>
      <c r="P49">
        <v>0</v>
      </c>
      <c r="Q49">
        <v>0</v>
      </c>
      <c r="R49">
        <v>0</v>
      </c>
      <c r="S49">
        <v>0</v>
      </c>
      <c r="T49">
        <v>0</v>
      </c>
      <c r="U49">
        <v>0</v>
      </c>
      <c r="V49">
        <v>0</v>
      </c>
      <c r="W49">
        <v>0</v>
      </c>
      <c r="X49">
        <v>0</v>
      </c>
      <c r="Y49">
        <v>0</v>
      </c>
      <c r="Z49">
        <v>0</v>
      </c>
      <c r="AA49">
        <v>0</v>
      </c>
      <c r="AB49">
        <v>0</v>
      </c>
      <c r="AC49">
        <v>1</v>
      </c>
      <c r="AD49">
        <v>0</v>
      </c>
      <c r="AE49" t="s">
        <v>166</v>
      </c>
      <c r="AF49">
        <v>10</v>
      </c>
      <c r="AG49" t="s">
        <v>187</v>
      </c>
      <c r="AH49">
        <v>1</v>
      </c>
      <c r="AI49">
        <v>46230</v>
      </c>
      <c r="AJ49" t="s">
        <v>150</v>
      </c>
    </row>
    <row r="50" spans="1:36" x14ac:dyDescent="0.25">
      <c r="A50" s="1">
        <v>46231</v>
      </c>
      <c r="B50" t="s">
        <v>149</v>
      </c>
      <c r="C50" t="s">
        <v>12</v>
      </c>
      <c r="D50">
        <v>10.972274579690296</v>
      </c>
      <c r="E50">
        <v>10.45</v>
      </c>
      <c r="F50">
        <v>10.45</v>
      </c>
      <c r="G50">
        <v>11.262499999999999</v>
      </c>
      <c r="H50">
        <v>0.95240051860741537</v>
      </c>
      <c r="I50">
        <v>0.95240051860741537</v>
      </c>
      <c r="J50">
        <v>1.0264507981642121</v>
      </c>
      <c r="K50">
        <v>2.6450798164212141E-2</v>
      </c>
      <c r="L50">
        <v>0</v>
      </c>
      <c r="M50">
        <v>0</v>
      </c>
      <c r="N50">
        <v>0</v>
      </c>
      <c r="O50">
        <v>0</v>
      </c>
      <c r="P50">
        <v>0</v>
      </c>
      <c r="Q50">
        <v>0</v>
      </c>
      <c r="R50">
        <v>0</v>
      </c>
      <c r="S50">
        <v>0</v>
      </c>
      <c r="T50">
        <v>4.7599481392584631E-2</v>
      </c>
      <c r="U50">
        <v>0</v>
      </c>
      <c r="V50">
        <v>0</v>
      </c>
      <c r="W50">
        <v>0</v>
      </c>
      <c r="X50">
        <v>0</v>
      </c>
      <c r="Y50">
        <v>0.95240051860741537</v>
      </c>
      <c r="Z50">
        <v>0</v>
      </c>
      <c r="AA50">
        <v>0</v>
      </c>
      <c r="AB50">
        <v>0</v>
      </c>
      <c r="AC50">
        <v>0</v>
      </c>
      <c r="AD50">
        <v>0</v>
      </c>
      <c r="AE50" t="s">
        <v>161</v>
      </c>
      <c r="AF50">
        <v>20</v>
      </c>
      <c r="AG50" t="s">
        <v>188</v>
      </c>
      <c r="AI50">
        <v>46231</v>
      </c>
      <c r="AJ50" t="s">
        <v>150</v>
      </c>
    </row>
    <row r="51" spans="1:36" x14ac:dyDescent="0.25">
      <c r="A51" s="1">
        <v>46231</v>
      </c>
      <c r="B51" t="s">
        <v>149</v>
      </c>
      <c r="C51" t="s">
        <v>11</v>
      </c>
      <c r="D51">
        <v>4.220105607573192</v>
      </c>
      <c r="E51">
        <v>5.6999999999999993</v>
      </c>
      <c r="F51">
        <v>5.6999999999999993</v>
      </c>
      <c r="G51">
        <v>4.6875</v>
      </c>
      <c r="H51">
        <v>1.3506770991159704</v>
      </c>
      <c r="I51">
        <v>1.3506770991159704</v>
      </c>
      <c r="J51">
        <v>1.1107541933519496</v>
      </c>
      <c r="K51">
        <v>0</v>
      </c>
      <c r="L51">
        <v>0</v>
      </c>
      <c r="M51">
        <v>0.10067709911597045</v>
      </c>
      <c r="N51">
        <v>0</v>
      </c>
      <c r="O51">
        <v>0</v>
      </c>
      <c r="P51">
        <v>0</v>
      </c>
      <c r="Q51">
        <v>0.11075419335194958</v>
      </c>
      <c r="R51">
        <v>0</v>
      </c>
      <c r="S51">
        <v>0.13924580664805042</v>
      </c>
      <c r="T51">
        <v>0</v>
      </c>
      <c r="U51">
        <v>0</v>
      </c>
      <c r="V51">
        <v>0</v>
      </c>
      <c r="W51">
        <v>0</v>
      </c>
      <c r="X51">
        <v>0</v>
      </c>
      <c r="Y51">
        <v>1</v>
      </c>
      <c r="Z51">
        <v>0</v>
      </c>
      <c r="AA51">
        <v>0</v>
      </c>
      <c r="AB51">
        <v>0</v>
      </c>
      <c r="AC51">
        <v>0</v>
      </c>
      <c r="AD51">
        <v>0</v>
      </c>
      <c r="AE51" t="s">
        <v>161</v>
      </c>
      <c r="AF51">
        <v>20</v>
      </c>
      <c r="AG51" t="s">
        <v>189</v>
      </c>
      <c r="AI51">
        <v>46231</v>
      </c>
      <c r="AJ51" t="s">
        <v>150</v>
      </c>
    </row>
    <row r="52" spans="1:36" x14ac:dyDescent="0.25">
      <c r="A52" s="1">
        <v>46231</v>
      </c>
      <c r="B52" t="s">
        <v>149</v>
      </c>
      <c r="C52" t="s">
        <v>10</v>
      </c>
      <c r="D52">
        <v>11.73189358905347</v>
      </c>
      <c r="E52">
        <v>21.85</v>
      </c>
      <c r="F52">
        <v>21.85</v>
      </c>
      <c r="G52">
        <v>9.5187500000000007</v>
      </c>
      <c r="H52">
        <v>1.8624444412270582</v>
      </c>
      <c r="I52">
        <v>1.8624444412270582</v>
      </c>
      <c r="J52">
        <v>0.81135666017986563</v>
      </c>
      <c r="K52">
        <v>0</v>
      </c>
      <c r="L52">
        <v>0</v>
      </c>
      <c r="M52">
        <v>0.61244444122705821</v>
      </c>
      <c r="N52">
        <v>0</v>
      </c>
      <c r="O52">
        <v>0</v>
      </c>
      <c r="P52">
        <v>0</v>
      </c>
      <c r="Q52">
        <v>0</v>
      </c>
      <c r="R52">
        <v>0</v>
      </c>
      <c r="S52">
        <v>0.25</v>
      </c>
      <c r="T52">
        <v>0</v>
      </c>
      <c r="U52">
        <v>0</v>
      </c>
      <c r="V52">
        <v>0</v>
      </c>
      <c r="W52">
        <v>0.18864333982013437</v>
      </c>
      <c r="X52">
        <v>0</v>
      </c>
      <c r="Y52">
        <v>0.81135666017986563</v>
      </c>
      <c r="Z52">
        <v>0</v>
      </c>
      <c r="AA52">
        <v>0</v>
      </c>
      <c r="AB52">
        <v>0</v>
      </c>
      <c r="AC52">
        <v>0</v>
      </c>
      <c r="AD52">
        <v>0</v>
      </c>
      <c r="AE52" t="s">
        <v>161</v>
      </c>
      <c r="AF52">
        <v>20</v>
      </c>
      <c r="AG52" t="s">
        <v>190</v>
      </c>
      <c r="AI52">
        <v>46231</v>
      </c>
      <c r="AJ52" t="s">
        <v>150</v>
      </c>
    </row>
    <row r="53" spans="1:36" x14ac:dyDescent="0.25">
      <c r="A53" s="1">
        <v>46231</v>
      </c>
      <c r="B53" t="s">
        <v>149</v>
      </c>
      <c r="C53" t="s">
        <v>12</v>
      </c>
      <c r="D53">
        <v>10.973885648639106</v>
      </c>
      <c r="E53">
        <v>0.95</v>
      </c>
      <c r="F53">
        <v>0.95</v>
      </c>
      <c r="G53">
        <v>11.262499999999999</v>
      </c>
      <c r="H53">
        <v>8.6569154301130463E-2</v>
      </c>
      <c r="I53">
        <v>8.6569154301130463E-2</v>
      </c>
      <c r="J53">
        <v>1.0263001055962966</v>
      </c>
      <c r="K53">
        <v>2.6300105596296586E-2</v>
      </c>
      <c r="L53">
        <v>0</v>
      </c>
      <c r="M53">
        <v>0</v>
      </c>
      <c r="N53">
        <v>0</v>
      </c>
      <c r="O53">
        <v>0</v>
      </c>
      <c r="P53">
        <v>0</v>
      </c>
      <c r="Q53">
        <v>0</v>
      </c>
      <c r="R53">
        <v>0</v>
      </c>
      <c r="S53">
        <v>0</v>
      </c>
      <c r="T53">
        <v>0.91343084569886956</v>
      </c>
      <c r="U53">
        <v>0</v>
      </c>
      <c r="V53">
        <v>0</v>
      </c>
      <c r="W53">
        <v>0</v>
      </c>
      <c r="X53">
        <v>0</v>
      </c>
      <c r="Y53">
        <v>8.6569154301130463E-2</v>
      </c>
      <c r="Z53">
        <v>0</v>
      </c>
      <c r="AA53">
        <v>0</v>
      </c>
      <c r="AB53">
        <v>0</v>
      </c>
      <c r="AC53">
        <v>0</v>
      </c>
      <c r="AD53">
        <v>0</v>
      </c>
      <c r="AE53" t="s">
        <v>166</v>
      </c>
      <c r="AF53">
        <v>10</v>
      </c>
      <c r="AG53" t="s">
        <v>188</v>
      </c>
      <c r="AH53">
        <v>1</v>
      </c>
      <c r="AI53">
        <v>46231</v>
      </c>
      <c r="AJ53" t="s">
        <v>150</v>
      </c>
    </row>
    <row r="54" spans="1:36" x14ac:dyDescent="0.25">
      <c r="A54" s="1">
        <v>46231</v>
      </c>
      <c r="B54" t="s">
        <v>149</v>
      </c>
      <c r="C54" t="s">
        <v>11</v>
      </c>
      <c r="D54">
        <v>4.2207252494765797</v>
      </c>
      <c r="E54">
        <v>0</v>
      </c>
      <c r="F54">
        <v>0</v>
      </c>
      <c r="G54">
        <v>4.6875</v>
      </c>
      <c r="H54">
        <v>0</v>
      </c>
      <c r="I54">
        <v>0</v>
      </c>
      <c r="J54">
        <v>1.1105911242579236</v>
      </c>
      <c r="K54">
        <v>0.11059112425792361</v>
      </c>
      <c r="L54">
        <v>0</v>
      </c>
      <c r="M54">
        <v>0</v>
      </c>
      <c r="N54">
        <v>0</v>
      </c>
      <c r="O54">
        <v>0</v>
      </c>
      <c r="P54">
        <v>0</v>
      </c>
      <c r="Q54">
        <v>0</v>
      </c>
      <c r="R54">
        <v>0</v>
      </c>
      <c r="S54">
        <v>0</v>
      </c>
      <c r="T54">
        <v>0</v>
      </c>
      <c r="U54">
        <v>0</v>
      </c>
      <c r="V54">
        <v>0</v>
      </c>
      <c r="W54">
        <v>0</v>
      </c>
      <c r="X54">
        <v>0</v>
      </c>
      <c r="Y54">
        <v>0</v>
      </c>
      <c r="Z54">
        <v>0</v>
      </c>
      <c r="AA54">
        <v>0</v>
      </c>
      <c r="AB54">
        <v>0</v>
      </c>
      <c r="AC54">
        <v>1</v>
      </c>
      <c r="AD54">
        <v>0</v>
      </c>
      <c r="AE54" t="s">
        <v>166</v>
      </c>
      <c r="AF54">
        <v>10</v>
      </c>
      <c r="AG54" t="s">
        <v>189</v>
      </c>
      <c r="AH54">
        <v>1</v>
      </c>
      <c r="AI54">
        <v>46231</v>
      </c>
      <c r="AJ54" t="s">
        <v>150</v>
      </c>
    </row>
    <row r="55" spans="1:36" x14ac:dyDescent="0.25">
      <c r="A55" s="1">
        <v>46231</v>
      </c>
      <c r="B55" t="s">
        <v>149</v>
      </c>
      <c r="C55" t="s">
        <v>10</v>
      </c>
      <c r="D55">
        <v>11.738892100106735</v>
      </c>
      <c r="E55">
        <v>3.8</v>
      </c>
      <c r="F55">
        <v>3.8</v>
      </c>
      <c r="G55">
        <v>9.5187500000000007</v>
      </c>
      <c r="H55">
        <v>0.32371027585860923</v>
      </c>
      <c r="I55">
        <v>0.32371027585860923</v>
      </c>
      <c r="J55">
        <v>0.8108729442971413</v>
      </c>
      <c r="K55">
        <v>0</v>
      </c>
      <c r="L55">
        <v>0</v>
      </c>
      <c r="M55">
        <v>0</v>
      </c>
      <c r="N55">
        <v>0</v>
      </c>
      <c r="O55">
        <v>0</v>
      </c>
      <c r="P55">
        <v>0</v>
      </c>
      <c r="Q55">
        <v>0</v>
      </c>
      <c r="R55">
        <v>0</v>
      </c>
      <c r="S55">
        <v>0</v>
      </c>
      <c r="T55">
        <v>0.48716266843853206</v>
      </c>
      <c r="U55">
        <v>0.1891270557028587</v>
      </c>
      <c r="V55">
        <v>0</v>
      </c>
      <c r="W55">
        <v>0</v>
      </c>
      <c r="X55">
        <v>0</v>
      </c>
      <c r="Y55">
        <v>0.32371027585860923</v>
      </c>
      <c r="Z55">
        <v>0</v>
      </c>
      <c r="AA55">
        <v>0</v>
      </c>
      <c r="AB55">
        <v>0</v>
      </c>
      <c r="AC55">
        <v>0</v>
      </c>
      <c r="AD55">
        <v>0</v>
      </c>
      <c r="AE55" t="s">
        <v>166</v>
      </c>
      <c r="AF55">
        <v>10</v>
      </c>
      <c r="AG55" t="s">
        <v>190</v>
      </c>
      <c r="AH55">
        <v>1</v>
      </c>
      <c r="AI55">
        <v>46231</v>
      </c>
      <c r="AJ55" t="s">
        <v>150</v>
      </c>
    </row>
    <row r="56" spans="1:36" x14ac:dyDescent="0.25">
      <c r="A56" s="1">
        <v>46232</v>
      </c>
      <c r="B56" t="s">
        <v>149</v>
      </c>
      <c r="C56" t="s">
        <v>11</v>
      </c>
      <c r="D56">
        <v>4.220105607573192</v>
      </c>
      <c r="E56">
        <v>3.8</v>
      </c>
      <c r="F56">
        <v>3.8</v>
      </c>
      <c r="G56">
        <v>4.6875</v>
      </c>
      <c r="H56">
        <v>0.90045139941064711</v>
      </c>
      <c r="I56">
        <v>0.90045139941064711</v>
      </c>
      <c r="J56">
        <v>1.1107541933519496</v>
      </c>
      <c r="K56">
        <v>0.11075419335194958</v>
      </c>
      <c r="L56">
        <v>0</v>
      </c>
      <c r="M56">
        <v>0</v>
      </c>
      <c r="N56">
        <v>0</v>
      </c>
      <c r="O56">
        <v>0</v>
      </c>
      <c r="P56">
        <v>0</v>
      </c>
      <c r="Q56">
        <v>0</v>
      </c>
      <c r="R56">
        <v>0</v>
      </c>
      <c r="S56">
        <v>0</v>
      </c>
      <c r="T56">
        <v>9.9548600589352887E-2</v>
      </c>
      <c r="U56">
        <v>0</v>
      </c>
      <c r="V56">
        <v>0</v>
      </c>
      <c r="W56">
        <v>0</v>
      </c>
      <c r="X56">
        <v>0</v>
      </c>
      <c r="Y56">
        <v>0.90045139941064711</v>
      </c>
      <c r="Z56">
        <v>0</v>
      </c>
      <c r="AA56">
        <v>0</v>
      </c>
      <c r="AB56">
        <v>0</v>
      </c>
      <c r="AC56">
        <v>0</v>
      </c>
      <c r="AD56">
        <v>0</v>
      </c>
      <c r="AE56" t="s">
        <v>161</v>
      </c>
      <c r="AF56">
        <v>20</v>
      </c>
      <c r="AG56" t="s">
        <v>191</v>
      </c>
      <c r="AI56">
        <v>46232</v>
      </c>
      <c r="AJ56" t="s">
        <v>150</v>
      </c>
    </row>
    <row r="57" spans="1:36" x14ac:dyDescent="0.25">
      <c r="A57" s="1">
        <v>46232</v>
      </c>
      <c r="B57" t="s">
        <v>149</v>
      </c>
      <c r="C57" t="s">
        <v>12</v>
      </c>
      <c r="D57">
        <v>10.80347035538737</v>
      </c>
      <c r="E57">
        <v>10.45</v>
      </c>
      <c r="F57">
        <v>10.45</v>
      </c>
      <c r="G57">
        <v>11.253676470588236</v>
      </c>
      <c r="H57">
        <v>0.96728177671065618</v>
      </c>
      <c r="I57">
        <v>0.96728177671065618</v>
      </c>
      <c r="J57">
        <v>1.0416723608610043</v>
      </c>
      <c r="K57">
        <v>4.1672360861004343E-2</v>
      </c>
      <c r="L57">
        <v>0</v>
      </c>
      <c r="M57">
        <v>0</v>
      </c>
      <c r="N57">
        <v>0</v>
      </c>
      <c r="O57">
        <v>0</v>
      </c>
      <c r="P57">
        <v>0</v>
      </c>
      <c r="Q57">
        <v>0</v>
      </c>
      <c r="R57">
        <v>0</v>
      </c>
      <c r="S57">
        <v>0</v>
      </c>
      <c r="T57">
        <v>3.2718223289343817E-2</v>
      </c>
      <c r="U57">
        <v>0</v>
      </c>
      <c r="V57">
        <v>0</v>
      </c>
      <c r="W57">
        <v>0</v>
      </c>
      <c r="X57">
        <v>0</v>
      </c>
      <c r="Y57">
        <v>0.96728177671065618</v>
      </c>
      <c r="Z57">
        <v>0</v>
      </c>
      <c r="AA57">
        <v>0</v>
      </c>
      <c r="AB57">
        <v>0</v>
      </c>
      <c r="AC57">
        <v>0</v>
      </c>
      <c r="AD57">
        <v>0</v>
      </c>
      <c r="AE57" t="s">
        <v>161</v>
      </c>
      <c r="AF57">
        <v>20</v>
      </c>
      <c r="AG57" t="s">
        <v>192</v>
      </c>
      <c r="AI57">
        <v>46232</v>
      </c>
      <c r="AJ57" t="s">
        <v>150</v>
      </c>
    </row>
    <row r="58" spans="1:36" x14ac:dyDescent="0.25">
      <c r="A58" s="1">
        <v>46232</v>
      </c>
      <c r="B58" t="s">
        <v>149</v>
      </c>
      <c r="C58" t="s">
        <v>10</v>
      </c>
      <c r="D58">
        <v>12.57591471056811</v>
      </c>
      <c r="E58">
        <v>24.7</v>
      </c>
      <c r="F58">
        <v>24.7</v>
      </c>
      <c r="G58">
        <v>12.652573529411764</v>
      </c>
      <c r="H58">
        <v>1.9640718443520828</v>
      </c>
      <c r="I58">
        <v>1.9640718443520828</v>
      </c>
      <c r="J58">
        <v>1.0060956853324741</v>
      </c>
      <c r="K58">
        <v>0</v>
      </c>
      <c r="L58">
        <v>0</v>
      </c>
      <c r="M58">
        <v>0.71407184435208282</v>
      </c>
      <c r="N58">
        <v>0</v>
      </c>
      <c r="O58">
        <v>0</v>
      </c>
      <c r="P58">
        <v>0</v>
      </c>
      <c r="Q58">
        <v>6.0956853324740656E-3</v>
      </c>
      <c r="R58">
        <v>0</v>
      </c>
      <c r="S58">
        <v>0.24390431466752593</v>
      </c>
      <c r="T58">
        <v>0</v>
      </c>
      <c r="U58">
        <v>0</v>
      </c>
      <c r="V58">
        <v>0</v>
      </c>
      <c r="W58">
        <v>0</v>
      </c>
      <c r="X58">
        <v>0</v>
      </c>
      <c r="Y58">
        <v>1</v>
      </c>
      <c r="Z58">
        <v>0</v>
      </c>
      <c r="AA58">
        <v>0</v>
      </c>
      <c r="AB58">
        <v>0</v>
      </c>
      <c r="AC58">
        <v>0</v>
      </c>
      <c r="AD58">
        <v>0</v>
      </c>
      <c r="AE58" t="s">
        <v>161</v>
      </c>
      <c r="AF58">
        <v>20</v>
      </c>
      <c r="AG58" t="s">
        <v>193</v>
      </c>
      <c r="AI58">
        <v>46232</v>
      </c>
      <c r="AJ58" t="s">
        <v>150</v>
      </c>
    </row>
    <row r="59" spans="1:36" x14ac:dyDescent="0.25">
      <c r="A59" s="1">
        <v>46232</v>
      </c>
      <c r="B59" t="s">
        <v>149</v>
      </c>
      <c r="C59" t="s">
        <v>11</v>
      </c>
      <c r="D59">
        <v>4.2207252494765797</v>
      </c>
      <c r="E59">
        <v>2.8499999999999996</v>
      </c>
      <c r="F59">
        <v>2.8499999999999996</v>
      </c>
      <c r="G59">
        <v>4.6875</v>
      </c>
      <c r="H59">
        <v>0.67523940354881751</v>
      </c>
      <c r="I59">
        <v>0.67523940354881751</v>
      </c>
      <c r="J59">
        <v>1.1105911242579236</v>
      </c>
      <c r="K59">
        <v>0.11059112425792361</v>
      </c>
      <c r="L59">
        <v>0</v>
      </c>
      <c r="M59">
        <v>0</v>
      </c>
      <c r="N59">
        <v>0</v>
      </c>
      <c r="O59">
        <v>0</v>
      </c>
      <c r="P59">
        <v>0</v>
      </c>
      <c r="Q59">
        <v>0</v>
      </c>
      <c r="R59">
        <v>0</v>
      </c>
      <c r="S59">
        <v>0</v>
      </c>
      <c r="T59">
        <v>0.32476059645118249</v>
      </c>
      <c r="U59">
        <v>0</v>
      </c>
      <c r="V59">
        <v>0</v>
      </c>
      <c r="W59">
        <v>0</v>
      </c>
      <c r="X59">
        <v>0</v>
      </c>
      <c r="Y59">
        <v>0.67523940354881751</v>
      </c>
      <c r="Z59">
        <v>0</v>
      </c>
      <c r="AA59">
        <v>0</v>
      </c>
      <c r="AB59">
        <v>0</v>
      </c>
      <c r="AC59">
        <v>0</v>
      </c>
      <c r="AD59">
        <v>0</v>
      </c>
      <c r="AE59" t="s">
        <v>166</v>
      </c>
      <c r="AF59">
        <v>10</v>
      </c>
      <c r="AG59" t="s">
        <v>191</v>
      </c>
      <c r="AH59">
        <v>1</v>
      </c>
      <c r="AI59">
        <v>46232</v>
      </c>
      <c r="AJ59" t="s">
        <v>150</v>
      </c>
    </row>
    <row r="60" spans="1:36" x14ac:dyDescent="0.25">
      <c r="A60" s="1">
        <v>46232</v>
      </c>
      <c r="B60" t="s">
        <v>149</v>
      </c>
      <c r="C60" t="s">
        <v>12</v>
      </c>
      <c r="D60">
        <v>10.815608451783737</v>
      </c>
      <c r="E60">
        <v>0.95</v>
      </c>
      <c r="F60">
        <v>0.95</v>
      </c>
      <c r="G60">
        <v>11.253676470588236</v>
      </c>
      <c r="H60">
        <v>8.7836019973829921E-2</v>
      </c>
      <c r="I60">
        <v>8.7836019973829921E-2</v>
      </c>
      <c r="J60">
        <v>1.0405033171048506</v>
      </c>
      <c r="K60">
        <v>4.0503317104850556E-2</v>
      </c>
      <c r="L60">
        <v>0</v>
      </c>
      <c r="M60">
        <v>0</v>
      </c>
      <c r="N60">
        <v>0</v>
      </c>
      <c r="O60">
        <v>0</v>
      </c>
      <c r="P60">
        <v>0</v>
      </c>
      <c r="Q60">
        <v>0</v>
      </c>
      <c r="R60">
        <v>0</v>
      </c>
      <c r="S60">
        <v>0</v>
      </c>
      <c r="T60">
        <v>0.91216398002617005</v>
      </c>
      <c r="U60">
        <v>0</v>
      </c>
      <c r="V60">
        <v>0</v>
      </c>
      <c r="W60">
        <v>0</v>
      </c>
      <c r="X60">
        <v>0</v>
      </c>
      <c r="Y60">
        <v>8.7836019973829921E-2</v>
      </c>
      <c r="Z60">
        <v>0</v>
      </c>
      <c r="AA60">
        <v>0</v>
      </c>
      <c r="AB60">
        <v>0</v>
      </c>
      <c r="AC60">
        <v>0</v>
      </c>
      <c r="AD60">
        <v>0</v>
      </c>
      <c r="AE60" t="s">
        <v>166</v>
      </c>
      <c r="AF60">
        <v>10</v>
      </c>
      <c r="AG60" t="s">
        <v>192</v>
      </c>
      <c r="AH60">
        <v>1</v>
      </c>
      <c r="AI60">
        <v>46232</v>
      </c>
      <c r="AJ60" t="s">
        <v>150</v>
      </c>
    </row>
    <row r="61" spans="1:36" x14ac:dyDescent="0.25">
      <c r="A61" s="1">
        <v>46232</v>
      </c>
      <c r="B61" t="s">
        <v>149</v>
      </c>
      <c r="C61" t="s">
        <v>10</v>
      </c>
      <c r="D61">
        <v>12.583037150002054</v>
      </c>
      <c r="E61">
        <v>2.8499999999999996</v>
      </c>
      <c r="F61">
        <v>2.8499999999999996</v>
      </c>
      <c r="G61">
        <v>12.652573529411764</v>
      </c>
      <c r="H61">
        <v>0.22649539741679411</v>
      </c>
      <c r="I61">
        <v>0.22649539741679411</v>
      </c>
      <c r="J61">
        <v>1.0055261999611675</v>
      </c>
      <c r="K61">
        <v>5.5261999611675439E-3</v>
      </c>
      <c r="L61">
        <v>0</v>
      </c>
      <c r="M61">
        <v>0</v>
      </c>
      <c r="N61">
        <v>0</v>
      </c>
      <c r="O61">
        <v>0</v>
      </c>
      <c r="P61">
        <v>0</v>
      </c>
      <c r="Q61">
        <v>0</v>
      </c>
      <c r="R61">
        <v>0</v>
      </c>
      <c r="S61">
        <v>0</v>
      </c>
      <c r="T61">
        <v>0.77350460258320586</v>
      </c>
      <c r="U61">
        <v>0</v>
      </c>
      <c r="V61">
        <v>0</v>
      </c>
      <c r="W61">
        <v>0</v>
      </c>
      <c r="X61">
        <v>0</v>
      </c>
      <c r="Y61">
        <v>0.22649539741679411</v>
      </c>
      <c r="Z61">
        <v>0</v>
      </c>
      <c r="AA61">
        <v>0</v>
      </c>
      <c r="AB61">
        <v>0</v>
      </c>
      <c r="AC61">
        <v>0</v>
      </c>
      <c r="AD61">
        <v>0</v>
      </c>
      <c r="AE61" t="s">
        <v>166</v>
      </c>
      <c r="AF61">
        <v>10</v>
      </c>
      <c r="AG61" t="s">
        <v>193</v>
      </c>
      <c r="AH61">
        <v>1</v>
      </c>
      <c r="AI61">
        <v>46232</v>
      </c>
      <c r="AJ61" t="s">
        <v>150</v>
      </c>
    </row>
    <row r="62" spans="1:36" x14ac:dyDescent="0.25">
      <c r="A62" s="1">
        <v>46233</v>
      </c>
      <c r="B62" t="s">
        <v>149</v>
      </c>
      <c r="C62" t="s">
        <v>12</v>
      </c>
      <c r="D62">
        <v>10.972274579690296</v>
      </c>
      <c r="E62">
        <v>15.2</v>
      </c>
      <c r="F62">
        <v>15.2</v>
      </c>
      <c r="G62">
        <v>11.25</v>
      </c>
      <c r="H62">
        <v>1.3853098452471497</v>
      </c>
      <c r="I62">
        <v>1.3853098452471497</v>
      </c>
      <c r="J62">
        <v>1.0253115630941076</v>
      </c>
      <c r="K62">
        <v>0</v>
      </c>
      <c r="L62">
        <v>0</v>
      </c>
      <c r="M62">
        <v>0.13530984524714973</v>
      </c>
      <c r="N62">
        <v>0</v>
      </c>
      <c r="O62">
        <v>0</v>
      </c>
      <c r="P62">
        <v>0</v>
      </c>
      <c r="Q62">
        <v>2.5311563094107647E-2</v>
      </c>
      <c r="R62">
        <v>0</v>
      </c>
      <c r="S62">
        <v>0.22468843690589235</v>
      </c>
      <c r="T62">
        <v>0</v>
      </c>
      <c r="U62">
        <v>0</v>
      </c>
      <c r="V62">
        <v>0</v>
      </c>
      <c r="W62">
        <v>0</v>
      </c>
      <c r="X62">
        <v>0</v>
      </c>
      <c r="Y62">
        <v>1</v>
      </c>
      <c r="Z62">
        <v>0</v>
      </c>
      <c r="AA62">
        <v>0</v>
      </c>
      <c r="AB62">
        <v>0</v>
      </c>
      <c r="AC62">
        <v>0</v>
      </c>
      <c r="AD62">
        <v>0</v>
      </c>
      <c r="AE62" t="s">
        <v>161</v>
      </c>
      <c r="AF62">
        <v>20</v>
      </c>
      <c r="AG62" t="s">
        <v>194</v>
      </c>
      <c r="AI62">
        <v>46233</v>
      </c>
      <c r="AJ62" t="s">
        <v>150</v>
      </c>
    </row>
    <row r="63" spans="1:36" x14ac:dyDescent="0.25">
      <c r="A63" s="1">
        <v>46233</v>
      </c>
      <c r="B63" t="s">
        <v>149</v>
      </c>
      <c r="C63" t="s">
        <v>10</v>
      </c>
      <c r="D63">
        <v>10.887872467538834</v>
      </c>
      <c r="E63">
        <v>23.75</v>
      </c>
      <c r="F63">
        <v>23.75</v>
      </c>
      <c r="G63">
        <v>11.15625</v>
      </c>
      <c r="H63">
        <v>2.1813260644637773</v>
      </c>
      <c r="I63">
        <v>2.1813260644637773</v>
      </c>
      <c r="J63">
        <v>1.0246492171231163</v>
      </c>
      <c r="K63">
        <v>0</v>
      </c>
      <c r="L63">
        <v>0</v>
      </c>
      <c r="M63">
        <v>0.9313260644637773</v>
      </c>
      <c r="N63">
        <v>0</v>
      </c>
      <c r="O63">
        <v>0</v>
      </c>
      <c r="P63">
        <v>0</v>
      </c>
      <c r="Q63">
        <v>2.4649217123116296E-2</v>
      </c>
      <c r="R63">
        <v>0</v>
      </c>
      <c r="S63">
        <v>0.2253507828768837</v>
      </c>
      <c r="T63">
        <v>0</v>
      </c>
      <c r="U63">
        <v>0</v>
      </c>
      <c r="V63">
        <v>0</v>
      </c>
      <c r="W63">
        <v>0</v>
      </c>
      <c r="X63">
        <v>0</v>
      </c>
      <c r="Y63">
        <v>1</v>
      </c>
      <c r="Z63">
        <v>0</v>
      </c>
      <c r="AA63">
        <v>0</v>
      </c>
      <c r="AB63">
        <v>0</v>
      </c>
      <c r="AC63">
        <v>0</v>
      </c>
      <c r="AD63">
        <v>0</v>
      </c>
      <c r="AE63" t="s">
        <v>161</v>
      </c>
      <c r="AF63">
        <v>20</v>
      </c>
      <c r="AG63" t="s">
        <v>195</v>
      </c>
      <c r="AI63">
        <v>46233</v>
      </c>
      <c r="AJ63" t="s">
        <v>150</v>
      </c>
    </row>
    <row r="64" spans="1:36" x14ac:dyDescent="0.25">
      <c r="A64" s="1">
        <v>46233</v>
      </c>
      <c r="B64" t="s">
        <v>149</v>
      </c>
      <c r="C64" t="s">
        <v>11</v>
      </c>
      <c r="D64">
        <v>4.220105607573192</v>
      </c>
      <c r="E64">
        <v>3.8</v>
      </c>
      <c r="F64">
        <v>3.8</v>
      </c>
      <c r="G64">
        <v>4.6875</v>
      </c>
      <c r="H64">
        <v>0.90045139941064711</v>
      </c>
      <c r="I64">
        <v>0.90045139941064711</v>
      </c>
      <c r="J64">
        <v>1.1107541933519496</v>
      </c>
      <c r="K64">
        <v>0.11075419335194958</v>
      </c>
      <c r="L64">
        <v>0</v>
      </c>
      <c r="M64">
        <v>0</v>
      </c>
      <c r="N64">
        <v>0</v>
      </c>
      <c r="O64">
        <v>0</v>
      </c>
      <c r="P64">
        <v>0</v>
      </c>
      <c r="Q64">
        <v>0</v>
      </c>
      <c r="R64">
        <v>0</v>
      </c>
      <c r="S64">
        <v>0</v>
      </c>
      <c r="T64">
        <v>9.9548600589352887E-2</v>
      </c>
      <c r="U64">
        <v>0</v>
      </c>
      <c r="V64">
        <v>0</v>
      </c>
      <c r="W64">
        <v>0</v>
      </c>
      <c r="X64">
        <v>0</v>
      </c>
      <c r="Y64">
        <v>0.90045139941064711</v>
      </c>
      <c r="Z64">
        <v>0</v>
      </c>
      <c r="AA64">
        <v>0</v>
      </c>
      <c r="AB64">
        <v>0</v>
      </c>
      <c r="AC64">
        <v>0</v>
      </c>
      <c r="AD64">
        <v>0</v>
      </c>
      <c r="AE64" t="s">
        <v>161</v>
      </c>
      <c r="AF64">
        <v>20</v>
      </c>
      <c r="AG64" t="s">
        <v>196</v>
      </c>
      <c r="AI64">
        <v>46233</v>
      </c>
      <c r="AJ64" t="s">
        <v>150</v>
      </c>
    </row>
    <row r="65" spans="1:36" x14ac:dyDescent="0.25">
      <c r="A65" s="1">
        <v>46233</v>
      </c>
      <c r="B65" t="s">
        <v>149</v>
      </c>
      <c r="C65" t="s">
        <v>12</v>
      </c>
      <c r="D65">
        <v>10.973885648639106</v>
      </c>
      <c r="E65">
        <v>5.6999999999999993</v>
      </c>
      <c r="F65">
        <v>5.6999999999999993</v>
      </c>
      <c r="G65">
        <v>11.25</v>
      </c>
      <c r="H65">
        <v>0.51941492580678272</v>
      </c>
      <c r="I65">
        <v>0.51941492580678272</v>
      </c>
      <c r="J65">
        <v>1.025161037776545</v>
      </c>
      <c r="K65">
        <v>2.5161037776544992E-2</v>
      </c>
      <c r="L65">
        <v>0</v>
      </c>
      <c r="M65">
        <v>0</v>
      </c>
      <c r="N65">
        <v>0</v>
      </c>
      <c r="O65">
        <v>0</v>
      </c>
      <c r="P65">
        <v>0</v>
      </c>
      <c r="Q65">
        <v>0</v>
      </c>
      <c r="R65">
        <v>0</v>
      </c>
      <c r="S65">
        <v>0</v>
      </c>
      <c r="T65">
        <v>0.48058507419321728</v>
      </c>
      <c r="U65">
        <v>0</v>
      </c>
      <c r="V65">
        <v>0</v>
      </c>
      <c r="W65">
        <v>0</v>
      </c>
      <c r="X65">
        <v>0</v>
      </c>
      <c r="Y65">
        <v>0.51941492580678272</v>
      </c>
      <c r="Z65">
        <v>0</v>
      </c>
      <c r="AA65">
        <v>0</v>
      </c>
      <c r="AB65">
        <v>0</v>
      </c>
      <c r="AC65">
        <v>0</v>
      </c>
      <c r="AD65">
        <v>0</v>
      </c>
      <c r="AE65" t="s">
        <v>166</v>
      </c>
      <c r="AF65">
        <v>10</v>
      </c>
      <c r="AG65" t="s">
        <v>194</v>
      </c>
      <c r="AH65">
        <v>1</v>
      </c>
      <c r="AI65">
        <v>46233</v>
      </c>
      <c r="AJ65" t="s">
        <v>150</v>
      </c>
    </row>
    <row r="66" spans="1:36" x14ac:dyDescent="0.25">
      <c r="A66" s="1">
        <v>46233</v>
      </c>
      <c r="B66" t="s">
        <v>149</v>
      </c>
      <c r="C66" t="s">
        <v>10</v>
      </c>
      <c r="D66">
        <v>10.89474705021142</v>
      </c>
      <c r="E66">
        <v>0</v>
      </c>
      <c r="F66">
        <v>0</v>
      </c>
      <c r="G66">
        <v>11.15625</v>
      </c>
      <c r="H66">
        <v>0</v>
      </c>
      <c r="I66">
        <v>0</v>
      </c>
      <c r="J66">
        <v>1.0240026637225603</v>
      </c>
      <c r="K66">
        <v>2.4002663722560325E-2</v>
      </c>
      <c r="L66">
        <v>0</v>
      </c>
      <c r="M66">
        <v>0</v>
      </c>
      <c r="N66">
        <v>0</v>
      </c>
      <c r="O66">
        <v>0</v>
      </c>
      <c r="P66">
        <v>0</v>
      </c>
      <c r="Q66">
        <v>0</v>
      </c>
      <c r="R66">
        <v>0</v>
      </c>
      <c r="S66">
        <v>0</v>
      </c>
      <c r="T66">
        <v>0</v>
      </c>
      <c r="U66">
        <v>0</v>
      </c>
      <c r="V66">
        <v>0</v>
      </c>
      <c r="W66">
        <v>0</v>
      </c>
      <c r="X66">
        <v>0</v>
      </c>
      <c r="Y66">
        <v>0</v>
      </c>
      <c r="Z66">
        <v>0</v>
      </c>
      <c r="AA66">
        <v>0</v>
      </c>
      <c r="AB66">
        <v>0</v>
      </c>
      <c r="AC66">
        <v>1</v>
      </c>
      <c r="AD66">
        <v>0</v>
      </c>
      <c r="AE66" t="s">
        <v>166</v>
      </c>
      <c r="AF66">
        <v>10</v>
      </c>
      <c r="AG66" t="s">
        <v>195</v>
      </c>
      <c r="AH66">
        <v>1</v>
      </c>
      <c r="AI66">
        <v>46233</v>
      </c>
      <c r="AJ66" t="s">
        <v>150</v>
      </c>
    </row>
    <row r="67" spans="1:36" x14ac:dyDescent="0.25">
      <c r="A67" s="1">
        <v>46233</v>
      </c>
      <c r="B67" t="s">
        <v>149</v>
      </c>
      <c r="C67" t="s">
        <v>11</v>
      </c>
      <c r="D67">
        <v>4.2207252494765797</v>
      </c>
      <c r="E67">
        <v>0</v>
      </c>
      <c r="F67">
        <v>0</v>
      </c>
      <c r="G67">
        <v>4.6875</v>
      </c>
      <c r="H67">
        <v>0</v>
      </c>
      <c r="I67">
        <v>0</v>
      </c>
      <c r="J67">
        <v>1.1105911242579236</v>
      </c>
      <c r="K67">
        <v>0.11059112425792361</v>
      </c>
      <c r="L67">
        <v>0</v>
      </c>
      <c r="M67">
        <v>0</v>
      </c>
      <c r="N67">
        <v>0</v>
      </c>
      <c r="O67">
        <v>0</v>
      </c>
      <c r="P67">
        <v>0</v>
      </c>
      <c r="Q67">
        <v>0</v>
      </c>
      <c r="R67">
        <v>0</v>
      </c>
      <c r="S67">
        <v>0</v>
      </c>
      <c r="T67">
        <v>0</v>
      </c>
      <c r="U67">
        <v>0</v>
      </c>
      <c r="V67">
        <v>0</v>
      </c>
      <c r="W67">
        <v>0</v>
      </c>
      <c r="X67">
        <v>0</v>
      </c>
      <c r="Y67">
        <v>0</v>
      </c>
      <c r="Z67">
        <v>0</v>
      </c>
      <c r="AA67">
        <v>0</v>
      </c>
      <c r="AB67">
        <v>0</v>
      </c>
      <c r="AC67">
        <v>1</v>
      </c>
      <c r="AD67">
        <v>0</v>
      </c>
      <c r="AE67" t="s">
        <v>166</v>
      </c>
      <c r="AF67">
        <v>10</v>
      </c>
      <c r="AG67" t="s">
        <v>196</v>
      </c>
      <c r="AH67">
        <v>1</v>
      </c>
      <c r="AI67">
        <v>46233</v>
      </c>
      <c r="AJ67" t="s">
        <v>150</v>
      </c>
    </row>
    <row r="68" spans="1:36" x14ac:dyDescent="0.25">
      <c r="A68" s="1">
        <v>46234</v>
      </c>
      <c r="B68" t="s">
        <v>149</v>
      </c>
      <c r="C68" t="s">
        <v>10</v>
      </c>
      <c r="D68">
        <v>10.972274579690298</v>
      </c>
      <c r="E68">
        <v>24.7</v>
      </c>
      <c r="F68">
        <v>24.7</v>
      </c>
      <c r="G68">
        <v>11.808823529411764</v>
      </c>
      <c r="H68">
        <v>2.2511284985266178</v>
      </c>
      <c r="I68">
        <v>2.2511284985266178</v>
      </c>
      <c r="J68">
        <v>1.0762420721105468</v>
      </c>
      <c r="K68">
        <v>0</v>
      </c>
      <c r="L68">
        <v>0</v>
      </c>
      <c r="M68">
        <v>1.0011284985266178</v>
      </c>
      <c r="N68">
        <v>0</v>
      </c>
      <c r="O68">
        <v>0</v>
      </c>
      <c r="P68">
        <v>0</v>
      </c>
      <c r="Q68">
        <v>7.6242072110546788E-2</v>
      </c>
      <c r="R68">
        <v>0</v>
      </c>
      <c r="S68">
        <v>0.17375792788945321</v>
      </c>
      <c r="T68">
        <v>0</v>
      </c>
      <c r="U68">
        <v>0</v>
      </c>
      <c r="V68">
        <v>0</v>
      </c>
      <c r="W68">
        <v>0</v>
      </c>
      <c r="X68">
        <v>0</v>
      </c>
      <c r="Y68">
        <v>1</v>
      </c>
      <c r="Z68">
        <v>0</v>
      </c>
      <c r="AA68">
        <v>0</v>
      </c>
      <c r="AB68">
        <v>0</v>
      </c>
      <c r="AC68">
        <v>0</v>
      </c>
      <c r="AD68">
        <v>0</v>
      </c>
      <c r="AE68" t="s">
        <v>161</v>
      </c>
      <c r="AF68">
        <v>20</v>
      </c>
      <c r="AG68" t="s">
        <v>197</v>
      </c>
      <c r="AI68">
        <v>46234</v>
      </c>
      <c r="AJ68" t="s">
        <v>150</v>
      </c>
    </row>
    <row r="69" spans="1:36" x14ac:dyDescent="0.25">
      <c r="A69" s="1">
        <v>46234</v>
      </c>
      <c r="B69" t="s">
        <v>149</v>
      </c>
      <c r="C69" t="s">
        <v>11</v>
      </c>
      <c r="D69">
        <v>4.220105607573192</v>
      </c>
      <c r="E69">
        <v>6.6499999999999995</v>
      </c>
      <c r="F69">
        <v>6.6499999999999995</v>
      </c>
      <c r="G69">
        <v>4.6875</v>
      </c>
      <c r="H69">
        <v>1.5757899489686324</v>
      </c>
      <c r="I69">
        <v>1.5757899489686324</v>
      </c>
      <c r="J69">
        <v>1.1107541933519496</v>
      </c>
      <c r="K69">
        <v>0</v>
      </c>
      <c r="L69">
        <v>0</v>
      </c>
      <c r="M69">
        <v>0.32578994896863245</v>
      </c>
      <c r="N69">
        <v>0</v>
      </c>
      <c r="O69">
        <v>0</v>
      </c>
      <c r="P69">
        <v>0</v>
      </c>
      <c r="Q69">
        <v>0.11075419335194958</v>
      </c>
      <c r="R69">
        <v>0</v>
      </c>
      <c r="S69">
        <v>0.13924580664805042</v>
      </c>
      <c r="T69">
        <v>0</v>
      </c>
      <c r="U69">
        <v>0</v>
      </c>
      <c r="V69">
        <v>0</v>
      </c>
      <c r="W69">
        <v>0</v>
      </c>
      <c r="X69">
        <v>0</v>
      </c>
      <c r="Y69">
        <v>1</v>
      </c>
      <c r="Z69">
        <v>0</v>
      </c>
      <c r="AA69">
        <v>0</v>
      </c>
      <c r="AB69">
        <v>0</v>
      </c>
      <c r="AC69">
        <v>0</v>
      </c>
      <c r="AD69">
        <v>0</v>
      </c>
      <c r="AE69" t="s">
        <v>161</v>
      </c>
      <c r="AF69">
        <v>20</v>
      </c>
      <c r="AG69" t="s">
        <v>198</v>
      </c>
      <c r="AI69">
        <v>46234</v>
      </c>
      <c r="AJ69" t="s">
        <v>150</v>
      </c>
    </row>
    <row r="70" spans="1:36" x14ac:dyDescent="0.25">
      <c r="A70" s="1">
        <v>46234</v>
      </c>
      <c r="B70" t="s">
        <v>149</v>
      </c>
      <c r="C70" t="s">
        <v>12</v>
      </c>
      <c r="D70">
        <v>11.028542654457938</v>
      </c>
      <c r="E70">
        <v>14.25</v>
      </c>
      <c r="F70">
        <v>14.25</v>
      </c>
      <c r="G70">
        <v>11.128676470588234</v>
      </c>
      <c r="H70">
        <v>1.2921018167563498</v>
      </c>
      <c r="I70">
        <v>1.2921018167563498</v>
      </c>
      <c r="J70">
        <v>1.0090795147888212</v>
      </c>
      <c r="K70">
        <v>0</v>
      </c>
      <c r="L70">
        <v>0</v>
      </c>
      <c r="M70">
        <v>4.210181675634983E-2</v>
      </c>
      <c r="N70">
        <v>0</v>
      </c>
      <c r="O70">
        <v>0</v>
      </c>
      <c r="P70">
        <v>0</v>
      </c>
      <c r="Q70">
        <v>9.0795147888211858E-3</v>
      </c>
      <c r="R70">
        <v>0</v>
      </c>
      <c r="S70">
        <v>0.24092048521117881</v>
      </c>
      <c r="T70">
        <v>0</v>
      </c>
      <c r="U70">
        <v>0</v>
      </c>
      <c r="V70">
        <v>0</v>
      </c>
      <c r="W70">
        <v>0</v>
      </c>
      <c r="X70">
        <v>0</v>
      </c>
      <c r="Y70">
        <v>1</v>
      </c>
      <c r="Z70">
        <v>0</v>
      </c>
      <c r="AA70">
        <v>0</v>
      </c>
      <c r="AB70">
        <v>0</v>
      </c>
      <c r="AC70">
        <v>0</v>
      </c>
      <c r="AD70">
        <v>0</v>
      </c>
      <c r="AE70" t="s">
        <v>161</v>
      </c>
      <c r="AF70">
        <v>20</v>
      </c>
      <c r="AG70" t="s">
        <v>199</v>
      </c>
      <c r="AI70">
        <v>46234</v>
      </c>
      <c r="AJ70" t="s">
        <v>150</v>
      </c>
    </row>
    <row r="71" spans="1:36" x14ac:dyDescent="0.25">
      <c r="A71" s="1">
        <v>46234</v>
      </c>
      <c r="B71" t="s">
        <v>149</v>
      </c>
      <c r="C71" t="s">
        <v>10</v>
      </c>
      <c r="D71">
        <v>10.973885648639108</v>
      </c>
      <c r="E71">
        <v>1.9</v>
      </c>
      <c r="F71">
        <v>1.9</v>
      </c>
      <c r="G71">
        <v>11.808823529411764</v>
      </c>
      <c r="H71">
        <v>0.1731383086022609</v>
      </c>
      <c r="I71">
        <v>0.1731383086022609</v>
      </c>
      <c r="J71">
        <v>1.0760840697183862</v>
      </c>
      <c r="K71">
        <v>7.6084069718386216E-2</v>
      </c>
      <c r="L71">
        <v>0</v>
      </c>
      <c r="M71">
        <v>0</v>
      </c>
      <c r="N71">
        <v>0</v>
      </c>
      <c r="O71">
        <v>0</v>
      </c>
      <c r="P71">
        <v>0</v>
      </c>
      <c r="Q71">
        <v>0</v>
      </c>
      <c r="R71">
        <v>0</v>
      </c>
      <c r="S71">
        <v>0</v>
      </c>
      <c r="T71">
        <v>0.82686169139773913</v>
      </c>
      <c r="U71">
        <v>0</v>
      </c>
      <c r="V71">
        <v>0</v>
      </c>
      <c r="W71">
        <v>0</v>
      </c>
      <c r="X71">
        <v>0</v>
      </c>
      <c r="Y71">
        <v>0.1731383086022609</v>
      </c>
      <c r="Z71">
        <v>0</v>
      </c>
      <c r="AA71">
        <v>0</v>
      </c>
      <c r="AB71">
        <v>0</v>
      </c>
      <c r="AC71">
        <v>0</v>
      </c>
      <c r="AD71">
        <v>0</v>
      </c>
      <c r="AE71" t="s">
        <v>166</v>
      </c>
      <c r="AF71">
        <v>10</v>
      </c>
      <c r="AG71" t="s">
        <v>197</v>
      </c>
      <c r="AH71">
        <v>1</v>
      </c>
      <c r="AI71">
        <v>46234</v>
      </c>
      <c r="AJ71" t="s">
        <v>150</v>
      </c>
    </row>
    <row r="72" spans="1:36" x14ac:dyDescent="0.25">
      <c r="A72" s="1">
        <v>46234</v>
      </c>
      <c r="B72" t="s">
        <v>149</v>
      </c>
      <c r="C72" t="s">
        <v>11</v>
      </c>
      <c r="D72">
        <v>4.2207252494765797</v>
      </c>
      <c r="E72">
        <v>1.9</v>
      </c>
      <c r="F72">
        <v>1.9</v>
      </c>
      <c r="G72">
        <v>4.6875</v>
      </c>
      <c r="H72">
        <v>0.45015960236587838</v>
      </c>
      <c r="I72">
        <v>0.45015960236587838</v>
      </c>
      <c r="J72">
        <v>1.1105911242579236</v>
      </c>
      <c r="K72">
        <v>0.11059112425792361</v>
      </c>
      <c r="L72">
        <v>0</v>
      </c>
      <c r="M72">
        <v>0</v>
      </c>
      <c r="N72">
        <v>0</v>
      </c>
      <c r="O72">
        <v>0</v>
      </c>
      <c r="P72">
        <v>0</v>
      </c>
      <c r="Q72">
        <v>0</v>
      </c>
      <c r="R72">
        <v>0</v>
      </c>
      <c r="S72">
        <v>0</v>
      </c>
      <c r="T72">
        <v>0.54984039763412162</v>
      </c>
      <c r="U72">
        <v>0</v>
      </c>
      <c r="V72">
        <v>0</v>
      </c>
      <c r="W72">
        <v>0</v>
      </c>
      <c r="X72">
        <v>0</v>
      </c>
      <c r="Y72">
        <v>0.45015960236587838</v>
      </c>
      <c r="Z72">
        <v>0</v>
      </c>
      <c r="AA72">
        <v>0</v>
      </c>
      <c r="AB72">
        <v>0</v>
      </c>
      <c r="AC72">
        <v>0</v>
      </c>
      <c r="AD72">
        <v>0</v>
      </c>
      <c r="AE72" t="s">
        <v>166</v>
      </c>
      <c r="AF72">
        <v>10</v>
      </c>
      <c r="AG72" t="s">
        <v>198</v>
      </c>
      <c r="AH72">
        <v>1</v>
      </c>
      <c r="AI72">
        <v>46234</v>
      </c>
      <c r="AJ72" t="s">
        <v>150</v>
      </c>
    </row>
    <row r="73" spans="1:36" x14ac:dyDescent="0.25">
      <c r="A73" s="1">
        <v>46234</v>
      </c>
      <c r="B73" t="s">
        <v>149</v>
      </c>
      <c r="C73" t="s">
        <v>12</v>
      </c>
      <c r="D73">
        <v>11.026644714257564</v>
      </c>
      <c r="E73">
        <v>2.8499999999999996</v>
      </c>
      <c r="F73">
        <v>2.8499999999999996</v>
      </c>
      <c r="G73">
        <v>11.128676470588234</v>
      </c>
      <c r="H73">
        <v>0.25846484346366222</v>
      </c>
      <c r="I73">
        <v>0.25846484346366222</v>
      </c>
      <c r="J73">
        <v>1.0092532006766066</v>
      </c>
      <c r="K73">
        <v>9.253200676606621E-3</v>
      </c>
      <c r="L73">
        <v>0</v>
      </c>
      <c r="M73">
        <v>0</v>
      </c>
      <c r="N73">
        <v>0</v>
      </c>
      <c r="O73">
        <v>0</v>
      </c>
      <c r="P73">
        <v>0</v>
      </c>
      <c r="Q73">
        <v>0</v>
      </c>
      <c r="R73">
        <v>0</v>
      </c>
      <c r="S73">
        <v>0</v>
      </c>
      <c r="T73">
        <v>0.74153515653633773</v>
      </c>
      <c r="U73">
        <v>0</v>
      </c>
      <c r="V73">
        <v>0</v>
      </c>
      <c r="W73">
        <v>0</v>
      </c>
      <c r="X73">
        <v>0</v>
      </c>
      <c r="Y73">
        <v>0.25846484346366222</v>
      </c>
      <c r="Z73">
        <v>0</v>
      </c>
      <c r="AA73">
        <v>0</v>
      </c>
      <c r="AB73">
        <v>0</v>
      </c>
      <c r="AC73">
        <v>0</v>
      </c>
      <c r="AD73">
        <v>0</v>
      </c>
      <c r="AE73" t="s">
        <v>166</v>
      </c>
      <c r="AF73">
        <v>10</v>
      </c>
      <c r="AG73" t="s">
        <v>199</v>
      </c>
      <c r="AH73">
        <v>1</v>
      </c>
      <c r="AI73">
        <v>46234</v>
      </c>
      <c r="AJ73" t="s">
        <v>150</v>
      </c>
    </row>
    <row r="74" spans="1:36" x14ac:dyDescent="0.25">
      <c r="A74" s="1">
        <v>46235</v>
      </c>
      <c r="B74" t="s">
        <v>149</v>
      </c>
      <c r="C74" t="s">
        <v>10</v>
      </c>
      <c r="D74">
        <v>11.028542654457938</v>
      </c>
      <c r="E74">
        <v>19</v>
      </c>
      <c r="F74">
        <v>19</v>
      </c>
      <c r="G74">
        <v>11.125</v>
      </c>
      <c r="H74">
        <v>1.7228024223417999</v>
      </c>
      <c r="I74">
        <v>1.7228024223417999</v>
      </c>
      <c r="J74">
        <v>1.008746155186975</v>
      </c>
      <c r="K74">
        <v>0</v>
      </c>
      <c r="L74">
        <v>0</v>
      </c>
      <c r="M74">
        <v>0.47280242234179992</v>
      </c>
      <c r="N74">
        <v>0</v>
      </c>
      <c r="O74">
        <v>0</v>
      </c>
      <c r="P74">
        <v>0</v>
      </c>
      <c r="Q74">
        <v>8.7461551869749687E-3</v>
      </c>
      <c r="R74">
        <v>0</v>
      </c>
      <c r="S74">
        <v>0.24125384481302503</v>
      </c>
      <c r="T74">
        <v>0</v>
      </c>
      <c r="U74">
        <v>0</v>
      </c>
      <c r="V74">
        <v>0</v>
      </c>
      <c r="W74">
        <v>0</v>
      </c>
      <c r="X74">
        <v>0</v>
      </c>
      <c r="Y74">
        <v>1</v>
      </c>
      <c r="Z74">
        <v>0</v>
      </c>
      <c r="AA74">
        <v>0</v>
      </c>
      <c r="AB74">
        <v>0</v>
      </c>
      <c r="AC74">
        <v>0</v>
      </c>
      <c r="AD74">
        <v>0</v>
      </c>
      <c r="AE74" t="s">
        <v>161</v>
      </c>
      <c r="AF74">
        <v>20</v>
      </c>
      <c r="AG74" t="s">
        <v>200</v>
      </c>
      <c r="AI74">
        <v>46235</v>
      </c>
      <c r="AJ74" t="s">
        <v>150</v>
      </c>
    </row>
    <row r="75" spans="1:36" x14ac:dyDescent="0.25">
      <c r="A75" s="1">
        <v>46235</v>
      </c>
      <c r="B75" t="s">
        <v>149</v>
      </c>
      <c r="C75" t="s">
        <v>12</v>
      </c>
      <c r="D75">
        <v>10.972274579690296</v>
      </c>
      <c r="E75">
        <v>11.4</v>
      </c>
      <c r="F75">
        <v>11.4</v>
      </c>
      <c r="G75">
        <v>11.25</v>
      </c>
      <c r="H75">
        <v>1.0389823839353622</v>
      </c>
      <c r="I75">
        <v>1.0389823839353622</v>
      </c>
      <c r="J75">
        <v>1.0253115630941076</v>
      </c>
      <c r="K75">
        <v>0</v>
      </c>
      <c r="L75">
        <v>0</v>
      </c>
      <c r="M75">
        <v>0</v>
      </c>
      <c r="N75">
        <v>0</v>
      </c>
      <c r="O75">
        <v>0</v>
      </c>
      <c r="P75">
        <v>0</v>
      </c>
      <c r="Q75">
        <v>2.5311563094107647E-2</v>
      </c>
      <c r="R75">
        <v>0</v>
      </c>
      <c r="S75">
        <v>1.3670820841254594E-2</v>
      </c>
      <c r="T75">
        <v>0</v>
      </c>
      <c r="U75">
        <v>0</v>
      </c>
      <c r="V75">
        <v>0</v>
      </c>
      <c r="W75">
        <v>0</v>
      </c>
      <c r="X75">
        <v>0</v>
      </c>
      <c r="Y75">
        <v>1</v>
      </c>
      <c r="Z75">
        <v>0</v>
      </c>
      <c r="AA75">
        <v>0</v>
      </c>
      <c r="AB75">
        <v>0</v>
      </c>
      <c r="AC75">
        <v>0</v>
      </c>
      <c r="AD75">
        <v>0</v>
      </c>
      <c r="AE75" t="s">
        <v>161</v>
      </c>
      <c r="AF75">
        <v>20</v>
      </c>
      <c r="AG75" t="s">
        <v>201</v>
      </c>
      <c r="AI75">
        <v>46235</v>
      </c>
      <c r="AJ75" t="s">
        <v>150</v>
      </c>
    </row>
    <row r="76" spans="1:36" x14ac:dyDescent="0.25">
      <c r="A76" s="1">
        <v>46235</v>
      </c>
      <c r="B76" t="s">
        <v>149</v>
      </c>
      <c r="C76" t="s">
        <v>11</v>
      </c>
      <c r="D76">
        <v>4.220105607573192</v>
      </c>
      <c r="E76">
        <v>6.6499999999999995</v>
      </c>
      <c r="F76">
        <v>6.6499999999999995</v>
      </c>
      <c r="G76">
        <v>4.6875</v>
      </c>
      <c r="H76">
        <v>1.5757899489686324</v>
      </c>
      <c r="I76">
        <v>1.5757899489686324</v>
      </c>
      <c r="J76">
        <v>1.1107541933519496</v>
      </c>
      <c r="K76">
        <v>0</v>
      </c>
      <c r="L76">
        <v>0</v>
      </c>
      <c r="M76">
        <v>0.32578994896863245</v>
      </c>
      <c r="N76">
        <v>0</v>
      </c>
      <c r="O76">
        <v>0</v>
      </c>
      <c r="P76">
        <v>0</v>
      </c>
      <c r="Q76">
        <v>0.11075419335194958</v>
      </c>
      <c r="R76">
        <v>0</v>
      </c>
      <c r="S76">
        <v>0.13924580664805042</v>
      </c>
      <c r="T76">
        <v>0</v>
      </c>
      <c r="U76">
        <v>0</v>
      </c>
      <c r="V76">
        <v>0</v>
      </c>
      <c r="W76">
        <v>0</v>
      </c>
      <c r="X76">
        <v>0</v>
      </c>
      <c r="Y76">
        <v>1</v>
      </c>
      <c r="Z76">
        <v>0</v>
      </c>
      <c r="AA76">
        <v>0</v>
      </c>
      <c r="AB76">
        <v>0</v>
      </c>
      <c r="AC76">
        <v>0</v>
      </c>
      <c r="AD76">
        <v>0</v>
      </c>
      <c r="AE76" t="s">
        <v>161</v>
      </c>
      <c r="AF76">
        <v>20</v>
      </c>
      <c r="AG76" t="s">
        <v>202</v>
      </c>
      <c r="AI76">
        <v>46235</v>
      </c>
      <c r="AJ76" t="s">
        <v>150</v>
      </c>
    </row>
    <row r="77" spans="1:36" x14ac:dyDescent="0.25">
      <c r="A77" s="1">
        <v>46235</v>
      </c>
      <c r="B77" t="s">
        <v>149</v>
      </c>
      <c r="C77" t="s">
        <v>10</v>
      </c>
      <c r="D77">
        <v>11.026644714257564</v>
      </c>
      <c r="E77">
        <v>5.6999999999999993</v>
      </c>
      <c r="F77">
        <v>5.6999999999999993</v>
      </c>
      <c r="G77">
        <v>11.125</v>
      </c>
      <c r="H77">
        <v>0.51692968692732444</v>
      </c>
      <c r="I77">
        <v>0.51692968692732444</v>
      </c>
      <c r="J77">
        <v>1.0089197836958745</v>
      </c>
      <c r="K77">
        <v>8.9197836958745391E-3</v>
      </c>
      <c r="L77">
        <v>0</v>
      </c>
      <c r="M77">
        <v>0</v>
      </c>
      <c r="N77">
        <v>0</v>
      </c>
      <c r="O77">
        <v>0</v>
      </c>
      <c r="P77">
        <v>0</v>
      </c>
      <c r="Q77">
        <v>0</v>
      </c>
      <c r="R77">
        <v>0</v>
      </c>
      <c r="S77">
        <v>0</v>
      </c>
      <c r="T77">
        <v>0.48307031307267556</v>
      </c>
      <c r="U77">
        <v>0</v>
      </c>
      <c r="V77">
        <v>0</v>
      </c>
      <c r="W77">
        <v>0</v>
      </c>
      <c r="X77">
        <v>0</v>
      </c>
      <c r="Y77">
        <v>0.51692968692732444</v>
      </c>
      <c r="Z77">
        <v>0</v>
      </c>
      <c r="AA77">
        <v>0</v>
      </c>
      <c r="AB77">
        <v>0</v>
      </c>
      <c r="AC77">
        <v>0</v>
      </c>
      <c r="AD77">
        <v>0</v>
      </c>
      <c r="AE77" t="s">
        <v>166</v>
      </c>
      <c r="AF77">
        <v>10</v>
      </c>
      <c r="AG77" t="s">
        <v>200</v>
      </c>
      <c r="AH77">
        <v>1</v>
      </c>
      <c r="AI77">
        <v>46235</v>
      </c>
      <c r="AJ77" t="s">
        <v>150</v>
      </c>
    </row>
    <row r="78" spans="1:36" x14ac:dyDescent="0.25">
      <c r="A78" s="1">
        <v>46235</v>
      </c>
      <c r="B78" t="s">
        <v>149</v>
      </c>
      <c r="C78" t="s">
        <v>12</v>
      </c>
      <c r="D78">
        <v>10.973885648639106</v>
      </c>
      <c r="E78">
        <v>1.9</v>
      </c>
      <c r="F78">
        <v>1.9</v>
      </c>
      <c r="G78">
        <v>11.25</v>
      </c>
      <c r="H78">
        <v>0.17313830860226093</v>
      </c>
      <c r="I78">
        <v>0.17313830860226093</v>
      </c>
      <c r="J78">
        <v>1.025161037776545</v>
      </c>
      <c r="K78">
        <v>2.5161037776544992E-2</v>
      </c>
      <c r="L78">
        <v>0</v>
      </c>
      <c r="M78">
        <v>0</v>
      </c>
      <c r="N78">
        <v>0</v>
      </c>
      <c r="O78">
        <v>0</v>
      </c>
      <c r="P78">
        <v>0</v>
      </c>
      <c r="Q78">
        <v>0</v>
      </c>
      <c r="R78">
        <v>0</v>
      </c>
      <c r="S78">
        <v>0</v>
      </c>
      <c r="T78">
        <v>0.82686169139773913</v>
      </c>
      <c r="U78">
        <v>0</v>
      </c>
      <c r="V78">
        <v>0</v>
      </c>
      <c r="W78">
        <v>0</v>
      </c>
      <c r="X78">
        <v>0</v>
      </c>
      <c r="Y78">
        <v>0.17313830860226093</v>
      </c>
      <c r="Z78">
        <v>0</v>
      </c>
      <c r="AA78">
        <v>0</v>
      </c>
      <c r="AB78">
        <v>0</v>
      </c>
      <c r="AC78">
        <v>0</v>
      </c>
      <c r="AD78">
        <v>0</v>
      </c>
      <c r="AE78" t="s">
        <v>166</v>
      </c>
      <c r="AF78">
        <v>10</v>
      </c>
      <c r="AG78" t="s">
        <v>201</v>
      </c>
      <c r="AH78">
        <v>1</v>
      </c>
      <c r="AI78">
        <v>46235</v>
      </c>
      <c r="AJ78" t="s">
        <v>150</v>
      </c>
    </row>
    <row r="79" spans="1:36" x14ac:dyDescent="0.25">
      <c r="A79" s="1">
        <v>46235</v>
      </c>
      <c r="B79" t="s">
        <v>149</v>
      </c>
      <c r="C79" t="s">
        <v>11</v>
      </c>
      <c r="D79">
        <v>4.2207252494765797</v>
      </c>
      <c r="E79">
        <v>0</v>
      </c>
      <c r="F79">
        <v>0</v>
      </c>
      <c r="G79">
        <v>4.6875</v>
      </c>
      <c r="H79">
        <v>0</v>
      </c>
      <c r="I79">
        <v>0</v>
      </c>
      <c r="J79">
        <v>1.1105911242579236</v>
      </c>
      <c r="K79">
        <v>0.11059112425792361</v>
      </c>
      <c r="L79">
        <v>0</v>
      </c>
      <c r="M79">
        <v>0</v>
      </c>
      <c r="N79">
        <v>0</v>
      </c>
      <c r="O79">
        <v>0</v>
      </c>
      <c r="P79">
        <v>0</v>
      </c>
      <c r="Q79">
        <v>0</v>
      </c>
      <c r="R79">
        <v>0</v>
      </c>
      <c r="S79">
        <v>0</v>
      </c>
      <c r="T79">
        <v>0</v>
      </c>
      <c r="U79">
        <v>0</v>
      </c>
      <c r="V79">
        <v>0</v>
      </c>
      <c r="W79">
        <v>0</v>
      </c>
      <c r="X79">
        <v>0</v>
      </c>
      <c r="Y79">
        <v>0</v>
      </c>
      <c r="Z79">
        <v>0</v>
      </c>
      <c r="AA79">
        <v>0</v>
      </c>
      <c r="AB79">
        <v>0</v>
      </c>
      <c r="AC79">
        <v>1</v>
      </c>
      <c r="AD79">
        <v>0</v>
      </c>
      <c r="AE79" t="s">
        <v>166</v>
      </c>
      <c r="AF79">
        <v>10</v>
      </c>
      <c r="AG79" t="s">
        <v>202</v>
      </c>
      <c r="AH79">
        <v>1</v>
      </c>
      <c r="AI79">
        <v>46235</v>
      </c>
      <c r="AJ79" t="s">
        <v>150</v>
      </c>
    </row>
    <row r="80" spans="1:36" x14ac:dyDescent="0.25">
      <c r="A80" s="1">
        <v>46236</v>
      </c>
      <c r="B80" t="s">
        <v>149</v>
      </c>
      <c r="C80" t="s">
        <v>12</v>
      </c>
      <c r="D80">
        <v>10.972274579690296</v>
      </c>
      <c r="E80">
        <v>11.4</v>
      </c>
      <c r="F80">
        <v>11.4</v>
      </c>
      <c r="G80">
        <v>11.25</v>
      </c>
      <c r="H80">
        <v>1.0389823839353622</v>
      </c>
      <c r="I80">
        <v>1.0389823839353622</v>
      </c>
      <c r="J80">
        <v>1.0253115630941076</v>
      </c>
      <c r="K80">
        <v>0</v>
      </c>
      <c r="L80">
        <v>0</v>
      </c>
      <c r="M80">
        <v>0</v>
      </c>
      <c r="N80">
        <v>0</v>
      </c>
      <c r="O80">
        <v>0</v>
      </c>
      <c r="P80">
        <v>0</v>
      </c>
      <c r="Q80">
        <v>2.5311563094107647E-2</v>
      </c>
      <c r="R80">
        <v>0</v>
      </c>
      <c r="S80">
        <v>1.3670820841254594E-2</v>
      </c>
      <c r="T80">
        <v>0</v>
      </c>
      <c r="U80">
        <v>0</v>
      </c>
      <c r="V80">
        <v>0</v>
      </c>
      <c r="W80">
        <v>0</v>
      </c>
      <c r="X80">
        <v>0</v>
      </c>
      <c r="Y80">
        <v>1</v>
      </c>
      <c r="Z80">
        <v>0</v>
      </c>
      <c r="AA80">
        <v>0</v>
      </c>
      <c r="AB80">
        <v>0</v>
      </c>
      <c r="AC80">
        <v>0</v>
      </c>
      <c r="AD80">
        <v>0</v>
      </c>
      <c r="AE80" t="s">
        <v>161</v>
      </c>
      <c r="AF80">
        <v>20</v>
      </c>
      <c r="AG80" t="s">
        <v>203</v>
      </c>
      <c r="AI80">
        <v>46236</v>
      </c>
      <c r="AJ80" t="s">
        <v>150</v>
      </c>
    </row>
    <row r="81" spans="1:36" x14ac:dyDescent="0.25">
      <c r="A81" s="1">
        <v>46236</v>
      </c>
      <c r="B81" t="s">
        <v>149</v>
      </c>
      <c r="C81" t="s">
        <v>11</v>
      </c>
      <c r="D81">
        <v>4.220105607573192</v>
      </c>
      <c r="E81">
        <v>6.6499999999999995</v>
      </c>
      <c r="F81">
        <v>6.6499999999999995</v>
      </c>
      <c r="G81">
        <v>4.6875</v>
      </c>
      <c r="H81">
        <v>1.5757899489686324</v>
      </c>
      <c r="I81">
        <v>1.5757899489686324</v>
      </c>
      <c r="J81">
        <v>1.1107541933519496</v>
      </c>
      <c r="K81">
        <v>0</v>
      </c>
      <c r="L81">
        <v>0</v>
      </c>
      <c r="M81">
        <v>0.32578994896863245</v>
      </c>
      <c r="N81">
        <v>0</v>
      </c>
      <c r="O81">
        <v>0</v>
      </c>
      <c r="P81">
        <v>0</v>
      </c>
      <c r="Q81">
        <v>0.11075419335194958</v>
      </c>
      <c r="R81">
        <v>0</v>
      </c>
      <c r="S81">
        <v>0.13924580664805042</v>
      </c>
      <c r="T81">
        <v>0</v>
      </c>
      <c r="U81">
        <v>0</v>
      </c>
      <c r="V81">
        <v>0</v>
      </c>
      <c r="W81">
        <v>0</v>
      </c>
      <c r="X81">
        <v>0</v>
      </c>
      <c r="Y81">
        <v>1</v>
      </c>
      <c r="Z81">
        <v>0</v>
      </c>
      <c r="AA81">
        <v>0</v>
      </c>
      <c r="AB81">
        <v>0</v>
      </c>
      <c r="AC81">
        <v>0</v>
      </c>
      <c r="AD81">
        <v>0</v>
      </c>
      <c r="AE81" t="s">
        <v>161</v>
      </c>
      <c r="AF81">
        <v>20</v>
      </c>
      <c r="AG81" t="s">
        <v>204</v>
      </c>
      <c r="AI81">
        <v>46236</v>
      </c>
      <c r="AJ81" t="s">
        <v>150</v>
      </c>
    </row>
    <row r="82" spans="1:36" x14ac:dyDescent="0.25">
      <c r="A82" s="1">
        <v>46236</v>
      </c>
      <c r="B82" t="s">
        <v>149</v>
      </c>
      <c r="C82" t="s">
        <v>10</v>
      </c>
      <c r="D82">
        <v>10.972274579690296</v>
      </c>
      <c r="E82">
        <v>20.9</v>
      </c>
      <c r="F82">
        <v>20.9</v>
      </c>
      <c r="G82">
        <v>11.25</v>
      </c>
      <c r="H82">
        <v>1.9048010372148307</v>
      </c>
      <c r="I82">
        <v>1.9048010372148307</v>
      </c>
      <c r="J82">
        <v>1.0253115630941076</v>
      </c>
      <c r="K82">
        <v>0</v>
      </c>
      <c r="L82">
        <v>0</v>
      </c>
      <c r="M82">
        <v>0.65480103721483074</v>
      </c>
      <c r="N82">
        <v>0</v>
      </c>
      <c r="O82">
        <v>0</v>
      </c>
      <c r="P82">
        <v>0</v>
      </c>
      <c r="Q82">
        <v>2.5311563094107647E-2</v>
      </c>
      <c r="R82">
        <v>0</v>
      </c>
      <c r="S82">
        <v>0.22468843690589235</v>
      </c>
      <c r="T82">
        <v>0</v>
      </c>
      <c r="U82">
        <v>0</v>
      </c>
      <c r="V82">
        <v>0</v>
      </c>
      <c r="W82">
        <v>0</v>
      </c>
      <c r="X82">
        <v>0</v>
      </c>
      <c r="Y82">
        <v>1</v>
      </c>
      <c r="Z82">
        <v>0</v>
      </c>
      <c r="AA82">
        <v>0</v>
      </c>
      <c r="AB82">
        <v>0</v>
      </c>
      <c r="AC82">
        <v>0</v>
      </c>
      <c r="AD82">
        <v>0</v>
      </c>
      <c r="AE82" t="s">
        <v>161</v>
      </c>
      <c r="AF82">
        <v>20</v>
      </c>
      <c r="AG82" t="s">
        <v>205</v>
      </c>
      <c r="AI82">
        <v>46236</v>
      </c>
      <c r="AJ82" t="s">
        <v>150</v>
      </c>
    </row>
    <row r="83" spans="1:36" x14ac:dyDescent="0.25">
      <c r="A83" s="1">
        <v>46236</v>
      </c>
      <c r="B83" t="s">
        <v>149</v>
      </c>
      <c r="C83" t="s">
        <v>12</v>
      </c>
      <c r="D83">
        <v>10.973885648639106</v>
      </c>
      <c r="E83">
        <v>1.9</v>
      </c>
      <c r="F83">
        <v>1.9</v>
      </c>
      <c r="G83">
        <v>11.25</v>
      </c>
      <c r="H83">
        <v>0.17313830860226093</v>
      </c>
      <c r="I83">
        <v>0.17313830860226093</v>
      </c>
      <c r="J83">
        <v>1.025161037776545</v>
      </c>
      <c r="K83">
        <v>2.5161037776544992E-2</v>
      </c>
      <c r="L83">
        <v>0</v>
      </c>
      <c r="M83">
        <v>0</v>
      </c>
      <c r="N83">
        <v>0</v>
      </c>
      <c r="O83">
        <v>0</v>
      </c>
      <c r="P83">
        <v>0</v>
      </c>
      <c r="Q83">
        <v>0</v>
      </c>
      <c r="R83">
        <v>0</v>
      </c>
      <c r="S83">
        <v>0</v>
      </c>
      <c r="T83">
        <v>0.82686169139773913</v>
      </c>
      <c r="U83">
        <v>0</v>
      </c>
      <c r="V83">
        <v>0</v>
      </c>
      <c r="W83">
        <v>0</v>
      </c>
      <c r="X83">
        <v>0</v>
      </c>
      <c r="Y83">
        <v>0.17313830860226093</v>
      </c>
      <c r="Z83">
        <v>0</v>
      </c>
      <c r="AA83">
        <v>0</v>
      </c>
      <c r="AB83">
        <v>0</v>
      </c>
      <c r="AC83">
        <v>0</v>
      </c>
      <c r="AD83">
        <v>0</v>
      </c>
      <c r="AE83" t="s">
        <v>166</v>
      </c>
      <c r="AF83">
        <v>10</v>
      </c>
      <c r="AG83" t="s">
        <v>203</v>
      </c>
      <c r="AH83">
        <v>1</v>
      </c>
      <c r="AI83">
        <v>46236</v>
      </c>
      <c r="AJ83" t="s">
        <v>150</v>
      </c>
    </row>
    <row r="84" spans="1:36" x14ac:dyDescent="0.25">
      <c r="A84" s="1">
        <v>46236</v>
      </c>
      <c r="B84" t="s">
        <v>149</v>
      </c>
      <c r="C84" t="s">
        <v>11</v>
      </c>
      <c r="D84">
        <v>4.2207252494765797</v>
      </c>
      <c r="E84">
        <v>0</v>
      </c>
      <c r="F84">
        <v>0</v>
      </c>
      <c r="G84">
        <v>4.6875</v>
      </c>
      <c r="H84">
        <v>0</v>
      </c>
      <c r="I84">
        <v>0</v>
      </c>
      <c r="J84">
        <v>1.1105911242579236</v>
      </c>
      <c r="K84">
        <v>0.11059112425792361</v>
      </c>
      <c r="L84">
        <v>0</v>
      </c>
      <c r="M84">
        <v>0</v>
      </c>
      <c r="N84">
        <v>0</v>
      </c>
      <c r="O84">
        <v>0</v>
      </c>
      <c r="P84">
        <v>0</v>
      </c>
      <c r="Q84">
        <v>0</v>
      </c>
      <c r="R84">
        <v>0</v>
      </c>
      <c r="S84">
        <v>0</v>
      </c>
      <c r="T84">
        <v>0</v>
      </c>
      <c r="U84">
        <v>0</v>
      </c>
      <c r="V84">
        <v>0</v>
      </c>
      <c r="W84">
        <v>0</v>
      </c>
      <c r="X84">
        <v>0</v>
      </c>
      <c r="Y84">
        <v>0</v>
      </c>
      <c r="Z84">
        <v>0</v>
      </c>
      <c r="AA84">
        <v>0</v>
      </c>
      <c r="AB84">
        <v>0</v>
      </c>
      <c r="AC84">
        <v>1</v>
      </c>
      <c r="AD84">
        <v>0</v>
      </c>
      <c r="AE84" t="s">
        <v>166</v>
      </c>
      <c r="AF84">
        <v>10</v>
      </c>
      <c r="AG84" t="s">
        <v>204</v>
      </c>
      <c r="AH84">
        <v>1</v>
      </c>
      <c r="AI84">
        <v>46236</v>
      </c>
      <c r="AJ84" t="s">
        <v>150</v>
      </c>
    </row>
    <row r="85" spans="1:36" x14ac:dyDescent="0.25">
      <c r="A85" s="1">
        <v>46236</v>
      </c>
      <c r="B85" t="s">
        <v>149</v>
      </c>
      <c r="C85" t="s">
        <v>10</v>
      </c>
      <c r="D85">
        <v>10.973885648639106</v>
      </c>
      <c r="E85">
        <v>3.8</v>
      </c>
      <c r="F85">
        <v>3.8</v>
      </c>
      <c r="G85">
        <v>11.25</v>
      </c>
      <c r="H85">
        <v>0.34627661720452185</v>
      </c>
      <c r="I85">
        <v>0.34627661720452185</v>
      </c>
      <c r="J85">
        <v>1.025161037776545</v>
      </c>
      <c r="K85">
        <v>2.5161037776544992E-2</v>
      </c>
      <c r="L85">
        <v>0</v>
      </c>
      <c r="M85">
        <v>0</v>
      </c>
      <c r="N85">
        <v>0</v>
      </c>
      <c r="O85">
        <v>0</v>
      </c>
      <c r="P85">
        <v>0</v>
      </c>
      <c r="Q85">
        <v>0</v>
      </c>
      <c r="R85">
        <v>0</v>
      </c>
      <c r="S85">
        <v>0</v>
      </c>
      <c r="T85">
        <v>0.65372338279547815</v>
      </c>
      <c r="U85">
        <v>0</v>
      </c>
      <c r="V85">
        <v>0</v>
      </c>
      <c r="W85">
        <v>0</v>
      </c>
      <c r="X85">
        <v>0</v>
      </c>
      <c r="Y85">
        <v>0.34627661720452185</v>
      </c>
      <c r="Z85">
        <v>0</v>
      </c>
      <c r="AA85">
        <v>0</v>
      </c>
      <c r="AB85">
        <v>0</v>
      </c>
      <c r="AC85">
        <v>0</v>
      </c>
      <c r="AD85">
        <v>0</v>
      </c>
      <c r="AE85" t="s">
        <v>166</v>
      </c>
      <c r="AF85">
        <v>10</v>
      </c>
      <c r="AG85" t="s">
        <v>205</v>
      </c>
      <c r="AH85">
        <v>1</v>
      </c>
      <c r="AI85">
        <v>46236</v>
      </c>
      <c r="AJ85" t="s">
        <v>150</v>
      </c>
    </row>
    <row r="86" spans="1:36" x14ac:dyDescent="0.25">
      <c r="A86" s="1">
        <v>46237</v>
      </c>
      <c r="B86" t="s">
        <v>149</v>
      </c>
      <c r="C86" t="s">
        <v>10</v>
      </c>
      <c r="D86">
        <v>11.872563775972576</v>
      </c>
      <c r="E86">
        <v>11.4</v>
      </c>
      <c r="F86">
        <v>11.4</v>
      </c>
      <c r="G86">
        <v>12.0703125</v>
      </c>
      <c r="H86">
        <v>0.96019698989287039</v>
      </c>
      <c r="I86">
        <v>0.96019698989287039</v>
      </c>
      <c r="J86">
        <v>1.0166559411900253</v>
      </c>
      <c r="K86">
        <v>1.6655941190025336E-2</v>
      </c>
      <c r="L86">
        <v>0</v>
      </c>
      <c r="M86">
        <v>0</v>
      </c>
      <c r="N86">
        <v>0</v>
      </c>
      <c r="O86">
        <v>0</v>
      </c>
      <c r="P86">
        <v>0</v>
      </c>
      <c r="Q86">
        <v>0</v>
      </c>
      <c r="R86">
        <v>0</v>
      </c>
      <c r="S86">
        <v>0</v>
      </c>
      <c r="T86">
        <v>3.9803010107129611E-2</v>
      </c>
      <c r="U86">
        <v>0</v>
      </c>
      <c r="V86">
        <v>0</v>
      </c>
      <c r="W86">
        <v>0</v>
      </c>
      <c r="X86">
        <v>0</v>
      </c>
      <c r="Y86">
        <v>0.96019698989287039</v>
      </c>
      <c r="Z86">
        <v>0</v>
      </c>
      <c r="AA86">
        <v>0</v>
      </c>
      <c r="AB86">
        <v>0</v>
      </c>
      <c r="AC86">
        <v>0</v>
      </c>
      <c r="AD86">
        <v>0</v>
      </c>
      <c r="AE86" t="s">
        <v>161</v>
      </c>
      <c r="AF86">
        <v>20</v>
      </c>
      <c r="AG86" t="s">
        <v>206</v>
      </c>
      <c r="AI86">
        <v>46237</v>
      </c>
      <c r="AJ86" t="s">
        <v>150</v>
      </c>
    </row>
    <row r="87" spans="1:36" x14ac:dyDescent="0.25">
      <c r="A87" s="1">
        <v>46237</v>
      </c>
      <c r="B87" t="s">
        <v>149</v>
      </c>
      <c r="C87" t="s">
        <v>11</v>
      </c>
      <c r="D87">
        <v>4.220105607573192</v>
      </c>
      <c r="E87">
        <v>5.6999999999999993</v>
      </c>
      <c r="F87">
        <v>5.6999999999999993</v>
      </c>
      <c r="G87">
        <v>4.6875</v>
      </c>
      <c r="H87">
        <v>1.3506770991159704</v>
      </c>
      <c r="I87">
        <v>1.3506770991159704</v>
      </c>
      <c r="J87">
        <v>1.1107541933519496</v>
      </c>
      <c r="K87">
        <v>0</v>
      </c>
      <c r="L87">
        <v>0</v>
      </c>
      <c r="M87">
        <v>0.10067709911597045</v>
      </c>
      <c r="N87">
        <v>0</v>
      </c>
      <c r="O87">
        <v>0</v>
      </c>
      <c r="P87">
        <v>0</v>
      </c>
      <c r="Q87">
        <v>0.11075419335194958</v>
      </c>
      <c r="R87">
        <v>0</v>
      </c>
      <c r="S87">
        <v>0.13924580664805042</v>
      </c>
      <c r="T87">
        <v>0</v>
      </c>
      <c r="U87">
        <v>0</v>
      </c>
      <c r="V87">
        <v>0</v>
      </c>
      <c r="W87">
        <v>0</v>
      </c>
      <c r="X87">
        <v>0</v>
      </c>
      <c r="Y87">
        <v>1</v>
      </c>
      <c r="Z87">
        <v>0</v>
      </c>
      <c r="AA87">
        <v>0</v>
      </c>
      <c r="AB87">
        <v>0</v>
      </c>
      <c r="AC87">
        <v>0</v>
      </c>
      <c r="AD87">
        <v>0</v>
      </c>
      <c r="AE87" t="s">
        <v>161</v>
      </c>
      <c r="AF87">
        <v>20</v>
      </c>
      <c r="AG87" t="s">
        <v>207</v>
      </c>
      <c r="AI87">
        <v>46237</v>
      </c>
      <c r="AJ87" t="s">
        <v>150</v>
      </c>
    </row>
    <row r="88" spans="1:36" x14ac:dyDescent="0.25">
      <c r="A88" s="1">
        <v>46237</v>
      </c>
      <c r="B88" t="s">
        <v>149</v>
      </c>
      <c r="C88" t="s">
        <v>12</v>
      </c>
      <c r="D88">
        <v>10.972274579690296</v>
      </c>
      <c r="E88">
        <v>13.3</v>
      </c>
      <c r="F88">
        <v>13.3</v>
      </c>
      <c r="G88">
        <v>11.3671875</v>
      </c>
      <c r="H88">
        <v>1.212146114591256</v>
      </c>
      <c r="I88">
        <v>1.212146114591256</v>
      </c>
      <c r="J88">
        <v>1.0359918918763378</v>
      </c>
      <c r="K88">
        <v>0</v>
      </c>
      <c r="L88">
        <v>0</v>
      </c>
      <c r="M88">
        <v>0</v>
      </c>
      <c r="N88">
        <v>0</v>
      </c>
      <c r="O88">
        <v>0</v>
      </c>
      <c r="P88">
        <v>0</v>
      </c>
      <c r="Q88">
        <v>3.5991891876337778E-2</v>
      </c>
      <c r="R88">
        <v>0</v>
      </c>
      <c r="S88">
        <v>0.17615422271491821</v>
      </c>
      <c r="T88">
        <v>0</v>
      </c>
      <c r="U88">
        <v>0</v>
      </c>
      <c r="V88">
        <v>0</v>
      </c>
      <c r="W88">
        <v>0</v>
      </c>
      <c r="X88">
        <v>0</v>
      </c>
      <c r="Y88">
        <v>1</v>
      </c>
      <c r="Z88">
        <v>0</v>
      </c>
      <c r="AA88">
        <v>0</v>
      </c>
      <c r="AB88">
        <v>0</v>
      </c>
      <c r="AC88">
        <v>0</v>
      </c>
      <c r="AD88">
        <v>0</v>
      </c>
      <c r="AE88" t="s">
        <v>161</v>
      </c>
      <c r="AF88">
        <v>20</v>
      </c>
      <c r="AG88" t="s">
        <v>208</v>
      </c>
      <c r="AI88">
        <v>46237</v>
      </c>
      <c r="AJ88" t="s">
        <v>150</v>
      </c>
    </row>
    <row r="89" spans="1:36" x14ac:dyDescent="0.25">
      <c r="A89" s="1">
        <v>46237</v>
      </c>
      <c r="B89" t="s">
        <v>149</v>
      </c>
      <c r="C89" t="s">
        <v>10</v>
      </c>
      <c r="D89">
        <v>11.870789764152878</v>
      </c>
      <c r="E89">
        <v>4.75</v>
      </c>
      <c r="F89">
        <v>4.75</v>
      </c>
      <c r="G89">
        <v>12.0703125</v>
      </c>
      <c r="H89">
        <v>0.40014186876966978</v>
      </c>
      <c r="I89">
        <v>0.40014186876966978</v>
      </c>
      <c r="J89">
        <v>1.0168078737650326</v>
      </c>
      <c r="K89">
        <v>1.6807873765032566E-2</v>
      </c>
      <c r="L89">
        <v>0</v>
      </c>
      <c r="M89">
        <v>0</v>
      </c>
      <c r="N89">
        <v>0</v>
      </c>
      <c r="O89">
        <v>0</v>
      </c>
      <c r="P89">
        <v>0</v>
      </c>
      <c r="Q89">
        <v>0</v>
      </c>
      <c r="R89">
        <v>0</v>
      </c>
      <c r="S89">
        <v>0</v>
      </c>
      <c r="T89">
        <v>0.59985813123033016</v>
      </c>
      <c r="U89">
        <v>0</v>
      </c>
      <c r="V89">
        <v>0</v>
      </c>
      <c r="W89">
        <v>0</v>
      </c>
      <c r="X89">
        <v>0</v>
      </c>
      <c r="Y89">
        <v>0.40014186876966978</v>
      </c>
      <c r="Z89">
        <v>0</v>
      </c>
      <c r="AA89">
        <v>0</v>
      </c>
      <c r="AB89">
        <v>0</v>
      </c>
      <c r="AC89">
        <v>0</v>
      </c>
      <c r="AD89">
        <v>0</v>
      </c>
      <c r="AE89" t="s">
        <v>166</v>
      </c>
      <c r="AF89">
        <v>10</v>
      </c>
      <c r="AG89" t="s">
        <v>206</v>
      </c>
      <c r="AH89">
        <v>1</v>
      </c>
      <c r="AI89">
        <v>46237</v>
      </c>
      <c r="AJ89" t="s">
        <v>150</v>
      </c>
    </row>
    <row r="90" spans="1:36" x14ac:dyDescent="0.25">
      <c r="A90" s="1">
        <v>46237</v>
      </c>
      <c r="B90" t="s">
        <v>149</v>
      </c>
      <c r="C90" t="s">
        <v>11</v>
      </c>
      <c r="D90">
        <v>4.2207252494765797</v>
      </c>
      <c r="E90">
        <v>0</v>
      </c>
      <c r="F90">
        <v>0</v>
      </c>
      <c r="G90">
        <v>4.6875</v>
      </c>
      <c r="H90">
        <v>0</v>
      </c>
      <c r="I90">
        <v>0</v>
      </c>
      <c r="J90">
        <v>1.1105911242579236</v>
      </c>
      <c r="K90">
        <v>0.11059112425792361</v>
      </c>
      <c r="L90">
        <v>0</v>
      </c>
      <c r="M90">
        <v>0</v>
      </c>
      <c r="N90">
        <v>0</v>
      </c>
      <c r="O90">
        <v>0</v>
      </c>
      <c r="P90">
        <v>0</v>
      </c>
      <c r="Q90">
        <v>0</v>
      </c>
      <c r="R90">
        <v>0</v>
      </c>
      <c r="S90">
        <v>0</v>
      </c>
      <c r="T90">
        <v>0</v>
      </c>
      <c r="U90">
        <v>0</v>
      </c>
      <c r="V90">
        <v>0</v>
      </c>
      <c r="W90">
        <v>0</v>
      </c>
      <c r="X90">
        <v>0</v>
      </c>
      <c r="Y90">
        <v>0</v>
      </c>
      <c r="Z90">
        <v>0</v>
      </c>
      <c r="AA90">
        <v>0</v>
      </c>
      <c r="AB90">
        <v>0</v>
      </c>
      <c r="AC90">
        <v>1</v>
      </c>
      <c r="AD90">
        <v>0</v>
      </c>
      <c r="AE90" t="s">
        <v>166</v>
      </c>
      <c r="AF90">
        <v>10</v>
      </c>
      <c r="AG90" t="s">
        <v>207</v>
      </c>
      <c r="AH90">
        <v>1</v>
      </c>
      <c r="AI90">
        <v>46237</v>
      </c>
      <c r="AJ90" t="s">
        <v>150</v>
      </c>
    </row>
    <row r="91" spans="1:36" x14ac:dyDescent="0.25">
      <c r="A91" s="1">
        <v>46237</v>
      </c>
      <c r="B91" t="s">
        <v>149</v>
      </c>
      <c r="C91" t="s">
        <v>12</v>
      </c>
      <c r="D91">
        <v>10.973885648639106</v>
      </c>
      <c r="E91">
        <v>0</v>
      </c>
      <c r="F91">
        <v>0</v>
      </c>
      <c r="G91">
        <v>11.3671875</v>
      </c>
      <c r="H91">
        <v>0</v>
      </c>
      <c r="I91">
        <v>0</v>
      </c>
      <c r="J91">
        <v>1.0358397985867174</v>
      </c>
      <c r="K91">
        <v>3.5839798586717375E-2</v>
      </c>
      <c r="L91">
        <v>0</v>
      </c>
      <c r="M91">
        <v>0</v>
      </c>
      <c r="N91">
        <v>0</v>
      </c>
      <c r="O91">
        <v>0</v>
      </c>
      <c r="P91">
        <v>0</v>
      </c>
      <c r="Q91">
        <v>0</v>
      </c>
      <c r="R91">
        <v>0</v>
      </c>
      <c r="S91">
        <v>0</v>
      </c>
      <c r="T91">
        <v>0</v>
      </c>
      <c r="U91">
        <v>0</v>
      </c>
      <c r="V91">
        <v>0</v>
      </c>
      <c r="W91">
        <v>0</v>
      </c>
      <c r="X91">
        <v>0</v>
      </c>
      <c r="Y91">
        <v>0</v>
      </c>
      <c r="Z91">
        <v>0</v>
      </c>
      <c r="AA91">
        <v>0</v>
      </c>
      <c r="AB91">
        <v>0</v>
      </c>
      <c r="AC91">
        <v>1</v>
      </c>
      <c r="AD91">
        <v>0</v>
      </c>
      <c r="AE91" t="s">
        <v>166</v>
      </c>
      <c r="AF91">
        <v>10</v>
      </c>
      <c r="AG91" t="s">
        <v>208</v>
      </c>
      <c r="AH91">
        <v>1</v>
      </c>
      <c r="AI91">
        <v>46237</v>
      </c>
      <c r="AJ91" t="s">
        <v>150</v>
      </c>
    </row>
    <row r="92" spans="1:36" x14ac:dyDescent="0.25">
      <c r="A92" s="1">
        <v>46238</v>
      </c>
      <c r="B92" t="s">
        <v>149</v>
      </c>
      <c r="C92" t="s">
        <v>12</v>
      </c>
      <c r="D92">
        <v>10.972274579690296</v>
      </c>
      <c r="E92">
        <v>13.3</v>
      </c>
      <c r="F92">
        <v>13.3</v>
      </c>
      <c r="G92">
        <v>11.6015625</v>
      </c>
      <c r="H92">
        <v>1.212146114591256</v>
      </c>
      <c r="I92">
        <v>1.212146114591256</v>
      </c>
      <c r="J92">
        <v>1.0573525494407985</v>
      </c>
      <c r="K92">
        <v>0</v>
      </c>
      <c r="L92">
        <v>0</v>
      </c>
      <c r="M92">
        <v>0</v>
      </c>
      <c r="N92">
        <v>0</v>
      </c>
      <c r="O92">
        <v>0</v>
      </c>
      <c r="P92">
        <v>0</v>
      </c>
      <c r="Q92">
        <v>5.7352549440798484E-2</v>
      </c>
      <c r="R92">
        <v>0</v>
      </c>
      <c r="S92">
        <v>0.1547935651504575</v>
      </c>
      <c r="T92">
        <v>0</v>
      </c>
      <c r="U92">
        <v>0</v>
      </c>
      <c r="V92">
        <v>0</v>
      </c>
      <c r="W92">
        <v>0</v>
      </c>
      <c r="X92">
        <v>0</v>
      </c>
      <c r="Y92">
        <v>1</v>
      </c>
      <c r="Z92">
        <v>0</v>
      </c>
      <c r="AA92">
        <v>0</v>
      </c>
      <c r="AB92">
        <v>0</v>
      </c>
      <c r="AC92">
        <v>0</v>
      </c>
      <c r="AD92">
        <v>0</v>
      </c>
      <c r="AE92" t="s">
        <v>161</v>
      </c>
      <c r="AF92">
        <v>20</v>
      </c>
      <c r="AG92" t="s">
        <v>209</v>
      </c>
      <c r="AI92">
        <v>46238</v>
      </c>
      <c r="AJ92" t="s">
        <v>150</v>
      </c>
    </row>
    <row r="93" spans="1:36" x14ac:dyDescent="0.25">
      <c r="A93" s="1">
        <v>46238</v>
      </c>
      <c r="B93" t="s">
        <v>149</v>
      </c>
      <c r="C93" t="s">
        <v>11</v>
      </c>
      <c r="D93">
        <v>4.220105607573192</v>
      </c>
      <c r="E93">
        <v>5.6999999999999993</v>
      </c>
      <c r="F93">
        <v>5.6999999999999993</v>
      </c>
      <c r="G93">
        <v>4.6875</v>
      </c>
      <c r="H93">
        <v>1.3506770991159704</v>
      </c>
      <c r="I93">
        <v>1.3506770991159704</v>
      </c>
      <c r="J93">
        <v>1.1107541933519496</v>
      </c>
      <c r="K93">
        <v>0</v>
      </c>
      <c r="L93">
        <v>0</v>
      </c>
      <c r="M93">
        <v>0.10067709911597045</v>
      </c>
      <c r="N93">
        <v>0</v>
      </c>
      <c r="O93">
        <v>0</v>
      </c>
      <c r="P93">
        <v>0</v>
      </c>
      <c r="Q93">
        <v>0.11075419335194958</v>
      </c>
      <c r="R93">
        <v>0</v>
      </c>
      <c r="S93">
        <v>0.13924580664805042</v>
      </c>
      <c r="T93">
        <v>0</v>
      </c>
      <c r="U93">
        <v>0</v>
      </c>
      <c r="V93">
        <v>0</v>
      </c>
      <c r="W93">
        <v>0</v>
      </c>
      <c r="X93">
        <v>0</v>
      </c>
      <c r="Y93">
        <v>1</v>
      </c>
      <c r="Z93">
        <v>0</v>
      </c>
      <c r="AA93">
        <v>0</v>
      </c>
      <c r="AB93">
        <v>0</v>
      </c>
      <c r="AC93">
        <v>0</v>
      </c>
      <c r="AD93">
        <v>0</v>
      </c>
      <c r="AE93" t="s">
        <v>161</v>
      </c>
      <c r="AF93">
        <v>20</v>
      </c>
      <c r="AG93" t="s">
        <v>210</v>
      </c>
      <c r="AI93">
        <v>46238</v>
      </c>
      <c r="AJ93" t="s">
        <v>150</v>
      </c>
    </row>
    <row r="94" spans="1:36" x14ac:dyDescent="0.25">
      <c r="A94" s="1">
        <v>46238</v>
      </c>
      <c r="B94" t="s">
        <v>149</v>
      </c>
      <c r="C94" t="s">
        <v>10</v>
      </c>
      <c r="D94">
        <v>13.02605930870925</v>
      </c>
      <c r="E94">
        <v>29.45</v>
      </c>
      <c r="F94">
        <v>29.45</v>
      </c>
      <c r="G94">
        <v>13.6171875</v>
      </c>
      <c r="H94">
        <v>2.2608525957124783</v>
      </c>
      <c r="I94">
        <v>2.2608525957124783</v>
      </c>
      <c r="J94">
        <v>1.0453804314322077</v>
      </c>
      <c r="K94">
        <v>0</v>
      </c>
      <c r="L94">
        <v>0</v>
      </c>
      <c r="M94">
        <v>1.0108525957124783</v>
      </c>
      <c r="N94">
        <v>0</v>
      </c>
      <c r="O94">
        <v>0</v>
      </c>
      <c r="P94">
        <v>0</v>
      </c>
      <c r="Q94">
        <v>4.5380431432207713E-2</v>
      </c>
      <c r="R94">
        <v>0</v>
      </c>
      <c r="S94">
        <v>0.20461956856779229</v>
      </c>
      <c r="T94">
        <v>0</v>
      </c>
      <c r="U94">
        <v>0</v>
      </c>
      <c r="V94">
        <v>0</v>
      </c>
      <c r="W94">
        <v>0</v>
      </c>
      <c r="X94">
        <v>0</v>
      </c>
      <c r="Y94">
        <v>1</v>
      </c>
      <c r="Z94">
        <v>0</v>
      </c>
      <c r="AA94">
        <v>0</v>
      </c>
      <c r="AB94">
        <v>0</v>
      </c>
      <c r="AC94">
        <v>0</v>
      </c>
      <c r="AD94">
        <v>0</v>
      </c>
      <c r="AE94" t="s">
        <v>161</v>
      </c>
      <c r="AF94">
        <v>20</v>
      </c>
      <c r="AG94" t="s">
        <v>211</v>
      </c>
      <c r="AI94">
        <v>46238</v>
      </c>
      <c r="AJ94" t="s">
        <v>150</v>
      </c>
    </row>
    <row r="95" spans="1:36" x14ac:dyDescent="0.25">
      <c r="A95" s="1">
        <v>46238</v>
      </c>
      <c r="B95" t="s">
        <v>149</v>
      </c>
      <c r="C95" t="s">
        <v>12</v>
      </c>
      <c r="D95">
        <v>10.973885648639106</v>
      </c>
      <c r="E95">
        <v>1.9</v>
      </c>
      <c r="F95">
        <v>1.9</v>
      </c>
      <c r="G95">
        <v>11.6015625</v>
      </c>
      <c r="H95">
        <v>0.17313830860226093</v>
      </c>
      <c r="I95">
        <v>0.17313830860226093</v>
      </c>
      <c r="J95">
        <v>1.0571973202070621</v>
      </c>
      <c r="K95">
        <v>5.7197320207062141E-2</v>
      </c>
      <c r="L95">
        <v>0</v>
      </c>
      <c r="M95">
        <v>0</v>
      </c>
      <c r="N95">
        <v>0</v>
      </c>
      <c r="O95">
        <v>0</v>
      </c>
      <c r="P95">
        <v>0</v>
      </c>
      <c r="Q95">
        <v>0</v>
      </c>
      <c r="R95">
        <v>0</v>
      </c>
      <c r="S95">
        <v>0</v>
      </c>
      <c r="T95">
        <v>0.82686169139773913</v>
      </c>
      <c r="U95">
        <v>0</v>
      </c>
      <c r="V95">
        <v>0</v>
      </c>
      <c r="W95">
        <v>0</v>
      </c>
      <c r="X95">
        <v>0</v>
      </c>
      <c r="Y95">
        <v>0.17313830860226093</v>
      </c>
      <c r="Z95">
        <v>0</v>
      </c>
      <c r="AA95">
        <v>0</v>
      </c>
      <c r="AB95">
        <v>0</v>
      </c>
      <c r="AC95">
        <v>0</v>
      </c>
      <c r="AD95">
        <v>0</v>
      </c>
      <c r="AE95" t="s">
        <v>166</v>
      </c>
      <c r="AF95">
        <v>10</v>
      </c>
      <c r="AG95" t="s">
        <v>209</v>
      </c>
      <c r="AH95">
        <v>1</v>
      </c>
      <c r="AI95">
        <v>46238</v>
      </c>
      <c r="AJ95" t="s">
        <v>150</v>
      </c>
    </row>
    <row r="96" spans="1:36" x14ac:dyDescent="0.25">
      <c r="A96" s="1">
        <v>46238</v>
      </c>
      <c r="B96" t="s">
        <v>149</v>
      </c>
      <c r="C96" t="s">
        <v>11</v>
      </c>
      <c r="D96">
        <v>4.2207252494765797</v>
      </c>
      <c r="E96">
        <v>0</v>
      </c>
      <c r="F96">
        <v>0</v>
      </c>
      <c r="G96">
        <v>4.6875</v>
      </c>
      <c r="H96">
        <v>0</v>
      </c>
      <c r="I96">
        <v>0</v>
      </c>
      <c r="J96">
        <v>1.1105911242579236</v>
      </c>
      <c r="K96">
        <v>0.11059112425792361</v>
      </c>
      <c r="L96">
        <v>0</v>
      </c>
      <c r="M96">
        <v>0</v>
      </c>
      <c r="N96">
        <v>0</v>
      </c>
      <c r="O96">
        <v>0</v>
      </c>
      <c r="P96">
        <v>0</v>
      </c>
      <c r="Q96">
        <v>0</v>
      </c>
      <c r="R96">
        <v>0</v>
      </c>
      <c r="S96">
        <v>0</v>
      </c>
      <c r="T96">
        <v>0</v>
      </c>
      <c r="U96">
        <v>0</v>
      </c>
      <c r="V96">
        <v>0</v>
      </c>
      <c r="W96">
        <v>0</v>
      </c>
      <c r="X96">
        <v>0</v>
      </c>
      <c r="Y96">
        <v>0</v>
      </c>
      <c r="Z96">
        <v>0</v>
      </c>
      <c r="AA96">
        <v>0</v>
      </c>
      <c r="AB96">
        <v>0</v>
      </c>
      <c r="AC96">
        <v>1</v>
      </c>
      <c r="AD96">
        <v>0</v>
      </c>
      <c r="AE96" t="s">
        <v>166</v>
      </c>
      <c r="AF96">
        <v>10</v>
      </c>
      <c r="AG96" t="s">
        <v>210</v>
      </c>
      <c r="AH96">
        <v>1</v>
      </c>
      <c r="AI96">
        <v>46238</v>
      </c>
      <c r="AJ96" t="s">
        <v>150</v>
      </c>
    </row>
    <row r="97" spans="1:36" x14ac:dyDescent="0.25">
      <c r="A97" s="1">
        <v>46238</v>
      </c>
      <c r="B97" t="s">
        <v>149</v>
      </c>
      <c r="C97" t="s">
        <v>10</v>
      </c>
      <c r="D97">
        <v>13.005109674949706</v>
      </c>
      <c r="E97">
        <v>2.8499999999999996</v>
      </c>
      <c r="F97">
        <v>2.8499999999999996</v>
      </c>
      <c r="G97">
        <v>13.6171875</v>
      </c>
      <c r="H97">
        <v>0.21914463401178672</v>
      </c>
      <c r="I97">
        <v>0.21914463401178672</v>
      </c>
      <c r="J97">
        <v>1.0470644108622376</v>
      </c>
      <c r="K97">
        <v>4.706441086223756E-2</v>
      </c>
      <c r="L97">
        <v>0</v>
      </c>
      <c r="M97">
        <v>0</v>
      </c>
      <c r="N97">
        <v>0</v>
      </c>
      <c r="O97">
        <v>0</v>
      </c>
      <c r="P97">
        <v>0</v>
      </c>
      <c r="Q97">
        <v>0</v>
      </c>
      <c r="R97">
        <v>0</v>
      </c>
      <c r="S97">
        <v>0</v>
      </c>
      <c r="T97">
        <v>0.78085536598821326</v>
      </c>
      <c r="U97">
        <v>0</v>
      </c>
      <c r="V97">
        <v>0</v>
      </c>
      <c r="W97">
        <v>0</v>
      </c>
      <c r="X97">
        <v>0</v>
      </c>
      <c r="Y97">
        <v>0.21914463401178672</v>
      </c>
      <c r="Z97">
        <v>0</v>
      </c>
      <c r="AA97">
        <v>0</v>
      </c>
      <c r="AB97">
        <v>0</v>
      </c>
      <c r="AC97">
        <v>0</v>
      </c>
      <c r="AD97">
        <v>0</v>
      </c>
      <c r="AE97" t="s">
        <v>166</v>
      </c>
      <c r="AF97">
        <v>10</v>
      </c>
      <c r="AG97" t="s">
        <v>211</v>
      </c>
      <c r="AH97">
        <v>1</v>
      </c>
      <c r="AI97">
        <v>46238</v>
      </c>
      <c r="AJ97" t="s">
        <v>150</v>
      </c>
    </row>
    <row r="98" spans="1:36" x14ac:dyDescent="0.25">
      <c r="A98" s="1">
        <v>46239</v>
      </c>
      <c r="B98" t="s">
        <v>149</v>
      </c>
      <c r="C98" t="s">
        <v>11</v>
      </c>
      <c r="D98">
        <v>4.220105607573192</v>
      </c>
      <c r="E98">
        <v>3.8</v>
      </c>
      <c r="F98">
        <v>3.8</v>
      </c>
      <c r="G98">
        <v>4.6875</v>
      </c>
      <c r="H98">
        <v>0.90045139941064711</v>
      </c>
      <c r="I98">
        <v>0.90045139941064711</v>
      </c>
      <c r="J98">
        <v>1.1107541933519496</v>
      </c>
      <c r="K98">
        <v>0.11075419335194958</v>
      </c>
      <c r="L98">
        <v>0</v>
      </c>
      <c r="M98">
        <v>0</v>
      </c>
      <c r="N98">
        <v>0</v>
      </c>
      <c r="O98">
        <v>0</v>
      </c>
      <c r="P98">
        <v>0</v>
      </c>
      <c r="Q98">
        <v>0</v>
      </c>
      <c r="R98">
        <v>0</v>
      </c>
      <c r="S98">
        <v>0</v>
      </c>
      <c r="T98">
        <v>9.9548600589352887E-2</v>
      </c>
      <c r="U98">
        <v>0</v>
      </c>
      <c r="V98">
        <v>0</v>
      </c>
      <c r="W98">
        <v>0</v>
      </c>
      <c r="X98">
        <v>0</v>
      </c>
      <c r="Y98">
        <v>0.90045139941064711</v>
      </c>
      <c r="Z98">
        <v>0</v>
      </c>
      <c r="AA98">
        <v>0</v>
      </c>
      <c r="AB98">
        <v>0</v>
      </c>
      <c r="AC98">
        <v>0</v>
      </c>
      <c r="AD98">
        <v>0</v>
      </c>
      <c r="AE98" t="s">
        <v>161</v>
      </c>
      <c r="AF98">
        <v>20</v>
      </c>
      <c r="AG98" t="s">
        <v>212</v>
      </c>
      <c r="AI98">
        <v>46239</v>
      </c>
      <c r="AJ98" t="s">
        <v>150</v>
      </c>
    </row>
    <row r="99" spans="1:36" x14ac:dyDescent="0.25">
      <c r="A99" s="1">
        <v>46239</v>
      </c>
      <c r="B99" t="s">
        <v>149</v>
      </c>
      <c r="C99" t="s">
        <v>12</v>
      </c>
      <c r="D99">
        <v>10.803470355387372</v>
      </c>
      <c r="E99">
        <v>11.4</v>
      </c>
      <c r="F99">
        <v>11.4</v>
      </c>
      <c r="G99">
        <v>11.355238970588236</v>
      </c>
      <c r="H99">
        <v>1.0552164836843518</v>
      </c>
      <c r="I99">
        <v>1.0552164836843518</v>
      </c>
      <c r="J99">
        <v>1.0510732752578631</v>
      </c>
      <c r="K99">
        <v>0</v>
      </c>
      <c r="L99">
        <v>0</v>
      </c>
      <c r="M99">
        <v>0</v>
      </c>
      <c r="N99">
        <v>0</v>
      </c>
      <c r="O99">
        <v>0</v>
      </c>
      <c r="P99">
        <v>0</v>
      </c>
      <c r="Q99">
        <v>5.1073275257863093E-2</v>
      </c>
      <c r="R99">
        <v>0</v>
      </c>
      <c r="S99">
        <v>4.1432084264887425E-3</v>
      </c>
      <c r="T99">
        <v>0</v>
      </c>
      <c r="U99">
        <v>0</v>
      </c>
      <c r="V99">
        <v>0</v>
      </c>
      <c r="W99">
        <v>0</v>
      </c>
      <c r="X99">
        <v>0</v>
      </c>
      <c r="Y99">
        <v>1</v>
      </c>
      <c r="Z99">
        <v>0</v>
      </c>
      <c r="AA99">
        <v>0</v>
      </c>
      <c r="AB99">
        <v>0</v>
      </c>
      <c r="AC99">
        <v>0</v>
      </c>
      <c r="AD99">
        <v>0</v>
      </c>
      <c r="AE99" t="s">
        <v>161</v>
      </c>
      <c r="AF99">
        <v>20</v>
      </c>
      <c r="AG99" t="s">
        <v>213</v>
      </c>
      <c r="AI99">
        <v>46239</v>
      </c>
      <c r="AJ99" t="s">
        <v>150</v>
      </c>
    </row>
    <row r="100" spans="1:36" x14ac:dyDescent="0.25">
      <c r="A100" s="1">
        <v>46239</v>
      </c>
      <c r="B100" t="s">
        <v>149</v>
      </c>
      <c r="C100" t="s">
        <v>10</v>
      </c>
      <c r="D100">
        <v>12.575914710568108</v>
      </c>
      <c r="E100">
        <v>24.7</v>
      </c>
      <c r="F100">
        <v>24.7</v>
      </c>
      <c r="G100">
        <v>12.738511029411764</v>
      </c>
      <c r="H100">
        <v>1.9640718443520833</v>
      </c>
      <c r="I100">
        <v>1.9640718443520833</v>
      </c>
      <c r="J100">
        <v>1.0129291842848631</v>
      </c>
      <c r="K100">
        <v>0</v>
      </c>
      <c r="L100">
        <v>0</v>
      </c>
      <c r="M100">
        <v>0.71407184435208326</v>
      </c>
      <c r="N100">
        <v>0</v>
      </c>
      <c r="O100">
        <v>0</v>
      </c>
      <c r="P100">
        <v>0</v>
      </c>
      <c r="Q100">
        <v>1.2929184284863116E-2</v>
      </c>
      <c r="R100">
        <v>0</v>
      </c>
      <c r="S100">
        <v>0.23707081571513688</v>
      </c>
      <c r="T100">
        <v>0</v>
      </c>
      <c r="U100">
        <v>0</v>
      </c>
      <c r="V100">
        <v>0</v>
      </c>
      <c r="W100">
        <v>0</v>
      </c>
      <c r="X100">
        <v>0</v>
      </c>
      <c r="Y100">
        <v>1</v>
      </c>
      <c r="Z100">
        <v>0</v>
      </c>
      <c r="AA100">
        <v>0</v>
      </c>
      <c r="AB100">
        <v>0</v>
      </c>
      <c r="AC100">
        <v>0</v>
      </c>
      <c r="AD100">
        <v>0</v>
      </c>
      <c r="AE100" t="s">
        <v>161</v>
      </c>
      <c r="AF100">
        <v>20</v>
      </c>
      <c r="AG100" t="s">
        <v>214</v>
      </c>
      <c r="AI100">
        <v>46239</v>
      </c>
      <c r="AJ100" t="s">
        <v>150</v>
      </c>
    </row>
    <row r="101" spans="1:36" x14ac:dyDescent="0.25">
      <c r="A101" s="1">
        <v>46239</v>
      </c>
      <c r="B101" t="s">
        <v>149</v>
      </c>
      <c r="C101" t="s">
        <v>11</v>
      </c>
      <c r="D101">
        <v>4.2207252494765797</v>
      </c>
      <c r="E101">
        <v>1.9</v>
      </c>
      <c r="F101">
        <v>1.9</v>
      </c>
      <c r="G101">
        <v>4.6875</v>
      </c>
      <c r="H101">
        <v>0.45015960236587838</v>
      </c>
      <c r="I101">
        <v>0.45015960236587838</v>
      </c>
      <c r="J101">
        <v>1.1105911242579236</v>
      </c>
      <c r="K101">
        <v>0.11059112425792361</v>
      </c>
      <c r="L101">
        <v>0</v>
      </c>
      <c r="M101">
        <v>0</v>
      </c>
      <c r="N101">
        <v>0</v>
      </c>
      <c r="O101">
        <v>0</v>
      </c>
      <c r="P101">
        <v>0</v>
      </c>
      <c r="Q101">
        <v>0</v>
      </c>
      <c r="R101">
        <v>0</v>
      </c>
      <c r="S101">
        <v>0</v>
      </c>
      <c r="T101">
        <v>0.54984039763412162</v>
      </c>
      <c r="U101">
        <v>0</v>
      </c>
      <c r="V101">
        <v>0</v>
      </c>
      <c r="W101">
        <v>0</v>
      </c>
      <c r="X101">
        <v>0</v>
      </c>
      <c r="Y101">
        <v>0.45015960236587838</v>
      </c>
      <c r="Z101">
        <v>0</v>
      </c>
      <c r="AA101">
        <v>0</v>
      </c>
      <c r="AB101">
        <v>0</v>
      </c>
      <c r="AC101">
        <v>0</v>
      </c>
      <c r="AD101">
        <v>0</v>
      </c>
      <c r="AE101" t="s">
        <v>166</v>
      </c>
      <c r="AF101">
        <v>10</v>
      </c>
      <c r="AG101" t="s">
        <v>212</v>
      </c>
      <c r="AH101">
        <v>1</v>
      </c>
      <c r="AI101">
        <v>46239</v>
      </c>
      <c r="AJ101" t="s">
        <v>150</v>
      </c>
    </row>
    <row r="102" spans="1:36" x14ac:dyDescent="0.25">
      <c r="A102" s="1">
        <v>46239</v>
      </c>
      <c r="B102" t="s">
        <v>149</v>
      </c>
      <c r="C102" t="s">
        <v>12</v>
      </c>
      <c r="D102">
        <v>10.815608451783737</v>
      </c>
      <c r="E102">
        <v>1.9</v>
      </c>
      <c r="F102">
        <v>1.9</v>
      </c>
      <c r="G102">
        <v>11.355238970588236</v>
      </c>
      <c r="H102">
        <v>0.17567203994765984</v>
      </c>
      <c r="I102">
        <v>0.17567203994765984</v>
      </c>
      <c r="J102">
        <v>1.0498936810823158</v>
      </c>
      <c r="K102">
        <v>4.9893681082315844E-2</v>
      </c>
      <c r="L102">
        <v>0</v>
      </c>
      <c r="M102">
        <v>0</v>
      </c>
      <c r="N102">
        <v>0</v>
      </c>
      <c r="O102">
        <v>0</v>
      </c>
      <c r="P102">
        <v>0</v>
      </c>
      <c r="Q102">
        <v>0</v>
      </c>
      <c r="R102">
        <v>0</v>
      </c>
      <c r="S102">
        <v>0</v>
      </c>
      <c r="T102">
        <v>0.8243279600523401</v>
      </c>
      <c r="U102">
        <v>0</v>
      </c>
      <c r="V102">
        <v>0</v>
      </c>
      <c r="W102">
        <v>0</v>
      </c>
      <c r="X102">
        <v>0</v>
      </c>
      <c r="Y102">
        <v>0.17567203994765984</v>
      </c>
      <c r="Z102">
        <v>0</v>
      </c>
      <c r="AA102">
        <v>0</v>
      </c>
      <c r="AB102">
        <v>0</v>
      </c>
      <c r="AC102">
        <v>0</v>
      </c>
      <c r="AD102">
        <v>0</v>
      </c>
      <c r="AE102" t="s">
        <v>166</v>
      </c>
      <c r="AF102">
        <v>10</v>
      </c>
      <c r="AG102" t="s">
        <v>213</v>
      </c>
      <c r="AH102">
        <v>1</v>
      </c>
      <c r="AI102">
        <v>46239</v>
      </c>
      <c r="AJ102" t="s">
        <v>150</v>
      </c>
    </row>
    <row r="103" spans="1:36" x14ac:dyDescent="0.25">
      <c r="A103" s="1">
        <v>46239</v>
      </c>
      <c r="B103" t="s">
        <v>149</v>
      </c>
      <c r="C103" t="s">
        <v>10</v>
      </c>
      <c r="D103">
        <v>12.583037150002053</v>
      </c>
      <c r="E103">
        <v>2.8499999999999996</v>
      </c>
      <c r="F103">
        <v>2.8499999999999996</v>
      </c>
      <c r="G103">
        <v>12.738511029411764</v>
      </c>
      <c r="H103">
        <v>0.22649539741679414</v>
      </c>
      <c r="I103">
        <v>0.22649539741679414</v>
      </c>
      <c r="J103">
        <v>1.0123558309139766</v>
      </c>
      <c r="K103">
        <v>1.2355830913976629E-2</v>
      </c>
      <c r="L103">
        <v>0</v>
      </c>
      <c r="M103">
        <v>0</v>
      </c>
      <c r="N103">
        <v>0</v>
      </c>
      <c r="O103">
        <v>0</v>
      </c>
      <c r="P103">
        <v>0</v>
      </c>
      <c r="Q103">
        <v>0</v>
      </c>
      <c r="R103">
        <v>0</v>
      </c>
      <c r="S103">
        <v>0</v>
      </c>
      <c r="T103">
        <v>0.77350460258320586</v>
      </c>
      <c r="U103">
        <v>0</v>
      </c>
      <c r="V103">
        <v>0</v>
      </c>
      <c r="W103">
        <v>0</v>
      </c>
      <c r="X103">
        <v>0</v>
      </c>
      <c r="Y103">
        <v>0.22649539741679414</v>
      </c>
      <c r="Z103">
        <v>0</v>
      </c>
      <c r="AA103">
        <v>0</v>
      </c>
      <c r="AB103">
        <v>0</v>
      </c>
      <c r="AC103">
        <v>0</v>
      </c>
      <c r="AD103">
        <v>0</v>
      </c>
      <c r="AE103" t="s">
        <v>166</v>
      </c>
      <c r="AF103">
        <v>10</v>
      </c>
      <c r="AG103" t="s">
        <v>214</v>
      </c>
      <c r="AH103">
        <v>1</v>
      </c>
      <c r="AI103">
        <v>46239</v>
      </c>
      <c r="AJ103" t="s">
        <v>150</v>
      </c>
    </row>
    <row r="104" spans="1:36" x14ac:dyDescent="0.25">
      <c r="A104" s="1">
        <v>46240</v>
      </c>
      <c r="B104" t="s">
        <v>149</v>
      </c>
      <c r="C104" t="s">
        <v>11</v>
      </c>
      <c r="D104">
        <v>4.220105607573192</v>
      </c>
      <c r="E104">
        <v>5.6999999999999993</v>
      </c>
      <c r="F104">
        <v>5.6999999999999993</v>
      </c>
      <c r="G104">
        <v>4.6875</v>
      </c>
      <c r="H104">
        <v>1.3506770991159704</v>
      </c>
      <c r="I104">
        <v>1.3506770991159704</v>
      </c>
      <c r="J104">
        <v>1.1107541933519496</v>
      </c>
      <c r="K104">
        <v>0</v>
      </c>
      <c r="L104">
        <v>0</v>
      </c>
      <c r="M104">
        <v>0.10067709911597045</v>
      </c>
      <c r="N104">
        <v>0</v>
      </c>
      <c r="O104">
        <v>0</v>
      </c>
      <c r="P104">
        <v>0</v>
      </c>
      <c r="Q104">
        <v>0.11075419335194958</v>
      </c>
      <c r="R104">
        <v>0</v>
      </c>
      <c r="S104">
        <v>0.13924580664805042</v>
      </c>
      <c r="T104">
        <v>0</v>
      </c>
      <c r="U104">
        <v>0</v>
      </c>
      <c r="V104">
        <v>0</v>
      </c>
      <c r="W104">
        <v>0</v>
      </c>
      <c r="X104">
        <v>0</v>
      </c>
      <c r="Y104">
        <v>1</v>
      </c>
      <c r="Z104">
        <v>0</v>
      </c>
      <c r="AA104">
        <v>0</v>
      </c>
      <c r="AB104">
        <v>0</v>
      </c>
      <c r="AC104">
        <v>0</v>
      </c>
      <c r="AD104">
        <v>0</v>
      </c>
      <c r="AE104" t="s">
        <v>161</v>
      </c>
      <c r="AF104">
        <v>20</v>
      </c>
      <c r="AG104" t="s">
        <v>215</v>
      </c>
      <c r="AI104">
        <v>46240</v>
      </c>
      <c r="AJ104" t="s">
        <v>150</v>
      </c>
    </row>
    <row r="105" spans="1:36" x14ac:dyDescent="0.25">
      <c r="A105" s="1">
        <v>46240</v>
      </c>
      <c r="B105" t="s">
        <v>149</v>
      </c>
      <c r="C105" t="s">
        <v>10</v>
      </c>
      <c r="D105">
        <v>11.73189358905347</v>
      </c>
      <c r="E105">
        <v>24.7</v>
      </c>
      <c r="F105">
        <v>24.7</v>
      </c>
      <c r="G105">
        <v>11.742187500000002</v>
      </c>
      <c r="H105">
        <v>2.1053719770392836</v>
      </c>
      <c r="I105">
        <v>2.1053719770392836</v>
      </c>
      <c r="J105">
        <v>1.0008774296210916</v>
      </c>
      <c r="K105">
        <v>0</v>
      </c>
      <c r="L105">
        <v>0</v>
      </c>
      <c r="M105">
        <v>0.85537197703928358</v>
      </c>
      <c r="N105">
        <v>0</v>
      </c>
      <c r="O105">
        <v>0</v>
      </c>
      <c r="P105">
        <v>0</v>
      </c>
      <c r="Q105">
        <v>8.7742962109160771E-4</v>
      </c>
      <c r="R105">
        <v>0</v>
      </c>
      <c r="S105">
        <v>0.24912257037890839</v>
      </c>
      <c r="T105">
        <v>0</v>
      </c>
      <c r="U105">
        <v>0</v>
      </c>
      <c r="V105">
        <v>0</v>
      </c>
      <c r="W105">
        <v>0</v>
      </c>
      <c r="X105">
        <v>0</v>
      </c>
      <c r="Y105">
        <v>1</v>
      </c>
      <c r="Z105">
        <v>0</v>
      </c>
      <c r="AA105">
        <v>0</v>
      </c>
      <c r="AB105">
        <v>0</v>
      </c>
      <c r="AC105">
        <v>0</v>
      </c>
      <c r="AD105">
        <v>0</v>
      </c>
      <c r="AE105" t="s">
        <v>161</v>
      </c>
      <c r="AF105">
        <v>20</v>
      </c>
      <c r="AG105" t="s">
        <v>216</v>
      </c>
      <c r="AI105">
        <v>46240</v>
      </c>
      <c r="AJ105" t="s">
        <v>150</v>
      </c>
    </row>
    <row r="106" spans="1:36" x14ac:dyDescent="0.25">
      <c r="A106" s="1">
        <v>46240</v>
      </c>
      <c r="B106" t="s">
        <v>149</v>
      </c>
      <c r="C106" t="s">
        <v>12</v>
      </c>
      <c r="D106">
        <v>10.972274579690296</v>
      </c>
      <c r="E106">
        <v>10.45</v>
      </c>
      <c r="F106">
        <v>10.45</v>
      </c>
      <c r="G106">
        <v>11.6015625</v>
      </c>
      <c r="H106">
        <v>0.95240051860741537</v>
      </c>
      <c r="I106">
        <v>0.95240051860741537</v>
      </c>
      <c r="J106">
        <v>1.0573525494407985</v>
      </c>
      <c r="K106">
        <v>5.7352549440798484E-2</v>
      </c>
      <c r="L106">
        <v>0</v>
      </c>
      <c r="M106">
        <v>0</v>
      </c>
      <c r="N106">
        <v>0</v>
      </c>
      <c r="O106">
        <v>0</v>
      </c>
      <c r="P106">
        <v>0</v>
      </c>
      <c r="Q106">
        <v>0</v>
      </c>
      <c r="R106">
        <v>0</v>
      </c>
      <c r="S106">
        <v>0</v>
      </c>
      <c r="T106">
        <v>4.7599481392584631E-2</v>
      </c>
      <c r="U106">
        <v>0</v>
      </c>
      <c r="V106">
        <v>0</v>
      </c>
      <c r="W106">
        <v>0</v>
      </c>
      <c r="X106">
        <v>0</v>
      </c>
      <c r="Y106">
        <v>0.95240051860741537</v>
      </c>
      <c r="Z106">
        <v>0</v>
      </c>
      <c r="AA106">
        <v>0</v>
      </c>
      <c r="AB106">
        <v>0</v>
      </c>
      <c r="AC106">
        <v>0</v>
      </c>
      <c r="AD106">
        <v>0</v>
      </c>
      <c r="AE106" t="s">
        <v>161</v>
      </c>
      <c r="AF106">
        <v>20</v>
      </c>
      <c r="AG106" t="s">
        <v>217</v>
      </c>
      <c r="AI106">
        <v>46240</v>
      </c>
      <c r="AJ106" t="s">
        <v>150</v>
      </c>
    </row>
    <row r="107" spans="1:36" x14ac:dyDescent="0.25">
      <c r="A107" s="1">
        <v>46240</v>
      </c>
      <c r="B107" t="s">
        <v>149</v>
      </c>
      <c r="C107" t="s">
        <v>11</v>
      </c>
      <c r="D107">
        <v>4.2207252494765797</v>
      </c>
      <c r="E107">
        <v>0.95</v>
      </c>
      <c r="F107">
        <v>0.95</v>
      </c>
      <c r="G107">
        <v>4.6875</v>
      </c>
      <c r="H107">
        <v>0.22507980118293919</v>
      </c>
      <c r="I107">
        <v>0.22507980118293919</v>
      </c>
      <c r="J107">
        <v>1.1105911242579236</v>
      </c>
      <c r="K107">
        <v>0.11059112425792361</v>
      </c>
      <c r="L107">
        <v>0</v>
      </c>
      <c r="M107">
        <v>0</v>
      </c>
      <c r="N107">
        <v>0</v>
      </c>
      <c r="O107">
        <v>0</v>
      </c>
      <c r="P107">
        <v>0</v>
      </c>
      <c r="Q107">
        <v>0</v>
      </c>
      <c r="R107">
        <v>0</v>
      </c>
      <c r="S107">
        <v>0</v>
      </c>
      <c r="T107">
        <v>0.77492019881706087</v>
      </c>
      <c r="U107">
        <v>0</v>
      </c>
      <c r="V107">
        <v>0</v>
      </c>
      <c r="W107">
        <v>0</v>
      </c>
      <c r="X107">
        <v>0</v>
      </c>
      <c r="Y107">
        <v>0.22507980118293919</v>
      </c>
      <c r="Z107">
        <v>0</v>
      </c>
      <c r="AA107">
        <v>0</v>
      </c>
      <c r="AB107">
        <v>0</v>
      </c>
      <c r="AC107">
        <v>0</v>
      </c>
      <c r="AD107">
        <v>0</v>
      </c>
      <c r="AE107" t="s">
        <v>166</v>
      </c>
      <c r="AF107">
        <v>10</v>
      </c>
      <c r="AG107" t="s">
        <v>215</v>
      </c>
      <c r="AH107">
        <v>1</v>
      </c>
      <c r="AI107">
        <v>46240</v>
      </c>
      <c r="AJ107" t="s">
        <v>150</v>
      </c>
    </row>
    <row r="108" spans="1:36" x14ac:dyDescent="0.25">
      <c r="A108" s="1">
        <v>46240</v>
      </c>
      <c r="B108" t="s">
        <v>149</v>
      </c>
      <c r="C108" t="s">
        <v>10</v>
      </c>
      <c r="D108">
        <v>11.738892100106735</v>
      </c>
      <c r="E108">
        <v>4.75</v>
      </c>
      <c r="F108">
        <v>4.75</v>
      </c>
      <c r="G108">
        <v>11.742187500000002</v>
      </c>
      <c r="H108">
        <v>0.40463784482326154</v>
      </c>
      <c r="I108">
        <v>0.40463784482326154</v>
      </c>
      <c r="J108">
        <v>1.0002807249496088</v>
      </c>
      <c r="K108">
        <v>2.8072494960884598E-4</v>
      </c>
      <c r="L108">
        <v>0</v>
      </c>
      <c r="M108">
        <v>0</v>
      </c>
      <c r="N108">
        <v>0</v>
      </c>
      <c r="O108">
        <v>0</v>
      </c>
      <c r="P108">
        <v>0</v>
      </c>
      <c r="Q108">
        <v>0</v>
      </c>
      <c r="R108">
        <v>0</v>
      </c>
      <c r="S108">
        <v>0</v>
      </c>
      <c r="T108">
        <v>0.59536215517673852</v>
      </c>
      <c r="U108">
        <v>0</v>
      </c>
      <c r="V108">
        <v>0</v>
      </c>
      <c r="W108">
        <v>0</v>
      </c>
      <c r="X108">
        <v>0</v>
      </c>
      <c r="Y108">
        <v>0.40463784482326154</v>
      </c>
      <c r="Z108">
        <v>0</v>
      </c>
      <c r="AA108">
        <v>0</v>
      </c>
      <c r="AB108">
        <v>0</v>
      </c>
      <c r="AC108">
        <v>0</v>
      </c>
      <c r="AD108">
        <v>0</v>
      </c>
      <c r="AE108" t="s">
        <v>166</v>
      </c>
      <c r="AF108">
        <v>10</v>
      </c>
      <c r="AG108" t="s">
        <v>216</v>
      </c>
      <c r="AH108">
        <v>1</v>
      </c>
      <c r="AI108">
        <v>46240</v>
      </c>
      <c r="AJ108" t="s">
        <v>150</v>
      </c>
    </row>
    <row r="109" spans="1:36" x14ac:dyDescent="0.25">
      <c r="A109" s="1">
        <v>46240</v>
      </c>
      <c r="B109" t="s">
        <v>149</v>
      </c>
      <c r="C109" t="s">
        <v>12</v>
      </c>
      <c r="D109">
        <v>10.973885648639106</v>
      </c>
      <c r="E109">
        <v>0.95</v>
      </c>
      <c r="F109">
        <v>0.95</v>
      </c>
      <c r="G109">
        <v>11.6015625</v>
      </c>
      <c r="H109">
        <v>8.6569154301130463E-2</v>
      </c>
      <c r="I109">
        <v>8.6569154301130463E-2</v>
      </c>
      <c r="J109">
        <v>1.0571973202070621</v>
      </c>
      <c r="K109">
        <v>5.7197320207062141E-2</v>
      </c>
      <c r="L109">
        <v>0</v>
      </c>
      <c r="M109">
        <v>0</v>
      </c>
      <c r="N109">
        <v>0</v>
      </c>
      <c r="O109">
        <v>0</v>
      </c>
      <c r="P109">
        <v>0</v>
      </c>
      <c r="Q109">
        <v>0</v>
      </c>
      <c r="R109">
        <v>0</v>
      </c>
      <c r="S109">
        <v>0</v>
      </c>
      <c r="T109">
        <v>0.91343084569886956</v>
      </c>
      <c r="U109">
        <v>0</v>
      </c>
      <c r="V109">
        <v>0</v>
      </c>
      <c r="W109">
        <v>0</v>
      </c>
      <c r="X109">
        <v>0</v>
      </c>
      <c r="Y109">
        <v>8.6569154301130463E-2</v>
      </c>
      <c r="Z109">
        <v>0</v>
      </c>
      <c r="AA109">
        <v>0</v>
      </c>
      <c r="AB109">
        <v>0</v>
      </c>
      <c r="AC109">
        <v>0</v>
      </c>
      <c r="AD109">
        <v>0</v>
      </c>
      <c r="AE109" t="s">
        <v>166</v>
      </c>
      <c r="AF109">
        <v>10</v>
      </c>
      <c r="AG109" t="s">
        <v>217</v>
      </c>
      <c r="AH109">
        <v>1</v>
      </c>
      <c r="AI109">
        <v>46240</v>
      </c>
      <c r="AJ109" t="s">
        <v>150</v>
      </c>
    </row>
    <row r="110" spans="1:36" x14ac:dyDescent="0.25">
      <c r="A110" s="1">
        <v>46241</v>
      </c>
      <c r="B110" t="s">
        <v>149</v>
      </c>
      <c r="C110" t="s">
        <v>12</v>
      </c>
      <c r="D110">
        <v>11.028542654457938</v>
      </c>
      <c r="E110">
        <v>12.35</v>
      </c>
      <c r="F110">
        <v>12.35</v>
      </c>
      <c r="G110">
        <v>11.253676470588236</v>
      </c>
      <c r="H110">
        <v>1.1198215745221698</v>
      </c>
      <c r="I110">
        <v>1.1198215745221698</v>
      </c>
      <c r="J110">
        <v>1.0204137412515963</v>
      </c>
      <c r="K110">
        <v>0</v>
      </c>
      <c r="L110">
        <v>0</v>
      </c>
      <c r="M110">
        <v>0</v>
      </c>
      <c r="N110">
        <v>0</v>
      </c>
      <c r="O110">
        <v>0</v>
      </c>
      <c r="P110">
        <v>0</v>
      </c>
      <c r="Q110">
        <v>2.041374125159634E-2</v>
      </c>
      <c r="R110">
        <v>0</v>
      </c>
      <c r="S110">
        <v>9.9407833270573454E-2</v>
      </c>
      <c r="T110">
        <v>0</v>
      </c>
      <c r="U110">
        <v>0</v>
      </c>
      <c r="V110">
        <v>0</v>
      </c>
      <c r="W110">
        <v>0</v>
      </c>
      <c r="X110">
        <v>0</v>
      </c>
      <c r="Y110">
        <v>1</v>
      </c>
      <c r="Z110">
        <v>0</v>
      </c>
      <c r="AA110">
        <v>0</v>
      </c>
      <c r="AB110">
        <v>0</v>
      </c>
      <c r="AC110">
        <v>0</v>
      </c>
      <c r="AD110">
        <v>0</v>
      </c>
      <c r="AE110" t="s">
        <v>161</v>
      </c>
      <c r="AF110">
        <v>20</v>
      </c>
      <c r="AG110" t="s">
        <v>218</v>
      </c>
      <c r="AI110">
        <v>46241</v>
      </c>
      <c r="AJ110" t="s">
        <v>150</v>
      </c>
    </row>
    <row r="111" spans="1:36" x14ac:dyDescent="0.25">
      <c r="A111" s="1">
        <v>46241</v>
      </c>
      <c r="B111" t="s">
        <v>149</v>
      </c>
      <c r="C111" t="s">
        <v>11</v>
      </c>
      <c r="D111">
        <v>4.220105607573192</v>
      </c>
      <c r="E111">
        <v>3.8</v>
      </c>
      <c r="F111">
        <v>3.8</v>
      </c>
      <c r="G111">
        <v>4.6875</v>
      </c>
      <c r="H111">
        <v>0.90045139941064711</v>
      </c>
      <c r="I111">
        <v>0.90045139941064711</v>
      </c>
      <c r="J111">
        <v>1.1107541933519496</v>
      </c>
      <c r="K111">
        <v>0.11075419335194958</v>
      </c>
      <c r="L111">
        <v>0</v>
      </c>
      <c r="M111">
        <v>0</v>
      </c>
      <c r="N111">
        <v>0</v>
      </c>
      <c r="O111">
        <v>0</v>
      </c>
      <c r="P111">
        <v>0</v>
      </c>
      <c r="Q111">
        <v>0</v>
      </c>
      <c r="R111">
        <v>0</v>
      </c>
      <c r="S111">
        <v>0</v>
      </c>
      <c r="T111">
        <v>9.9548600589352887E-2</v>
      </c>
      <c r="U111">
        <v>0</v>
      </c>
      <c r="V111">
        <v>0</v>
      </c>
      <c r="W111">
        <v>0</v>
      </c>
      <c r="X111">
        <v>0</v>
      </c>
      <c r="Y111">
        <v>0.90045139941064711</v>
      </c>
      <c r="Z111">
        <v>0</v>
      </c>
      <c r="AA111">
        <v>0</v>
      </c>
      <c r="AB111">
        <v>0</v>
      </c>
      <c r="AC111">
        <v>0</v>
      </c>
      <c r="AD111">
        <v>0</v>
      </c>
      <c r="AE111" t="s">
        <v>161</v>
      </c>
      <c r="AF111">
        <v>20</v>
      </c>
      <c r="AG111" t="s">
        <v>219</v>
      </c>
      <c r="AI111">
        <v>46241</v>
      </c>
      <c r="AJ111" t="s">
        <v>150</v>
      </c>
    </row>
    <row r="112" spans="1:36" x14ac:dyDescent="0.25">
      <c r="A112" s="1">
        <v>46241</v>
      </c>
      <c r="B112" t="s">
        <v>149</v>
      </c>
      <c r="C112" t="s">
        <v>10</v>
      </c>
      <c r="D112">
        <v>10.972274579690296</v>
      </c>
      <c r="E112">
        <v>22.799999999999997</v>
      </c>
      <c r="F112">
        <v>22.799999999999997</v>
      </c>
      <c r="G112">
        <v>11.308823529411764</v>
      </c>
      <c r="H112">
        <v>2.0779647678707245</v>
      </c>
      <c r="I112">
        <v>2.0779647678707245</v>
      </c>
      <c r="J112">
        <v>1.0306726693063644</v>
      </c>
      <c r="K112">
        <v>0</v>
      </c>
      <c r="L112">
        <v>0</v>
      </c>
      <c r="M112">
        <v>0.82796476787072448</v>
      </c>
      <c r="N112">
        <v>0</v>
      </c>
      <c r="O112">
        <v>0</v>
      </c>
      <c r="P112">
        <v>0</v>
      </c>
      <c r="Q112">
        <v>3.0672669306364364E-2</v>
      </c>
      <c r="R112">
        <v>0</v>
      </c>
      <c r="S112">
        <v>0.21932733069363564</v>
      </c>
      <c r="T112">
        <v>0</v>
      </c>
      <c r="U112">
        <v>0</v>
      </c>
      <c r="V112">
        <v>0</v>
      </c>
      <c r="W112">
        <v>0</v>
      </c>
      <c r="X112">
        <v>0</v>
      </c>
      <c r="Y112">
        <v>1</v>
      </c>
      <c r="Z112">
        <v>0</v>
      </c>
      <c r="AA112">
        <v>0</v>
      </c>
      <c r="AB112">
        <v>0</v>
      </c>
      <c r="AC112">
        <v>0</v>
      </c>
      <c r="AD112">
        <v>0</v>
      </c>
      <c r="AE112" t="s">
        <v>161</v>
      </c>
      <c r="AF112">
        <v>20</v>
      </c>
      <c r="AG112" t="s">
        <v>220</v>
      </c>
      <c r="AI112">
        <v>46241</v>
      </c>
      <c r="AJ112" t="s">
        <v>150</v>
      </c>
    </row>
    <row r="113" spans="1:36" x14ac:dyDescent="0.25">
      <c r="A113" s="1">
        <v>46241</v>
      </c>
      <c r="B113" t="s">
        <v>149</v>
      </c>
      <c r="C113" t="s">
        <v>12</v>
      </c>
      <c r="D113">
        <v>11.026644714257564</v>
      </c>
      <c r="E113">
        <v>2.8499999999999996</v>
      </c>
      <c r="F113">
        <v>2.8499999999999996</v>
      </c>
      <c r="G113">
        <v>11.253676470588236</v>
      </c>
      <c r="H113">
        <v>0.25846484346366222</v>
      </c>
      <c r="I113">
        <v>0.25846484346366222</v>
      </c>
      <c r="J113">
        <v>1.0205893780215043</v>
      </c>
      <c r="K113">
        <v>2.058937802150429E-2</v>
      </c>
      <c r="L113">
        <v>0</v>
      </c>
      <c r="M113">
        <v>0</v>
      </c>
      <c r="N113">
        <v>0</v>
      </c>
      <c r="O113">
        <v>0</v>
      </c>
      <c r="P113">
        <v>0</v>
      </c>
      <c r="Q113">
        <v>0</v>
      </c>
      <c r="R113">
        <v>0</v>
      </c>
      <c r="S113">
        <v>0</v>
      </c>
      <c r="T113">
        <v>0.74153515653633773</v>
      </c>
      <c r="U113">
        <v>0</v>
      </c>
      <c r="V113">
        <v>0</v>
      </c>
      <c r="W113">
        <v>0</v>
      </c>
      <c r="X113">
        <v>0</v>
      </c>
      <c r="Y113">
        <v>0.25846484346366222</v>
      </c>
      <c r="Z113">
        <v>0</v>
      </c>
      <c r="AA113">
        <v>0</v>
      </c>
      <c r="AB113">
        <v>0</v>
      </c>
      <c r="AC113">
        <v>0</v>
      </c>
      <c r="AD113">
        <v>0</v>
      </c>
      <c r="AE113" t="s">
        <v>166</v>
      </c>
      <c r="AF113">
        <v>10</v>
      </c>
      <c r="AG113" t="s">
        <v>218</v>
      </c>
      <c r="AH113">
        <v>1</v>
      </c>
      <c r="AI113">
        <v>46241</v>
      </c>
      <c r="AJ113" t="s">
        <v>150</v>
      </c>
    </row>
    <row r="114" spans="1:36" x14ac:dyDescent="0.25">
      <c r="A114" s="1">
        <v>46241</v>
      </c>
      <c r="B114" t="s">
        <v>149</v>
      </c>
      <c r="C114" t="s">
        <v>11</v>
      </c>
      <c r="D114">
        <v>4.2207252494765797</v>
      </c>
      <c r="E114">
        <v>3.8</v>
      </c>
      <c r="F114">
        <v>3.8</v>
      </c>
      <c r="G114">
        <v>4.6875</v>
      </c>
      <c r="H114">
        <v>0.90031920473175675</v>
      </c>
      <c r="I114">
        <v>0.90031920473175675</v>
      </c>
      <c r="J114">
        <v>1.1105911242579236</v>
      </c>
      <c r="K114">
        <v>0.11059112425792361</v>
      </c>
      <c r="L114">
        <v>0</v>
      </c>
      <c r="M114">
        <v>0</v>
      </c>
      <c r="N114">
        <v>0</v>
      </c>
      <c r="O114">
        <v>0</v>
      </c>
      <c r="P114">
        <v>0</v>
      </c>
      <c r="Q114">
        <v>0</v>
      </c>
      <c r="R114">
        <v>0</v>
      </c>
      <c r="S114">
        <v>0</v>
      </c>
      <c r="T114">
        <v>9.968079526824325E-2</v>
      </c>
      <c r="U114">
        <v>0</v>
      </c>
      <c r="V114">
        <v>0</v>
      </c>
      <c r="W114">
        <v>0</v>
      </c>
      <c r="X114">
        <v>0</v>
      </c>
      <c r="Y114">
        <v>0.90031920473175675</v>
      </c>
      <c r="Z114">
        <v>0</v>
      </c>
      <c r="AA114">
        <v>0</v>
      </c>
      <c r="AB114">
        <v>0</v>
      </c>
      <c r="AC114">
        <v>0</v>
      </c>
      <c r="AD114">
        <v>0</v>
      </c>
      <c r="AE114" t="s">
        <v>166</v>
      </c>
      <c r="AF114">
        <v>10</v>
      </c>
      <c r="AG114" t="s">
        <v>219</v>
      </c>
      <c r="AH114">
        <v>1</v>
      </c>
      <c r="AI114">
        <v>46241</v>
      </c>
      <c r="AJ114" t="s">
        <v>150</v>
      </c>
    </row>
    <row r="115" spans="1:36" x14ac:dyDescent="0.25">
      <c r="A115" s="1">
        <v>46241</v>
      </c>
      <c r="B115" t="s">
        <v>149</v>
      </c>
      <c r="C115" t="s">
        <v>10</v>
      </c>
      <c r="D115">
        <v>10.973885648639108</v>
      </c>
      <c r="E115">
        <v>0</v>
      </c>
      <c r="F115">
        <v>0</v>
      </c>
      <c r="G115">
        <v>11.308823529411764</v>
      </c>
      <c r="H115">
        <v>0</v>
      </c>
      <c r="I115">
        <v>0</v>
      </c>
      <c r="J115">
        <v>1.0305213569283176</v>
      </c>
      <c r="K115">
        <v>3.0521356928317589E-2</v>
      </c>
      <c r="L115">
        <v>0</v>
      </c>
      <c r="M115">
        <v>0</v>
      </c>
      <c r="N115">
        <v>0</v>
      </c>
      <c r="O115">
        <v>0</v>
      </c>
      <c r="P115">
        <v>0</v>
      </c>
      <c r="Q115">
        <v>0</v>
      </c>
      <c r="R115">
        <v>0</v>
      </c>
      <c r="S115">
        <v>0</v>
      </c>
      <c r="T115">
        <v>0</v>
      </c>
      <c r="U115">
        <v>0</v>
      </c>
      <c r="V115">
        <v>0</v>
      </c>
      <c r="W115">
        <v>0</v>
      </c>
      <c r="X115">
        <v>0</v>
      </c>
      <c r="Y115">
        <v>0</v>
      </c>
      <c r="Z115">
        <v>0</v>
      </c>
      <c r="AA115">
        <v>0</v>
      </c>
      <c r="AB115">
        <v>0</v>
      </c>
      <c r="AC115">
        <v>1</v>
      </c>
      <c r="AD115">
        <v>0</v>
      </c>
      <c r="AE115" t="s">
        <v>166</v>
      </c>
      <c r="AF115">
        <v>10</v>
      </c>
      <c r="AG115" t="s">
        <v>220</v>
      </c>
      <c r="AH115">
        <v>1</v>
      </c>
      <c r="AI115">
        <v>46241</v>
      </c>
      <c r="AJ115" t="s">
        <v>150</v>
      </c>
    </row>
    <row r="116" spans="1:36" x14ac:dyDescent="0.25">
      <c r="A116" s="1">
        <v>46242</v>
      </c>
      <c r="B116" t="s">
        <v>149</v>
      </c>
      <c r="C116" t="s">
        <v>12</v>
      </c>
      <c r="D116">
        <v>10.972274579690296</v>
      </c>
      <c r="E116">
        <v>12.35</v>
      </c>
      <c r="F116">
        <v>12.35</v>
      </c>
      <c r="G116">
        <v>11.308823529411764</v>
      </c>
      <c r="H116">
        <v>1.1255642492633091</v>
      </c>
      <c r="I116">
        <v>1.1255642492633091</v>
      </c>
      <c r="J116">
        <v>1.0306726693063644</v>
      </c>
      <c r="K116">
        <v>0</v>
      </c>
      <c r="L116">
        <v>0</v>
      </c>
      <c r="M116">
        <v>0</v>
      </c>
      <c r="N116">
        <v>0</v>
      </c>
      <c r="O116">
        <v>0</v>
      </c>
      <c r="P116">
        <v>0</v>
      </c>
      <c r="Q116">
        <v>3.0672669306364364E-2</v>
      </c>
      <c r="R116">
        <v>0</v>
      </c>
      <c r="S116">
        <v>9.4891579956944749E-2</v>
      </c>
      <c r="T116">
        <v>0</v>
      </c>
      <c r="U116">
        <v>0</v>
      </c>
      <c r="V116">
        <v>0</v>
      </c>
      <c r="W116">
        <v>0</v>
      </c>
      <c r="X116">
        <v>0</v>
      </c>
      <c r="Y116">
        <v>1</v>
      </c>
      <c r="Z116">
        <v>0</v>
      </c>
      <c r="AA116">
        <v>0</v>
      </c>
      <c r="AB116">
        <v>0</v>
      </c>
      <c r="AC116">
        <v>0</v>
      </c>
      <c r="AD116">
        <v>0</v>
      </c>
      <c r="AE116" t="s">
        <v>161</v>
      </c>
      <c r="AF116">
        <v>20</v>
      </c>
      <c r="AG116" t="s">
        <v>221</v>
      </c>
      <c r="AI116">
        <v>46242</v>
      </c>
      <c r="AJ116" t="s">
        <v>150</v>
      </c>
    </row>
    <row r="117" spans="1:36" x14ac:dyDescent="0.25">
      <c r="A117" s="1">
        <v>46242</v>
      </c>
      <c r="B117" t="s">
        <v>149</v>
      </c>
      <c r="C117" t="s">
        <v>10</v>
      </c>
      <c r="D117">
        <v>11.028542654457938</v>
      </c>
      <c r="E117">
        <v>19.95</v>
      </c>
      <c r="F117">
        <v>19.95</v>
      </c>
      <c r="G117">
        <v>11.253676470588236</v>
      </c>
      <c r="H117">
        <v>1.8089425434588897</v>
      </c>
      <c r="I117">
        <v>1.8089425434588897</v>
      </c>
      <c r="J117">
        <v>1.0204137412515963</v>
      </c>
      <c r="K117">
        <v>0</v>
      </c>
      <c r="L117">
        <v>0</v>
      </c>
      <c r="M117">
        <v>0.55894254345888972</v>
      </c>
      <c r="N117">
        <v>0</v>
      </c>
      <c r="O117">
        <v>0</v>
      </c>
      <c r="P117">
        <v>0</v>
      </c>
      <c r="Q117">
        <v>2.041374125159634E-2</v>
      </c>
      <c r="R117">
        <v>0</v>
      </c>
      <c r="S117">
        <v>0.22958625874840366</v>
      </c>
      <c r="T117">
        <v>0</v>
      </c>
      <c r="U117">
        <v>0</v>
      </c>
      <c r="V117">
        <v>0</v>
      </c>
      <c r="W117">
        <v>0</v>
      </c>
      <c r="X117">
        <v>0</v>
      </c>
      <c r="Y117">
        <v>1</v>
      </c>
      <c r="Z117">
        <v>0</v>
      </c>
      <c r="AA117">
        <v>0</v>
      </c>
      <c r="AB117">
        <v>0</v>
      </c>
      <c r="AC117">
        <v>0</v>
      </c>
      <c r="AD117">
        <v>0</v>
      </c>
      <c r="AE117" t="s">
        <v>161</v>
      </c>
      <c r="AF117">
        <v>20</v>
      </c>
      <c r="AG117" t="s">
        <v>222</v>
      </c>
      <c r="AI117">
        <v>46242</v>
      </c>
      <c r="AJ117" t="s">
        <v>150</v>
      </c>
    </row>
    <row r="118" spans="1:36" x14ac:dyDescent="0.25">
      <c r="A118" s="1">
        <v>46242</v>
      </c>
      <c r="B118" t="s">
        <v>149</v>
      </c>
      <c r="C118" t="s">
        <v>11</v>
      </c>
      <c r="D118">
        <v>4.220105607573192</v>
      </c>
      <c r="E118">
        <v>6.6499999999999995</v>
      </c>
      <c r="F118">
        <v>6.6499999999999995</v>
      </c>
      <c r="G118">
        <v>4.6875</v>
      </c>
      <c r="H118">
        <v>1.5757899489686324</v>
      </c>
      <c r="I118">
        <v>1.5757899489686324</v>
      </c>
      <c r="J118">
        <v>1.1107541933519496</v>
      </c>
      <c r="K118">
        <v>0</v>
      </c>
      <c r="L118">
        <v>0</v>
      </c>
      <c r="M118">
        <v>0.32578994896863245</v>
      </c>
      <c r="N118">
        <v>0</v>
      </c>
      <c r="O118">
        <v>0</v>
      </c>
      <c r="P118">
        <v>0</v>
      </c>
      <c r="Q118">
        <v>0.11075419335194958</v>
      </c>
      <c r="R118">
        <v>0</v>
      </c>
      <c r="S118">
        <v>0.13924580664805042</v>
      </c>
      <c r="T118">
        <v>0</v>
      </c>
      <c r="U118">
        <v>0</v>
      </c>
      <c r="V118">
        <v>0</v>
      </c>
      <c r="W118">
        <v>0</v>
      </c>
      <c r="X118">
        <v>0</v>
      </c>
      <c r="Y118">
        <v>1</v>
      </c>
      <c r="Z118">
        <v>0</v>
      </c>
      <c r="AA118">
        <v>0</v>
      </c>
      <c r="AB118">
        <v>0</v>
      </c>
      <c r="AC118">
        <v>0</v>
      </c>
      <c r="AD118">
        <v>0</v>
      </c>
      <c r="AE118" t="s">
        <v>161</v>
      </c>
      <c r="AF118">
        <v>20</v>
      </c>
      <c r="AG118" t="s">
        <v>223</v>
      </c>
      <c r="AI118">
        <v>46242</v>
      </c>
      <c r="AJ118" t="s">
        <v>150</v>
      </c>
    </row>
    <row r="119" spans="1:36" x14ac:dyDescent="0.25">
      <c r="A119" s="1">
        <v>46242</v>
      </c>
      <c r="B119" t="s">
        <v>149</v>
      </c>
      <c r="C119" t="s">
        <v>12</v>
      </c>
      <c r="D119">
        <v>10.973885648639106</v>
      </c>
      <c r="E119">
        <v>1.9</v>
      </c>
      <c r="F119">
        <v>1.9</v>
      </c>
      <c r="G119">
        <v>11.308823529411764</v>
      </c>
      <c r="H119">
        <v>0.17313830860226093</v>
      </c>
      <c r="I119">
        <v>0.17313830860226093</v>
      </c>
      <c r="J119">
        <v>1.0305213569283178</v>
      </c>
      <c r="K119">
        <v>3.0521356928317811E-2</v>
      </c>
      <c r="L119">
        <v>0</v>
      </c>
      <c r="M119">
        <v>0</v>
      </c>
      <c r="N119">
        <v>0</v>
      </c>
      <c r="O119">
        <v>0</v>
      </c>
      <c r="P119">
        <v>0</v>
      </c>
      <c r="Q119">
        <v>0</v>
      </c>
      <c r="R119">
        <v>0</v>
      </c>
      <c r="S119">
        <v>0</v>
      </c>
      <c r="T119">
        <v>0.82686169139773913</v>
      </c>
      <c r="U119">
        <v>0</v>
      </c>
      <c r="V119">
        <v>0</v>
      </c>
      <c r="W119">
        <v>0</v>
      </c>
      <c r="X119">
        <v>0</v>
      </c>
      <c r="Y119">
        <v>0.17313830860226093</v>
      </c>
      <c r="Z119">
        <v>0</v>
      </c>
      <c r="AA119">
        <v>0</v>
      </c>
      <c r="AB119">
        <v>0</v>
      </c>
      <c r="AC119">
        <v>0</v>
      </c>
      <c r="AD119">
        <v>0</v>
      </c>
      <c r="AE119" t="s">
        <v>166</v>
      </c>
      <c r="AF119">
        <v>10</v>
      </c>
      <c r="AG119" t="s">
        <v>221</v>
      </c>
      <c r="AH119">
        <v>1</v>
      </c>
      <c r="AI119">
        <v>46242</v>
      </c>
      <c r="AJ119" t="s">
        <v>150</v>
      </c>
    </row>
    <row r="120" spans="1:36" x14ac:dyDescent="0.25">
      <c r="A120" s="1">
        <v>46242</v>
      </c>
      <c r="B120" t="s">
        <v>149</v>
      </c>
      <c r="C120" t="s">
        <v>10</v>
      </c>
      <c r="D120">
        <v>11.026644714257564</v>
      </c>
      <c r="E120">
        <v>4.75</v>
      </c>
      <c r="F120">
        <v>4.75</v>
      </c>
      <c r="G120">
        <v>11.253676470588236</v>
      </c>
      <c r="H120">
        <v>0.43077473910610375</v>
      </c>
      <c r="I120">
        <v>0.43077473910610375</v>
      </c>
      <c r="J120">
        <v>1.0205893780215043</v>
      </c>
      <c r="K120">
        <v>2.058937802150429E-2</v>
      </c>
      <c r="L120">
        <v>0</v>
      </c>
      <c r="M120">
        <v>0</v>
      </c>
      <c r="N120">
        <v>0</v>
      </c>
      <c r="O120">
        <v>0</v>
      </c>
      <c r="P120">
        <v>0</v>
      </c>
      <c r="Q120">
        <v>0</v>
      </c>
      <c r="R120">
        <v>0</v>
      </c>
      <c r="S120">
        <v>0</v>
      </c>
      <c r="T120">
        <v>0.56922526089389625</v>
      </c>
      <c r="U120">
        <v>0</v>
      </c>
      <c r="V120">
        <v>0</v>
      </c>
      <c r="W120">
        <v>0</v>
      </c>
      <c r="X120">
        <v>0</v>
      </c>
      <c r="Y120">
        <v>0.43077473910610375</v>
      </c>
      <c r="Z120">
        <v>0</v>
      </c>
      <c r="AA120">
        <v>0</v>
      </c>
      <c r="AB120">
        <v>0</v>
      </c>
      <c r="AC120">
        <v>0</v>
      </c>
      <c r="AD120">
        <v>0</v>
      </c>
      <c r="AE120" t="s">
        <v>166</v>
      </c>
      <c r="AF120">
        <v>10</v>
      </c>
      <c r="AG120" t="s">
        <v>222</v>
      </c>
      <c r="AH120">
        <v>1</v>
      </c>
      <c r="AI120">
        <v>46242</v>
      </c>
      <c r="AJ120" t="s">
        <v>150</v>
      </c>
    </row>
    <row r="121" spans="1:36" x14ac:dyDescent="0.25">
      <c r="A121" s="1">
        <v>46242</v>
      </c>
      <c r="B121" t="s">
        <v>149</v>
      </c>
      <c r="C121" t="s">
        <v>11</v>
      </c>
      <c r="D121">
        <v>4.2207252494765797</v>
      </c>
      <c r="E121">
        <v>0.95</v>
      </c>
      <c r="F121">
        <v>0.95</v>
      </c>
      <c r="G121">
        <v>4.6875</v>
      </c>
      <c r="H121">
        <v>0.22507980118293919</v>
      </c>
      <c r="I121">
        <v>0.22507980118293919</v>
      </c>
      <c r="J121">
        <v>1.1105911242579236</v>
      </c>
      <c r="K121">
        <v>0.11059112425792361</v>
      </c>
      <c r="L121">
        <v>0</v>
      </c>
      <c r="M121">
        <v>0</v>
      </c>
      <c r="N121">
        <v>0</v>
      </c>
      <c r="O121">
        <v>0</v>
      </c>
      <c r="P121">
        <v>0</v>
      </c>
      <c r="Q121">
        <v>0</v>
      </c>
      <c r="R121">
        <v>0</v>
      </c>
      <c r="S121">
        <v>0</v>
      </c>
      <c r="T121">
        <v>0.77492019881706087</v>
      </c>
      <c r="U121">
        <v>0</v>
      </c>
      <c r="V121">
        <v>0</v>
      </c>
      <c r="W121">
        <v>0</v>
      </c>
      <c r="X121">
        <v>0</v>
      </c>
      <c r="Y121">
        <v>0.22507980118293919</v>
      </c>
      <c r="Z121">
        <v>0</v>
      </c>
      <c r="AA121">
        <v>0</v>
      </c>
      <c r="AB121">
        <v>0</v>
      </c>
      <c r="AC121">
        <v>0</v>
      </c>
      <c r="AD121">
        <v>0</v>
      </c>
      <c r="AE121" t="s">
        <v>166</v>
      </c>
      <c r="AF121">
        <v>10</v>
      </c>
      <c r="AG121" t="s">
        <v>223</v>
      </c>
      <c r="AH121">
        <v>1</v>
      </c>
      <c r="AI121">
        <v>46242</v>
      </c>
      <c r="AJ121" t="s">
        <v>150</v>
      </c>
    </row>
    <row r="122" spans="1:36" x14ac:dyDescent="0.25">
      <c r="A122" s="1">
        <v>46243</v>
      </c>
      <c r="B122" t="s">
        <v>149</v>
      </c>
      <c r="C122" t="s">
        <v>12</v>
      </c>
      <c r="D122">
        <v>11.816295701204934</v>
      </c>
      <c r="E122">
        <v>27.549999999999997</v>
      </c>
      <c r="F122">
        <v>27.549999999999997</v>
      </c>
      <c r="G122">
        <v>12.1875</v>
      </c>
      <c r="H122">
        <v>2.3315259449025687</v>
      </c>
      <c r="I122">
        <v>2.3315259449025687</v>
      </c>
      <c r="J122">
        <v>1.0314146081125248</v>
      </c>
      <c r="K122">
        <v>0</v>
      </c>
      <c r="L122">
        <v>0</v>
      </c>
      <c r="M122">
        <v>1.0815259449025687</v>
      </c>
      <c r="N122">
        <v>0</v>
      </c>
      <c r="O122">
        <v>0</v>
      </c>
      <c r="P122">
        <v>0</v>
      </c>
      <c r="Q122">
        <v>3.1414608112524833E-2</v>
      </c>
      <c r="R122">
        <v>0</v>
      </c>
      <c r="S122">
        <v>0.21858539188747517</v>
      </c>
      <c r="T122">
        <v>0</v>
      </c>
      <c r="U122">
        <v>0</v>
      </c>
      <c r="V122">
        <v>0</v>
      </c>
      <c r="W122">
        <v>0</v>
      </c>
      <c r="X122">
        <v>0</v>
      </c>
      <c r="Y122">
        <v>1</v>
      </c>
      <c r="Z122">
        <v>0</v>
      </c>
      <c r="AA122">
        <v>0</v>
      </c>
      <c r="AB122">
        <v>0</v>
      </c>
      <c r="AC122">
        <v>0</v>
      </c>
      <c r="AD122">
        <v>0</v>
      </c>
      <c r="AE122" t="s">
        <v>161</v>
      </c>
      <c r="AF122">
        <v>20</v>
      </c>
      <c r="AG122" t="s">
        <v>224</v>
      </c>
      <c r="AI122">
        <v>46243</v>
      </c>
      <c r="AJ122" t="s">
        <v>150</v>
      </c>
    </row>
    <row r="123" spans="1:36" x14ac:dyDescent="0.25">
      <c r="A123" s="1">
        <v>46243</v>
      </c>
      <c r="B123" t="s">
        <v>149</v>
      </c>
      <c r="C123" t="s">
        <v>10</v>
      </c>
      <c r="D123">
        <v>10.972274579690296</v>
      </c>
      <c r="E123">
        <v>10.45</v>
      </c>
      <c r="F123">
        <v>10.45</v>
      </c>
      <c r="G123">
        <v>11.25</v>
      </c>
      <c r="H123">
        <v>0.95240051860741537</v>
      </c>
      <c r="I123">
        <v>0.95240051860741537</v>
      </c>
      <c r="J123">
        <v>1.0253115630941076</v>
      </c>
      <c r="K123">
        <v>2.5311563094107647E-2</v>
      </c>
      <c r="L123">
        <v>0</v>
      </c>
      <c r="M123">
        <v>0</v>
      </c>
      <c r="N123">
        <v>0</v>
      </c>
      <c r="O123">
        <v>0</v>
      </c>
      <c r="P123">
        <v>0</v>
      </c>
      <c r="Q123">
        <v>0</v>
      </c>
      <c r="R123">
        <v>0</v>
      </c>
      <c r="S123">
        <v>0</v>
      </c>
      <c r="T123">
        <v>4.7599481392584631E-2</v>
      </c>
      <c r="U123">
        <v>0</v>
      </c>
      <c r="V123">
        <v>0</v>
      </c>
      <c r="W123">
        <v>0</v>
      </c>
      <c r="X123">
        <v>0</v>
      </c>
      <c r="Y123">
        <v>0.95240051860741537</v>
      </c>
      <c r="Z123">
        <v>0</v>
      </c>
      <c r="AA123">
        <v>0</v>
      </c>
      <c r="AB123">
        <v>0</v>
      </c>
      <c r="AC123">
        <v>0</v>
      </c>
      <c r="AD123">
        <v>0</v>
      </c>
      <c r="AE123" t="s">
        <v>161</v>
      </c>
      <c r="AF123">
        <v>20</v>
      </c>
      <c r="AG123" t="s">
        <v>225</v>
      </c>
      <c r="AI123">
        <v>46243</v>
      </c>
      <c r="AJ123" t="s">
        <v>150</v>
      </c>
    </row>
    <row r="124" spans="1:36" x14ac:dyDescent="0.25">
      <c r="A124" s="1">
        <v>46243</v>
      </c>
      <c r="B124" t="s">
        <v>149</v>
      </c>
      <c r="C124" t="s">
        <v>11</v>
      </c>
      <c r="D124">
        <v>4.220105607573192</v>
      </c>
      <c r="E124">
        <v>5.6999999999999993</v>
      </c>
      <c r="F124">
        <v>5.6999999999999993</v>
      </c>
      <c r="G124">
        <v>4.6875</v>
      </c>
      <c r="H124">
        <v>1.3506770991159704</v>
      </c>
      <c r="I124">
        <v>1.3506770991159704</v>
      </c>
      <c r="J124">
        <v>1.1107541933519496</v>
      </c>
      <c r="K124">
        <v>0</v>
      </c>
      <c r="L124">
        <v>0</v>
      </c>
      <c r="M124">
        <v>0.10067709911597045</v>
      </c>
      <c r="N124">
        <v>0</v>
      </c>
      <c r="O124">
        <v>0</v>
      </c>
      <c r="P124">
        <v>0</v>
      </c>
      <c r="Q124">
        <v>0.11075419335194958</v>
      </c>
      <c r="R124">
        <v>0</v>
      </c>
      <c r="S124">
        <v>0.13924580664805042</v>
      </c>
      <c r="T124">
        <v>0</v>
      </c>
      <c r="U124">
        <v>0</v>
      </c>
      <c r="V124">
        <v>0</v>
      </c>
      <c r="W124">
        <v>0</v>
      </c>
      <c r="X124">
        <v>0</v>
      </c>
      <c r="Y124">
        <v>1</v>
      </c>
      <c r="Z124">
        <v>0</v>
      </c>
      <c r="AA124">
        <v>0</v>
      </c>
      <c r="AB124">
        <v>0</v>
      </c>
      <c r="AC124">
        <v>0</v>
      </c>
      <c r="AD124">
        <v>0</v>
      </c>
      <c r="AE124" t="s">
        <v>161</v>
      </c>
      <c r="AF124">
        <v>20</v>
      </c>
      <c r="AG124" t="s">
        <v>226</v>
      </c>
      <c r="AI124">
        <v>46243</v>
      </c>
      <c r="AJ124" t="s">
        <v>150</v>
      </c>
    </row>
    <row r="125" spans="1:36" x14ac:dyDescent="0.25">
      <c r="A125" s="1">
        <v>46243</v>
      </c>
      <c r="B125" t="s">
        <v>149</v>
      </c>
      <c r="C125" t="s">
        <v>12</v>
      </c>
      <c r="D125">
        <v>11.818030698534422</v>
      </c>
      <c r="E125">
        <v>5.6999999999999993</v>
      </c>
      <c r="F125">
        <v>5.6999999999999993</v>
      </c>
      <c r="G125">
        <v>12.1875</v>
      </c>
      <c r="H125">
        <v>0.48231385967772683</v>
      </c>
      <c r="I125">
        <v>0.48231385967772683</v>
      </c>
      <c r="J125">
        <v>1.0312631868109292</v>
      </c>
      <c r="K125">
        <v>3.1263186810929211E-2</v>
      </c>
      <c r="L125">
        <v>0</v>
      </c>
      <c r="M125">
        <v>0</v>
      </c>
      <c r="N125">
        <v>0</v>
      </c>
      <c r="O125">
        <v>0</v>
      </c>
      <c r="P125">
        <v>0</v>
      </c>
      <c r="Q125">
        <v>0</v>
      </c>
      <c r="R125">
        <v>0</v>
      </c>
      <c r="S125">
        <v>0</v>
      </c>
      <c r="T125">
        <v>0.51768614032227322</v>
      </c>
      <c r="U125">
        <v>0</v>
      </c>
      <c r="V125">
        <v>0</v>
      </c>
      <c r="W125">
        <v>0</v>
      </c>
      <c r="X125">
        <v>0</v>
      </c>
      <c r="Y125">
        <v>0.48231385967772683</v>
      </c>
      <c r="Z125">
        <v>0</v>
      </c>
      <c r="AA125">
        <v>0</v>
      </c>
      <c r="AB125">
        <v>0</v>
      </c>
      <c r="AC125">
        <v>0</v>
      </c>
      <c r="AD125">
        <v>0</v>
      </c>
      <c r="AE125" t="s">
        <v>166</v>
      </c>
      <c r="AF125">
        <v>10</v>
      </c>
      <c r="AG125" t="s">
        <v>224</v>
      </c>
      <c r="AH125">
        <v>1</v>
      </c>
      <c r="AI125">
        <v>46243</v>
      </c>
      <c r="AJ125" t="s">
        <v>150</v>
      </c>
    </row>
    <row r="126" spans="1:36" x14ac:dyDescent="0.25">
      <c r="A126" s="1">
        <v>46243</v>
      </c>
      <c r="B126" t="s">
        <v>149</v>
      </c>
      <c r="C126" t="s">
        <v>10</v>
      </c>
      <c r="D126">
        <v>10.973885648639106</v>
      </c>
      <c r="E126">
        <v>0.95</v>
      </c>
      <c r="F126">
        <v>0.95</v>
      </c>
      <c r="G126">
        <v>11.25</v>
      </c>
      <c r="H126">
        <v>8.6569154301130463E-2</v>
      </c>
      <c r="I126">
        <v>8.6569154301130463E-2</v>
      </c>
      <c r="J126">
        <v>1.025161037776545</v>
      </c>
      <c r="K126">
        <v>2.5161037776544992E-2</v>
      </c>
      <c r="L126">
        <v>0</v>
      </c>
      <c r="M126">
        <v>0</v>
      </c>
      <c r="N126">
        <v>0</v>
      </c>
      <c r="O126">
        <v>0</v>
      </c>
      <c r="P126">
        <v>0</v>
      </c>
      <c r="Q126">
        <v>0</v>
      </c>
      <c r="R126">
        <v>0</v>
      </c>
      <c r="S126">
        <v>0</v>
      </c>
      <c r="T126">
        <v>0.91343084569886956</v>
      </c>
      <c r="U126">
        <v>0</v>
      </c>
      <c r="V126">
        <v>0</v>
      </c>
      <c r="W126">
        <v>0</v>
      </c>
      <c r="X126">
        <v>0</v>
      </c>
      <c r="Y126">
        <v>8.6569154301130463E-2</v>
      </c>
      <c r="Z126">
        <v>0</v>
      </c>
      <c r="AA126">
        <v>0</v>
      </c>
      <c r="AB126">
        <v>0</v>
      </c>
      <c r="AC126">
        <v>0</v>
      </c>
      <c r="AD126">
        <v>0</v>
      </c>
      <c r="AE126" t="s">
        <v>166</v>
      </c>
      <c r="AF126">
        <v>10</v>
      </c>
      <c r="AG126" t="s">
        <v>225</v>
      </c>
      <c r="AH126">
        <v>1</v>
      </c>
      <c r="AI126">
        <v>46243</v>
      </c>
      <c r="AJ126" t="s">
        <v>150</v>
      </c>
    </row>
    <row r="127" spans="1:36" x14ac:dyDescent="0.25">
      <c r="A127" s="1">
        <v>46243</v>
      </c>
      <c r="B127" t="s">
        <v>149</v>
      </c>
      <c r="C127" t="s">
        <v>11</v>
      </c>
      <c r="D127">
        <v>4.2207252494765797</v>
      </c>
      <c r="E127">
        <v>1.9</v>
      </c>
      <c r="F127">
        <v>1.9</v>
      </c>
      <c r="G127">
        <v>4.6875</v>
      </c>
      <c r="H127">
        <v>0.45015960236587838</v>
      </c>
      <c r="I127">
        <v>0.45015960236587838</v>
      </c>
      <c r="J127">
        <v>1.1105911242579236</v>
      </c>
      <c r="K127">
        <v>0.11059112425792361</v>
      </c>
      <c r="L127">
        <v>0</v>
      </c>
      <c r="M127">
        <v>0</v>
      </c>
      <c r="N127">
        <v>0</v>
      </c>
      <c r="O127">
        <v>0</v>
      </c>
      <c r="P127">
        <v>0</v>
      </c>
      <c r="Q127">
        <v>0</v>
      </c>
      <c r="R127">
        <v>0</v>
      </c>
      <c r="S127">
        <v>0</v>
      </c>
      <c r="T127">
        <v>0.54984039763412162</v>
      </c>
      <c r="U127">
        <v>0</v>
      </c>
      <c r="V127">
        <v>0</v>
      </c>
      <c r="W127">
        <v>0</v>
      </c>
      <c r="X127">
        <v>0</v>
      </c>
      <c r="Y127">
        <v>0.45015960236587838</v>
      </c>
      <c r="Z127">
        <v>0</v>
      </c>
      <c r="AA127">
        <v>0</v>
      </c>
      <c r="AB127">
        <v>0</v>
      </c>
      <c r="AC127">
        <v>0</v>
      </c>
      <c r="AD127">
        <v>0</v>
      </c>
      <c r="AE127" t="s">
        <v>166</v>
      </c>
      <c r="AF127">
        <v>10</v>
      </c>
      <c r="AG127" t="s">
        <v>226</v>
      </c>
      <c r="AH127">
        <v>1</v>
      </c>
      <c r="AI127">
        <v>46243</v>
      </c>
      <c r="AJ127" t="s">
        <v>150</v>
      </c>
    </row>
    <row r="128" spans="1:36" x14ac:dyDescent="0.25">
      <c r="A128" s="1">
        <v>46244</v>
      </c>
      <c r="B128" t="s">
        <v>149</v>
      </c>
      <c r="C128" t="s">
        <v>10</v>
      </c>
      <c r="D128">
        <v>11.872563775972576</v>
      </c>
      <c r="E128">
        <v>11.4</v>
      </c>
      <c r="F128">
        <v>11.4</v>
      </c>
      <c r="G128">
        <v>11.839613970588236</v>
      </c>
      <c r="H128">
        <v>0.96019698989287039</v>
      </c>
      <c r="I128">
        <v>0.96019698989287039</v>
      </c>
      <c r="J128">
        <v>0.99722471018003511</v>
      </c>
      <c r="K128">
        <v>0</v>
      </c>
      <c r="L128">
        <v>0</v>
      </c>
      <c r="M128">
        <v>0</v>
      </c>
      <c r="N128">
        <v>0</v>
      </c>
      <c r="O128">
        <v>0</v>
      </c>
      <c r="P128">
        <v>0</v>
      </c>
      <c r="Q128">
        <v>0</v>
      </c>
      <c r="R128">
        <v>0</v>
      </c>
      <c r="S128">
        <v>0</v>
      </c>
      <c r="T128">
        <v>3.7027720287164723E-2</v>
      </c>
      <c r="U128">
        <v>2.7752898199648879E-3</v>
      </c>
      <c r="V128">
        <v>0</v>
      </c>
      <c r="W128">
        <v>0</v>
      </c>
      <c r="X128">
        <v>0</v>
      </c>
      <c r="Y128">
        <v>0.96019698989287039</v>
      </c>
      <c r="Z128">
        <v>0</v>
      </c>
      <c r="AA128">
        <v>0</v>
      </c>
      <c r="AB128">
        <v>0</v>
      </c>
      <c r="AC128">
        <v>0</v>
      </c>
      <c r="AD128">
        <v>0</v>
      </c>
      <c r="AE128" t="s">
        <v>161</v>
      </c>
      <c r="AF128">
        <v>20</v>
      </c>
      <c r="AG128" t="s">
        <v>227</v>
      </c>
      <c r="AI128">
        <v>46244</v>
      </c>
      <c r="AJ128" t="s">
        <v>150</v>
      </c>
    </row>
    <row r="129" spans="1:36" x14ac:dyDescent="0.25">
      <c r="A129" s="1">
        <v>46244</v>
      </c>
      <c r="B129" t="s">
        <v>149</v>
      </c>
      <c r="C129" t="s">
        <v>11</v>
      </c>
      <c r="D129">
        <v>4.220105607573192</v>
      </c>
      <c r="E129">
        <v>4.75</v>
      </c>
      <c r="F129">
        <v>4.75</v>
      </c>
      <c r="G129">
        <v>4.6875</v>
      </c>
      <c r="H129">
        <v>1.1255642492633089</v>
      </c>
      <c r="I129">
        <v>1.1255642492633089</v>
      </c>
      <c r="J129">
        <v>1.1107541933519496</v>
      </c>
      <c r="K129">
        <v>0</v>
      </c>
      <c r="L129">
        <v>0</v>
      </c>
      <c r="M129">
        <v>0</v>
      </c>
      <c r="N129">
        <v>0</v>
      </c>
      <c r="O129">
        <v>0</v>
      </c>
      <c r="P129">
        <v>0</v>
      </c>
      <c r="Q129">
        <v>0.11075419335194958</v>
      </c>
      <c r="R129">
        <v>0</v>
      </c>
      <c r="S129">
        <v>1.481005591135931E-2</v>
      </c>
      <c r="T129">
        <v>0</v>
      </c>
      <c r="U129">
        <v>0</v>
      </c>
      <c r="V129">
        <v>0</v>
      </c>
      <c r="W129">
        <v>0</v>
      </c>
      <c r="X129">
        <v>0</v>
      </c>
      <c r="Y129">
        <v>1</v>
      </c>
      <c r="Z129">
        <v>0</v>
      </c>
      <c r="AA129">
        <v>0</v>
      </c>
      <c r="AB129">
        <v>0</v>
      </c>
      <c r="AC129">
        <v>0</v>
      </c>
      <c r="AD129">
        <v>0</v>
      </c>
      <c r="AE129" t="s">
        <v>161</v>
      </c>
      <c r="AF129">
        <v>20</v>
      </c>
      <c r="AG129" t="s">
        <v>228</v>
      </c>
      <c r="AI129">
        <v>46244</v>
      </c>
      <c r="AJ129" t="s">
        <v>150</v>
      </c>
    </row>
    <row r="130" spans="1:36" x14ac:dyDescent="0.25">
      <c r="A130" s="1">
        <v>46244</v>
      </c>
      <c r="B130" t="s">
        <v>149</v>
      </c>
      <c r="C130" t="s">
        <v>12</v>
      </c>
      <c r="D130">
        <v>10.972274579690296</v>
      </c>
      <c r="E130">
        <v>10.45</v>
      </c>
      <c r="F130">
        <v>10.45</v>
      </c>
      <c r="G130">
        <v>11.660386029411764</v>
      </c>
      <c r="H130">
        <v>0.95240051860741537</v>
      </c>
      <c r="I130">
        <v>0.95240051860741537</v>
      </c>
      <c r="J130">
        <v>1.0627136556530552</v>
      </c>
      <c r="K130">
        <v>6.27136556530552E-2</v>
      </c>
      <c r="L130">
        <v>0</v>
      </c>
      <c r="M130">
        <v>0</v>
      </c>
      <c r="N130">
        <v>0</v>
      </c>
      <c r="O130">
        <v>0</v>
      </c>
      <c r="P130">
        <v>0</v>
      </c>
      <c r="Q130">
        <v>0</v>
      </c>
      <c r="R130">
        <v>0</v>
      </c>
      <c r="S130">
        <v>0</v>
      </c>
      <c r="T130">
        <v>4.7599481392584631E-2</v>
      </c>
      <c r="U130">
        <v>0</v>
      </c>
      <c r="V130">
        <v>0</v>
      </c>
      <c r="W130">
        <v>0</v>
      </c>
      <c r="X130">
        <v>0</v>
      </c>
      <c r="Y130">
        <v>0.95240051860741537</v>
      </c>
      <c r="Z130">
        <v>0</v>
      </c>
      <c r="AA130">
        <v>0</v>
      </c>
      <c r="AB130">
        <v>0</v>
      </c>
      <c r="AC130">
        <v>0</v>
      </c>
      <c r="AD130">
        <v>0</v>
      </c>
      <c r="AE130" t="s">
        <v>161</v>
      </c>
      <c r="AF130">
        <v>20</v>
      </c>
      <c r="AG130" t="s">
        <v>229</v>
      </c>
      <c r="AI130">
        <v>46244</v>
      </c>
      <c r="AJ130" t="s">
        <v>150</v>
      </c>
    </row>
    <row r="131" spans="1:36" x14ac:dyDescent="0.25">
      <c r="A131" s="1">
        <v>46244</v>
      </c>
      <c r="B131" t="s">
        <v>149</v>
      </c>
      <c r="C131" t="s">
        <v>10</v>
      </c>
      <c r="D131">
        <v>11.870789764152878</v>
      </c>
      <c r="E131">
        <v>5.6999999999999993</v>
      </c>
      <c r="F131">
        <v>5.6999999999999993</v>
      </c>
      <c r="G131">
        <v>11.839613970588236</v>
      </c>
      <c r="H131">
        <v>0.48017024252360363</v>
      </c>
      <c r="I131">
        <v>0.48017024252360363</v>
      </c>
      <c r="J131">
        <v>0.99737373888477188</v>
      </c>
      <c r="K131">
        <v>0</v>
      </c>
      <c r="L131">
        <v>0</v>
      </c>
      <c r="M131">
        <v>0</v>
      </c>
      <c r="N131">
        <v>0</v>
      </c>
      <c r="O131">
        <v>0</v>
      </c>
      <c r="P131">
        <v>0</v>
      </c>
      <c r="Q131">
        <v>0</v>
      </c>
      <c r="R131">
        <v>0</v>
      </c>
      <c r="S131">
        <v>0</v>
      </c>
      <c r="T131">
        <v>0.51720349636116825</v>
      </c>
      <c r="U131">
        <v>2.6262611152281234E-3</v>
      </c>
      <c r="V131">
        <v>0</v>
      </c>
      <c r="W131">
        <v>0</v>
      </c>
      <c r="X131">
        <v>0</v>
      </c>
      <c r="Y131">
        <v>0.48017024252360363</v>
      </c>
      <c r="Z131">
        <v>0</v>
      </c>
      <c r="AA131">
        <v>0</v>
      </c>
      <c r="AB131">
        <v>0</v>
      </c>
      <c r="AC131">
        <v>0</v>
      </c>
      <c r="AD131">
        <v>0</v>
      </c>
      <c r="AE131" t="s">
        <v>166</v>
      </c>
      <c r="AF131">
        <v>10</v>
      </c>
      <c r="AG131" t="s">
        <v>227</v>
      </c>
      <c r="AH131">
        <v>1</v>
      </c>
      <c r="AI131">
        <v>46244</v>
      </c>
      <c r="AJ131" t="s">
        <v>150</v>
      </c>
    </row>
    <row r="132" spans="1:36" x14ac:dyDescent="0.25">
      <c r="A132" s="1">
        <v>46244</v>
      </c>
      <c r="B132" t="s">
        <v>149</v>
      </c>
      <c r="C132" t="s">
        <v>11</v>
      </c>
      <c r="D132">
        <v>4.2207252494765797</v>
      </c>
      <c r="E132">
        <v>0.95</v>
      </c>
      <c r="F132">
        <v>0.95</v>
      </c>
      <c r="G132">
        <v>4.6875</v>
      </c>
      <c r="H132">
        <v>0.22507980118293919</v>
      </c>
      <c r="I132">
        <v>0.22507980118293919</v>
      </c>
      <c r="J132">
        <v>1.1105911242579236</v>
      </c>
      <c r="K132">
        <v>0.11059112425792361</v>
      </c>
      <c r="L132">
        <v>0</v>
      </c>
      <c r="M132">
        <v>0</v>
      </c>
      <c r="N132">
        <v>0</v>
      </c>
      <c r="O132">
        <v>0</v>
      </c>
      <c r="P132">
        <v>0</v>
      </c>
      <c r="Q132">
        <v>0</v>
      </c>
      <c r="R132">
        <v>0</v>
      </c>
      <c r="S132">
        <v>0</v>
      </c>
      <c r="T132">
        <v>0.77492019881706087</v>
      </c>
      <c r="U132">
        <v>0</v>
      </c>
      <c r="V132">
        <v>0</v>
      </c>
      <c r="W132">
        <v>0</v>
      </c>
      <c r="X132">
        <v>0</v>
      </c>
      <c r="Y132">
        <v>0.22507980118293919</v>
      </c>
      <c r="Z132">
        <v>0</v>
      </c>
      <c r="AA132">
        <v>0</v>
      </c>
      <c r="AB132">
        <v>0</v>
      </c>
      <c r="AC132">
        <v>0</v>
      </c>
      <c r="AD132">
        <v>0</v>
      </c>
      <c r="AE132" t="s">
        <v>166</v>
      </c>
      <c r="AF132">
        <v>10</v>
      </c>
      <c r="AG132" t="s">
        <v>228</v>
      </c>
      <c r="AH132">
        <v>1</v>
      </c>
      <c r="AI132">
        <v>46244</v>
      </c>
      <c r="AJ132" t="s">
        <v>150</v>
      </c>
    </row>
    <row r="133" spans="1:36" x14ac:dyDescent="0.25">
      <c r="A133" s="1">
        <v>46244</v>
      </c>
      <c r="B133" t="s">
        <v>149</v>
      </c>
      <c r="C133" t="s">
        <v>12</v>
      </c>
      <c r="D133">
        <v>10.973885648639106</v>
      </c>
      <c r="E133">
        <v>0</v>
      </c>
      <c r="F133">
        <v>0</v>
      </c>
      <c r="G133">
        <v>11.660386029411764</v>
      </c>
      <c r="H133">
        <v>0</v>
      </c>
      <c r="I133">
        <v>0</v>
      </c>
      <c r="J133">
        <v>1.0625576393588347</v>
      </c>
      <c r="K133">
        <v>6.2557639358834738E-2</v>
      </c>
      <c r="L133">
        <v>0</v>
      </c>
      <c r="M133">
        <v>0</v>
      </c>
      <c r="N133">
        <v>0</v>
      </c>
      <c r="O133">
        <v>0</v>
      </c>
      <c r="P133">
        <v>0</v>
      </c>
      <c r="Q133">
        <v>0</v>
      </c>
      <c r="R133">
        <v>0</v>
      </c>
      <c r="S133">
        <v>0</v>
      </c>
      <c r="T133">
        <v>0</v>
      </c>
      <c r="U133">
        <v>0</v>
      </c>
      <c r="V133">
        <v>0</v>
      </c>
      <c r="W133">
        <v>0</v>
      </c>
      <c r="X133">
        <v>0</v>
      </c>
      <c r="Y133">
        <v>0</v>
      </c>
      <c r="Z133">
        <v>0</v>
      </c>
      <c r="AA133">
        <v>0</v>
      </c>
      <c r="AB133">
        <v>0</v>
      </c>
      <c r="AC133">
        <v>1</v>
      </c>
      <c r="AD133">
        <v>0</v>
      </c>
      <c r="AE133" t="s">
        <v>166</v>
      </c>
      <c r="AF133">
        <v>10</v>
      </c>
      <c r="AG133" t="s">
        <v>229</v>
      </c>
      <c r="AH133">
        <v>1</v>
      </c>
      <c r="AI133">
        <v>46244</v>
      </c>
      <c r="AJ133" t="s">
        <v>150</v>
      </c>
    </row>
    <row r="134" spans="1:36" x14ac:dyDescent="0.25">
      <c r="A134" s="1">
        <v>46245</v>
      </c>
      <c r="B134" t="s">
        <v>149</v>
      </c>
      <c r="C134" t="s">
        <v>12</v>
      </c>
      <c r="D134">
        <v>10.972274579690296</v>
      </c>
      <c r="E134">
        <v>10.45</v>
      </c>
      <c r="F134">
        <v>10.45</v>
      </c>
      <c r="G134">
        <v>11.6015625</v>
      </c>
      <c r="H134">
        <v>0.95240051860741537</v>
      </c>
      <c r="I134">
        <v>0.95240051860741537</v>
      </c>
      <c r="J134">
        <v>1.0573525494407985</v>
      </c>
      <c r="K134">
        <v>5.7352549440798484E-2</v>
      </c>
      <c r="L134">
        <v>0</v>
      </c>
      <c r="M134">
        <v>0</v>
      </c>
      <c r="N134">
        <v>0</v>
      </c>
      <c r="O134">
        <v>0</v>
      </c>
      <c r="P134">
        <v>0</v>
      </c>
      <c r="Q134">
        <v>0</v>
      </c>
      <c r="R134">
        <v>0</v>
      </c>
      <c r="S134">
        <v>0</v>
      </c>
      <c r="T134">
        <v>4.7599481392584631E-2</v>
      </c>
      <c r="U134">
        <v>0</v>
      </c>
      <c r="V134">
        <v>0</v>
      </c>
      <c r="W134">
        <v>0</v>
      </c>
      <c r="X134">
        <v>0</v>
      </c>
      <c r="Y134">
        <v>0.95240051860741537</v>
      </c>
      <c r="Z134">
        <v>0</v>
      </c>
      <c r="AA134">
        <v>0</v>
      </c>
      <c r="AB134">
        <v>0</v>
      </c>
      <c r="AC134">
        <v>0</v>
      </c>
      <c r="AD134">
        <v>0</v>
      </c>
      <c r="AE134" t="s">
        <v>161</v>
      </c>
      <c r="AF134">
        <v>20</v>
      </c>
      <c r="AG134" t="s">
        <v>230</v>
      </c>
      <c r="AI134">
        <v>46245</v>
      </c>
      <c r="AJ134" t="s">
        <v>150</v>
      </c>
    </row>
    <row r="135" spans="1:36" x14ac:dyDescent="0.25">
      <c r="A135" s="1">
        <v>46245</v>
      </c>
      <c r="B135" t="s">
        <v>149</v>
      </c>
      <c r="C135" t="s">
        <v>10</v>
      </c>
      <c r="D135">
        <v>11.73189358905347</v>
      </c>
      <c r="E135">
        <v>27.549999999999997</v>
      </c>
      <c r="F135">
        <v>27.549999999999997</v>
      </c>
      <c r="G135">
        <v>11.7421875</v>
      </c>
      <c r="H135">
        <v>2.3482995128515083</v>
      </c>
      <c r="I135">
        <v>2.3482995128515083</v>
      </c>
      <c r="J135">
        <v>1.0008774296210916</v>
      </c>
      <c r="K135">
        <v>0</v>
      </c>
      <c r="L135">
        <v>0</v>
      </c>
      <c r="M135">
        <v>1.0982995128515083</v>
      </c>
      <c r="N135">
        <v>0</v>
      </c>
      <c r="O135">
        <v>0</v>
      </c>
      <c r="P135">
        <v>0</v>
      </c>
      <c r="Q135">
        <v>8.7742962109160771E-4</v>
      </c>
      <c r="R135">
        <v>0</v>
      </c>
      <c r="S135">
        <v>0.24912257037890839</v>
      </c>
      <c r="T135">
        <v>0</v>
      </c>
      <c r="U135">
        <v>0</v>
      </c>
      <c r="V135">
        <v>0</v>
      </c>
      <c r="W135">
        <v>0</v>
      </c>
      <c r="X135">
        <v>0</v>
      </c>
      <c r="Y135">
        <v>1</v>
      </c>
      <c r="Z135">
        <v>0</v>
      </c>
      <c r="AA135">
        <v>0</v>
      </c>
      <c r="AB135">
        <v>0</v>
      </c>
      <c r="AC135">
        <v>0</v>
      </c>
      <c r="AD135">
        <v>0</v>
      </c>
      <c r="AE135" t="s">
        <v>161</v>
      </c>
      <c r="AF135">
        <v>20</v>
      </c>
      <c r="AG135" t="s">
        <v>231</v>
      </c>
      <c r="AI135">
        <v>46245</v>
      </c>
      <c r="AJ135" t="s">
        <v>150</v>
      </c>
    </row>
    <row r="136" spans="1:36" x14ac:dyDescent="0.25">
      <c r="A136" s="1">
        <v>46245</v>
      </c>
      <c r="B136" t="s">
        <v>149</v>
      </c>
      <c r="C136" t="s">
        <v>11</v>
      </c>
      <c r="D136">
        <v>4.220105607573192</v>
      </c>
      <c r="E136">
        <v>5.6999999999999993</v>
      </c>
      <c r="F136">
        <v>5.6999999999999993</v>
      </c>
      <c r="G136">
        <v>4.6875</v>
      </c>
      <c r="H136">
        <v>1.3506770991159704</v>
      </c>
      <c r="I136">
        <v>1.3506770991159704</v>
      </c>
      <c r="J136">
        <v>1.1107541933519496</v>
      </c>
      <c r="K136">
        <v>0</v>
      </c>
      <c r="L136">
        <v>0</v>
      </c>
      <c r="M136">
        <v>0.10067709911597045</v>
      </c>
      <c r="N136">
        <v>0</v>
      </c>
      <c r="O136">
        <v>0</v>
      </c>
      <c r="P136">
        <v>0</v>
      </c>
      <c r="Q136">
        <v>0.11075419335194958</v>
      </c>
      <c r="R136">
        <v>0</v>
      </c>
      <c r="S136">
        <v>0.13924580664805042</v>
      </c>
      <c r="T136">
        <v>0</v>
      </c>
      <c r="U136">
        <v>0</v>
      </c>
      <c r="V136">
        <v>0</v>
      </c>
      <c r="W136">
        <v>0</v>
      </c>
      <c r="X136">
        <v>0</v>
      </c>
      <c r="Y136">
        <v>1</v>
      </c>
      <c r="Z136">
        <v>0</v>
      </c>
      <c r="AA136">
        <v>0</v>
      </c>
      <c r="AB136">
        <v>0</v>
      </c>
      <c r="AC136">
        <v>0</v>
      </c>
      <c r="AD136">
        <v>0</v>
      </c>
      <c r="AE136" t="s">
        <v>161</v>
      </c>
      <c r="AF136">
        <v>20</v>
      </c>
      <c r="AG136" t="s">
        <v>232</v>
      </c>
      <c r="AI136">
        <v>46245</v>
      </c>
      <c r="AJ136" t="s">
        <v>150</v>
      </c>
    </row>
    <row r="137" spans="1:36" x14ac:dyDescent="0.25">
      <c r="A137" s="1">
        <v>46245</v>
      </c>
      <c r="B137" t="s">
        <v>149</v>
      </c>
      <c r="C137" t="s">
        <v>12</v>
      </c>
      <c r="D137">
        <v>10.973885648639106</v>
      </c>
      <c r="E137">
        <v>0.95</v>
      </c>
      <c r="F137">
        <v>0.95</v>
      </c>
      <c r="G137">
        <v>11.6015625</v>
      </c>
      <c r="H137">
        <v>8.6569154301130463E-2</v>
      </c>
      <c r="I137">
        <v>8.6569154301130463E-2</v>
      </c>
      <c r="J137">
        <v>1.0571973202070621</v>
      </c>
      <c r="K137">
        <v>5.7197320207062141E-2</v>
      </c>
      <c r="L137">
        <v>0</v>
      </c>
      <c r="M137">
        <v>0</v>
      </c>
      <c r="N137">
        <v>0</v>
      </c>
      <c r="O137">
        <v>0</v>
      </c>
      <c r="P137">
        <v>0</v>
      </c>
      <c r="Q137">
        <v>0</v>
      </c>
      <c r="R137">
        <v>0</v>
      </c>
      <c r="S137">
        <v>0</v>
      </c>
      <c r="T137">
        <v>0.91343084569886956</v>
      </c>
      <c r="U137">
        <v>0</v>
      </c>
      <c r="V137">
        <v>0</v>
      </c>
      <c r="W137">
        <v>0</v>
      </c>
      <c r="X137">
        <v>0</v>
      </c>
      <c r="Y137">
        <v>8.6569154301130463E-2</v>
      </c>
      <c r="Z137">
        <v>0</v>
      </c>
      <c r="AA137">
        <v>0</v>
      </c>
      <c r="AB137">
        <v>0</v>
      </c>
      <c r="AC137">
        <v>0</v>
      </c>
      <c r="AD137">
        <v>0</v>
      </c>
      <c r="AE137" t="s">
        <v>166</v>
      </c>
      <c r="AF137">
        <v>10</v>
      </c>
      <c r="AG137" t="s">
        <v>230</v>
      </c>
      <c r="AH137">
        <v>1</v>
      </c>
      <c r="AI137">
        <v>46245</v>
      </c>
      <c r="AJ137" t="s">
        <v>150</v>
      </c>
    </row>
    <row r="138" spans="1:36" x14ac:dyDescent="0.25">
      <c r="A138" s="1">
        <v>46245</v>
      </c>
      <c r="B138" t="s">
        <v>149</v>
      </c>
      <c r="C138" t="s">
        <v>10</v>
      </c>
      <c r="D138">
        <v>11.738892100106735</v>
      </c>
      <c r="E138">
        <v>3.8</v>
      </c>
      <c r="F138">
        <v>3.8</v>
      </c>
      <c r="G138">
        <v>11.7421875</v>
      </c>
      <c r="H138">
        <v>0.32371027585860923</v>
      </c>
      <c r="I138">
        <v>0.32371027585860923</v>
      </c>
      <c r="J138">
        <v>1.0002807249496086</v>
      </c>
      <c r="K138">
        <v>2.8072494960862393E-4</v>
      </c>
      <c r="L138">
        <v>0</v>
      </c>
      <c r="M138">
        <v>0</v>
      </c>
      <c r="N138">
        <v>0</v>
      </c>
      <c r="O138">
        <v>0</v>
      </c>
      <c r="P138">
        <v>0</v>
      </c>
      <c r="Q138">
        <v>0</v>
      </c>
      <c r="R138">
        <v>0</v>
      </c>
      <c r="S138">
        <v>0</v>
      </c>
      <c r="T138">
        <v>0.67628972414139077</v>
      </c>
      <c r="U138">
        <v>0</v>
      </c>
      <c r="V138">
        <v>0</v>
      </c>
      <c r="W138">
        <v>0</v>
      </c>
      <c r="X138">
        <v>0</v>
      </c>
      <c r="Y138">
        <v>0.32371027585860923</v>
      </c>
      <c r="Z138">
        <v>0</v>
      </c>
      <c r="AA138">
        <v>0</v>
      </c>
      <c r="AB138">
        <v>0</v>
      </c>
      <c r="AC138">
        <v>0</v>
      </c>
      <c r="AD138">
        <v>0</v>
      </c>
      <c r="AE138" t="s">
        <v>166</v>
      </c>
      <c r="AF138">
        <v>10</v>
      </c>
      <c r="AG138" t="s">
        <v>231</v>
      </c>
      <c r="AH138">
        <v>1</v>
      </c>
      <c r="AI138">
        <v>46245</v>
      </c>
      <c r="AJ138" t="s">
        <v>150</v>
      </c>
    </row>
    <row r="139" spans="1:36" x14ac:dyDescent="0.25">
      <c r="A139" s="1">
        <v>46245</v>
      </c>
      <c r="B139" t="s">
        <v>149</v>
      </c>
      <c r="C139" t="s">
        <v>11</v>
      </c>
      <c r="D139">
        <v>4.2207252494765797</v>
      </c>
      <c r="E139">
        <v>0</v>
      </c>
      <c r="F139">
        <v>0</v>
      </c>
      <c r="G139">
        <v>4.6875</v>
      </c>
      <c r="H139">
        <v>0</v>
      </c>
      <c r="I139">
        <v>0</v>
      </c>
      <c r="J139">
        <v>1.1105911242579236</v>
      </c>
      <c r="K139">
        <v>0.11059112425792361</v>
      </c>
      <c r="L139">
        <v>0</v>
      </c>
      <c r="M139">
        <v>0</v>
      </c>
      <c r="N139">
        <v>0</v>
      </c>
      <c r="O139">
        <v>0</v>
      </c>
      <c r="P139">
        <v>0</v>
      </c>
      <c r="Q139">
        <v>0</v>
      </c>
      <c r="R139">
        <v>0</v>
      </c>
      <c r="S139">
        <v>0</v>
      </c>
      <c r="T139">
        <v>0</v>
      </c>
      <c r="U139">
        <v>0</v>
      </c>
      <c r="V139">
        <v>0</v>
      </c>
      <c r="W139">
        <v>0</v>
      </c>
      <c r="X139">
        <v>0</v>
      </c>
      <c r="Y139">
        <v>0</v>
      </c>
      <c r="Z139">
        <v>0</v>
      </c>
      <c r="AA139">
        <v>0</v>
      </c>
      <c r="AB139">
        <v>0</v>
      </c>
      <c r="AC139">
        <v>1</v>
      </c>
      <c r="AD139">
        <v>0</v>
      </c>
      <c r="AE139" t="s">
        <v>166</v>
      </c>
      <c r="AF139">
        <v>10</v>
      </c>
      <c r="AG139" t="s">
        <v>232</v>
      </c>
      <c r="AH139">
        <v>1</v>
      </c>
      <c r="AI139">
        <v>46245</v>
      </c>
      <c r="AJ139" t="s">
        <v>150</v>
      </c>
    </row>
    <row r="140" spans="1:36" x14ac:dyDescent="0.25">
      <c r="A140" s="1">
        <v>46246</v>
      </c>
      <c r="B140" t="s">
        <v>149</v>
      </c>
      <c r="C140" t="s">
        <v>10</v>
      </c>
      <c r="D140">
        <v>12.575914710568108</v>
      </c>
      <c r="E140">
        <v>22.799999999999997</v>
      </c>
      <c r="F140">
        <v>22.799999999999997</v>
      </c>
      <c r="G140">
        <v>11.801011029411764</v>
      </c>
      <c r="H140">
        <v>1.8129893947865381</v>
      </c>
      <c r="I140">
        <v>1.8129893947865381</v>
      </c>
      <c r="J140">
        <v>0.93838192298607448</v>
      </c>
      <c r="K140">
        <v>0</v>
      </c>
      <c r="L140">
        <v>0</v>
      </c>
      <c r="M140">
        <v>0.56298939478653809</v>
      </c>
      <c r="N140">
        <v>0</v>
      </c>
      <c r="O140">
        <v>0</v>
      </c>
      <c r="P140">
        <v>0</v>
      </c>
      <c r="Q140">
        <v>0</v>
      </c>
      <c r="R140">
        <v>0</v>
      </c>
      <c r="S140">
        <v>0.25</v>
      </c>
      <c r="T140">
        <v>0</v>
      </c>
      <c r="U140">
        <v>0</v>
      </c>
      <c r="V140">
        <v>0</v>
      </c>
      <c r="W140">
        <v>6.1618077013925521E-2</v>
      </c>
      <c r="X140">
        <v>0</v>
      </c>
      <c r="Y140">
        <v>0.93838192298607448</v>
      </c>
      <c r="Z140">
        <v>0</v>
      </c>
      <c r="AA140">
        <v>0</v>
      </c>
      <c r="AB140">
        <v>0</v>
      </c>
      <c r="AC140">
        <v>0</v>
      </c>
      <c r="AD140">
        <v>0</v>
      </c>
      <c r="AE140" t="s">
        <v>161</v>
      </c>
      <c r="AF140">
        <v>20</v>
      </c>
      <c r="AG140" t="s">
        <v>233</v>
      </c>
      <c r="AI140">
        <v>46246</v>
      </c>
      <c r="AJ140" t="s">
        <v>150</v>
      </c>
    </row>
    <row r="141" spans="1:36" x14ac:dyDescent="0.25">
      <c r="A141" s="1">
        <v>46246</v>
      </c>
      <c r="B141" t="s">
        <v>149</v>
      </c>
      <c r="C141" t="s">
        <v>11</v>
      </c>
      <c r="D141">
        <v>4.220105607573192</v>
      </c>
      <c r="E141">
        <v>3.8</v>
      </c>
      <c r="F141">
        <v>3.8</v>
      </c>
      <c r="G141">
        <v>4.6875</v>
      </c>
      <c r="H141">
        <v>0.90045139941064711</v>
      </c>
      <c r="I141">
        <v>0.90045139941064711</v>
      </c>
      <c r="J141">
        <v>1.1107541933519496</v>
      </c>
      <c r="K141">
        <v>0.11075419335194958</v>
      </c>
      <c r="L141">
        <v>0</v>
      </c>
      <c r="M141">
        <v>0</v>
      </c>
      <c r="N141">
        <v>0</v>
      </c>
      <c r="O141">
        <v>0</v>
      </c>
      <c r="P141">
        <v>0</v>
      </c>
      <c r="Q141">
        <v>0</v>
      </c>
      <c r="R141">
        <v>0</v>
      </c>
      <c r="S141">
        <v>0</v>
      </c>
      <c r="T141">
        <v>9.9548600589352887E-2</v>
      </c>
      <c r="U141">
        <v>0</v>
      </c>
      <c r="V141">
        <v>0</v>
      </c>
      <c r="W141">
        <v>0</v>
      </c>
      <c r="X141">
        <v>0</v>
      </c>
      <c r="Y141">
        <v>0.90045139941064711</v>
      </c>
      <c r="Z141">
        <v>0</v>
      </c>
      <c r="AA141">
        <v>0</v>
      </c>
      <c r="AB141">
        <v>0</v>
      </c>
      <c r="AC141">
        <v>0</v>
      </c>
      <c r="AD141">
        <v>0</v>
      </c>
      <c r="AE141" t="s">
        <v>161</v>
      </c>
      <c r="AF141">
        <v>20</v>
      </c>
      <c r="AG141" t="s">
        <v>234</v>
      </c>
      <c r="AI141">
        <v>46246</v>
      </c>
      <c r="AJ141" t="s">
        <v>150</v>
      </c>
    </row>
    <row r="142" spans="1:36" x14ac:dyDescent="0.25">
      <c r="A142" s="1">
        <v>46246</v>
      </c>
      <c r="B142" t="s">
        <v>149</v>
      </c>
      <c r="C142" t="s">
        <v>12</v>
      </c>
      <c r="D142">
        <v>10.80347035538737</v>
      </c>
      <c r="E142">
        <v>10.45</v>
      </c>
      <c r="F142">
        <v>10.45</v>
      </c>
      <c r="G142">
        <v>11.355238970588234</v>
      </c>
      <c r="H142">
        <v>0.96728177671065618</v>
      </c>
      <c r="I142">
        <v>0.96728177671065618</v>
      </c>
      <c r="J142">
        <v>1.0510732752578631</v>
      </c>
      <c r="K142">
        <v>5.1073275257863093E-2</v>
      </c>
      <c r="L142">
        <v>0</v>
      </c>
      <c r="M142">
        <v>0</v>
      </c>
      <c r="N142">
        <v>0</v>
      </c>
      <c r="O142">
        <v>0</v>
      </c>
      <c r="P142">
        <v>0</v>
      </c>
      <c r="Q142">
        <v>0</v>
      </c>
      <c r="R142">
        <v>0</v>
      </c>
      <c r="S142">
        <v>0</v>
      </c>
      <c r="T142">
        <v>3.2718223289343817E-2</v>
      </c>
      <c r="U142">
        <v>0</v>
      </c>
      <c r="V142">
        <v>0</v>
      </c>
      <c r="W142">
        <v>0</v>
      </c>
      <c r="X142">
        <v>0</v>
      </c>
      <c r="Y142">
        <v>0.96728177671065618</v>
      </c>
      <c r="Z142">
        <v>0</v>
      </c>
      <c r="AA142">
        <v>0</v>
      </c>
      <c r="AB142">
        <v>0</v>
      </c>
      <c r="AC142">
        <v>0</v>
      </c>
      <c r="AD142">
        <v>0</v>
      </c>
      <c r="AE142" t="s">
        <v>161</v>
      </c>
      <c r="AF142">
        <v>20</v>
      </c>
      <c r="AG142" t="s">
        <v>235</v>
      </c>
      <c r="AI142">
        <v>46246</v>
      </c>
      <c r="AJ142" t="s">
        <v>150</v>
      </c>
    </row>
    <row r="143" spans="1:36" x14ac:dyDescent="0.25">
      <c r="A143" s="1">
        <v>46246</v>
      </c>
      <c r="B143" t="s">
        <v>149</v>
      </c>
      <c r="C143" t="s">
        <v>10</v>
      </c>
      <c r="D143">
        <v>12.583037150002053</v>
      </c>
      <c r="E143">
        <v>1.9</v>
      </c>
      <c r="F143">
        <v>1.9</v>
      </c>
      <c r="G143">
        <v>11.801011029411764</v>
      </c>
      <c r="H143">
        <v>0.15099693161119609</v>
      </c>
      <c r="I143">
        <v>0.15099693161119609</v>
      </c>
      <c r="J143">
        <v>0.93785076597424166</v>
      </c>
      <c r="K143">
        <v>0</v>
      </c>
      <c r="L143">
        <v>0</v>
      </c>
      <c r="M143">
        <v>0</v>
      </c>
      <c r="N143">
        <v>0</v>
      </c>
      <c r="O143">
        <v>0</v>
      </c>
      <c r="P143">
        <v>0</v>
      </c>
      <c r="Q143">
        <v>0</v>
      </c>
      <c r="R143">
        <v>0</v>
      </c>
      <c r="S143">
        <v>0</v>
      </c>
      <c r="T143">
        <v>0.78685383436304557</v>
      </c>
      <c r="U143">
        <v>6.2149234025758338E-2</v>
      </c>
      <c r="V143">
        <v>0</v>
      </c>
      <c r="W143">
        <v>0</v>
      </c>
      <c r="X143">
        <v>0</v>
      </c>
      <c r="Y143">
        <v>0.15099693161119609</v>
      </c>
      <c r="Z143">
        <v>0</v>
      </c>
      <c r="AA143">
        <v>0</v>
      </c>
      <c r="AB143">
        <v>0</v>
      </c>
      <c r="AC143">
        <v>0</v>
      </c>
      <c r="AD143">
        <v>0</v>
      </c>
      <c r="AE143" t="s">
        <v>166</v>
      </c>
      <c r="AF143">
        <v>10</v>
      </c>
      <c r="AG143" t="s">
        <v>233</v>
      </c>
      <c r="AH143">
        <v>1</v>
      </c>
      <c r="AI143">
        <v>46246</v>
      </c>
      <c r="AJ143" t="s">
        <v>150</v>
      </c>
    </row>
    <row r="144" spans="1:36" x14ac:dyDescent="0.25">
      <c r="A144" s="1">
        <v>46246</v>
      </c>
      <c r="B144" t="s">
        <v>149</v>
      </c>
      <c r="C144" t="s">
        <v>11</v>
      </c>
      <c r="D144">
        <v>4.2207252494765797</v>
      </c>
      <c r="E144">
        <v>1.9</v>
      </c>
      <c r="F144">
        <v>1.9</v>
      </c>
      <c r="G144">
        <v>4.6875</v>
      </c>
      <c r="H144">
        <v>0.45015960236587838</v>
      </c>
      <c r="I144">
        <v>0.45015960236587838</v>
      </c>
      <c r="J144">
        <v>1.1105911242579236</v>
      </c>
      <c r="K144">
        <v>0.11059112425792361</v>
      </c>
      <c r="L144">
        <v>0</v>
      </c>
      <c r="M144">
        <v>0</v>
      </c>
      <c r="N144">
        <v>0</v>
      </c>
      <c r="O144">
        <v>0</v>
      </c>
      <c r="P144">
        <v>0</v>
      </c>
      <c r="Q144">
        <v>0</v>
      </c>
      <c r="R144">
        <v>0</v>
      </c>
      <c r="S144">
        <v>0</v>
      </c>
      <c r="T144">
        <v>0.54984039763412162</v>
      </c>
      <c r="U144">
        <v>0</v>
      </c>
      <c r="V144">
        <v>0</v>
      </c>
      <c r="W144">
        <v>0</v>
      </c>
      <c r="X144">
        <v>0</v>
      </c>
      <c r="Y144">
        <v>0.45015960236587838</v>
      </c>
      <c r="Z144">
        <v>0</v>
      </c>
      <c r="AA144">
        <v>0</v>
      </c>
      <c r="AB144">
        <v>0</v>
      </c>
      <c r="AC144">
        <v>0</v>
      </c>
      <c r="AD144">
        <v>0</v>
      </c>
      <c r="AE144" t="s">
        <v>166</v>
      </c>
      <c r="AF144">
        <v>10</v>
      </c>
      <c r="AG144" t="s">
        <v>234</v>
      </c>
      <c r="AH144">
        <v>1</v>
      </c>
      <c r="AI144">
        <v>46246</v>
      </c>
      <c r="AJ144" t="s">
        <v>150</v>
      </c>
    </row>
    <row r="145" spans="1:36" x14ac:dyDescent="0.25">
      <c r="A145" s="1">
        <v>46246</v>
      </c>
      <c r="B145" t="s">
        <v>149</v>
      </c>
      <c r="C145" t="s">
        <v>12</v>
      </c>
      <c r="D145">
        <v>10.815608451783737</v>
      </c>
      <c r="E145">
        <v>1.9</v>
      </c>
      <c r="F145">
        <v>1.9</v>
      </c>
      <c r="G145">
        <v>11.355238970588234</v>
      </c>
      <c r="H145">
        <v>0.17567203994765984</v>
      </c>
      <c r="I145">
        <v>0.17567203994765984</v>
      </c>
      <c r="J145">
        <v>1.0498936810823158</v>
      </c>
      <c r="K145">
        <v>4.9893681082315844E-2</v>
      </c>
      <c r="L145">
        <v>0</v>
      </c>
      <c r="M145">
        <v>0</v>
      </c>
      <c r="N145">
        <v>0</v>
      </c>
      <c r="O145">
        <v>0</v>
      </c>
      <c r="P145">
        <v>0</v>
      </c>
      <c r="Q145">
        <v>0</v>
      </c>
      <c r="R145">
        <v>0</v>
      </c>
      <c r="S145">
        <v>0</v>
      </c>
      <c r="T145">
        <v>0.8243279600523401</v>
      </c>
      <c r="U145">
        <v>0</v>
      </c>
      <c r="V145">
        <v>0</v>
      </c>
      <c r="W145">
        <v>0</v>
      </c>
      <c r="X145">
        <v>0</v>
      </c>
      <c r="Y145">
        <v>0.17567203994765984</v>
      </c>
      <c r="Z145">
        <v>0</v>
      </c>
      <c r="AA145">
        <v>0</v>
      </c>
      <c r="AB145">
        <v>0</v>
      </c>
      <c r="AC145">
        <v>0</v>
      </c>
      <c r="AD145">
        <v>0</v>
      </c>
      <c r="AE145" t="s">
        <v>166</v>
      </c>
      <c r="AF145">
        <v>10</v>
      </c>
      <c r="AG145" t="s">
        <v>235</v>
      </c>
      <c r="AH145">
        <v>1</v>
      </c>
      <c r="AI145">
        <v>46246</v>
      </c>
      <c r="AJ145" t="s">
        <v>150</v>
      </c>
    </row>
    <row r="146" spans="1:36" x14ac:dyDescent="0.25">
      <c r="A146" s="1">
        <v>46247</v>
      </c>
      <c r="B146" t="s">
        <v>149</v>
      </c>
      <c r="C146" t="s">
        <v>12</v>
      </c>
      <c r="D146">
        <v>10.972274579690296</v>
      </c>
      <c r="E146">
        <v>16.149999999999999</v>
      </c>
      <c r="F146">
        <v>16.149999999999999</v>
      </c>
      <c r="G146">
        <v>11.25</v>
      </c>
      <c r="H146">
        <v>1.4718917105750966</v>
      </c>
      <c r="I146">
        <v>1.4718917105750966</v>
      </c>
      <c r="J146">
        <v>1.0253115630941076</v>
      </c>
      <c r="K146">
        <v>0</v>
      </c>
      <c r="L146">
        <v>0</v>
      </c>
      <c r="M146">
        <v>0.2218917105750966</v>
      </c>
      <c r="N146">
        <v>0</v>
      </c>
      <c r="O146">
        <v>0</v>
      </c>
      <c r="P146">
        <v>0</v>
      </c>
      <c r="Q146">
        <v>2.5311563094107647E-2</v>
      </c>
      <c r="R146">
        <v>0</v>
      </c>
      <c r="S146">
        <v>0.22468843690589235</v>
      </c>
      <c r="T146">
        <v>0</v>
      </c>
      <c r="U146">
        <v>0</v>
      </c>
      <c r="V146">
        <v>0</v>
      </c>
      <c r="W146">
        <v>0</v>
      </c>
      <c r="X146">
        <v>0</v>
      </c>
      <c r="Y146">
        <v>1</v>
      </c>
      <c r="Z146">
        <v>0</v>
      </c>
      <c r="AA146">
        <v>0</v>
      </c>
      <c r="AB146">
        <v>0</v>
      </c>
      <c r="AC146">
        <v>0</v>
      </c>
      <c r="AD146">
        <v>0</v>
      </c>
      <c r="AE146" t="s">
        <v>161</v>
      </c>
      <c r="AF146">
        <v>20</v>
      </c>
      <c r="AG146" t="s">
        <v>236</v>
      </c>
      <c r="AI146">
        <v>46247</v>
      </c>
      <c r="AJ146" t="s">
        <v>150</v>
      </c>
    </row>
    <row r="147" spans="1:36" x14ac:dyDescent="0.25">
      <c r="A147" s="1">
        <v>46247</v>
      </c>
      <c r="B147" t="s">
        <v>149</v>
      </c>
      <c r="C147" t="s">
        <v>11</v>
      </c>
      <c r="D147">
        <v>4.220105607573192</v>
      </c>
      <c r="E147">
        <v>4.75</v>
      </c>
      <c r="F147">
        <v>4.75</v>
      </c>
      <c r="G147">
        <v>4.6875</v>
      </c>
      <c r="H147">
        <v>1.1255642492633089</v>
      </c>
      <c r="I147">
        <v>1.1255642492633089</v>
      </c>
      <c r="J147">
        <v>1.1107541933519496</v>
      </c>
      <c r="K147">
        <v>0</v>
      </c>
      <c r="L147">
        <v>0</v>
      </c>
      <c r="M147">
        <v>0</v>
      </c>
      <c r="N147">
        <v>0</v>
      </c>
      <c r="O147">
        <v>0</v>
      </c>
      <c r="P147">
        <v>0</v>
      </c>
      <c r="Q147">
        <v>0.11075419335194958</v>
      </c>
      <c r="R147">
        <v>0</v>
      </c>
      <c r="S147">
        <v>1.481005591135931E-2</v>
      </c>
      <c r="T147">
        <v>0</v>
      </c>
      <c r="U147">
        <v>0</v>
      </c>
      <c r="V147">
        <v>0</v>
      </c>
      <c r="W147">
        <v>0</v>
      </c>
      <c r="X147">
        <v>0</v>
      </c>
      <c r="Y147">
        <v>1</v>
      </c>
      <c r="Z147">
        <v>0</v>
      </c>
      <c r="AA147">
        <v>0</v>
      </c>
      <c r="AB147">
        <v>0</v>
      </c>
      <c r="AC147">
        <v>0</v>
      </c>
      <c r="AD147">
        <v>0</v>
      </c>
      <c r="AE147" t="s">
        <v>161</v>
      </c>
      <c r="AF147">
        <v>20</v>
      </c>
      <c r="AG147" t="s">
        <v>237</v>
      </c>
      <c r="AI147">
        <v>46247</v>
      </c>
      <c r="AJ147" t="s">
        <v>150</v>
      </c>
    </row>
    <row r="148" spans="1:36" x14ac:dyDescent="0.25">
      <c r="A148" s="1">
        <v>46247</v>
      </c>
      <c r="B148" t="s">
        <v>149</v>
      </c>
      <c r="C148" t="s">
        <v>10</v>
      </c>
      <c r="D148">
        <v>10.887872467538834</v>
      </c>
      <c r="E148">
        <v>24.7</v>
      </c>
      <c r="F148">
        <v>24.7</v>
      </c>
      <c r="G148">
        <v>11.15625</v>
      </c>
      <c r="H148">
        <v>2.2685791070423282</v>
      </c>
      <c r="I148">
        <v>2.2685791070423282</v>
      </c>
      <c r="J148">
        <v>1.0246492171231163</v>
      </c>
      <c r="K148">
        <v>0</v>
      </c>
      <c r="L148">
        <v>0</v>
      </c>
      <c r="M148">
        <v>1.0185791070423282</v>
      </c>
      <c r="N148">
        <v>0</v>
      </c>
      <c r="O148">
        <v>0</v>
      </c>
      <c r="P148">
        <v>0</v>
      </c>
      <c r="Q148">
        <v>2.4649217123116296E-2</v>
      </c>
      <c r="R148">
        <v>0</v>
      </c>
      <c r="S148">
        <v>0.2253507828768837</v>
      </c>
      <c r="T148">
        <v>0</v>
      </c>
      <c r="U148">
        <v>0</v>
      </c>
      <c r="V148">
        <v>0</v>
      </c>
      <c r="W148">
        <v>0</v>
      </c>
      <c r="X148">
        <v>0</v>
      </c>
      <c r="Y148">
        <v>1</v>
      </c>
      <c r="Z148">
        <v>0</v>
      </c>
      <c r="AA148">
        <v>0</v>
      </c>
      <c r="AB148">
        <v>0</v>
      </c>
      <c r="AC148">
        <v>0</v>
      </c>
      <c r="AD148">
        <v>0</v>
      </c>
      <c r="AE148" t="s">
        <v>161</v>
      </c>
      <c r="AF148">
        <v>20</v>
      </c>
      <c r="AG148" t="s">
        <v>238</v>
      </c>
      <c r="AI148">
        <v>46247</v>
      </c>
      <c r="AJ148" t="s">
        <v>150</v>
      </c>
    </row>
    <row r="149" spans="1:36" x14ac:dyDescent="0.25">
      <c r="A149" s="1">
        <v>46247</v>
      </c>
      <c r="B149" t="s">
        <v>149</v>
      </c>
      <c r="C149" t="s">
        <v>12</v>
      </c>
      <c r="D149">
        <v>10.973885648639106</v>
      </c>
      <c r="E149">
        <v>5.6999999999999993</v>
      </c>
      <c r="F149">
        <v>5.6999999999999993</v>
      </c>
      <c r="G149">
        <v>11.25</v>
      </c>
      <c r="H149">
        <v>0.51941492580678272</v>
      </c>
      <c r="I149">
        <v>0.51941492580678272</v>
      </c>
      <c r="J149">
        <v>1.025161037776545</v>
      </c>
      <c r="K149">
        <v>2.5161037776544992E-2</v>
      </c>
      <c r="L149">
        <v>0</v>
      </c>
      <c r="M149">
        <v>0</v>
      </c>
      <c r="N149">
        <v>0</v>
      </c>
      <c r="O149">
        <v>0</v>
      </c>
      <c r="P149">
        <v>0</v>
      </c>
      <c r="Q149">
        <v>0</v>
      </c>
      <c r="R149">
        <v>0</v>
      </c>
      <c r="S149">
        <v>0</v>
      </c>
      <c r="T149">
        <v>0.48058507419321728</v>
      </c>
      <c r="U149">
        <v>0</v>
      </c>
      <c r="V149">
        <v>0</v>
      </c>
      <c r="W149">
        <v>0</v>
      </c>
      <c r="X149">
        <v>0</v>
      </c>
      <c r="Y149">
        <v>0.51941492580678272</v>
      </c>
      <c r="Z149">
        <v>0</v>
      </c>
      <c r="AA149">
        <v>0</v>
      </c>
      <c r="AB149">
        <v>0</v>
      </c>
      <c r="AC149">
        <v>0</v>
      </c>
      <c r="AD149">
        <v>0</v>
      </c>
      <c r="AE149" t="s">
        <v>166</v>
      </c>
      <c r="AF149">
        <v>10</v>
      </c>
      <c r="AG149" t="s">
        <v>236</v>
      </c>
      <c r="AH149">
        <v>1</v>
      </c>
      <c r="AI149">
        <v>46247</v>
      </c>
      <c r="AJ149" t="s">
        <v>150</v>
      </c>
    </row>
    <row r="150" spans="1:36" x14ac:dyDescent="0.25">
      <c r="A150" s="1">
        <v>46247</v>
      </c>
      <c r="B150" t="s">
        <v>149</v>
      </c>
      <c r="C150" t="s">
        <v>11</v>
      </c>
      <c r="D150">
        <v>4.2207252494765797</v>
      </c>
      <c r="E150">
        <v>0</v>
      </c>
      <c r="F150">
        <v>0</v>
      </c>
      <c r="G150">
        <v>4.6875</v>
      </c>
      <c r="H150">
        <v>0</v>
      </c>
      <c r="I150">
        <v>0</v>
      </c>
      <c r="J150">
        <v>1.1105911242579236</v>
      </c>
      <c r="K150">
        <v>0.11059112425792361</v>
      </c>
      <c r="L150">
        <v>0</v>
      </c>
      <c r="M150">
        <v>0</v>
      </c>
      <c r="N150">
        <v>0</v>
      </c>
      <c r="O150">
        <v>0</v>
      </c>
      <c r="P150">
        <v>0</v>
      </c>
      <c r="Q150">
        <v>0</v>
      </c>
      <c r="R150">
        <v>0</v>
      </c>
      <c r="S150">
        <v>0</v>
      </c>
      <c r="T150">
        <v>0</v>
      </c>
      <c r="U150">
        <v>0</v>
      </c>
      <c r="V150">
        <v>0</v>
      </c>
      <c r="W150">
        <v>0</v>
      </c>
      <c r="X150">
        <v>0</v>
      </c>
      <c r="Y150">
        <v>0</v>
      </c>
      <c r="Z150">
        <v>0</v>
      </c>
      <c r="AA150">
        <v>0</v>
      </c>
      <c r="AB150">
        <v>0</v>
      </c>
      <c r="AC150">
        <v>1</v>
      </c>
      <c r="AD150">
        <v>0</v>
      </c>
      <c r="AE150" t="s">
        <v>166</v>
      </c>
      <c r="AF150">
        <v>10</v>
      </c>
      <c r="AG150" t="s">
        <v>237</v>
      </c>
      <c r="AH150">
        <v>1</v>
      </c>
      <c r="AI150">
        <v>46247</v>
      </c>
      <c r="AJ150" t="s">
        <v>150</v>
      </c>
    </row>
    <row r="151" spans="1:36" x14ac:dyDescent="0.25">
      <c r="A151" s="1">
        <v>46247</v>
      </c>
      <c r="B151" t="s">
        <v>149</v>
      </c>
      <c r="C151" t="s">
        <v>10</v>
      </c>
      <c r="D151">
        <v>10.89474705021142</v>
      </c>
      <c r="E151">
        <v>0</v>
      </c>
      <c r="F151">
        <v>0</v>
      </c>
      <c r="G151">
        <v>11.15625</v>
      </c>
      <c r="H151">
        <v>0</v>
      </c>
      <c r="I151">
        <v>0</v>
      </c>
      <c r="J151">
        <v>1.0240026637225603</v>
      </c>
      <c r="K151">
        <v>2.4002663722560325E-2</v>
      </c>
      <c r="L151">
        <v>0</v>
      </c>
      <c r="M151">
        <v>0</v>
      </c>
      <c r="N151">
        <v>0</v>
      </c>
      <c r="O151">
        <v>0</v>
      </c>
      <c r="P151">
        <v>0</v>
      </c>
      <c r="Q151">
        <v>0</v>
      </c>
      <c r="R151">
        <v>0</v>
      </c>
      <c r="S151">
        <v>0</v>
      </c>
      <c r="T151">
        <v>0</v>
      </c>
      <c r="U151">
        <v>0</v>
      </c>
      <c r="V151">
        <v>0</v>
      </c>
      <c r="W151">
        <v>0</v>
      </c>
      <c r="X151">
        <v>0</v>
      </c>
      <c r="Y151">
        <v>0</v>
      </c>
      <c r="Z151">
        <v>0</v>
      </c>
      <c r="AA151">
        <v>0</v>
      </c>
      <c r="AB151">
        <v>0</v>
      </c>
      <c r="AC151">
        <v>1</v>
      </c>
      <c r="AD151">
        <v>0</v>
      </c>
      <c r="AE151" t="s">
        <v>166</v>
      </c>
      <c r="AF151">
        <v>10</v>
      </c>
      <c r="AG151" t="s">
        <v>238</v>
      </c>
      <c r="AH151">
        <v>1</v>
      </c>
      <c r="AI151">
        <v>46247</v>
      </c>
      <c r="AJ151" t="s">
        <v>150</v>
      </c>
    </row>
    <row r="152" spans="1:36" x14ac:dyDescent="0.25">
      <c r="A152" s="1">
        <v>46248</v>
      </c>
      <c r="B152" t="s">
        <v>149</v>
      </c>
      <c r="C152" t="s">
        <v>12</v>
      </c>
      <c r="D152">
        <v>11.028542654457938</v>
      </c>
      <c r="E152">
        <v>15.2</v>
      </c>
      <c r="F152">
        <v>15.2</v>
      </c>
      <c r="G152">
        <v>11.253676470588236</v>
      </c>
      <c r="H152">
        <v>1.3782419378734398</v>
      </c>
      <c r="I152">
        <v>1.3782419378734398</v>
      </c>
      <c r="J152">
        <v>1.0204137412515963</v>
      </c>
      <c r="K152">
        <v>0</v>
      </c>
      <c r="L152">
        <v>0</v>
      </c>
      <c r="M152">
        <v>0.12824193787343985</v>
      </c>
      <c r="N152">
        <v>0</v>
      </c>
      <c r="O152">
        <v>0</v>
      </c>
      <c r="P152">
        <v>0</v>
      </c>
      <c r="Q152">
        <v>2.041374125159634E-2</v>
      </c>
      <c r="R152">
        <v>0</v>
      </c>
      <c r="S152">
        <v>0.22958625874840366</v>
      </c>
      <c r="T152">
        <v>0</v>
      </c>
      <c r="U152">
        <v>0</v>
      </c>
      <c r="V152">
        <v>0</v>
      </c>
      <c r="W152">
        <v>0</v>
      </c>
      <c r="X152">
        <v>0</v>
      </c>
      <c r="Y152">
        <v>1</v>
      </c>
      <c r="Z152">
        <v>0</v>
      </c>
      <c r="AA152">
        <v>0</v>
      </c>
      <c r="AB152">
        <v>0</v>
      </c>
      <c r="AC152">
        <v>0</v>
      </c>
      <c r="AD152">
        <v>0</v>
      </c>
      <c r="AE152" t="s">
        <v>161</v>
      </c>
      <c r="AF152">
        <v>20</v>
      </c>
      <c r="AG152" t="s">
        <v>239</v>
      </c>
      <c r="AI152">
        <v>46248</v>
      </c>
      <c r="AJ152" t="s">
        <v>150</v>
      </c>
    </row>
    <row r="153" spans="1:36" x14ac:dyDescent="0.25">
      <c r="A153" s="1">
        <v>46248</v>
      </c>
      <c r="B153" t="s">
        <v>149</v>
      </c>
      <c r="C153" t="s">
        <v>11</v>
      </c>
      <c r="D153">
        <v>4.220105607573192</v>
      </c>
      <c r="E153">
        <v>5.6999999999999993</v>
      </c>
      <c r="F153">
        <v>5.6999999999999993</v>
      </c>
      <c r="G153">
        <v>3.75</v>
      </c>
      <c r="H153">
        <v>1.3506770991159704</v>
      </c>
      <c r="I153">
        <v>1.3506770991159704</v>
      </c>
      <c r="J153">
        <v>0.88860335468155971</v>
      </c>
      <c r="K153">
        <v>0</v>
      </c>
      <c r="L153">
        <v>0</v>
      </c>
      <c r="M153">
        <v>0.10067709911597045</v>
      </c>
      <c r="N153">
        <v>0</v>
      </c>
      <c r="O153">
        <v>0</v>
      </c>
      <c r="P153">
        <v>0</v>
      </c>
      <c r="Q153">
        <v>0</v>
      </c>
      <c r="R153">
        <v>0</v>
      </c>
      <c r="S153">
        <v>0.25</v>
      </c>
      <c r="T153">
        <v>0</v>
      </c>
      <c r="U153">
        <v>0</v>
      </c>
      <c r="V153">
        <v>0</v>
      </c>
      <c r="W153">
        <v>0.11139664531844029</v>
      </c>
      <c r="X153">
        <v>0</v>
      </c>
      <c r="Y153">
        <v>0.88860335468155971</v>
      </c>
      <c r="Z153">
        <v>0</v>
      </c>
      <c r="AA153">
        <v>0</v>
      </c>
      <c r="AB153">
        <v>0</v>
      </c>
      <c r="AC153">
        <v>0</v>
      </c>
      <c r="AD153">
        <v>0</v>
      </c>
      <c r="AE153" t="s">
        <v>161</v>
      </c>
      <c r="AF153">
        <v>20</v>
      </c>
      <c r="AG153" t="s">
        <v>240</v>
      </c>
      <c r="AI153">
        <v>46248</v>
      </c>
      <c r="AJ153" t="s">
        <v>150</v>
      </c>
    </row>
    <row r="154" spans="1:36" x14ac:dyDescent="0.25">
      <c r="A154" s="1">
        <v>46248</v>
      </c>
      <c r="B154" t="s">
        <v>149</v>
      </c>
      <c r="C154" t="s">
        <v>10</v>
      </c>
      <c r="D154">
        <v>10.972274579690296</v>
      </c>
      <c r="E154">
        <v>25.65</v>
      </c>
      <c r="F154">
        <v>25.65</v>
      </c>
      <c r="G154">
        <v>9.4338235294117645</v>
      </c>
      <c r="H154">
        <v>2.3377103638545651</v>
      </c>
      <c r="I154">
        <v>2.3377103638545651</v>
      </c>
      <c r="J154">
        <v>0.85978740879067972</v>
      </c>
      <c r="K154">
        <v>0</v>
      </c>
      <c r="L154">
        <v>0</v>
      </c>
      <c r="M154">
        <v>1.0877103638545651</v>
      </c>
      <c r="N154">
        <v>0</v>
      </c>
      <c r="O154">
        <v>0</v>
      </c>
      <c r="P154">
        <v>0</v>
      </c>
      <c r="Q154">
        <v>0</v>
      </c>
      <c r="R154">
        <v>0</v>
      </c>
      <c r="S154">
        <v>0.25</v>
      </c>
      <c r="T154">
        <v>0</v>
      </c>
      <c r="U154">
        <v>0</v>
      </c>
      <c r="V154">
        <v>0</v>
      </c>
      <c r="W154">
        <v>0.14021259120932028</v>
      </c>
      <c r="X154">
        <v>0</v>
      </c>
      <c r="Y154">
        <v>0.85978740879067972</v>
      </c>
      <c r="Z154">
        <v>0</v>
      </c>
      <c r="AA154">
        <v>0</v>
      </c>
      <c r="AB154">
        <v>0</v>
      </c>
      <c r="AC154">
        <v>0</v>
      </c>
      <c r="AD154">
        <v>0</v>
      </c>
      <c r="AE154" t="s">
        <v>161</v>
      </c>
      <c r="AF154">
        <v>20</v>
      </c>
      <c r="AG154" t="s">
        <v>241</v>
      </c>
      <c r="AI154">
        <v>46248</v>
      </c>
      <c r="AJ154" t="s">
        <v>150</v>
      </c>
    </row>
    <row r="155" spans="1:36" x14ac:dyDescent="0.25">
      <c r="A155" s="1">
        <v>46248</v>
      </c>
      <c r="B155" t="s">
        <v>149</v>
      </c>
      <c r="C155" t="s">
        <v>12</v>
      </c>
      <c r="D155">
        <v>11.026644714257564</v>
      </c>
      <c r="E155">
        <v>4.75</v>
      </c>
      <c r="F155">
        <v>4.75</v>
      </c>
      <c r="G155">
        <v>11.253676470588236</v>
      </c>
      <c r="H155">
        <v>0.43077473910610375</v>
      </c>
      <c r="I155">
        <v>0.43077473910610375</v>
      </c>
      <c r="J155">
        <v>1.0205893780215043</v>
      </c>
      <c r="K155">
        <v>2.058937802150429E-2</v>
      </c>
      <c r="L155">
        <v>0</v>
      </c>
      <c r="M155">
        <v>0</v>
      </c>
      <c r="N155">
        <v>0</v>
      </c>
      <c r="O155">
        <v>0</v>
      </c>
      <c r="P155">
        <v>0</v>
      </c>
      <c r="Q155">
        <v>0</v>
      </c>
      <c r="R155">
        <v>0</v>
      </c>
      <c r="S155">
        <v>0</v>
      </c>
      <c r="T155">
        <v>0.56922526089389625</v>
      </c>
      <c r="U155">
        <v>0</v>
      </c>
      <c r="V155">
        <v>0</v>
      </c>
      <c r="W155">
        <v>0</v>
      </c>
      <c r="X155">
        <v>0</v>
      </c>
      <c r="Y155">
        <v>0.43077473910610375</v>
      </c>
      <c r="Z155">
        <v>0</v>
      </c>
      <c r="AA155">
        <v>0</v>
      </c>
      <c r="AB155">
        <v>0</v>
      </c>
      <c r="AC155">
        <v>0</v>
      </c>
      <c r="AD155">
        <v>0</v>
      </c>
      <c r="AE155" t="s">
        <v>166</v>
      </c>
      <c r="AF155">
        <v>10</v>
      </c>
      <c r="AG155" t="s">
        <v>239</v>
      </c>
      <c r="AH155">
        <v>1</v>
      </c>
      <c r="AI155">
        <v>46248</v>
      </c>
      <c r="AJ155" t="s">
        <v>150</v>
      </c>
    </row>
    <row r="156" spans="1:36" x14ac:dyDescent="0.25">
      <c r="A156" s="1">
        <v>46248</v>
      </c>
      <c r="B156" t="s">
        <v>149</v>
      </c>
      <c r="C156" t="s">
        <v>11</v>
      </c>
      <c r="D156">
        <v>4.2207252494765797</v>
      </c>
      <c r="E156">
        <v>0.95</v>
      </c>
      <c r="F156">
        <v>0.95</v>
      </c>
      <c r="G156">
        <v>3.75</v>
      </c>
      <c r="H156">
        <v>0.22507980118293919</v>
      </c>
      <c r="I156">
        <v>0.22507980118293919</v>
      </c>
      <c r="J156">
        <v>0.88847289940633889</v>
      </c>
      <c r="K156">
        <v>0</v>
      </c>
      <c r="L156">
        <v>0</v>
      </c>
      <c r="M156">
        <v>0</v>
      </c>
      <c r="N156">
        <v>0</v>
      </c>
      <c r="O156">
        <v>0</v>
      </c>
      <c r="P156">
        <v>0</v>
      </c>
      <c r="Q156">
        <v>0</v>
      </c>
      <c r="R156">
        <v>0</v>
      </c>
      <c r="S156">
        <v>0</v>
      </c>
      <c r="T156">
        <v>0.66339309822339976</v>
      </c>
      <c r="U156">
        <v>0.11152710059366111</v>
      </c>
      <c r="V156">
        <v>0</v>
      </c>
      <c r="W156">
        <v>0</v>
      </c>
      <c r="X156">
        <v>0</v>
      </c>
      <c r="Y156">
        <v>0.22507980118293919</v>
      </c>
      <c r="Z156">
        <v>0</v>
      </c>
      <c r="AA156">
        <v>0</v>
      </c>
      <c r="AB156">
        <v>0</v>
      </c>
      <c r="AC156">
        <v>0</v>
      </c>
      <c r="AD156">
        <v>0</v>
      </c>
      <c r="AE156" t="s">
        <v>166</v>
      </c>
      <c r="AF156">
        <v>10</v>
      </c>
      <c r="AG156" t="s">
        <v>240</v>
      </c>
      <c r="AH156">
        <v>1</v>
      </c>
      <c r="AI156">
        <v>46248</v>
      </c>
      <c r="AJ156" t="s">
        <v>150</v>
      </c>
    </row>
    <row r="157" spans="1:36" x14ac:dyDescent="0.25">
      <c r="A157" s="1">
        <v>46248</v>
      </c>
      <c r="B157" t="s">
        <v>149</v>
      </c>
      <c r="C157" t="s">
        <v>10</v>
      </c>
      <c r="D157">
        <v>10.973885648639106</v>
      </c>
      <c r="E157">
        <v>0</v>
      </c>
      <c r="F157">
        <v>0</v>
      </c>
      <c r="G157">
        <v>9.4338235294117645</v>
      </c>
      <c r="H157">
        <v>0</v>
      </c>
      <c r="I157">
        <v>0</v>
      </c>
      <c r="J157">
        <v>0.85966118396556024</v>
      </c>
      <c r="K157">
        <v>0</v>
      </c>
      <c r="L157">
        <v>0</v>
      </c>
      <c r="M157">
        <v>0</v>
      </c>
      <c r="N157">
        <v>0</v>
      </c>
      <c r="O157">
        <v>0</v>
      </c>
      <c r="P157">
        <v>0</v>
      </c>
      <c r="Q157">
        <v>0</v>
      </c>
      <c r="R157">
        <v>0</v>
      </c>
      <c r="S157">
        <v>0</v>
      </c>
      <c r="T157">
        <v>0.85966118396556024</v>
      </c>
      <c r="U157">
        <v>0.14033881603443976</v>
      </c>
      <c r="V157">
        <v>0</v>
      </c>
      <c r="W157">
        <v>0</v>
      </c>
      <c r="X157">
        <v>0</v>
      </c>
      <c r="Y157">
        <v>0</v>
      </c>
      <c r="Z157">
        <v>0</v>
      </c>
      <c r="AA157">
        <v>0</v>
      </c>
      <c r="AB157">
        <v>0</v>
      </c>
      <c r="AC157">
        <v>0</v>
      </c>
      <c r="AD157">
        <v>0</v>
      </c>
      <c r="AE157" t="s">
        <v>166</v>
      </c>
      <c r="AF157">
        <v>10</v>
      </c>
      <c r="AG157" t="s">
        <v>241</v>
      </c>
      <c r="AH157">
        <v>1</v>
      </c>
      <c r="AI157">
        <v>46248</v>
      </c>
      <c r="AJ157" t="s">
        <v>150</v>
      </c>
    </row>
    <row r="158" spans="1:36" x14ac:dyDescent="0.25">
      <c r="A158" s="1">
        <v>46249</v>
      </c>
      <c r="B158" t="s">
        <v>149</v>
      </c>
      <c r="C158" t="s">
        <v>12</v>
      </c>
      <c r="D158">
        <v>10.972274579690296</v>
      </c>
      <c r="E158">
        <v>13.3</v>
      </c>
      <c r="F158">
        <v>13.3</v>
      </c>
      <c r="G158">
        <v>11.25</v>
      </c>
      <c r="H158">
        <v>1.212146114591256</v>
      </c>
      <c r="I158">
        <v>1.212146114591256</v>
      </c>
      <c r="J158">
        <v>1.0253115630941076</v>
      </c>
      <c r="K158">
        <v>0</v>
      </c>
      <c r="L158">
        <v>0</v>
      </c>
      <c r="M158">
        <v>0</v>
      </c>
      <c r="N158">
        <v>0</v>
      </c>
      <c r="O158">
        <v>0</v>
      </c>
      <c r="P158">
        <v>0</v>
      </c>
      <c r="Q158">
        <v>2.5311563094107647E-2</v>
      </c>
      <c r="R158">
        <v>0</v>
      </c>
      <c r="S158">
        <v>0.18683455149714834</v>
      </c>
      <c r="T158">
        <v>0</v>
      </c>
      <c r="U158">
        <v>0</v>
      </c>
      <c r="V158">
        <v>0</v>
      </c>
      <c r="W158">
        <v>0</v>
      </c>
      <c r="X158">
        <v>0</v>
      </c>
      <c r="Y158">
        <v>1</v>
      </c>
      <c r="Z158">
        <v>0</v>
      </c>
      <c r="AA158">
        <v>0</v>
      </c>
      <c r="AB158">
        <v>0</v>
      </c>
      <c r="AC158">
        <v>0</v>
      </c>
      <c r="AD158">
        <v>0</v>
      </c>
      <c r="AE158" t="s">
        <v>161</v>
      </c>
      <c r="AF158">
        <v>20</v>
      </c>
      <c r="AG158" t="s">
        <v>242</v>
      </c>
      <c r="AI158">
        <v>46249</v>
      </c>
      <c r="AJ158" t="s">
        <v>150</v>
      </c>
    </row>
    <row r="159" spans="1:36" x14ac:dyDescent="0.25">
      <c r="A159" s="1">
        <v>46249</v>
      </c>
      <c r="B159" t="s">
        <v>149</v>
      </c>
      <c r="C159" t="s">
        <v>11</v>
      </c>
      <c r="D159">
        <v>4.220105607573192</v>
      </c>
      <c r="E159">
        <v>6.6499999999999995</v>
      </c>
      <c r="F159">
        <v>6.6499999999999995</v>
      </c>
      <c r="G159">
        <v>4.6875</v>
      </c>
      <c r="H159">
        <v>1.5757899489686324</v>
      </c>
      <c r="I159">
        <v>1.5757899489686324</v>
      </c>
      <c r="J159">
        <v>1.1107541933519496</v>
      </c>
      <c r="K159">
        <v>0</v>
      </c>
      <c r="L159">
        <v>0</v>
      </c>
      <c r="M159">
        <v>0.32578994896863245</v>
      </c>
      <c r="N159">
        <v>0</v>
      </c>
      <c r="O159">
        <v>0</v>
      </c>
      <c r="P159">
        <v>0</v>
      </c>
      <c r="Q159">
        <v>0.11075419335194958</v>
      </c>
      <c r="R159">
        <v>0</v>
      </c>
      <c r="S159">
        <v>0.13924580664805042</v>
      </c>
      <c r="T159">
        <v>0</v>
      </c>
      <c r="U159">
        <v>0</v>
      </c>
      <c r="V159">
        <v>0</v>
      </c>
      <c r="W159">
        <v>0</v>
      </c>
      <c r="X159">
        <v>0</v>
      </c>
      <c r="Y159">
        <v>1</v>
      </c>
      <c r="Z159">
        <v>0</v>
      </c>
      <c r="AA159">
        <v>0</v>
      </c>
      <c r="AB159">
        <v>0</v>
      </c>
      <c r="AC159">
        <v>0</v>
      </c>
      <c r="AD159">
        <v>0</v>
      </c>
      <c r="AE159" t="s">
        <v>161</v>
      </c>
      <c r="AF159">
        <v>20</v>
      </c>
      <c r="AG159" t="s">
        <v>243</v>
      </c>
      <c r="AI159">
        <v>46249</v>
      </c>
      <c r="AJ159" t="s">
        <v>150</v>
      </c>
    </row>
    <row r="160" spans="1:36" x14ac:dyDescent="0.25">
      <c r="A160" s="1">
        <v>46249</v>
      </c>
      <c r="B160" t="s">
        <v>149</v>
      </c>
      <c r="C160" t="s">
        <v>10</v>
      </c>
      <c r="D160">
        <v>11.028542654457937</v>
      </c>
      <c r="E160">
        <v>16.149999999999999</v>
      </c>
      <c r="F160">
        <v>16.149999999999999</v>
      </c>
      <c r="G160">
        <v>11.25</v>
      </c>
      <c r="H160">
        <v>1.4643820589905301</v>
      </c>
      <c r="I160">
        <v>1.4643820589905301</v>
      </c>
      <c r="J160">
        <v>1.0200803816497501</v>
      </c>
      <c r="K160">
        <v>0</v>
      </c>
      <c r="L160">
        <v>0</v>
      </c>
      <c r="M160">
        <v>0.21438205899053009</v>
      </c>
      <c r="N160">
        <v>0</v>
      </c>
      <c r="O160">
        <v>0</v>
      </c>
      <c r="P160">
        <v>0</v>
      </c>
      <c r="Q160">
        <v>2.0080381649750123E-2</v>
      </c>
      <c r="R160">
        <v>0</v>
      </c>
      <c r="S160">
        <v>0.22991961835024988</v>
      </c>
      <c r="T160">
        <v>0</v>
      </c>
      <c r="U160">
        <v>0</v>
      </c>
      <c r="V160">
        <v>0</v>
      </c>
      <c r="W160">
        <v>0</v>
      </c>
      <c r="X160">
        <v>0</v>
      </c>
      <c r="Y160">
        <v>1</v>
      </c>
      <c r="Z160">
        <v>0</v>
      </c>
      <c r="AA160">
        <v>0</v>
      </c>
      <c r="AB160">
        <v>0</v>
      </c>
      <c r="AC160">
        <v>0</v>
      </c>
      <c r="AD160">
        <v>0</v>
      </c>
      <c r="AE160" t="s">
        <v>161</v>
      </c>
      <c r="AF160">
        <v>20</v>
      </c>
      <c r="AG160" t="s">
        <v>244</v>
      </c>
      <c r="AI160">
        <v>46249</v>
      </c>
      <c r="AJ160" t="s">
        <v>150</v>
      </c>
    </row>
    <row r="161" spans="1:36" x14ac:dyDescent="0.25">
      <c r="A161" s="1">
        <v>46249</v>
      </c>
      <c r="B161" t="s">
        <v>149</v>
      </c>
      <c r="C161" t="s">
        <v>12</v>
      </c>
      <c r="D161">
        <v>10.973885648639106</v>
      </c>
      <c r="E161">
        <v>1.9</v>
      </c>
      <c r="F161">
        <v>1.9</v>
      </c>
      <c r="G161">
        <v>11.25</v>
      </c>
      <c r="H161">
        <v>0.17313830860226093</v>
      </c>
      <c r="I161">
        <v>0.17313830860226093</v>
      </c>
      <c r="J161">
        <v>1.025161037776545</v>
      </c>
      <c r="K161">
        <v>2.5161037776544992E-2</v>
      </c>
      <c r="L161">
        <v>0</v>
      </c>
      <c r="M161">
        <v>0</v>
      </c>
      <c r="N161">
        <v>0</v>
      </c>
      <c r="O161">
        <v>0</v>
      </c>
      <c r="P161">
        <v>0</v>
      </c>
      <c r="Q161">
        <v>0</v>
      </c>
      <c r="R161">
        <v>0</v>
      </c>
      <c r="S161">
        <v>0</v>
      </c>
      <c r="T161">
        <v>0.82686169139773913</v>
      </c>
      <c r="U161">
        <v>0</v>
      </c>
      <c r="V161">
        <v>0</v>
      </c>
      <c r="W161">
        <v>0</v>
      </c>
      <c r="X161">
        <v>0</v>
      </c>
      <c r="Y161">
        <v>0.17313830860226093</v>
      </c>
      <c r="Z161">
        <v>0</v>
      </c>
      <c r="AA161">
        <v>0</v>
      </c>
      <c r="AB161">
        <v>0</v>
      </c>
      <c r="AC161">
        <v>0</v>
      </c>
      <c r="AD161">
        <v>0</v>
      </c>
      <c r="AE161" t="s">
        <v>166</v>
      </c>
      <c r="AF161">
        <v>10</v>
      </c>
      <c r="AG161" t="s">
        <v>242</v>
      </c>
      <c r="AH161">
        <v>1</v>
      </c>
      <c r="AI161">
        <v>46249</v>
      </c>
      <c r="AJ161" t="s">
        <v>150</v>
      </c>
    </row>
    <row r="162" spans="1:36" x14ac:dyDescent="0.25">
      <c r="A162" s="1">
        <v>46249</v>
      </c>
      <c r="B162" t="s">
        <v>149</v>
      </c>
      <c r="C162" t="s">
        <v>11</v>
      </c>
      <c r="D162">
        <v>4.2207252494765797</v>
      </c>
      <c r="E162">
        <v>0.95</v>
      </c>
      <c r="F162">
        <v>0.95</v>
      </c>
      <c r="G162">
        <v>4.6875</v>
      </c>
      <c r="H162">
        <v>0.22507980118293919</v>
      </c>
      <c r="I162">
        <v>0.22507980118293919</v>
      </c>
      <c r="J162">
        <v>1.1105911242579236</v>
      </c>
      <c r="K162">
        <v>0.11059112425792361</v>
      </c>
      <c r="L162">
        <v>0</v>
      </c>
      <c r="M162">
        <v>0</v>
      </c>
      <c r="N162">
        <v>0</v>
      </c>
      <c r="O162">
        <v>0</v>
      </c>
      <c r="P162">
        <v>0</v>
      </c>
      <c r="Q162">
        <v>0</v>
      </c>
      <c r="R162">
        <v>0</v>
      </c>
      <c r="S162">
        <v>0</v>
      </c>
      <c r="T162">
        <v>0.77492019881706087</v>
      </c>
      <c r="U162">
        <v>0</v>
      </c>
      <c r="V162">
        <v>0</v>
      </c>
      <c r="W162">
        <v>0</v>
      </c>
      <c r="X162">
        <v>0</v>
      </c>
      <c r="Y162">
        <v>0.22507980118293919</v>
      </c>
      <c r="Z162">
        <v>0</v>
      </c>
      <c r="AA162">
        <v>0</v>
      </c>
      <c r="AB162">
        <v>0</v>
      </c>
      <c r="AC162">
        <v>0</v>
      </c>
      <c r="AD162">
        <v>0</v>
      </c>
      <c r="AE162" t="s">
        <v>166</v>
      </c>
      <c r="AF162">
        <v>10</v>
      </c>
      <c r="AG162" t="s">
        <v>243</v>
      </c>
      <c r="AH162">
        <v>1</v>
      </c>
      <c r="AI162">
        <v>46249</v>
      </c>
      <c r="AJ162" t="s">
        <v>150</v>
      </c>
    </row>
    <row r="163" spans="1:36" x14ac:dyDescent="0.25">
      <c r="A163" s="1">
        <v>46249</v>
      </c>
      <c r="B163" t="s">
        <v>149</v>
      </c>
      <c r="C163" t="s">
        <v>10</v>
      </c>
      <c r="D163">
        <v>11.026644714257564</v>
      </c>
      <c r="E163">
        <v>3.8</v>
      </c>
      <c r="F163">
        <v>3.8</v>
      </c>
      <c r="G163">
        <v>11.25</v>
      </c>
      <c r="H163">
        <v>0.34461979128488296</v>
      </c>
      <c r="I163">
        <v>0.34461979128488296</v>
      </c>
      <c r="J163">
        <v>1.020255961040772</v>
      </c>
      <c r="K163">
        <v>2.0255961040771986E-2</v>
      </c>
      <c r="L163">
        <v>0</v>
      </c>
      <c r="M163">
        <v>0</v>
      </c>
      <c r="N163">
        <v>0</v>
      </c>
      <c r="O163">
        <v>0</v>
      </c>
      <c r="P163">
        <v>0</v>
      </c>
      <c r="Q163">
        <v>0</v>
      </c>
      <c r="R163">
        <v>0</v>
      </c>
      <c r="S163">
        <v>0</v>
      </c>
      <c r="T163">
        <v>0.65538020871511704</v>
      </c>
      <c r="U163">
        <v>0</v>
      </c>
      <c r="V163">
        <v>0</v>
      </c>
      <c r="W163">
        <v>0</v>
      </c>
      <c r="X163">
        <v>0</v>
      </c>
      <c r="Y163">
        <v>0.34461979128488296</v>
      </c>
      <c r="Z163">
        <v>0</v>
      </c>
      <c r="AA163">
        <v>0</v>
      </c>
      <c r="AB163">
        <v>0</v>
      </c>
      <c r="AC163">
        <v>0</v>
      </c>
      <c r="AD163">
        <v>0</v>
      </c>
      <c r="AE163" t="s">
        <v>166</v>
      </c>
      <c r="AF163">
        <v>10</v>
      </c>
      <c r="AG163" t="s">
        <v>244</v>
      </c>
      <c r="AH163">
        <v>1</v>
      </c>
      <c r="AI163">
        <v>46249</v>
      </c>
      <c r="AJ163" t="s">
        <v>150</v>
      </c>
    </row>
    <row r="164" spans="1:36" x14ac:dyDescent="0.25">
      <c r="A164" s="1">
        <v>46250</v>
      </c>
      <c r="B164" t="s">
        <v>149</v>
      </c>
      <c r="C164" t="s">
        <v>10</v>
      </c>
      <c r="D164">
        <v>10.972274579690296</v>
      </c>
      <c r="E164">
        <v>10.45</v>
      </c>
      <c r="F164">
        <v>10.45</v>
      </c>
      <c r="G164">
        <v>11.25</v>
      </c>
      <c r="H164">
        <v>0.95240051860741537</v>
      </c>
      <c r="I164">
        <v>0.95240051860741537</v>
      </c>
      <c r="J164">
        <v>1.0253115630941076</v>
      </c>
      <c r="K164">
        <v>2.5311563094107647E-2</v>
      </c>
      <c r="L164">
        <v>0</v>
      </c>
      <c r="M164">
        <v>0</v>
      </c>
      <c r="N164">
        <v>0</v>
      </c>
      <c r="O164">
        <v>0</v>
      </c>
      <c r="P164">
        <v>0</v>
      </c>
      <c r="Q164">
        <v>0</v>
      </c>
      <c r="R164">
        <v>0</v>
      </c>
      <c r="S164">
        <v>0</v>
      </c>
      <c r="T164">
        <v>4.7599481392584631E-2</v>
      </c>
      <c r="U164">
        <v>0</v>
      </c>
      <c r="V164">
        <v>0</v>
      </c>
      <c r="W164">
        <v>0</v>
      </c>
      <c r="X164">
        <v>0</v>
      </c>
      <c r="Y164">
        <v>0.95240051860741537</v>
      </c>
      <c r="Z164">
        <v>0</v>
      </c>
      <c r="AA164">
        <v>0</v>
      </c>
      <c r="AB164">
        <v>0</v>
      </c>
      <c r="AC164">
        <v>0</v>
      </c>
      <c r="AD164">
        <v>0</v>
      </c>
      <c r="AE164" t="s">
        <v>161</v>
      </c>
      <c r="AF164">
        <v>20</v>
      </c>
      <c r="AG164" t="s">
        <v>245</v>
      </c>
      <c r="AI164">
        <v>46250</v>
      </c>
      <c r="AJ164" t="s">
        <v>150</v>
      </c>
    </row>
    <row r="165" spans="1:36" x14ac:dyDescent="0.25">
      <c r="A165" s="1">
        <v>46250</v>
      </c>
      <c r="B165" t="s">
        <v>149</v>
      </c>
      <c r="C165" t="s">
        <v>11</v>
      </c>
      <c r="D165">
        <v>4.220105607573192</v>
      </c>
      <c r="E165">
        <v>6.6499999999999995</v>
      </c>
      <c r="F165">
        <v>6.6499999999999995</v>
      </c>
      <c r="G165">
        <v>4.6875</v>
      </c>
      <c r="H165">
        <v>1.5757899489686324</v>
      </c>
      <c r="I165">
        <v>1.5757899489686324</v>
      </c>
      <c r="J165">
        <v>1.1107541933519496</v>
      </c>
      <c r="K165">
        <v>0</v>
      </c>
      <c r="L165">
        <v>0</v>
      </c>
      <c r="M165">
        <v>0.32578994896863245</v>
      </c>
      <c r="N165">
        <v>0</v>
      </c>
      <c r="O165">
        <v>0</v>
      </c>
      <c r="P165">
        <v>0</v>
      </c>
      <c r="Q165">
        <v>0.11075419335194958</v>
      </c>
      <c r="R165">
        <v>0</v>
      </c>
      <c r="S165">
        <v>0.13924580664805042</v>
      </c>
      <c r="T165">
        <v>0</v>
      </c>
      <c r="U165">
        <v>0</v>
      </c>
      <c r="V165">
        <v>0</v>
      </c>
      <c r="W165">
        <v>0</v>
      </c>
      <c r="X165">
        <v>0</v>
      </c>
      <c r="Y165">
        <v>1</v>
      </c>
      <c r="Z165">
        <v>0</v>
      </c>
      <c r="AA165">
        <v>0</v>
      </c>
      <c r="AB165">
        <v>0</v>
      </c>
      <c r="AC165">
        <v>0</v>
      </c>
      <c r="AD165">
        <v>0</v>
      </c>
      <c r="AE165" t="s">
        <v>161</v>
      </c>
      <c r="AF165">
        <v>20</v>
      </c>
      <c r="AG165" t="s">
        <v>246</v>
      </c>
      <c r="AI165">
        <v>46250</v>
      </c>
      <c r="AJ165" t="s">
        <v>150</v>
      </c>
    </row>
    <row r="166" spans="1:36" x14ac:dyDescent="0.25">
      <c r="A166" s="1">
        <v>46250</v>
      </c>
      <c r="B166" t="s">
        <v>149</v>
      </c>
      <c r="C166" t="s">
        <v>12</v>
      </c>
      <c r="D166">
        <v>10.972274579690296</v>
      </c>
      <c r="E166">
        <v>10.45</v>
      </c>
      <c r="F166">
        <v>10.45</v>
      </c>
      <c r="G166">
        <v>11.25</v>
      </c>
      <c r="H166">
        <v>0.95240051860741537</v>
      </c>
      <c r="I166">
        <v>0.95240051860741537</v>
      </c>
      <c r="J166">
        <v>1.0253115630941076</v>
      </c>
      <c r="K166">
        <v>2.5311563094107647E-2</v>
      </c>
      <c r="L166">
        <v>0</v>
      </c>
      <c r="M166">
        <v>0</v>
      </c>
      <c r="N166">
        <v>0</v>
      </c>
      <c r="O166">
        <v>0</v>
      </c>
      <c r="P166">
        <v>0</v>
      </c>
      <c r="Q166">
        <v>0</v>
      </c>
      <c r="R166">
        <v>0</v>
      </c>
      <c r="S166">
        <v>0</v>
      </c>
      <c r="T166">
        <v>4.7599481392584631E-2</v>
      </c>
      <c r="U166">
        <v>0</v>
      </c>
      <c r="V166">
        <v>0</v>
      </c>
      <c r="W166">
        <v>0</v>
      </c>
      <c r="X166">
        <v>0</v>
      </c>
      <c r="Y166">
        <v>0.95240051860741537</v>
      </c>
      <c r="Z166">
        <v>0</v>
      </c>
      <c r="AA166">
        <v>0</v>
      </c>
      <c r="AB166">
        <v>0</v>
      </c>
      <c r="AC166">
        <v>0</v>
      </c>
      <c r="AD166">
        <v>0</v>
      </c>
      <c r="AE166" t="s">
        <v>161</v>
      </c>
      <c r="AF166">
        <v>20</v>
      </c>
      <c r="AG166" t="s">
        <v>247</v>
      </c>
      <c r="AI166">
        <v>46250</v>
      </c>
      <c r="AJ166" t="s">
        <v>150</v>
      </c>
    </row>
    <row r="167" spans="1:36" x14ac:dyDescent="0.25">
      <c r="A167" s="1">
        <v>46250</v>
      </c>
      <c r="B167" t="s">
        <v>149</v>
      </c>
      <c r="C167" t="s">
        <v>10</v>
      </c>
      <c r="D167">
        <v>10.973885648639106</v>
      </c>
      <c r="E167">
        <v>3.8</v>
      </c>
      <c r="F167">
        <v>3.8</v>
      </c>
      <c r="G167">
        <v>11.25</v>
      </c>
      <c r="H167">
        <v>0.34627661720452185</v>
      </c>
      <c r="I167">
        <v>0.34627661720452185</v>
      </c>
      <c r="J167">
        <v>1.025161037776545</v>
      </c>
      <c r="K167">
        <v>2.5161037776544992E-2</v>
      </c>
      <c r="L167">
        <v>0</v>
      </c>
      <c r="M167">
        <v>0</v>
      </c>
      <c r="N167">
        <v>0</v>
      </c>
      <c r="O167">
        <v>0</v>
      </c>
      <c r="P167">
        <v>0</v>
      </c>
      <c r="Q167">
        <v>0</v>
      </c>
      <c r="R167">
        <v>0</v>
      </c>
      <c r="S167">
        <v>0</v>
      </c>
      <c r="T167">
        <v>0.65372338279547815</v>
      </c>
      <c r="U167">
        <v>0</v>
      </c>
      <c r="V167">
        <v>0</v>
      </c>
      <c r="W167">
        <v>0</v>
      </c>
      <c r="X167">
        <v>0</v>
      </c>
      <c r="Y167">
        <v>0.34627661720452185</v>
      </c>
      <c r="Z167">
        <v>0</v>
      </c>
      <c r="AA167">
        <v>0</v>
      </c>
      <c r="AB167">
        <v>0</v>
      </c>
      <c r="AC167">
        <v>0</v>
      </c>
      <c r="AD167">
        <v>0</v>
      </c>
      <c r="AE167" t="s">
        <v>166</v>
      </c>
      <c r="AF167">
        <v>10</v>
      </c>
      <c r="AG167" t="s">
        <v>245</v>
      </c>
      <c r="AH167">
        <v>1</v>
      </c>
      <c r="AI167">
        <v>46250</v>
      </c>
      <c r="AJ167" t="s">
        <v>150</v>
      </c>
    </row>
    <row r="168" spans="1:36" x14ac:dyDescent="0.25">
      <c r="A168" s="1">
        <v>46250</v>
      </c>
      <c r="B168" t="s">
        <v>149</v>
      </c>
      <c r="C168" t="s">
        <v>11</v>
      </c>
      <c r="D168">
        <v>4.2207252494765797</v>
      </c>
      <c r="E168">
        <v>0</v>
      </c>
      <c r="F168">
        <v>0</v>
      </c>
      <c r="G168">
        <v>4.6875</v>
      </c>
      <c r="H168">
        <v>0</v>
      </c>
      <c r="I168">
        <v>0</v>
      </c>
      <c r="J168">
        <v>1.1105911242579236</v>
      </c>
      <c r="K168">
        <v>0.11059112425792361</v>
      </c>
      <c r="L168">
        <v>0</v>
      </c>
      <c r="M168">
        <v>0</v>
      </c>
      <c r="N168">
        <v>0</v>
      </c>
      <c r="O168">
        <v>0</v>
      </c>
      <c r="P168">
        <v>0</v>
      </c>
      <c r="Q168">
        <v>0</v>
      </c>
      <c r="R168">
        <v>0</v>
      </c>
      <c r="S168">
        <v>0</v>
      </c>
      <c r="T168">
        <v>0</v>
      </c>
      <c r="U168">
        <v>0</v>
      </c>
      <c r="V168">
        <v>0</v>
      </c>
      <c r="W168">
        <v>0</v>
      </c>
      <c r="X168">
        <v>0</v>
      </c>
      <c r="Y168">
        <v>0</v>
      </c>
      <c r="Z168">
        <v>0</v>
      </c>
      <c r="AA168">
        <v>0</v>
      </c>
      <c r="AB168">
        <v>0</v>
      </c>
      <c r="AC168">
        <v>1</v>
      </c>
      <c r="AD168">
        <v>0</v>
      </c>
      <c r="AE168" t="s">
        <v>166</v>
      </c>
      <c r="AF168">
        <v>10</v>
      </c>
      <c r="AG168" t="s">
        <v>246</v>
      </c>
      <c r="AH168">
        <v>1</v>
      </c>
      <c r="AI168">
        <v>46250</v>
      </c>
      <c r="AJ168" t="s">
        <v>150</v>
      </c>
    </row>
    <row r="169" spans="1:36" x14ac:dyDescent="0.25">
      <c r="A169" s="1">
        <v>46250</v>
      </c>
      <c r="B169" t="s">
        <v>149</v>
      </c>
      <c r="C169" t="s">
        <v>12</v>
      </c>
      <c r="D169">
        <v>10.973885648639106</v>
      </c>
      <c r="E169">
        <v>2.8499999999999996</v>
      </c>
      <c r="F169">
        <v>2.8499999999999996</v>
      </c>
      <c r="G169">
        <v>11.25</v>
      </c>
      <c r="H169">
        <v>0.25970746290339136</v>
      </c>
      <c r="I169">
        <v>0.25970746290339136</v>
      </c>
      <c r="J169">
        <v>1.025161037776545</v>
      </c>
      <c r="K169">
        <v>2.5161037776544992E-2</v>
      </c>
      <c r="L169">
        <v>0</v>
      </c>
      <c r="M169">
        <v>0</v>
      </c>
      <c r="N169">
        <v>0</v>
      </c>
      <c r="O169">
        <v>0</v>
      </c>
      <c r="P169">
        <v>0</v>
      </c>
      <c r="Q169">
        <v>0</v>
      </c>
      <c r="R169">
        <v>0</v>
      </c>
      <c r="S169">
        <v>0</v>
      </c>
      <c r="T169">
        <v>0.74029253709660869</v>
      </c>
      <c r="U169">
        <v>0</v>
      </c>
      <c r="V169">
        <v>0</v>
      </c>
      <c r="W169">
        <v>0</v>
      </c>
      <c r="X169">
        <v>0</v>
      </c>
      <c r="Y169">
        <v>0.25970746290339136</v>
      </c>
      <c r="Z169">
        <v>0</v>
      </c>
      <c r="AA169">
        <v>0</v>
      </c>
      <c r="AB169">
        <v>0</v>
      </c>
      <c r="AC169">
        <v>0</v>
      </c>
      <c r="AD169">
        <v>0</v>
      </c>
      <c r="AE169" t="s">
        <v>166</v>
      </c>
      <c r="AF169">
        <v>10</v>
      </c>
      <c r="AG169" t="s">
        <v>247</v>
      </c>
      <c r="AH169">
        <v>1</v>
      </c>
      <c r="AI169">
        <v>46250</v>
      </c>
      <c r="AJ169" t="s">
        <v>150</v>
      </c>
    </row>
    <row r="170" spans="1:36" x14ac:dyDescent="0.25">
      <c r="A170" s="1">
        <v>46223</v>
      </c>
      <c r="B170" t="s">
        <v>151</v>
      </c>
      <c r="C170" t="s">
        <v>12</v>
      </c>
      <c r="D170">
        <v>3.1774912809962848</v>
      </c>
      <c r="E170">
        <v>0</v>
      </c>
      <c r="F170">
        <v>0</v>
      </c>
      <c r="G170">
        <v>2.8685121107266438</v>
      </c>
      <c r="H170">
        <v>0</v>
      </c>
      <c r="I170">
        <v>0</v>
      </c>
      <c r="J170">
        <v>0.9027600257733005</v>
      </c>
      <c r="K170">
        <v>0</v>
      </c>
      <c r="L170">
        <v>0</v>
      </c>
      <c r="M170">
        <v>0</v>
      </c>
      <c r="N170">
        <v>0</v>
      </c>
      <c r="O170">
        <v>0</v>
      </c>
      <c r="P170">
        <v>0</v>
      </c>
      <c r="Q170">
        <v>0</v>
      </c>
      <c r="R170">
        <v>0</v>
      </c>
      <c r="S170">
        <v>0</v>
      </c>
      <c r="T170">
        <v>0.9027600257733005</v>
      </c>
      <c r="U170">
        <v>9.7239974226699499E-2</v>
      </c>
      <c r="V170">
        <v>0</v>
      </c>
      <c r="W170">
        <v>0</v>
      </c>
      <c r="X170">
        <v>0</v>
      </c>
      <c r="Y170">
        <v>0</v>
      </c>
      <c r="Z170">
        <v>0</v>
      </c>
      <c r="AA170">
        <v>0</v>
      </c>
      <c r="AB170">
        <v>0</v>
      </c>
      <c r="AC170">
        <v>0</v>
      </c>
      <c r="AD170">
        <v>0</v>
      </c>
      <c r="AE170" t="s">
        <v>161</v>
      </c>
      <c r="AF170">
        <v>0</v>
      </c>
      <c r="AG170" t="s">
        <v>164</v>
      </c>
      <c r="AI170">
        <v>46223</v>
      </c>
      <c r="AJ170" t="s">
        <v>150</v>
      </c>
    </row>
    <row r="171" spans="1:36" x14ac:dyDescent="0.25">
      <c r="A171" s="1">
        <v>46223</v>
      </c>
      <c r="B171" t="s">
        <v>151</v>
      </c>
      <c r="C171" t="s">
        <v>10</v>
      </c>
      <c r="D171">
        <v>3.6011567851291222</v>
      </c>
      <c r="E171">
        <v>0</v>
      </c>
      <c r="F171">
        <v>0</v>
      </c>
      <c r="G171">
        <v>3.764705882352942</v>
      </c>
      <c r="H171">
        <v>0</v>
      </c>
      <c r="I171">
        <v>0</v>
      </c>
      <c r="J171">
        <v>1.0454157113900708</v>
      </c>
      <c r="K171">
        <v>4.5415711390070834E-2</v>
      </c>
      <c r="L171">
        <v>0</v>
      </c>
      <c r="M171">
        <v>0</v>
      </c>
      <c r="N171">
        <v>0</v>
      </c>
      <c r="O171">
        <v>0</v>
      </c>
      <c r="P171">
        <v>0</v>
      </c>
      <c r="Q171">
        <v>0</v>
      </c>
      <c r="R171">
        <v>0</v>
      </c>
      <c r="S171">
        <v>0</v>
      </c>
      <c r="T171">
        <v>0</v>
      </c>
      <c r="U171">
        <v>0</v>
      </c>
      <c r="V171">
        <v>0</v>
      </c>
      <c r="W171">
        <v>0</v>
      </c>
      <c r="X171">
        <v>0</v>
      </c>
      <c r="Y171">
        <v>0</v>
      </c>
      <c r="Z171">
        <v>0</v>
      </c>
      <c r="AA171">
        <v>0</v>
      </c>
      <c r="AB171">
        <v>0</v>
      </c>
      <c r="AC171">
        <v>1</v>
      </c>
      <c r="AD171">
        <v>0</v>
      </c>
      <c r="AE171" t="s">
        <v>161</v>
      </c>
      <c r="AF171">
        <v>0</v>
      </c>
      <c r="AG171" t="s">
        <v>165</v>
      </c>
      <c r="AI171">
        <v>46223</v>
      </c>
      <c r="AJ171" t="s">
        <v>150</v>
      </c>
    </row>
    <row r="172" spans="1:36" x14ac:dyDescent="0.25">
      <c r="A172" s="1">
        <v>46223</v>
      </c>
      <c r="B172" t="s">
        <v>151</v>
      </c>
      <c r="C172" t="s">
        <v>11</v>
      </c>
      <c r="D172">
        <v>0</v>
      </c>
      <c r="E172">
        <v>0</v>
      </c>
      <c r="F172">
        <v>0</v>
      </c>
      <c r="G172">
        <v>0</v>
      </c>
      <c r="K172">
        <v>0</v>
      </c>
      <c r="L172">
        <v>0</v>
      </c>
      <c r="M172">
        <v>0</v>
      </c>
      <c r="N172">
        <v>0</v>
      </c>
      <c r="O172">
        <v>0</v>
      </c>
      <c r="P172">
        <v>0</v>
      </c>
      <c r="Q172">
        <v>0</v>
      </c>
      <c r="R172">
        <v>0</v>
      </c>
      <c r="S172">
        <v>0</v>
      </c>
      <c r="T172">
        <v>0</v>
      </c>
      <c r="U172">
        <v>1</v>
      </c>
      <c r="V172">
        <v>0</v>
      </c>
      <c r="W172">
        <v>0</v>
      </c>
      <c r="X172">
        <v>0</v>
      </c>
      <c r="Y172">
        <v>0</v>
      </c>
      <c r="Z172">
        <v>0</v>
      </c>
      <c r="AA172">
        <v>0</v>
      </c>
      <c r="AB172">
        <v>0</v>
      </c>
      <c r="AD172">
        <v>0</v>
      </c>
      <c r="AE172" t="s">
        <v>161</v>
      </c>
      <c r="AF172">
        <v>0</v>
      </c>
      <c r="AG172" t="s">
        <v>163</v>
      </c>
      <c r="AI172">
        <v>46223</v>
      </c>
      <c r="AJ172" t="s">
        <v>150</v>
      </c>
    </row>
    <row r="173" spans="1:36" x14ac:dyDescent="0.25">
      <c r="A173" s="1">
        <v>46223</v>
      </c>
      <c r="B173" t="s">
        <v>151</v>
      </c>
      <c r="C173" t="s">
        <v>12</v>
      </c>
      <c r="D173">
        <v>3.1779578349000128</v>
      </c>
      <c r="E173">
        <v>2.8499999999999996</v>
      </c>
      <c r="F173">
        <v>2.8499999999999996</v>
      </c>
      <c r="G173">
        <v>2.8685121107266438</v>
      </c>
      <c r="H173">
        <v>0.89680233283827326</v>
      </c>
      <c r="I173">
        <v>0.89680233283827326</v>
      </c>
      <c r="J173">
        <v>0.90262749216648908</v>
      </c>
      <c r="K173">
        <v>0</v>
      </c>
      <c r="L173">
        <v>0</v>
      </c>
      <c r="M173">
        <v>0</v>
      </c>
      <c r="N173">
        <v>0</v>
      </c>
      <c r="O173">
        <v>0</v>
      </c>
      <c r="P173">
        <v>0</v>
      </c>
      <c r="Q173">
        <v>0</v>
      </c>
      <c r="R173">
        <v>0</v>
      </c>
      <c r="S173">
        <v>0</v>
      </c>
      <c r="T173">
        <v>5.8251593282158121E-3</v>
      </c>
      <c r="U173">
        <v>9.7372507833510924E-2</v>
      </c>
      <c r="V173">
        <v>0</v>
      </c>
      <c r="W173">
        <v>0</v>
      </c>
      <c r="X173">
        <v>0</v>
      </c>
      <c r="Y173">
        <v>0.89680233283827326</v>
      </c>
      <c r="Z173">
        <v>0</v>
      </c>
      <c r="AA173">
        <v>0</v>
      </c>
      <c r="AB173">
        <v>0</v>
      </c>
      <c r="AC173">
        <v>0</v>
      </c>
      <c r="AD173">
        <v>0</v>
      </c>
      <c r="AE173" t="s">
        <v>166</v>
      </c>
      <c r="AF173">
        <v>10</v>
      </c>
      <c r="AG173" t="s">
        <v>164</v>
      </c>
      <c r="AH173">
        <v>1</v>
      </c>
      <c r="AI173">
        <v>46223</v>
      </c>
      <c r="AJ173" t="s">
        <v>150</v>
      </c>
    </row>
    <row r="174" spans="1:36" x14ac:dyDescent="0.25">
      <c r="A174" s="1">
        <v>46223</v>
      </c>
      <c r="B174" t="s">
        <v>151</v>
      </c>
      <c r="C174" t="s">
        <v>10</v>
      </c>
      <c r="D174">
        <v>3.5876164620550925</v>
      </c>
      <c r="E174">
        <v>6.6499999999999995</v>
      </c>
      <c r="F174">
        <v>6.6499999999999995</v>
      </c>
      <c r="G174">
        <v>3.764705882352942</v>
      </c>
      <c r="H174">
        <v>1.8535983626830286</v>
      </c>
      <c r="I174">
        <v>1.8535983626830286</v>
      </c>
      <c r="J174">
        <v>1.0493613021823429</v>
      </c>
      <c r="K174">
        <v>0</v>
      </c>
      <c r="L174">
        <v>0</v>
      </c>
      <c r="M174">
        <v>0.60359836268302858</v>
      </c>
      <c r="N174">
        <v>0</v>
      </c>
      <c r="O174">
        <v>0</v>
      </c>
      <c r="P174">
        <v>0</v>
      </c>
      <c r="Q174">
        <v>4.9361302182342914E-2</v>
      </c>
      <c r="R174">
        <v>0</v>
      </c>
      <c r="S174">
        <v>0.20063869781765709</v>
      </c>
      <c r="T174">
        <v>0</v>
      </c>
      <c r="U174">
        <v>0</v>
      </c>
      <c r="V174">
        <v>0</v>
      </c>
      <c r="W174">
        <v>0</v>
      </c>
      <c r="X174">
        <v>0</v>
      </c>
      <c r="Y174">
        <v>1</v>
      </c>
      <c r="Z174">
        <v>0</v>
      </c>
      <c r="AA174">
        <v>0</v>
      </c>
      <c r="AB174">
        <v>0</v>
      </c>
      <c r="AC174">
        <v>0</v>
      </c>
      <c r="AD174">
        <v>0</v>
      </c>
      <c r="AE174" t="s">
        <v>166</v>
      </c>
      <c r="AF174">
        <v>10</v>
      </c>
      <c r="AG174" t="s">
        <v>165</v>
      </c>
      <c r="AH174">
        <v>1</v>
      </c>
      <c r="AI174">
        <v>46223</v>
      </c>
      <c r="AJ174" t="s">
        <v>150</v>
      </c>
    </row>
    <row r="175" spans="1:36" x14ac:dyDescent="0.25">
      <c r="A175" s="1">
        <v>46223</v>
      </c>
      <c r="B175" t="s">
        <v>151</v>
      </c>
      <c r="C175" t="s">
        <v>11</v>
      </c>
      <c r="D175">
        <v>0</v>
      </c>
      <c r="E175">
        <v>0</v>
      </c>
      <c r="F175">
        <v>0</v>
      </c>
      <c r="G175">
        <v>0</v>
      </c>
      <c r="K175">
        <v>0</v>
      </c>
      <c r="L175">
        <v>0</v>
      </c>
      <c r="M175">
        <v>0</v>
      </c>
      <c r="N175">
        <v>0</v>
      </c>
      <c r="O175">
        <v>0</v>
      </c>
      <c r="P175">
        <v>0</v>
      </c>
      <c r="Q175">
        <v>0</v>
      </c>
      <c r="R175">
        <v>0</v>
      </c>
      <c r="S175">
        <v>0</v>
      </c>
      <c r="T175">
        <v>0</v>
      </c>
      <c r="U175">
        <v>1</v>
      </c>
      <c r="V175">
        <v>0</v>
      </c>
      <c r="W175">
        <v>0</v>
      </c>
      <c r="X175">
        <v>0</v>
      </c>
      <c r="Y175">
        <v>0</v>
      </c>
      <c r="Z175">
        <v>0</v>
      </c>
      <c r="AA175">
        <v>0</v>
      </c>
      <c r="AB175">
        <v>0</v>
      </c>
      <c r="AD175">
        <v>0</v>
      </c>
      <c r="AE175" t="s">
        <v>166</v>
      </c>
      <c r="AF175">
        <v>10</v>
      </c>
      <c r="AG175" t="s">
        <v>163</v>
      </c>
      <c r="AH175">
        <v>1</v>
      </c>
      <c r="AI175">
        <v>46223</v>
      </c>
      <c r="AJ175" t="s">
        <v>150</v>
      </c>
    </row>
    <row r="176" spans="1:36" x14ac:dyDescent="0.25">
      <c r="A176" s="1">
        <v>46224</v>
      </c>
      <c r="B176" t="s">
        <v>151</v>
      </c>
      <c r="C176" t="s">
        <v>12</v>
      </c>
      <c r="D176">
        <v>3.2304494690128904</v>
      </c>
      <c r="E176">
        <v>0</v>
      </c>
      <c r="F176">
        <v>0</v>
      </c>
      <c r="G176">
        <v>4.4063272367770638</v>
      </c>
      <c r="H176">
        <v>0</v>
      </c>
      <c r="I176">
        <v>0</v>
      </c>
      <c r="J176">
        <v>1.363998192525042</v>
      </c>
      <c r="K176">
        <v>0.36399819252504195</v>
      </c>
      <c r="L176">
        <v>0</v>
      </c>
      <c r="M176">
        <v>0</v>
      </c>
      <c r="N176">
        <v>0</v>
      </c>
      <c r="O176">
        <v>0</v>
      </c>
      <c r="P176">
        <v>0</v>
      </c>
      <c r="Q176">
        <v>0</v>
      </c>
      <c r="R176">
        <v>0</v>
      </c>
      <c r="S176">
        <v>0</v>
      </c>
      <c r="T176">
        <v>0</v>
      </c>
      <c r="U176">
        <v>0</v>
      </c>
      <c r="V176">
        <v>0</v>
      </c>
      <c r="W176">
        <v>0</v>
      </c>
      <c r="X176">
        <v>0</v>
      </c>
      <c r="Y176">
        <v>0</v>
      </c>
      <c r="Z176">
        <v>0</v>
      </c>
      <c r="AA176">
        <v>0</v>
      </c>
      <c r="AB176">
        <v>0</v>
      </c>
      <c r="AC176">
        <v>1</v>
      </c>
      <c r="AD176">
        <v>0</v>
      </c>
      <c r="AE176" t="s">
        <v>161</v>
      </c>
      <c r="AF176">
        <v>0</v>
      </c>
      <c r="AG176" t="s">
        <v>169</v>
      </c>
      <c r="AI176">
        <v>46224</v>
      </c>
      <c r="AJ176" t="s">
        <v>150</v>
      </c>
    </row>
    <row r="177" spans="1:36" x14ac:dyDescent="0.25">
      <c r="A177" s="1">
        <v>46224</v>
      </c>
      <c r="B177" t="s">
        <v>151</v>
      </c>
      <c r="C177" t="s">
        <v>11</v>
      </c>
      <c r="D177">
        <v>0</v>
      </c>
      <c r="E177">
        <v>0</v>
      </c>
      <c r="F177">
        <v>0</v>
      </c>
      <c r="G177">
        <v>0</v>
      </c>
      <c r="K177">
        <v>0</v>
      </c>
      <c r="L177">
        <v>0</v>
      </c>
      <c r="M177">
        <v>0</v>
      </c>
      <c r="N177">
        <v>0</v>
      </c>
      <c r="O177">
        <v>0</v>
      </c>
      <c r="P177">
        <v>0</v>
      </c>
      <c r="Q177">
        <v>0</v>
      </c>
      <c r="R177">
        <v>0</v>
      </c>
      <c r="S177">
        <v>0</v>
      </c>
      <c r="T177">
        <v>0</v>
      </c>
      <c r="U177">
        <v>1</v>
      </c>
      <c r="V177">
        <v>0</v>
      </c>
      <c r="W177">
        <v>0</v>
      </c>
      <c r="X177">
        <v>0</v>
      </c>
      <c r="Y177">
        <v>0</v>
      </c>
      <c r="Z177">
        <v>0</v>
      </c>
      <c r="AA177">
        <v>0</v>
      </c>
      <c r="AB177">
        <v>0</v>
      </c>
      <c r="AD177">
        <v>0</v>
      </c>
      <c r="AE177" t="s">
        <v>161</v>
      </c>
      <c r="AF177">
        <v>0</v>
      </c>
      <c r="AG177" t="s">
        <v>167</v>
      </c>
      <c r="AI177">
        <v>46224</v>
      </c>
      <c r="AJ177" t="s">
        <v>150</v>
      </c>
    </row>
    <row r="178" spans="1:36" x14ac:dyDescent="0.25">
      <c r="A178" s="1">
        <v>46224</v>
      </c>
      <c r="B178" t="s">
        <v>151</v>
      </c>
      <c r="C178" t="s">
        <v>10</v>
      </c>
      <c r="D178">
        <v>3.6011567851291235</v>
      </c>
      <c r="E178">
        <v>0</v>
      </c>
      <c r="F178">
        <v>0</v>
      </c>
      <c r="G178">
        <v>4.8182773109243673</v>
      </c>
      <c r="H178">
        <v>0</v>
      </c>
      <c r="I178">
        <v>0</v>
      </c>
      <c r="J178">
        <v>1.3379804319604491</v>
      </c>
      <c r="K178">
        <v>0.33798043196044913</v>
      </c>
      <c r="L178">
        <v>0</v>
      </c>
      <c r="M178">
        <v>0</v>
      </c>
      <c r="N178">
        <v>0</v>
      </c>
      <c r="O178">
        <v>0</v>
      </c>
      <c r="P178">
        <v>0</v>
      </c>
      <c r="Q178">
        <v>0</v>
      </c>
      <c r="R178">
        <v>0</v>
      </c>
      <c r="S178">
        <v>0</v>
      </c>
      <c r="T178">
        <v>0</v>
      </c>
      <c r="U178">
        <v>0</v>
      </c>
      <c r="V178">
        <v>0</v>
      </c>
      <c r="W178">
        <v>0</v>
      </c>
      <c r="X178">
        <v>0</v>
      </c>
      <c r="Y178">
        <v>0</v>
      </c>
      <c r="Z178">
        <v>0</v>
      </c>
      <c r="AA178">
        <v>0</v>
      </c>
      <c r="AB178">
        <v>0</v>
      </c>
      <c r="AC178">
        <v>1</v>
      </c>
      <c r="AD178">
        <v>0</v>
      </c>
      <c r="AE178" t="s">
        <v>161</v>
      </c>
      <c r="AF178">
        <v>0</v>
      </c>
      <c r="AG178" t="s">
        <v>168</v>
      </c>
      <c r="AI178">
        <v>46224</v>
      </c>
      <c r="AJ178" t="s">
        <v>150</v>
      </c>
    </row>
    <row r="179" spans="1:36" x14ac:dyDescent="0.25">
      <c r="A179" s="1">
        <v>46224</v>
      </c>
      <c r="B179" t="s">
        <v>151</v>
      </c>
      <c r="C179" t="s">
        <v>12</v>
      </c>
      <c r="D179">
        <v>3.2276134260703255</v>
      </c>
      <c r="E179">
        <v>3.8</v>
      </c>
      <c r="F179">
        <v>3.8</v>
      </c>
      <c r="G179">
        <v>4.4063272367770638</v>
      </c>
      <c r="H179">
        <v>1.1773404984953741</v>
      </c>
      <c r="I179">
        <v>1.1773404984953741</v>
      </c>
      <c r="J179">
        <v>1.3651967119686457</v>
      </c>
      <c r="K179">
        <v>0.18785621347327153</v>
      </c>
      <c r="L179">
        <v>0</v>
      </c>
      <c r="M179">
        <v>0</v>
      </c>
      <c r="N179">
        <v>0</v>
      </c>
      <c r="O179">
        <v>0</v>
      </c>
      <c r="P179">
        <v>7.2659501504625856E-2</v>
      </c>
      <c r="Q179">
        <v>0.17734049849537414</v>
      </c>
      <c r="R179">
        <v>0</v>
      </c>
      <c r="S179">
        <v>0</v>
      </c>
      <c r="T179">
        <v>0</v>
      </c>
      <c r="U179">
        <v>0</v>
      </c>
      <c r="V179">
        <v>0</v>
      </c>
      <c r="W179">
        <v>0</v>
      </c>
      <c r="X179">
        <v>0</v>
      </c>
      <c r="Y179">
        <v>0</v>
      </c>
      <c r="Z179">
        <v>0</v>
      </c>
      <c r="AA179">
        <v>0</v>
      </c>
      <c r="AB179">
        <v>0</v>
      </c>
      <c r="AC179">
        <v>0</v>
      </c>
      <c r="AD179">
        <v>1</v>
      </c>
      <c r="AE179" t="s">
        <v>166</v>
      </c>
      <c r="AF179">
        <v>10</v>
      </c>
      <c r="AG179" t="s">
        <v>169</v>
      </c>
      <c r="AH179">
        <v>1</v>
      </c>
      <c r="AI179">
        <v>46224</v>
      </c>
      <c r="AJ179" t="s">
        <v>150</v>
      </c>
    </row>
    <row r="180" spans="1:36" x14ac:dyDescent="0.25">
      <c r="A180" s="1">
        <v>46224</v>
      </c>
      <c r="B180" t="s">
        <v>151</v>
      </c>
      <c r="C180" t="s">
        <v>11</v>
      </c>
      <c r="D180">
        <v>0</v>
      </c>
      <c r="E180">
        <v>0.95</v>
      </c>
      <c r="F180">
        <v>0.95</v>
      </c>
      <c r="G180">
        <v>0</v>
      </c>
      <c r="K180">
        <v>0</v>
      </c>
      <c r="L180">
        <v>0</v>
      </c>
      <c r="M180">
        <v>0</v>
      </c>
      <c r="N180">
        <v>0</v>
      </c>
      <c r="O180">
        <v>0</v>
      </c>
      <c r="P180">
        <v>0</v>
      </c>
      <c r="Q180">
        <v>0</v>
      </c>
      <c r="R180">
        <v>0</v>
      </c>
      <c r="S180">
        <v>0</v>
      </c>
      <c r="T180">
        <v>0</v>
      </c>
      <c r="U180">
        <v>1</v>
      </c>
      <c r="V180">
        <v>0</v>
      </c>
      <c r="W180">
        <v>0</v>
      </c>
      <c r="X180">
        <v>0</v>
      </c>
      <c r="Y180">
        <v>0</v>
      </c>
      <c r="Z180">
        <v>0</v>
      </c>
      <c r="AA180">
        <v>1</v>
      </c>
      <c r="AB180">
        <v>0</v>
      </c>
      <c r="AD180">
        <v>0</v>
      </c>
      <c r="AE180" t="s">
        <v>166</v>
      </c>
      <c r="AF180">
        <v>10</v>
      </c>
      <c r="AG180" t="s">
        <v>167</v>
      </c>
      <c r="AH180">
        <v>1</v>
      </c>
      <c r="AI180">
        <v>46224</v>
      </c>
      <c r="AJ180" t="s">
        <v>150</v>
      </c>
    </row>
    <row r="181" spans="1:36" x14ac:dyDescent="0.25">
      <c r="A181" s="1">
        <v>46224</v>
      </c>
      <c r="B181" t="s">
        <v>151</v>
      </c>
      <c r="C181" t="s">
        <v>10</v>
      </c>
      <c r="D181">
        <v>3.587616462055093</v>
      </c>
      <c r="E181">
        <v>4.75</v>
      </c>
      <c r="F181">
        <v>4.75</v>
      </c>
      <c r="G181">
        <v>4.8182773109243673</v>
      </c>
      <c r="H181">
        <v>1.3239988304878776</v>
      </c>
      <c r="I181">
        <v>1.3239988304878776</v>
      </c>
      <c r="J181">
        <v>1.3430302157116079</v>
      </c>
      <c r="K181">
        <v>1.9031385223730268E-2</v>
      </c>
      <c r="L181">
        <v>0</v>
      </c>
      <c r="M181">
        <v>0</v>
      </c>
      <c r="N181">
        <v>0</v>
      </c>
      <c r="O181">
        <v>7.3998830487877587E-2</v>
      </c>
      <c r="P181">
        <v>0</v>
      </c>
      <c r="Q181">
        <v>0.25</v>
      </c>
      <c r="R181">
        <v>0</v>
      </c>
      <c r="S181">
        <v>0</v>
      </c>
      <c r="T181">
        <v>0</v>
      </c>
      <c r="U181">
        <v>0</v>
      </c>
      <c r="V181">
        <v>0</v>
      </c>
      <c r="W181">
        <v>0</v>
      </c>
      <c r="X181">
        <v>0</v>
      </c>
      <c r="Y181">
        <v>1</v>
      </c>
      <c r="Z181">
        <v>0</v>
      </c>
      <c r="AA181">
        <v>0</v>
      </c>
      <c r="AB181">
        <v>0</v>
      </c>
      <c r="AC181">
        <v>0</v>
      </c>
      <c r="AD181">
        <v>0</v>
      </c>
      <c r="AE181" t="s">
        <v>166</v>
      </c>
      <c r="AF181">
        <v>10</v>
      </c>
      <c r="AG181" t="s">
        <v>168</v>
      </c>
      <c r="AH181">
        <v>1</v>
      </c>
      <c r="AI181">
        <v>46224</v>
      </c>
      <c r="AJ181" t="s">
        <v>150</v>
      </c>
    </row>
    <row r="182" spans="1:36" x14ac:dyDescent="0.25">
      <c r="A182" s="1">
        <v>46225</v>
      </c>
      <c r="B182" t="s">
        <v>151</v>
      </c>
      <c r="C182" t="s">
        <v>10</v>
      </c>
      <c r="D182">
        <v>3.6011567851291222</v>
      </c>
      <c r="E182">
        <v>0</v>
      </c>
      <c r="F182">
        <v>0</v>
      </c>
      <c r="G182">
        <v>4.7022058823529402</v>
      </c>
      <c r="H182">
        <v>0</v>
      </c>
      <c r="I182">
        <v>0</v>
      </c>
      <c r="J182">
        <v>1.3057487254569338</v>
      </c>
      <c r="K182">
        <v>0.30574872545693377</v>
      </c>
      <c r="L182">
        <v>0</v>
      </c>
      <c r="M182">
        <v>0</v>
      </c>
      <c r="N182">
        <v>0</v>
      </c>
      <c r="O182">
        <v>0</v>
      </c>
      <c r="P182">
        <v>0</v>
      </c>
      <c r="Q182">
        <v>0</v>
      </c>
      <c r="R182">
        <v>0</v>
      </c>
      <c r="S182">
        <v>0</v>
      </c>
      <c r="T182">
        <v>0</v>
      </c>
      <c r="U182">
        <v>0</v>
      </c>
      <c r="V182">
        <v>0</v>
      </c>
      <c r="W182">
        <v>0</v>
      </c>
      <c r="X182">
        <v>0</v>
      </c>
      <c r="Y182">
        <v>0</v>
      </c>
      <c r="Z182">
        <v>0</v>
      </c>
      <c r="AA182">
        <v>0</v>
      </c>
      <c r="AB182">
        <v>0</v>
      </c>
      <c r="AC182">
        <v>1</v>
      </c>
      <c r="AD182">
        <v>0</v>
      </c>
      <c r="AE182" t="s">
        <v>161</v>
      </c>
      <c r="AF182">
        <v>0</v>
      </c>
      <c r="AG182" t="s">
        <v>170</v>
      </c>
      <c r="AI182">
        <v>46225</v>
      </c>
      <c r="AJ182" t="s">
        <v>150</v>
      </c>
    </row>
    <row r="183" spans="1:36" x14ac:dyDescent="0.25">
      <c r="A183" s="1">
        <v>46225</v>
      </c>
      <c r="B183" t="s">
        <v>151</v>
      </c>
      <c r="C183" t="s">
        <v>11</v>
      </c>
      <c r="D183">
        <v>0</v>
      </c>
      <c r="E183">
        <v>0</v>
      </c>
      <c r="F183">
        <v>0</v>
      </c>
      <c r="G183">
        <v>0</v>
      </c>
      <c r="K183">
        <v>0</v>
      </c>
      <c r="L183">
        <v>0</v>
      </c>
      <c r="M183">
        <v>0</v>
      </c>
      <c r="N183">
        <v>0</v>
      </c>
      <c r="O183">
        <v>0</v>
      </c>
      <c r="P183">
        <v>0</v>
      </c>
      <c r="Q183">
        <v>0</v>
      </c>
      <c r="R183">
        <v>0</v>
      </c>
      <c r="S183">
        <v>0</v>
      </c>
      <c r="T183">
        <v>0</v>
      </c>
      <c r="U183">
        <v>1</v>
      </c>
      <c r="V183">
        <v>0</v>
      </c>
      <c r="W183">
        <v>0</v>
      </c>
      <c r="X183">
        <v>0</v>
      </c>
      <c r="Y183">
        <v>0</v>
      </c>
      <c r="Z183">
        <v>0</v>
      </c>
      <c r="AA183">
        <v>0</v>
      </c>
      <c r="AB183">
        <v>0</v>
      </c>
      <c r="AD183">
        <v>0</v>
      </c>
      <c r="AE183" t="s">
        <v>161</v>
      </c>
      <c r="AF183">
        <v>10</v>
      </c>
      <c r="AG183" t="s">
        <v>172</v>
      </c>
      <c r="AI183">
        <v>46225</v>
      </c>
      <c r="AJ183" t="s">
        <v>150</v>
      </c>
    </row>
    <row r="184" spans="1:36" x14ac:dyDescent="0.25">
      <c r="A184" s="1">
        <v>46225</v>
      </c>
      <c r="B184" t="s">
        <v>151</v>
      </c>
      <c r="C184" t="s">
        <v>12</v>
      </c>
      <c r="D184">
        <v>3.1774912809962848</v>
      </c>
      <c r="E184">
        <v>0</v>
      </c>
      <c r="F184">
        <v>0</v>
      </c>
      <c r="G184">
        <v>4.6332179930795849</v>
      </c>
      <c r="H184">
        <v>0</v>
      </c>
      <c r="I184">
        <v>0</v>
      </c>
      <c r="J184">
        <v>1.4581371224492754</v>
      </c>
      <c r="K184">
        <v>0.4581371224492754</v>
      </c>
      <c r="L184">
        <v>0</v>
      </c>
      <c r="M184">
        <v>0</v>
      </c>
      <c r="N184">
        <v>0</v>
      </c>
      <c r="O184">
        <v>0</v>
      </c>
      <c r="P184">
        <v>0</v>
      </c>
      <c r="Q184">
        <v>0</v>
      </c>
      <c r="R184">
        <v>0</v>
      </c>
      <c r="S184">
        <v>0</v>
      </c>
      <c r="T184">
        <v>0</v>
      </c>
      <c r="U184">
        <v>0</v>
      </c>
      <c r="V184">
        <v>0</v>
      </c>
      <c r="W184">
        <v>0</v>
      </c>
      <c r="X184">
        <v>0</v>
      </c>
      <c r="Y184">
        <v>0</v>
      </c>
      <c r="Z184">
        <v>0</v>
      </c>
      <c r="AA184">
        <v>0</v>
      </c>
      <c r="AB184">
        <v>0</v>
      </c>
      <c r="AC184">
        <v>1</v>
      </c>
      <c r="AD184">
        <v>0</v>
      </c>
      <c r="AE184" t="s">
        <v>161</v>
      </c>
      <c r="AF184">
        <v>0</v>
      </c>
      <c r="AG184" t="s">
        <v>171</v>
      </c>
      <c r="AI184">
        <v>46225</v>
      </c>
      <c r="AJ184" t="s">
        <v>150</v>
      </c>
    </row>
    <row r="185" spans="1:36" x14ac:dyDescent="0.25">
      <c r="A185" s="1">
        <v>46225</v>
      </c>
      <c r="B185" t="s">
        <v>151</v>
      </c>
      <c r="C185" t="s">
        <v>10</v>
      </c>
      <c r="D185">
        <v>3.587616462055093</v>
      </c>
      <c r="E185">
        <v>3.8</v>
      </c>
      <c r="F185">
        <v>3.8</v>
      </c>
      <c r="G185">
        <v>4.7022058823529402</v>
      </c>
      <c r="H185">
        <v>1.059199064390302</v>
      </c>
      <c r="I185">
        <v>1.059199064390302</v>
      </c>
      <c r="J185">
        <v>1.3106768608312656</v>
      </c>
      <c r="K185">
        <v>0.25147779644096357</v>
      </c>
      <c r="L185">
        <v>0</v>
      </c>
      <c r="M185">
        <v>0</v>
      </c>
      <c r="N185">
        <v>0</v>
      </c>
      <c r="O185">
        <v>0</v>
      </c>
      <c r="P185">
        <v>0.19080093560969802</v>
      </c>
      <c r="Q185">
        <v>5.9199064390301981E-2</v>
      </c>
      <c r="R185">
        <v>0</v>
      </c>
      <c r="S185">
        <v>0</v>
      </c>
      <c r="T185">
        <v>0</v>
      </c>
      <c r="U185">
        <v>0</v>
      </c>
      <c r="V185">
        <v>0</v>
      </c>
      <c r="W185">
        <v>0</v>
      </c>
      <c r="X185">
        <v>0</v>
      </c>
      <c r="Y185">
        <v>0</v>
      </c>
      <c r="Z185">
        <v>0</v>
      </c>
      <c r="AA185">
        <v>0</v>
      </c>
      <c r="AB185">
        <v>0</v>
      </c>
      <c r="AC185">
        <v>0</v>
      </c>
      <c r="AD185">
        <v>1</v>
      </c>
      <c r="AE185" t="s">
        <v>166</v>
      </c>
      <c r="AF185">
        <v>10</v>
      </c>
      <c r="AG185" t="s">
        <v>170</v>
      </c>
      <c r="AH185">
        <v>1</v>
      </c>
      <c r="AI185">
        <v>46225</v>
      </c>
      <c r="AJ185" t="s">
        <v>150</v>
      </c>
    </row>
    <row r="186" spans="1:36" x14ac:dyDescent="0.25">
      <c r="A186" s="1">
        <v>46225</v>
      </c>
      <c r="B186" t="s">
        <v>151</v>
      </c>
      <c r="C186" t="s">
        <v>11</v>
      </c>
      <c r="D186">
        <v>0</v>
      </c>
      <c r="E186">
        <v>0</v>
      </c>
      <c r="F186">
        <v>0</v>
      </c>
      <c r="G186">
        <v>0</v>
      </c>
      <c r="K186">
        <v>0</v>
      </c>
      <c r="L186">
        <v>0</v>
      </c>
      <c r="M186">
        <v>0</v>
      </c>
      <c r="N186">
        <v>0</v>
      </c>
      <c r="O186">
        <v>0</v>
      </c>
      <c r="P186">
        <v>0</v>
      </c>
      <c r="Q186">
        <v>0</v>
      </c>
      <c r="R186">
        <v>0</v>
      </c>
      <c r="S186">
        <v>0</v>
      </c>
      <c r="T186">
        <v>0</v>
      </c>
      <c r="U186">
        <v>1</v>
      </c>
      <c r="V186">
        <v>0</v>
      </c>
      <c r="W186">
        <v>0</v>
      </c>
      <c r="X186">
        <v>0</v>
      </c>
      <c r="Y186">
        <v>0</v>
      </c>
      <c r="Z186">
        <v>0</v>
      </c>
      <c r="AA186">
        <v>0</v>
      </c>
      <c r="AB186">
        <v>0</v>
      </c>
      <c r="AD186">
        <v>0</v>
      </c>
      <c r="AE186" t="s">
        <v>166</v>
      </c>
      <c r="AF186">
        <v>10</v>
      </c>
      <c r="AG186" t="s">
        <v>172</v>
      </c>
      <c r="AH186">
        <v>1</v>
      </c>
      <c r="AI186">
        <v>46225</v>
      </c>
      <c r="AJ186" t="s">
        <v>150</v>
      </c>
    </row>
    <row r="187" spans="1:36" x14ac:dyDescent="0.25">
      <c r="A187" s="1">
        <v>46225</v>
      </c>
      <c r="B187" t="s">
        <v>151</v>
      </c>
      <c r="C187" t="s">
        <v>12</v>
      </c>
      <c r="D187">
        <v>3.1779578349000128</v>
      </c>
      <c r="E187">
        <v>2.8499999999999996</v>
      </c>
      <c r="F187">
        <v>2.8499999999999996</v>
      </c>
      <c r="G187">
        <v>4.6332179930795849</v>
      </c>
      <c r="H187">
        <v>0.89680233283827326</v>
      </c>
      <c r="I187">
        <v>0.89680233283827326</v>
      </c>
      <c r="J187">
        <v>1.4579230542954509</v>
      </c>
      <c r="K187">
        <v>0.45792305429545088</v>
      </c>
      <c r="L187">
        <v>0</v>
      </c>
      <c r="M187">
        <v>0</v>
      </c>
      <c r="N187">
        <v>0</v>
      </c>
      <c r="O187">
        <v>0</v>
      </c>
      <c r="P187">
        <v>0</v>
      </c>
      <c r="Q187">
        <v>0</v>
      </c>
      <c r="R187">
        <v>0</v>
      </c>
      <c r="S187">
        <v>0</v>
      </c>
      <c r="T187">
        <v>0.10319766716172674</v>
      </c>
      <c r="U187">
        <v>0</v>
      </c>
      <c r="V187">
        <v>0</v>
      </c>
      <c r="W187">
        <v>0</v>
      </c>
      <c r="X187">
        <v>0</v>
      </c>
      <c r="Y187">
        <v>0.89680233283827326</v>
      </c>
      <c r="Z187">
        <v>0</v>
      </c>
      <c r="AA187">
        <v>0</v>
      </c>
      <c r="AB187">
        <v>0</v>
      </c>
      <c r="AC187">
        <v>0</v>
      </c>
      <c r="AD187">
        <v>0</v>
      </c>
      <c r="AE187" t="s">
        <v>166</v>
      </c>
      <c r="AF187">
        <v>10</v>
      </c>
      <c r="AG187" t="s">
        <v>171</v>
      </c>
      <c r="AH187">
        <v>1</v>
      </c>
      <c r="AI187">
        <v>46225</v>
      </c>
      <c r="AJ187" t="s">
        <v>150</v>
      </c>
    </row>
    <row r="188" spans="1:36" x14ac:dyDescent="0.25">
      <c r="A188" s="1">
        <v>46226</v>
      </c>
      <c r="B188" t="s">
        <v>151</v>
      </c>
      <c r="C188" t="s">
        <v>11</v>
      </c>
      <c r="D188">
        <v>0</v>
      </c>
      <c r="E188">
        <v>0</v>
      </c>
      <c r="F188">
        <v>0</v>
      </c>
      <c r="G188">
        <v>0</v>
      </c>
      <c r="K188">
        <v>0</v>
      </c>
      <c r="L188">
        <v>0</v>
      </c>
      <c r="M188">
        <v>0</v>
      </c>
      <c r="N188">
        <v>0</v>
      </c>
      <c r="O188">
        <v>0</v>
      </c>
      <c r="P188">
        <v>0</v>
      </c>
      <c r="Q188">
        <v>0</v>
      </c>
      <c r="R188">
        <v>0</v>
      </c>
      <c r="S188">
        <v>0</v>
      </c>
      <c r="T188">
        <v>0</v>
      </c>
      <c r="U188">
        <v>1</v>
      </c>
      <c r="V188">
        <v>0</v>
      </c>
      <c r="W188">
        <v>0</v>
      </c>
      <c r="X188">
        <v>0</v>
      </c>
      <c r="Y188">
        <v>0</v>
      </c>
      <c r="Z188">
        <v>0</v>
      </c>
      <c r="AA188">
        <v>0</v>
      </c>
      <c r="AB188">
        <v>0</v>
      </c>
      <c r="AD188">
        <v>0</v>
      </c>
      <c r="AE188" t="s">
        <v>161</v>
      </c>
      <c r="AF188">
        <v>10</v>
      </c>
      <c r="AG188" t="s">
        <v>175</v>
      </c>
      <c r="AI188">
        <v>46226</v>
      </c>
      <c r="AJ188" t="s">
        <v>150</v>
      </c>
    </row>
    <row r="189" spans="1:36" x14ac:dyDescent="0.25">
      <c r="A189" s="1">
        <v>46226</v>
      </c>
      <c r="B189" t="s">
        <v>151</v>
      </c>
      <c r="C189" t="s">
        <v>12</v>
      </c>
      <c r="D189">
        <v>3.1774912809962856</v>
      </c>
      <c r="E189">
        <v>0</v>
      </c>
      <c r="F189">
        <v>0</v>
      </c>
      <c r="G189">
        <v>4.6332179930795849</v>
      </c>
      <c r="H189">
        <v>0</v>
      </c>
      <c r="I189">
        <v>0</v>
      </c>
      <c r="J189">
        <v>1.4581371224492752</v>
      </c>
      <c r="K189">
        <v>0.45813712244927518</v>
      </c>
      <c r="L189">
        <v>0</v>
      </c>
      <c r="M189">
        <v>0</v>
      </c>
      <c r="N189">
        <v>0</v>
      </c>
      <c r="O189">
        <v>0</v>
      </c>
      <c r="P189">
        <v>0</v>
      </c>
      <c r="Q189">
        <v>0</v>
      </c>
      <c r="R189">
        <v>0</v>
      </c>
      <c r="S189">
        <v>0</v>
      </c>
      <c r="T189">
        <v>0</v>
      </c>
      <c r="U189">
        <v>0</v>
      </c>
      <c r="V189">
        <v>0</v>
      </c>
      <c r="W189">
        <v>0</v>
      </c>
      <c r="X189">
        <v>0</v>
      </c>
      <c r="Y189">
        <v>0</v>
      </c>
      <c r="Z189">
        <v>0</v>
      </c>
      <c r="AA189">
        <v>0</v>
      </c>
      <c r="AB189">
        <v>0</v>
      </c>
      <c r="AC189">
        <v>1</v>
      </c>
      <c r="AD189">
        <v>0</v>
      </c>
      <c r="AE189" t="s">
        <v>161</v>
      </c>
      <c r="AF189">
        <v>10</v>
      </c>
      <c r="AG189" t="s">
        <v>173</v>
      </c>
      <c r="AI189">
        <v>46226</v>
      </c>
      <c r="AJ189" t="s">
        <v>150</v>
      </c>
    </row>
    <row r="190" spans="1:36" x14ac:dyDescent="0.25">
      <c r="A190" s="1">
        <v>46226</v>
      </c>
      <c r="B190" t="s">
        <v>151</v>
      </c>
      <c r="C190" t="s">
        <v>10</v>
      </c>
      <c r="D190">
        <v>3.6011567851291222</v>
      </c>
      <c r="E190">
        <v>0.95</v>
      </c>
      <c r="F190">
        <v>0.95</v>
      </c>
      <c r="G190">
        <v>4.7022058823529411</v>
      </c>
      <c r="H190">
        <v>0.26380412092108813</v>
      </c>
      <c r="I190">
        <v>0.26380412092108813</v>
      </c>
      <c r="J190">
        <v>1.305748725456934</v>
      </c>
      <c r="K190">
        <v>0.30574872545693399</v>
      </c>
      <c r="L190">
        <v>0</v>
      </c>
      <c r="M190">
        <v>0</v>
      </c>
      <c r="N190">
        <v>0</v>
      </c>
      <c r="O190">
        <v>0</v>
      </c>
      <c r="P190">
        <v>0</v>
      </c>
      <c r="Q190">
        <v>0</v>
      </c>
      <c r="R190">
        <v>0</v>
      </c>
      <c r="S190">
        <v>0</v>
      </c>
      <c r="T190">
        <v>0.73619587907891182</v>
      </c>
      <c r="U190">
        <v>0</v>
      </c>
      <c r="V190">
        <v>0</v>
      </c>
      <c r="W190">
        <v>0</v>
      </c>
      <c r="X190">
        <v>0</v>
      </c>
      <c r="Y190">
        <v>0.26380412092108813</v>
      </c>
      <c r="Z190">
        <v>0</v>
      </c>
      <c r="AA190">
        <v>0</v>
      </c>
      <c r="AB190">
        <v>0</v>
      </c>
      <c r="AC190">
        <v>0</v>
      </c>
      <c r="AD190">
        <v>0</v>
      </c>
      <c r="AE190" t="s">
        <v>161</v>
      </c>
      <c r="AF190">
        <v>10</v>
      </c>
      <c r="AG190" t="s">
        <v>174</v>
      </c>
      <c r="AI190">
        <v>46226</v>
      </c>
      <c r="AJ190" t="s">
        <v>150</v>
      </c>
    </row>
    <row r="191" spans="1:36" x14ac:dyDescent="0.25">
      <c r="A191" s="1">
        <v>46226</v>
      </c>
      <c r="B191" t="s">
        <v>151</v>
      </c>
      <c r="C191" t="s">
        <v>11</v>
      </c>
      <c r="D191">
        <v>0</v>
      </c>
      <c r="E191">
        <v>0</v>
      </c>
      <c r="F191">
        <v>0</v>
      </c>
      <c r="G191">
        <v>0</v>
      </c>
      <c r="K191">
        <v>0</v>
      </c>
      <c r="L191">
        <v>0</v>
      </c>
      <c r="M191">
        <v>0</v>
      </c>
      <c r="N191">
        <v>0</v>
      </c>
      <c r="O191">
        <v>0</v>
      </c>
      <c r="P191">
        <v>0</v>
      </c>
      <c r="Q191">
        <v>0</v>
      </c>
      <c r="R191">
        <v>0</v>
      </c>
      <c r="S191">
        <v>0</v>
      </c>
      <c r="T191">
        <v>0</v>
      </c>
      <c r="U191">
        <v>1</v>
      </c>
      <c r="V191">
        <v>0</v>
      </c>
      <c r="W191">
        <v>0</v>
      </c>
      <c r="X191">
        <v>0</v>
      </c>
      <c r="Y191">
        <v>0</v>
      </c>
      <c r="Z191">
        <v>0</v>
      </c>
      <c r="AA191">
        <v>0</v>
      </c>
      <c r="AB191">
        <v>0</v>
      </c>
      <c r="AD191">
        <v>0</v>
      </c>
      <c r="AE191" t="s">
        <v>166</v>
      </c>
      <c r="AF191">
        <v>10</v>
      </c>
      <c r="AG191" t="s">
        <v>175</v>
      </c>
      <c r="AH191">
        <v>1</v>
      </c>
      <c r="AI191">
        <v>46226</v>
      </c>
      <c r="AJ191" t="s">
        <v>150</v>
      </c>
    </row>
    <row r="192" spans="1:36" x14ac:dyDescent="0.25">
      <c r="A192" s="1">
        <v>46226</v>
      </c>
      <c r="B192" t="s">
        <v>151</v>
      </c>
      <c r="C192" t="s">
        <v>12</v>
      </c>
      <c r="D192">
        <v>3.1779578349000133</v>
      </c>
      <c r="E192">
        <v>2.8499999999999996</v>
      </c>
      <c r="F192">
        <v>2.8499999999999996</v>
      </c>
      <c r="G192">
        <v>4.6332179930795849</v>
      </c>
      <c r="H192">
        <v>0.89680233283827315</v>
      </c>
      <c r="I192">
        <v>0.89680233283827315</v>
      </c>
      <c r="J192">
        <v>1.4579230542954507</v>
      </c>
      <c r="K192">
        <v>0.45792305429545066</v>
      </c>
      <c r="L192">
        <v>0</v>
      </c>
      <c r="M192">
        <v>0</v>
      </c>
      <c r="N192">
        <v>0</v>
      </c>
      <c r="O192">
        <v>0</v>
      </c>
      <c r="P192">
        <v>0</v>
      </c>
      <c r="Q192">
        <v>0</v>
      </c>
      <c r="R192">
        <v>0</v>
      </c>
      <c r="S192">
        <v>0</v>
      </c>
      <c r="T192">
        <v>0.10319766716172685</v>
      </c>
      <c r="U192">
        <v>0</v>
      </c>
      <c r="V192">
        <v>0</v>
      </c>
      <c r="W192">
        <v>0</v>
      </c>
      <c r="X192">
        <v>0</v>
      </c>
      <c r="Y192">
        <v>0.89680233283827315</v>
      </c>
      <c r="Z192">
        <v>0</v>
      </c>
      <c r="AA192">
        <v>0</v>
      </c>
      <c r="AB192">
        <v>0</v>
      </c>
      <c r="AC192">
        <v>0</v>
      </c>
      <c r="AD192">
        <v>0</v>
      </c>
      <c r="AE192" t="s">
        <v>166</v>
      </c>
      <c r="AF192">
        <v>10</v>
      </c>
      <c r="AG192" t="s">
        <v>173</v>
      </c>
      <c r="AH192">
        <v>1</v>
      </c>
      <c r="AI192">
        <v>46226</v>
      </c>
      <c r="AJ192" t="s">
        <v>150</v>
      </c>
    </row>
    <row r="193" spans="1:36" x14ac:dyDescent="0.25">
      <c r="A193" s="1">
        <v>46226</v>
      </c>
      <c r="B193" t="s">
        <v>151</v>
      </c>
      <c r="C193" t="s">
        <v>10</v>
      </c>
      <c r="D193">
        <v>3.5876164620550925</v>
      </c>
      <c r="E193">
        <v>3.8</v>
      </c>
      <c r="F193">
        <v>3.8</v>
      </c>
      <c r="G193">
        <v>4.7022058823529411</v>
      </c>
      <c r="H193">
        <v>1.0591990643903022</v>
      </c>
      <c r="I193">
        <v>1.0591990643903022</v>
      </c>
      <c r="J193">
        <v>1.310676860831266</v>
      </c>
      <c r="K193">
        <v>0.2514777964409638</v>
      </c>
      <c r="L193">
        <v>0</v>
      </c>
      <c r="M193">
        <v>0</v>
      </c>
      <c r="N193">
        <v>0</v>
      </c>
      <c r="O193">
        <v>0</v>
      </c>
      <c r="P193">
        <v>0.1908009356096978</v>
      </c>
      <c r="Q193">
        <v>5.9199064390302203E-2</v>
      </c>
      <c r="R193">
        <v>0</v>
      </c>
      <c r="S193">
        <v>0</v>
      </c>
      <c r="T193">
        <v>0</v>
      </c>
      <c r="U193">
        <v>0</v>
      </c>
      <c r="V193">
        <v>0</v>
      </c>
      <c r="W193">
        <v>0</v>
      </c>
      <c r="X193">
        <v>0</v>
      </c>
      <c r="Y193">
        <v>0</v>
      </c>
      <c r="Z193">
        <v>0</v>
      </c>
      <c r="AA193">
        <v>0</v>
      </c>
      <c r="AB193">
        <v>0</v>
      </c>
      <c r="AC193">
        <v>0</v>
      </c>
      <c r="AD193">
        <v>1</v>
      </c>
      <c r="AE193" t="s">
        <v>166</v>
      </c>
      <c r="AF193">
        <v>10</v>
      </c>
      <c r="AG193" t="s">
        <v>174</v>
      </c>
      <c r="AH193">
        <v>1</v>
      </c>
      <c r="AI193">
        <v>46226</v>
      </c>
      <c r="AJ193" t="s">
        <v>150</v>
      </c>
    </row>
    <row r="194" spans="1:36" x14ac:dyDescent="0.25">
      <c r="A194" s="1">
        <v>46227</v>
      </c>
      <c r="B194" t="s">
        <v>151</v>
      </c>
      <c r="C194" t="s">
        <v>10</v>
      </c>
      <c r="D194">
        <v>3.6011567851291222</v>
      </c>
      <c r="E194">
        <v>0.95</v>
      </c>
      <c r="F194">
        <v>0.95</v>
      </c>
      <c r="G194">
        <v>4.702205882352942</v>
      </c>
      <c r="H194">
        <v>0.26380412092108813</v>
      </c>
      <c r="I194">
        <v>0.26380412092108813</v>
      </c>
      <c r="J194">
        <v>1.3057487254569342</v>
      </c>
      <c r="K194">
        <v>0.30574872545693421</v>
      </c>
      <c r="L194">
        <v>0</v>
      </c>
      <c r="M194">
        <v>0</v>
      </c>
      <c r="N194">
        <v>0</v>
      </c>
      <c r="O194">
        <v>0</v>
      </c>
      <c r="P194">
        <v>0</v>
      </c>
      <c r="Q194">
        <v>0</v>
      </c>
      <c r="R194">
        <v>0</v>
      </c>
      <c r="S194">
        <v>0</v>
      </c>
      <c r="T194">
        <v>0.73619587907891182</v>
      </c>
      <c r="U194">
        <v>0</v>
      </c>
      <c r="V194">
        <v>0</v>
      </c>
      <c r="W194">
        <v>0</v>
      </c>
      <c r="X194">
        <v>0</v>
      </c>
      <c r="Y194">
        <v>0.26380412092108813</v>
      </c>
      <c r="Z194">
        <v>0</v>
      </c>
      <c r="AA194">
        <v>0</v>
      </c>
      <c r="AB194">
        <v>0</v>
      </c>
      <c r="AC194">
        <v>0</v>
      </c>
      <c r="AD194">
        <v>0</v>
      </c>
      <c r="AE194" t="s">
        <v>161</v>
      </c>
      <c r="AF194">
        <v>10</v>
      </c>
      <c r="AG194" t="s">
        <v>176</v>
      </c>
      <c r="AI194">
        <v>46227</v>
      </c>
      <c r="AJ194" t="s">
        <v>150</v>
      </c>
    </row>
    <row r="195" spans="1:36" x14ac:dyDescent="0.25">
      <c r="A195" s="1">
        <v>46227</v>
      </c>
      <c r="B195" t="s">
        <v>151</v>
      </c>
      <c r="C195" t="s">
        <v>11</v>
      </c>
      <c r="D195">
        <v>0</v>
      </c>
      <c r="E195">
        <v>0</v>
      </c>
      <c r="F195">
        <v>0</v>
      </c>
      <c r="G195">
        <v>0</v>
      </c>
      <c r="K195">
        <v>0</v>
      </c>
      <c r="L195">
        <v>0</v>
      </c>
      <c r="M195">
        <v>0</v>
      </c>
      <c r="N195">
        <v>0</v>
      </c>
      <c r="O195">
        <v>0</v>
      </c>
      <c r="P195">
        <v>0</v>
      </c>
      <c r="Q195">
        <v>0</v>
      </c>
      <c r="R195">
        <v>0</v>
      </c>
      <c r="S195">
        <v>0</v>
      </c>
      <c r="T195">
        <v>0</v>
      </c>
      <c r="U195">
        <v>1</v>
      </c>
      <c r="V195">
        <v>0</v>
      </c>
      <c r="W195">
        <v>0</v>
      </c>
      <c r="X195">
        <v>0</v>
      </c>
      <c r="Y195">
        <v>0</v>
      </c>
      <c r="Z195">
        <v>0</v>
      </c>
      <c r="AA195">
        <v>0</v>
      </c>
      <c r="AB195">
        <v>0</v>
      </c>
      <c r="AD195">
        <v>0</v>
      </c>
      <c r="AE195" t="s">
        <v>161</v>
      </c>
      <c r="AF195">
        <v>10</v>
      </c>
      <c r="AG195" t="s">
        <v>177</v>
      </c>
      <c r="AI195">
        <v>46227</v>
      </c>
      <c r="AJ195" t="s">
        <v>150</v>
      </c>
    </row>
    <row r="196" spans="1:36" x14ac:dyDescent="0.25">
      <c r="A196" s="1">
        <v>46227</v>
      </c>
      <c r="B196" t="s">
        <v>151</v>
      </c>
      <c r="C196" t="s">
        <v>12</v>
      </c>
      <c r="D196">
        <v>3.1774912809962848</v>
      </c>
      <c r="E196">
        <v>0</v>
      </c>
      <c r="F196">
        <v>0</v>
      </c>
      <c r="G196">
        <v>2.8685121107266438</v>
      </c>
      <c r="H196">
        <v>0</v>
      </c>
      <c r="I196">
        <v>0</v>
      </c>
      <c r="J196">
        <v>0.9027600257733005</v>
      </c>
      <c r="K196">
        <v>0</v>
      </c>
      <c r="L196">
        <v>0</v>
      </c>
      <c r="M196">
        <v>0</v>
      </c>
      <c r="N196">
        <v>0</v>
      </c>
      <c r="O196">
        <v>0</v>
      </c>
      <c r="P196">
        <v>0</v>
      </c>
      <c r="Q196">
        <v>0</v>
      </c>
      <c r="R196">
        <v>0</v>
      </c>
      <c r="S196">
        <v>0</v>
      </c>
      <c r="T196">
        <v>0.9027600257733005</v>
      </c>
      <c r="U196">
        <v>9.7239974226699499E-2</v>
      </c>
      <c r="V196">
        <v>0</v>
      </c>
      <c r="W196">
        <v>0</v>
      </c>
      <c r="X196">
        <v>0</v>
      </c>
      <c r="Y196">
        <v>0</v>
      </c>
      <c r="Z196">
        <v>0</v>
      </c>
      <c r="AA196">
        <v>0</v>
      </c>
      <c r="AB196">
        <v>0</v>
      </c>
      <c r="AC196">
        <v>0</v>
      </c>
      <c r="AD196">
        <v>0</v>
      </c>
      <c r="AE196" t="s">
        <v>161</v>
      </c>
      <c r="AF196">
        <v>10</v>
      </c>
      <c r="AG196" t="s">
        <v>178</v>
      </c>
      <c r="AI196">
        <v>46227</v>
      </c>
      <c r="AJ196" t="s">
        <v>150</v>
      </c>
    </row>
    <row r="197" spans="1:36" x14ac:dyDescent="0.25">
      <c r="A197" s="1">
        <v>46227</v>
      </c>
      <c r="B197" t="s">
        <v>151</v>
      </c>
      <c r="C197" t="s">
        <v>10</v>
      </c>
      <c r="D197">
        <v>3.5876164620550925</v>
      </c>
      <c r="E197">
        <v>3.8</v>
      </c>
      <c r="F197">
        <v>3.8</v>
      </c>
      <c r="G197">
        <v>4.702205882352942</v>
      </c>
      <c r="H197">
        <v>1.0591990643903022</v>
      </c>
      <c r="I197">
        <v>1.0591990643903022</v>
      </c>
      <c r="J197">
        <v>1.3106768608312662</v>
      </c>
      <c r="K197">
        <v>0.25147779644096402</v>
      </c>
      <c r="L197">
        <v>0</v>
      </c>
      <c r="M197">
        <v>0</v>
      </c>
      <c r="N197">
        <v>0</v>
      </c>
      <c r="O197">
        <v>0</v>
      </c>
      <c r="P197">
        <v>0.1908009356096978</v>
      </c>
      <c r="Q197">
        <v>5.9199064390302203E-2</v>
      </c>
      <c r="R197">
        <v>0</v>
      </c>
      <c r="S197">
        <v>0</v>
      </c>
      <c r="T197">
        <v>0</v>
      </c>
      <c r="U197">
        <v>0</v>
      </c>
      <c r="V197">
        <v>0</v>
      </c>
      <c r="W197">
        <v>0</v>
      </c>
      <c r="X197">
        <v>0</v>
      </c>
      <c r="Y197">
        <v>0</v>
      </c>
      <c r="Z197">
        <v>0</v>
      </c>
      <c r="AA197">
        <v>0</v>
      </c>
      <c r="AB197">
        <v>0</v>
      </c>
      <c r="AC197">
        <v>0</v>
      </c>
      <c r="AD197">
        <v>1</v>
      </c>
      <c r="AE197" t="s">
        <v>166</v>
      </c>
      <c r="AF197">
        <v>10</v>
      </c>
      <c r="AG197" t="s">
        <v>176</v>
      </c>
      <c r="AH197">
        <v>1</v>
      </c>
      <c r="AI197">
        <v>46227</v>
      </c>
      <c r="AJ197" t="s">
        <v>150</v>
      </c>
    </row>
    <row r="198" spans="1:36" x14ac:dyDescent="0.25">
      <c r="A198" s="1">
        <v>46227</v>
      </c>
      <c r="B198" t="s">
        <v>151</v>
      </c>
      <c r="C198" t="s">
        <v>11</v>
      </c>
      <c r="D198">
        <v>0</v>
      </c>
      <c r="E198">
        <v>0</v>
      </c>
      <c r="F198">
        <v>0</v>
      </c>
      <c r="G198">
        <v>0</v>
      </c>
      <c r="K198">
        <v>0</v>
      </c>
      <c r="L198">
        <v>0</v>
      </c>
      <c r="M198">
        <v>0</v>
      </c>
      <c r="N198">
        <v>0</v>
      </c>
      <c r="O198">
        <v>0</v>
      </c>
      <c r="P198">
        <v>0</v>
      </c>
      <c r="Q198">
        <v>0</v>
      </c>
      <c r="R198">
        <v>0</v>
      </c>
      <c r="S198">
        <v>0</v>
      </c>
      <c r="T198">
        <v>0</v>
      </c>
      <c r="U198">
        <v>1</v>
      </c>
      <c r="V198">
        <v>0</v>
      </c>
      <c r="W198">
        <v>0</v>
      </c>
      <c r="X198">
        <v>0</v>
      </c>
      <c r="Y198">
        <v>0</v>
      </c>
      <c r="Z198">
        <v>0</v>
      </c>
      <c r="AA198">
        <v>0</v>
      </c>
      <c r="AB198">
        <v>0</v>
      </c>
      <c r="AD198">
        <v>0</v>
      </c>
      <c r="AE198" t="s">
        <v>166</v>
      </c>
      <c r="AF198">
        <v>10</v>
      </c>
      <c r="AG198" t="s">
        <v>177</v>
      </c>
      <c r="AH198">
        <v>1</v>
      </c>
      <c r="AI198">
        <v>46227</v>
      </c>
      <c r="AJ198" t="s">
        <v>150</v>
      </c>
    </row>
    <row r="199" spans="1:36" x14ac:dyDescent="0.25">
      <c r="A199" s="1">
        <v>46227</v>
      </c>
      <c r="B199" t="s">
        <v>151</v>
      </c>
      <c r="C199" t="s">
        <v>12</v>
      </c>
      <c r="D199">
        <v>3.1779578349000128</v>
      </c>
      <c r="E199">
        <v>2.8499999999999996</v>
      </c>
      <c r="F199">
        <v>2.8499999999999996</v>
      </c>
      <c r="G199">
        <v>2.8685121107266438</v>
      </c>
      <c r="H199">
        <v>0.89680233283827326</v>
      </c>
      <c r="I199">
        <v>0.89680233283827326</v>
      </c>
      <c r="J199">
        <v>0.90262749216648908</v>
      </c>
      <c r="K199">
        <v>0</v>
      </c>
      <c r="L199">
        <v>0</v>
      </c>
      <c r="M199">
        <v>0</v>
      </c>
      <c r="N199">
        <v>0</v>
      </c>
      <c r="O199">
        <v>0</v>
      </c>
      <c r="P199">
        <v>0</v>
      </c>
      <c r="Q199">
        <v>0</v>
      </c>
      <c r="R199">
        <v>0</v>
      </c>
      <c r="S199">
        <v>0</v>
      </c>
      <c r="T199">
        <v>5.8251593282158121E-3</v>
      </c>
      <c r="U199">
        <v>9.7372507833510924E-2</v>
      </c>
      <c r="V199">
        <v>0</v>
      </c>
      <c r="W199">
        <v>0</v>
      </c>
      <c r="X199">
        <v>0</v>
      </c>
      <c r="Y199">
        <v>0.89680233283827326</v>
      </c>
      <c r="Z199">
        <v>0</v>
      </c>
      <c r="AA199">
        <v>0</v>
      </c>
      <c r="AB199">
        <v>0</v>
      </c>
      <c r="AC199">
        <v>0</v>
      </c>
      <c r="AD199">
        <v>0</v>
      </c>
      <c r="AE199" t="s">
        <v>166</v>
      </c>
      <c r="AF199">
        <v>10</v>
      </c>
      <c r="AG199" t="s">
        <v>178</v>
      </c>
      <c r="AH199">
        <v>1</v>
      </c>
      <c r="AI199">
        <v>46227</v>
      </c>
      <c r="AJ199" t="s">
        <v>150</v>
      </c>
    </row>
    <row r="200" spans="1:36" x14ac:dyDescent="0.25">
      <c r="A200" s="1">
        <v>46228</v>
      </c>
      <c r="B200" t="s">
        <v>151</v>
      </c>
      <c r="C200" t="s">
        <v>12</v>
      </c>
      <c r="D200">
        <v>3.1774912809962856</v>
      </c>
      <c r="E200">
        <v>0</v>
      </c>
      <c r="F200">
        <v>0</v>
      </c>
      <c r="G200">
        <v>4.5813148788927336</v>
      </c>
      <c r="H200">
        <v>0</v>
      </c>
      <c r="I200">
        <v>0</v>
      </c>
      <c r="J200">
        <v>1.4418025019588052</v>
      </c>
      <c r="K200">
        <v>0.44180250195880522</v>
      </c>
      <c r="L200">
        <v>0</v>
      </c>
      <c r="M200">
        <v>0</v>
      </c>
      <c r="N200">
        <v>0</v>
      </c>
      <c r="O200">
        <v>0</v>
      </c>
      <c r="P200">
        <v>0</v>
      </c>
      <c r="Q200">
        <v>0</v>
      </c>
      <c r="R200">
        <v>0</v>
      </c>
      <c r="S200">
        <v>0</v>
      </c>
      <c r="T200">
        <v>0</v>
      </c>
      <c r="U200">
        <v>0</v>
      </c>
      <c r="V200">
        <v>0</v>
      </c>
      <c r="W200">
        <v>0</v>
      </c>
      <c r="X200">
        <v>0</v>
      </c>
      <c r="Y200">
        <v>0</v>
      </c>
      <c r="Z200">
        <v>0</v>
      </c>
      <c r="AA200">
        <v>0</v>
      </c>
      <c r="AB200">
        <v>0</v>
      </c>
      <c r="AC200">
        <v>1</v>
      </c>
      <c r="AD200">
        <v>0</v>
      </c>
      <c r="AE200" t="s">
        <v>161</v>
      </c>
      <c r="AF200">
        <v>10</v>
      </c>
      <c r="AG200" t="s">
        <v>181</v>
      </c>
      <c r="AI200">
        <v>46228</v>
      </c>
      <c r="AJ200" t="s">
        <v>150</v>
      </c>
    </row>
    <row r="201" spans="1:36" x14ac:dyDescent="0.25">
      <c r="A201" s="1">
        <v>46228</v>
      </c>
      <c r="B201" t="s">
        <v>151</v>
      </c>
      <c r="C201" t="s">
        <v>10</v>
      </c>
      <c r="D201">
        <v>3.6011567851291222</v>
      </c>
      <c r="E201">
        <v>0</v>
      </c>
      <c r="F201">
        <v>0</v>
      </c>
      <c r="G201">
        <v>3.8198529411764697</v>
      </c>
      <c r="H201">
        <v>0</v>
      </c>
      <c r="I201">
        <v>0</v>
      </c>
      <c r="J201">
        <v>1.0607294180998859</v>
      </c>
      <c r="K201">
        <v>6.0729418099885857E-2</v>
      </c>
      <c r="L201">
        <v>0</v>
      </c>
      <c r="M201">
        <v>0</v>
      </c>
      <c r="N201">
        <v>0</v>
      </c>
      <c r="O201">
        <v>0</v>
      </c>
      <c r="P201">
        <v>0</v>
      </c>
      <c r="Q201">
        <v>0</v>
      </c>
      <c r="R201">
        <v>0</v>
      </c>
      <c r="S201">
        <v>0</v>
      </c>
      <c r="T201">
        <v>0</v>
      </c>
      <c r="U201">
        <v>0</v>
      </c>
      <c r="V201">
        <v>0</v>
      </c>
      <c r="W201">
        <v>0</v>
      </c>
      <c r="X201">
        <v>0</v>
      </c>
      <c r="Y201">
        <v>0</v>
      </c>
      <c r="Z201">
        <v>0</v>
      </c>
      <c r="AA201">
        <v>0</v>
      </c>
      <c r="AB201">
        <v>0</v>
      </c>
      <c r="AC201">
        <v>1</v>
      </c>
      <c r="AD201">
        <v>0</v>
      </c>
      <c r="AE201" t="s">
        <v>161</v>
      </c>
      <c r="AF201">
        <v>10</v>
      </c>
      <c r="AG201" t="s">
        <v>179</v>
      </c>
      <c r="AI201">
        <v>46228</v>
      </c>
      <c r="AJ201" t="s">
        <v>150</v>
      </c>
    </row>
    <row r="202" spans="1:36" x14ac:dyDescent="0.25">
      <c r="A202" s="1">
        <v>46228</v>
      </c>
      <c r="B202" t="s">
        <v>151</v>
      </c>
      <c r="C202" t="s">
        <v>11</v>
      </c>
      <c r="D202">
        <v>0</v>
      </c>
      <c r="E202">
        <v>0</v>
      </c>
      <c r="F202">
        <v>0</v>
      </c>
      <c r="G202">
        <v>0</v>
      </c>
      <c r="K202">
        <v>0</v>
      </c>
      <c r="L202">
        <v>0</v>
      </c>
      <c r="M202">
        <v>0</v>
      </c>
      <c r="N202">
        <v>0</v>
      </c>
      <c r="O202">
        <v>0</v>
      </c>
      <c r="P202">
        <v>0</v>
      </c>
      <c r="Q202">
        <v>0</v>
      </c>
      <c r="R202">
        <v>0</v>
      </c>
      <c r="S202">
        <v>0</v>
      </c>
      <c r="T202">
        <v>0</v>
      </c>
      <c r="U202">
        <v>1</v>
      </c>
      <c r="V202">
        <v>0</v>
      </c>
      <c r="W202">
        <v>0</v>
      </c>
      <c r="X202">
        <v>0</v>
      </c>
      <c r="Y202">
        <v>0</v>
      </c>
      <c r="Z202">
        <v>0</v>
      </c>
      <c r="AA202">
        <v>0</v>
      </c>
      <c r="AB202">
        <v>0</v>
      </c>
      <c r="AD202">
        <v>0</v>
      </c>
      <c r="AE202" t="s">
        <v>161</v>
      </c>
      <c r="AF202">
        <v>10</v>
      </c>
      <c r="AG202" t="s">
        <v>180</v>
      </c>
      <c r="AI202">
        <v>46228</v>
      </c>
      <c r="AJ202" t="s">
        <v>150</v>
      </c>
    </row>
    <row r="203" spans="1:36" x14ac:dyDescent="0.25">
      <c r="A203" s="1">
        <v>46228</v>
      </c>
      <c r="B203" t="s">
        <v>151</v>
      </c>
      <c r="C203" t="s">
        <v>12</v>
      </c>
      <c r="D203">
        <v>3.1779578349000133</v>
      </c>
      <c r="E203">
        <v>2.8499999999999996</v>
      </c>
      <c r="F203">
        <v>2.8499999999999996</v>
      </c>
      <c r="G203">
        <v>4.5813148788927336</v>
      </c>
      <c r="H203">
        <v>0.89680233283827315</v>
      </c>
      <c r="I203">
        <v>0.89680233283827315</v>
      </c>
      <c r="J203">
        <v>1.4415908318798929</v>
      </c>
      <c r="K203">
        <v>0.4415908318798929</v>
      </c>
      <c r="L203">
        <v>0</v>
      </c>
      <c r="M203">
        <v>0</v>
      </c>
      <c r="N203">
        <v>0</v>
      </c>
      <c r="O203">
        <v>0</v>
      </c>
      <c r="P203">
        <v>0</v>
      </c>
      <c r="Q203">
        <v>0</v>
      </c>
      <c r="R203">
        <v>0</v>
      </c>
      <c r="S203">
        <v>0</v>
      </c>
      <c r="T203">
        <v>0.10319766716172685</v>
      </c>
      <c r="U203">
        <v>0</v>
      </c>
      <c r="V203">
        <v>0</v>
      </c>
      <c r="W203">
        <v>0</v>
      </c>
      <c r="X203">
        <v>0</v>
      </c>
      <c r="Y203">
        <v>0.89680233283827315</v>
      </c>
      <c r="Z203">
        <v>0</v>
      </c>
      <c r="AA203">
        <v>0</v>
      </c>
      <c r="AB203">
        <v>0</v>
      </c>
      <c r="AC203">
        <v>0</v>
      </c>
      <c r="AD203">
        <v>0</v>
      </c>
      <c r="AE203" t="s">
        <v>166</v>
      </c>
      <c r="AF203">
        <v>10</v>
      </c>
      <c r="AG203" t="s">
        <v>181</v>
      </c>
      <c r="AH203">
        <v>1</v>
      </c>
      <c r="AI203">
        <v>46228</v>
      </c>
      <c r="AJ203" t="s">
        <v>150</v>
      </c>
    </row>
    <row r="204" spans="1:36" x14ac:dyDescent="0.25">
      <c r="A204" s="1">
        <v>46228</v>
      </c>
      <c r="B204" t="s">
        <v>151</v>
      </c>
      <c r="C204" t="s">
        <v>10</v>
      </c>
      <c r="D204">
        <v>3.587616462055093</v>
      </c>
      <c r="E204">
        <v>4.75</v>
      </c>
      <c r="F204">
        <v>4.75</v>
      </c>
      <c r="G204">
        <v>3.8198529411764697</v>
      </c>
      <c r="H204">
        <v>1.3239988304878776</v>
      </c>
      <c r="I204">
        <v>1.3239988304878776</v>
      </c>
      <c r="J204">
        <v>1.0647328056322789</v>
      </c>
      <c r="K204">
        <v>0</v>
      </c>
      <c r="L204">
        <v>0</v>
      </c>
      <c r="M204">
        <v>7.3998830487877587E-2</v>
      </c>
      <c r="N204">
        <v>0</v>
      </c>
      <c r="O204">
        <v>0</v>
      </c>
      <c r="P204">
        <v>0</v>
      </c>
      <c r="Q204">
        <v>6.47328056322789E-2</v>
      </c>
      <c r="R204">
        <v>0</v>
      </c>
      <c r="S204">
        <v>0.1852671943677211</v>
      </c>
      <c r="T204">
        <v>0</v>
      </c>
      <c r="U204">
        <v>0</v>
      </c>
      <c r="V204">
        <v>0</v>
      </c>
      <c r="W204">
        <v>0</v>
      </c>
      <c r="X204">
        <v>0</v>
      </c>
      <c r="Y204">
        <v>1</v>
      </c>
      <c r="Z204">
        <v>0</v>
      </c>
      <c r="AA204">
        <v>0</v>
      </c>
      <c r="AB204">
        <v>0</v>
      </c>
      <c r="AC204">
        <v>0</v>
      </c>
      <c r="AD204">
        <v>0</v>
      </c>
      <c r="AE204" t="s">
        <v>166</v>
      </c>
      <c r="AF204">
        <v>10</v>
      </c>
      <c r="AG204" t="s">
        <v>179</v>
      </c>
      <c r="AH204">
        <v>1</v>
      </c>
      <c r="AI204">
        <v>46228</v>
      </c>
      <c r="AJ204" t="s">
        <v>150</v>
      </c>
    </row>
    <row r="205" spans="1:36" x14ac:dyDescent="0.25">
      <c r="A205" s="1">
        <v>46228</v>
      </c>
      <c r="B205" t="s">
        <v>151</v>
      </c>
      <c r="C205" t="s">
        <v>11</v>
      </c>
      <c r="D205">
        <v>0</v>
      </c>
      <c r="E205">
        <v>0.95</v>
      </c>
      <c r="F205">
        <v>0.95</v>
      </c>
      <c r="G205">
        <v>0</v>
      </c>
      <c r="K205">
        <v>0</v>
      </c>
      <c r="L205">
        <v>0</v>
      </c>
      <c r="M205">
        <v>0</v>
      </c>
      <c r="N205">
        <v>0</v>
      </c>
      <c r="O205">
        <v>0</v>
      </c>
      <c r="P205">
        <v>0</v>
      </c>
      <c r="Q205">
        <v>0</v>
      </c>
      <c r="R205">
        <v>0</v>
      </c>
      <c r="S205">
        <v>0</v>
      </c>
      <c r="T205">
        <v>0</v>
      </c>
      <c r="U205">
        <v>1</v>
      </c>
      <c r="V205">
        <v>0</v>
      </c>
      <c r="W205">
        <v>0</v>
      </c>
      <c r="X205">
        <v>0</v>
      </c>
      <c r="Y205">
        <v>0</v>
      </c>
      <c r="Z205">
        <v>0</v>
      </c>
      <c r="AA205">
        <v>1</v>
      </c>
      <c r="AB205">
        <v>0</v>
      </c>
      <c r="AD205">
        <v>0</v>
      </c>
      <c r="AE205" t="s">
        <v>166</v>
      </c>
      <c r="AF205">
        <v>10</v>
      </c>
      <c r="AG205" t="s">
        <v>180</v>
      </c>
      <c r="AH205">
        <v>1</v>
      </c>
      <c r="AI205">
        <v>46228</v>
      </c>
      <c r="AJ205" t="s">
        <v>150</v>
      </c>
    </row>
    <row r="206" spans="1:36" x14ac:dyDescent="0.25">
      <c r="A206" s="1">
        <v>46229</v>
      </c>
      <c r="B206" t="s">
        <v>151</v>
      </c>
      <c r="C206" t="s">
        <v>10</v>
      </c>
      <c r="D206">
        <v>3.6011567851291222</v>
      </c>
      <c r="E206">
        <v>0.95</v>
      </c>
      <c r="F206">
        <v>0.95</v>
      </c>
      <c r="G206">
        <v>4.7610294117647056</v>
      </c>
      <c r="H206">
        <v>0.26380412092108813</v>
      </c>
      <c r="I206">
        <v>0.26380412092108813</v>
      </c>
      <c r="J206">
        <v>1.3220833459474037</v>
      </c>
      <c r="K206">
        <v>0.32208334594740373</v>
      </c>
      <c r="L206">
        <v>0</v>
      </c>
      <c r="M206">
        <v>0</v>
      </c>
      <c r="N206">
        <v>0</v>
      </c>
      <c r="O206">
        <v>0</v>
      </c>
      <c r="P206">
        <v>0</v>
      </c>
      <c r="Q206">
        <v>0</v>
      </c>
      <c r="R206">
        <v>0</v>
      </c>
      <c r="S206">
        <v>0</v>
      </c>
      <c r="T206">
        <v>0.73619587907891182</v>
      </c>
      <c r="U206">
        <v>0</v>
      </c>
      <c r="V206">
        <v>0</v>
      </c>
      <c r="W206">
        <v>0</v>
      </c>
      <c r="X206">
        <v>0</v>
      </c>
      <c r="Y206">
        <v>0.26380412092108813</v>
      </c>
      <c r="Z206">
        <v>0</v>
      </c>
      <c r="AA206">
        <v>0</v>
      </c>
      <c r="AB206">
        <v>0</v>
      </c>
      <c r="AC206">
        <v>0</v>
      </c>
      <c r="AD206">
        <v>0</v>
      </c>
      <c r="AE206" t="s">
        <v>161</v>
      </c>
      <c r="AF206">
        <v>10</v>
      </c>
      <c r="AG206" t="s">
        <v>184</v>
      </c>
      <c r="AI206">
        <v>46229</v>
      </c>
      <c r="AJ206" t="s">
        <v>150</v>
      </c>
    </row>
    <row r="207" spans="1:36" x14ac:dyDescent="0.25">
      <c r="A207" s="1">
        <v>46229</v>
      </c>
      <c r="B207" t="s">
        <v>151</v>
      </c>
      <c r="C207" t="s">
        <v>11</v>
      </c>
      <c r="D207">
        <v>0</v>
      </c>
      <c r="E207">
        <v>0</v>
      </c>
      <c r="F207">
        <v>0</v>
      </c>
      <c r="G207">
        <v>0</v>
      </c>
      <c r="K207">
        <v>0</v>
      </c>
      <c r="L207">
        <v>0</v>
      </c>
      <c r="M207">
        <v>0</v>
      </c>
      <c r="N207">
        <v>0</v>
      </c>
      <c r="O207">
        <v>0</v>
      </c>
      <c r="P207">
        <v>0</v>
      </c>
      <c r="Q207">
        <v>0</v>
      </c>
      <c r="R207">
        <v>0</v>
      </c>
      <c r="S207">
        <v>0</v>
      </c>
      <c r="T207">
        <v>0</v>
      </c>
      <c r="U207">
        <v>1</v>
      </c>
      <c r="V207">
        <v>0</v>
      </c>
      <c r="W207">
        <v>0</v>
      </c>
      <c r="X207">
        <v>0</v>
      </c>
      <c r="Y207">
        <v>0</v>
      </c>
      <c r="Z207">
        <v>0</v>
      </c>
      <c r="AA207">
        <v>0</v>
      </c>
      <c r="AB207">
        <v>0</v>
      </c>
      <c r="AD207">
        <v>0</v>
      </c>
      <c r="AE207" t="s">
        <v>161</v>
      </c>
      <c r="AF207">
        <v>10</v>
      </c>
      <c r="AG207" t="s">
        <v>182</v>
      </c>
      <c r="AI207">
        <v>46229</v>
      </c>
      <c r="AJ207" t="s">
        <v>150</v>
      </c>
    </row>
    <row r="208" spans="1:36" x14ac:dyDescent="0.25">
      <c r="A208" s="1">
        <v>46229</v>
      </c>
      <c r="B208" t="s">
        <v>151</v>
      </c>
      <c r="C208" t="s">
        <v>12</v>
      </c>
      <c r="D208">
        <v>3.1774912809962848</v>
      </c>
      <c r="E208">
        <v>0</v>
      </c>
      <c r="F208">
        <v>0</v>
      </c>
      <c r="G208">
        <v>4.6366782006920406</v>
      </c>
      <c r="H208">
        <v>0</v>
      </c>
      <c r="I208">
        <v>0</v>
      </c>
      <c r="J208">
        <v>1.4592260971486399</v>
      </c>
      <c r="K208">
        <v>0.45922609714863993</v>
      </c>
      <c r="L208">
        <v>0</v>
      </c>
      <c r="M208">
        <v>0</v>
      </c>
      <c r="N208">
        <v>0</v>
      </c>
      <c r="O208">
        <v>0</v>
      </c>
      <c r="P208">
        <v>0</v>
      </c>
      <c r="Q208">
        <v>0</v>
      </c>
      <c r="R208">
        <v>0</v>
      </c>
      <c r="S208">
        <v>0</v>
      </c>
      <c r="T208">
        <v>0</v>
      </c>
      <c r="U208">
        <v>0</v>
      </c>
      <c r="V208">
        <v>0</v>
      </c>
      <c r="W208">
        <v>0</v>
      </c>
      <c r="X208">
        <v>0</v>
      </c>
      <c r="Y208">
        <v>0</v>
      </c>
      <c r="Z208">
        <v>0</v>
      </c>
      <c r="AA208">
        <v>0</v>
      </c>
      <c r="AB208">
        <v>0</v>
      </c>
      <c r="AC208">
        <v>1</v>
      </c>
      <c r="AD208">
        <v>0</v>
      </c>
      <c r="AE208" t="s">
        <v>161</v>
      </c>
      <c r="AF208">
        <v>10</v>
      </c>
      <c r="AG208" t="s">
        <v>183</v>
      </c>
      <c r="AI208">
        <v>46229</v>
      </c>
      <c r="AJ208" t="s">
        <v>150</v>
      </c>
    </row>
    <row r="209" spans="1:36" x14ac:dyDescent="0.25">
      <c r="A209" s="1">
        <v>46229</v>
      </c>
      <c r="B209" t="s">
        <v>151</v>
      </c>
      <c r="C209" t="s">
        <v>10</v>
      </c>
      <c r="D209">
        <v>3.587616462055093</v>
      </c>
      <c r="E209">
        <v>4.75</v>
      </c>
      <c r="F209">
        <v>4.75</v>
      </c>
      <c r="G209">
        <v>4.7610294117647056</v>
      </c>
      <c r="H209">
        <v>1.3239988304878776</v>
      </c>
      <c r="I209">
        <v>1.3239988304878776</v>
      </c>
      <c r="J209">
        <v>1.3270731311778647</v>
      </c>
      <c r="K209">
        <v>3.0743006899871528E-3</v>
      </c>
      <c r="L209">
        <v>0</v>
      </c>
      <c r="M209">
        <v>0</v>
      </c>
      <c r="N209">
        <v>0</v>
      </c>
      <c r="O209">
        <v>7.3998830487877587E-2</v>
      </c>
      <c r="P209">
        <v>0</v>
      </c>
      <c r="Q209">
        <v>0.25</v>
      </c>
      <c r="R209">
        <v>0</v>
      </c>
      <c r="S209">
        <v>0</v>
      </c>
      <c r="T209">
        <v>0</v>
      </c>
      <c r="U209">
        <v>0</v>
      </c>
      <c r="V209">
        <v>0</v>
      </c>
      <c r="W209">
        <v>0</v>
      </c>
      <c r="X209">
        <v>0</v>
      </c>
      <c r="Y209">
        <v>1</v>
      </c>
      <c r="Z209">
        <v>0</v>
      </c>
      <c r="AA209">
        <v>0</v>
      </c>
      <c r="AB209">
        <v>0</v>
      </c>
      <c r="AC209">
        <v>0</v>
      </c>
      <c r="AD209">
        <v>0</v>
      </c>
      <c r="AE209" t="s">
        <v>166</v>
      </c>
      <c r="AF209">
        <v>10</v>
      </c>
      <c r="AG209" t="s">
        <v>184</v>
      </c>
      <c r="AH209">
        <v>1</v>
      </c>
      <c r="AI209">
        <v>46229</v>
      </c>
      <c r="AJ209" t="s">
        <v>150</v>
      </c>
    </row>
    <row r="210" spans="1:36" x14ac:dyDescent="0.25">
      <c r="A210" s="1">
        <v>46229</v>
      </c>
      <c r="B210" t="s">
        <v>151</v>
      </c>
      <c r="C210" t="s">
        <v>11</v>
      </c>
      <c r="D210">
        <v>0</v>
      </c>
      <c r="E210">
        <v>0.95</v>
      </c>
      <c r="F210">
        <v>0.95</v>
      </c>
      <c r="G210">
        <v>0</v>
      </c>
      <c r="K210">
        <v>0</v>
      </c>
      <c r="L210">
        <v>0</v>
      </c>
      <c r="M210">
        <v>0</v>
      </c>
      <c r="N210">
        <v>0</v>
      </c>
      <c r="O210">
        <v>0</v>
      </c>
      <c r="P210">
        <v>0</v>
      </c>
      <c r="Q210">
        <v>0</v>
      </c>
      <c r="R210">
        <v>0</v>
      </c>
      <c r="S210">
        <v>0</v>
      </c>
      <c r="T210">
        <v>0</v>
      </c>
      <c r="U210">
        <v>1</v>
      </c>
      <c r="V210">
        <v>0</v>
      </c>
      <c r="W210">
        <v>0</v>
      </c>
      <c r="X210">
        <v>0</v>
      </c>
      <c r="Y210">
        <v>0</v>
      </c>
      <c r="Z210">
        <v>0</v>
      </c>
      <c r="AA210">
        <v>1</v>
      </c>
      <c r="AB210">
        <v>0</v>
      </c>
      <c r="AD210">
        <v>0</v>
      </c>
      <c r="AE210" t="s">
        <v>166</v>
      </c>
      <c r="AF210">
        <v>10</v>
      </c>
      <c r="AG210" t="s">
        <v>182</v>
      </c>
      <c r="AH210">
        <v>1</v>
      </c>
      <c r="AI210">
        <v>46229</v>
      </c>
      <c r="AJ210" t="s">
        <v>150</v>
      </c>
    </row>
    <row r="211" spans="1:36" x14ac:dyDescent="0.25">
      <c r="A211" s="1">
        <v>46229</v>
      </c>
      <c r="B211" t="s">
        <v>151</v>
      </c>
      <c r="C211" t="s">
        <v>12</v>
      </c>
      <c r="D211">
        <v>3.1779578349000128</v>
      </c>
      <c r="E211">
        <v>2.8499999999999996</v>
      </c>
      <c r="F211">
        <v>2.8499999999999996</v>
      </c>
      <c r="G211">
        <v>4.6366782006920406</v>
      </c>
      <c r="H211">
        <v>0.89680233283827326</v>
      </c>
      <c r="I211">
        <v>0.89680233283827326</v>
      </c>
      <c r="J211">
        <v>1.4590118691231544</v>
      </c>
      <c r="K211">
        <v>0.45901186912315439</v>
      </c>
      <c r="L211">
        <v>0</v>
      </c>
      <c r="M211">
        <v>0</v>
      </c>
      <c r="N211">
        <v>0</v>
      </c>
      <c r="O211">
        <v>0</v>
      </c>
      <c r="P211">
        <v>0</v>
      </c>
      <c r="Q211">
        <v>0</v>
      </c>
      <c r="R211">
        <v>0</v>
      </c>
      <c r="S211">
        <v>0</v>
      </c>
      <c r="T211">
        <v>0.10319766716172674</v>
      </c>
      <c r="U211">
        <v>0</v>
      </c>
      <c r="V211">
        <v>0</v>
      </c>
      <c r="W211">
        <v>0</v>
      </c>
      <c r="X211">
        <v>0</v>
      </c>
      <c r="Y211">
        <v>0.89680233283827326</v>
      </c>
      <c r="Z211">
        <v>0</v>
      </c>
      <c r="AA211">
        <v>0</v>
      </c>
      <c r="AB211">
        <v>0</v>
      </c>
      <c r="AC211">
        <v>0</v>
      </c>
      <c r="AD211">
        <v>0</v>
      </c>
      <c r="AE211" t="s">
        <v>166</v>
      </c>
      <c r="AF211">
        <v>10</v>
      </c>
      <c r="AG211" t="s">
        <v>183</v>
      </c>
      <c r="AH211">
        <v>1</v>
      </c>
      <c r="AI211">
        <v>46229</v>
      </c>
      <c r="AJ211" t="s">
        <v>150</v>
      </c>
    </row>
    <row r="212" spans="1:36" x14ac:dyDescent="0.25">
      <c r="A212" s="1">
        <v>46230</v>
      </c>
      <c r="B212" t="s">
        <v>151</v>
      </c>
      <c r="C212" t="s">
        <v>10</v>
      </c>
      <c r="D212">
        <v>3.6011567851291222</v>
      </c>
      <c r="E212">
        <v>0</v>
      </c>
      <c r="F212">
        <v>0</v>
      </c>
      <c r="G212">
        <v>4.7058823529411793</v>
      </c>
      <c r="H212">
        <v>0</v>
      </c>
      <c r="I212">
        <v>0</v>
      </c>
      <c r="J212">
        <v>1.3067696392375892</v>
      </c>
      <c r="K212">
        <v>0.30676963923758915</v>
      </c>
      <c r="L212">
        <v>0</v>
      </c>
      <c r="M212">
        <v>0</v>
      </c>
      <c r="N212">
        <v>0</v>
      </c>
      <c r="O212">
        <v>0</v>
      </c>
      <c r="P212">
        <v>0</v>
      </c>
      <c r="Q212">
        <v>0</v>
      </c>
      <c r="R212">
        <v>0</v>
      </c>
      <c r="S212">
        <v>0</v>
      </c>
      <c r="T212">
        <v>0</v>
      </c>
      <c r="U212">
        <v>0</v>
      </c>
      <c r="V212">
        <v>0</v>
      </c>
      <c r="W212">
        <v>0</v>
      </c>
      <c r="X212">
        <v>0</v>
      </c>
      <c r="Y212">
        <v>0</v>
      </c>
      <c r="Z212">
        <v>0</v>
      </c>
      <c r="AA212">
        <v>0</v>
      </c>
      <c r="AB212">
        <v>0</v>
      </c>
      <c r="AC212">
        <v>1</v>
      </c>
      <c r="AD212">
        <v>0</v>
      </c>
      <c r="AE212" t="s">
        <v>161</v>
      </c>
      <c r="AF212">
        <v>10</v>
      </c>
      <c r="AG212" t="s">
        <v>186</v>
      </c>
      <c r="AI212">
        <v>46230</v>
      </c>
      <c r="AJ212" t="s">
        <v>150</v>
      </c>
    </row>
    <row r="213" spans="1:36" x14ac:dyDescent="0.25">
      <c r="A213" s="1">
        <v>46230</v>
      </c>
      <c r="B213" t="s">
        <v>151</v>
      </c>
      <c r="C213" t="s">
        <v>12</v>
      </c>
      <c r="D213">
        <v>3.1774912809962848</v>
      </c>
      <c r="E213">
        <v>0</v>
      </c>
      <c r="F213">
        <v>0</v>
      </c>
      <c r="G213">
        <v>3.8062283737024223</v>
      </c>
      <c r="H213">
        <v>0</v>
      </c>
      <c r="I213">
        <v>0</v>
      </c>
      <c r="J213">
        <v>1.1978721693011225</v>
      </c>
      <c r="K213">
        <v>0.1978721693011225</v>
      </c>
      <c r="L213">
        <v>0</v>
      </c>
      <c r="M213">
        <v>0</v>
      </c>
      <c r="N213">
        <v>0</v>
      </c>
      <c r="O213">
        <v>0</v>
      </c>
      <c r="P213">
        <v>0</v>
      </c>
      <c r="Q213">
        <v>0</v>
      </c>
      <c r="R213">
        <v>0</v>
      </c>
      <c r="S213">
        <v>0</v>
      </c>
      <c r="T213">
        <v>0</v>
      </c>
      <c r="U213">
        <v>0</v>
      </c>
      <c r="V213">
        <v>0</v>
      </c>
      <c r="W213">
        <v>0</v>
      </c>
      <c r="X213">
        <v>0</v>
      </c>
      <c r="Y213">
        <v>0</v>
      </c>
      <c r="Z213">
        <v>0</v>
      </c>
      <c r="AA213">
        <v>0</v>
      </c>
      <c r="AB213">
        <v>0</v>
      </c>
      <c r="AC213">
        <v>1</v>
      </c>
      <c r="AD213">
        <v>0</v>
      </c>
      <c r="AE213" t="s">
        <v>161</v>
      </c>
      <c r="AF213">
        <v>10</v>
      </c>
      <c r="AG213" t="s">
        <v>185</v>
      </c>
      <c r="AI213">
        <v>46230</v>
      </c>
      <c r="AJ213" t="s">
        <v>150</v>
      </c>
    </row>
    <row r="214" spans="1:36" x14ac:dyDescent="0.25">
      <c r="A214" s="1">
        <v>46230</v>
      </c>
      <c r="B214" t="s">
        <v>151</v>
      </c>
      <c r="C214" t="s">
        <v>11</v>
      </c>
      <c r="D214">
        <v>0</v>
      </c>
      <c r="E214">
        <v>0</v>
      </c>
      <c r="F214">
        <v>0</v>
      </c>
      <c r="G214">
        <v>0</v>
      </c>
      <c r="K214">
        <v>0</v>
      </c>
      <c r="L214">
        <v>0</v>
      </c>
      <c r="M214">
        <v>0</v>
      </c>
      <c r="N214">
        <v>0</v>
      </c>
      <c r="O214">
        <v>0</v>
      </c>
      <c r="P214">
        <v>0</v>
      </c>
      <c r="Q214">
        <v>0</v>
      </c>
      <c r="R214">
        <v>0</v>
      </c>
      <c r="S214">
        <v>0</v>
      </c>
      <c r="T214">
        <v>0</v>
      </c>
      <c r="U214">
        <v>1</v>
      </c>
      <c r="V214">
        <v>0</v>
      </c>
      <c r="W214">
        <v>0</v>
      </c>
      <c r="X214">
        <v>0</v>
      </c>
      <c r="Y214">
        <v>0</v>
      </c>
      <c r="Z214">
        <v>0</v>
      </c>
      <c r="AA214">
        <v>0</v>
      </c>
      <c r="AB214">
        <v>0</v>
      </c>
      <c r="AD214">
        <v>0</v>
      </c>
      <c r="AE214" t="s">
        <v>161</v>
      </c>
      <c r="AF214">
        <v>10</v>
      </c>
      <c r="AG214" t="s">
        <v>187</v>
      </c>
      <c r="AI214">
        <v>46230</v>
      </c>
      <c r="AJ214" t="s">
        <v>150</v>
      </c>
    </row>
    <row r="215" spans="1:36" x14ac:dyDescent="0.25">
      <c r="A215" s="1">
        <v>46230</v>
      </c>
      <c r="B215" t="s">
        <v>151</v>
      </c>
      <c r="C215" t="s">
        <v>10</v>
      </c>
      <c r="D215">
        <v>3.5876164620550921</v>
      </c>
      <c r="E215">
        <v>4.75</v>
      </c>
      <c r="F215">
        <v>4.75</v>
      </c>
      <c r="G215">
        <v>4.7058823529411793</v>
      </c>
      <c r="H215">
        <v>1.3239988304878778</v>
      </c>
      <c r="I215">
        <v>1.3239988304878778</v>
      </c>
      <c r="J215">
        <v>1.3117016277279294</v>
      </c>
      <c r="K215">
        <v>0</v>
      </c>
      <c r="L215">
        <v>0</v>
      </c>
      <c r="M215">
        <v>1.2297202759948389E-2</v>
      </c>
      <c r="N215">
        <v>0</v>
      </c>
      <c r="O215">
        <v>6.170162772792942E-2</v>
      </c>
      <c r="P215">
        <v>0</v>
      </c>
      <c r="Q215">
        <v>0.25</v>
      </c>
      <c r="R215">
        <v>0</v>
      </c>
      <c r="S215">
        <v>0</v>
      </c>
      <c r="T215">
        <v>0</v>
      </c>
      <c r="U215">
        <v>0</v>
      </c>
      <c r="V215">
        <v>0</v>
      </c>
      <c r="W215">
        <v>0</v>
      </c>
      <c r="X215">
        <v>0</v>
      </c>
      <c r="Y215">
        <v>1</v>
      </c>
      <c r="Z215">
        <v>0</v>
      </c>
      <c r="AA215">
        <v>0</v>
      </c>
      <c r="AB215">
        <v>0</v>
      </c>
      <c r="AC215">
        <v>0</v>
      </c>
      <c r="AD215">
        <v>0</v>
      </c>
      <c r="AE215" t="s">
        <v>166</v>
      </c>
      <c r="AF215">
        <v>10</v>
      </c>
      <c r="AG215" t="s">
        <v>186</v>
      </c>
      <c r="AH215">
        <v>1</v>
      </c>
      <c r="AI215">
        <v>46230</v>
      </c>
      <c r="AJ215" t="s">
        <v>150</v>
      </c>
    </row>
    <row r="216" spans="1:36" x14ac:dyDescent="0.25">
      <c r="A216" s="1">
        <v>46230</v>
      </c>
      <c r="B216" t="s">
        <v>151</v>
      </c>
      <c r="C216" t="s">
        <v>12</v>
      </c>
      <c r="D216">
        <v>3.1779578349000128</v>
      </c>
      <c r="E216">
        <v>3.8</v>
      </c>
      <c r="F216">
        <v>3.8</v>
      </c>
      <c r="G216">
        <v>3.8062283737024223</v>
      </c>
      <c r="H216">
        <v>1.1957364437843645</v>
      </c>
      <c r="I216">
        <v>1.1957364437843645</v>
      </c>
      <c r="J216">
        <v>1.1976963104742315</v>
      </c>
      <c r="K216">
        <v>1.9598666898670292E-3</v>
      </c>
      <c r="L216">
        <v>0</v>
      </c>
      <c r="M216">
        <v>0</v>
      </c>
      <c r="N216">
        <v>0</v>
      </c>
      <c r="O216">
        <v>0</v>
      </c>
      <c r="P216">
        <v>0</v>
      </c>
      <c r="Q216">
        <v>0.1957364437843645</v>
      </c>
      <c r="R216">
        <v>0</v>
      </c>
      <c r="S216">
        <v>0</v>
      </c>
      <c r="T216">
        <v>0</v>
      </c>
      <c r="U216">
        <v>0</v>
      </c>
      <c r="V216">
        <v>0</v>
      </c>
      <c r="W216">
        <v>0</v>
      </c>
      <c r="X216">
        <v>0</v>
      </c>
      <c r="Y216">
        <v>1</v>
      </c>
      <c r="Z216">
        <v>0</v>
      </c>
      <c r="AA216">
        <v>0</v>
      </c>
      <c r="AB216">
        <v>0</v>
      </c>
      <c r="AC216">
        <v>0</v>
      </c>
      <c r="AD216">
        <v>0</v>
      </c>
      <c r="AE216" t="s">
        <v>166</v>
      </c>
      <c r="AF216">
        <v>10</v>
      </c>
      <c r="AG216" t="s">
        <v>185</v>
      </c>
      <c r="AH216">
        <v>1</v>
      </c>
      <c r="AI216">
        <v>46230</v>
      </c>
      <c r="AJ216" t="s">
        <v>150</v>
      </c>
    </row>
    <row r="217" spans="1:36" x14ac:dyDescent="0.25">
      <c r="A217" s="1">
        <v>46230</v>
      </c>
      <c r="B217" t="s">
        <v>151</v>
      </c>
      <c r="C217" t="s">
        <v>11</v>
      </c>
      <c r="D217">
        <v>0</v>
      </c>
      <c r="E217">
        <v>0</v>
      </c>
      <c r="F217">
        <v>0</v>
      </c>
      <c r="G217">
        <v>0</v>
      </c>
      <c r="K217">
        <v>0</v>
      </c>
      <c r="L217">
        <v>0</v>
      </c>
      <c r="M217">
        <v>0</v>
      </c>
      <c r="N217">
        <v>0</v>
      </c>
      <c r="O217">
        <v>0</v>
      </c>
      <c r="P217">
        <v>0</v>
      </c>
      <c r="Q217">
        <v>0</v>
      </c>
      <c r="R217">
        <v>0</v>
      </c>
      <c r="S217">
        <v>0</v>
      </c>
      <c r="T217">
        <v>0</v>
      </c>
      <c r="U217">
        <v>1</v>
      </c>
      <c r="V217">
        <v>0</v>
      </c>
      <c r="W217">
        <v>0</v>
      </c>
      <c r="X217">
        <v>0</v>
      </c>
      <c r="Y217">
        <v>0</v>
      </c>
      <c r="Z217">
        <v>0</v>
      </c>
      <c r="AA217">
        <v>0</v>
      </c>
      <c r="AB217">
        <v>0</v>
      </c>
      <c r="AD217">
        <v>0</v>
      </c>
      <c r="AE217" t="s">
        <v>166</v>
      </c>
      <c r="AF217">
        <v>10</v>
      </c>
      <c r="AG217" t="s">
        <v>187</v>
      </c>
      <c r="AH217">
        <v>1</v>
      </c>
      <c r="AI217">
        <v>46230</v>
      </c>
      <c r="AJ217" t="s">
        <v>150</v>
      </c>
    </row>
    <row r="218" spans="1:36" x14ac:dyDescent="0.25">
      <c r="A218" s="1">
        <v>46231</v>
      </c>
      <c r="B218" t="s">
        <v>151</v>
      </c>
      <c r="C218" t="s">
        <v>12</v>
      </c>
      <c r="D218">
        <v>3.1774912809962848</v>
      </c>
      <c r="E218">
        <v>0</v>
      </c>
      <c r="F218">
        <v>0</v>
      </c>
      <c r="G218">
        <v>4.6885813148788937</v>
      </c>
      <c r="H218">
        <v>0</v>
      </c>
      <c r="I218">
        <v>0</v>
      </c>
      <c r="J218">
        <v>1.4755607176391103</v>
      </c>
      <c r="K218">
        <v>0.47556071763911034</v>
      </c>
      <c r="L218">
        <v>0</v>
      </c>
      <c r="M218">
        <v>0</v>
      </c>
      <c r="N218">
        <v>0</v>
      </c>
      <c r="O218">
        <v>0</v>
      </c>
      <c r="P218">
        <v>0</v>
      </c>
      <c r="Q218">
        <v>0</v>
      </c>
      <c r="R218">
        <v>0</v>
      </c>
      <c r="S218">
        <v>0</v>
      </c>
      <c r="T218">
        <v>0</v>
      </c>
      <c r="U218">
        <v>0</v>
      </c>
      <c r="V218">
        <v>0</v>
      </c>
      <c r="W218">
        <v>0</v>
      </c>
      <c r="X218">
        <v>0</v>
      </c>
      <c r="Y218">
        <v>0</v>
      </c>
      <c r="Z218">
        <v>0</v>
      </c>
      <c r="AA218">
        <v>0</v>
      </c>
      <c r="AB218">
        <v>0</v>
      </c>
      <c r="AC218">
        <v>1</v>
      </c>
      <c r="AD218">
        <v>0</v>
      </c>
      <c r="AE218" t="s">
        <v>161</v>
      </c>
      <c r="AF218">
        <v>10</v>
      </c>
      <c r="AG218" t="s">
        <v>188</v>
      </c>
      <c r="AI218">
        <v>46231</v>
      </c>
      <c r="AJ218" t="s">
        <v>150</v>
      </c>
    </row>
    <row r="219" spans="1:36" x14ac:dyDescent="0.25">
      <c r="A219" s="1">
        <v>46231</v>
      </c>
      <c r="B219" t="s">
        <v>151</v>
      </c>
      <c r="C219" t="s">
        <v>10</v>
      </c>
      <c r="D219">
        <v>3.6011567851291222</v>
      </c>
      <c r="E219">
        <v>0</v>
      </c>
      <c r="F219">
        <v>0</v>
      </c>
      <c r="G219">
        <v>4.7058823529411749</v>
      </c>
      <c r="H219">
        <v>0</v>
      </c>
      <c r="I219">
        <v>0</v>
      </c>
      <c r="J219">
        <v>1.3067696392375878</v>
      </c>
      <c r="K219">
        <v>0.30676963923758782</v>
      </c>
      <c r="L219">
        <v>0</v>
      </c>
      <c r="M219">
        <v>0</v>
      </c>
      <c r="N219">
        <v>0</v>
      </c>
      <c r="O219">
        <v>0</v>
      </c>
      <c r="P219">
        <v>0</v>
      </c>
      <c r="Q219">
        <v>0</v>
      </c>
      <c r="R219">
        <v>0</v>
      </c>
      <c r="S219">
        <v>0</v>
      </c>
      <c r="T219">
        <v>0</v>
      </c>
      <c r="U219">
        <v>0</v>
      </c>
      <c r="V219">
        <v>0</v>
      </c>
      <c r="W219">
        <v>0</v>
      </c>
      <c r="X219">
        <v>0</v>
      </c>
      <c r="Y219">
        <v>0</v>
      </c>
      <c r="Z219">
        <v>0</v>
      </c>
      <c r="AA219">
        <v>0</v>
      </c>
      <c r="AB219">
        <v>0</v>
      </c>
      <c r="AC219">
        <v>1</v>
      </c>
      <c r="AD219">
        <v>0</v>
      </c>
      <c r="AE219" t="s">
        <v>161</v>
      </c>
      <c r="AF219">
        <v>10</v>
      </c>
      <c r="AG219" t="s">
        <v>190</v>
      </c>
      <c r="AI219">
        <v>46231</v>
      </c>
      <c r="AJ219" t="s">
        <v>150</v>
      </c>
    </row>
    <row r="220" spans="1:36" x14ac:dyDescent="0.25">
      <c r="A220" s="1">
        <v>46231</v>
      </c>
      <c r="B220" t="s">
        <v>151</v>
      </c>
      <c r="C220" t="s">
        <v>11</v>
      </c>
      <c r="D220">
        <v>0</v>
      </c>
      <c r="E220">
        <v>0</v>
      </c>
      <c r="F220">
        <v>0</v>
      </c>
      <c r="G220">
        <v>0</v>
      </c>
      <c r="K220">
        <v>0</v>
      </c>
      <c r="L220">
        <v>0</v>
      </c>
      <c r="M220">
        <v>0</v>
      </c>
      <c r="N220">
        <v>0</v>
      </c>
      <c r="O220">
        <v>0</v>
      </c>
      <c r="P220">
        <v>0</v>
      </c>
      <c r="Q220">
        <v>0</v>
      </c>
      <c r="R220">
        <v>0</v>
      </c>
      <c r="S220">
        <v>0</v>
      </c>
      <c r="T220">
        <v>0</v>
      </c>
      <c r="U220">
        <v>1</v>
      </c>
      <c r="V220">
        <v>0</v>
      </c>
      <c r="W220">
        <v>0</v>
      </c>
      <c r="X220">
        <v>0</v>
      </c>
      <c r="Y220">
        <v>0</v>
      </c>
      <c r="Z220">
        <v>0</v>
      </c>
      <c r="AA220">
        <v>0</v>
      </c>
      <c r="AB220">
        <v>0</v>
      </c>
      <c r="AD220">
        <v>0</v>
      </c>
      <c r="AE220" t="s">
        <v>161</v>
      </c>
      <c r="AF220">
        <v>10</v>
      </c>
      <c r="AG220" t="s">
        <v>189</v>
      </c>
      <c r="AI220">
        <v>46231</v>
      </c>
      <c r="AJ220" t="s">
        <v>150</v>
      </c>
    </row>
    <row r="221" spans="1:36" x14ac:dyDescent="0.25">
      <c r="A221" s="1">
        <v>46231</v>
      </c>
      <c r="B221" t="s">
        <v>151</v>
      </c>
      <c r="C221" t="s">
        <v>12</v>
      </c>
      <c r="D221">
        <v>3.1779578349000128</v>
      </c>
      <c r="E221">
        <v>2.8499999999999996</v>
      </c>
      <c r="F221">
        <v>2.8499999999999996</v>
      </c>
      <c r="G221">
        <v>4.6885813148788937</v>
      </c>
      <c r="H221">
        <v>0.89680233283827326</v>
      </c>
      <c r="I221">
        <v>0.89680233283827326</v>
      </c>
      <c r="J221">
        <v>1.4753440915387126</v>
      </c>
      <c r="K221">
        <v>0.4753440915387126</v>
      </c>
      <c r="L221">
        <v>0</v>
      </c>
      <c r="M221">
        <v>0</v>
      </c>
      <c r="N221">
        <v>0</v>
      </c>
      <c r="O221">
        <v>0</v>
      </c>
      <c r="P221">
        <v>0</v>
      </c>
      <c r="Q221">
        <v>0</v>
      </c>
      <c r="R221">
        <v>0</v>
      </c>
      <c r="S221">
        <v>0</v>
      </c>
      <c r="T221">
        <v>0.10319766716172674</v>
      </c>
      <c r="U221">
        <v>0</v>
      </c>
      <c r="V221">
        <v>0</v>
      </c>
      <c r="W221">
        <v>0</v>
      </c>
      <c r="X221">
        <v>0</v>
      </c>
      <c r="Y221">
        <v>0.89680233283827326</v>
      </c>
      <c r="Z221">
        <v>0</v>
      </c>
      <c r="AA221">
        <v>0</v>
      </c>
      <c r="AB221">
        <v>0</v>
      </c>
      <c r="AC221">
        <v>0</v>
      </c>
      <c r="AD221">
        <v>0</v>
      </c>
      <c r="AE221" t="s">
        <v>166</v>
      </c>
      <c r="AF221">
        <v>10</v>
      </c>
      <c r="AG221" t="s">
        <v>188</v>
      </c>
      <c r="AH221">
        <v>1</v>
      </c>
      <c r="AI221">
        <v>46231</v>
      </c>
      <c r="AJ221" t="s">
        <v>150</v>
      </c>
    </row>
    <row r="222" spans="1:36" x14ac:dyDescent="0.25">
      <c r="A222" s="1">
        <v>46231</v>
      </c>
      <c r="B222" t="s">
        <v>151</v>
      </c>
      <c r="C222" t="s">
        <v>10</v>
      </c>
      <c r="D222">
        <v>3.5876164620550925</v>
      </c>
      <c r="E222">
        <v>4.75</v>
      </c>
      <c r="F222">
        <v>4.75</v>
      </c>
      <c r="G222">
        <v>4.7058823529411749</v>
      </c>
      <c r="H222">
        <v>1.3239988304878778</v>
      </c>
      <c r="I222">
        <v>1.3239988304878778</v>
      </c>
      <c r="J222">
        <v>1.3117016277279279</v>
      </c>
      <c r="K222">
        <v>0</v>
      </c>
      <c r="L222">
        <v>0</v>
      </c>
      <c r="M222">
        <v>1.2297202759949943E-2</v>
      </c>
      <c r="N222">
        <v>0</v>
      </c>
      <c r="O222">
        <v>6.1701627727927866E-2</v>
      </c>
      <c r="P222">
        <v>0</v>
      </c>
      <c r="Q222">
        <v>0.25</v>
      </c>
      <c r="R222">
        <v>0</v>
      </c>
      <c r="S222">
        <v>0</v>
      </c>
      <c r="T222">
        <v>0</v>
      </c>
      <c r="U222">
        <v>0</v>
      </c>
      <c r="V222">
        <v>0</v>
      </c>
      <c r="W222">
        <v>0</v>
      </c>
      <c r="X222">
        <v>0</v>
      </c>
      <c r="Y222">
        <v>1</v>
      </c>
      <c r="Z222">
        <v>0</v>
      </c>
      <c r="AA222">
        <v>0</v>
      </c>
      <c r="AB222">
        <v>0</v>
      </c>
      <c r="AC222">
        <v>0</v>
      </c>
      <c r="AD222">
        <v>0</v>
      </c>
      <c r="AE222" t="s">
        <v>166</v>
      </c>
      <c r="AF222">
        <v>10</v>
      </c>
      <c r="AG222" t="s">
        <v>190</v>
      </c>
      <c r="AH222">
        <v>1</v>
      </c>
      <c r="AI222">
        <v>46231</v>
      </c>
      <c r="AJ222" t="s">
        <v>150</v>
      </c>
    </row>
    <row r="223" spans="1:36" x14ac:dyDescent="0.25">
      <c r="A223" s="1">
        <v>46231</v>
      </c>
      <c r="B223" t="s">
        <v>151</v>
      </c>
      <c r="C223" t="s">
        <v>11</v>
      </c>
      <c r="D223">
        <v>0</v>
      </c>
      <c r="E223">
        <v>1.9</v>
      </c>
      <c r="F223">
        <v>1.9</v>
      </c>
      <c r="G223">
        <v>0</v>
      </c>
      <c r="K223">
        <v>0</v>
      </c>
      <c r="L223">
        <v>0</v>
      </c>
      <c r="M223">
        <v>0</v>
      </c>
      <c r="N223">
        <v>0</v>
      </c>
      <c r="O223">
        <v>0</v>
      </c>
      <c r="P223">
        <v>0</v>
      </c>
      <c r="Q223">
        <v>0</v>
      </c>
      <c r="R223">
        <v>0</v>
      </c>
      <c r="S223">
        <v>0</v>
      </c>
      <c r="T223">
        <v>0</v>
      </c>
      <c r="U223">
        <v>1</v>
      </c>
      <c r="V223">
        <v>0</v>
      </c>
      <c r="W223">
        <v>0</v>
      </c>
      <c r="X223">
        <v>0</v>
      </c>
      <c r="Y223">
        <v>0</v>
      </c>
      <c r="Z223">
        <v>0</v>
      </c>
      <c r="AA223">
        <v>1</v>
      </c>
      <c r="AB223">
        <v>0</v>
      </c>
      <c r="AD223">
        <v>0</v>
      </c>
      <c r="AE223" t="s">
        <v>166</v>
      </c>
      <c r="AF223">
        <v>10</v>
      </c>
      <c r="AG223" t="s">
        <v>189</v>
      </c>
      <c r="AH223">
        <v>1</v>
      </c>
      <c r="AI223">
        <v>46231</v>
      </c>
      <c r="AJ223" t="s">
        <v>150</v>
      </c>
    </row>
    <row r="224" spans="1:36" x14ac:dyDescent="0.25">
      <c r="A224" s="1">
        <v>46232</v>
      </c>
      <c r="B224" t="s">
        <v>151</v>
      </c>
      <c r="C224" t="s">
        <v>12</v>
      </c>
      <c r="D224">
        <v>3.1774912809962848</v>
      </c>
      <c r="E224">
        <v>0</v>
      </c>
      <c r="F224">
        <v>0</v>
      </c>
      <c r="G224">
        <v>4.6332179930795849</v>
      </c>
      <c r="H224">
        <v>0</v>
      </c>
      <c r="I224">
        <v>0</v>
      </c>
      <c r="J224">
        <v>1.4581371224492754</v>
      </c>
      <c r="K224">
        <v>0.4581371224492754</v>
      </c>
      <c r="L224">
        <v>0</v>
      </c>
      <c r="M224">
        <v>0</v>
      </c>
      <c r="N224">
        <v>0</v>
      </c>
      <c r="O224">
        <v>0</v>
      </c>
      <c r="P224">
        <v>0</v>
      </c>
      <c r="Q224">
        <v>0</v>
      </c>
      <c r="R224">
        <v>0</v>
      </c>
      <c r="S224">
        <v>0</v>
      </c>
      <c r="T224">
        <v>0</v>
      </c>
      <c r="U224">
        <v>0</v>
      </c>
      <c r="V224">
        <v>0</v>
      </c>
      <c r="W224">
        <v>0</v>
      </c>
      <c r="X224">
        <v>0</v>
      </c>
      <c r="Y224">
        <v>0</v>
      </c>
      <c r="Z224">
        <v>0</v>
      </c>
      <c r="AA224">
        <v>0</v>
      </c>
      <c r="AB224">
        <v>0</v>
      </c>
      <c r="AC224">
        <v>1</v>
      </c>
      <c r="AD224">
        <v>0</v>
      </c>
      <c r="AE224" t="s">
        <v>161</v>
      </c>
      <c r="AF224">
        <v>10</v>
      </c>
      <c r="AG224" t="s">
        <v>192</v>
      </c>
      <c r="AI224">
        <v>46232</v>
      </c>
      <c r="AJ224" t="s">
        <v>150</v>
      </c>
    </row>
    <row r="225" spans="1:36" x14ac:dyDescent="0.25">
      <c r="A225" s="1">
        <v>46232</v>
      </c>
      <c r="B225" t="s">
        <v>151</v>
      </c>
      <c r="C225" t="s">
        <v>11</v>
      </c>
      <c r="D225">
        <v>0</v>
      </c>
      <c r="E225">
        <v>0</v>
      </c>
      <c r="F225">
        <v>0</v>
      </c>
      <c r="G225">
        <v>0</v>
      </c>
      <c r="K225">
        <v>0</v>
      </c>
      <c r="L225">
        <v>0</v>
      </c>
      <c r="M225">
        <v>0</v>
      </c>
      <c r="N225">
        <v>0</v>
      </c>
      <c r="O225">
        <v>0</v>
      </c>
      <c r="P225">
        <v>0</v>
      </c>
      <c r="Q225">
        <v>0</v>
      </c>
      <c r="R225">
        <v>0</v>
      </c>
      <c r="S225">
        <v>0</v>
      </c>
      <c r="T225">
        <v>0</v>
      </c>
      <c r="U225">
        <v>1</v>
      </c>
      <c r="V225">
        <v>0</v>
      </c>
      <c r="W225">
        <v>0</v>
      </c>
      <c r="X225">
        <v>0</v>
      </c>
      <c r="Y225">
        <v>0</v>
      </c>
      <c r="Z225">
        <v>0</v>
      </c>
      <c r="AA225">
        <v>0</v>
      </c>
      <c r="AB225">
        <v>0</v>
      </c>
      <c r="AD225">
        <v>0</v>
      </c>
      <c r="AE225" t="s">
        <v>161</v>
      </c>
      <c r="AF225">
        <v>10</v>
      </c>
      <c r="AG225" t="s">
        <v>191</v>
      </c>
      <c r="AI225">
        <v>46232</v>
      </c>
      <c r="AJ225" t="s">
        <v>150</v>
      </c>
    </row>
    <row r="226" spans="1:36" x14ac:dyDescent="0.25">
      <c r="A226" s="1">
        <v>46232</v>
      </c>
      <c r="B226" t="s">
        <v>151</v>
      </c>
      <c r="C226" t="s">
        <v>10</v>
      </c>
      <c r="D226">
        <v>3.6011567851291235</v>
      </c>
      <c r="E226">
        <v>0</v>
      </c>
      <c r="F226">
        <v>0</v>
      </c>
      <c r="G226">
        <v>4.7022058823529385</v>
      </c>
      <c r="H226">
        <v>0</v>
      </c>
      <c r="I226">
        <v>0</v>
      </c>
      <c r="J226">
        <v>1.3057487254569327</v>
      </c>
      <c r="K226">
        <v>0.30574872545693266</v>
      </c>
      <c r="L226">
        <v>0</v>
      </c>
      <c r="M226">
        <v>0</v>
      </c>
      <c r="N226">
        <v>0</v>
      </c>
      <c r="O226">
        <v>0</v>
      </c>
      <c r="P226">
        <v>0</v>
      </c>
      <c r="Q226">
        <v>0</v>
      </c>
      <c r="R226">
        <v>0</v>
      </c>
      <c r="S226">
        <v>0</v>
      </c>
      <c r="T226">
        <v>0</v>
      </c>
      <c r="U226">
        <v>0</v>
      </c>
      <c r="V226">
        <v>0</v>
      </c>
      <c r="W226">
        <v>0</v>
      </c>
      <c r="X226">
        <v>0</v>
      </c>
      <c r="Y226">
        <v>0</v>
      </c>
      <c r="Z226">
        <v>0</v>
      </c>
      <c r="AA226">
        <v>0</v>
      </c>
      <c r="AB226">
        <v>0</v>
      </c>
      <c r="AC226">
        <v>1</v>
      </c>
      <c r="AD226">
        <v>0</v>
      </c>
      <c r="AE226" t="s">
        <v>161</v>
      </c>
      <c r="AF226">
        <v>10</v>
      </c>
      <c r="AG226" t="s">
        <v>193</v>
      </c>
      <c r="AI226">
        <v>46232</v>
      </c>
      <c r="AJ226" t="s">
        <v>150</v>
      </c>
    </row>
    <row r="227" spans="1:36" x14ac:dyDescent="0.25">
      <c r="A227" s="1">
        <v>46232</v>
      </c>
      <c r="B227" t="s">
        <v>151</v>
      </c>
      <c r="C227" t="s">
        <v>12</v>
      </c>
      <c r="D227">
        <v>3.1779578349000128</v>
      </c>
      <c r="E227">
        <v>2.8499999999999996</v>
      </c>
      <c r="F227">
        <v>2.8499999999999996</v>
      </c>
      <c r="G227">
        <v>4.6332179930795849</v>
      </c>
      <c r="H227">
        <v>0.89680233283827326</v>
      </c>
      <c r="I227">
        <v>0.89680233283827326</v>
      </c>
      <c r="J227">
        <v>1.4579230542954509</v>
      </c>
      <c r="K227">
        <v>0.45792305429545088</v>
      </c>
      <c r="L227">
        <v>0</v>
      </c>
      <c r="M227">
        <v>0</v>
      </c>
      <c r="N227">
        <v>0</v>
      </c>
      <c r="O227">
        <v>0</v>
      </c>
      <c r="P227">
        <v>0</v>
      </c>
      <c r="Q227">
        <v>0</v>
      </c>
      <c r="R227">
        <v>0</v>
      </c>
      <c r="S227">
        <v>0</v>
      </c>
      <c r="T227">
        <v>0.10319766716172674</v>
      </c>
      <c r="U227">
        <v>0</v>
      </c>
      <c r="V227">
        <v>0</v>
      </c>
      <c r="W227">
        <v>0</v>
      </c>
      <c r="X227">
        <v>0</v>
      </c>
      <c r="Y227">
        <v>0.89680233283827326</v>
      </c>
      <c r="Z227">
        <v>0</v>
      </c>
      <c r="AA227">
        <v>0</v>
      </c>
      <c r="AB227">
        <v>0</v>
      </c>
      <c r="AC227">
        <v>0</v>
      </c>
      <c r="AD227">
        <v>0</v>
      </c>
      <c r="AE227" t="s">
        <v>166</v>
      </c>
      <c r="AF227">
        <v>10</v>
      </c>
      <c r="AG227" t="s">
        <v>192</v>
      </c>
      <c r="AH227">
        <v>1</v>
      </c>
      <c r="AI227">
        <v>46232</v>
      </c>
      <c r="AJ227" t="s">
        <v>150</v>
      </c>
    </row>
    <row r="228" spans="1:36" x14ac:dyDescent="0.25">
      <c r="A228" s="1">
        <v>46232</v>
      </c>
      <c r="B228" t="s">
        <v>151</v>
      </c>
      <c r="C228" t="s">
        <v>11</v>
      </c>
      <c r="D228">
        <v>0</v>
      </c>
      <c r="E228">
        <v>0</v>
      </c>
      <c r="F228">
        <v>0</v>
      </c>
      <c r="G228">
        <v>0</v>
      </c>
      <c r="K228">
        <v>0</v>
      </c>
      <c r="L228">
        <v>0</v>
      </c>
      <c r="M228">
        <v>0</v>
      </c>
      <c r="N228">
        <v>0</v>
      </c>
      <c r="O228">
        <v>0</v>
      </c>
      <c r="P228">
        <v>0</v>
      </c>
      <c r="Q228">
        <v>0</v>
      </c>
      <c r="R228">
        <v>0</v>
      </c>
      <c r="S228">
        <v>0</v>
      </c>
      <c r="T228">
        <v>0</v>
      </c>
      <c r="U228">
        <v>1</v>
      </c>
      <c r="V228">
        <v>0</v>
      </c>
      <c r="W228">
        <v>0</v>
      </c>
      <c r="X228">
        <v>0</v>
      </c>
      <c r="Y228">
        <v>0</v>
      </c>
      <c r="Z228">
        <v>0</v>
      </c>
      <c r="AA228">
        <v>0</v>
      </c>
      <c r="AB228">
        <v>0</v>
      </c>
      <c r="AD228">
        <v>0</v>
      </c>
      <c r="AE228" t="s">
        <v>166</v>
      </c>
      <c r="AF228">
        <v>10</v>
      </c>
      <c r="AG228" t="s">
        <v>191</v>
      </c>
      <c r="AH228">
        <v>1</v>
      </c>
      <c r="AI228">
        <v>46232</v>
      </c>
      <c r="AJ228" t="s">
        <v>150</v>
      </c>
    </row>
    <row r="229" spans="1:36" x14ac:dyDescent="0.25">
      <c r="A229" s="1">
        <v>46232</v>
      </c>
      <c r="B229" t="s">
        <v>151</v>
      </c>
      <c r="C229" t="s">
        <v>10</v>
      </c>
      <c r="D229">
        <v>3.587616462055093</v>
      </c>
      <c r="E229">
        <v>3.8</v>
      </c>
      <c r="F229">
        <v>3.8</v>
      </c>
      <c r="G229">
        <v>4.7022058823529385</v>
      </c>
      <c r="H229">
        <v>1.059199064390302</v>
      </c>
      <c r="I229">
        <v>1.059199064390302</v>
      </c>
      <c r="J229">
        <v>1.3106768608312651</v>
      </c>
      <c r="K229">
        <v>0.25147779644096313</v>
      </c>
      <c r="L229">
        <v>0</v>
      </c>
      <c r="M229">
        <v>0</v>
      </c>
      <c r="N229">
        <v>0</v>
      </c>
      <c r="O229">
        <v>0</v>
      </c>
      <c r="P229">
        <v>0.19080093560969802</v>
      </c>
      <c r="Q229">
        <v>5.9199064390301981E-2</v>
      </c>
      <c r="R229">
        <v>0</v>
      </c>
      <c r="S229">
        <v>0</v>
      </c>
      <c r="T229">
        <v>0</v>
      </c>
      <c r="U229">
        <v>0</v>
      </c>
      <c r="V229">
        <v>0</v>
      </c>
      <c r="W229">
        <v>0</v>
      </c>
      <c r="X229">
        <v>0</v>
      </c>
      <c r="Y229">
        <v>0</v>
      </c>
      <c r="Z229">
        <v>0</v>
      </c>
      <c r="AA229">
        <v>0</v>
      </c>
      <c r="AB229">
        <v>0</v>
      </c>
      <c r="AC229">
        <v>0</v>
      </c>
      <c r="AD229">
        <v>1</v>
      </c>
      <c r="AE229" t="s">
        <v>166</v>
      </c>
      <c r="AF229">
        <v>10</v>
      </c>
      <c r="AG229" t="s">
        <v>193</v>
      </c>
      <c r="AH229">
        <v>1</v>
      </c>
      <c r="AI229">
        <v>46232</v>
      </c>
      <c r="AJ229" t="s">
        <v>150</v>
      </c>
    </row>
    <row r="230" spans="1:36" x14ac:dyDescent="0.25">
      <c r="A230" s="1">
        <v>46233</v>
      </c>
      <c r="B230" t="s">
        <v>151</v>
      </c>
      <c r="C230" t="s">
        <v>12</v>
      </c>
      <c r="D230">
        <v>3.1774912809962848</v>
      </c>
      <c r="E230">
        <v>0</v>
      </c>
      <c r="F230">
        <v>0</v>
      </c>
      <c r="G230">
        <v>4.6885813148788928</v>
      </c>
      <c r="H230">
        <v>0</v>
      </c>
      <c r="I230">
        <v>0</v>
      </c>
      <c r="J230">
        <v>1.4755607176391099</v>
      </c>
      <c r="K230">
        <v>0.4755607176391099</v>
      </c>
      <c r="L230">
        <v>0</v>
      </c>
      <c r="M230">
        <v>0</v>
      </c>
      <c r="N230">
        <v>0</v>
      </c>
      <c r="O230">
        <v>0</v>
      </c>
      <c r="P230">
        <v>0</v>
      </c>
      <c r="Q230">
        <v>0</v>
      </c>
      <c r="R230">
        <v>0</v>
      </c>
      <c r="S230">
        <v>0</v>
      </c>
      <c r="T230">
        <v>0</v>
      </c>
      <c r="U230">
        <v>0</v>
      </c>
      <c r="V230">
        <v>0</v>
      </c>
      <c r="W230">
        <v>0</v>
      </c>
      <c r="X230">
        <v>0</v>
      </c>
      <c r="Y230">
        <v>0</v>
      </c>
      <c r="Z230">
        <v>0</v>
      </c>
      <c r="AA230">
        <v>0</v>
      </c>
      <c r="AB230">
        <v>0</v>
      </c>
      <c r="AC230">
        <v>1</v>
      </c>
      <c r="AD230">
        <v>0</v>
      </c>
      <c r="AE230" t="s">
        <v>161</v>
      </c>
      <c r="AF230">
        <v>10</v>
      </c>
      <c r="AG230" t="s">
        <v>194</v>
      </c>
      <c r="AI230">
        <v>46233</v>
      </c>
      <c r="AJ230" t="s">
        <v>150</v>
      </c>
    </row>
    <row r="231" spans="1:36" x14ac:dyDescent="0.25">
      <c r="A231" s="1">
        <v>46233</v>
      </c>
      <c r="B231" t="s">
        <v>151</v>
      </c>
      <c r="C231" t="s">
        <v>10</v>
      </c>
      <c r="D231">
        <v>3.6011567851291222</v>
      </c>
      <c r="E231">
        <v>0.95</v>
      </c>
      <c r="F231">
        <v>0.95</v>
      </c>
      <c r="G231">
        <v>5.6433823529411775</v>
      </c>
      <c r="H231">
        <v>0.26380412092108813</v>
      </c>
      <c r="I231">
        <v>0.26380412092108813</v>
      </c>
      <c r="J231">
        <v>1.5671026533044519</v>
      </c>
      <c r="K231">
        <v>0.56710265330445186</v>
      </c>
      <c r="L231">
        <v>0</v>
      </c>
      <c r="M231">
        <v>0</v>
      </c>
      <c r="N231">
        <v>0</v>
      </c>
      <c r="O231">
        <v>0</v>
      </c>
      <c r="P231">
        <v>0</v>
      </c>
      <c r="Q231">
        <v>0</v>
      </c>
      <c r="R231">
        <v>0</v>
      </c>
      <c r="S231">
        <v>0</v>
      </c>
      <c r="T231">
        <v>0.73619587907891182</v>
      </c>
      <c r="U231">
        <v>0</v>
      </c>
      <c r="V231">
        <v>0</v>
      </c>
      <c r="W231">
        <v>0</v>
      </c>
      <c r="X231">
        <v>0</v>
      </c>
      <c r="Y231">
        <v>0.26380412092108813</v>
      </c>
      <c r="Z231">
        <v>0</v>
      </c>
      <c r="AA231">
        <v>0</v>
      </c>
      <c r="AB231">
        <v>0</v>
      </c>
      <c r="AC231">
        <v>0</v>
      </c>
      <c r="AD231">
        <v>0</v>
      </c>
      <c r="AE231" t="s">
        <v>161</v>
      </c>
      <c r="AF231">
        <v>10</v>
      </c>
      <c r="AG231" t="s">
        <v>195</v>
      </c>
      <c r="AI231">
        <v>46233</v>
      </c>
      <c r="AJ231" t="s">
        <v>150</v>
      </c>
    </row>
    <row r="232" spans="1:36" x14ac:dyDescent="0.25">
      <c r="A232" s="1">
        <v>46233</v>
      </c>
      <c r="B232" t="s">
        <v>151</v>
      </c>
      <c r="C232" t="s">
        <v>11</v>
      </c>
      <c r="D232">
        <v>0</v>
      </c>
      <c r="E232">
        <v>0</v>
      </c>
      <c r="F232">
        <v>0</v>
      </c>
      <c r="G232">
        <v>0</v>
      </c>
      <c r="K232">
        <v>0</v>
      </c>
      <c r="L232">
        <v>0</v>
      </c>
      <c r="M232">
        <v>0</v>
      </c>
      <c r="N232">
        <v>0</v>
      </c>
      <c r="O232">
        <v>0</v>
      </c>
      <c r="P232">
        <v>0</v>
      </c>
      <c r="Q232">
        <v>0</v>
      </c>
      <c r="R232">
        <v>0</v>
      </c>
      <c r="S232">
        <v>0</v>
      </c>
      <c r="T232">
        <v>0</v>
      </c>
      <c r="U232">
        <v>1</v>
      </c>
      <c r="V232">
        <v>0</v>
      </c>
      <c r="W232">
        <v>0</v>
      </c>
      <c r="X232">
        <v>0</v>
      </c>
      <c r="Y232">
        <v>0</v>
      </c>
      <c r="Z232">
        <v>0</v>
      </c>
      <c r="AA232">
        <v>0</v>
      </c>
      <c r="AB232">
        <v>0</v>
      </c>
      <c r="AD232">
        <v>0</v>
      </c>
      <c r="AE232" t="s">
        <v>161</v>
      </c>
      <c r="AF232">
        <v>10</v>
      </c>
      <c r="AG232" t="s">
        <v>196</v>
      </c>
      <c r="AI232">
        <v>46233</v>
      </c>
      <c r="AJ232" t="s">
        <v>150</v>
      </c>
    </row>
    <row r="233" spans="1:36" x14ac:dyDescent="0.25">
      <c r="A233" s="1">
        <v>46233</v>
      </c>
      <c r="B233" t="s">
        <v>151</v>
      </c>
      <c r="C233" t="s">
        <v>12</v>
      </c>
      <c r="D233">
        <v>3.1779578349000128</v>
      </c>
      <c r="E233">
        <v>2.8499999999999996</v>
      </c>
      <c r="F233">
        <v>2.8499999999999996</v>
      </c>
      <c r="G233">
        <v>4.6885813148788928</v>
      </c>
      <c r="H233">
        <v>0.89680233283827326</v>
      </c>
      <c r="I233">
        <v>0.89680233283827326</v>
      </c>
      <c r="J233">
        <v>1.4753440915387124</v>
      </c>
      <c r="K233">
        <v>0.47534409153871238</v>
      </c>
      <c r="L233">
        <v>0</v>
      </c>
      <c r="M233">
        <v>0</v>
      </c>
      <c r="N233">
        <v>0</v>
      </c>
      <c r="O233">
        <v>0</v>
      </c>
      <c r="P233">
        <v>0</v>
      </c>
      <c r="Q233">
        <v>0</v>
      </c>
      <c r="R233">
        <v>0</v>
      </c>
      <c r="S233">
        <v>0</v>
      </c>
      <c r="T233">
        <v>0.10319766716172674</v>
      </c>
      <c r="U233">
        <v>0</v>
      </c>
      <c r="V233">
        <v>0</v>
      </c>
      <c r="W233">
        <v>0</v>
      </c>
      <c r="X233">
        <v>0</v>
      </c>
      <c r="Y233">
        <v>0.89680233283827326</v>
      </c>
      <c r="Z233">
        <v>0</v>
      </c>
      <c r="AA233">
        <v>0</v>
      </c>
      <c r="AB233">
        <v>0</v>
      </c>
      <c r="AC233">
        <v>0</v>
      </c>
      <c r="AD233">
        <v>0</v>
      </c>
      <c r="AE233" t="s">
        <v>166</v>
      </c>
      <c r="AF233">
        <v>10</v>
      </c>
      <c r="AG233" t="s">
        <v>194</v>
      </c>
      <c r="AH233">
        <v>1</v>
      </c>
      <c r="AI233">
        <v>46233</v>
      </c>
      <c r="AJ233" t="s">
        <v>150</v>
      </c>
    </row>
    <row r="234" spans="1:36" x14ac:dyDescent="0.25">
      <c r="A234" s="1">
        <v>46233</v>
      </c>
      <c r="B234" t="s">
        <v>151</v>
      </c>
      <c r="C234" t="s">
        <v>10</v>
      </c>
      <c r="D234">
        <v>3.587616462055093</v>
      </c>
      <c r="E234">
        <v>3.8</v>
      </c>
      <c r="F234">
        <v>3.8</v>
      </c>
      <c r="G234">
        <v>5.6433823529411775</v>
      </c>
      <c r="H234">
        <v>1.059199064390302</v>
      </c>
      <c r="I234">
        <v>1.059199064390302</v>
      </c>
      <c r="J234">
        <v>1.5730171863768516</v>
      </c>
      <c r="K234">
        <v>0.51381812198654964</v>
      </c>
      <c r="L234">
        <v>0</v>
      </c>
      <c r="M234">
        <v>0</v>
      </c>
      <c r="N234">
        <v>0</v>
      </c>
      <c r="O234">
        <v>0</v>
      </c>
      <c r="P234">
        <v>0.19080093560969802</v>
      </c>
      <c r="Q234">
        <v>5.9199064390301981E-2</v>
      </c>
      <c r="R234">
        <v>0</v>
      </c>
      <c r="S234">
        <v>0</v>
      </c>
      <c r="T234">
        <v>0</v>
      </c>
      <c r="U234">
        <v>0</v>
      </c>
      <c r="V234">
        <v>0</v>
      </c>
      <c r="W234">
        <v>0</v>
      </c>
      <c r="X234">
        <v>0</v>
      </c>
      <c r="Y234">
        <v>0</v>
      </c>
      <c r="Z234">
        <v>0</v>
      </c>
      <c r="AA234">
        <v>0</v>
      </c>
      <c r="AB234">
        <v>0</v>
      </c>
      <c r="AC234">
        <v>0</v>
      </c>
      <c r="AD234">
        <v>1</v>
      </c>
      <c r="AE234" t="s">
        <v>166</v>
      </c>
      <c r="AF234">
        <v>10</v>
      </c>
      <c r="AG234" t="s">
        <v>195</v>
      </c>
      <c r="AH234">
        <v>1</v>
      </c>
      <c r="AI234">
        <v>46233</v>
      </c>
      <c r="AJ234" t="s">
        <v>150</v>
      </c>
    </row>
    <row r="235" spans="1:36" x14ac:dyDescent="0.25">
      <c r="A235" s="1">
        <v>46233</v>
      </c>
      <c r="B235" t="s">
        <v>151</v>
      </c>
      <c r="C235" t="s">
        <v>11</v>
      </c>
      <c r="D235">
        <v>0</v>
      </c>
      <c r="E235">
        <v>0</v>
      </c>
      <c r="F235">
        <v>0</v>
      </c>
      <c r="G235">
        <v>0</v>
      </c>
      <c r="K235">
        <v>0</v>
      </c>
      <c r="L235">
        <v>0</v>
      </c>
      <c r="M235">
        <v>0</v>
      </c>
      <c r="N235">
        <v>0</v>
      </c>
      <c r="O235">
        <v>0</v>
      </c>
      <c r="P235">
        <v>0</v>
      </c>
      <c r="Q235">
        <v>0</v>
      </c>
      <c r="R235">
        <v>0</v>
      </c>
      <c r="S235">
        <v>0</v>
      </c>
      <c r="T235">
        <v>0</v>
      </c>
      <c r="U235">
        <v>1</v>
      </c>
      <c r="V235">
        <v>0</v>
      </c>
      <c r="W235">
        <v>0</v>
      </c>
      <c r="X235">
        <v>0</v>
      </c>
      <c r="Y235">
        <v>0</v>
      </c>
      <c r="Z235">
        <v>0</v>
      </c>
      <c r="AA235">
        <v>0</v>
      </c>
      <c r="AB235">
        <v>0</v>
      </c>
      <c r="AD235">
        <v>0</v>
      </c>
      <c r="AE235" t="s">
        <v>166</v>
      </c>
      <c r="AF235">
        <v>10</v>
      </c>
      <c r="AG235" t="s">
        <v>196</v>
      </c>
      <c r="AH235">
        <v>1</v>
      </c>
      <c r="AI235">
        <v>46233</v>
      </c>
      <c r="AJ235" t="s">
        <v>150</v>
      </c>
    </row>
    <row r="236" spans="1:36" x14ac:dyDescent="0.25">
      <c r="A236" s="1">
        <v>46234</v>
      </c>
      <c r="B236" t="s">
        <v>151</v>
      </c>
      <c r="C236" t="s">
        <v>10</v>
      </c>
      <c r="D236">
        <v>3.6011567851291235</v>
      </c>
      <c r="E236">
        <v>0.95</v>
      </c>
      <c r="F236">
        <v>0.95</v>
      </c>
      <c r="G236">
        <v>4.7610294117647047</v>
      </c>
      <c r="H236">
        <v>0.26380412092108801</v>
      </c>
      <c r="I236">
        <v>0.26380412092108801</v>
      </c>
      <c r="J236">
        <v>1.3220833459474031</v>
      </c>
      <c r="K236">
        <v>0.32208334594740307</v>
      </c>
      <c r="L236">
        <v>0</v>
      </c>
      <c r="M236">
        <v>0</v>
      </c>
      <c r="N236">
        <v>0</v>
      </c>
      <c r="O236">
        <v>0</v>
      </c>
      <c r="P236">
        <v>0</v>
      </c>
      <c r="Q236">
        <v>0</v>
      </c>
      <c r="R236">
        <v>0</v>
      </c>
      <c r="S236">
        <v>0</v>
      </c>
      <c r="T236">
        <v>0.73619587907891204</v>
      </c>
      <c r="U236">
        <v>0</v>
      </c>
      <c r="V236">
        <v>0</v>
      </c>
      <c r="W236">
        <v>0</v>
      </c>
      <c r="X236">
        <v>0</v>
      </c>
      <c r="Y236">
        <v>0.26380412092108801</v>
      </c>
      <c r="Z236">
        <v>0</v>
      </c>
      <c r="AA236">
        <v>0</v>
      </c>
      <c r="AB236">
        <v>0</v>
      </c>
      <c r="AC236">
        <v>0</v>
      </c>
      <c r="AD236">
        <v>0</v>
      </c>
      <c r="AE236" t="s">
        <v>161</v>
      </c>
      <c r="AF236">
        <v>10</v>
      </c>
      <c r="AG236" t="s">
        <v>197</v>
      </c>
      <c r="AI236">
        <v>46234</v>
      </c>
      <c r="AJ236" t="s">
        <v>150</v>
      </c>
    </row>
    <row r="237" spans="1:36" x14ac:dyDescent="0.25">
      <c r="A237" s="1">
        <v>46234</v>
      </c>
      <c r="B237" t="s">
        <v>151</v>
      </c>
      <c r="C237" t="s">
        <v>11</v>
      </c>
      <c r="D237">
        <v>0</v>
      </c>
      <c r="E237">
        <v>0</v>
      </c>
      <c r="F237">
        <v>0</v>
      </c>
      <c r="G237">
        <v>0</v>
      </c>
      <c r="K237">
        <v>0</v>
      </c>
      <c r="L237">
        <v>0</v>
      </c>
      <c r="M237">
        <v>0</v>
      </c>
      <c r="N237">
        <v>0</v>
      </c>
      <c r="O237">
        <v>0</v>
      </c>
      <c r="P237">
        <v>0</v>
      </c>
      <c r="Q237">
        <v>0</v>
      </c>
      <c r="R237">
        <v>0</v>
      </c>
      <c r="S237">
        <v>0</v>
      </c>
      <c r="T237">
        <v>0</v>
      </c>
      <c r="U237">
        <v>1</v>
      </c>
      <c r="V237">
        <v>0</v>
      </c>
      <c r="W237">
        <v>0</v>
      </c>
      <c r="X237">
        <v>0</v>
      </c>
      <c r="Y237">
        <v>0</v>
      </c>
      <c r="Z237">
        <v>0</v>
      </c>
      <c r="AA237">
        <v>0</v>
      </c>
      <c r="AB237">
        <v>0</v>
      </c>
      <c r="AD237">
        <v>0</v>
      </c>
      <c r="AE237" t="s">
        <v>161</v>
      </c>
      <c r="AF237">
        <v>10</v>
      </c>
      <c r="AG237" t="s">
        <v>198</v>
      </c>
      <c r="AI237">
        <v>46234</v>
      </c>
      <c r="AJ237" t="s">
        <v>150</v>
      </c>
    </row>
    <row r="238" spans="1:36" x14ac:dyDescent="0.25">
      <c r="A238" s="1">
        <v>46234</v>
      </c>
      <c r="B238" t="s">
        <v>151</v>
      </c>
      <c r="C238" t="s">
        <v>12</v>
      </c>
      <c r="D238">
        <v>3.1774912809962848</v>
      </c>
      <c r="E238">
        <v>0</v>
      </c>
      <c r="F238">
        <v>0</v>
      </c>
      <c r="G238">
        <v>4.6366782006920415</v>
      </c>
      <c r="H238">
        <v>0</v>
      </c>
      <c r="I238">
        <v>0</v>
      </c>
      <c r="J238">
        <v>1.4592260971486402</v>
      </c>
      <c r="K238">
        <v>0.45922609714864016</v>
      </c>
      <c r="L238">
        <v>0</v>
      </c>
      <c r="M238">
        <v>0</v>
      </c>
      <c r="N238">
        <v>0</v>
      </c>
      <c r="O238">
        <v>0</v>
      </c>
      <c r="P238">
        <v>0</v>
      </c>
      <c r="Q238">
        <v>0</v>
      </c>
      <c r="R238">
        <v>0</v>
      </c>
      <c r="S238">
        <v>0</v>
      </c>
      <c r="T238">
        <v>0</v>
      </c>
      <c r="U238">
        <v>0</v>
      </c>
      <c r="V238">
        <v>0</v>
      </c>
      <c r="W238">
        <v>0</v>
      </c>
      <c r="X238">
        <v>0</v>
      </c>
      <c r="Y238">
        <v>0</v>
      </c>
      <c r="Z238">
        <v>0</v>
      </c>
      <c r="AA238">
        <v>0</v>
      </c>
      <c r="AB238">
        <v>0</v>
      </c>
      <c r="AC238">
        <v>1</v>
      </c>
      <c r="AD238">
        <v>0</v>
      </c>
      <c r="AE238" t="s">
        <v>161</v>
      </c>
      <c r="AF238">
        <v>10</v>
      </c>
      <c r="AG238" t="s">
        <v>199</v>
      </c>
      <c r="AI238">
        <v>46234</v>
      </c>
      <c r="AJ238" t="s">
        <v>150</v>
      </c>
    </row>
    <row r="239" spans="1:36" x14ac:dyDescent="0.25">
      <c r="A239" s="1">
        <v>46234</v>
      </c>
      <c r="B239" t="s">
        <v>151</v>
      </c>
      <c r="C239" t="s">
        <v>10</v>
      </c>
      <c r="D239">
        <v>3.587616462055093</v>
      </c>
      <c r="E239">
        <v>4.75</v>
      </c>
      <c r="F239">
        <v>4.75</v>
      </c>
      <c r="G239">
        <v>4.7610294117647047</v>
      </c>
      <c r="H239">
        <v>1.3239988304878776</v>
      </c>
      <c r="I239">
        <v>1.3239988304878776</v>
      </c>
      <c r="J239">
        <v>1.3270731311778645</v>
      </c>
      <c r="K239">
        <v>3.0743006899869307E-3</v>
      </c>
      <c r="L239">
        <v>0</v>
      </c>
      <c r="M239">
        <v>0</v>
      </c>
      <c r="N239">
        <v>0</v>
      </c>
      <c r="O239">
        <v>7.3998830487877587E-2</v>
      </c>
      <c r="P239">
        <v>0</v>
      </c>
      <c r="Q239">
        <v>0.25</v>
      </c>
      <c r="R239">
        <v>0</v>
      </c>
      <c r="S239">
        <v>0</v>
      </c>
      <c r="T239">
        <v>0</v>
      </c>
      <c r="U239">
        <v>0</v>
      </c>
      <c r="V239">
        <v>0</v>
      </c>
      <c r="W239">
        <v>0</v>
      </c>
      <c r="X239">
        <v>0</v>
      </c>
      <c r="Y239">
        <v>1</v>
      </c>
      <c r="Z239">
        <v>0</v>
      </c>
      <c r="AA239">
        <v>0</v>
      </c>
      <c r="AB239">
        <v>0</v>
      </c>
      <c r="AC239">
        <v>0</v>
      </c>
      <c r="AD239">
        <v>0</v>
      </c>
      <c r="AE239" t="s">
        <v>166</v>
      </c>
      <c r="AF239">
        <v>10</v>
      </c>
      <c r="AG239" t="s">
        <v>197</v>
      </c>
      <c r="AH239">
        <v>1</v>
      </c>
      <c r="AI239">
        <v>46234</v>
      </c>
      <c r="AJ239" t="s">
        <v>150</v>
      </c>
    </row>
    <row r="240" spans="1:36" x14ac:dyDescent="0.25">
      <c r="A240" s="1">
        <v>46234</v>
      </c>
      <c r="B240" t="s">
        <v>151</v>
      </c>
      <c r="C240" t="s">
        <v>11</v>
      </c>
      <c r="D240">
        <v>0</v>
      </c>
      <c r="E240">
        <v>0</v>
      </c>
      <c r="F240">
        <v>0</v>
      </c>
      <c r="G240">
        <v>0</v>
      </c>
      <c r="K240">
        <v>0</v>
      </c>
      <c r="L240">
        <v>0</v>
      </c>
      <c r="M240">
        <v>0</v>
      </c>
      <c r="N240">
        <v>0</v>
      </c>
      <c r="O240">
        <v>0</v>
      </c>
      <c r="P240">
        <v>0</v>
      </c>
      <c r="Q240">
        <v>0</v>
      </c>
      <c r="R240">
        <v>0</v>
      </c>
      <c r="S240">
        <v>0</v>
      </c>
      <c r="T240">
        <v>0</v>
      </c>
      <c r="U240">
        <v>1</v>
      </c>
      <c r="V240">
        <v>0</v>
      </c>
      <c r="W240">
        <v>0</v>
      </c>
      <c r="X240">
        <v>0</v>
      </c>
      <c r="Y240">
        <v>0</v>
      </c>
      <c r="Z240">
        <v>0</v>
      </c>
      <c r="AA240">
        <v>0</v>
      </c>
      <c r="AB240">
        <v>0</v>
      </c>
      <c r="AD240">
        <v>0</v>
      </c>
      <c r="AE240" t="s">
        <v>166</v>
      </c>
      <c r="AF240">
        <v>10</v>
      </c>
      <c r="AG240" t="s">
        <v>198</v>
      </c>
      <c r="AH240">
        <v>1</v>
      </c>
      <c r="AI240">
        <v>46234</v>
      </c>
      <c r="AJ240" t="s">
        <v>150</v>
      </c>
    </row>
    <row r="241" spans="1:36" x14ac:dyDescent="0.25">
      <c r="A241" s="1">
        <v>46234</v>
      </c>
      <c r="B241" t="s">
        <v>151</v>
      </c>
      <c r="C241" t="s">
        <v>12</v>
      </c>
      <c r="D241">
        <v>3.1779578349000128</v>
      </c>
      <c r="E241">
        <v>2.8499999999999996</v>
      </c>
      <c r="F241">
        <v>2.8499999999999996</v>
      </c>
      <c r="G241">
        <v>4.6366782006920415</v>
      </c>
      <c r="H241">
        <v>0.89680233283827326</v>
      </c>
      <c r="I241">
        <v>0.89680233283827326</v>
      </c>
      <c r="J241">
        <v>1.4590118691231546</v>
      </c>
      <c r="K241">
        <v>0.45901186912315461</v>
      </c>
      <c r="L241">
        <v>0</v>
      </c>
      <c r="M241">
        <v>0</v>
      </c>
      <c r="N241">
        <v>0</v>
      </c>
      <c r="O241">
        <v>0</v>
      </c>
      <c r="P241">
        <v>0</v>
      </c>
      <c r="Q241">
        <v>0</v>
      </c>
      <c r="R241">
        <v>0</v>
      </c>
      <c r="S241">
        <v>0</v>
      </c>
      <c r="T241">
        <v>0.10319766716172674</v>
      </c>
      <c r="U241">
        <v>0</v>
      </c>
      <c r="V241">
        <v>0</v>
      </c>
      <c r="W241">
        <v>0</v>
      </c>
      <c r="X241">
        <v>0</v>
      </c>
      <c r="Y241">
        <v>0.89680233283827326</v>
      </c>
      <c r="Z241">
        <v>0</v>
      </c>
      <c r="AA241">
        <v>0</v>
      </c>
      <c r="AB241">
        <v>0</v>
      </c>
      <c r="AC241">
        <v>0</v>
      </c>
      <c r="AD241">
        <v>0</v>
      </c>
      <c r="AE241" t="s">
        <v>166</v>
      </c>
      <c r="AF241">
        <v>10</v>
      </c>
      <c r="AG241" t="s">
        <v>199</v>
      </c>
      <c r="AH241">
        <v>1</v>
      </c>
      <c r="AI241">
        <v>46234</v>
      </c>
      <c r="AJ241" t="s">
        <v>150</v>
      </c>
    </row>
    <row r="242" spans="1:36" x14ac:dyDescent="0.25">
      <c r="A242" s="1">
        <v>46235</v>
      </c>
      <c r="B242" t="s">
        <v>151</v>
      </c>
      <c r="C242" t="s">
        <v>12</v>
      </c>
      <c r="D242">
        <v>3.2304494690128904</v>
      </c>
      <c r="E242">
        <v>0</v>
      </c>
      <c r="F242">
        <v>0</v>
      </c>
      <c r="G242">
        <v>3.8062283737024223</v>
      </c>
      <c r="H242">
        <v>0</v>
      </c>
      <c r="I242">
        <v>0</v>
      </c>
      <c r="J242">
        <v>1.1782349206240545</v>
      </c>
      <c r="K242">
        <v>0.17823492062405455</v>
      </c>
      <c r="L242">
        <v>0</v>
      </c>
      <c r="M242">
        <v>0</v>
      </c>
      <c r="N242">
        <v>0</v>
      </c>
      <c r="O242">
        <v>0</v>
      </c>
      <c r="P242">
        <v>0</v>
      </c>
      <c r="Q242">
        <v>0</v>
      </c>
      <c r="R242">
        <v>0</v>
      </c>
      <c r="S242">
        <v>0</v>
      </c>
      <c r="T242">
        <v>0</v>
      </c>
      <c r="U242">
        <v>0</v>
      </c>
      <c r="V242">
        <v>0</v>
      </c>
      <c r="W242">
        <v>0</v>
      </c>
      <c r="X242">
        <v>0</v>
      </c>
      <c r="Y242">
        <v>0</v>
      </c>
      <c r="Z242">
        <v>0</v>
      </c>
      <c r="AA242">
        <v>0</v>
      </c>
      <c r="AB242">
        <v>0</v>
      </c>
      <c r="AC242">
        <v>1</v>
      </c>
      <c r="AD242">
        <v>0</v>
      </c>
      <c r="AE242" t="s">
        <v>161</v>
      </c>
      <c r="AF242">
        <v>10</v>
      </c>
      <c r="AG242" t="s">
        <v>201</v>
      </c>
      <c r="AI242">
        <v>46235</v>
      </c>
      <c r="AJ242" t="s">
        <v>150</v>
      </c>
    </row>
    <row r="243" spans="1:36" x14ac:dyDescent="0.25">
      <c r="A243" s="1">
        <v>46235</v>
      </c>
      <c r="B243" t="s">
        <v>151</v>
      </c>
      <c r="C243" t="s">
        <v>11</v>
      </c>
      <c r="D243">
        <v>0</v>
      </c>
      <c r="E243">
        <v>0</v>
      </c>
      <c r="F243">
        <v>0</v>
      </c>
      <c r="G243">
        <v>0</v>
      </c>
      <c r="K243">
        <v>0</v>
      </c>
      <c r="L243">
        <v>0</v>
      </c>
      <c r="M243">
        <v>0</v>
      </c>
      <c r="N243">
        <v>0</v>
      </c>
      <c r="O243">
        <v>0</v>
      </c>
      <c r="P243">
        <v>0</v>
      </c>
      <c r="Q243">
        <v>0</v>
      </c>
      <c r="R243">
        <v>0</v>
      </c>
      <c r="S243">
        <v>0</v>
      </c>
      <c r="T243">
        <v>0</v>
      </c>
      <c r="U243">
        <v>1</v>
      </c>
      <c r="V243">
        <v>0</v>
      </c>
      <c r="W243">
        <v>0</v>
      </c>
      <c r="X243">
        <v>0</v>
      </c>
      <c r="Y243">
        <v>0</v>
      </c>
      <c r="Z243">
        <v>0</v>
      </c>
      <c r="AA243">
        <v>0</v>
      </c>
      <c r="AB243">
        <v>0</v>
      </c>
      <c r="AD243">
        <v>0</v>
      </c>
      <c r="AE243" t="s">
        <v>161</v>
      </c>
      <c r="AF243">
        <v>10</v>
      </c>
      <c r="AG243" t="s">
        <v>202</v>
      </c>
      <c r="AI243">
        <v>46235</v>
      </c>
      <c r="AJ243" t="s">
        <v>150</v>
      </c>
    </row>
    <row r="244" spans="1:36" x14ac:dyDescent="0.25">
      <c r="A244" s="1">
        <v>46235</v>
      </c>
      <c r="B244" t="s">
        <v>151</v>
      </c>
      <c r="C244" t="s">
        <v>10</v>
      </c>
      <c r="D244">
        <v>3.6011567851291222</v>
      </c>
      <c r="E244">
        <v>0</v>
      </c>
      <c r="F244">
        <v>0</v>
      </c>
      <c r="G244">
        <v>4.7058823529411757</v>
      </c>
      <c r="H244">
        <v>0</v>
      </c>
      <c r="I244">
        <v>0</v>
      </c>
      <c r="J244">
        <v>1.306769639237588</v>
      </c>
      <c r="K244">
        <v>0.30676963923758804</v>
      </c>
      <c r="L244">
        <v>0</v>
      </c>
      <c r="M244">
        <v>0</v>
      </c>
      <c r="N244">
        <v>0</v>
      </c>
      <c r="O244">
        <v>0</v>
      </c>
      <c r="P244">
        <v>0</v>
      </c>
      <c r="Q244">
        <v>0</v>
      </c>
      <c r="R244">
        <v>0</v>
      </c>
      <c r="S244">
        <v>0</v>
      </c>
      <c r="T244">
        <v>0</v>
      </c>
      <c r="U244">
        <v>0</v>
      </c>
      <c r="V244">
        <v>0</v>
      </c>
      <c r="W244">
        <v>0</v>
      </c>
      <c r="X244">
        <v>0</v>
      </c>
      <c r="Y244">
        <v>0</v>
      </c>
      <c r="Z244">
        <v>0</v>
      </c>
      <c r="AA244">
        <v>0</v>
      </c>
      <c r="AB244">
        <v>0</v>
      </c>
      <c r="AC244">
        <v>1</v>
      </c>
      <c r="AD244">
        <v>0</v>
      </c>
      <c r="AE244" t="s">
        <v>161</v>
      </c>
      <c r="AF244">
        <v>10</v>
      </c>
      <c r="AG244" t="s">
        <v>200</v>
      </c>
      <c r="AI244">
        <v>46235</v>
      </c>
      <c r="AJ244" t="s">
        <v>150</v>
      </c>
    </row>
    <row r="245" spans="1:36" x14ac:dyDescent="0.25">
      <c r="A245" s="1">
        <v>46235</v>
      </c>
      <c r="B245" t="s">
        <v>151</v>
      </c>
      <c r="C245" t="s">
        <v>12</v>
      </c>
      <c r="D245">
        <v>3.2276134260703255</v>
      </c>
      <c r="E245">
        <v>2.8499999999999996</v>
      </c>
      <c r="F245">
        <v>2.8499999999999996</v>
      </c>
      <c r="G245">
        <v>3.8062283737024223</v>
      </c>
      <c r="H245">
        <v>0.88300537387153066</v>
      </c>
      <c r="I245">
        <v>0.88300537387153066</v>
      </c>
      <c r="J245">
        <v>1.1792702133900126</v>
      </c>
      <c r="K245">
        <v>0.17927021339001259</v>
      </c>
      <c r="L245">
        <v>0</v>
      </c>
      <c r="M245">
        <v>0</v>
      </c>
      <c r="N245">
        <v>0</v>
      </c>
      <c r="O245">
        <v>0</v>
      </c>
      <c r="P245">
        <v>0</v>
      </c>
      <c r="Q245">
        <v>0</v>
      </c>
      <c r="R245">
        <v>0</v>
      </c>
      <c r="S245">
        <v>0</v>
      </c>
      <c r="T245">
        <v>0.11699462612846934</v>
      </c>
      <c r="U245">
        <v>0</v>
      </c>
      <c r="V245">
        <v>0</v>
      </c>
      <c r="W245">
        <v>0</v>
      </c>
      <c r="X245">
        <v>0</v>
      </c>
      <c r="Y245">
        <v>0.88300537387153066</v>
      </c>
      <c r="Z245">
        <v>0</v>
      </c>
      <c r="AA245">
        <v>0</v>
      </c>
      <c r="AB245">
        <v>0</v>
      </c>
      <c r="AC245">
        <v>0</v>
      </c>
      <c r="AD245">
        <v>0</v>
      </c>
      <c r="AE245" t="s">
        <v>166</v>
      </c>
      <c r="AF245">
        <v>10</v>
      </c>
      <c r="AG245" t="s">
        <v>201</v>
      </c>
      <c r="AH245">
        <v>1</v>
      </c>
      <c r="AI245">
        <v>46235</v>
      </c>
      <c r="AJ245" t="s">
        <v>150</v>
      </c>
    </row>
    <row r="246" spans="1:36" x14ac:dyDescent="0.25">
      <c r="A246" s="1">
        <v>46235</v>
      </c>
      <c r="B246" t="s">
        <v>151</v>
      </c>
      <c r="C246" t="s">
        <v>11</v>
      </c>
      <c r="D246">
        <v>0</v>
      </c>
      <c r="E246">
        <v>1.9</v>
      </c>
      <c r="F246">
        <v>1.9</v>
      </c>
      <c r="G246">
        <v>0</v>
      </c>
      <c r="K246">
        <v>0</v>
      </c>
      <c r="L246">
        <v>0</v>
      </c>
      <c r="M246">
        <v>0</v>
      </c>
      <c r="N246">
        <v>0</v>
      </c>
      <c r="O246">
        <v>0</v>
      </c>
      <c r="P246">
        <v>0</v>
      </c>
      <c r="Q246">
        <v>0</v>
      </c>
      <c r="R246">
        <v>0</v>
      </c>
      <c r="S246">
        <v>0</v>
      </c>
      <c r="T246">
        <v>0</v>
      </c>
      <c r="U246">
        <v>1</v>
      </c>
      <c r="V246">
        <v>0</v>
      </c>
      <c r="W246">
        <v>0</v>
      </c>
      <c r="X246">
        <v>0</v>
      </c>
      <c r="Y246">
        <v>0</v>
      </c>
      <c r="Z246">
        <v>0</v>
      </c>
      <c r="AA246">
        <v>1</v>
      </c>
      <c r="AB246">
        <v>0</v>
      </c>
      <c r="AD246">
        <v>0</v>
      </c>
      <c r="AE246" t="s">
        <v>166</v>
      </c>
      <c r="AF246">
        <v>10</v>
      </c>
      <c r="AG246" t="s">
        <v>202</v>
      </c>
      <c r="AH246">
        <v>1</v>
      </c>
      <c r="AI246">
        <v>46235</v>
      </c>
      <c r="AJ246" t="s">
        <v>150</v>
      </c>
    </row>
    <row r="247" spans="1:36" x14ac:dyDescent="0.25">
      <c r="A247" s="1">
        <v>46235</v>
      </c>
      <c r="B247" t="s">
        <v>151</v>
      </c>
      <c r="C247" t="s">
        <v>10</v>
      </c>
      <c r="D247">
        <v>3.5876164620550925</v>
      </c>
      <c r="E247">
        <v>3.8</v>
      </c>
      <c r="F247">
        <v>3.8</v>
      </c>
      <c r="G247">
        <v>4.7058823529411757</v>
      </c>
      <c r="H247">
        <v>1.0591990643903022</v>
      </c>
      <c r="I247">
        <v>1.0591990643903022</v>
      </c>
      <c r="J247">
        <v>1.3117016277279281</v>
      </c>
      <c r="K247">
        <v>0.25250256333762588</v>
      </c>
      <c r="L247">
        <v>0</v>
      </c>
      <c r="M247">
        <v>0</v>
      </c>
      <c r="N247">
        <v>0</v>
      </c>
      <c r="O247">
        <v>0</v>
      </c>
      <c r="P247">
        <v>0.1908009356096978</v>
      </c>
      <c r="Q247">
        <v>5.9199064390302203E-2</v>
      </c>
      <c r="R247">
        <v>0</v>
      </c>
      <c r="S247">
        <v>0</v>
      </c>
      <c r="T247">
        <v>0</v>
      </c>
      <c r="U247">
        <v>0</v>
      </c>
      <c r="V247">
        <v>0</v>
      </c>
      <c r="W247">
        <v>0</v>
      </c>
      <c r="X247">
        <v>0</v>
      </c>
      <c r="Y247">
        <v>0</v>
      </c>
      <c r="Z247">
        <v>0</v>
      </c>
      <c r="AA247">
        <v>0</v>
      </c>
      <c r="AB247">
        <v>0</v>
      </c>
      <c r="AC247">
        <v>0</v>
      </c>
      <c r="AD247">
        <v>1</v>
      </c>
      <c r="AE247" t="s">
        <v>166</v>
      </c>
      <c r="AF247">
        <v>10</v>
      </c>
      <c r="AG247" t="s">
        <v>200</v>
      </c>
      <c r="AH247">
        <v>1</v>
      </c>
      <c r="AI247">
        <v>46235</v>
      </c>
      <c r="AJ247" t="s">
        <v>150</v>
      </c>
    </row>
    <row r="248" spans="1:36" x14ac:dyDescent="0.25">
      <c r="A248" s="1">
        <v>46236</v>
      </c>
      <c r="B248" t="s">
        <v>151</v>
      </c>
      <c r="C248" t="s">
        <v>12</v>
      </c>
      <c r="D248">
        <v>3.1774912809962856</v>
      </c>
      <c r="E248">
        <v>0</v>
      </c>
      <c r="F248">
        <v>0</v>
      </c>
      <c r="G248">
        <v>3.7543252595155714</v>
      </c>
      <c r="H248">
        <v>0</v>
      </c>
      <c r="I248">
        <v>0</v>
      </c>
      <c r="J248">
        <v>1.1815375488106525</v>
      </c>
      <c r="K248">
        <v>0.18153754881065254</v>
      </c>
      <c r="L248">
        <v>0</v>
      </c>
      <c r="M248">
        <v>0</v>
      </c>
      <c r="N248">
        <v>0</v>
      </c>
      <c r="O248">
        <v>0</v>
      </c>
      <c r="P248">
        <v>0</v>
      </c>
      <c r="Q248">
        <v>0</v>
      </c>
      <c r="R248">
        <v>0</v>
      </c>
      <c r="S248">
        <v>0</v>
      </c>
      <c r="T248">
        <v>0</v>
      </c>
      <c r="U248">
        <v>0</v>
      </c>
      <c r="V248">
        <v>0</v>
      </c>
      <c r="W248">
        <v>0</v>
      </c>
      <c r="X248">
        <v>0</v>
      </c>
      <c r="Y248">
        <v>0</v>
      </c>
      <c r="Z248">
        <v>0</v>
      </c>
      <c r="AA248">
        <v>0</v>
      </c>
      <c r="AB248">
        <v>0</v>
      </c>
      <c r="AC248">
        <v>1</v>
      </c>
      <c r="AD248">
        <v>0</v>
      </c>
      <c r="AE248" t="s">
        <v>161</v>
      </c>
      <c r="AF248">
        <v>10</v>
      </c>
      <c r="AG248" t="s">
        <v>203</v>
      </c>
      <c r="AI248">
        <v>46236</v>
      </c>
      <c r="AJ248" t="s">
        <v>150</v>
      </c>
    </row>
    <row r="249" spans="1:36" x14ac:dyDescent="0.25">
      <c r="A249" s="1">
        <v>46236</v>
      </c>
      <c r="B249" t="s">
        <v>151</v>
      </c>
      <c r="C249" t="s">
        <v>10</v>
      </c>
      <c r="D249">
        <v>3.6011567851291222</v>
      </c>
      <c r="E249">
        <v>0.95</v>
      </c>
      <c r="F249">
        <v>0.95</v>
      </c>
      <c r="G249">
        <v>4.7610294117647047</v>
      </c>
      <c r="H249">
        <v>0.26380412092108813</v>
      </c>
      <c r="I249">
        <v>0.26380412092108813</v>
      </c>
      <c r="J249">
        <v>1.3220833459474035</v>
      </c>
      <c r="K249">
        <v>0.32208334594740351</v>
      </c>
      <c r="L249">
        <v>0</v>
      </c>
      <c r="M249">
        <v>0</v>
      </c>
      <c r="N249">
        <v>0</v>
      </c>
      <c r="O249">
        <v>0</v>
      </c>
      <c r="P249">
        <v>0</v>
      </c>
      <c r="Q249">
        <v>0</v>
      </c>
      <c r="R249">
        <v>0</v>
      </c>
      <c r="S249">
        <v>0</v>
      </c>
      <c r="T249">
        <v>0.73619587907891182</v>
      </c>
      <c r="U249">
        <v>0</v>
      </c>
      <c r="V249">
        <v>0</v>
      </c>
      <c r="W249">
        <v>0</v>
      </c>
      <c r="X249">
        <v>0</v>
      </c>
      <c r="Y249">
        <v>0.26380412092108813</v>
      </c>
      <c r="Z249">
        <v>0</v>
      </c>
      <c r="AA249">
        <v>0</v>
      </c>
      <c r="AB249">
        <v>0</v>
      </c>
      <c r="AC249">
        <v>0</v>
      </c>
      <c r="AD249">
        <v>0</v>
      </c>
      <c r="AE249" t="s">
        <v>161</v>
      </c>
      <c r="AF249">
        <v>10</v>
      </c>
      <c r="AG249" t="s">
        <v>205</v>
      </c>
      <c r="AI249">
        <v>46236</v>
      </c>
      <c r="AJ249" t="s">
        <v>150</v>
      </c>
    </row>
    <row r="250" spans="1:36" x14ac:dyDescent="0.25">
      <c r="A250" s="1">
        <v>46236</v>
      </c>
      <c r="B250" t="s">
        <v>151</v>
      </c>
      <c r="C250" t="s">
        <v>11</v>
      </c>
      <c r="D250">
        <v>0</v>
      </c>
      <c r="E250">
        <v>0</v>
      </c>
      <c r="F250">
        <v>0</v>
      </c>
      <c r="G250">
        <v>0</v>
      </c>
      <c r="K250">
        <v>0</v>
      </c>
      <c r="L250">
        <v>0</v>
      </c>
      <c r="M250">
        <v>0</v>
      </c>
      <c r="N250">
        <v>0</v>
      </c>
      <c r="O250">
        <v>0</v>
      </c>
      <c r="P250">
        <v>0</v>
      </c>
      <c r="Q250">
        <v>0</v>
      </c>
      <c r="R250">
        <v>0</v>
      </c>
      <c r="S250">
        <v>0</v>
      </c>
      <c r="T250">
        <v>0</v>
      </c>
      <c r="U250">
        <v>1</v>
      </c>
      <c r="V250">
        <v>0</v>
      </c>
      <c r="W250">
        <v>0</v>
      </c>
      <c r="X250">
        <v>0</v>
      </c>
      <c r="Y250">
        <v>0</v>
      </c>
      <c r="Z250">
        <v>0</v>
      </c>
      <c r="AA250">
        <v>0</v>
      </c>
      <c r="AB250">
        <v>0</v>
      </c>
      <c r="AD250">
        <v>0</v>
      </c>
      <c r="AE250" t="s">
        <v>161</v>
      </c>
      <c r="AF250">
        <v>10</v>
      </c>
      <c r="AG250" t="s">
        <v>204</v>
      </c>
      <c r="AI250">
        <v>46236</v>
      </c>
      <c r="AJ250" t="s">
        <v>150</v>
      </c>
    </row>
    <row r="251" spans="1:36" x14ac:dyDescent="0.25">
      <c r="A251" s="1">
        <v>46236</v>
      </c>
      <c r="B251" t="s">
        <v>151</v>
      </c>
      <c r="C251" t="s">
        <v>12</v>
      </c>
      <c r="D251">
        <v>3.1779578349000133</v>
      </c>
      <c r="E251">
        <v>2.8499999999999996</v>
      </c>
      <c r="F251">
        <v>2.8499999999999996</v>
      </c>
      <c r="G251">
        <v>3.7543252595155714</v>
      </c>
      <c r="H251">
        <v>0.89680233283827315</v>
      </c>
      <c r="I251">
        <v>0.89680233283827315</v>
      </c>
      <c r="J251">
        <v>1.1813640880586738</v>
      </c>
      <c r="K251">
        <v>0.18136408805867377</v>
      </c>
      <c r="L251">
        <v>0</v>
      </c>
      <c r="M251">
        <v>0</v>
      </c>
      <c r="N251">
        <v>0</v>
      </c>
      <c r="O251">
        <v>0</v>
      </c>
      <c r="P251">
        <v>0</v>
      </c>
      <c r="Q251">
        <v>0</v>
      </c>
      <c r="R251">
        <v>0</v>
      </c>
      <c r="S251">
        <v>0</v>
      </c>
      <c r="T251">
        <v>0.10319766716172685</v>
      </c>
      <c r="U251">
        <v>0</v>
      </c>
      <c r="V251">
        <v>0</v>
      </c>
      <c r="W251">
        <v>0</v>
      </c>
      <c r="X251">
        <v>0</v>
      </c>
      <c r="Y251">
        <v>0.89680233283827315</v>
      </c>
      <c r="Z251">
        <v>0</v>
      </c>
      <c r="AA251">
        <v>0</v>
      </c>
      <c r="AB251">
        <v>0</v>
      </c>
      <c r="AC251">
        <v>0</v>
      </c>
      <c r="AD251">
        <v>0</v>
      </c>
      <c r="AE251" t="s">
        <v>166</v>
      </c>
      <c r="AF251">
        <v>10</v>
      </c>
      <c r="AG251" t="s">
        <v>203</v>
      </c>
      <c r="AH251">
        <v>1</v>
      </c>
      <c r="AI251">
        <v>46236</v>
      </c>
      <c r="AJ251" t="s">
        <v>150</v>
      </c>
    </row>
    <row r="252" spans="1:36" x14ac:dyDescent="0.25">
      <c r="A252" s="1">
        <v>46236</v>
      </c>
      <c r="B252" t="s">
        <v>151</v>
      </c>
      <c r="C252" t="s">
        <v>10</v>
      </c>
      <c r="D252">
        <v>3.5876164620550925</v>
      </c>
      <c r="E252">
        <v>3.8</v>
      </c>
      <c r="F252">
        <v>3.8</v>
      </c>
      <c r="G252">
        <v>4.7610294117647047</v>
      </c>
      <c r="H252">
        <v>1.0591990643903022</v>
      </c>
      <c r="I252">
        <v>1.0591990643903022</v>
      </c>
      <c r="J252">
        <v>1.3270731311778647</v>
      </c>
      <c r="K252">
        <v>0.26787406678756254</v>
      </c>
      <c r="L252">
        <v>0</v>
      </c>
      <c r="M252">
        <v>0</v>
      </c>
      <c r="N252">
        <v>0</v>
      </c>
      <c r="O252">
        <v>0</v>
      </c>
      <c r="P252">
        <v>0.1908009356096978</v>
      </c>
      <c r="Q252">
        <v>5.9199064390302203E-2</v>
      </c>
      <c r="R252">
        <v>0</v>
      </c>
      <c r="S252">
        <v>0</v>
      </c>
      <c r="T252">
        <v>0</v>
      </c>
      <c r="U252">
        <v>0</v>
      </c>
      <c r="V252">
        <v>0</v>
      </c>
      <c r="W252">
        <v>0</v>
      </c>
      <c r="X252">
        <v>0</v>
      </c>
      <c r="Y252">
        <v>0</v>
      </c>
      <c r="Z252">
        <v>0</v>
      </c>
      <c r="AA252">
        <v>0</v>
      </c>
      <c r="AB252">
        <v>0</v>
      </c>
      <c r="AC252">
        <v>0</v>
      </c>
      <c r="AD252">
        <v>1</v>
      </c>
      <c r="AE252" t="s">
        <v>166</v>
      </c>
      <c r="AF252">
        <v>10</v>
      </c>
      <c r="AG252" t="s">
        <v>205</v>
      </c>
      <c r="AH252">
        <v>1</v>
      </c>
      <c r="AI252">
        <v>46236</v>
      </c>
      <c r="AJ252" t="s">
        <v>150</v>
      </c>
    </row>
    <row r="253" spans="1:36" x14ac:dyDescent="0.25">
      <c r="A253" s="1">
        <v>46236</v>
      </c>
      <c r="B253" t="s">
        <v>151</v>
      </c>
      <c r="C253" t="s">
        <v>11</v>
      </c>
      <c r="D253">
        <v>0</v>
      </c>
      <c r="E253">
        <v>0</v>
      </c>
      <c r="F253">
        <v>0</v>
      </c>
      <c r="G253">
        <v>0</v>
      </c>
      <c r="K253">
        <v>0</v>
      </c>
      <c r="L253">
        <v>0</v>
      </c>
      <c r="M253">
        <v>0</v>
      </c>
      <c r="N253">
        <v>0</v>
      </c>
      <c r="O253">
        <v>0</v>
      </c>
      <c r="P253">
        <v>0</v>
      </c>
      <c r="Q253">
        <v>0</v>
      </c>
      <c r="R253">
        <v>0</v>
      </c>
      <c r="S253">
        <v>0</v>
      </c>
      <c r="T253">
        <v>0</v>
      </c>
      <c r="U253">
        <v>1</v>
      </c>
      <c r="V253">
        <v>0</v>
      </c>
      <c r="W253">
        <v>0</v>
      </c>
      <c r="X253">
        <v>0</v>
      </c>
      <c r="Y253">
        <v>0</v>
      </c>
      <c r="Z253">
        <v>0</v>
      </c>
      <c r="AA253">
        <v>0</v>
      </c>
      <c r="AB253">
        <v>0</v>
      </c>
      <c r="AD253">
        <v>0</v>
      </c>
      <c r="AE253" t="s">
        <v>166</v>
      </c>
      <c r="AF253">
        <v>10</v>
      </c>
      <c r="AG253" t="s">
        <v>204</v>
      </c>
      <c r="AH253">
        <v>1</v>
      </c>
      <c r="AI253">
        <v>46236</v>
      </c>
      <c r="AJ253" t="s">
        <v>150</v>
      </c>
    </row>
    <row r="254" spans="1:36" x14ac:dyDescent="0.25">
      <c r="A254" s="1">
        <v>46237</v>
      </c>
      <c r="B254" t="s">
        <v>151</v>
      </c>
      <c r="C254" t="s">
        <v>10</v>
      </c>
      <c r="D254">
        <v>3.6011567851291222</v>
      </c>
      <c r="E254">
        <v>0</v>
      </c>
      <c r="F254">
        <v>0</v>
      </c>
      <c r="G254">
        <v>4.7058823529411757</v>
      </c>
      <c r="H254">
        <v>0</v>
      </c>
      <c r="I254">
        <v>0</v>
      </c>
      <c r="J254">
        <v>1.306769639237588</v>
      </c>
      <c r="K254">
        <v>0.30676963923758804</v>
      </c>
      <c r="L254">
        <v>0</v>
      </c>
      <c r="M254">
        <v>0</v>
      </c>
      <c r="N254">
        <v>0</v>
      </c>
      <c r="O254">
        <v>0</v>
      </c>
      <c r="P254">
        <v>0</v>
      </c>
      <c r="Q254">
        <v>0</v>
      </c>
      <c r="R254">
        <v>0</v>
      </c>
      <c r="S254">
        <v>0</v>
      </c>
      <c r="T254">
        <v>0</v>
      </c>
      <c r="U254">
        <v>0</v>
      </c>
      <c r="V254">
        <v>0</v>
      </c>
      <c r="W254">
        <v>0</v>
      </c>
      <c r="X254">
        <v>0</v>
      </c>
      <c r="Y254">
        <v>0</v>
      </c>
      <c r="Z254">
        <v>0</v>
      </c>
      <c r="AA254">
        <v>0</v>
      </c>
      <c r="AB254">
        <v>0</v>
      </c>
      <c r="AC254">
        <v>1</v>
      </c>
      <c r="AD254">
        <v>0</v>
      </c>
      <c r="AE254" t="s">
        <v>161</v>
      </c>
      <c r="AF254">
        <v>10</v>
      </c>
      <c r="AG254" t="s">
        <v>206</v>
      </c>
      <c r="AI254">
        <v>46237</v>
      </c>
      <c r="AJ254" t="s">
        <v>150</v>
      </c>
    </row>
    <row r="255" spans="1:36" x14ac:dyDescent="0.25">
      <c r="A255" s="1">
        <v>46237</v>
      </c>
      <c r="B255" t="s">
        <v>151</v>
      </c>
      <c r="C255" t="s">
        <v>12</v>
      </c>
      <c r="D255">
        <v>3.1774912809962848</v>
      </c>
      <c r="E255">
        <v>0</v>
      </c>
      <c r="F255">
        <v>0</v>
      </c>
      <c r="G255">
        <v>4.6885813148788937</v>
      </c>
      <c r="H255">
        <v>0</v>
      </c>
      <c r="I255">
        <v>0</v>
      </c>
      <c r="J255">
        <v>1.4755607176391103</v>
      </c>
      <c r="K255">
        <v>0.47556071763911034</v>
      </c>
      <c r="L255">
        <v>0</v>
      </c>
      <c r="M255">
        <v>0</v>
      </c>
      <c r="N255">
        <v>0</v>
      </c>
      <c r="O255">
        <v>0</v>
      </c>
      <c r="P255">
        <v>0</v>
      </c>
      <c r="Q255">
        <v>0</v>
      </c>
      <c r="R255">
        <v>0</v>
      </c>
      <c r="S255">
        <v>0</v>
      </c>
      <c r="T255">
        <v>0</v>
      </c>
      <c r="U255">
        <v>0</v>
      </c>
      <c r="V255">
        <v>0</v>
      </c>
      <c r="W255">
        <v>0</v>
      </c>
      <c r="X255">
        <v>0</v>
      </c>
      <c r="Y255">
        <v>0</v>
      </c>
      <c r="Z255">
        <v>0</v>
      </c>
      <c r="AA255">
        <v>0</v>
      </c>
      <c r="AB255">
        <v>0</v>
      </c>
      <c r="AC255">
        <v>1</v>
      </c>
      <c r="AD255">
        <v>0</v>
      </c>
      <c r="AE255" t="s">
        <v>161</v>
      </c>
      <c r="AF255">
        <v>10</v>
      </c>
      <c r="AG255" t="s">
        <v>208</v>
      </c>
      <c r="AI255">
        <v>46237</v>
      </c>
      <c r="AJ255" t="s">
        <v>150</v>
      </c>
    </row>
    <row r="256" spans="1:36" x14ac:dyDescent="0.25">
      <c r="A256" s="1">
        <v>46237</v>
      </c>
      <c r="B256" t="s">
        <v>151</v>
      </c>
      <c r="C256" t="s">
        <v>11</v>
      </c>
      <c r="D256">
        <v>0</v>
      </c>
      <c r="E256">
        <v>0</v>
      </c>
      <c r="F256">
        <v>0</v>
      </c>
      <c r="G256">
        <v>0</v>
      </c>
      <c r="K256">
        <v>0</v>
      </c>
      <c r="L256">
        <v>0</v>
      </c>
      <c r="M256">
        <v>0</v>
      </c>
      <c r="N256">
        <v>0</v>
      </c>
      <c r="O256">
        <v>0</v>
      </c>
      <c r="P256">
        <v>0</v>
      </c>
      <c r="Q256">
        <v>0</v>
      </c>
      <c r="R256">
        <v>0</v>
      </c>
      <c r="S256">
        <v>0</v>
      </c>
      <c r="T256">
        <v>0</v>
      </c>
      <c r="U256">
        <v>1</v>
      </c>
      <c r="V256">
        <v>0</v>
      </c>
      <c r="W256">
        <v>0</v>
      </c>
      <c r="X256">
        <v>0</v>
      </c>
      <c r="Y256">
        <v>0</v>
      </c>
      <c r="Z256">
        <v>0</v>
      </c>
      <c r="AA256">
        <v>0</v>
      </c>
      <c r="AB256">
        <v>0</v>
      </c>
      <c r="AD256">
        <v>0</v>
      </c>
      <c r="AE256" t="s">
        <v>161</v>
      </c>
      <c r="AF256">
        <v>10</v>
      </c>
      <c r="AG256" t="s">
        <v>207</v>
      </c>
      <c r="AI256">
        <v>46237</v>
      </c>
      <c r="AJ256" t="s">
        <v>150</v>
      </c>
    </row>
    <row r="257" spans="1:36" x14ac:dyDescent="0.25">
      <c r="A257" s="1">
        <v>46237</v>
      </c>
      <c r="B257" t="s">
        <v>151</v>
      </c>
      <c r="C257" t="s">
        <v>10</v>
      </c>
      <c r="D257">
        <v>3.5876164620550925</v>
      </c>
      <c r="E257">
        <v>3.8</v>
      </c>
      <c r="F257">
        <v>3.8</v>
      </c>
      <c r="G257">
        <v>4.7058823529411757</v>
      </c>
      <c r="H257">
        <v>1.0591990643903022</v>
      </c>
      <c r="I257">
        <v>1.0591990643903022</v>
      </c>
      <c r="J257">
        <v>1.3117016277279281</v>
      </c>
      <c r="K257">
        <v>0.25250256333762588</v>
      </c>
      <c r="L257">
        <v>0</v>
      </c>
      <c r="M257">
        <v>0</v>
      </c>
      <c r="N257">
        <v>0</v>
      </c>
      <c r="O257">
        <v>0</v>
      </c>
      <c r="P257">
        <v>0.1908009356096978</v>
      </c>
      <c r="Q257">
        <v>5.9199064390302203E-2</v>
      </c>
      <c r="R257">
        <v>0</v>
      </c>
      <c r="S257">
        <v>0</v>
      </c>
      <c r="T257">
        <v>0</v>
      </c>
      <c r="U257">
        <v>0</v>
      </c>
      <c r="V257">
        <v>0</v>
      </c>
      <c r="W257">
        <v>0</v>
      </c>
      <c r="X257">
        <v>0</v>
      </c>
      <c r="Y257">
        <v>0</v>
      </c>
      <c r="Z257">
        <v>0</v>
      </c>
      <c r="AA257">
        <v>0</v>
      </c>
      <c r="AB257">
        <v>0</v>
      </c>
      <c r="AC257">
        <v>0</v>
      </c>
      <c r="AD257">
        <v>1</v>
      </c>
      <c r="AE257" t="s">
        <v>166</v>
      </c>
      <c r="AF257">
        <v>10</v>
      </c>
      <c r="AG257" t="s">
        <v>206</v>
      </c>
      <c r="AH257">
        <v>1</v>
      </c>
      <c r="AI257">
        <v>46237</v>
      </c>
      <c r="AJ257" t="s">
        <v>150</v>
      </c>
    </row>
    <row r="258" spans="1:36" x14ac:dyDescent="0.25">
      <c r="A258" s="1">
        <v>46237</v>
      </c>
      <c r="B258" t="s">
        <v>151</v>
      </c>
      <c r="C258" t="s">
        <v>12</v>
      </c>
      <c r="D258">
        <v>3.1779578349000128</v>
      </c>
      <c r="E258">
        <v>2.8499999999999996</v>
      </c>
      <c r="F258">
        <v>2.8499999999999996</v>
      </c>
      <c r="G258">
        <v>4.6885813148788937</v>
      </c>
      <c r="H258">
        <v>0.89680233283827326</v>
      </c>
      <c r="I258">
        <v>0.89680233283827326</v>
      </c>
      <c r="J258">
        <v>1.4753440915387126</v>
      </c>
      <c r="K258">
        <v>0.4753440915387126</v>
      </c>
      <c r="L258">
        <v>0</v>
      </c>
      <c r="M258">
        <v>0</v>
      </c>
      <c r="N258">
        <v>0</v>
      </c>
      <c r="O258">
        <v>0</v>
      </c>
      <c r="P258">
        <v>0</v>
      </c>
      <c r="Q258">
        <v>0</v>
      </c>
      <c r="R258">
        <v>0</v>
      </c>
      <c r="S258">
        <v>0</v>
      </c>
      <c r="T258">
        <v>0.10319766716172674</v>
      </c>
      <c r="U258">
        <v>0</v>
      </c>
      <c r="V258">
        <v>0</v>
      </c>
      <c r="W258">
        <v>0</v>
      </c>
      <c r="X258">
        <v>0</v>
      </c>
      <c r="Y258">
        <v>0.89680233283827326</v>
      </c>
      <c r="Z258">
        <v>0</v>
      </c>
      <c r="AA258">
        <v>0</v>
      </c>
      <c r="AB258">
        <v>0</v>
      </c>
      <c r="AC258">
        <v>0</v>
      </c>
      <c r="AD258">
        <v>0</v>
      </c>
      <c r="AE258" t="s">
        <v>166</v>
      </c>
      <c r="AF258">
        <v>10</v>
      </c>
      <c r="AG258" t="s">
        <v>208</v>
      </c>
      <c r="AH258">
        <v>1</v>
      </c>
      <c r="AI258">
        <v>46237</v>
      </c>
      <c r="AJ258" t="s">
        <v>150</v>
      </c>
    </row>
    <row r="259" spans="1:36" x14ac:dyDescent="0.25">
      <c r="A259" s="1">
        <v>46237</v>
      </c>
      <c r="B259" t="s">
        <v>151</v>
      </c>
      <c r="C259" t="s">
        <v>11</v>
      </c>
      <c r="D259">
        <v>0</v>
      </c>
      <c r="E259">
        <v>0</v>
      </c>
      <c r="F259">
        <v>0</v>
      </c>
      <c r="G259">
        <v>0</v>
      </c>
      <c r="K259">
        <v>0</v>
      </c>
      <c r="L259">
        <v>0</v>
      </c>
      <c r="M259">
        <v>0</v>
      </c>
      <c r="N259">
        <v>0</v>
      </c>
      <c r="O259">
        <v>0</v>
      </c>
      <c r="P259">
        <v>0</v>
      </c>
      <c r="Q259">
        <v>0</v>
      </c>
      <c r="R259">
        <v>0</v>
      </c>
      <c r="S259">
        <v>0</v>
      </c>
      <c r="T259">
        <v>0</v>
      </c>
      <c r="U259">
        <v>1</v>
      </c>
      <c r="V259">
        <v>0</v>
      </c>
      <c r="W259">
        <v>0</v>
      </c>
      <c r="X259">
        <v>0</v>
      </c>
      <c r="Y259">
        <v>0</v>
      </c>
      <c r="Z259">
        <v>0</v>
      </c>
      <c r="AA259">
        <v>0</v>
      </c>
      <c r="AB259">
        <v>0</v>
      </c>
      <c r="AD259">
        <v>0</v>
      </c>
      <c r="AE259" t="s">
        <v>166</v>
      </c>
      <c r="AF259">
        <v>10</v>
      </c>
      <c r="AG259" t="s">
        <v>207</v>
      </c>
      <c r="AH259">
        <v>1</v>
      </c>
      <c r="AI259">
        <v>46237</v>
      </c>
      <c r="AJ259" t="s">
        <v>150</v>
      </c>
    </row>
    <row r="260" spans="1:36" x14ac:dyDescent="0.25">
      <c r="A260" s="1">
        <v>46238</v>
      </c>
      <c r="B260" t="s">
        <v>151</v>
      </c>
      <c r="C260" t="s">
        <v>12</v>
      </c>
      <c r="D260">
        <v>3.2304494690128904</v>
      </c>
      <c r="E260">
        <v>0</v>
      </c>
      <c r="F260">
        <v>0</v>
      </c>
      <c r="G260">
        <v>4.6397539407920032</v>
      </c>
      <c r="H260">
        <v>0</v>
      </c>
      <c r="I260">
        <v>0</v>
      </c>
      <c r="J260">
        <v>1.4362564668778879</v>
      </c>
      <c r="K260">
        <v>0.43625646687788788</v>
      </c>
      <c r="L260">
        <v>0</v>
      </c>
      <c r="M260">
        <v>0</v>
      </c>
      <c r="N260">
        <v>0</v>
      </c>
      <c r="O260">
        <v>0</v>
      </c>
      <c r="P260">
        <v>0</v>
      </c>
      <c r="Q260">
        <v>0</v>
      </c>
      <c r="R260">
        <v>0</v>
      </c>
      <c r="S260">
        <v>0</v>
      </c>
      <c r="T260">
        <v>0</v>
      </c>
      <c r="U260">
        <v>0</v>
      </c>
      <c r="V260">
        <v>0</v>
      </c>
      <c r="W260">
        <v>0</v>
      </c>
      <c r="X260">
        <v>0</v>
      </c>
      <c r="Y260">
        <v>0</v>
      </c>
      <c r="Z260">
        <v>0</v>
      </c>
      <c r="AA260">
        <v>0</v>
      </c>
      <c r="AB260">
        <v>0</v>
      </c>
      <c r="AC260">
        <v>1</v>
      </c>
      <c r="AD260">
        <v>0</v>
      </c>
      <c r="AE260" t="s">
        <v>161</v>
      </c>
      <c r="AF260">
        <v>10</v>
      </c>
      <c r="AG260" t="s">
        <v>209</v>
      </c>
      <c r="AI260">
        <v>46238</v>
      </c>
      <c r="AJ260" t="s">
        <v>150</v>
      </c>
    </row>
    <row r="261" spans="1:36" x14ac:dyDescent="0.25">
      <c r="A261" s="1">
        <v>46238</v>
      </c>
      <c r="B261" t="s">
        <v>151</v>
      </c>
      <c r="C261" t="s">
        <v>11</v>
      </c>
      <c r="D261">
        <v>0</v>
      </c>
      <c r="E261">
        <v>0</v>
      </c>
      <c r="F261">
        <v>0</v>
      </c>
      <c r="G261">
        <v>0</v>
      </c>
      <c r="K261">
        <v>0</v>
      </c>
      <c r="L261">
        <v>0</v>
      </c>
      <c r="M261">
        <v>0</v>
      </c>
      <c r="N261">
        <v>0</v>
      </c>
      <c r="O261">
        <v>0</v>
      </c>
      <c r="P261">
        <v>0</v>
      </c>
      <c r="Q261">
        <v>0</v>
      </c>
      <c r="R261">
        <v>0</v>
      </c>
      <c r="S261">
        <v>0</v>
      </c>
      <c r="T261">
        <v>0</v>
      </c>
      <c r="U261">
        <v>1</v>
      </c>
      <c r="V261">
        <v>0</v>
      </c>
      <c r="W261">
        <v>0</v>
      </c>
      <c r="X261">
        <v>0</v>
      </c>
      <c r="Y261">
        <v>0</v>
      </c>
      <c r="Z261">
        <v>0</v>
      </c>
      <c r="AA261">
        <v>0</v>
      </c>
      <c r="AB261">
        <v>0</v>
      </c>
      <c r="AD261">
        <v>0</v>
      </c>
      <c r="AE261" t="s">
        <v>161</v>
      </c>
      <c r="AF261">
        <v>10</v>
      </c>
      <c r="AG261" t="s">
        <v>210</v>
      </c>
      <c r="AI261">
        <v>46238</v>
      </c>
      <c r="AJ261" t="s">
        <v>150</v>
      </c>
    </row>
    <row r="262" spans="1:36" x14ac:dyDescent="0.25">
      <c r="A262" s="1">
        <v>46238</v>
      </c>
      <c r="B262" t="s">
        <v>151</v>
      </c>
      <c r="C262" t="s">
        <v>10</v>
      </c>
      <c r="D262">
        <v>3.6011567851291222</v>
      </c>
      <c r="E262">
        <v>0</v>
      </c>
      <c r="F262">
        <v>0</v>
      </c>
      <c r="G262">
        <v>4.8202614379084965</v>
      </c>
      <c r="H262">
        <v>0</v>
      </c>
      <c r="I262">
        <v>0</v>
      </c>
      <c r="J262">
        <v>1.3385314013023908</v>
      </c>
      <c r="K262">
        <v>0.33853140130239079</v>
      </c>
      <c r="L262">
        <v>0</v>
      </c>
      <c r="M262">
        <v>0</v>
      </c>
      <c r="N262">
        <v>0</v>
      </c>
      <c r="O262">
        <v>0</v>
      </c>
      <c r="P262">
        <v>0</v>
      </c>
      <c r="Q262">
        <v>0</v>
      </c>
      <c r="R262">
        <v>0</v>
      </c>
      <c r="S262">
        <v>0</v>
      </c>
      <c r="T262">
        <v>0</v>
      </c>
      <c r="U262">
        <v>0</v>
      </c>
      <c r="V262">
        <v>0</v>
      </c>
      <c r="W262">
        <v>0</v>
      </c>
      <c r="X262">
        <v>0</v>
      </c>
      <c r="Y262">
        <v>0</v>
      </c>
      <c r="Z262">
        <v>0</v>
      </c>
      <c r="AA262">
        <v>0</v>
      </c>
      <c r="AB262">
        <v>0</v>
      </c>
      <c r="AC262">
        <v>1</v>
      </c>
      <c r="AD262">
        <v>0</v>
      </c>
      <c r="AE262" t="s">
        <v>161</v>
      </c>
      <c r="AF262">
        <v>10</v>
      </c>
      <c r="AG262" t="s">
        <v>211</v>
      </c>
      <c r="AI262">
        <v>46238</v>
      </c>
      <c r="AJ262" t="s">
        <v>150</v>
      </c>
    </row>
    <row r="263" spans="1:36" x14ac:dyDescent="0.25">
      <c r="A263" s="1">
        <v>46238</v>
      </c>
      <c r="B263" t="s">
        <v>151</v>
      </c>
      <c r="C263" t="s">
        <v>12</v>
      </c>
      <c r="D263">
        <v>3.2276134260703255</v>
      </c>
      <c r="E263">
        <v>2.8499999999999996</v>
      </c>
      <c r="F263">
        <v>2.8499999999999996</v>
      </c>
      <c r="G263">
        <v>4.6397539407920032</v>
      </c>
      <c r="H263">
        <v>0.88300537387153066</v>
      </c>
      <c r="I263">
        <v>0.88300537387153066</v>
      </c>
      <c r="J263">
        <v>1.437518478302088</v>
      </c>
      <c r="K263">
        <v>0.43751847830208801</v>
      </c>
      <c r="L263">
        <v>0</v>
      </c>
      <c r="M263">
        <v>0</v>
      </c>
      <c r="N263">
        <v>0</v>
      </c>
      <c r="O263">
        <v>0</v>
      </c>
      <c r="P263">
        <v>0</v>
      </c>
      <c r="Q263">
        <v>0</v>
      </c>
      <c r="R263">
        <v>0</v>
      </c>
      <c r="S263">
        <v>0</v>
      </c>
      <c r="T263">
        <v>0.11699462612846934</v>
      </c>
      <c r="U263">
        <v>0</v>
      </c>
      <c r="V263">
        <v>0</v>
      </c>
      <c r="W263">
        <v>0</v>
      </c>
      <c r="X263">
        <v>0</v>
      </c>
      <c r="Y263">
        <v>0.88300537387153066</v>
      </c>
      <c r="Z263">
        <v>0</v>
      </c>
      <c r="AA263">
        <v>0</v>
      </c>
      <c r="AB263">
        <v>0</v>
      </c>
      <c r="AC263">
        <v>0</v>
      </c>
      <c r="AD263">
        <v>0</v>
      </c>
      <c r="AE263" t="s">
        <v>166</v>
      </c>
      <c r="AF263">
        <v>10</v>
      </c>
      <c r="AG263" t="s">
        <v>209</v>
      </c>
      <c r="AH263">
        <v>1</v>
      </c>
      <c r="AI263">
        <v>46238</v>
      </c>
      <c r="AJ263" t="s">
        <v>150</v>
      </c>
    </row>
    <row r="264" spans="1:36" x14ac:dyDescent="0.25">
      <c r="A264" s="1">
        <v>46238</v>
      </c>
      <c r="B264" t="s">
        <v>151</v>
      </c>
      <c r="C264" t="s">
        <v>11</v>
      </c>
      <c r="D264">
        <v>0</v>
      </c>
      <c r="E264">
        <v>0.95</v>
      </c>
      <c r="F264">
        <v>0.95</v>
      </c>
      <c r="G264">
        <v>0</v>
      </c>
      <c r="K264">
        <v>0</v>
      </c>
      <c r="L264">
        <v>0</v>
      </c>
      <c r="M264">
        <v>0</v>
      </c>
      <c r="N264">
        <v>0</v>
      </c>
      <c r="O264">
        <v>0</v>
      </c>
      <c r="P264">
        <v>0</v>
      </c>
      <c r="Q264">
        <v>0</v>
      </c>
      <c r="R264">
        <v>0</v>
      </c>
      <c r="S264">
        <v>0</v>
      </c>
      <c r="T264">
        <v>0</v>
      </c>
      <c r="U264">
        <v>1</v>
      </c>
      <c r="V264">
        <v>0</v>
      </c>
      <c r="W264">
        <v>0</v>
      </c>
      <c r="X264">
        <v>0</v>
      </c>
      <c r="Y264">
        <v>0</v>
      </c>
      <c r="Z264">
        <v>0</v>
      </c>
      <c r="AA264">
        <v>1</v>
      </c>
      <c r="AB264">
        <v>0</v>
      </c>
      <c r="AD264">
        <v>0</v>
      </c>
      <c r="AE264" t="s">
        <v>166</v>
      </c>
      <c r="AF264">
        <v>10</v>
      </c>
      <c r="AG264" t="s">
        <v>210</v>
      </c>
      <c r="AH264">
        <v>1</v>
      </c>
      <c r="AI264">
        <v>46238</v>
      </c>
      <c r="AJ264" t="s">
        <v>150</v>
      </c>
    </row>
    <row r="265" spans="1:36" x14ac:dyDescent="0.25">
      <c r="A265" s="1">
        <v>46238</v>
      </c>
      <c r="B265" t="s">
        <v>151</v>
      </c>
      <c r="C265" t="s">
        <v>10</v>
      </c>
      <c r="D265">
        <v>3.5876164620550925</v>
      </c>
      <c r="E265">
        <v>3.8</v>
      </c>
      <c r="F265">
        <v>3.8</v>
      </c>
      <c r="G265">
        <v>4.8202614379084965</v>
      </c>
      <c r="H265">
        <v>1.0591990643903022</v>
      </c>
      <c r="I265">
        <v>1.0591990643903022</v>
      </c>
      <c r="J265">
        <v>1.3435832645129822</v>
      </c>
      <c r="K265">
        <v>0.28438420012267995</v>
      </c>
      <c r="L265">
        <v>0</v>
      </c>
      <c r="M265">
        <v>0</v>
      </c>
      <c r="N265">
        <v>0</v>
      </c>
      <c r="O265">
        <v>0</v>
      </c>
      <c r="P265">
        <v>0.1908009356096978</v>
      </c>
      <c r="Q265">
        <v>5.9199064390302203E-2</v>
      </c>
      <c r="R265">
        <v>0</v>
      </c>
      <c r="S265">
        <v>0</v>
      </c>
      <c r="T265">
        <v>0</v>
      </c>
      <c r="U265">
        <v>0</v>
      </c>
      <c r="V265">
        <v>0</v>
      </c>
      <c r="W265">
        <v>0</v>
      </c>
      <c r="X265">
        <v>0</v>
      </c>
      <c r="Y265">
        <v>0</v>
      </c>
      <c r="Z265">
        <v>0</v>
      </c>
      <c r="AA265">
        <v>0</v>
      </c>
      <c r="AB265">
        <v>0</v>
      </c>
      <c r="AC265">
        <v>0</v>
      </c>
      <c r="AD265">
        <v>1</v>
      </c>
      <c r="AE265" t="s">
        <v>166</v>
      </c>
      <c r="AF265">
        <v>10</v>
      </c>
      <c r="AG265" t="s">
        <v>211</v>
      </c>
      <c r="AH265">
        <v>1</v>
      </c>
      <c r="AI265">
        <v>46238</v>
      </c>
      <c r="AJ265" t="s">
        <v>150</v>
      </c>
    </row>
    <row r="266" spans="1:36" x14ac:dyDescent="0.25">
      <c r="A266" s="1">
        <v>46239</v>
      </c>
      <c r="B266" t="s">
        <v>151</v>
      </c>
      <c r="C266" t="s">
        <v>11</v>
      </c>
      <c r="D266">
        <v>0</v>
      </c>
      <c r="E266">
        <v>0</v>
      </c>
      <c r="F266">
        <v>0</v>
      </c>
      <c r="G266">
        <v>0</v>
      </c>
      <c r="K266">
        <v>0</v>
      </c>
      <c r="L266">
        <v>0</v>
      </c>
      <c r="M266">
        <v>0</v>
      </c>
      <c r="N266">
        <v>0</v>
      </c>
      <c r="O266">
        <v>0</v>
      </c>
      <c r="P266">
        <v>0</v>
      </c>
      <c r="Q266">
        <v>0</v>
      </c>
      <c r="R266">
        <v>0</v>
      </c>
      <c r="S266">
        <v>0</v>
      </c>
      <c r="T266">
        <v>0</v>
      </c>
      <c r="U266">
        <v>1</v>
      </c>
      <c r="V266">
        <v>0</v>
      </c>
      <c r="W266">
        <v>0</v>
      </c>
      <c r="X266">
        <v>0</v>
      </c>
      <c r="Y266">
        <v>0</v>
      </c>
      <c r="Z266">
        <v>0</v>
      </c>
      <c r="AA266">
        <v>0</v>
      </c>
      <c r="AB266">
        <v>0</v>
      </c>
      <c r="AD266">
        <v>0</v>
      </c>
      <c r="AE266" t="s">
        <v>161</v>
      </c>
      <c r="AF266">
        <v>10</v>
      </c>
      <c r="AG266" t="s">
        <v>212</v>
      </c>
      <c r="AI266">
        <v>46239</v>
      </c>
      <c r="AJ266" t="s">
        <v>150</v>
      </c>
    </row>
    <row r="267" spans="1:36" x14ac:dyDescent="0.25">
      <c r="A267" s="1">
        <v>46239</v>
      </c>
      <c r="B267" t="s">
        <v>151</v>
      </c>
      <c r="C267" t="s">
        <v>10</v>
      </c>
      <c r="D267">
        <v>3.6011567851291222</v>
      </c>
      <c r="E267">
        <v>0</v>
      </c>
      <c r="F267">
        <v>0</v>
      </c>
      <c r="G267">
        <v>4.7022058823529402</v>
      </c>
      <c r="H267">
        <v>0</v>
      </c>
      <c r="I267">
        <v>0</v>
      </c>
      <c r="J267">
        <v>1.3057487254569338</v>
      </c>
      <c r="K267">
        <v>0.30574872545693377</v>
      </c>
      <c r="L267">
        <v>0</v>
      </c>
      <c r="M267">
        <v>0</v>
      </c>
      <c r="N267">
        <v>0</v>
      </c>
      <c r="O267">
        <v>0</v>
      </c>
      <c r="P267">
        <v>0</v>
      </c>
      <c r="Q267">
        <v>0</v>
      </c>
      <c r="R267">
        <v>0</v>
      </c>
      <c r="S267">
        <v>0</v>
      </c>
      <c r="T267">
        <v>0</v>
      </c>
      <c r="U267">
        <v>0</v>
      </c>
      <c r="V267">
        <v>0</v>
      </c>
      <c r="W267">
        <v>0</v>
      </c>
      <c r="X267">
        <v>0</v>
      </c>
      <c r="Y267">
        <v>0</v>
      </c>
      <c r="Z267">
        <v>0</v>
      </c>
      <c r="AA267">
        <v>0</v>
      </c>
      <c r="AB267">
        <v>0</v>
      </c>
      <c r="AC267">
        <v>1</v>
      </c>
      <c r="AD267">
        <v>0</v>
      </c>
      <c r="AE267" t="s">
        <v>161</v>
      </c>
      <c r="AF267">
        <v>10</v>
      </c>
      <c r="AG267" t="s">
        <v>214</v>
      </c>
      <c r="AI267">
        <v>46239</v>
      </c>
      <c r="AJ267" t="s">
        <v>150</v>
      </c>
    </row>
    <row r="268" spans="1:36" x14ac:dyDescent="0.25">
      <c r="A268" s="1">
        <v>46239</v>
      </c>
      <c r="B268" t="s">
        <v>151</v>
      </c>
      <c r="C268" t="s">
        <v>12</v>
      </c>
      <c r="D268">
        <v>3.1774912809962848</v>
      </c>
      <c r="E268">
        <v>0</v>
      </c>
      <c r="F268">
        <v>0</v>
      </c>
      <c r="G268">
        <v>4.6332179930795849</v>
      </c>
      <c r="H268">
        <v>0</v>
      </c>
      <c r="I268">
        <v>0</v>
      </c>
      <c r="J268">
        <v>1.4581371224492754</v>
      </c>
      <c r="K268">
        <v>0.4581371224492754</v>
      </c>
      <c r="L268">
        <v>0</v>
      </c>
      <c r="M268">
        <v>0</v>
      </c>
      <c r="N268">
        <v>0</v>
      </c>
      <c r="O268">
        <v>0</v>
      </c>
      <c r="P268">
        <v>0</v>
      </c>
      <c r="Q268">
        <v>0</v>
      </c>
      <c r="R268">
        <v>0</v>
      </c>
      <c r="S268">
        <v>0</v>
      </c>
      <c r="T268">
        <v>0</v>
      </c>
      <c r="U268">
        <v>0</v>
      </c>
      <c r="V268">
        <v>0</v>
      </c>
      <c r="W268">
        <v>0</v>
      </c>
      <c r="X268">
        <v>0</v>
      </c>
      <c r="Y268">
        <v>0</v>
      </c>
      <c r="Z268">
        <v>0</v>
      </c>
      <c r="AA268">
        <v>0</v>
      </c>
      <c r="AB268">
        <v>0</v>
      </c>
      <c r="AC268">
        <v>1</v>
      </c>
      <c r="AD268">
        <v>0</v>
      </c>
      <c r="AE268" t="s">
        <v>161</v>
      </c>
      <c r="AF268">
        <v>10</v>
      </c>
      <c r="AG268" t="s">
        <v>213</v>
      </c>
      <c r="AI268">
        <v>46239</v>
      </c>
      <c r="AJ268" t="s">
        <v>150</v>
      </c>
    </row>
    <row r="269" spans="1:36" x14ac:dyDescent="0.25">
      <c r="A269" s="1">
        <v>46239</v>
      </c>
      <c r="B269" t="s">
        <v>151</v>
      </c>
      <c r="C269" t="s">
        <v>11</v>
      </c>
      <c r="D269">
        <v>0</v>
      </c>
      <c r="E269">
        <v>0.95</v>
      </c>
      <c r="F269">
        <v>0.95</v>
      </c>
      <c r="G269">
        <v>0</v>
      </c>
      <c r="K269">
        <v>0</v>
      </c>
      <c r="L269">
        <v>0</v>
      </c>
      <c r="M269">
        <v>0</v>
      </c>
      <c r="N269">
        <v>0</v>
      </c>
      <c r="O269">
        <v>0</v>
      </c>
      <c r="P269">
        <v>0</v>
      </c>
      <c r="Q269">
        <v>0</v>
      </c>
      <c r="R269">
        <v>0</v>
      </c>
      <c r="S269">
        <v>0</v>
      </c>
      <c r="T269">
        <v>0</v>
      </c>
      <c r="U269">
        <v>1</v>
      </c>
      <c r="V269">
        <v>0</v>
      </c>
      <c r="W269">
        <v>0</v>
      </c>
      <c r="X269">
        <v>0</v>
      </c>
      <c r="Y269">
        <v>0</v>
      </c>
      <c r="Z269">
        <v>0</v>
      </c>
      <c r="AA269">
        <v>1</v>
      </c>
      <c r="AB269">
        <v>0</v>
      </c>
      <c r="AD269">
        <v>0</v>
      </c>
      <c r="AE269" t="s">
        <v>166</v>
      </c>
      <c r="AF269">
        <v>10</v>
      </c>
      <c r="AG269" t="s">
        <v>212</v>
      </c>
      <c r="AH269">
        <v>1</v>
      </c>
      <c r="AI269">
        <v>46239</v>
      </c>
      <c r="AJ269" t="s">
        <v>150</v>
      </c>
    </row>
    <row r="270" spans="1:36" x14ac:dyDescent="0.25">
      <c r="A270" s="1">
        <v>46239</v>
      </c>
      <c r="B270" t="s">
        <v>151</v>
      </c>
      <c r="C270" t="s">
        <v>10</v>
      </c>
      <c r="D270">
        <v>3.5876164620550925</v>
      </c>
      <c r="E270">
        <v>3.8</v>
      </c>
      <c r="F270">
        <v>3.8</v>
      </c>
      <c r="G270">
        <v>4.7022058823529402</v>
      </c>
      <c r="H270">
        <v>1.0591990643903022</v>
      </c>
      <c r="I270">
        <v>1.0591990643903022</v>
      </c>
      <c r="J270">
        <v>1.3106768608312656</v>
      </c>
      <c r="K270">
        <v>0.25147779644096335</v>
      </c>
      <c r="L270">
        <v>0</v>
      </c>
      <c r="M270">
        <v>0</v>
      </c>
      <c r="N270">
        <v>0</v>
      </c>
      <c r="O270">
        <v>0</v>
      </c>
      <c r="P270">
        <v>0.1908009356096978</v>
      </c>
      <c r="Q270">
        <v>5.9199064390302203E-2</v>
      </c>
      <c r="R270">
        <v>0</v>
      </c>
      <c r="S270">
        <v>0</v>
      </c>
      <c r="T270">
        <v>0</v>
      </c>
      <c r="U270">
        <v>0</v>
      </c>
      <c r="V270">
        <v>0</v>
      </c>
      <c r="W270">
        <v>0</v>
      </c>
      <c r="X270">
        <v>0</v>
      </c>
      <c r="Y270">
        <v>0</v>
      </c>
      <c r="Z270">
        <v>0</v>
      </c>
      <c r="AA270">
        <v>0</v>
      </c>
      <c r="AB270">
        <v>0</v>
      </c>
      <c r="AC270">
        <v>0</v>
      </c>
      <c r="AD270">
        <v>1</v>
      </c>
      <c r="AE270" t="s">
        <v>166</v>
      </c>
      <c r="AF270">
        <v>10</v>
      </c>
      <c r="AG270" t="s">
        <v>214</v>
      </c>
      <c r="AH270">
        <v>1</v>
      </c>
      <c r="AI270">
        <v>46239</v>
      </c>
      <c r="AJ270" t="s">
        <v>150</v>
      </c>
    </row>
    <row r="271" spans="1:36" x14ac:dyDescent="0.25">
      <c r="A271" s="1">
        <v>46239</v>
      </c>
      <c r="B271" t="s">
        <v>151</v>
      </c>
      <c r="C271" t="s">
        <v>12</v>
      </c>
      <c r="D271">
        <v>3.1779578349000128</v>
      </c>
      <c r="E271">
        <v>2.8499999999999996</v>
      </c>
      <c r="F271">
        <v>2.8499999999999996</v>
      </c>
      <c r="G271">
        <v>4.6332179930795849</v>
      </c>
      <c r="H271">
        <v>0.89680233283827326</v>
      </c>
      <c r="I271">
        <v>0.89680233283827326</v>
      </c>
      <c r="J271">
        <v>1.4579230542954509</v>
      </c>
      <c r="K271">
        <v>0.45792305429545088</v>
      </c>
      <c r="L271">
        <v>0</v>
      </c>
      <c r="M271">
        <v>0</v>
      </c>
      <c r="N271">
        <v>0</v>
      </c>
      <c r="O271">
        <v>0</v>
      </c>
      <c r="P271">
        <v>0</v>
      </c>
      <c r="Q271">
        <v>0</v>
      </c>
      <c r="R271">
        <v>0</v>
      </c>
      <c r="S271">
        <v>0</v>
      </c>
      <c r="T271">
        <v>0.10319766716172674</v>
      </c>
      <c r="U271">
        <v>0</v>
      </c>
      <c r="V271">
        <v>0</v>
      </c>
      <c r="W271">
        <v>0</v>
      </c>
      <c r="X271">
        <v>0</v>
      </c>
      <c r="Y271">
        <v>0.89680233283827326</v>
      </c>
      <c r="Z271">
        <v>0</v>
      </c>
      <c r="AA271">
        <v>0</v>
      </c>
      <c r="AB271">
        <v>0</v>
      </c>
      <c r="AC271">
        <v>0</v>
      </c>
      <c r="AD271">
        <v>0</v>
      </c>
      <c r="AE271" t="s">
        <v>166</v>
      </c>
      <c r="AF271">
        <v>10</v>
      </c>
      <c r="AG271" t="s">
        <v>213</v>
      </c>
      <c r="AH271">
        <v>1</v>
      </c>
      <c r="AI271">
        <v>46239</v>
      </c>
      <c r="AJ271" t="s">
        <v>150</v>
      </c>
    </row>
    <row r="272" spans="1:36" x14ac:dyDescent="0.25">
      <c r="A272" s="1">
        <v>46240</v>
      </c>
      <c r="B272" t="s">
        <v>151</v>
      </c>
      <c r="C272" t="s">
        <v>10</v>
      </c>
      <c r="D272">
        <v>3.6011567851291222</v>
      </c>
      <c r="E272">
        <v>0.95</v>
      </c>
      <c r="F272">
        <v>0.95</v>
      </c>
      <c r="G272">
        <v>4.7022058823529411</v>
      </c>
      <c r="H272">
        <v>0.26380412092108813</v>
      </c>
      <c r="I272">
        <v>0.26380412092108813</v>
      </c>
      <c r="J272">
        <v>1.305748725456934</v>
      </c>
      <c r="K272">
        <v>0.30574872545693399</v>
      </c>
      <c r="L272">
        <v>0</v>
      </c>
      <c r="M272">
        <v>0</v>
      </c>
      <c r="N272">
        <v>0</v>
      </c>
      <c r="O272">
        <v>0</v>
      </c>
      <c r="P272">
        <v>0</v>
      </c>
      <c r="Q272">
        <v>0</v>
      </c>
      <c r="R272">
        <v>0</v>
      </c>
      <c r="S272">
        <v>0</v>
      </c>
      <c r="T272">
        <v>0.73619587907891182</v>
      </c>
      <c r="U272">
        <v>0</v>
      </c>
      <c r="V272">
        <v>0</v>
      </c>
      <c r="W272">
        <v>0</v>
      </c>
      <c r="X272">
        <v>0</v>
      </c>
      <c r="Y272">
        <v>0.26380412092108813</v>
      </c>
      <c r="Z272">
        <v>0</v>
      </c>
      <c r="AA272">
        <v>0</v>
      </c>
      <c r="AB272">
        <v>0</v>
      </c>
      <c r="AC272">
        <v>0</v>
      </c>
      <c r="AD272">
        <v>0</v>
      </c>
      <c r="AE272" t="s">
        <v>161</v>
      </c>
      <c r="AF272">
        <v>10</v>
      </c>
      <c r="AG272" t="s">
        <v>216</v>
      </c>
      <c r="AI272">
        <v>46240</v>
      </c>
      <c r="AJ272" t="s">
        <v>150</v>
      </c>
    </row>
    <row r="273" spans="1:36" x14ac:dyDescent="0.25">
      <c r="A273" s="1">
        <v>46240</v>
      </c>
      <c r="B273" t="s">
        <v>151</v>
      </c>
      <c r="C273" t="s">
        <v>11</v>
      </c>
      <c r="D273">
        <v>0</v>
      </c>
      <c r="E273">
        <v>0</v>
      </c>
      <c r="F273">
        <v>0</v>
      </c>
      <c r="G273">
        <v>0</v>
      </c>
      <c r="K273">
        <v>0</v>
      </c>
      <c r="L273">
        <v>0</v>
      </c>
      <c r="M273">
        <v>0</v>
      </c>
      <c r="N273">
        <v>0</v>
      </c>
      <c r="O273">
        <v>0</v>
      </c>
      <c r="P273">
        <v>0</v>
      </c>
      <c r="Q273">
        <v>0</v>
      </c>
      <c r="R273">
        <v>0</v>
      </c>
      <c r="S273">
        <v>0</v>
      </c>
      <c r="T273">
        <v>0</v>
      </c>
      <c r="U273">
        <v>1</v>
      </c>
      <c r="V273">
        <v>0</v>
      </c>
      <c r="W273">
        <v>0</v>
      </c>
      <c r="X273">
        <v>0</v>
      </c>
      <c r="Y273">
        <v>0</v>
      </c>
      <c r="Z273">
        <v>0</v>
      </c>
      <c r="AA273">
        <v>0</v>
      </c>
      <c r="AB273">
        <v>0</v>
      </c>
      <c r="AD273">
        <v>0</v>
      </c>
      <c r="AE273" t="s">
        <v>161</v>
      </c>
      <c r="AF273">
        <v>10</v>
      </c>
      <c r="AG273" t="s">
        <v>215</v>
      </c>
      <c r="AI273">
        <v>46240</v>
      </c>
      <c r="AJ273" t="s">
        <v>150</v>
      </c>
    </row>
    <row r="274" spans="1:36" x14ac:dyDescent="0.25">
      <c r="A274" s="1">
        <v>46240</v>
      </c>
      <c r="B274" t="s">
        <v>151</v>
      </c>
      <c r="C274" t="s">
        <v>12</v>
      </c>
      <c r="D274">
        <v>3.1774912809962848</v>
      </c>
      <c r="E274">
        <v>0</v>
      </c>
      <c r="F274">
        <v>0</v>
      </c>
      <c r="G274">
        <v>4.6332179930795849</v>
      </c>
      <c r="H274">
        <v>0</v>
      </c>
      <c r="I274">
        <v>0</v>
      </c>
      <c r="J274">
        <v>1.4581371224492754</v>
      </c>
      <c r="K274">
        <v>0.4581371224492754</v>
      </c>
      <c r="L274">
        <v>0</v>
      </c>
      <c r="M274">
        <v>0</v>
      </c>
      <c r="N274">
        <v>0</v>
      </c>
      <c r="O274">
        <v>0</v>
      </c>
      <c r="P274">
        <v>0</v>
      </c>
      <c r="Q274">
        <v>0</v>
      </c>
      <c r="R274">
        <v>0</v>
      </c>
      <c r="S274">
        <v>0</v>
      </c>
      <c r="T274">
        <v>0</v>
      </c>
      <c r="U274">
        <v>0</v>
      </c>
      <c r="V274">
        <v>0</v>
      </c>
      <c r="W274">
        <v>0</v>
      </c>
      <c r="X274">
        <v>0</v>
      </c>
      <c r="Y274">
        <v>0</v>
      </c>
      <c r="Z274">
        <v>0</v>
      </c>
      <c r="AA274">
        <v>0</v>
      </c>
      <c r="AB274">
        <v>0</v>
      </c>
      <c r="AC274">
        <v>1</v>
      </c>
      <c r="AD274">
        <v>0</v>
      </c>
      <c r="AE274" t="s">
        <v>161</v>
      </c>
      <c r="AF274">
        <v>10</v>
      </c>
      <c r="AG274" t="s">
        <v>217</v>
      </c>
      <c r="AI274">
        <v>46240</v>
      </c>
      <c r="AJ274" t="s">
        <v>150</v>
      </c>
    </row>
    <row r="275" spans="1:36" x14ac:dyDescent="0.25">
      <c r="A275" s="1">
        <v>46240</v>
      </c>
      <c r="B275" t="s">
        <v>151</v>
      </c>
      <c r="C275" t="s">
        <v>10</v>
      </c>
      <c r="D275">
        <v>3.5876164620550925</v>
      </c>
      <c r="E275">
        <v>3.8</v>
      </c>
      <c r="F275">
        <v>3.8</v>
      </c>
      <c r="G275">
        <v>4.7022058823529411</v>
      </c>
      <c r="H275">
        <v>1.0591990643903022</v>
      </c>
      <c r="I275">
        <v>1.0591990643903022</v>
      </c>
      <c r="J275">
        <v>1.310676860831266</v>
      </c>
      <c r="K275">
        <v>0.2514777964409638</v>
      </c>
      <c r="L275">
        <v>0</v>
      </c>
      <c r="M275">
        <v>0</v>
      </c>
      <c r="N275">
        <v>0</v>
      </c>
      <c r="O275">
        <v>0</v>
      </c>
      <c r="P275">
        <v>0.1908009356096978</v>
      </c>
      <c r="Q275">
        <v>5.9199064390302203E-2</v>
      </c>
      <c r="R275">
        <v>0</v>
      </c>
      <c r="S275">
        <v>0</v>
      </c>
      <c r="T275">
        <v>0</v>
      </c>
      <c r="U275">
        <v>0</v>
      </c>
      <c r="V275">
        <v>0</v>
      </c>
      <c r="W275">
        <v>0</v>
      </c>
      <c r="X275">
        <v>0</v>
      </c>
      <c r="Y275">
        <v>0</v>
      </c>
      <c r="Z275">
        <v>0</v>
      </c>
      <c r="AA275">
        <v>0</v>
      </c>
      <c r="AB275">
        <v>0</v>
      </c>
      <c r="AC275">
        <v>0</v>
      </c>
      <c r="AD275">
        <v>1</v>
      </c>
      <c r="AE275" t="s">
        <v>166</v>
      </c>
      <c r="AF275">
        <v>10</v>
      </c>
      <c r="AG275" t="s">
        <v>216</v>
      </c>
      <c r="AH275">
        <v>1</v>
      </c>
      <c r="AI275">
        <v>46240</v>
      </c>
      <c r="AJ275" t="s">
        <v>150</v>
      </c>
    </row>
    <row r="276" spans="1:36" x14ac:dyDescent="0.25">
      <c r="A276" s="1">
        <v>46240</v>
      </c>
      <c r="B276" t="s">
        <v>151</v>
      </c>
      <c r="C276" t="s">
        <v>11</v>
      </c>
      <c r="D276">
        <v>0</v>
      </c>
      <c r="E276">
        <v>0</v>
      </c>
      <c r="F276">
        <v>0</v>
      </c>
      <c r="G276">
        <v>0</v>
      </c>
      <c r="K276">
        <v>0</v>
      </c>
      <c r="L276">
        <v>0</v>
      </c>
      <c r="M276">
        <v>0</v>
      </c>
      <c r="N276">
        <v>0</v>
      </c>
      <c r="O276">
        <v>0</v>
      </c>
      <c r="P276">
        <v>0</v>
      </c>
      <c r="Q276">
        <v>0</v>
      </c>
      <c r="R276">
        <v>0</v>
      </c>
      <c r="S276">
        <v>0</v>
      </c>
      <c r="T276">
        <v>0</v>
      </c>
      <c r="U276">
        <v>1</v>
      </c>
      <c r="V276">
        <v>0</v>
      </c>
      <c r="W276">
        <v>0</v>
      </c>
      <c r="X276">
        <v>0</v>
      </c>
      <c r="Y276">
        <v>0</v>
      </c>
      <c r="Z276">
        <v>0</v>
      </c>
      <c r="AA276">
        <v>0</v>
      </c>
      <c r="AB276">
        <v>0</v>
      </c>
      <c r="AD276">
        <v>0</v>
      </c>
      <c r="AE276" t="s">
        <v>166</v>
      </c>
      <c r="AF276">
        <v>10</v>
      </c>
      <c r="AG276" t="s">
        <v>215</v>
      </c>
      <c r="AH276">
        <v>1</v>
      </c>
      <c r="AI276">
        <v>46240</v>
      </c>
      <c r="AJ276" t="s">
        <v>150</v>
      </c>
    </row>
    <row r="277" spans="1:36" x14ac:dyDescent="0.25">
      <c r="A277" s="1">
        <v>46240</v>
      </c>
      <c r="B277" t="s">
        <v>151</v>
      </c>
      <c r="C277" t="s">
        <v>12</v>
      </c>
      <c r="D277">
        <v>3.1779578349000128</v>
      </c>
      <c r="E277">
        <v>2.8499999999999996</v>
      </c>
      <c r="F277">
        <v>2.8499999999999996</v>
      </c>
      <c r="G277">
        <v>4.6332179930795849</v>
      </c>
      <c r="H277">
        <v>0.89680233283827326</v>
      </c>
      <c r="I277">
        <v>0.89680233283827326</v>
      </c>
      <c r="J277">
        <v>1.4579230542954509</v>
      </c>
      <c r="K277">
        <v>0.45792305429545088</v>
      </c>
      <c r="L277">
        <v>0</v>
      </c>
      <c r="M277">
        <v>0</v>
      </c>
      <c r="N277">
        <v>0</v>
      </c>
      <c r="O277">
        <v>0</v>
      </c>
      <c r="P277">
        <v>0</v>
      </c>
      <c r="Q277">
        <v>0</v>
      </c>
      <c r="R277">
        <v>0</v>
      </c>
      <c r="S277">
        <v>0</v>
      </c>
      <c r="T277">
        <v>0.10319766716172674</v>
      </c>
      <c r="U277">
        <v>0</v>
      </c>
      <c r="V277">
        <v>0</v>
      </c>
      <c r="W277">
        <v>0</v>
      </c>
      <c r="X277">
        <v>0</v>
      </c>
      <c r="Y277">
        <v>0.89680233283827326</v>
      </c>
      <c r="Z277">
        <v>0</v>
      </c>
      <c r="AA277">
        <v>0</v>
      </c>
      <c r="AB277">
        <v>0</v>
      </c>
      <c r="AC277">
        <v>0</v>
      </c>
      <c r="AD277">
        <v>0</v>
      </c>
      <c r="AE277" t="s">
        <v>166</v>
      </c>
      <c r="AF277">
        <v>10</v>
      </c>
      <c r="AG277" t="s">
        <v>217</v>
      </c>
      <c r="AH277">
        <v>1</v>
      </c>
      <c r="AI277">
        <v>46240</v>
      </c>
      <c r="AJ277" t="s">
        <v>150</v>
      </c>
    </row>
    <row r="278" spans="1:36" x14ac:dyDescent="0.25">
      <c r="A278" s="1">
        <v>46241</v>
      </c>
      <c r="B278" t="s">
        <v>151</v>
      </c>
      <c r="C278" t="s">
        <v>11</v>
      </c>
      <c r="D278">
        <v>0</v>
      </c>
      <c r="E278">
        <v>0</v>
      </c>
      <c r="F278">
        <v>0</v>
      </c>
      <c r="G278">
        <v>0</v>
      </c>
      <c r="K278">
        <v>0</v>
      </c>
      <c r="L278">
        <v>0</v>
      </c>
      <c r="M278">
        <v>0</v>
      </c>
      <c r="N278">
        <v>0</v>
      </c>
      <c r="O278">
        <v>0</v>
      </c>
      <c r="P278">
        <v>0</v>
      </c>
      <c r="Q278">
        <v>0</v>
      </c>
      <c r="R278">
        <v>0</v>
      </c>
      <c r="S278">
        <v>0</v>
      </c>
      <c r="T278">
        <v>0</v>
      </c>
      <c r="U278">
        <v>1</v>
      </c>
      <c r="V278">
        <v>0</v>
      </c>
      <c r="W278">
        <v>0</v>
      </c>
      <c r="X278">
        <v>0</v>
      </c>
      <c r="Y278">
        <v>0</v>
      </c>
      <c r="Z278">
        <v>0</v>
      </c>
      <c r="AA278">
        <v>0</v>
      </c>
      <c r="AB278">
        <v>0</v>
      </c>
      <c r="AD278">
        <v>0</v>
      </c>
      <c r="AE278" t="s">
        <v>161</v>
      </c>
      <c r="AF278">
        <v>10</v>
      </c>
      <c r="AG278" t="s">
        <v>219</v>
      </c>
      <c r="AI278">
        <v>46241</v>
      </c>
      <c r="AJ278" t="s">
        <v>150</v>
      </c>
    </row>
    <row r="279" spans="1:36" x14ac:dyDescent="0.25">
      <c r="A279" s="1">
        <v>46241</v>
      </c>
      <c r="B279" t="s">
        <v>151</v>
      </c>
      <c r="C279" t="s">
        <v>12</v>
      </c>
      <c r="D279">
        <v>3.1774912809962856</v>
      </c>
      <c r="E279">
        <v>0</v>
      </c>
      <c r="F279">
        <v>0</v>
      </c>
      <c r="G279">
        <v>4.6332179930795849</v>
      </c>
      <c r="H279">
        <v>0</v>
      </c>
      <c r="I279">
        <v>0</v>
      </c>
      <c r="J279">
        <v>1.4581371224492752</v>
      </c>
      <c r="K279">
        <v>0.45813712244927518</v>
      </c>
      <c r="L279">
        <v>0</v>
      </c>
      <c r="M279">
        <v>0</v>
      </c>
      <c r="N279">
        <v>0</v>
      </c>
      <c r="O279">
        <v>0</v>
      </c>
      <c r="P279">
        <v>0</v>
      </c>
      <c r="Q279">
        <v>0</v>
      </c>
      <c r="R279">
        <v>0</v>
      </c>
      <c r="S279">
        <v>0</v>
      </c>
      <c r="T279">
        <v>0</v>
      </c>
      <c r="U279">
        <v>0</v>
      </c>
      <c r="V279">
        <v>0</v>
      </c>
      <c r="W279">
        <v>0</v>
      </c>
      <c r="X279">
        <v>0</v>
      </c>
      <c r="Y279">
        <v>0</v>
      </c>
      <c r="Z279">
        <v>0</v>
      </c>
      <c r="AA279">
        <v>0</v>
      </c>
      <c r="AB279">
        <v>0</v>
      </c>
      <c r="AC279">
        <v>1</v>
      </c>
      <c r="AD279">
        <v>0</v>
      </c>
      <c r="AE279" t="s">
        <v>161</v>
      </c>
      <c r="AF279">
        <v>10</v>
      </c>
      <c r="AG279" t="s">
        <v>218</v>
      </c>
      <c r="AI279">
        <v>46241</v>
      </c>
      <c r="AJ279" t="s">
        <v>150</v>
      </c>
    </row>
    <row r="280" spans="1:36" x14ac:dyDescent="0.25">
      <c r="A280" s="1">
        <v>46241</v>
      </c>
      <c r="B280" t="s">
        <v>151</v>
      </c>
      <c r="C280" t="s">
        <v>10</v>
      </c>
      <c r="D280">
        <v>3.6011567851291222</v>
      </c>
      <c r="E280">
        <v>0.95</v>
      </c>
      <c r="F280">
        <v>0.95</v>
      </c>
      <c r="G280">
        <v>4.7022058823529393</v>
      </c>
      <c r="H280">
        <v>0.26380412092108813</v>
      </c>
      <c r="I280">
        <v>0.26380412092108813</v>
      </c>
      <c r="J280">
        <v>1.3057487254569335</v>
      </c>
      <c r="K280">
        <v>0.30574872545693355</v>
      </c>
      <c r="L280">
        <v>0</v>
      </c>
      <c r="M280">
        <v>0</v>
      </c>
      <c r="N280">
        <v>0</v>
      </c>
      <c r="O280">
        <v>0</v>
      </c>
      <c r="P280">
        <v>0</v>
      </c>
      <c r="Q280">
        <v>0</v>
      </c>
      <c r="R280">
        <v>0</v>
      </c>
      <c r="S280">
        <v>0</v>
      </c>
      <c r="T280">
        <v>0.73619587907891182</v>
      </c>
      <c r="U280">
        <v>0</v>
      </c>
      <c r="V280">
        <v>0</v>
      </c>
      <c r="W280">
        <v>0</v>
      </c>
      <c r="X280">
        <v>0</v>
      </c>
      <c r="Y280">
        <v>0.26380412092108813</v>
      </c>
      <c r="Z280">
        <v>0</v>
      </c>
      <c r="AA280">
        <v>0</v>
      </c>
      <c r="AB280">
        <v>0</v>
      </c>
      <c r="AC280">
        <v>0</v>
      </c>
      <c r="AD280">
        <v>0</v>
      </c>
      <c r="AE280" t="s">
        <v>161</v>
      </c>
      <c r="AF280">
        <v>10</v>
      </c>
      <c r="AG280" t="s">
        <v>220</v>
      </c>
      <c r="AI280">
        <v>46241</v>
      </c>
      <c r="AJ280" t="s">
        <v>150</v>
      </c>
    </row>
    <row r="281" spans="1:36" x14ac:dyDescent="0.25">
      <c r="A281" s="1">
        <v>46241</v>
      </c>
      <c r="B281" t="s">
        <v>151</v>
      </c>
      <c r="C281" t="s">
        <v>11</v>
      </c>
      <c r="D281">
        <v>0</v>
      </c>
      <c r="E281">
        <v>0</v>
      </c>
      <c r="F281">
        <v>0</v>
      </c>
      <c r="G281">
        <v>0</v>
      </c>
      <c r="K281">
        <v>0</v>
      </c>
      <c r="L281">
        <v>0</v>
      </c>
      <c r="M281">
        <v>0</v>
      </c>
      <c r="N281">
        <v>0</v>
      </c>
      <c r="O281">
        <v>0</v>
      </c>
      <c r="P281">
        <v>0</v>
      </c>
      <c r="Q281">
        <v>0</v>
      </c>
      <c r="R281">
        <v>0</v>
      </c>
      <c r="S281">
        <v>0</v>
      </c>
      <c r="T281">
        <v>0</v>
      </c>
      <c r="U281">
        <v>1</v>
      </c>
      <c r="V281">
        <v>0</v>
      </c>
      <c r="W281">
        <v>0</v>
      </c>
      <c r="X281">
        <v>0</v>
      </c>
      <c r="Y281">
        <v>0</v>
      </c>
      <c r="Z281">
        <v>0</v>
      </c>
      <c r="AA281">
        <v>0</v>
      </c>
      <c r="AB281">
        <v>0</v>
      </c>
      <c r="AD281">
        <v>0</v>
      </c>
      <c r="AE281" t="s">
        <v>166</v>
      </c>
      <c r="AF281">
        <v>10</v>
      </c>
      <c r="AG281" t="s">
        <v>219</v>
      </c>
      <c r="AH281">
        <v>1</v>
      </c>
      <c r="AI281">
        <v>46241</v>
      </c>
      <c r="AJ281" t="s">
        <v>150</v>
      </c>
    </row>
    <row r="282" spans="1:36" x14ac:dyDescent="0.25">
      <c r="A282" s="1">
        <v>46241</v>
      </c>
      <c r="B282" t="s">
        <v>151</v>
      </c>
      <c r="C282" t="s">
        <v>12</v>
      </c>
      <c r="D282">
        <v>3.1779578349000133</v>
      </c>
      <c r="E282">
        <v>3.8</v>
      </c>
      <c r="F282">
        <v>3.8</v>
      </c>
      <c r="G282">
        <v>4.6332179930795849</v>
      </c>
      <c r="H282">
        <v>1.1957364437843643</v>
      </c>
      <c r="I282">
        <v>1.1957364437843643</v>
      </c>
      <c r="J282">
        <v>1.4579230542954507</v>
      </c>
      <c r="K282">
        <v>0.26218661051108638</v>
      </c>
      <c r="L282">
        <v>0</v>
      </c>
      <c r="M282">
        <v>0</v>
      </c>
      <c r="N282">
        <v>0</v>
      </c>
      <c r="O282">
        <v>0</v>
      </c>
      <c r="P282">
        <v>5.4263556215635722E-2</v>
      </c>
      <c r="Q282">
        <v>0.19573644378436428</v>
      </c>
      <c r="R282">
        <v>0</v>
      </c>
      <c r="S282">
        <v>0</v>
      </c>
      <c r="T282">
        <v>0</v>
      </c>
      <c r="U282">
        <v>0</v>
      </c>
      <c r="V282">
        <v>0</v>
      </c>
      <c r="W282">
        <v>0</v>
      </c>
      <c r="X282">
        <v>0</v>
      </c>
      <c r="Y282">
        <v>0</v>
      </c>
      <c r="Z282">
        <v>0</v>
      </c>
      <c r="AA282">
        <v>0</v>
      </c>
      <c r="AB282">
        <v>0</v>
      </c>
      <c r="AC282">
        <v>0</v>
      </c>
      <c r="AD282">
        <v>1</v>
      </c>
      <c r="AE282" t="s">
        <v>166</v>
      </c>
      <c r="AF282">
        <v>10</v>
      </c>
      <c r="AG282" t="s">
        <v>218</v>
      </c>
      <c r="AH282">
        <v>1</v>
      </c>
      <c r="AI282">
        <v>46241</v>
      </c>
      <c r="AJ282" t="s">
        <v>150</v>
      </c>
    </row>
    <row r="283" spans="1:36" x14ac:dyDescent="0.25">
      <c r="A283" s="1">
        <v>46241</v>
      </c>
      <c r="B283" t="s">
        <v>151</v>
      </c>
      <c r="C283" t="s">
        <v>10</v>
      </c>
      <c r="D283">
        <v>3.587616462055093</v>
      </c>
      <c r="E283">
        <v>3.8</v>
      </c>
      <c r="F283">
        <v>3.8</v>
      </c>
      <c r="G283">
        <v>4.7022058823529393</v>
      </c>
      <c r="H283">
        <v>1.059199064390302</v>
      </c>
      <c r="I283">
        <v>1.059199064390302</v>
      </c>
      <c r="J283">
        <v>1.3106768608312653</v>
      </c>
      <c r="K283">
        <v>0.25147779644096335</v>
      </c>
      <c r="L283">
        <v>0</v>
      </c>
      <c r="M283">
        <v>0</v>
      </c>
      <c r="N283">
        <v>0</v>
      </c>
      <c r="O283">
        <v>0</v>
      </c>
      <c r="P283">
        <v>0.19080093560969802</v>
      </c>
      <c r="Q283">
        <v>5.9199064390301981E-2</v>
      </c>
      <c r="R283">
        <v>0</v>
      </c>
      <c r="S283">
        <v>0</v>
      </c>
      <c r="T283">
        <v>0</v>
      </c>
      <c r="U283">
        <v>0</v>
      </c>
      <c r="V283">
        <v>0</v>
      </c>
      <c r="W283">
        <v>0</v>
      </c>
      <c r="X283">
        <v>0</v>
      </c>
      <c r="Y283">
        <v>0</v>
      </c>
      <c r="Z283">
        <v>0</v>
      </c>
      <c r="AA283">
        <v>0</v>
      </c>
      <c r="AB283">
        <v>0</v>
      </c>
      <c r="AC283">
        <v>0</v>
      </c>
      <c r="AD283">
        <v>1</v>
      </c>
      <c r="AE283" t="s">
        <v>166</v>
      </c>
      <c r="AF283">
        <v>10</v>
      </c>
      <c r="AG283" t="s">
        <v>220</v>
      </c>
      <c r="AH283">
        <v>1</v>
      </c>
      <c r="AI283">
        <v>46241</v>
      </c>
      <c r="AJ283" t="s">
        <v>150</v>
      </c>
    </row>
    <row r="284" spans="1:36" x14ac:dyDescent="0.25">
      <c r="A284" s="1">
        <v>46242</v>
      </c>
      <c r="B284" t="s">
        <v>151</v>
      </c>
      <c r="C284" t="s">
        <v>12</v>
      </c>
      <c r="D284">
        <v>3.1774912809962856</v>
      </c>
      <c r="E284">
        <v>0</v>
      </c>
      <c r="F284">
        <v>0</v>
      </c>
      <c r="G284">
        <v>4.6332179930795849</v>
      </c>
      <c r="H284">
        <v>0</v>
      </c>
      <c r="I284">
        <v>0</v>
      </c>
      <c r="J284">
        <v>1.4581371224492752</v>
      </c>
      <c r="K284">
        <v>0.45813712244927518</v>
      </c>
      <c r="L284">
        <v>0</v>
      </c>
      <c r="M284">
        <v>0</v>
      </c>
      <c r="N284">
        <v>0</v>
      </c>
      <c r="O284">
        <v>0</v>
      </c>
      <c r="P284">
        <v>0</v>
      </c>
      <c r="Q284">
        <v>0</v>
      </c>
      <c r="R284">
        <v>0</v>
      </c>
      <c r="S284">
        <v>0</v>
      </c>
      <c r="T284">
        <v>0</v>
      </c>
      <c r="U284">
        <v>0</v>
      </c>
      <c r="V284">
        <v>0</v>
      </c>
      <c r="W284">
        <v>0</v>
      </c>
      <c r="X284">
        <v>0</v>
      </c>
      <c r="Y284">
        <v>0</v>
      </c>
      <c r="Z284">
        <v>0</v>
      </c>
      <c r="AA284">
        <v>0</v>
      </c>
      <c r="AB284">
        <v>0</v>
      </c>
      <c r="AC284">
        <v>1</v>
      </c>
      <c r="AD284">
        <v>0</v>
      </c>
      <c r="AE284" t="s">
        <v>161</v>
      </c>
      <c r="AF284">
        <v>10</v>
      </c>
      <c r="AG284" t="s">
        <v>221</v>
      </c>
      <c r="AI284">
        <v>46242</v>
      </c>
      <c r="AJ284" t="s">
        <v>150</v>
      </c>
    </row>
    <row r="285" spans="1:36" x14ac:dyDescent="0.25">
      <c r="A285" s="1">
        <v>46242</v>
      </c>
      <c r="B285" t="s">
        <v>151</v>
      </c>
      <c r="C285" t="s">
        <v>11</v>
      </c>
      <c r="D285">
        <v>0</v>
      </c>
      <c r="E285">
        <v>0</v>
      </c>
      <c r="F285">
        <v>0</v>
      </c>
      <c r="G285">
        <v>0</v>
      </c>
      <c r="K285">
        <v>0</v>
      </c>
      <c r="L285">
        <v>0</v>
      </c>
      <c r="M285">
        <v>0</v>
      </c>
      <c r="N285">
        <v>0</v>
      </c>
      <c r="O285">
        <v>0</v>
      </c>
      <c r="P285">
        <v>0</v>
      </c>
      <c r="Q285">
        <v>0</v>
      </c>
      <c r="R285">
        <v>0</v>
      </c>
      <c r="S285">
        <v>0</v>
      </c>
      <c r="T285">
        <v>0</v>
      </c>
      <c r="U285">
        <v>1</v>
      </c>
      <c r="V285">
        <v>0</v>
      </c>
      <c r="W285">
        <v>0</v>
      </c>
      <c r="X285">
        <v>0</v>
      </c>
      <c r="Y285">
        <v>0</v>
      </c>
      <c r="Z285">
        <v>0</v>
      </c>
      <c r="AA285">
        <v>0</v>
      </c>
      <c r="AB285">
        <v>0</v>
      </c>
      <c r="AD285">
        <v>0</v>
      </c>
      <c r="AE285" t="s">
        <v>161</v>
      </c>
      <c r="AF285">
        <v>10</v>
      </c>
      <c r="AG285" t="s">
        <v>223</v>
      </c>
      <c r="AI285">
        <v>46242</v>
      </c>
      <c r="AJ285" t="s">
        <v>150</v>
      </c>
    </row>
    <row r="286" spans="1:36" x14ac:dyDescent="0.25">
      <c r="A286" s="1">
        <v>46242</v>
      </c>
      <c r="B286" t="s">
        <v>151</v>
      </c>
      <c r="C286" t="s">
        <v>10</v>
      </c>
      <c r="D286">
        <v>3.6011567851291222</v>
      </c>
      <c r="E286">
        <v>0</v>
      </c>
      <c r="F286">
        <v>0</v>
      </c>
      <c r="G286">
        <v>4.702205882352942</v>
      </c>
      <c r="H286">
        <v>0</v>
      </c>
      <c r="I286">
        <v>0</v>
      </c>
      <c r="J286">
        <v>1.3057487254569342</v>
      </c>
      <c r="K286">
        <v>0.30574872545693421</v>
      </c>
      <c r="L286">
        <v>0</v>
      </c>
      <c r="M286">
        <v>0</v>
      </c>
      <c r="N286">
        <v>0</v>
      </c>
      <c r="O286">
        <v>0</v>
      </c>
      <c r="P286">
        <v>0</v>
      </c>
      <c r="Q286">
        <v>0</v>
      </c>
      <c r="R286">
        <v>0</v>
      </c>
      <c r="S286">
        <v>0</v>
      </c>
      <c r="T286">
        <v>0</v>
      </c>
      <c r="U286">
        <v>0</v>
      </c>
      <c r="V286">
        <v>0</v>
      </c>
      <c r="W286">
        <v>0</v>
      </c>
      <c r="X286">
        <v>0</v>
      </c>
      <c r="Y286">
        <v>0</v>
      </c>
      <c r="Z286">
        <v>0</v>
      </c>
      <c r="AA286">
        <v>0</v>
      </c>
      <c r="AB286">
        <v>0</v>
      </c>
      <c r="AC286">
        <v>1</v>
      </c>
      <c r="AD286">
        <v>0</v>
      </c>
      <c r="AE286" t="s">
        <v>161</v>
      </c>
      <c r="AF286">
        <v>10</v>
      </c>
      <c r="AG286" t="s">
        <v>222</v>
      </c>
      <c r="AI286">
        <v>46242</v>
      </c>
      <c r="AJ286" t="s">
        <v>150</v>
      </c>
    </row>
    <row r="287" spans="1:36" x14ac:dyDescent="0.25">
      <c r="A287" s="1">
        <v>46242</v>
      </c>
      <c r="B287" t="s">
        <v>151</v>
      </c>
      <c r="C287" t="s">
        <v>12</v>
      </c>
      <c r="D287">
        <v>3.1779578349000133</v>
      </c>
      <c r="E287">
        <v>2.8499999999999996</v>
      </c>
      <c r="F287">
        <v>2.8499999999999996</v>
      </c>
      <c r="G287">
        <v>4.6332179930795849</v>
      </c>
      <c r="H287">
        <v>0.89680233283827315</v>
      </c>
      <c r="I287">
        <v>0.89680233283827315</v>
      </c>
      <c r="J287">
        <v>1.4579230542954507</v>
      </c>
      <c r="K287">
        <v>0.45792305429545066</v>
      </c>
      <c r="L287">
        <v>0</v>
      </c>
      <c r="M287">
        <v>0</v>
      </c>
      <c r="N287">
        <v>0</v>
      </c>
      <c r="O287">
        <v>0</v>
      </c>
      <c r="P287">
        <v>0</v>
      </c>
      <c r="Q287">
        <v>0</v>
      </c>
      <c r="R287">
        <v>0</v>
      </c>
      <c r="S287">
        <v>0</v>
      </c>
      <c r="T287">
        <v>0.10319766716172685</v>
      </c>
      <c r="U287">
        <v>0</v>
      </c>
      <c r="V287">
        <v>0</v>
      </c>
      <c r="W287">
        <v>0</v>
      </c>
      <c r="X287">
        <v>0</v>
      </c>
      <c r="Y287">
        <v>0.89680233283827315</v>
      </c>
      <c r="Z287">
        <v>0</v>
      </c>
      <c r="AA287">
        <v>0</v>
      </c>
      <c r="AB287">
        <v>0</v>
      </c>
      <c r="AC287">
        <v>0</v>
      </c>
      <c r="AD287">
        <v>0</v>
      </c>
      <c r="AE287" t="s">
        <v>166</v>
      </c>
      <c r="AF287">
        <v>10</v>
      </c>
      <c r="AG287" t="s">
        <v>221</v>
      </c>
      <c r="AH287">
        <v>1</v>
      </c>
      <c r="AI287">
        <v>46242</v>
      </c>
      <c r="AJ287" t="s">
        <v>150</v>
      </c>
    </row>
    <row r="288" spans="1:36" x14ac:dyDescent="0.25">
      <c r="A288" s="1">
        <v>46242</v>
      </c>
      <c r="B288" t="s">
        <v>151</v>
      </c>
      <c r="C288" t="s">
        <v>11</v>
      </c>
      <c r="D288">
        <v>0</v>
      </c>
      <c r="E288">
        <v>0.95</v>
      </c>
      <c r="F288">
        <v>0.95</v>
      </c>
      <c r="G288">
        <v>0</v>
      </c>
      <c r="K288">
        <v>0</v>
      </c>
      <c r="L288">
        <v>0</v>
      </c>
      <c r="M288">
        <v>0</v>
      </c>
      <c r="N288">
        <v>0</v>
      </c>
      <c r="O288">
        <v>0</v>
      </c>
      <c r="P288">
        <v>0</v>
      </c>
      <c r="Q288">
        <v>0</v>
      </c>
      <c r="R288">
        <v>0</v>
      </c>
      <c r="S288">
        <v>0</v>
      </c>
      <c r="T288">
        <v>0</v>
      </c>
      <c r="U288">
        <v>1</v>
      </c>
      <c r="V288">
        <v>0</v>
      </c>
      <c r="W288">
        <v>0</v>
      </c>
      <c r="X288">
        <v>0</v>
      </c>
      <c r="Y288">
        <v>0</v>
      </c>
      <c r="Z288">
        <v>0</v>
      </c>
      <c r="AA288">
        <v>1</v>
      </c>
      <c r="AB288">
        <v>0</v>
      </c>
      <c r="AD288">
        <v>0</v>
      </c>
      <c r="AE288" t="s">
        <v>166</v>
      </c>
      <c r="AF288">
        <v>10</v>
      </c>
      <c r="AG288" t="s">
        <v>223</v>
      </c>
      <c r="AH288">
        <v>1</v>
      </c>
      <c r="AI288">
        <v>46242</v>
      </c>
      <c r="AJ288" t="s">
        <v>150</v>
      </c>
    </row>
    <row r="289" spans="1:36" x14ac:dyDescent="0.25">
      <c r="A289" s="1">
        <v>46242</v>
      </c>
      <c r="B289" t="s">
        <v>151</v>
      </c>
      <c r="C289" t="s">
        <v>10</v>
      </c>
      <c r="D289">
        <v>3.5876164620550925</v>
      </c>
      <c r="E289">
        <v>3.8</v>
      </c>
      <c r="F289">
        <v>3.8</v>
      </c>
      <c r="G289">
        <v>4.702205882352942</v>
      </c>
      <c r="H289">
        <v>1.0591990643903022</v>
      </c>
      <c r="I289">
        <v>1.0591990643903022</v>
      </c>
      <c r="J289">
        <v>1.3106768608312662</v>
      </c>
      <c r="K289">
        <v>0.25147779644096402</v>
      </c>
      <c r="L289">
        <v>0</v>
      </c>
      <c r="M289">
        <v>0</v>
      </c>
      <c r="N289">
        <v>0</v>
      </c>
      <c r="O289">
        <v>0</v>
      </c>
      <c r="P289">
        <v>0.1908009356096978</v>
      </c>
      <c r="Q289">
        <v>5.9199064390302203E-2</v>
      </c>
      <c r="R289">
        <v>0</v>
      </c>
      <c r="S289">
        <v>0</v>
      </c>
      <c r="T289">
        <v>0</v>
      </c>
      <c r="U289">
        <v>0</v>
      </c>
      <c r="V289">
        <v>0</v>
      </c>
      <c r="W289">
        <v>0</v>
      </c>
      <c r="X289">
        <v>0</v>
      </c>
      <c r="Y289">
        <v>0</v>
      </c>
      <c r="Z289">
        <v>0</v>
      </c>
      <c r="AA289">
        <v>0</v>
      </c>
      <c r="AB289">
        <v>0</v>
      </c>
      <c r="AC289">
        <v>0</v>
      </c>
      <c r="AD289">
        <v>1</v>
      </c>
      <c r="AE289" t="s">
        <v>166</v>
      </c>
      <c r="AF289">
        <v>10</v>
      </c>
      <c r="AG289" t="s">
        <v>222</v>
      </c>
      <c r="AH289">
        <v>1</v>
      </c>
      <c r="AI289">
        <v>46242</v>
      </c>
      <c r="AJ289" t="s">
        <v>150</v>
      </c>
    </row>
    <row r="290" spans="1:36" x14ac:dyDescent="0.25">
      <c r="A290" s="1">
        <v>46243</v>
      </c>
      <c r="B290" t="s">
        <v>151</v>
      </c>
      <c r="C290" t="s">
        <v>11</v>
      </c>
      <c r="D290">
        <v>0</v>
      </c>
      <c r="E290">
        <v>0</v>
      </c>
      <c r="F290">
        <v>0</v>
      </c>
      <c r="G290">
        <v>0</v>
      </c>
      <c r="K290">
        <v>0</v>
      </c>
      <c r="L290">
        <v>0</v>
      </c>
      <c r="M290">
        <v>0</v>
      </c>
      <c r="N290">
        <v>0</v>
      </c>
      <c r="O290">
        <v>0</v>
      </c>
      <c r="P290">
        <v>0</v>
      </c>
      <c r="Q290">
        <v>0</v>
      </c>
      <c r="R290">
        <v>0</v>
      </c>
      <c r="S290">
        <v>0</v>
      </c>
      <c r="T290">
        <v>0</v>
      </c>
      <c r="U290">
        <v>1</v>
      </c>
      <c r="V290">
        <v>0</v>
      </c>
      <c r="W290">
        <v>0</v>
      </c>
      <c r="X290">
        <v>0</v>
      </c>
      <c r="Y290">
        <v>0</v>
      </c>
      <c r="Z290">
        <v>0</v>
      </c>
      <c r="AA290">
        <v>0</v>
      </c>
      <c r="AB290">
        <v>0</v>
      </c>
      <c r="AD290">
        <v>0</v>
      </c>
      <c r="AE290" t="s">
        <v>161</v>
      </c>
      <c r="AF290">
        <v>10</v>
      </c>
      <c r="AG290" t="s">
        <v>226</v>
      </c>
      <c r="AI290">
        <v>46243</v>
      </c>
      <c r="AJ290" t="s">
        <v>150</v>
      </c>
    </row>
    <row r="291" spans="1:36" x14ac:dyDescent="0.25">
      <c r="A291" s="1">
        <v>46243</v>
      </c>
      <c r="B291" t="s">
        <v>151</v>
      </c>
      <c r="C291" t="s">
        <v>10</v>
      </c>
      <c r="D291">
        <v>3.6011567851291222</v>
      </c>
      <c r="E291">
        <v>0.95</v>
      </c>
      <c r="F291">
        <v>0.95</v>
      </c>
      <c r="G291">
        <v>4.702205882352942</v>
      </c>
      <c r="H291">
        <v>0.26380412092108813</v>
      </c>
      <c r="I291">
        <v>0.26380412092108813</v>
      </c>
      <c r="J291">
        <v>1.3057487254569342</v>
      </c>
      <c r="K291">
        <v>0.30574872545693421</v>
      </c>
      <c r="L291">
        <v>0</v>
      </c>
      <c r="M291">
        <v>0</v>
      </c>
      <c r="N291">
        <v>0</v>
      </c>
      <c r="O291">
        <v>0</v>
      </c>
      <c r="P291">
        <v>0</v>
      </c>
      <c r="Q291">
        <v>0</v>
      </c>
      <c r="R291">
        <v>0</v>
      </c>
      <c r="S291">
        <v>0</v>
      </c>
      <c r="T291">
        <v>0.73619587907891182</v>
      </c>
      <c r="U291">
        <v>0</v>
      </c>
      <c r="V291">
        <v>0</v>
      </c>
      <c r="W291">
        <v>0</v>
      </c>
      <c r="X291">
        <v>0</v>
      </c>
      <c r="Y291">
        <v>0.26380412092108813</v>
      </c>
      <c r="Z291">
        <v>0</v>
      </c>
      <c r="AA291">
        <v>0</v>
      </c>
      <c r="AB291">
        <v>0</v>
      </c>
      <c r="AC291">
        <v>0</v>
      </c>
      <c r="AD291">
        <v>0</v>
      </c>
      <c r="AE291" t="s">
        <v>161</v>
      </c>
      <c r="AF291">
        <v>10</v>
      </c>
      <c r="AG291" t="s">
        <v>225</v>
      </c>
      <c r="AI291">
        <v>46243</v>
      </c>
      <c r="AJ291" t="s">
        <v>150</v>
      </c>
    </row>
    <row r="292" spans="1:36" x14ac:dyDescent="0.25">
      <c r="A292" s="1">
        <v>46243</v>
      </c>
      <c r="B292" t="s">
        <v>151</v>
      </c>
      <c r="C292" t="s">
        <v>12</v>
      </c>
      <c r="D292">
        <v>3.1774912809962856</v>
      </c>
      <c r="E292">
        <v>0</v>
      </c>
      <c r="F292">
        <v>0</v>
      </c>
      <c r="G292">
        <v>4.6332179930795849</v>
      </c>
      <c r="H292">
        <v>0</v>
      </c>
      <c r="I292">
        <v>0</v>
      </c>
      <c r="J292">
        <v>1.4581371224492752</v>
      </c>
      <c r="K292">
        <v>0.45813712244927518</v>
      </c>
      <c r="L292">
        <v>0</v>
      </c>
      <c r="M292">
        <v>0</v>
      </c>
      <c r="N292">
        <v>0</v>
      </c>
      <c r="O292">
        <v>0</v>
      </c>
      <c r="P292">
        <v>0</v>
      </c>
      <c r="Q292">
        <v>0</v>
      </c>
      <c r="R292">
        <v>0</v>
      </c>
      <c r="S292">
        <v>0</v>
      </c>
      <c r="T292">
        <v>0</v>
      </c>
      <c r="U292">
        <v>0</v>
      </c>
      <c r="V292">
        <v>0</v>
      </c>
      <c r="W292">
        <v>0</v>
      </c>
      <c r="X292">
        <v>0</v>
      </c>
      <c r="Y292">
        <v>0</v>
      </c>
      <c r="Z292">
        <v>0</v>
      </c>
      <c r="AA292">
        <v>0</v>
      </c>
      <c r="AB292">
        <v>0</v>
      </c>
      <c r="AC292">
        <v>1</v>
      </c>
      <c r="AD292">
        <v>0</v>
      </c>
      <c r="AE292" t="s">
        <v>161</v>
      </c>
      <c r="AF292">
        <v>10</v>
      </c>
      <c r="AG292" t="s">
        <v>224</v>
      </c>
      <c r="AI292">
        <v>46243</v>
      </c>
      <c r="AJ292" t="s">
        <v>150</v>
      </c>
    </row>
    <row r="293" spans="1:36" x14ac:dyDescent="0.25">
      <c r="A293" s="1">
        <v>46243</v>
      </c>
      <c r="B293" t="s">
        <v>151</v>
      </c>
      <c r="C293" t="s">
        <v>11</v>
      </c>
      <c r="D293">
        <v>0</v>
      </c>
      <c r="E293">
        <v>0.95</v>
      </c>
      <c r="F293">
        <v>0.95</v>
      </c>
      <c r="G293">
        <v>0</v>
      </c>
      <c r="K293">
        <v>0</v>
      </c>
      <c r="L293">
        <v>0</v>
      </c>
      <c r="M293">
        <v>0</v>
      </c>
      <c r="N293">
        <v>0</v>
      </c>
      <c r="O293">
        <v>0</v>
      </c>
      <c r="P293">
        <v>0</v>
      </c>
      <c r="Q293">
        <v>0</v>
      </c>
      <c r="R293">
        <v>0</v>
      </c>
      <c r="S293">
        <v>0</v>
      </c>
      <c r="T293">
        <v>0</v>
      </c>
      <c r="U293">
        <v>1</v>
      </c>
      <c r="V293">
        <v>0</v>
      </c>
      <c r="W293">
        <v>0</v>
      </c>
      <c r="X293">
        <v>0</v>
      </c>
      <c r="Y293">
        <v>0</v>
      </c>
      <c r="Z293">
        <v>0</v>
      </c>
      <c r="AA293">
        <v>1</v>
      </c>
      <c r="AB293">
        <v>0</v>
      </c>
      <c r="AD293">
        <v>0</v>
      </c>
      <c r="AE293" t="s">
        <v>166</v>
      </c>
      <c r="AF293">
        <v>10</v>
      </c>
      <c r="AG293" t="s">
        <v>226</v>
      </c>
      <c r="AH293">
        <v>1</v>
      </c>
      <c r="AI293">
        <v>46243</v>
      </c>
      <c r="AJ293" t="s">
        <v>150</v>
      </c>
    </row>
    <row r="294" spans="1:36" x14ac:dyDescent="0.25">
      <c r="A294" s="1">
        <v>46243</v>
      </c>
      <c r="B294" t="s">
        <v>151</v>
      </c>
      <c r="C294" t="s">
        <v>10</v>
      </c>
      <c r="D294">
        <v>3.5876164620550925</v>
      </c>
      <c r="E294">
        <v>3.8</v>
      </c>
      <c r="F294">
        <v>3.8</v>
      </c>
      <c r="G294">
        <v>4.702205882352942</v>
      </c>
      <c r="H294">
        <v>1.0591990643903022</v>
      </c>
      <c r="I294">
        <v>1.0591990643903022</v>
      </c>
      <c r="J294">
        <v>1.3106768608312662</v>
      </c>
      <c r="K294">
        <v>0.25147779644096402</v>
      </c>
      <c r="L294">
        <v>0</v>
      </c>
      <c r="M294">
        <v>0</v>
      </c>
      <c r="N294">
        <v>0</v>
      </c>
      <c r="O294">
        <v>0</v>
      </c>
      <c r="P294">
        <v>0.1908009356096978</v>
      </c>
      <c r="Q294">
        <v>5.9199064390302203E-2</v>
      </c>
      <c r="R294">
        <v>0</v>
      </c>
      <c r="S294">
        <v>0</v>
      </c>
      <c r="T294">
        <v>0</v>
      </c>
      <c r="U294">
        <v>0</v>
      </c>
      <c r="V294">
        <v>0</v>
      </c>
      <c r="W294">
        <v>0</v>
      </c>
      <c r="X294">
        <v>0</v>
      </c>
      <c r="Y294">
        <v>0</v>
      </c>
      <c r="Z294">
        <v>0</v>
      </c>
      <c r="AA294">
        <v>0</v>
      </c>
      <c r="AB294">
        <v>0</v>
      </c>
      <c r="AC294">
        <v>0</v>
      </c>
      <c r="AD294">
        <v>1</v>
      </c>
      <c r="AE294" t="s">
        <v>166</v>
      </c>
      <c r="AF294">
        <v>10</v>
      </c>
      <c r="AG294" t="s">
        <v>225</v>
      </c>
      <c r="AH294">
        <v>1</v>
      </c>
      <c r="AI294">
        <v>46243</v>
      </c>
      <c r="AJ294" t="s">
        <v>150</v>
      </c>
    </row>
    <row r="295" spans="1:36" x14ac:dyDescent="0.25">
      <c r="A295" s="1">
        <v>46243</v>
      </c>
      <c r="B295" t="s">
        <v>151</v>
      </c>
      <c r="C295" t="s">
        <v>12</v>
      </c>
      <c r="D295">
        <v>3.1779578349000133</v>
      </c>
      <c r="E295">
        <v>2.8499999999999996</v>
      </c>
      <c r="F295">
        <v>2.8499999999999996</v>
      </c>
      <c r="G295">
        <v>4.6332179930795849</v>
      </c>
      <c r="H295">
        <v>0.89680233283827315</v>
      </c>
      <c r="I295">
        <v>0.89680233283827315</v>
      </c>
      <c r="J295">
        <v>1.4579230542954507</v>
      </c>
      <c r="K295">
        <v>0.45792305429545066</v>
      </c>
      <c r="L295">
        <v>0</v>
      </c>
      <c r="M295">
        <v>0</v>
      </c>
      <c r="N295">
        <v>0</v>
      </c>
      <c r="O295">
        <v>0</v>
      </c>
      <c r="P295">
        <v>0</v>
      </c>
      <c r="Q295">
        <v>0</v>
      </c>
      <c r="R295">
        <v>0</v>
      </c>
      <c r="S295">
        <v>0</v>
      </c>
      <c r="T295">
        <v>0.10319766716172685</v>
      </c>
      <c r="U295">
        <v>0</v>
      </c>
      <c r="V295">
        <v>0</v>
      </c>
      <c r="W295">
        <v>0</v>
      </c>
      <c r="X295">
        <v>0</v>
      </c>
      <c r="Y295">
        <v>0.89680233283827315</v>
      </c>
      <c r="Z295">
        <v>0</v>
      </c>
      <c r="AA295">
        <v>0</v>
      </c>
      <c r="AB295">
        <v>0</v>
      </c>
      <c r="AC295">
        <v>0</v>
      </c>
      <c r="AD295">
        <v>0</v>
      </c>
      <c r="AE295" t="s">
        <v>166</v>
      </c>
      <c r="AF295">
        <v>10</v>
      </c>
      <c r="AG295" t="s">
        <v>224</v>
      </c>
      <c r="AH295">
        <v>1</v>
      </c>
      <c r="AI295">
        <v>46243</v>
      </c>
      <c r="AJ295" t="s">
        <v>150</v>
      </c>
    </row>
    <row r="296" spans="1:36" x14ac:dyDescent="0.25">
      <c r="A296" s="1">
        <v>46244</v>
      </c>
      <c r="B296" t="s">
        <v>151</v>
      </c>
      <c r="C296" t="s">
        <v>11</v>
      </c>
      <c r="D296">
        <v>0</v>
      </c>
      <c r="E296">
        <v>0</v>
      </c>
      <c r="F296">
        <v>0</v>
      </c>
      <c r="G296">
        <v>0</v>
      </c>
      <c r="K296">
        <v>0</v>
      </c>
      <c r="L296">
        <v>0</v>
      </c>
      <c r="M296">
        <v>0</v>
      </c>
      <c r="N296">
        <v>0</v>
      </c>
      <c r="O296">
        <v>0</v>
      </c>
      <c r="P296">
        <v>0</v>
      </c>
      <c r="Q296">
        <v>0</v>
      </c>
      <c r="R296">
        <v>0</v>
      </c>
      <c r="S296">
        <v>0</v>
      </c>
      <c r="T296">
        <v>0</v>
      </c>
      <c r="U296">
        <v>1</v>
      </c>
      <c r="V296">
        <v>0</v>
      </c>
      <c r="W296">
        <v>0</v>
      </c>
      <c r="X296">
        <v>0</v>
      </c>
      <c r="Y296">
        <v>0</v>
      </c>
      <c r="Z296">
        <v>0</v>
      </c>
      <c r="AA296">
        <v>0</v>
      </c>
      <c r="AB296">
        <v>0</v>
      </c>
      <c r="AD296">
        <v>0</v>
      </c>
      <c r="AE296" t="s">
        <v>161</v>
      </c>
      <c r="AF296">
        <v>10</v>
      </c>
      <c r="AG296" t="s">
        <v>228</v>
      </c>
      <c r="AI296">
        <v>46244</v>
      </c>
      <c r="AJ296" t="s">
        <v>150</v>
      </c>
    </row>
    <row r="297" spans="1:36" x14ac:dyDescent="0.25">
      <c r="A297" s="1">
        <v>46244</v>
      </c>
      <c r="B297" t="s">
        <v>151</v>
      </c>
      <c r="C297" t="s">
        <v>12</v>
      </c>
      <c r="D297">
        <v>3.1774912809962848</v>
      </c>
      <c r="E297">
        <v>0</v>
      </c>
      <c r="F297">
        <v>0</v>
      </c>
      <c r="G297">
        <v>4.6332179930795849</v>
      </c>
      <c r="H297">
        <v>0</v>
      </c>
      <c r="I297">
        <v>0</v>
      </c>
      <c r="J297">
        <v>1.4581371224492754</v>
      </c>
      <c r="K297">
        <v>0.4581371224492754</v>
      </c>
      <c r="L297">
        <v>0</v>
      </c>
      <c r="M297">
        <v>0</v>
      </c>
      <c r="N297">
        <v>0</v>
      </c>
      <c r="O297">
        <v>0</v>
      </c>
      <c r="P297">
        <v>0</v>
      </c>
      <c r="Q297">
        <v>0</v>
      </c>
      <c r="R297">
        <v>0</v>
      </c>
      <c r="S297">
        <v>0</v>
      </c>
      <c r="T297">
        <v>0</v>
      </c>
      <c r="U297">
        <v>0</v>
      </c>
      <c r="V297">
        <v>0</v>
      </c>
      <c r="W297">
        <v>0</v>
      </c>
      <c r="X297">
        <v>0</v>
      </c>
      <c r="Y297">
        <v>0</v>
      </c>
      <c r="Z297">
        <v>0</v>
      </c>
      <c r="AA297">
        <v>0</v>
      </c>
      <c r="AB297">
        <v>0</v>
      </c>
      <c r="AC297">
        <v>1</v>
      </c>
      <c r="AD297">
        <v>0</v>
      </c>
      <c r="AE297" t="s">
        <v>161</v>
      </c>
      <c r="AF297">
        <v>10</v>
      </c>
      <c r="AG297" t="s">
        <v>229</v>
      </c>
      <c r="AI297">
        <v>46244</v>
      </c>
      <c r="AJ297" t="s">
        <v>150</v>
      </c>
    </row>
    <row r="298" spans="1:36" x14ac:dyDescent="0.25">
      <c r="A298" s="1">
        <v>46244</v>
      </c>
      <c r="B298" t="s">
        <v>151</v>
      </c>
      <c r="C298" t="s">
        <v>10</v>
      </c>
      <c r="D298">
        <v>3.6011567851291222</v>
      </c>
      <c r="E298">
        <v>0</v>
      </c>
      <c r="F298">
        <v>0</v>
      </c>
      <c r="G298">
        <v>4.7022058823529411</v>
      </c>
      <c r="H298">
        <v>0</v>
      </c>
      <c r="I298">
        <v>0</v>
      </c>
      <c r="J298">
        <v>1.305748725456934</v>
      </c>
      <c r="K298">
        <v>0.30574872545693399</v>
      </c>
      <c r="L298">
        <v>0</v>
      </c>
      <c r="M298">
        <v>0</v>
      </c>
      <c r="N298">
        <v>0</v>
      </c>
      <c r="O298">
        <v>0</v>
      </c>
      <c r="P298">
        <v>0</v>
      </c>
      <c r="Q298">
        <v>0</v>
      </c>
      <c r="R298">
        <v>0</v>
      </c>
      <c r="S298">
        <v>0</v>
      </c>
      <c r="T298">
        <v>0</v>
      </c>
      <c r="U298">
        <v>0</v>
      </c>
      <c r="V298">
        <v>0</v>
      </c>
      <c r="W298">
        <v>0</v>
      </c>
      <c r="X298">
        <v>0</v>
      </c>
      <c r="Y298">
        <v>0</v>
      </c>
      <c r="Z298">
        <v>0</v>
      </c>
      <c r="AA298">
        <v>0</v>
      </c>
      <c r="AB298">
        <v>0</v>
      </c>
      <c r="AC298">
        <v>1</v>
      </c>
      <c r="AD298">
        <v>0</v>
      </c>
      <c r="AE298" t="s">
        <v>161</v>
      </c>
      <c r="AF298">
        <v>10</v>
      </c>
      <c r="AG298" t="s">
        <v>227</v>
      </c>
      <c r="AI298">
        <v>46244</v>
      </c>
      <c r="AJ298" t="s">
        <v>150</v>
      </c>
    </row>
    <row r="299" spans="1:36" x14ac:dyDescent="0.25">
      <c r="A299" s="1">
        <v>46244</v>
      </c>
      <c r="B299" t="s">
        <v>151</v>
      </c>
      <c r="C299" t="s">
        <v>11</v>
      </c>
      <c r="D299">
        <v>0</v>
      </c>
      <c r="E299">
        <v>0</v>
      </c>
      <c r="F299">
        <v>0</v>
      </c>
      <c r="G299">
        <v>0</v>
      </c>
      <c r="K299">
        <v>0</v>
      </c>
      <c r="L299">
        <v>0</v>
      </c>
      <c r="M299">
        <v>0</v>
      </c>
      <c r="N299">
        <v>0</v>
      </c>
      <c r="O299">
        <v>0</v>
      </c>
      <c r="P299">
        <v>0</v>
      </c>
      <c r="Q299">
        <v>0</v>
      </c>
      <c r="R299">
        <v>0</v>
      </c>
      <c r="S299">
        <v>0</v>
      </c>
      <c r="T299">
        <v>0</v>
      </c>
      <c r="U299">
        <v>1</v>
      </c>
      <c r="V299">
        <v>0</v>
      </c>
      <c r="W299">
        <v>0</v>
      </c>
      <c r="X299">
        <v>0</v>
      </c>
      <c r="Y299">
        <v>0</v>
      </c>
      <c r="Z299">
        <v>0</v>
      </c>
      <c r="AA299">
        <v>0</v>
      </c>
      <c r="AB299">
        <v>0</v>
      </c>
      <c r="AD299">
        <v>0</v>
      </c>
      <c r="AE299" t="s">
        <v>166</v>
      </c>
      <c r="AF299">
        <v>10</v>
      </c>
      <c r="AG299" t="s">
        <v>228</v>
      </c>
      <c r="AH299">
        <v>1</v>
      </c>
      <c r="AI299">
        <v>46244</v>
      </c>
      <c r="AJ299" t="s">
        <v>150</v>
      </c>
    </row>
    <row r="300" spans="1:36" x14ac:dyDescent="0.25">
      <c r="A300" s="1">
        <v>46244</v>
      </c>
      <c r="B300" t="s">
        <v>151</v>
      </c>
      <c r="C300" t="s">
        <v>12</v>
      </c>
      <c r="D300">
        <v>3.1779578349000128</v>
      </c>
      <c r="E300">
        <v>2.8499999999999996</v>
      </c>
      <c r="F300">
        <v>2.8499999999999996</v>
      </c>
      <c r="G300">
        <v>4.6332179930795849</v>
      </c>
      <c r="H300">
        <v>0.89680233283827326</v>
      </c>
      <c r="I300">
        <v>0.89680233283827326</v>
      </c>
      <c r="J300">
        <v>1.4579230542954509</v>
      </c>
      <c r="K300">
        <v>0.45792305429545088</v>
      </c>
      <c r="L300">
        <v>0</v>
      </c>
      <c r="M300">
        <v>0</v>
      </c>
      <c r="N300">
        <v>0</v>
      </c>
      <c r="O300">
        <v>0</v>
      </c>
      <c r="P300">
        <v>0</v>
      </c>
      <c r="Q300">
        <v>0</v>
      </c>
      <c r="R300">
        <v>0</v>
      </c>
      <c r="S300">
        <v>0</v>
      </c>
      <c r="T300">
        <v>0.10319766716172674</v>
      </c>
      <c r="U300">
        <v>0</v>
      </c>
      <c r="V300">
        <v>0</v>
      </c>
      <c r="W300">
        <v>0</v>
      </c>
      <c r="X300">
        <v>0</v>
      </c>
      <c r="Y300">
        <v>0.89680233283827326</v>
      </c>
      <c r="Z300">
        <v>0</v>
      </c>
      <c r="AA300">
        <v>0</v>
      </c>
      <c r="AB300">
        <v>0</v>
      </c>
      <c r="AC300">
        <v>0</v>
      </c>
      <c r="AD300">
        <v>0</v>
      </c>
      <c r="AE300" t="s">
        <v>166</v>
      </c>
      <c r="AF300">
        <v>10</v>
      </c>
      <c r="AG300" t="s">
        <v>229</v>
      </c>
      <c r="AH300">
        <v>1</v>
      </c>
      <c r="AI300">
        <v>46244</v>
      </c>
      <c r="AJ300" t="s">
        <v>150</v>
      </c>
    </row>
    <row r="301" spans="1:36" x14ac:dyDescent="0.25">
      <c r="A301" s="1">
        <v>46244</v>
      </c>
      <c r="B301" t="s">
        <v>151</v>
      </c>
      <c r="C301" t="s">
        <v>10</v>
      </c>
      <c r="D301">
        <v>3.5876164620550925</v>
      </c>
      <c r="E301">
        <v>3.8</v>
      </c>
      <c r="F301">
        <v>3.8</v>
      </c>
      <c r="G301">
        <v>4.7022058823529411</v>
      </c>
      <c r="H301">
        <v>1.0591990643903022</v>
      </c>
      <c r="I301">
        <v>1.0591990643903022</v>
      </c>
      <c r="J301">
        <v>1.310676860831266</v>
      </c>
      <c r="K301">
        <v>0.2514777964409638</v>
      </c>
      <c r="L301">
        <v>0</v>
      </c>
      <c r="M301">
        <v>0</v>
      </c>
      <c r="N301">
        <v>0</v>
      </c>
      <c r="O301">
        <v>0</v>
      </c>
      <c r="P301">
        <v>0.1908009356096978</v>
      </c>
      <c r="Q301">
        <v>5.9199064390302203E-2</v>
      </c>
      <c r="R301">
        <v>0</v>
      </c>
      <c r="S301">
        <v>0</v>
      </c>
      <c r="T301">
        <v>0</v>
      </c>
      <c r="U301">
        <v>0</v>
      </c>
      <c r="V301">
        <v>0</v>
      </c>
      <c r="W301">
        <v>0</v>
      </c>
      <c r="X301">
        <v>0</v>
      </c>
      <c r="Y301">
        <v>0</v>
      </c>
      <c r="Z301">
        <v>0</v>
      </c>
      <c r="AA301">
        <v>0</v>
      </c>
      <c r="AB301">
        <v>0</v>
      </c>
      <c r="AC301">
        <v>0</v>
      </c>
      <c r="AD301">
        <v>1</v>
      </c>
      <c r="AE301" t="s">
        <v>166</v>
      </c>
      <c r="AF301">
        <v>10</v>
      </c>
      <c r="AG301" t="s">
        <v>227</v>
      </c>
      <c r="AH301">
        <v>1</v>
      </c>
      <c r="AI301">
        <v>46244</v>
      </c>
      <c r="AJ301" t="s">
        <v>150</v>
      </c>
    </row>
    <row r="302" spans="1:36" x14ac:dyDescent="0.25">
      <c r="A302" s="1">
        <v>46245</v>
      </c>
      <c r="B302" t="s">
        <v>151</v>
      </c>
      <c r="C302" t="s">
        <v>12</v>
      </c>
      <c r="D302">
        <v>3.1774912809962848</v>
      </c>
      <c r="E302">
        <v>0</v>
      </c>
      <c r="F302">
        <v>0</v>
      </c>
      <c r="G302">
        <v>4.6332179930795849</v>
      </c>
      <c r="H302">
        <v>0</v>
      </c>
      <c r="I302">
        <v>0</v>
      </c>
      <c r="J302">
        <v>1.4581371224492754</v>
      </c>
      <c r="K302">
        <v>0.4581371224492754</v>
      </c>
      <c r="L302">
        <v>0</v>
      </c>
      <c r="M302">
        <v>0</v>
      </c>
      <c r="N302">
        <v>0</v>
      </c>
      <c r="O302">
        <v>0</v>
      </c>
      <c r="P302">
        <v>0</v>
      </c>
      <c r="Q302">
        <v>0</v>
      </c>
      <c r="R302">
        <v>0</v>
      </c>
      <c r="S302">
        <v>0</v>
      </c>
      <c r="T302">
        <v>0</v>
      </c>
      <c r="U302">
        <v>0</v>
      </c>
      <c r="V302">
        <v>0</v>
      </c>
      <c r="W302">
        <v>0</v>
      </c>
      <c r="X302">
        <v>0</v>
      </c>
      <c r="Y302">
        <v>0</v>
      </c>
      <c r="Z302">
        <v>0</v>
      </c>
      <c r="AA302">
        <v>0</v>
      </c>
      <c r="AB302">
        <v>0</v>
      </c>
      <c r="AC302">
        <v>1</v>
      </c>
      <c r="AD302">
        <v>0</v>
      </c>
      <c r="AE302" t="s">
        <v>161</v>
      </c>
      <c r="AF302">
        <v>10</v>
      </c>
      <c r="AG302" t="s">
        <v>230</v>
      </c>
      <c r="AI302">
        <v>46245</v>
      </c>
      <c r="AJ302" t="s">
        <v>150</v>
      </c>
    </row>
    <row r="303" spans="1:36" x14ac:dyDescent="0.25">
      <c r="A303" s="1">
        <v>46245</v>
      </c>
      <c r="B303" t="s">
        <v>151</v>
      </c>
      <c r="C303" t="s">
        <v>11</v>
      </c>
      <c r="D303">
        <v>0</v>
      </c>
      <c r="E303">
        <v>0</v>
      </c>
      <c r="F303">
        <v>0</v>
      </c>
      <c r="G303">
        <v>0</v>
      </c>
      <c r="K303">
        <v>0</v>
      </c>
      <c r="L303">
        <v>0</v>
      </c>
      <c r="M303">
        <v>0</v>
      </c>
      <c r="N303">
        <v>0</v>
      </c>
      <c r="O303">
        <v>0</v>
      </c>
      <c r="P303">
        <v>0</v>
      </c>
      <c r="Q303">
        <v>0</v>
      </c>
      <c r="R303">
        <v>0</v>
      </c>
      <c r="S303">
        <v>0</v>
      </c>
      <c r="T303">
        <v>0</v>
      </c>
      <c r="U303">
        <v>1</v>
      </c>
      <c r="V303">
        <v>0</v>
      </c>
      <c r="W303">
        <v>0</v>
      </c>
      <c r="X303">
        <v>0</v>
      </c>
      <c r="Y303">
        <v>0</v>
      </c>
      <c r="Z303">
        <v>0</v>
      </c>
      <c r="AA303">
        <v>0</v>
      </c>
      <c r="AB303">
        <v>0</v>
      </c>
      <c r="AD303">
        <v>0</v>
      </c>
      <c r="AE303" t="s">
        <v>161</v>
      </c>
      <c r="AF303">
        <v>10</v>
      </c>
      <c r="AG303" t="s">
        <v>232</v>
      </c>
      <c r="AI303">
        <v>46245</v>
      </c>
      <c r="AJ303" t="s">
        <v>150</v>
      </c>
    </row>
    <row r="304" spans="1:36" x14ac:dyDescent="0.25">
      <c r="A304" s="1">
        <v>46245</v>
      </c>
      <c r="B304" t="s">
        <v>151</v>
      </c>
      <c r="C304" t="s">
        <v>10</v>
      </c>
      <c r="D304">
        <v>3.6011567851291222</v>
      </c>
      <c r="E304">
        <v>0</v>
      </c>
      <c r="F304">
        <v>0</v>
      </c>
      <c r="G304">
        <v>4.7022058823529402</v>
      </c>
      <c r="H304">
        <v>0</v>
      </c>
      <c r="I304">
        <v>0</v>
      </c>
      <c r="J304">
        <v>1.3057487254569338</v>
      </c>
      <c r="K304">
        <v>0.30574872545693377</v>
      </c>
      <c r="L304">
        <v>0</v>
      </c>
      <c r="M304">
        <v>0</v>
      </c>
      <c r="N304">
        <v>0</v>
      </c>
      <c r="O304">
        <v>0</v>
      </c>
      <c r="P304">
        <v>0</v>
      </c>
      <c r="Q304">
        <v>0</v>
      </c>
      <c r="R304">
        <v>0</v>
      </c>
      <c r="S304">
        <v>0</v>
      </c>
      <c r="T304">
        <v>0</v>
      </c>
      <c r="U304">
        <v>0</v>
      </c>
      <c r="V304">
        <v>0</v>
      </c>
      <c r="W304">
        <v>0</v>
      </c>
      <c r="X304">
        <v>0</v>
      </c>
      <c r="Y304">
        <v>0</v>
      </c>
      <c r="Z304">
        <v>0</v>
      </c>
      <c r="AA304">
        <v>0</v>
      </c>
      <c r="AB304">
        <v>0</v>
      </c>
      <c r="AC304">
        <v>1</v>
      </c>
      <c r="AD304">
        <v>0</v>
      </c>
      <c r="AE304" t="s">
        <v>161</v>
      </c>
      <c r="AF304">
        <v>10</v>
      </c>
      <c r="AG304" t="s">
        <v>231</v>
      </c>
      <c r="AI304">
        <v>46245</v>
      </c>
      <c r="AJ304" t="s">
        <v>150</v>
      </c>
    </row>
    <row r="305" spans="1:36" x14ac:dyDescent="0.25">
      <c r="A305" s="1">
        <v>46245</v>
      </c>
      <c r="B305" t="s">
        <v>151</v>
      </c>
      <c r="C305" t="s">
        <v>12</v>
      </c>
      <c r="D305">
        <v>3.1779578349000128</v>
      </c>
      <c r="E305">
        <v>2.8499999999999996</v>
      </c>
      <c r="F305">
        <v>2.8499999999999996</v>
      </c>
      <c r="G305">
        <v>4.6332179930795849</v>
      </c>
      <c r="H305">
        <v>0.89680233283827326</v>
      </c>
      <c r="I305">
        <v>0.89680233283827326</v>
      </c>
      <c r="J305">
        <v>1.4579230542954509</v>
      </c>
      <c r="K305">
        <v>0.45792305429545088</v>
      </c>
      <c r="L305">
        <v>0</v>
      </c>
      <c r="M305">
        <v>0</v>
      </c>
      <c r="N305">
        <v>0</v>
      </c>
      <c r="O305">
        <v>0</v>
      </c>
      <c r="P305">
        <v>0</v>
      </c>
      <c r="Q305">
        <v>0</v>
      </c>
      <c r="R305">
        <v>0</v>
      </c>
      <c r="S305">
        <v>0</v>
      </c>
      <c r="T305">
        <v>0.10319766716172674</v>
      </c>
      <c r="U305">
        <v>0</v>
      </c>
      <c r="V305">
        <v>0</v>
      </c>
      <c r="W305">
        <v>0</v>
      </c>
      <c r="X305">
        <v>0</v>
      </c>
      <c r="Y305">
        <v>0.89680233283827326</v>
      </c>
      <c r="Z305">
        <v>0</v>
      </c>
      <c r="AA305">
        <v>0</v>
      </c>
      <c r="AB305">
        <v>0</v>
      </c>
      <c r="AC305">
        <v>0</v>
      </c>
      <c r="AD305">
        <v>0</v>
      </c>
      <c r="AE305" t="s">
        <v>166</v>
      </c>
      <c r="AF305">
        <v>10</v>
      </c>
      <c r="AG305" t="s">
        <v>230</v>
      </c>
      <c r="AH305">
        <v>1</v>
      </c>
      <c r="AI305">
        <v>46245</v>
      </c>
      <c r="AJ305" t="s">
        <v>150</v>
      </c>
    </row>
    <row r="306" spans="1:36" x14ac:dyDescent="0.25">
      <c r="A306" s="1">
        <v>46245</v>
      </c>
      <c r="B306" t="s">
        <v>151</v>
      </c>
      <c r="C306" t="s">
        <v>11</v>
      </c>
      <c r="D306">
        <v>0</v>
      </c>
      <c r="E306">
        <v>0.95</v>
      </c>
      <c r="F306">
        <v>0.95</v>
      </c>
      <c r="G306">
        <v>0</v>
      </c>
      <c r="K306">
        <v>0</v>
      </c>
      <c r="L306">
        <v>0</v>
      </c>
      <c r="M306">
        <v>0</v>
      </c>
      <c r="N306">
        <v>0</v>
      </c>
      <c r="O306">
        <v>0</v>
      </c>
      <c r="P306">
        <v>0</v>
      </c>
      <c r="Q306">
        <v>0</v>
      </c>
      <c r="R306">
        <v>0</v>
      </c>
      <c r="S306">
        <v>0</v>
      </c>
      <c r="T306">
        <v>0</v>
      </c>
      <c r="U306">
        <v>1</v>
      </c>
      <c r="V306">
        <v>0</v>
      </c>
      <c r="W306">
        <v>0</v>
      </c>
      <c r="X306">
        <v>0</v>
      </c>
      <c r="Y306">
        <v>0</v>
      </c>
      <c r="Z306">
        <v>0</v>
      </c>
      <c r="AA306">
        <v>1</v>
      </c>
      <c r="AB306">
        <v>0</v>
      </c>
      <c r="AD306">
        <v>0</v>
      </c>
      <c r="AE306" t="s">
        <v>166</v>
      </c>
      <c r="AF306">
        <v>10</v>
      </c>
      <c r="AG306" t="s">
        <v>232</v>
      </c>
      <c r="AH306">
        <v>1</v>
      </c>
      <c r="AI306">
        <v>46245</v>
      </c>
      <c r="AJ306" t="s">
        <v>150</v>
      </c>
    </row>
    <row r="307" spans="1:36" x14ac:dyDescent="0.25">
      <c r="A307" s="1">
        <v>46245</v>
      </c>
      <c r="B307" t="s">
        <v>151</v>
      </c>
      <c r="C307" t="s">
        <v>10</v>
      </c>
      <c r="D307">
        <v>3.5876164620550925</v>
      </c>
      <c r="E307">
        <v>5.6999999999999993</v>
      </c>
      <c r="F307">
        <v>5.6999999999999993</v>
      </c>
      <c r="G307">
        <v>4.7022058823529402</v>
      </c>
      <c r="H307">
        <v>1.588798596585453</v>
      </c>
      <c r="I307">
        <v>1.588798596585453</v>
      </c>
      <c r="J307">
        <v>1.3106768608312656</v>
      </c>
      <c r="K307">
        <v>0</v>
      </c>
      <c r="L307">
        <v>0</v>
      </c>
      <c r="M307">
        <v>0.27812173575418742</v>
      </c>
      <c r="N307">
        <v>0</v>
      </c>
      <c r="O307">
        <v>6.0676860831265556E-2</v>
      </c>
      <c r="P307">
        <v>0</v>
      </c>
      <c r="Q307">
        <v>0.25</v>
      </c>
      <c r="R307">
        <v>0</v>
      </c>
      <c r="S307">
        <v>0</v>
      </c>
      <c r="T307">
        <v>0</v>
      </c>
      <c r="U307">
        <v>0</v>
      </c>
      <c r="V307">
        <v>0</v>
      </c>
      <c r="W307">
        <v>0</v>
      </c>
      <c r="X307">
        <v>0</v>
      </c>
      <c r="Y307">
        <v>1</v>
      </c>
      <c r="Z307">
        <v>0</v>
      </c>
      <c r="AA307">
        <v>0</v>
      </c>
      <c r="AB307">
        <v>0</v>
      </c>
      <c r="AC307">
        <v>0</v>
      </c>
      <c r="AD307">
        <v>0</v>
      </c>
      <c r="AE307" t="s">
        <v>166</v>
      </c>
      <c r="AF307">
        <v>10</v>
      </c>
      <c r="AG307" t="s">
        <v>231</v>
      </c>
      <c r="AH307">
        <v>1</v>
      </c>
      <c r="AI307">
        <v>46245</v>
      </c>
      <c r="AJ307" t="s">
        <v>150</v>
      </c>
    </row>
    <row r="308" spans="1:36" x14ac:dyDescent="0.25">
      <c r="A308" s="1">
        <v>46246</v>
      </c>
      <c r="B308" t="s">
        <v>151</v>
      </c>
      <c r="C308" t="s">
        <v>10</v>
      </c>
      <c r="D308">
        <v>3.6011567851291222</v>
      </c>
      <c r="E308">
        <v>0</v>
      </c>
      <c r="F308">
        <v>0</v>
      </c>
      <c r="G308">
        <v>4.7022058823529402</v>
      </c>
      <c r="H308">
        <v>0</v>
      </c>
      <c r="I308">
        <v>0</v>
      </c>
      <c r="J308">
        <v>1.3057487254569338</v>
      </c>
      <c r="K308">
        <v>0.30574872545693377</v>
      </c>
      <c r="L308">
        <v>0</v>
      </c>
      <c r="M308">
        <v>0</v>
      </c>
      <c r="N308">
        <v>0</v>
      </c>
      <c r="O308">
        <v>0</v>
      </c>
      <c r="P308">
        <v>0</v>
      </c>
      <c r="Q308">
        <v>0</v>
      </c>
      <c r="R308">
        <v>0</v>
      </c>
      <c r="S308">
        <v>0</v>
      </c>
      <c r="T308">
        <v>0</v>
      </c>
      <c r="U308">
        <v>0</v>
      </c>
      <c r="V308">
        <v>0</v>
      </c>
      <c r="W308">
        <v>0</v>
      </c>
      <c r="X308">
        <v>0</v>
      </c>
      <c r="Y308">
        <v>0</v>
      </c>
      <c r="Z308">
        <v>0</v>
      </c>
      <c r="AA308">
        <v>0</v>
      </c>
      <c r="AB308">
        <v>0</v>
      </c>
      <c r="AC308">
        <v>1</v>
      </c>
      <c r="AD308">
        <v>0</v>
      </c>
      <c r="AE308" t="s">
        <v>161</v>
      </c>
      <c r="AF308">
        <v>10</v>
      </c>
      <c r="AG308" t="s">
        <v>233</v>
      </c>
      <c r="AI308">
        <v>46246</v>
      </c>
      <c r="AJ308" t="s">
        <v>150</v>
      </c>
    </row>
    <row r="309" spans="1:36" x14ac:dyDescent="0.25">
      <c r="A309" s="1">
        <v>46246</v>
      </c>
      <c r="B309" t="s">
        <v>151</v>
      </c>
      <c r="C309" t="s">
        <v>11</v>
      </c>
      <c r="D309">
        <v>0</v>
      </c>
      <c r="E309">
        <v>0</v>
      </c>
      <c r="F309">
        <v>0</v>
      </c>
      <c r="G309">
        <v>0</v>
      </c>
      <c r="K309">
        <v>0</v>
      </c>
      <c r="L309">
        <v>0</v>
      </c>
      <c r="M309">
        <v>0</v>
      </c>
      <c r="N309">
        <v>0</v>
      </c>
      <c r="O309">
        <v>0</v>
      </c>
      <c r="P309">
        <v>0</v>
      </c>
      <c r="Q309">
        <v>0</v>
      </c>
      <c r="R309">
        <v>0</v>
      </c>
      <c r="S309">
        <v>0</v>
      </c>
      <c r="T309">
        <v>0</v>
      </c>
      <c r="U309">
        <v>1</v>
      </c>
      <c r="V309">
        <v>0</v>
      </c>
      <c r="W309">
        <v>0</v>
      </c>
      <c r="X309">
        <v>0</v>
      </c>
      <c r="Y309">
        <v>0</v>
      </c>
      <c r="Z309">
        <v>0</v>
      </c>
      <c r="AA309">
        <v>0</v>
      </c>
      <c r="AB309">
        <v>0</v>
      </c>
      <c r="AD309">
        <v>0</v>
      </c>
      <c r="AE309" t="s">
        <v>161</v>
      </c>
      <c r="AF309">
        <v>10</v>
      </c>
      <c r="AG309" t="s">
        <v>234</v>
      </c>
      <c r="AI309">
        <v>46246</v>
      </c>
      <c r="AJ309" t="s">
        <v>150</v>
      </c>
    </row>
    <row r="310" spans="1:36" x14ac:dyDescent="0.25">
      <c r="A310" s="1">
        <v>46246</v>
      </c>
      <c r="B310" t="s">
        <v>151</v>
      </c>
      <c r="C310" t="s">
        <v>12</v>
      </c>
      <c r="D310">
        <v>3.1774912809962848</v>
      </c>
      <c r="E310">
        <v>0</v>
      </c>
      <c r="F310">
        <v>0</v>
      </c>
      <c r="G310">
        <v>4.6332179930795849</v>
      </c>
      <c r="H310">
        <v>0</v>
      </c>
      <c r="I310">
        <v>0</v>
      </c>
      <c r="J310">
        <v>1.4581371224492754</v>
      </c>
      <c r="K310">
        <v>0.4581371224492754</v>
      </c>
      <c r="L310">
        <v>0</v>
      </c>
      <c r="M310">
        <v>0</v>
      </c>
      <c r="N310">
        <v>0</v>
      </c>
      <c r="O310">
        <v>0</v>
      </c>
      <c r="P310">
        <v>0</v>
      </c>
      <c r="Q310">
        <v>0</v>
      </c>
      <c r="R310">
        <v>0</v>
      </c>
      <c r="S310">
        <v>0</v>
      </c>
      <c r="T310">
        <v>0</v>
      </c>
      <c r="U310">
        <v>0</v>
      </c>
      <c r="V310">
        <v>0</v>
      </c>
      <c r="W310">
        <v>0</v>
      </c>
      <c r="X310">
        <v>0</v>
      </c>
      <c r="Y310">
        <v>0</v>
      </c>
      <c r="Z310">
        <v>0</v>
      </c>
      <c r="AA310">
        <v>0</v>
      </c>
      <c r="AB310">
        <v>0</v>
      </c>
      <c r="AC310">
        <v>1</v>
      </c>
      <c r="AD310">
        <v>0</v>
      </c>
      <c r="AE310" t="s">
        <v>161</v>
      </c>
      <c r="AF310">
        <v>10</v>
      </c>
      <c r="AG310" t="s">
        <v>235</v>
      </c>
      <c r="AI310">
        <v>46246</v>
      </c>
      <c r="AJ310" t="s">
        <v>150</v>
      </c>
    </row>
    <row r="311" spans="1:36" x14ac:dyDescent="0.25">
      <c r="A311" s="1">
        <v>46246</v>
      </c>
      <c r="B311" t="s">
        <v>151</v>
      </c>
      <c r="C311" t="s">
        <v>10</v>
      </c>
      <c r="D311">
        <v>3.5876164620550925</v>
      </c>
      <c r="E311">
        <v>3.8</v>
      </c>
      <c r="F311">
        <v>3.8</v>
      </c>
      <c r="G311">
        <v>4.7022058823529402</v>
      </c>
      <c r="H311">
        <v>1.0591990643903022</v>
      </c>
      <c r="I311">
        <v>1.0591990643903022</v>
      </c>
      <c r="J311">
        <v>1.3106768608312656</v>
      </c>
      <c r="K311">
        <v>0.25147779644096335</v>
      </c>
      <c r="L311">
        <v>0</v>
      </c>
      <c r="M311">
        <v>0</v>
      </c>
      <c r="N311">
        <v>0</v>
      </c>
      <c r="O311">
        <v>0</v>
      </c>
      <c r="P311">
        <v>0.1908009356096978</v>
      </c>
      <c r="Q311">
        <v>5.9199064390302203E-2</v>
      </c>
      <c r="R311">
        <v>0</v>
      </c>
      <c r="S311">
        <v>0</v>
      </c>
      <c r="T311">
        <v>0</v>
      </c>
      <c r="U311">
        <v>0</v>
      </c>
      <c r="V311">
        <v>0</v>
      </c>
      <c r="W311">
        <v>0</v>
      </c>
      <c r="X311">
        <v>0</v>
      </c>
      <c r="Y311">
        <v>0</v>
      </c>
      <c r="Z311">
        <v>0</v>
      </c>
      <c r="AA311">
        <v>0</v>
      </c>
      <c r="AB311">
        <v>0</v>
      </c>
      <c r="AC311">
        <v>0</v>
      </c>
      <c r="AD311">
        <v>1</v>
      </c>
      <c r="AE311" t="s">
        <v>166</v>
      </c>
      <c r="AF311">
        <v>10</v>
      </c>
      <c r="AG311" t="s">
        <v>233</v>
      </c>
      <c r="AH311">
        <v>1</v>
      </c>
      <c r="AI311">
        <v>46246</v>
      </c>
      <c r="AJ311" t="s">
        <v>150</v>
      </c>
    </row>
    <row r="312" spans="1:36" x14ac:dyDescent="0.25">
      <c r="A312" s="1">
        <v>46246</v>
      </c>
      <c r="B312" t="s">
        <v>151</v>
      </c>
      <c r="C312" t="s">
        <v>11</v>
      </c>
      <c r="D312">
        <v>0</v>
      </c>
      <c r="E312">
        <v>0</v>
      </c>
      <c r="F312">
        <v>0</v>
      </c>
      <c r="G312">
        <v>0</v>
      </c>
      <c r="K312">
        <v>0</v>
      </c>
      <c r="L312">
        <v>0</v>
      </c>
      <c r="M312">
        <v>0</v>
      </c>
      <c r="N312">
        <v>0</v>
      </c>
      <c r="O312">
        <v>0</v>
      </c>
      <c r="P312">
        <v>0</v>
      </c>
      <c r="Q312">
        <v>0</v>
      </c>
      <c r="R312">
        <v>0</v>
      </c>
      <c r="S312">
        <v>0</v>
      </c>
      <c r="T312">
        <v>0</v>
      </c>
      <c r="U312">
        <v>1</v>
      </c>
      <c r="V312">
        <v>0</v>
      </c>
      <c r="W312">
        <v>0</v>
      </c>
      <c r="X312">
        <v>0</v>
      </c>
      <c r="Y312">
        <v>0</v>
      </c>
      <c r="Z312">
        <v>0</v>
      </c>
      <c r="AA312">
        <v>0</v>
      </c>
      <c r="AB312">
        <v>0</v>
      </c>
      <c r="AD312">
        <v>0</v>
      </c>
      <c r="AE312" t="s">
        <v>166</v>
      </c>
      <c r="AF312">
        <v>10</v>
      </c>
      <c r="AG312" t="s">
        <v>234</v>
      </c>
      <c r="AH312">
        <v>1</v>
      </c>
      <c r="AI312">
        <v>46246</v>
      </c>
      <c r="AJ312" t="s">
        <v>150</v>
      </c>
    </row>
    <row r="313" spans="1:36" x14ac:dyDescent="0.25">
      <c r="A313" s="1">
        <v>46246</v>
      </c>
      <c r="B313" t="s">
        <v>151</v>
      </c>
      <c r="C313" t="s">
        <v>12</v>
      </c>
      <c r="D313">
        <v>3.1779578349000128</v>
      </c>
      <c r="E313">
        <v>2.8499999999999996</v>
      </c>
      <c r="F313">
        <v>2.8499999999999996</v>
      </c>
      <c r="G313">
        <v>4.6332179930795849</v>
      </c>
      <c r="H313">
        <v>0.89680233283827326</v>
      </c>
      <c r="I313">
        <v>0.89680233283827326</v>
      </c>
      <c r="J313">
        <v>1.4579230542954509</v>
      </c>
      <c r="K313">
        <v>0.45792305429545088</v>
      </c>
      <c r="L313">
        <v>0</v>
      </c>
      <c r="M313">
        <v>0</v>
      </c>
      <c r="N313">
        <v>0</v>
      </c>
      <c r="O313">
        <v>0</v>
      </c>
      <c r="P313">
        <v>0</v>
      </c>
      <c r="Q313">
        <v>0</v>
      </c>
      <c r="R313">
        <v>0</v>
      </c>
      <c r="S313">
        <v>0</v>
      </c>
      <c r="T313">
        <v>0.10319766716172674</v>
      </c>
      <c r="U313">
        <v>0</v>
      </c>
      <c r="V313">
        <v>0</v>
      </c>
      <c r="W313">
        <v>0</v>
      </c>
      <c r="X313">
        <v>0</v>
      </c>
      <c r="Y313">
        <v>0.89680233283827326</v>
      </c>
      <c r="Z313">
        <v>0</v>
      </c>
      <c r="AA313">
        <v>0</v>
      </c>
      <c r="AB313">
        <v>0</v>
      </c>
      <c r="AC313">
        <v>0</v>
      </c>
      <c r="AD313">
        <v>0</v>
      </c>
      <c r="AE313" t="s">
        <v>166</v>
      </c>
      <c r="AF313">
        <v>10</v>
      </c>
      <c r="AG313" t="s">
        <v>235</v>
      </c>
      <c r="AH313">
        <v>1</v>
      </c>
      <c r="AI313">
        <v>46246</v>
      </c>
      <c r="AJ313" t="s">
        <v>150</v>
      </c>
    </row>
    <row r="314" spans="1:36" x14ac:dyDescent="0.25">
      <c r="A314" s="1">
        <v>46247</v>
      </c>
      <c r="B314" t="s">
        <v>151</v>
      </c>
      <c r="C314" t="s">
        <v>12</v>
      </c>
      <c r="D314">
        <v>3.1774912809962848</v>
      </c>
      <c r="E314">
        <v>0</v>
      </c>
      <c r="F314">
        <v>0</v>
      </c>
      <c r="G314">
        <v>4.6332179930795849</v>
      </c>
      <c r="H314">
        <v>0</v>
      </c>
      <c r="I314">
        <v>0</v>
      </c>
      <c r="J314">
        <v>1.4581371224492754</v>
      </c>
      <c r="K314">
        <v>0.4581371224492754</v>
      </c>
      <c r="L314">
        <v>0</v>
      </c>
      <c r="M314">
        <v>0</v>
      </c>
      <c r="N314">
        <v>0</v>
      </c>
      <c r="O314">
        <v>0</v>
      </c>
      <c r="P314">
        <v>0</v>
      </c>
      <c r="Q314">
        <v>0</v>
      </c>
      <c r="R314">
        <v>0</v>
      </c>
      <c r="S314">
        <v>0</v>
      </c>
      <c r="T314">
        <v>0</v>
      </c>
      <c r="U314">
        <v>0</v>
      </c>
      <c r="V314">
        <v>0</v>
      </c>
      <c r="W314">
        <v>0</v>
      </c>
      <c r="X314">
        <v>0</v>
      </c>
      <c r="Y314">
        <v>0</v>
      </c>
      <c r="Z314">
        <v>0</v>
      </c>
      <c r="AA314">
        <v>0</v>
      </c>
      <c r="AB314">
        <v>0</v>
      </c>
      <c r="AC314">
        <v>1</v>
      </c>
      <c r="AD314">
        <v>0</v>
      </c>
      <c r="AE314" t="s">
        <v>161</v>
      </c>
      <c r="AF314">
        <v>10</v>
      </c>
      <c r="AG314" t="s">
        <v>236</v>
      </c>
      <c r="AI314">
        <v>46247</v>
      </c>
      <c r="AJ314" t="s">
        <v>150</v>
      </c>
    </row>
    <row r="315" spans="1:36" x14ac:dyDescent="0.25">
      <c r="A315" s="1">
        <v>46247</v>
      </c>
      <c r="B315" t="s">
        <v>151</v>
      </c>
      <c r="C315" t="s">
        <v>11</v>
      </c>
      <c r="D315">
        <v>0</v>
      </c>
      <c r="E315">
        <v>0</v>
      </c>
      <c r="F315">
        <v>0</v>
      </c>
      <c r="G315">
        <v>0</v>
      </c>
      <c r="K315">
        <v>0</v>
      </c>
      <c r="L315">
        <v>0</v>
      </c>
      <c r="M315">
        <v>0</v>
      </c>
      <c r="N315">
        <v>0</v>
      </c>
      <c r="O315">
        <v>0</v>
      </c>
      <c r="P315">
        <v>0</v>
      </c>
      <c r="Q315">
        <v>0</v>
      </c>
      <c r="R315">
        <v>0</v>
      </c>
      <c r="S315">
        <v>0</v>
      </c>
      <c r="T315">
        <v>0</v>
      </c>
      <c r="U315">
        <v>1</v>
      </c>
      <c r="V315">
        <v>0</v>
      </c>
      <c r="W315">
        <v>0</v>
      </c>
      <c r="X315">
        <v>0</v>
      </c>
      <c r="Y315">
        <v>0</v>
      </c>
      <c r="Z315">
        <v>0</v>
      </c>
      <c r="AA315">
        <v>0</v>
      </c>
      <c r="AB315">
        <v>0</v>
      </c>
      <c r="AD315">
        <v>0</v>
      </c>
      <c r="AE315" t="s">
        <v>161</v>
      </c>
      <c r="AF315">
        <v>10</v>
      </c>
      <c r="AG315" t="s">
        <v>237</v>
      </c>
      <c r="AI315">
        <v>46247</v>
      </c>
      <c r="AJ315" t="s">
        <v>150</v>
      </c>
    </row>
    <row r="316" spans="1:36" x14ac:dyDescent="0.25">
      <c r="A316" s="1">
        <v>46247</v>
      </c>
      <c r="B316" t="s">
        <v>151</v>
      </c>
      <c r="C316" t="s">
        <v>10</v>
      </c>
      <c r="D316">
        <v>3.6011567851291222</v>
      </c>
      <c r="E316">
        <v>0.95</v>
      </c>
      <c r="F316">
        <v>0.95</v>
      </c>
      <c r="G316">
        <v>4.7022058823529411</v>
      </c>
      <c r="H316">
        <v>0.26380412092108813</v>
      </c>
      <c r="I316">
        <v>0.26380412092108813</v>
      </c>
      <c r="J316">
        <v>1.305748725456934</v>
      </c>
      <c r="K316">
        <v>0.30574872545693399</v>
      </c>
      <c r="L316">
        <v>0</v>
      </c>
      <c r="M316">
        <v>0</v>
      </c>
      <c r="N316">
        <v>0</v>
      </c>
      <c r="O316">
        <v>0</v>
      </c>
      <c r="P316">
        <v>0</v>
      </c>
      <c r="Q316">
        <v>0</v>
      </c>
      <c r="R316">
        <v>0</v>
      </c>
      <c r="S316">
        <v>0</v>
      </c>
      <c r="T316">
        <v>0.73619587907891182</v>
      </c>
      <c r="U316">
        <v>0</v>
      </c>
      <c r="V316">
        <v>0</v>
      </c>
      <c r="W316">
        <v>0</v>
      </c>
      <c r="X316">
        <v>0</v>
      </c>
      <c r="Y316">
        <v>0.26380412092108813</v>
      </c>
      <c r="Z316">
        <v>0</v>
      </c>
      <c r="AA316">
        <v>0</v>
      </c>
      <c r="AB316">
        <v>0</v>
      </c>
      <c r="AC316">
        <v>0</v>
      </c>
      <c r="AD316">
        <v>0</v>
      </c>
      <c r="AE316" t="s">
        <v>161</v>
      </c>
      <c r="AF316">
        <v>10</v>
      </c>
      <c r="AG316" t="s">
        <v>238</v>
      </c>
      <c r="AI316">
        <v>46247</v>
      </c>
      <c r="AJ316" t="s">
        <v>150</v>
      </c>
    </row>
    <row r="317" spans="1:36" x14ac:dyDescent="0.25">
      <c r="A317" s="1">
        <v>46247</v>
      </c>
      <c r="B317" t="s">
        <v>151</v>
      </c>
      <c r="C317" t="s">
        <v>12</v>
      </c>
      <c r="D317">
        <v>3.1779578349000128</v>
      </c>
      <c r="E317">
        <v>2.8499999999999996</v>
      </c>
      <c r="F317">
        <v>2.8499999999999996</v>
      </c>
      <c r="G317">
        <v>4.6332179930795849</v>
      </c>
      <c r="H317">
        <v>0.89680233283827326</v>
      </c>
      <c r="I317">
        <v>0.89680233283827326</v>
      </c>
      <c r="J317">
        <v>1.4579230542954509</v>
      </c>
      <c r="K317">
        <v>0.45792305429545088</v>
      </c>
      <c r="L317">
        <v>0</v>
      </c>
      <c r="M317">
        <v>0</v>
      </c>
      <c r="N317">
        <v>0</v>
      </c>
      <c r="O317">
        <v>0</v>
      </c>
      <c r="P317">
        <v>0</v>
      </c>
      <c r="Q317">
        <v>0</v>
      </c>
      <c r="R317">
        <v>0</v>
      </c>
      <c r="S317">
        <v>0</v>
      </c>
      <c r="T317">
        <v>0.10319766716172674</v>
      </c>
      <c r="U317">
        <v>0</v>
      </c>
      <c r="V317">
        <v>0</v>
      </c>
      <c r="W317">
        <v>0</v>
      </c>
      <c r="X317">
        <v>0</v>
      </c>
      <c r="Y317">
        <v>0.89680233283827326</v>
      </c>
      <c r="Z317">
        <v>0</v>
      </c>
      <c r="AA317">
        <v>0</v>
      </c>
      <c r="AB317">
        <v>0</v>
      </c>
      <c r="AC317">
        <v>0</v>
      </c>
      <c r="AD317">
        <v>0</v>
      </c>
      <c r="AE317" t="s">
        <v>166</v>
      </c>
      <c r="AF317">
        <v>10</v>
      </c>
      <c r="AG317" t="s">
        <v>236</v>
      </c>
      <c r="AH317">
        <v>1</v>
      </c>
      <c r="AI317">
        <v>46247</v>
      </c>
      <c r="AJ317" t="s">
        <v>150</v>
      </c>
    </row>
    <row r="318" spans="1:36" x14ac:dyDescent="0.25">
      <c r="A318" s="1">
        <v>46247</v>
      </c>
      <c r="B318" t="s">
        <v>151</v>
      </c>
      <c r="C318" t="s">
        <v>11</v>
      </c>
      <c r="D318">
        <v>0</v>
      </c>
      <c r="E318">
        <v>0</v>
      </c>
      <c r="F318">
        <v>0</v>
      </c>
      <c r="G318">
        <v>0</v>
      </c>
      <c r="K318">
        <v>0</v>
      </c>
      <c r="L318">
        <v>0</v>
      </c>
      <c r="M318">
        <v>0</v>
      </c>
      <c r="N318">
        <v>0</v>
      </c>
      <c r="O318">
        <v>0</v>
      </c>
      <c r="P318">
        <v>0</v>
      </c>
      <c r="Q318">
        <v>0</v>
      </c>
      <c r="R318">
        <v>0</v>
      </c>
      <c r="S318">
        <v>0</v>
      </c>
      <c r="T318">
        <v>0</v>
      </c>
      <c r="U318">
        <v>1</v>
      </c>
      <c r="V318">
        <v>0</v>
      </c>
      <c r="W318">
        <v>0</v>
      </c>
      <c r="X318">
        <v>0</v>
      </c>
      <c r="Y318">
        <v>0</v>
      </c>
      <c r="Z318">
        <v>0</v>
      </c>
      <c r="AA318">
        <v>0</v>
      </c>
      <c r="AB318">
        <v>0</v>
      </c>
      <c r="AD318">
        <v>0</v>
      </c>
      <c r="AE318" t="s">
        <v>166</v>
      </c>
      <c r="AF318">
        <v>10</v>
      </c>
      <c r="AG318" t="s">
        <v>237</v>
      </c>
      <c r="AH318">
        <v>1</v>
      </c>
      <c r="AI318">
        <v>46247</v>
      </c>
      <c r="AJ318" t="s">
        <v>150</v>
      </c>
    </row>
    <row r="319" spans="1:36" x14ac:dyDescent="0.25">
      <c r="A319" s="1">
        <v>46247</v>
      </c>
      <c r="B319" t="s">
        <v>151</v>
      </c>
      <c r="C319" t="s">
        <v>10</v>
      </c>
      <c r="D319">
        <v>3.587616462055093</v>
      </c>
      <c r="E319">
        <v>3.8</v>
      </c>
      <c r="F319">
        <v>3.8</v>
      </c>
      <c r="G319">
        <v>4.7022058823529411</v>
      </c>
      <c r="H319">
        <v>1.059199064390302</v>
      </c>
      <c r="I319">
        <v>1.059199064390302</v>
      </c>
      <c r="J319">
        <v>1.3106768608312658</v>
      </c>
      <c r="K319">
        <v>0.2514777964409638</v>
      </c>
      <c r="L319">
        <v>0</v>
      </c>
      <c r="M319">
        <v>0</v>
      </c>
      <c r="N319">
        <v>0</v>
      </c>
      <c r="O319">
        <v>0</v>
      </c>
      <c r="P319">
        <v>0.19080093560969802</v>
      </c>
      <c r="Q319">
        <v>5.9199064390301981E-2</v>
      </c>
      <c r="R319">
        <v>0</v>
      </c>
      <c r="S319">
        <v>0</v>
      </c>
      <c r="T319">
        <v>0</v>
      </c>
      <c r="U319">
        <v>0</v>
      </c>
      <c r="V319">
        <v>0</v>
      </c>
      <c r="W319">
        <v>0</v>
      </c>
      <c r="X319">
        <v>0</v>
      </c>
      <c r="Y319">
        <v>0</v>
      </c>
      <c r="Z319">
        <v>0</v>
      </c>
      <c r="AA319">
        <v>0</v>
      </c>
      <c r="AB319">
        <v>0</v>
      </c>
      <c r="AC319">
        <v>0</v>
      </c>
      <c r="AD319">
        <v>1</v>
      </c>
      <c r="AE319" t="s">
        <v>166</v>
      </c>
      <c r="AF319">
        <v>10</v>
      </c>
      <c r="AG319" t="s">
        <v>238</v>
      </c>
      <c r="AH319">
        <v>1</v>
      </c>
      <c r="AI319">
        <v>46247</v>
      </c>
      <c r="AJ319" t="s">
        <v>150</v>
      </c>
    </row>
    <row r="320" spans="1:36" x14ac:dyDescent="0.25">
      <c r="A320" s="1">
        <v>46248</v>
      </c>
      <c r="B320" t="s">
        <v>151</v>
      </c>
      <c r="C320" t="s">
        <v>12</v>
      </c>
      <c r="D320">
        <v>3.1774912809962848</v>
      </c>
      <c r="E320">
        <v>0</v>
      </c>
      <c r="F320">
        <v>0</v>
      </c>
      <c r="G320">
        <v>4.6332179930795849</v>
      </c>
      <c r="H320">
        <v>0</v>
      </c>
      <c r="I320">
        <v>0</v>
      </c>
      <c r="J320">
        <v>1.4581371224492754</v>
      </c>
      <c r="K320">
        <v>0.4581371224492754</v>
      </c>
      <c r="L320">
        <v>0</v>
      </c>
      <c r="M320">
        <v>0</v>
      </c>
      <c r="N320">
        <v>0</v>
      </c>
      <c r="O320">
        <v>0</v>
      </c>
      <c r="P320">
        <v>0</v>
      </c>
      <c r="Q320">
        <v>0</v>
      </c>
      <c r="R320">
        <v>0</v>
      </c>
      <c r="S320">
        <v>0</v>
      </c>
      <c r="T320">
        <v>0</v>
      </c>
      <c r="U320">
        <v>0</v>
      </c>
      <c r="V320">
        <v>0</v>
      </c>
      <c r="W320">
        <v>0</v>
      </c>
      <c r="X320">
        <v>0</v>
      </c>
      <c r="Y320">
        <v>0</v>
      </c>
      <c r="Z320">
        <v>0</v>
      </c>
      <c r="AA320">
        <v>0</v>
      </c>
      <c r="AB320">
        <v>0</v>
      </c>
      <c r="AC320">
        <v>1</v>
      </c>
      <c r="AD320">
        <v>0</v>
      </c>
      <c r="AE320" t="s">
        <v>161</v>
      </c>
      <c r="AF320">
        <v>10</v>
      </c>
      <c r="AG320" t="s">
        <v>239</v>
      </c>
      <c r="AI320">
        <v>46248</v>
      </c>
      <c r="AJ320" t="s">
        <v>150</v>
      </c>
    </row>
    <row r="321" spans="1:36" x14ac:dyDescent="0.25">
      <c r="A321" s="1">
        <v>46248</v>
      </c>
      <c r="B321" t="s">
        <v>151</v>
      </c>
      <c r="C321" t="s">
        <v>11</v>
      </c>
      <c r="D321">
        <v>0</v>
      </c>
      <c r="E321">
        <v>0</v>
      </c>
      <c r="F321">
        <v>0</v>
      </c>
      <c r="G321">
        <v>0</v>
      </c>
      <c r="K321">
        <v>0</v>
      </c>
      <c r="L321">
        <v>0</v>
      </c>
      <c r="M321">
        <v>0</v>
      </c>
      <c r="N321">
        <v>0</v>
      </c>
      <c r="O321">
        <v>0</v>
      </c>
      <c r="P321">
        <v>0</v>
      </c>
      <c r="Q321">
        <v>0</v>
      </c>
      <c r="R321">
        <v>0</v>
      </c>
      <c r="S321">
        <v>0</v>
      </c>
      <c r="T321">
        <v>0</v>
      </c>
      <c r="U321">
        <v>1</v>
      </c>
      <c r="V321">
        <v>0</v>
      </c>
      <c r="W321">
        <v>0</v>
      </c>
      <c r="X321">
        <v>0</v>
      </c>
      <c r="Y321">
        <v>0</v>
      </c>
      <c r="Z321">
        <v>0</v>
      </c>
      <c r="AA321">
        <v>0</v>
      </c>
      <c r="AB321">
        <v>0</v>
      </c>
      <c r="AD321">
        <v>0</v>
      </c>
      <c r="AE321" t="s">
        <v>161</v>
      </c>
      <c r="AF321">
        <v>10</v>
      </c>
      <c r="AG321" t="s">
        <v>240</v>
      </c>
      <c r="AI321">
        <v>46248</v>
      </c>
      <c r="AJ321" t="s">
        <v>150</v>
      </c>
    </row>
    <row r="322" spans="1:36" x14ac:dyDescent="0.25">
      <c r="A322" s="1">
        <v>46248</v>
      </c>
      <c r="B322" t="s">
        <v>151</v>
      </c>
      <c r="C322" t="s">
        <v>10</v>
      </c>
      <c r="D322">
        <v>3.6011567851291222</v>
      </c>
      <c r="E322">
        <v>0.95</v>
      </c>
      <c r="F322">
        <v>0.95</v>
      </c>
      <c r="G322">
        <v>4.7022058823529402</v>
      </c>
      <c r="H322">
        <v>0.26380412092108813</v>
      </c>
      <c r="I322">
        <v>0.26380412092108813</v>
      </c>
      <c r="J322">
        <v>1.3057487254569338</v>
      </c>
      <c r="K322">
        <v>0.30574872545693377</v>
      </c>
      <c r="L322">
        <v>0</v>
      </c>
      <c r="M322">
        <v>0</v>
      </c>
      <c r="N322">
        <v>0</v>
      </c>
      <c r="O322">
        <v>0</v>
      </c>
      <c r="P322">
        <v>0</v>
      </c>
      <c r="Q322">
        <v>0</v>
      </c>
      <c r="R322">
        <v>0</v>
      </c>
      <c r="S322">
        <v>0</v>
      </c>
      <c r="T322">
        <v>0.73619587907891182</v>
      </c>
      <c r="U322">
        <v>0</v>
      </c>
      <c r="V322">
        <v>0</v>
      </c>
      <c r="W322">
        <v>0</v>
      </c>
      <c r="X322">
        <v>0</v>
      </c>
      <c r="Y322">
        <v>0.26380412092108813</v>
      </c>
      <c r="Z322">
        <v>0</v>
      </c>
      <c r="AA322">
        <v>0</v>
      </c>
      <c r="AB322">
        <v>0</v>
      </c>
      <c r="AC322">
        <v>0</v>
      </c>
      <c r="AD322">
        <v>0</v>
      </c>
      <c r="AE322" t="s">
        <v>161</v>
      </c>
      <c r="AF322">
        <v>10</v>
      </c>
      <c r="AG322" t="s">
        <v>241</v>
      </c>
      <c r="AI322">
        <v>46248</v>
      </c>
      <c r="AJ322" t="s">
        <v>150</v>
      </c>
    </row>
    <row r="323" spans="1:36" x14ac:dyDescent="0.25">
      <c r="A323" s="1">
        <v>46248</v>
      </c>
      <c r="B323" t="s">
        <v>151</v>
      </c>
      <c r="C323" t="s">
        <v>12</v>
      </c>
      <c r="D323">
        <v>3.1779578349000128</v>
      </c>
      <c r="E323">
        <v>3.8</v>
      </c>
      <c r="F323">
        <v>3.8</v>
      </c>
      <c r="G323">
        <v>4.6332179930795849</v>
      </c>
      <c r="H323">
        <v>1.1957364437843645</v>
      </c>
      <c r="I323">
        <v>1.1957364437843645</v>
      </c>
      <c r="J323">
        <v>1.4579230542954509</v>
      </c>
      <c r="K323">
        <v>0.26218661051108638</v>
      </c>
      <c r="L323">
        <v>0</v>
      </c>
      <c r="M323">
        <v>0</v>
      </c>
      <c r="N323">
        <v>0</v>
      </c>
      <c r="O323">
        <v>0</v>
      </c>
      <c r="P323">
        <v>5.42635562156355E-2</v>
      </c>
      <c r="Q323">
        <v>0.1957364437843645</v>
      </c>
      <c r="R323">
        <v>0</v>
      </c>
      <c r="S323">
        <v>0</v>
      </c>
      <c r="T323">
        <v>0</v>
      </c>
      <c r="U323">
        <v>0</v>
      </c>
      <c r="V323">
        <v>0</v>
      </c>
      <c r="W323">
        <v>0</v>
      </c>
      <c r="X323">
        <v>0</v>
      </c>
      <c r="Y323">
        <v>0</v>
      </c>
      <c r="Z323">
        <v>0</v>
      </c>
      <c r="AA323">
        <v>0</v>
      </c>
      <c r="AB323">
        <v>0</v>
      </c>
      <c r="AC323">
        <v>0</v>
      </c>
      <c r="AD323">
        <v>1</v>
      </c>
      <c r="AE323" t="s">
        <v>166</v>
      </c>
      <c r="AF323">
        <v>10</v>
      </c>
      <c r="AG323" t="s">
        <v>239</v>
      </c>
      <c r="AH323">
        <v>1</v>
      </c>
      <c r="AI323">
        <v>46248</v>
      </c>
      <c r="AJ323" t="s">
        <v>150</v>
      </c>
    </row>
    <row r="324" spans="1:36" x14ac:dyDescent="0.25">
      <c r="A324" s="1">
        <v>46248</v>
      </c>
      <c r="B324" t="s">
        <v>151</v>
      </c>
      <c r="C324" t="s">
        <v>11</v>
      </c>
      <c r="D324">
        <v>0</v>
      </c>
      <c r="E324">
        <v>0</v>
      </c>
      <c r="F324">
        <v>0</v>
      </c>
      <c r="G324">
        <v>0</v>
      </c>
      <c r="K324">
        <v>0</v>
      </c>
      <c r="L324">
        <v>0</v>
      </c>
      <c r="M324">
        <v>0</v>
      </c>
      <c r="N324">
        <v>0</v>
      </c>
      <c r="O324">
        <v>0</v>
      </c>
      <c r="P324">
        <v>0</v>
      </c>
      <c r="Q324">
        <v>0</v>
      </c>
      <c r="R324">
        <v>0</v>
      </c>
      <c r="S324">
        <v>0</v>
      </c>
      <c r="T324">
        <v>0</v>
      </c>
      <c r="U324">
        <v>1</v>
      </c>
      <c r="V324">
        <v>0</v>
      </c>
      <c r="W324">
        <v>0</v>
      </c>
      <c r="X324">
        <v>0</v>
      </c>
      <c r="Y324">
        <v>0</v>
      </c>
      <c r="Z324">
        <v>0</v>
      </c>
      <c r="AA324">
        <v>0</v>
      </c>
      <c r="AB324">
        <v>0</v>
      </c>
      <c r="AD324">
        <v>0</v>
      </c>
      <c r="AE324" t="s">
        <v>166</v>
      </c>
      <c r="AF324">
        <v>10</v>
      </c>
      <c r="AG324" t="s">
        <v>240</v>
      </c>
      <c r="AH324">
        <v>1</v>
      </c>
      <c r="AI324">
        <v>46248</v>
      </c>
      <c r="AJ324" t="s">
        <v>150</v>
      </c>
    </row>
    <row r="325" spans="1:36" x14ac:dyDescent="0.25">
      <c r="A325" s="1">
        <v>46248</v>
      </c>
      <c r="B325" t="s">
        <v>151</v>
      </c>
      <c r="C325" t="s">
        <v>10</v>
      </c>
      <c r="D325">
        <v>3.5876164620550925</v>
      </c>
      <c r="E325">
        <v>3.8</v>
      </c>
      <c r="F325">
        <v>3.8</v>
      </c>
      <c r="G325">
        <v>4.7022058823529402</v>
      </c>
      <c r="H325">
        <v>1.0591990643903022</v>
      </c>
      <c r="I325">
        <v>1.0591990643903022</v>
      </c>
      <c r="J325">
        <v>1.3106768608312656</v>
      </c>
      <c r="K325">
        <v>0.25147779644096335</v>
      </c>
      <c r="L325">
        <v>0</v>
      </c>
      <c r="M325">
        <v>0</v>
      </c>
      <c r="N325">
        <v>0</v>
      </c>
      <c r="O325">
        <v>0</v>
      </c>
      <c r="P325">
        <v>0.1908009356096978</v>
      </c>
      <c r="Q325">
        <v>5.9199064390302203E-2</v>
      </c>
      <c r="R325">
        <v>0</v>
      </c>
      <c r="S325">
        <v>0</v>
      </c>
      <c r="T325">
        <v>0</v>
      </c>
      <c r="U325">
        <v>0</v>
      </c>
      <c r="V325">
        <v>0</v>
      </c>
      <c r="W325">
        <v>0</v>
      </c>
      <c r="X325">
        <v>0</v>
      </c>
      <c r="Y325">
        <v>0</v>
      </c>
      <c r="Z325">
        <v>0</v>
      </c>
      <c r="AA325">
        <v>0</v>
      </c>
      <c r="AB325">
        <v>0</v>
      </c>
      <c r="AC325">
        <v>0</v>
      </c>
      <c r="AD325">
        <v>1</v>
      </c>
      <c r="AE325" t="s">
        <v>166</v>
      </c>
      <c r="AF325">
        <v>10</v>
      </c>
      <c r="AG325" t="s">
        <v>241</v>
      </c>
      <c r="AH325">
        <v>1</v>
      </c>
      <c r="AI325">
        <v>46248</v>
      </c>
      <c r="AJ325" t="s">
        <v>150</v>
      </c>
    </row>
    <row r="326" spans="1:36" x14ac:dyDescent="0.25">
      <c r="A326" s="1">
        <v>46249</v>
      </c>
      <c r="B326" t="s">
        <v>151</v>
      </c>
      <c r="C326" t="s">
        <v>12</v>
      </c>
      <c r="D326">
        <v>3.2304494690128904</v>
      </c>
      <c r="E326">
        <v>0</v>
      </c>
      <c r="F326">
        <v>0</v>
      </c>
      <c r="G326">
        <v>4.6920415224913494</v>
      </c>
      <c r="H326">
        <v>0</v>
      </c>
      <c r="I326">
        <v>0</v>
      </c>
      <c r="J326">
        <v>1.4524423203329255</v>
      </c>
      <c r="K326">
        <v>0.45244232033292553</v>
      </c>
      <c r="L326">
        <v>0</v>
      </c>
      <c r="M326">
        <v>0</v>
      </c>
      <c r="N326">
        <v>0</v>
      </c>
      <c r="O326">
        <v>0</v>
      </c>
      <c r="P326">
        <v>0</v>
      </c>
      <c r="Q326">
        <v>0</v>
      </c>
      <c r="R326">
        <v>0</v>
      </c>
      <c r="S326">
        <v>0</v>
      </c>
      <c r="T326">
        <v>0</v>
      </c>
      <c r="U326">
        <v>0</v>
      </c>
      <c r="V326">
        <v>0</v>
      </c>
      <c r="W326">
        <v>0</v>
      </c>
      <c r="X326">
        <v>0</v>
      </c>
      <c r="Y326">
        <v>0</v>
      </c>
      <c r="Z326">
        <v>0</v>
      </c>
      <c r="AA326">
        <v>0</v>
      </c>
      <c r="AB326">
        <v>0</v>
      </c>
      <c r="AC326">
        <v>1</v>
      </c>
      <c r="AD326">
        <v>0</v>
      </c>
      <c r="AE326" t="s">
        <v>161</v>
      </c>
      <c r="AF326">
        <v>10</v>
      </c>
      <c r="AG326" t="s">
        <v>242</v>
      </c>
      <c r="AI326">
        <v>46249</v>
      </c>
      <c r="AJ326" t="s">
        <v>150</v>
      </c>
    </row>
    <row r="327" spans="1:36" x14ac:dyDescent="0.25">
      <c r="A327" s="1">
        <v>46249</v>
      </c>
      <c r="B327" t="s">
        <v>151</v>
      </c>
      <c r="C327" t="s">
        <v>10</v>
      </c>
      <c r="D327">
        <v>3.6011567851291222</v>
      </c>
      <c r="E327">
        <v>0</v>
      </c>
      <c r="F327">
        <v>0</v>
      </c>
      <c r="G327">
        <v>4.7647058823529385</v>
      </c>
      <c r="H327">
        <v>0</v>
      </c>
      <c r="I327">
        <v>0</v>
      </c>
      <c r="J327">
        <v>1.3231042597280573</v>
      </c>
      <c r="K327">
        <v>0.32310425972805734</v>
      </c>
      <c r="L327">
        <v>0</v>
      </c>
      <c r="M327">
        <v>0</v>
      </c>
      <c r="N327">
        <v>0</v>
      </c>
      <c r="O327">
        <v>0</v>
      </c>
      <c r="P327">
        <v>0</v>
      </c>
      <c r="Q327">
        <v>0</v>
      </c>
      <c r="R327">
        <v>0</v>
      </c>
      <c r="S327">
        <v>0</v>
      </c>
      <c r="T327">
        <v>0</v>
      </c>
      <c r="U327">
        <v>0</v>
      </c>
      <c r="V327">
        <v>0</v>
      </c>
      <c r="W327">
        <v>0</v>
      </c>
      <c r="X327">
        <v>0</v>
      </c>
      <c r="Y327">
        <v>0</v>
      </c>
      <c r="Z327">
        <v>0</v>
      </c>
      <c r="AA327">
        <v>0</v>
      </c>
      <c r="AB327">
        <v>0</v>
      </c>
      <c r="AC327">
        <v>1</v>
      </c>
      <c r="AD327">
        <v>0</v>
      </c>
      <c r="AE327" t="s">
        <v>161</v>
      </c>
      <c r="AF327">
        <v>10</v>
      </c>
      <c r="AG327" t="s">
        <v>244</v>
      </c>
      <c r="AI327">
        <v>46249</v>
      </c>
      <c r="AJ327" t="s">
        <v>150</v>
      </c>
    </row>
    <row r="328" spans="1:36" x14ac:dyDescent="0.25">
      <c r="A328" s="1">
        <v>46249</v>
      </c>
      <c r="B328" t="s">
        <v>151</v>
      </c>
      <c r="C328" t="s">
        <v>11</v>
      </c>
      <c r="D328">
        <v>0</v>
      </c>
      <c r="E328">
        <v>0</v>
      </c>
      <c r="F328">
        <v>0</v>
      </c>
      <c r="G328">
        <v>0</v>
      </c>
      <c r="K328">
        <v>0</v>
      </c>
      <c r="L328">
        <v>0</v>
      </c>
      <c r="M328">
        <v>0</v>
      </c>
      <c r="N328">
        <v>0</v>
      </c>
      <c r="O328">
        <v>0</v>
      </c>
      <c r="P328">
        <v>0</v>
      </c>
      <c r="Q328">
        <v>0</v>
      </c>
      <c r="R328">
        <v>0</v>
      </c>
      <c r="S328">
        <v>0</v>
      </c>
      <c r="T328">
        <v>0</v>
      </c>
      <c r="U328">
        <v>1</v>
      </c>
      <c r="V328">
        <v>0</v>
      </c>
      <c r="W328">
        <v>0</v>
      </c>
      <c r="X328">
        <v>0</v>
      </c>
      <c r="Y328">
        <v>0</v>
      </c>
      <c r="Z328">
        <v>0</v>
      </c>
      <c r="AA328">
        <v>0</v>
      </c>
      <c r="AB328">
        <v>0</v>
      </c>
      <c r="AD328">
        <v>0</v>
      </c>
      <c r="AE328" t="s">
        <v>161</v>
      </c>
      <c r="AF328">
        <v>10</v>
      </c>
      <c r="AG328" t="s">
        <v>243</v>
      </c>
      <c r="AI328">
        <v>46249</v>
      </c>
      <c r="AJ328" t="s">
        <v>150</v>
      </c>
    </row>
    <row r="329" spans="1:36" x14ac:dyDescent="0.25">
      <c r="A329" s="1">
        <v>46249</v>
      </c>
      <c r="B329" t="s">
        <v>151</v>
      </c>
      <c r="C329" t="s">
        <v>12</v>
      </c>
      <c r="D329">
        <v>3.2276134260703255</v>
      </c>
      <c r="E329">
        <v>2.8499999999999996</v>
      </c>
      <c r="F329">
        <v>2.8499999999999996</v>
      </c>
      <c r="G329">
        <v>4.6920415224913494</v>
      </c>
      <c r="H329">
        <v>0.88300537387153066</v>
      </c>
      <c r="I329">
        <v>0.88300537387153066</v>
      </c>
      <c r="J329">
        <v>1.4537185539607791</v>
      </c>
      <c r="K329">
        <v>0.45371855396077909</v>
      </c>
      <c r="L329">
        <v>0</v>
      </c>
      <c r="M329">
        <v>0</v>
      </c>
      <c r="N329">
        <v>0</v>
      </c>
      <c r="O329">
        <v>0</v>
      </c>
      <c r="P329">
        <v>0</v>
      </c>
      <c r="Q329">
        <v>0</v>
      </c>
      <c r="R329">
        <v>0</v>
      </c>
      <c r="S329">
        <v>0</v>
      </c>
      <c r="T329">
        <v>0.11699462612846934</v>
      </c>
      <c r="U329">
        <v>0</v>
      </c>
      <c r="V329">
        <v>0</v>
      </c>
      <c r="W329">
        <v>0</v>
      </c>
      <c r="X329">
        <v>0</v>
      </c>
      <c r="Y329">
        <v>0.88300537387153066</v>
      </c>
      <c r="Z329">
        <v>0</v>
      </c>
      <c r="AA329">
        <v>0</v>
      </c>
      <c r="AB329">
        <v>0</v>
      </c>
      <c r="AC329">
        <v>0</v>
      </c>
      <c r="AD329">
        <v>0</v>
      </c>
      <c r="AE329" t="s">
        <v>166</v>
      </c>
      <c r="AF329">
        <v>10</v>
      </c>
      <c r="AG329" t="s">
        <v>242</v>
      </c>
      <c r="AH329">
        <v>1</v>
      </c>
      <c r="AI329">
        <v>46249</v>
      </c>
      <c r="AJ329" t="s">
        <v>150</v>
      </c>
    </row>
    <row r="330" spans="1:36" x14ac:dyDescent="0.25">
      <c r="A330" s="1">
        <v>46249</v>
      </c>
      <c r="B330" t="s">
        <v>151</v>
      </c>
      <c r="C330" t="s">
        <v>10</v>
      </c>
      <c r="D330">
        <v>3.5876164620550925</v>
      </c>
      <c r="E330">
        <v>3.8</v>
      </c>
      <c r="F330">
        <v>3.8</v>
      </c>
      <c r="G330">
        <v>4.7647058823529385</v>
      </c>
      <c r="H330">
        <v>1.0591990643903022</v>
      </c>
      <c r="I330">
        <v>1.0591990643903022</v>
      </c>
      <c r="J330">
        <v>1.3280978980745268</v>
      </c>
      <c r="K330">
        <v>0.26889883368422463</v>
      </c>
      <c r="L330">
        <v>0</v>
      </c>
      <c r="M330">
        <v>0</v>
      </c>
      <c r="N330">
        <v>0</v>
      </c>
      <c r="O330">
        <v>0</v>
      </c>
      <c r="P330">
        <v>0.1908009356096978</v>
      </c>
      <c r="Q330">
        <v>5.9199064390302203E-2</v>
      </c>
      <c r="R330">
        <v>0</v>
      </c>
      <c r="S330">
        <v>0</v>
      </c>
      <c r="T330">
        <v>0</v>
      </c>
      <c r="U330">
        <v>0</v>
      </c>
      <c r="V330">
        <v>0</v>
      </c>
      <c r="W330">
        <v>0</v>
      </c>
      <c r="X330">
        <v>0</v>
      </c>
      <c r="Y330">
        <v>0</v>
      </c>
      <c r="Z330">
        <v>0</v>
      </c>
      <c r="AA330">
        <v>0</v>
      </c>
      <c r="AB330">
        <v>0</v>
      </c>
      <c r="AC330">
        <v>0</v>
      </c>
      <c r="AD330">
        <v>1</v>
      </c>
      <c r="AE330" t="s">
        <v>166</v>
      </c>
      <c r="AF330">
        <v>10</v>
      </c>
      <c r="AG330" t="s">
        <v>244</v>
      </c>
      <c r="AH330">
        <v>1</v>
      </c>
      <c r="AI330">
        <v>46249</v>
      </c>
      <c r="AJ330" t="s">
        <v>150</v>
      </c>
    </row>
    <row r="331" spans="1:36" x14ac:dyDescent="0.25">
      <c r="A331" s="1">
        <v>46249</v>
      </c>
      <c r="B331" t="s">
        <v>151</v>
      </c>
      <c r="C331" t="s">
        <v>11</v>
      </c>
      <c r="D331">
        <v>0</v>
      </c>
      <c r="E331">
        <v>0.95</v>
      </c>
      <c r="F331">
        <v>0.95</v>
      </c>
      <c r="G331">
        <v>0</v>
      </c>
      <c r="K331">
        <v>0</v>
      </c>
      <c r="L331">
        <v>0</v>
      </c>
      <c r="M331">
        <v>0</v>
      </c>
      <c r="N331">
        <v>0</v>
      </c>
      <c r="O331">
        <v>0</v>
      </c>
      <c r="P331">
        <v>0</v>
      </c>
      <c r="Q331">
        <v>0</v>
      </c>
      <c r="R331">
        <v>0</v>
      </c>
      <c r="S331">
        <v>0</v>
      </c>
      <c r="T331">
        <v>0</v>
      </c>
      <c r="U331">
        <v>1</v>
      </c>
      <c r="V331">
        <v>0</v>
      </c>
      <c r="W331">
        <v>0</v>
      </c>
      <c r="X331">
        <v>0</v>
      </c>
      <c r="Y331">
        <v>0</v>
      </c>
      <c r="Z331">
        <v>0</v>
      </c>
      <c r="AA331">
        <v>1</v>
      </c>
      <c r="AB331">
        <v>0</v>
      </c>
      <c r="AD331">
        <v>0</v>
      </c>
      <c r="AE331" t="s">
        <v>166</v>
      </c>
      <c r="AF331">
        <v>10</v>
      </c>
      <c r="AG331" t="s">
        <v>243</v>
      </c>
      <c r="AH331">
        <v>1</v>
      </c>
      <c r="AI331">
        <v>46249</v>
      </c>
      <c r="AJ331" t="s">
        <v>150</v>
      </c>
    </row>
    <row r="332" spans="1:36" x14ac:dyDescent="0.25">
      <c r="A332" s="1">
        <v>46250</v>
      </c>
      <c r="B332" t="s">
        <v>151</v>
      </c>
      <c r="C332" t="s">
        <v>10</v>
      </c>
      <c r="D332">
        <v>3.6011567851291222</v>
      </c>
      <c r="E332">
        <v>0.95</v>
      </c>
      <c r="F332">
        <v>0.95</v>
      </c>
      <c r="G332">
        <v>4.7022058823529402</v>
      </c>
      <c r="H332">
        <v>0.26380412092108813</v>
      </c>
      <c r="I332">
        <v>0.26380412092108813</v>
      </c>
      <c r="J332">
        <v>1.3057487254569338</v>
      </c>
      <c r="K332">
        <v>0.30574872545693377</v>
      </c>
      <c r="L332">
        <v>0</v>
      </c>
      <c r="M332">
        <v>0</v>
      </c>
      <c r="N332">
        <v>0</v>
      </c>
      <c r="O332">
        <v>0</v>
      </c>
      <c r="P332">
        <v>0</v>
      </c>
      <c r="Q332">
        <v>0</v>
      </c>
      <c r="R332">
        <v>0</v>
      </c>
      <c r="S332">
        <v>0</v>
      </c>
      <c r="T332">
        <v>0.73619587907891182</v>
      </c>
      <c r="U332">
        <v>0</v>
      </c>
      <c r="V332">
        <v>0</v>
      </c>
      <c r="W332">
        <v>0</v>
      </c>
      <c r="X332">
        <v>0</v>
      </c>
      <c r="Y332">
        <v>0.26380412092108813</v>
      </c>
      <c r="Z332">
        <v>0</v>
      </c>
      <c r="AA332">
        <v>0</v>
      </c>
      <c r="AB332">
        <v>0</v>
      </c>
      <c r="AC332">
        <v>0</v>
      </c>
      <c r="AD332">
        <v>0</v>
      </c>
      <c r="AE332" t="s">
        <v>161</v>
      </c>
      <c r="AF332">
        <v>10</v>
      </c>
      <c r="AG332" t="s">
        <v>245</v>
      </c>
      <c r="AI332">
        <v>46250</v>
      </c>
      <c r="AJ332" t="s">
        <v>150</v>
      </c>
    </row>
    <row r="333" spans="1:36" x14ac:dyDescent="0.25">
      <c r="A333" s="1">
        <v>46250</v>
      </c>
      <c r="B333" t="s">
        <v>151</v>
      </c>
      <c r="C333" t="s">
        <v>11</v>
      </c>
      <c r="D333">
        <v>0</v>
      </c>
      <c r="E333">
        <v>0</v>
      </c>
      <c r="F333">
        <v>0</v>
      </c>
      <c r="G333">
        <v>0</v>
      </c>
      <c r="K333">
        <v>0</v>
      </c>
      <c r="L333">
        <v>0</v>
      </c>
      <c r="M333">
        <v>0</v>
      </c>
      <c r="N333">
        <v>0</v>
      </c>
      <c r="O333">
        <v>0</v>
      </c>
      <c r="P333">
        <v>0</v>
      </c>
      <c r="Q333">
        <v>0</v>
      </c>
      <c r="R333">
        <v>0</v>
      </c>
      <c r="S333">
        <v>0</v>
      </c>
      <c r="T333">
        <v>0</v>
      </c>
      <c r="U333">
        <v>1</v>
      </c>
      <c r="V333">
        <v>0</v>
      </c>
      <c r="W333">
        <v>0</v>
      </c>
      <c r="X333">
        <v>0</v>
      </c>
      <c r="Y333">
        <v>0</v>
      </c>
      <c r="Z333">
        <v>0</v>
      </c>
      <c r="AA333">
        <v>0</v>
      </c>
      <c r="AB333">
        <v>0</v>
      </c>
      <c r="AD333">
        <v>0</v>
      </c>
      <c r="AE333" t="s">
        <v>161</v>
      </c>
      <c r="AF333">
        <v>10</v>
      </c>
      <c r="AG333" t="s">
        <v>246</v>
      </c>
      <c r="AI333">
        <v>46250</v>
      </c>
      <c r="AJ333" t="s">
        <v>150</v>
      </c>
    </row>
    <row r="334" spans="1:36" x14ac:dyDescent="0.25">
      <c r="A334" s="1">
        <v>46250</v>
      </c>
      <c r="B334" t="s">
        <v>151</v>
      </c>
      <c r="C334" t="s">
        <v>12</v>
      </c>
      <c r="D334">
        <v>3.1774912809962856</v>
      </c>
      <c r="E334">
        <v>0</v>
      </c>
      <c r="F334">
        <v>0</v>
      </c>
      <c r="G334">
        <v>4.6332179930795849</v>
      </c>
      <c r="H334">
        <v>0</v>
      </c>
      <c r="I334">
        <v>0</v>
      </c>
      <c r="J334">
        <v>1.4581371224492752</v>
      </c>
      <c r="K334">
        <v>0.45813712244927518</v>
      </c>
      <c r="L334">
        <v>0</v>
      </c>
      <c r="M334">
        <v>0</v>
      </c>
      <c r="N334">
        <v>0</v>
      </c>
      <c r="O334">
        <v>0</v>
      </c>
      <c r="P334">
        <v>0</v>
      </c>
      <c r="Q334">
        <v>0</v>
      </c>
      <c r="R334">
        <v>0</v>
      </c>
      <c r="S334">
        <v>0</v>
      </c>
      <c r="T334">
        <v>0</v>
      </c>
      <c r="U334">
        <v>0</v>
      </c>
      <c r="V334">
        <v>0</v>
      </c>
      <c r="W334">
        <v>0</v>
      </c>
      <c r="X334">
        <v>0</v>
      </c>
      <c r="Y334">
        <v>0</v>
      </c>
      <c r="Z334">
        <v>0</v>
      </c>
      <c r="AA334">
        <v>0</v>
      </c>
      <c r="AB334">
        <v>0</v>
      </c>
      <c r="AC334">
        <v>1</v>
      </c>
      <c r="AD334">
        <v>0</v>
      </c>
      <c r="AE334" t="s">
        <v>161</v>
      </c>
      <c r="AF334">
        <v>10</v>
      </c>
      <c r="AG334" t="s">
        <v>247</v>
      </c>
      <c r="AI334">
        <v>46250</v>
      </c>
      <c r="AJ334" t="s">
        <v>150</v>
      </c>
    </row>
    <row r="335" spans="1:36" x14ac:dyDescent="0.25">
      <c r="A335" s="1">
        <v>46250</v>
      </c>
      <c r="B335" t="s">
        <v>151</v>
      </c>
      <c r="C335" t="s">
        <v>10</v>
      </c>
      <c r="D335">
        <v>3.5876164620550925</v>
      </c>
      <c r="E335">
        <v>3.8</v>
      </c>
      <c r="F335">
        <v>3.8</v>
      </c>
      <c r="G335">
        <v>4.7022058823529402</v>
      </c>
      <c r="H335">
        <v>1.0591990643903022</v>
      </c>
      <c r="I335">
        <v>1.0591990643903022</v>
      </c>
      <c r="J335">
        <v>1.3106768608312656</v>
      </c>
      <c r="K335">
        <v>0.25147779644096335</v>
      </c>
      <c r="L335">
        <v>0</v>
      </c>
      <c r="M335">
        <v>0</v>
      </c>
      <c r="N335">
        <v>0</v>
      </c>
      <c r="O335">
        <v>0</v>
      </c>
      <c r="P335">
        <v>0.1908009356096978</v>
      </c>
      <c r="Q335">
        <v>5.9199064390302203E-2</v>
      </c>
      <c r="R335">
        <v>0</v>
      </c>
      <c r="S335">
        <v>0</v>
      </c>
      <c r="T335">
        <v>0</v>
      </c>
      <c r="U335">
        <v>0</v>
      </c>
      <c r="V335">
        <v>0</v>
      </c>
      <c r="W335">
        <v>0</v>
      </c>
      <c r="X335">
        <v>0</v>
      </c>
      <c r="Y335">
        <v>0</v>
      </c>
      <c r="Z335">
        <v>0</v>
      </c>
      <c r="AA335">
        <v>0</v>
      </c>
      <c r="AB335">
        <v>0</v>
      </c>
      <c r="AC335">
        <v>0</v>
      </c>
      <c r="AD335">
        <v>1</v>
      </c>
      <c r="AE335" t="s">
        <v>166</v>
      </c>
      <c r="AF335">
        <v>10</v>
      </c>
      <c r="AG335" t="s">
        <v>245</v>
      </c>
      <c r="AH335">
        <v>1</v>
      </c>
      <c r="AI335">
        <v>46250</v>
      </c>
      <c r="AJ335" t="s">
        <v>150</v>
      </c>
    </row>
    <row r="336" spans="1:36" x14ac:dyDescent="0.25">
      <c r="A336" s="1">
        <v>46250</v>
      </c>
      <c r="B336" t="s">
        <v>151</v>
      </c>
      <c r="C336" t="s">
        <v>11</v>
      </c>
      <c r="D336">
        <v>0</v>
      </c>
      <c r="E336">
        <v>0.95</v>
      </c>
      <c r="F336">
        <v>0.95</v>
      </c>
      <c r="G336">
        <v>0</v>
      </c>
      <c r="K336">
        <v>0</v>
      </c>
      <c r="L336">
        <v>0</v>
      </c>
      <c r="M336">
        <v>0</v>
      </c>
      <c r="N336">
        <v>0</v>
      </c>
      <c r="O336">
        <v>0</v>
      </c>
      <c r="P336">
        <v>0</v>
      </c>
      <c r="Q336">
        <v>0</v>
      </c>
      <c r="R336">
        <v>0</v>
      </c>
      <c r="S336">
        <v>0</v>
      </c>
      <c r="T336">
        <v>0</v>
      </c>
      <c r="U336">
        <v>1</v>
      </c>
      <c r="V336">
        <v>0</v>
      </c>
      <c r="W336">
        <v>0</v>
      </c>
      <c r="X336">
        <v>0</v>
      </c>
      <c r="Y336">
        <v>0</v>
      </c>
      <c r="Z336">
        <v>0</v>
      </c>
      <c r="AA336">
        <v>1</v>
      </c>
      <c r="AB336">
        <v>0</v>
      </c>
      <c r="AD336">
        <v>0</v>
      </c>
      <c r="AE336" t="s">
        <v>166</v>
      </c>
      <c r="AF336">
        <v>10</v>
      </c>
      <c r="AG336" t="s">
        <v>246</v>
      </c>
      <c r="AH336">
        <v>1</v>
      </c>
      <c r="AI336">
        <v>46250</v>
      </c>
      <c r="AJ336" t="s">
        <v>150</v>
      </c>
    </row>
    <row r="337" spans="1:36" x14ac:dyDescent="0.25">
      <c r="A337" s="1">
        <v>46250</v>
      </c>
      <c r="B337" t="s">
        <v>151</v>
      </c>
      <c r="C337" t="s">
        <v>12</v>
      </c>
      <c r="D337">
        <v>3.1779578349000133</v>
      </c>
      <c r="E337">
        <v>2.8499999999999996</v>
      </c>
      <c r="F337">
        <v>2.8499999999999996</v>
      </c>
      <c r="G337">
        <v>4.6332179930795849</v>
      </c>
      <c r="H337">
        <v>0.89680233283827315</v>
      </c>
      <c r="I337">
        <v>0.89680233283827315</v>
      </c>
      <c r="J337">
        <v>1.4579230542954507</v>
      </c>
      <c r="K337">
        <v>0.45792305429545066</v>
      </c>
      <c r="L337">
        <v>0</v>
      </c>
      <c r="M337">
        <v>0</v>
      </c>
      <c r="N337">
        <v>0</v>
      </c>
      <c r="O337">
        <v>0</v>
      </c>
      <c r="P337">
        <v>0</v>
      </c>
      <c r="Q337">
        <v>0</v>
      </c>
      <c r="R337">
        <v>0</v>
      </c>
      <c r="S337">
        <v>0</v>
      </c>
      <c r="T337">
        <v>0.10319766716172685</v>
      </c>
      <c r="U337">
        <v>0</v>
      </c>
      <c r="V337">
        <v>0</v>
      </c>
      <c r="W337">
        <v>0</v>
      </c>
      <c r="X337">
        <v>0</v>
      </c>
      <c r="Y337">
        <v>0.89680233283827315</v>
      </c>
      <c r="Z337">
        <v>0</v>
      </c>
      <c r="AA337">
        <v>0</v>
      </c>
      <c r="AB337">
        <v>0</v>
      </c>
      <c r="AC337">
        <v>0</v>
      </c>
      <c r="AD337">
        <v>0</v>
      </c>
      <c r="AE337" t="s">
        <v>166</v>
      </c>
      <c r="AF337">
        <v>10</v>
      </c>
      <c r="AG337" t="s">
        <v>247</v>
      </c>
      <c r="AH337">
        <v>1</v>
      </c>
      <c r="AI337">
        <v>46250</v>
      </c>
      <c r="AJ337" t="s">
        <v>150</v>
      </c>
    </row>
    <row r="338" spans="1:36" x14ac:dyDescent="0.25">
      <c r="A338" s="1">
        <v>46223</v>
      </c>
      <c r="B338" t="s">
        <v>13</v>
      </c>
      <c r="C338" t="s">
        <v>11</v>
      </c>
      <c r="D338">
        <v>1.2735376146788993</v>
      </c>
      <c r="E338">
        <v>0</v>
      </c>
      <c r="F338">
        <v>0</v>
      </c>
      <c r="G338">
        <v>0.94117647058823517</v>
      </c>
      <c r="H338">
        <v>0</v>
      </c>
      <c r="I338">
        <v>0</v>
      </c>
      <c r="J338">
        <v>0.73902526296840998</v>
      </c>
      <c r="K338">
        <v>0</v>
      </c>
      <c r="L338">
        <v>0</v>
      </c>
      <c r="M338">
        <v>0</v>
      </c>
      <c r="N338">
        <v>0</v>
      </c>
      <c r="O338">
        <v>0</v>
      </c>
      <c r="P338">
        <v>0</v>
      </c>
      <c r="Q338">
        <v>0</v>
      </c>
      <c r="R338">
        <v>0</v>
      </c>
      <c r="S338">
        <v>0</v>
      </c>
      <c r="T338">
        <v>0.73902526296840998</v>
      </c>
      <c r="U338">
        <v>0.26097473703159002</v>
      </c>
      <c r="V338">
        <v>0</v>
      </c>
      <c r="W338">
        <v>0</v>
      </c>
      <c r="X338">
        <v>0</v>
      </c>
      <c r="Y338">
        <v>0</v>
      </c>
      <c r="Z338">
        <v>0</v>
      </c>
      <c r="AA338">
        <v>0</v>
      </c>
      <c r="AB338">
        <v>0</v>
      </c>
      <c r="AC338">
        <v>0</v>
      </c>
      <c r="AD338">
        <v>0</v>
      </c>
      <c r="AE338" t="s">
        <v>161</v>
      </c>
      <c r="AF338">
        <v>10</v>
      </c>
      <c r="AG338" t="s">
        <v>163</v>
      </c>
      <c r="AI338">
        <v>46223</v>
      </c>
      <c r="AJ338" t="s">
        <v>150</v>
      </c>
    </row>
    <row r="339" spans="1:36" x14ac:dyDescent="0.25">
      <c r="A339" s="1">
        <v>46223</v>
      </c>
      <c r="B339" t="s">
        <v>13</v>
      </c>
      <c r="C339" t="s">
        <v>12</v>
      </c>
      <c r="D339">
        <v>3.3711289800323798</v>
      </c>
      <c r="E339">
        <v>2.8499999999999996</v>
      </c>
      <c r="F339">
        <v>2.8499999999999996</v>
      </c>
      <c r="G339">
        <v>4.4273356401384074</v>
      </c>
      <c r="H339">
        <v>0.84541410811657092</v>
      </c>
      <c r="I339">
        <v>0.84541410811657092</v>
      </c>
      <c r="J339">
        <v>1.3133094777334455</v>
      </c>
      <c r="K339">
        <v>0.31330947773344553</v>
      </c>
      <c r="L339">
        <v>0</v>
      </c>
      <c r="M339">
        <v>0</v>
      </c>
      <c r="N339">
        <v>0</v>
      </c>
      <c r="O339">
        <v>0</v>
      </c>
      <c r="P339">
        <v>0</v>
      </c>
      <c r="Q339">
        <v>0</v>
      </c>
      <c r="R339">
        <v>0</v>
      </c>
      <c r="S339">
        <v>0</v>
      </c>
      <c r="T339">
        <v>0.15458589188342908</v>
      </c>
      <c r="U339">
        <v>0</v>
      </c>
      <c r="V339">
        <v>0</v>
      </c>
      <c r="W339">
        <v>0</v>
      </c>
      <c r="X339">
        <v>0</v>
      </c>
      <c r="Y339">
        <v>0.84541410811657092</v>
      </c>
      <c r="Z339">
        <v>0</v>
      </c>
      <c r="AA339">
        <v>0</v>
      </c>
      <c r="AB339">
        <v>0</v>
      </c>
      <c r="AC339">
        <v>0</v>
      </c>
      <c r="AD339">
        <v>0</v>
      </c>
      <c r="AE339" t="s">
        <v>161</v>
      </c>
      <c r="AF339">
        <v>10</v>
      </c>
      <c r="AG339" t="s">
        <v>164</v>
      </c>
      <c r="AI339">
        <v>46223</v>
      </c>
      <c r="AJ339" t="s">
        <v>150</v>
      </c>
    </row>
    <row r="340" spans="1:36" x14ac:dyDescent="0.25">
      <c r="A340" s="1">
        <v>46223</v>
      </c>
      <c r="B340" t="s">
        <v>13</v>
      </c>
      <c r="C340" t="s">
        <v>10</v>
      </c>
      <c r="D340">
        <v>5.8204648795871554</v>
      </c>
      <c r="E340">
        <v>5.6999999999999993</v>
      </c>
      <c r="F340">
        <v>5.6999999999999993</v>
      </c>
      <c r="G340">
        <v>4.2297794117647056</v>
      </c>
      <c r="H340">
        <v>0.97930322026172922</v>
      </c>
      <c r="I340">
        <v>0.97930322026172922</v>
      </c>
      <c r="J340">
        <v>0.72670817525227005</v>
      </c>
      <c r="K340">
        <v>0</v>
      </c>
      <c r="L340">
        <v>0</v>
      </c>
      <c r="M340">
        <v>0</v>
      </c>
      <c r="N340">
        <v>0</v>
      </c>
      <c r="O340">
        <v>0</v>
      </c>
      <c r="P340">
        <v>0</v>
      </c>
      <c r="Q340">
        <v>0</v>
      </c>
      <c r="R340">
        <v>0</v>
      </c>
      <c r="S340">
        <v>0</v>
      </c>
      <c r="T340">
        <v>0</v>
      </c>
      <c r="U340">
        <v>2.0696779738270776E-2</v>
      </c>
      <c r="V340">
        <v>0</v>
      </c>
      <c r="W340">
        <v>0.25259504500945917</v>
      </c>
      <c r="X340">
        <v>0</v>
      </c>
      <c r="Y340">
        <v>0.72670817525227005</v>
      </c>
      <c r="Z340">
        <v>0</v>
      </c>
      <c r="AA340">
        <v>0</v>
      </c>
      <c r="AB340">
        <v>0</v>
      </c>
      <c r="AC340">
        <v>0</v>
      </c>
      <c r="AD340">
        <v>0</v>
      </c>
      <c r="AE340" t="s">
        <v>161</v>
      </c>
      <c r="AF340">
        <v>10</v>
      </c>
      <c r="AG340" t="s">
        <v>165</v>
      </c>
      <c r="AI340">
        <v>46223</v>
      </c>
      <c r="AJ340" t="s">
        <v>150</v>
      </c>
    </row>
    <row r="341" spans="1:36" x14ac:dyDescent="0.25">
      <c r="A341" s="1">
        <v>46223</v>
      </c>
      <c r="B341" t="s">
        <v>13</v>
      </c>
      <c r="C341" t="s">
        <v>11</v>
      </c>
      <c r="D341">
        <v>1.2742252699784016</v>
      </c>
      <c r="E341">
        <v>0</v>
      </c>
      <c r="F341">
        <v>0</v>
      </c>
      <c r="G341">
        <v>0.94117647058823517</v>
      </c>
      <c r="H341">
        <v>0</v>
      </c>
      <c r="I341">
        <v>0</v>
      </c>
      <c r="J341">
        <v>0.73862643659875649</v>
      </c>
      <c r="K341">
        <v>0</v>
      </c>
      <c r="L341">
        <v>0</v>
      </c>
      <c r="M341">
        <v>0</v>
      </c>
      <c r="N341">
        <v>0</v>
      </c>
      <c r="O341">
        <v>0</v>
      </c>
      <c r="P341">
        <v>0</v>
      </c>
      <c r="Q341">
        <v>0</v>
      </c>
      <c r="R341">
        <v>0</v>
      </c>
      <c r="S341">
        <v>0</v>
      </c>
      <c r="T341">
        <v>0.73862643659875649</v>
      </c>
      <c r="U341">
        <v>0.26137356340124351</v>
      </c>
      <c r="V341">
        <v>0</v>
      </c>
      <c r="W341">
        <v>0</v>
      </c>
      <c r="X341">
        <v>0</v>
      </c>
      <c r="Y341">
        <v>0</v>
      </c>
      <c r="Z341">
        <v>0</v>
      </c>
      <c r="AA341">
        <v>0</v>
      </c>
      <c r="AB341">
        <v>0</v>
      </c>
      <c r="AC341">
        <v>0</v>
      </c>
      <c r="AD341">
        <v>0</v>
      </c>
      <c r="AE341" t="s">
        <v>166</v>
      </c>
      <c r="AF341">
        <v>10</v>
      </c>
      <c r="AG341" t="s">
        <v>163</v>
      </c>
      <c r="AH341">
        <v>1</v>
      </c>
      <c r="AI341">
        <v>46223</v>
      </c>
      <c r="AJ341" t="s">
        <v>150</v>
      </c>
    </row>
    <row r="342" spans="1:36" x14ac:dyDescent="0.25">
      <c r="A342" s="1">
        <v>46223</v>
      </c>
      <c r="B342" t="s">
        <v>13</v>
      </c>
      <c r="C342" t="s">
        <v>12</v>
      </c>
      <c r="D342">
        <v>3.3729492440604751</v>
      </c>
      <c r="E342">
        <v>2.8499999999999996</v>
      </c>
      <c r="F342">
        <v>2.8499999999999996</v>
      </c>
      <c r="G342">
        <v>4.4273356401384074</v>
      </c>
      <c r="H342">
        <v>0.84495786736745238</v>
      </c>
      <c r="I342">
        <v>0.84495786736745238</v>
      </c>
      <c r="J342">
        <v>1.3126007300390399</v>
      </c>
      <c r="K342">
        <v>0.31260073003903988</v>
      </c>
      <c r="L342">
        <v>0</v>
      </c>
      <c r="M342">
        <v>0</v>
      </c>
      <c r="N342">
        <v>0</v>
      </c>
      <c r="O342">
        <v>0</v>
      </c>
      <c r="P342">
        <v>0</v>
      </c>
      <c r="Q342">
        <v>0</v>
      </c>
      <c r="R342">
        <v>0</v>
      </c>
      <c r="S342">
        <v>0</v>
      </c>
      <c r="T342">
        <v>0.15504213263254762</v>
      </c>
      <c r="U342">
        <v>0</v>
      </c>
      <c r="V342">
        <v>0</v>
      </c>
      <c r="W342">
        <v>0</v>
      </c>
      <c r="X342">
        <v>0</v>
      </c>
      <c r="Y342">
        <v>0.84495786736745238</v>
      </c>
      <c r="Z342">
        <v>0</v>
      </c>
      <c r="AA342">
        <v>0</v>
      </c>
      <c r="AB342">
        <v>0</v>
      </c>
      <c r="AC342">
        <v>0</v>
      </c>
      <c r="AD342">
        <v>0</v>
      </c>
      <c r="AE342" t="s">
        <v>166</v>
      </c>
      <c r="AF342">
        <v>10</v>
      </c>
      <c r="AG342" t="s">
        <v>164</v>
      </c>
      <c r="AH342">
        <v>1</v>
      </c>
      <c r="AI342">
        <v>46223</v>
      </c>
      <c r="AJ342" t="s">
        <v>150</v>
      </c>
    </row>
    <row r="343" spans="1:36" x14ac:dyDescent="0.25">
      <c r="A343" s="1">
        <v>46223</v>
      </c>
      <c r="B343" t="s">
        <v>13</v>
      </c>
      <c r="C343" t="s">
        <v>10</v>
      </c>
      <c r="D343">
        <v>5.8323914011879046</v>
      </c>
      <c r="E343">
        <v>5.6999999999999993</v>
      </c>
      <c r="F343">
        <v>5.6999999999999993</v>
      </c>
      <c r="G343">
        <v>4.2297794117647056</v>
      </c>
      <c r="H343">
        <v>0.97730066587078834</v>
      </c>
      <c r="I343">
        <v>0.97730066587078834</v>
      </c>
      <c r="J343">
        <v>0.72522214659722783</v>
      </c>
      <c r="K343">
        <v>0</v>
      </c>
      <c r="L343">
        <v>0</v>
      </c>
      <c r="M343">
        <v>0</v>
      </c>
      <c r="N343">
        <v>0</v>
      </c>
      <c r="O343">
        <v>0</v>
      </c>
      <c r="P343">
        <v>0</v>
      </c>
      <c r="Q343">
        <v>0</v>
      </c>
      <c r="R343">
        <v>0</v>
      </c>
      <c r="S343">
        <v>0</v>
      </c>
      <c r="T343">
        <v>0</v>
      </c>
      <c r="U343">
        <v>2.2699334129211657E-2</v>
      </c>
      <c r="V343">
        <v>0</v>
      </c>
      <c r="W343">
        <v>0.25207851927356051</v>
      </c>
      <c r="X343">
        <v>0</v>
      </c>
      <c r="Y343">
        <v>0.72522214659722783</v>
      </c>
      <c r="Z343">
        <v>0</v>
      </c>
      <c r="AA343">
        <v>0</v>
      </c>
      <c r="AB343">
        <v>0</v>
      </c>
      <c r="AC343">
        <v>0</v>
      </c>
      <c r="AD343">
        <v>0</v>
      </c>
      <c r="AE343" t="s">
        <v>166</v>
      </c>
      <c r="AF343">
        <v>10</v>
      </c>
      <c r="AG343" t="s">
        <v>165</v>
      </c>
      <c r="AH343">
        <v>1</v>
      </c>
      <c r="AI343">
        <v>46223</v>
      </c>
      <c r="AJ343" t="s">
        <v>150</v>
      </c>
    </row>
    <row r="344" spans="1:36" x14ac:dyDescent="0.25">
      <c r="A344" s="1">
        <v>46224</v>
      </c>
      <c r="B344" t="s">
        <v>13</v>
      </c>
      <c r="C344" t="s">
        <v>10</v>
      </c>
      <c r="D344">
        <v>5.8204648795871572</v>
      </c>
      <c r="E344">
        <v>5.6999999999999993</v>
      </c>
      <c r="F344">
        <v>5.6999999999999993</v>
      </c>
      <c r="G344">
        <v>4.2886029411764692</v>
      </c>
      <c r="H344">
        <v>0.97930322026172889</v>
      </c>
      <c r="I344">
        <v>0.97930322026172889</v>
      </c>
      <c r="J344">
        <v>0.73681450363474366</v>
      </c>
      <c r="K344">
        <v>0</v>
      </c>
      <c r="L344">
        <v>0</v>
      </c>
      <c r="M344">
        <v>0</v>
      </c>
      <c r="N344">
        <v>0</v>
      </c>
      <c r="O344">
        <v>0</v>
      </c>
      <c r="P344">
        <v>0</v>
      </c>
      <c r="Q344">
        <v>0</v>
      </c>
      <c r="R344">
        <v>0</v>
      </c>
      <c r="S344">
        <v>0</v>
      </c>
      <c r="T344">
        <v>0</v>
      </c>
      <c r="U344">
        <v>2.0696779738271109E-2</v>
      </c>
      <c r="V344">
        <v>0</v>
      </c>
      <c r="W344">
        <v>0.24248871662698523</v>
      </c>
      <c r="X344">
        <v>0</v>
      </c>
      <c r="Y344">
        <v>0.73681450363474366</v>
      </c>
      <c r="Z344">
        <v>0</v>
      </c>
      <c r="AA344">
        <v>0</v>
      </c>
      <c r="AB344">
        <v>0</v>
      </c>
      <c r="AC344">
        <v>0</v>
      </c>
      <c r="AD344">
        <v>0</v>
      </c>
      <c r="AE344" t="s">
        <v>161</v>
      </c>
      <c r="AF344">
        <v>10</v>
      </c>
      <c r="AG344" t="s">
        <v>168</v>
      </c>
      <c r="AI344">
        <v>46224</v>
      </c>
      <c r="AJ344" t="s">
        <v>150</v>
      </c>
    </row>
    <row r="345" spans="1:36" x14ac:dyDescent="0.25">
      <c r="A345" s="1">
        <v>46224</v>
      </c>
      <c r="B345" t="s">
        <v>13</v>
      </c>
      <c r="C345" t="s">
        <v>12</v>
      </c>
      <c r="D345">
        <v>3.3711289800323798</v>
      </c>
      <c r="E345">
        <v>0.95</v>
      </c>
      <c r="F345">
        <v>0.95</v>
      </c>
      <c r="G345">
        <v>3.4861591695501715</v>
      </c>
      <c r="H345">
        <v>0.28180470270552366</v>
      </c>
      <c r="I345">
        <v>0.28180470270552366</v>
      </c>
      <c r="J345">
        <v>1.0341221561676013</v>
      </c>
      <c r="K345">
        <v>3.4122156167601281E-2</v>
      </c>
      <c r="L345">
        <v>0</v>
      </c>
      <c r="M345">
        <v>0</v>
      </c>
      <c r="N345">
        <v>0</v>
      </c>
      <c r="O345">
        <v>0</v>
      </c>
      <c r="P345">
        <v>0</v>
      </c>
      <c r="Q345">
        <v>0</v>
      </c>
      <c r="R345">
        <v>0</v>
      </c>
      <c r="S345">
        <v>0</v>
      </c>
      <c r="T345">
        <v>0.71819529729447629</v>
      </c>
      <c r="U345">
        <v>0</v>
      </c>
      <c r="V345">
        <v>0</v>
      </c>
      <c r="W345">
        <v>0</v>
      </c>
      <c r="X345">
        <v>0</v>
      </c>
      <c r="Y345">
        <v>0.28180470270552366</v>
      </c>
      <c r="Z345">
        <v>0</v>
      </c>
      <c r="AA345">
        <v>0</v>
      </c>
      <c r="AB345">
        <v>0</v>
      </c>
      <c r="AC345">
        <v>0</v>
      </c>
      <c r="AD345">
        <v>0</v>
      </c>
      <c r="AE345" t="s">
        <v>161</v>
      </c>
      <c r="AF345">
        <v>10</v>
      </c>
      <c r="AG345" t="s">
        <v>169</v>
      </c>
      <c r="AI345">
        <v>46224</v>
      </c>
      <c r="AJ345" t="s">
        <v>150</v>
      </c>
    </row>
    <row r="346" spans="1:36" x14ac:dyDescent="0.25">
      <c r="A346" s="1">
        <v>46224</v>
      </c>
      <c r="B346" t="s">
        <v>13</v>
      </c>
      <c r="C346" t="s">
        <v>11</v>
      </c>
      <c r="D346">
        <v>1.2735376146788993</v>
      </c>
      <c r="E346">
        <v>0</v>
      </c>
      <c r="F346">
        <v>0</v>
      </c>
      <c r="G346">
        <v>0.94117647058823517</v>
      </c>
      <c r="H346">
        <v>0</v>
      </c>
      <c r="I346">
        <v>0</v>
      </c>
      <c r="J346">
        <v>0.73902526296840998</v>
      </c>
      <c r="K346">
        <v>0</v>
      </c>
      <c r="L346">
        <v>0</v>
      </c>
      <c r="M346">
        <v>0</v>
      </c>
      <c r="N346">
        <v>0</v>
      </c>
      <c r="O346">
        <v>0</v>
      </c>
      <c r="P346">
        <v>0</v>
      </c>
      <c r="Q346">
        <v>0</v>
      </c>
      <c r="R346">
        <v>0</v>
      </c>
      <c r="S346">
        <v>0</v>
      </c>
      <c r="T346">
        <v>0.73902526296840998</v>
      </c>
      <c r="U346">
        <v>0.26097473703159002</v>
      </c>
      <c r="V346">
        <v>0</v>
      </c>
      <c r="W346">
        <v>0</v>
      </c>
      <c r="X346">
        <v>0</v>
      </c>
      <c r="Y346">
        <v>0</v>
      </c>
      <c r="Z346">
        <v>0</v>
      </c>
      <c r="AA346">
        <v>0</v>
      </c>
      <c r="AB346">
        <v>0</v>
      </c>
      <c r="AC346">
        <v>0</v>
      </c>
      <c r="AD346">
        <v>0</v>
      </c>
      <c r="AE346" t="s">
        <v>161</v>
      </c>
      <c r="AF346">
        <v>10</v>
      </c>
      <c r="AG346" t="s">
        <v>167</v>
      </c>
      <c r="AI346">
        <v>46224</v>
      </c>
      <c r="AJ346" t="s">
        <v>150</v>
      </c>
    </row>
    <row r="347" spans="1:36" x14ac:dyDescent="0.25">
      <c r="A347" s="1">
        <v>46224</v>
      </c>
      <c r="B347" t="s">
        <v>13</v>
      </c>
      <c r="C347" t="s">
        <v>10</v>
      </c>
      <c r="D347">
        <v>5.8323914011879054</v>
      </c>
      <c r="E347">
        <v>5.6999999999999993</v>
      </c>
      <c r="F347">
        <v>5.6999999999999993</v>
      </c>
      <c r="G347">
        <v>4.2886029411764692</v>
      </c>
      <c r="H347">
        <v>0.97730066587078823</v>
      </c>
      <c r="I347">
        <v>0.97730066587078823</v>
      </c>
      <c r="J347">
        <v>0.7353078087837166</v>
      </c>
      <c r="K347">
        <v>0</v>
      </c>
      <c r="L347">
        <v>0</v>
      </c>
      <c r="M347">
        <v>0</v>
      </c>
      <c r="N347">
        <v>0</v>
      </c>
      <c r="O347">
        <v>0</v>
      </c>
      <c r="P347">
        <v>0</v>
      </c>
      <c r="Q347">
        <v>0</v>
      </c>
      <c r="R347">
        <v>0</v>
      </c>
      <c r="S347">
        <v>0</v>
      </c>
      <c r="T347">
        <v>0</v>
      </c>
      <c r="U347">
        <v>2.2699334129211768E-2</v>
      </c>
      <c r="V347">
        <v>0</v>
      </c>
      <c r="W347">
        <v>0.24199285708707163</v>
      </c>
      <c r="X347">
        <v>0</v>
      </c>
      <c r="Y347">
        <v>0.7353078087837166</v>
      </c>
      <c r="Z347">
        <v>0</v>
      </c>
      <c r="AA347">
        <v>0</v>
      </c>
      <c r="AB347">
        <v>0</v>
      </c>
      <c r="AC347">
        <v>0</v>
      </c>
      <c r="AD347">
        <v>0</v>
      </c>
      <c r="AE347" t="s">
        <v>166</v>
      </c>
      <c r="AF347">
        <v>10</v>
      </c>
      <c r="AG347" t="s">
        <v>168</v>
      </c>
      <c r="AH347">
        <v>1</v>
      </c>
      <c r="AI347">
        <v>46224</v>
      </c>
      <c r="AJ347" t="s">
        <v>150</v>
      </c>
    </row>
    <row r="348" spans="1:36" x14ac:dyDescent="0.25">
      <c r="A348" s="1">
        <v>46224</v>
      </c>
      <c r="B348" t="s">
        <v>13</v>
      </c>
      <c r="C348" t="s">
        <v>12</v>
      </c>
      <c r="D348">
        <v>3.3729492440604751</v>
      </c>
      <c r="E348">
        <v>0.95</v>
      </c>
      <c r="F348">
        <v>0.95</v>
      </c>
      <c r="G348">
        <v>3.4861591695501715</v>
      </c>
      <c r="H348">
        <v>0.28165262245581746</v>
      </c>
      <c r="I348">
        <v>0.28165262245581746</v>
      </c>
      <c r="J348">
        <v>1.0335640762128429</v>
      </c>
      <c r="K348">
        <v>3.3564076212842853E-2</v>
      </c>
      <c r="L348">
        <v>0</v>
      </c>
      <c r="M348">
        <v>0</v>
      </c>
      <c r="N348">
        <v>0</v>
      </c>
      <c r="O348">
        <v>0</v>
      </c>
      <c r="P348">
        <v>0</v>
      </c>
      <c r="Q348">
        <v>0</v>
      </c>
      <c r="R348">
        <v>0</v>
      </c>
      <c r="S348">
        <v>0</v>
      </c>
      <c r="T348">
        <v>0.71834737754418254</v>
      </c>
      <c r="U348">
        <v>0</v>
      </c>
      <c r="V348">
        <v>0</v>
      </c>
      <c r="W348">
        <v>0</v>
      </c>
      <c r="X348">
        <v>0</v>
      </c>
      <c r="Y348">
        <v>0.28165262245581746</v>
      </c>
      <c r="Z348">
        <v>0</v>
      </c>
      <c r="AA348">
        <v>0</v>
      </c>
      <c r="AB348">
        <v>0</v>
      </c>
      <c r="AC348">
        <v>0</v>
      </c>
      <c r="AD348">
        <v>0</v>
      </c>
      <c r="AE348" t="s">
        <v>166</v>
      </c>
      <c r="AF348">
        <v>10</v>
      </c>
      <c r="AG348" t="s">
        <v>169</v>
      </c>
      <c r="AH348">
        <v>1</v>
      </c>
      <c r="AI348">
        <v>46224</v>
      </c>
      <c r="AJ348" t="s">
        <v>150</v>
      </c>
    </row>
    <row r="349" spans="1:36" x14ac:dyDescent="0.25">
      <c r="A349" s="1">
        <v>46224</v>
      </c>
      <c r="B349" t="s">
        <v>13</v>
      </c>
      <c r="C349" t="s">
        <v>11</v>
      </c>
      <c r="D349">
        <v>1.2742252699784016</v>
      </c>
      <c r="E349">
        <v>0</v>
      </c>
      <c r="F349">
        <v>0</v>
      </c>
      <c r="G349">
        <v>0.94117647058823517</v>
      </c>
      <c r="H349">
        <v>0</v>
      </c>
      <c r="I349">
        <v>0</v>
      </c>
      <c r="J349">
        <v>0.73862643659875649</v>
      </c>
      <c r="K349">
        <v>0</v>
      </c>
      <c r="L349">
        <v>0</v>
      </c>
      <c r="M349">
        <v>0</v>
      </c>
      <c r="N349">
        <v>0</v>
      </c>
      <c r="O349">
        <v>0</v>
      </c>
      <c r="P349">
        <v>0</v>
      </c>
      <c r="Q349">
        <v>0</v>
      </c>
      <c r="R349">
        <v>0</v>
      </c>
      <c r="S349">
        <v>0</v>
      </c>
      <c r="T349">
        <v>0.73862643659875649</v>
      </c>
      <c r="U349">
        <v>0.26137356340124351</v>
      </c>
      <c r="V349">
        <v>0</v>
      </c>
      <c r="W349">
        <v>0</v>
      </c>
      <c r="X349">
        <v>0</v>
      </c>
      <c r="Y349">
        <v>0</v>
      </c>
      <c r="Z349">
        <v>0</v>
      </c>
      <c r="AA349">
        <v>0</v>
      </c>
      <c r="AB349">
        <v>0</v>
      </c>
      <c r="AC349">
        <v>0</v>
      </c>
      <c r="AD349">
        <v>0</v>
      </c>
      <c r="AE349" t="s">
        <v>166</v>
      </c>
      <c r="AF349">
        <v>10</v>
      </c>
      <c r="AG349" t="s">
        <v>167</v>
      </c>
      <c r="AH349">
        <v>1</v>
      </c>
      <c r="AI349">
        <v>46224</v>
      </c>
      <c r="AJ349" t="s">
        <v>150</v>
      </c>
    </row>
    <row r="350" spans="1:36" x14ac:dyDescent="0.25">
      <c r="A350" s="1">
        <v>46225</v>
      </c>
      <c r="B350" t="s">
        <v>13</v>
      </c>
      <c r="C350" t="s">
        <v>12</v>
      </c>
      <c r="D350">
        <v>3.9329838100377774</v>
      </c>
      <c r="E350">
        <v>4.75</v>
      </c>
      <c r="F350">
        <v>4.75</v>
      </c>
      <c r="G350">
        <v>3.8019031141868487</v>
      </c>
      <c r="H350">
        <v>1.2077344401665298</v>
      </c>
      <c r="I350">
        <v>1.2077344401665298</v>
      </c>
      <c r="J350">
        <v>0.96667143772207142</v>
      </c>
      <c r="K350">
        <v>0</v>
      </c>
      <c r="L350">
        <v>0</v>
      </c>
      <c r="M350">
        <v>0</v>
      </c>
      <c r="N350">
        <v>0</v>
      </c>
      <c r="O350">
        <v>0</v>
      </c>
      <c r="P350">
        <v>0</v>
      </c>
      <c r="Q350">
        <v>0</v>
      </c>
      <c r="R350">
        <v>0</v>
      </c>
      <c r="S350">
        <v>0.20773444016652975</v>
      </c>
      <c r="T350">
        <v>0</v>
      </c>
      <c r="U350">
        <v>0</v>
      </c>
      <c r="V350">
        <v>0</v>
      </c>
      <c r="W350">
        <v>3.3328562277928575E-2</v>
      </c>
      <c r="X350">
        <v>0</v>
      </c>
      <c r="Y350">
        <v>0.96667143772207142</v>
      </c>
      <c r="Z350">
        <v>0</v>
      </c>
      <c r="AA350">
        <v>0</v>
      </c>
      <c r="AB350">
        <v>0</v>
      </c>
      <c r="AC350">
        <v>0</v>
      </c>
      <c r="AD350">
        <v>0</v>
      </c>
      <c r="AE350" t="s">
        <v>161</v>
      </c>
      <c r="AF350">
        <v>10</v>
      </c>
      <c r="AG350" t="s">
        <v>171</v>
      </c>
      <c r="AI350">
        <v>46225</v>
      </c>
      <c r="AJ350" t="s">
        <v>150</v>
      </c>
    </row>
    <row r="351" spans="1:36" x14ac:dyDescent="0.25">
      <c r="A351" s="1">
        <v>46225</v>
      </c>
      <c r="B351" t="s">
        <v>13</v>
      </c>
      <c r="C351" t="s">
        <v>11</v>
      </c>
      <c r="D351">
        <v>1.2735376146788993</v>
      </c>
      <c r="E351">
        <v>0</v>
      </c>
      <c r="F351">
        <v>0</v>
      </c>
      <c r="G351">
        <v>0.94117647058823517</v>
      </c>
      <c r="H351">
        <v>0</v>
      </c>
      <c r="I351">
        <v>0</v>
      </c>
      <c r="J351">
        <v>0.73902526296840998</v>
      </c>
      <c r="K351">
        <v>0</v>
      </c>
      <c r="L351">
        <v>0</v>
      </c>
      <c r="M351">
        <v>0</v>
      </c>
      <c r="N351">
        <v>0</v>
      </c>
      <c r="O351">
        <v>0</v>
      </c>
      <c r="P351">
        <v>0</v>
      </c>
      <c r="Q351">
        <v>0</v>
      </c>
      <c r="R351">
        <v>0</v>
      </c>
      <c r="S351">
        <v>0</v>
      </c>
      <c r="T351">
        <v>0.73902526296840998</v>
      </c>
      <c r="U351">
        <v>0.26097473703159002</v>
      </c>
      <c r="V351">
        <v>0</v>
      </c>
      <c r="W351">
        <v>0</v>
      </c>
      <c r="X351">
        <v>0</v>
      </c>
      <c r="Y351">
        <v>0</v>
      </c>
      <c r="Z351">
        <v>0</v>
      </c>
      <c r="AA351">
        <v>0</v>
      </c>
      <c r="AB351">
        <v>0</v>
      </c>
      <c r="AC351">
        <v>0</v>
      </c>
      <c r="AD351">
        <v>0</v>
      </c>
      <c r="AE351" t="s">
        <v>161</v>
      </c>
      <c r="AF351">
        <v>10</v>
      </c>
      <c r="AG351" t="s">
        <v>172</v>
      </c>
      <c r="AI351">
        <v>46225</v>
      </c>
      <c r="AJ351" t="s">
        <v>150</v>
      </c>
    </row>
    <row r="352" spans="1:36" x14ac:dyDescent="0.25">
      <c r="A352" s="1">
        <v>46225</v>
      </c>
      <c r="B352" t="s">
        <v>13</v>
      </c>
      <c r="C352" t="s">
        <v>10</v>
      </c>
      <c r="D352">
        <v>4.6265233658256903</v>
      </c>
      <c r="E352">
        <v>3.8</v>
      </c>
      <c r="F352">
        <v>3.8</v>
      </c>
      <c r="G352">
        <v>2.7656250000000009</v>
      </c>
      <c r="H352">
        <v>0.82135108796144984</v>
      </c>
      <c r="I352">
        <v>0.82135108796144984</v>
      </c>
      <c r="J352">
        <v>0.59777607964299628</v>
      </c>
      <c r="K352">
        <v>0</v>
      </c>
      <c r="L352">
        <v>0</v>
      </c>
      <c r="M352">
        <v>0</v>
      </c>
      <c r="N352">
        <v>0</v>
      </c>
      <c r="O352">
        <v>0</v>
      </c>
      <c r="P352">
        <v>0</v>
      </c>
      <c r="Q352">
        <v>0</v>
      </c>
      <c r="R352">
        <v>0</v>
      </c>
      <c r="S352">
        <v>0</v>
      </c>
      <c r="T352">
        <v>0</v>
      </c>
      <c r="U352">
        <v>0.17864891203855016</v>
      </c>
      <c r="V352">
        <v>0</v>
      </c>
      <c r="W352">
        <v>0.22357500831845356</v>
      </c>
      <c r="X352">
        <v>0</v>
      </c>
      <c r="Y352">
        <v>0.59777607964299628</v>
      </c>
      <c r="Z352">
        <v>0</v>
      </c>
      <c r="AA352">
        <v>0</v>
      </c>
      <c r="AB352">
        <v>0</v>
      </c>
      <c r="AC352">
        <v>0</v>
      </c>
      <c r="AD352">
        <v>0</v>
      </c>
      <c r="AE352" t="s">
        <v>161</v>
      </c>
      <c r="AF352">
        <v>10</v>
      </c>
      <c r="AG352" t="s">
        <v>170</v>
      </c>
      <c r="AI352">
        <v>46225</v>
      </c>
      <c r="AJ352" t="s">
        <v>150</v>
      </c>
    </row>
    <row r="353" spans="1:36" x14ac:dyDescent="0.25">
      <c r="A353" s="1">
        <v>46225</v>
      </c>
      <c r="B353" t="s">
        <v>13</v>
      </c>
      <c r="C353" t="s">
        <v>12</v>
      </c>
      <c r="D353">
        <v>3.902039321560157</v>
      </c>
      <c r="E353">
        <v>4.75</v>
      </c>
      <c r="F353">
        <v>4.75</v>
      </c>
      <c r="G353">
        <v>3.8019031141868487</v>
      </c>
      <c r="H353">
        <v>1.2173121818005672</v>
      </c>
      <c r="I353">
        <v>1.2173121818005672</v>
      </c>
      <c r="J353">
        <v>0.97433746840529767</v>
      </c>
      <c r="K353">
        <v>0</v>
      </c>
      <c r="L353">
        <v>0</v>
      </c>
      <c r="M353">
        <v>0</v>
      </c>
      <c r="N353">
        <v>0</v>
      </c>
      <c r="O353">
        <v>0</v>
      </c>
      <c r="P353">
        <v>0</v>
      </c>
      <c r="Q353">
        <v>0</v>
      </c>
      <c r="R353">
        <v>0</v>
      </c>
      <c r="S353">
        <v>0.21731218180056722</v>
      </c>
      <c r="T353">
        <v>0</v>
      </c>
      <c r="U353">
        <v>0</v>
      </c>
      <c r="V353">
        <v>0</v>
      </c>
      <c r="W353">
        <v>2.5662531594702331E-2</v>
      </c>
      <c r="X353">
        <v>0</v>
      </c>
      <c r="Y353">
        <v>0.97433746840529767</v>
      </c>
      <c r="Z353">
        <v>0</v>
      </c>
      <c r="AA353">
        <v>0</v>
      </c>
      <c r="AB353">
        <v>0</v>
      </c>
      <c r="AC353">
        <v>0</v>
      </c>
      <c r="AD353">
        <v>0</v>
      </c>
      <c r="AE353" t="s">
        <v>166</v>
      </c>
      <c r="AF353">
        <v>10</v>
      </c>
      <c r="AG353" t="s">
        <v>171</v>
      </c>
      <c r="AH353">
        <v>1</v>
      </c>
      <c r="AI353">
        <v>46225</v>
      </c>
      <c r="AJ353" t="s">
        <v>150</v>
      </c>
    </row>
    <row r="354" spans="1:36" x14ac:dyDescent="0.25">
      <c r="A354" s="1">
        <v>46225</v>
      </c>
      <c r="B354" t="s">
        <v>13</v>
      </c>
      <c r="C354" t="s">
        <v>11</v>
      </c>
      <c r="D354">
        <v>1.2742252699784016</v>
      </c>
      <c r="E354">
        <v>0</v>
      </c>
      <c r="F354">
        <v>0</v>
      </c>
      <c r="G354">
        <v>0.94117647058823517</v>
      </c>
      <c r="H354">
        <v>0</v>
      </c>
      <c r="I354">
        <v>0</v>
      </c>
      <c r="J354">
        <v>0.73862643659875649</v>
      </c>
      <c r="K354">
        <v>0</v>
      </c>
      <c r="L354">
        <v>0</v>
      </c>
      <c r="M354">
        <v>0</v>
      </c>
      <c r="N354">
        <v>0</v>
      </c>
      <c r="O354">
        <v>0</v>
      </c>
      <c r="P354">
        <v>0</v>
      </c>
      <c r="Q354">
        <v>0</v>
      </c>
      <c r="R354">
        <v>0</v>
      </c>
      <c r="S354">
        <v>0</v>
      </c>
      <c r="T354">
        <v>0.73862643659875649</v>
      </c>
      <c r="U354">
        <v>0.26137356340124351</v>
      </c>
      <c r="V354">
        <v>0</v>
      </c>
      <c r="W354">
        <v>0</v>
      </c>
      <c r="X354">
        <v>0</v>
      </c>
      <c r="Y354">
        <v>0</v>
      </c>
      <c r="Z354">
        <v>0</v>
      </c>
      <c r="AA354">
        <v>0</v>
      </c>
      <c r="AB354">
        <v>0</v>
      </c>
      <c r="AC354">
        <v>0</v>
      </c>
      <c r="AD354">
        <v>0</v>
      </c>
      <c r="AE354" t="s">
        <v>166</v>
      </c>
      <c r="AF354">
        <v>10</v>
      </c>
      <c r="AG354" t="s">
        <v>172</v>
      </c>
      <c r="AH354">
        <v>1</v>
      </c>
      <c r="AI354">
        <v>46225</v>
      </c>
      <c r="AJ354" t="s">
        <v>150</v>
      </c>
    </row>
    <row r="355" spans="1:36" x14ac:dyDescent="0.25">
      <c r="A355" s="1">
        <v>46225</v>
      </c>
      <c r="B355" t="s">
        <v>13</v>
      </c>
      <c r="C355" t="s">
        <v>10</v>
      </c>
      <c r="D355">
        <v>4.6378052105831538</v>
      </c>
      <c r="E355">
        <v>3.8</v>
      </c>
      <c r="F355">
        <v>3.8</v>
      </c>
      <c r="G355">
        <v>2.7656250000000009</v>
      </c>
      <c r="H355">
        <v>0.81935308350783254</v>
      </c>
      <c r="I355">
        <v>0.81935308350783254</v>
      </c>
      <c r="J355">
        <v>0.59632193988851323</v>
      </c>
      <c r="K355">
        <v>0</v>
      </c>
      <c r="L355">
        <v>0</v>
      </c>
      <c r="M355">
        <v>0</v>
      </c>
      <c r="N355">
        <v>0</v>
      </c>
      <c r="O355">
        <v>0</v>
      </c>
      <c r="P355">
        <v>0</v>
      </c>
      <c r="Q355">
        <v>0</v>
      </c>
      <c r="R355">
        <v>0</v>
      </c>
      <c r="S355">
        <v>0</v>
      </c>
      <c r="T355">
        <v>0</v>
      </c>
      <c r="U355">
        <v>0.18064691649216746</v>
      </c>
      <c r="V355">
        <v>0</v>
      </c>
      <c r="W355">
        <v>0.22303114361931931</v>
      </c>
      <c r="X355">
        <v>0</v>
      </c>
      <c r="Y355">
        <v>0.59632193988851323</v>
      </c>
      <c r="Z355">
        <v>0</v>
      </c>
      <c r="AA355">
        <v>0</v>
      </c>
      <c r="AB355">
        <v>0</v>
      </c>
      <c r="AC355">
        <v>0</v>
      </c>
      <c r="AD355">
        <v>0</v>
      </c>
      <c r="AE355" t="s">
        <v>166</v>
      </c>
      <c r="AF355">
        <v>10</v>
      </c>
      <c r="AG355" t="s">
        <v>170</v>
      </c>
      <c r="AH355">
        <v>1</v>
      </c>
      <c r="AI355">
        <v>46225</v>
      </c>
      <c r="AJ355" t="s">
        <v>150</v>
      </c>
    </row>
    <row r="356" spans="1:36" x14ac:dyDescent="0.25">
      <c r="A356" s="1">
        <v>46226</v>
      </c>
      <c r="B356" t="s">
        <v>13</v>
      </c>
      <c r="C356" t="s">
        <v>12</v>
      </c>
      <c r="D356">
        <v>3.5115926875337284</v>
      </c>
      <c r="E356">
        <v>3.8</v>
      </c>
      <c r="F356">
        <v>3.8</v>
      </c>
      <c r="G356">
        <v>3.1619012930249499</v>
      </c>
      <c r="H356">
        <v>1.0821300583892111</v>
      </c>
      <c r="I356">
        <v>1.0821300583892111</v>
      </c>
      <c r="J356">
        <v>0.90041800811631867</v>
      </c>
      <c r="K356">
        <v>0</v>
      </c>
      <c r="L356">
        <v>0</v>
      </c>
      <c r="M356">
        <v>0</v>
      </c>
      <c r="N356">
        <v>0</v>
      </c>
      <c r="O356">
        <v>0</v>
      </c>
      <c r="P356">
        <v>0</v>
      </c>
      <c r="Q356">
        <v>0</v>
      </c>
      <c r="R356">
        <v>0</v>
      </c>
      <c r="S356">
        <v>8.2130058389211058E-2</v>
      </c>
      <c r="T356">
        <v>0</v>
      </c>
      <c r="U356">
        <v>0</v>
      </c>
      <c r="V356">
        <v>0</v>
      </c>
      <c r="W356">
        <v>9.9581991883681331E-2</v>
      </c>
      <c r="X356">
        <v>0</v>
      </c>
      <c r="Y356">
        <v>0.90041800811631867</v>
      </c>
      <c r="Z356">
        <v>0</v>
      </c>
      <c r="AA356">
        <v>0</v>
      </c>
      <c r="AB356">
        <v>0</v>
      </c>
      <c r="AC356">
        <v>0</v>
      </c>
      <c r="AD356">
        <v>0</v>
      </c>
      <c r="AE356" t="s">
        <v>161</v>
      </c>
      <c r="AF356">
        <v>10</v>
      </c>
      <c r="AG356" t="s">
        <v>173</v>
      </c>
      <c r="AI356">
        <v>46226</v>
      </c>
      <c r="AJ356" t="s">
        <v>150</v>
      </c>
    </row>
    <row r="357" spans="1:36" x14ac:dyDescent="0.25">
      <c r="A357" s="1">
        <v>46226</v>
      </c>
      <c r="B357" t="s">
        <v>13</v>
      </c>
      <c r="C357" t="s">
        <v>10</v>
      </c>
      <c r="D357">
        <v>5.9697075688073395</v>
      </c>
      <c r="E357">
        <v>2.8499999999999996</v>
      </c>
      <c r="F357">
        <v>2.8499999999999996</v>
      </c>
      <c r="G357">
        <v>4.8831269349845199</v>
      </c>
      <c r="H357">
        <v>0.47741031987759291</v>
      </c>
      <c r="I357">
        <v>0.47741031987759291</v>
      </c>
      <c r="J357">
        <v>0.81798427790661399</v>
      </c>
      <c r="K357">
        <v>0</v>
      </c>
      <c r="L357">
        <v>0</v>
      </c>
      <c r="M357">
        <v>0</v>
      </c>
      <c r="N357">
        <v>0</v>
      </c>
      <c r="O357">
        <v>0</v>
      </c>
      <c r="P357">
        <v>0</v>
      </c>
      <c r="Q357">
        <v>0</v>
      </c>
      <c r="R357">
        <v>0</v>
      </c>
      <c r="S357">
        <v>0</v>
      </c>
      <c r="T357">
        <v>0.34057395802902107</v>
      </c>
      <c r="U357">
        <v>0.18201572209338601</v>
      </c>
      <c r="V357">
        <v>0</v>
      </c>
      <c r="W357">
        <v>0</v>
      </c>
      <c r="X357">
        <v>0</v>
      </c>
      <c r="Y357">
        <v>0.47741031987759291</v>
      </c>
      <c r="Z357">
        <v>0</v>
      </c>
      <c r="AA357">
        <v>0</v>
      </c>
      <c r="AB357">
        <v>0</v>
      </c>
      <c r="AC357">
        <v>0</v>
      </c>
      <c r="AD357">
        <v>0</v>
      </c>
      <c r="AE357" t="s">
        <v>161</v>
      </c>
      <c r="AF357">
        <v>10</v>
      </c>
      <c r="AG357" t="s">
        <v>174</v>
      </c>
      <c r="AI357">
        <v>46226</v>
      </c>
      <c r="AJ357" t="s">
        <v>150</v>
      </c>
    </row>
    <row r="358" spans="1:36" x14ac:dyDescent="0.25">
      <c r="A358" s="1">
        <v>46226</v>
      </c>
      <c r="B358" t="s">
        <v>13</v>
      </c>
      <c r="C358" t="s">
        <v>11</v>
      </c>
      <c r="D358">
        <v>1.2735376146788993</v>
      </c>
      <c r="E358">
        <v>0</v>
      </c>
      <c r="F358">
        <v>0</v>
      </c>
      <c r="G358">
        <v>0.94117647058823517</v>
      </c>
      <c r="H358">
        <v>0</v>
      </c>
      <c r="I358">
        <v>0</v>
      </c>
      <c r="J358">
        <v>0.73902526296840998</v>
      </c>
      <c r="K358">
        <v>0</v>
      </c>
      <c r="L358">
        <v>0</v>
      </c>
      <c r="M358">
        <v>0</v>
      </c>
      <c r="N358">
        <v>0</v>
      </c>
      <c r="O358">
        <v>0</v>
      </c>
      <c r="P358">
        <v>0</v>
      </c>
      <c r="Q358">
        <v>0</v>
      </c>
      <c r="R358">
        <v>0</v>
      </c>
      <c r="S358">
        <v>0</v>
      </c>
      <c r="T358">
        <v>0.73902526296840998</v>
      </c>
      <c r="U358">
        <v>0.26097473703159002</v>
      </c>
      <c r="V358">
        <v>0</v>
      </c>
      <c r="W358">
        <v>0</v>
      </c>
      <c r="X358">
        <v>0</v>
      </c>
      <c r="Y358">
        <v>0</v>
      </c>
      <c r="Z358">
        <v>0</v>
      </c>
      <c r="AA358">
        <v>0</v>
      </c>
      <c r="AB358">
        <v>0</v>
      </c>
      <c r="AC358">
        <v>0</v>
      </c>
      <c r="AD358">
        <v>0</v>
      </c>
      <c r="AE358" t="s">
        <v>161</v>
      </c>
      <c r="AF358">
        <v>10</v>
      </c>
      <c r="AG358" t="s">
        <v>175</v>
      </c>
      <c r="AI358">
        <v>46226</v>
      </c>
      <c r="AJ358" t="s">
        <v>150</v>
      </c>
    </row>
    <row r="359" spans="1:36" x14ac:dyDescent="0.25">
      <c r="A359" s="1">
        <v>46226</v>
      </c>
      <c r="B359" t="s">
        <v>13</v>
      </c>
      <c r="C359" t="s">
        <v>12</v>
      </c>
      <c r="D359">
        <v>3.505221763435395</v>
      </c>
      <c r="E359">
        <v>3.8</v>
      </c>
      <c r="F359">
        <v>3.8</v>
      </c>
      <c r="G359">
        <v>3.1619012930249499</v>
      </c>
      <c r="H359">
        <v>1.0840968864337128</v>
      </c>
      <c r="I359">
        <v>1.0840968864337128</v>
      </c>
      <c r="J359">
        <v>0.90205456499449443</v>
      </c>
      <c r="K359">
        <v>0</v>
      </c>
      <c r="L359">
        <v>0</v>
      </c>
      <c r="M359">
        <v>0</v>
      </c>
      <c r="N359">
        <v>0</v>
      </c>
      <c r="O359">
        <v>0</v>
      </c>
      <c r="P359">
        <v>0</v>
      </c>
      <c r="Q359">
        <v>0</v>
      </c>
      <c r="R359">
        <v>0</v>
      </c>
      <c r="S359">
        <v>8.4096886433712825E-2</v>
      </c>
      <c r="T359">
        <v>0</v>
      </c>
      <c r="U359">
        <v>0</v>
      </c>
      <c r="V359">
        <v>0</v>
      </c>
      <c r="W359">
        <v>9.7945435005505566E-2</v>
      </c>
      <c r="X359">
        <v>0</v>
      </c>
      <c r="Y359">
        <v>0.90205456499449443</v>
      </c>
      <c r="Z359">
        <v>0</v>
      </c>
      <c r="AA359">
        <v>0</v>
      </c>
      <c r="AB359">
        <v>0</v>
      </c>
      <c r="AC359">
        <v>0</v>
      </c>
      <c r="AD359">
        <v>0</v>
      </c>
      <c r="AE359" t="s">
        <v>166</v>
      </c>
      <c r="AF359">
        <v>10</v>
      </c>
      <c r="AG359" t="s">
        <v>173</v>
      </c>
      <c r="AH359">
        <v>1</v>
      </c>
      <c r="AI359">
        <v>46226</v>
      </c>
      <c r="AJ359" t="s">
        <v>150</v>
      </c>
    </row>
    <row r="360" spans="1:36" x14ac:dyDescent="0.25">
      <c r="A360" s="1">
        <v>46226</v>
      </c>
      <c r="B360" t="s">
        <v>13</v>
      </c>
      <c r="C360" t="s">
        <v>10</v>
      </c>
      <c r="D360">
        <v>5.9729309530237575</v>
      </c>
      <c r="E360">
        <v>2.8499999999999996</v>
      </c>
      <c r="F360">
        <v>2.8499999999999996</v>
      </c>
      <c r="G360">
        <v>4.8831269349845199</v>
      </c>
      <c r="H360">
        <v>0.47715267804279665</v>
      </c>
      <c r="I360">
        <v>0.47715267804279665</v>
      </c>
      <c r="J360">
        <v>0.81754284008799205</v>
      </c>
      <c r="K360">
        <v>0</v>
      </c>
      <c r="L360">
        <v>0</v>
      </c>
      <c r="M360">
        <v>0</v>
      </c>
      <c r="N360">
        <v>0</v>
      </c>
      <c r="O360">
        <v>0</v>
      </c>
      <c r="P360">
        <v>0</v>
      </c>
      <c r="Q360">
        <v>0</v>
      </c>
      <c r="R360">
        <v>0</v>
      </c>
      <c r="S360">
        <v>0</v>
      </c>
      <c r="T360">
        <v>0.3403901620451954</v>
      </c>
      <c r="U360">
        <v>0.18245715991200795</v>
      </c>
      <c r="V360">
        <v>0</v>
      </c>
      <c r="W360">
        <v>0</v>
      </c>
      <c r="X360">
        <v>0</v>
      </c>
      <c r="Y360">
        <v>0.47715267804279665</v>
      </c>
      <c r="Z360">
        <v>0</v>
      </c>
      <c r="AA360">
        <v>0</v>
      </c>
      <c r="AB360">
        <v>0</v>
      </c>
      <c r="AC360">
        <v>0</v>
      </c>
      <c r="AD360">
        <v>0</v>
      </c>
      <c r="AE360" t="s">
        <v>166</v>
      </c>
      <c r="AF360">
        <v>10</v>
      </c>
      <c r="AG360" t="s">
        <v>174</v>
      </c>
      <c r="AH360">
        <v>1</v>
      </c>
      <c r="AI360">
        <v>46226</v>
      </c>
      <c r="AJ360" t="s">
        <v>150</v>
      </c>
    </row>
    <row r="361" spans="1:36" x14ac:dyDescent="0.25">
      <c r="A361" s="1">
        <v>46226</v>
      </c>
      <c r="B361" t="s">
        <v>13</v>
      </c>
      <c r="C361" t="s">
        <v>11</v>
      </c>
      <c r="D361">
        <v>1.2742252699784016</v>
      </c>
      <c r="E361">
        <v>0</v>
      </c>
      <c r="F361">
        <v>0</v>
      </c>
      <c r="G361">
        <v>0.94117647058823517</v>
      </c>
      <c r="H361">
        <v>0</v>
      </c>
      <c r="I361">
        <v>0</v>
      </c>
      <c r="J361">
        <v>0.73862643659875649</v>
      </c>
      <c r="K361">
        <v>0</v>
      </c>
      <c r="L361">
        <v>0</v>
      </c>
      <c r="M361">
        <v>0</v>
      </c>
      <c r="N361">
        <v>0</v>
      </c>
      <c r="O361">
        <v>0</v>
      </c>
      <c r="P361">
        <v>0</v>
      </c>
      <c r="Q361">
        <v>0</v>
      </c>
      <c r="R361">
        <v>0</v>
      </c>
      <c r="S361">
        <v>0</v>
      </c>
      <c r="T361">
        <v>0.73862643659875649</v>
      </c>
      <c r="U361">
        <v>0.26137356340124351</v>
      </c>
      <c r="V361">
        <v>0</v>
      </c>
      <c r="W361">
        <v>0</v>
      </c>
      <c r="X361">
        <v>0</v>
      </c>
      <c r="Y361">
        <v>0</v>
      </c>
      <c r="Z361">
        <v>0</v>
      </c>
      <c r="AA361">
        <v>0</v>
      </c>
      <c r="AB361">
        <v>0</v>
      </c>
      <c r="AC361">
        <v>0</v>
      </c>
      <c r="AD361">
        <v>0</v>
      </c>
      <c r="AE361" t="s">
        <v>166</v>
      </c>
      <c r="AF361">
        <v>10</v>
      </c>
      <c r="AG361" t="s">
        <v>175</v>
      </c>
      <c r="AH361">
        <v>1</v>
      </c>
      <c r="AI361">
        <v>46226</v>
      </c>
      <c r="AJ361" t="s">
        <v>150</v>
      </c>
    </row>
    <row r="362" spans="1:36" x14ac:dyDescent="0.25">
      <c r="A362" s="1">
        <v>46227</v>
      </c>
      <c r="B362" t="s">
        <v>13</v>
      </c>
      <c r="C362" t="s">
        <v>12</v>
      </c>
      <c r="D362">
        <v>2.2474193200215873</v>
      </c>
      <c r="E362">
        <v>3.8</v>
      </c>
      <c r="F362">
        <v>3.8</v>
      </c>
      <c r="G362">
        <v>2.9307958477508644</v>
      </c>
      <c r="H362">
        <v>1.6908282162331414</v>
      </c>
      <c r="I362">
        <v>1.6908282162331414</v>
      </c>
      <c r="J362">
        <v>1.3040716619463399</v>
      </c>
      <c r="K362">
        <v>0</v>
      </c>
      <c r="L362">
        <v>0</v>
      </c>
      <c r="M362">
        <v>0.38675655428680145</v>
      </c>
      <c r="N362">
        <v>0</v>
      </c>
      <c r="O362">
        <v>5.4071661946339944E-2</v>
      </c>
      <c r="P362">
        <v>0</v>
      </c>
      <c r="Q362">
        <v>0.25</v>
      </c>
      <c r="R362">
        <v>0</v>
      </c>
      <c r="S362">
        <v>0</v>
      </c>
      <c r="T362">
        <v>0</v>
      </c>
      <c r="U362">
        <v>0</v>
      </c>
      <c r="V362">
        <v>0</v>
      </c>
      <c r="W362">
        <v>0</v>
      </c>
      <c r="X362">
        <v>0</v>
      </c>
      <c r="Y362">
        <v>1</v>
      </c>
      <c r="Z362">
        <v>0</v>
      </c>
      <c r="AA362">
        <v>0</v>
      </c>
      <c r="AB362">
        <v>0</v>
      </c>
      <c r="AC362">
        <v>0</v>
      </c>
      <c r="AD362">
        <v>0</v>
      </c>
      <c r="AE362" t="s">
        <v>161</v>
      </c>
      <c r="AF362">
        <v>10</v>
      </c>
      <c r="AG362" t="s">
        <v>178</v>
      </c>
      <c r="AI362">
        <v>46227</v>
      </c>
      <c r="AJ362" t="s">
        <v>150</v>
      </c>
    </row>
    <row r="363" spans="1:36" x14ac:dyDescent="0.25">
      <c r="A363" s="1">
        <v>46227</v>
      </c>
      <c r="B363" t="s">
        <v>13</v>
      </c>
      <c r="C363" t="s">
        <v>10</v>
      </c>
      <c r="D363">
        <v>4.7757660550458727</v>
      </c>
      <c r="E363">
        <v>2.8499999999999996</v>
      </c>
      <c r="F363">
        <v>2.8499999999999996</v>
      </c>
      <c r="G363">
        <v>1.9411764705882353</v>
      </c>
      <c r="H363">
        <v>0.59676289984699105</v>
      </c>
      <c r="I363">
        <v>0.59676289984699105</v>
      </c>
      <c r="J363">
        <v>0.4064638946326255</v>
      </c>
      <c r="K363">
        <v>0</v>
      </c>
      <c r="L363">
        <v>0</v>
      </c>
      <c r="M363">
        <v>0</v>
      </c>
      <c r="N363">
        <v>0</v>
      </c>
      <c r="O363">
        <v>0</v>
      </c>
      <c r="P363">
        <v>0</v>
      </c>
      <c r="Q363">
        <v>0</v>
      </c>
      <c r="R363">
        <v>0</v>
      </c>
      <c r="S363">
        <v>0</v>
      </c>
      <c r="T363">
        <v>0</v>
      </c>
      <c r="U363">
        <v>0.40323710015300895</v>
      </c>
      <c r="V363">
        <v>0</v>
      </c>
      <c r="W363">
        <v>0.19029900521436555</v>
      </c>
      <c r="X363">
        <v>0</v>
      </c>
      <c r="Y363">
        <v>0.4064638946326255</v>
      </c>
      <c r="Z363">
        <v>0</v>
      </c>
      <c r="AA363">
        <v>0</v>
      </c>
      <c r="AB363">
        <v>0</v>
      </c>
      <c r="AC363">
        <v>0</v>
      </c>
      <c r="AD363">
        <v>0</v>
      </c>
      <c r="AE363" t="s">
        <v>161</v>
      </c>
      <c r="AF363">
        <v>10</v>
      </c>
      <c r="AG363" t="s">
        <v>176</v>
      </c>
      <c r="AI363">
        <v>46227</v>
      </c>
      <c r="AJ363" t="s">
        <v>150</v>
      </c>
    </row>
    <row r="364" spans="1:36" x14ac:dyDescent="0.25">
      <c r="A364" s="1">
        <v>46227</v>
      </c>
      <c r="B364" t="s">
        <v>13</v>
      </c>
      <c r="C364" t="s">
        <v>11</v>
      </c>
      <c r="D364">
        <v>1.2735376146788993</v>
      </c>
      <c r="E364">
        <v>0</v>
      </c>
      <c r="F364">
        <v>0</v>
      </c>
      <c r="G364">
        <v>0.94117647058823517</v>
      </c>
      <c r="H364">
        <v>0</v>
      </c>
      <c r="I364">
        <v>0</v>
      </c>
      <c r="J364">
        <v>0.73902526296840998</v>
      </c>
      <c r="K364">
        <v>0</v>
      </c>
      <c r="L364">
        <v>0</v>
      </c>
      <c r="M364">
        <v>0</v>
      </c>
      <c r="N364">
        <v>0</v>
      </c>
      <c r="O364">
        <v>0</v>
      </c>
      <c r="P364">
        <v>0</v>
      </c>
      <c r="Q364">
        <v>0</v>
      </c>
      <c r="R364">
        <v>0</v>
      </c>
      <c r="S364">
        <v>0</v>
      </c>
      <c r="T364">
        <v>0.73902526296840998</v>
      </c>
      <c r="U364">
        <v>0.26097473703159002</v>
      </c>
      <c r="V364">
        <v>0</v>
      </c>
      <c r="W364">
        <v>0</v>
      </c>
      <c r="X364">
        <v>0</v>
      </c>
      <c r="Y364">
        <v>0</v>
      </c>
      <c r="Z364">
        <v>0</v>
      </c>
      <c r="AA364">
        <v>0</v>
      </c>
      <c r="AB364">
        <v>0</v>
      </c>
      <c r="AC364">
        <v>0</v>
      </c>
      <c r="AD364">
        <v>0</v>
      </c>
      <c r="AE364" t="s">
        <v>161</v>
      </c>
      <c r="AF364">
        <v>10</v>
      </c>
      <c r="AG364" t="s">
        <v>177</v>
      </c>
      <c r="AI364">
        <v>46227</v>
      </c>
      <c r="AJ364" t="s">
        <v>150</v>
      </c>
    </row>
    <row r="365" spans="1:36" x14ac:dyDescent="0.25">
      <c r="A365" s="1">
        <v>46227</v>
      </c>
      <c r="B365" t="s">
        <v>13</v>
      </c>
      <c r="C365" t="s">
        <v>12</v>
      </c>
      <c r="D365">
        <v>2.2486328293736499</v>
      </c>
      <c r="E365">
        <v>3.8</v>
      </c>
      <c r="F365">
        <v>3.8</v>
      </c>
      <c r="G365">
        <v>2.9307958477508644</v>
      </c>
      <c r="H365">
        <v>1.689915734734905</v>
      </c>
      <c r="I365">
        <v>1.689915734734905</v>
      </c>
      <c r="J365">
        <v>1.3033678995815554</v>
      </c>
      <c r="K365">
        <v>0</v>
      </c>
      <c r="L365">
        <v>0</v>
      </c>
      <c r="M365">
        <v>0.38654783515334956</v>
      </c>
      <c r="N365">
        <v>0</v>
      </c>
      <c r="O365">
        <v>5.3367899581555411E-2</v>
      </c>
      <c r="P365">
        <v>0</v>
      </c>
      <c r="Q365">
        <v>0.25</v>
      </c>
      <c r="R365">
        <v>0</v>
      </c>
      <c r="S365">
        <v>0</v>
      </c>
      <c r="T365">
        <v>0</v>
      </c>
      <c r="U365">
        <v>0</v>
      </c>
      <c r="V365">
        <v>0</v>
      </c>
      <c r="W365">
        <v>0</v>
      </c>
      <c r="X365">
        <v>0</v>
      </c>
      <c r="Y365">
        <v>1</v>
      </c>
      <c r="Z365">
        <v>0</v>
      </c>
      <c r="AA365">
        <v>0</v>
      </c>
      <c r="AB365">
        <v>0</v>
      </c>
      <c r="AC365">
        <v>0</v>
      </c>
      <c r="AD365">
        <v>0</v>
      </c>
      <c r="AE365" t="s">
        <v>166</v>
      </c>
      <c r="AF365">
        <v>10</v>
      </c>
      <c r="AG365" t="s">
        <v>178</v>
      </c>
      <c r="AH365">
        <v>1</v>
      </c>
      <c r="AI365">
        <v>46227</v>
      </c>
      <c r="AJ365" t="s">
        <v>150</v>
      </c>
    </row>
    <row r="366" spans="1:36" x14ac:dyDescent="0.25">
      <c r="A366" s="1">
        <v>46227</v>
      </c>
      <c r="B366" t="s">
        <v>13</v>
      </c>
      <c r="C366" t="s">
        <v>10</v>
      </c>
      <c r="D366">
        <v>4.7783447624190059</v>
      </c>
      <c r="E366">
        <v>2.8499999999999996</v>
      </c>
      <c r="F366">
        <v>2.8499999999999996</v>
      </c>
      <c r="G366">
        <v>1.9411764705882353</v>
      </c>
      <c r="H366">
        <v>0.5964408475534958</v>
      </c>
      <c r="I366">
        <v>0.5964408475534958</v>
      </c>
      <c r="J366">
        <v>0.4062445401293161</v>
      </c>
      <c r="K366">
        <v>0</v>
      </c>
      <c r="L366">
        <v>0</v>
      </c>
      <c r="M366">
        <v>0</v>
      </c>
      <c r="N366">
        <v>0</v>
      </c>
      <c r="O366">
        <v>0</v>
      </c>
      <c r="P366">
        <v>0</v>
      </c>
      <c r="Q366">
        <v>0</v>
      </c>
      <c r="R366">
        <v>0</v>
      </c>
      <c r="S366">
        <v>0</v>
      </c>
      <c r="T366">
        <v>0</v>
      </c>
      <c r="U366">
        <v>0.4035591524465042</v>
      </c>
      <c r="V366">
        <v>0</v>
      </c>
      <c r="W366">
        <v>0.1901963074241797</v>
      </c>
      <c r="X366">
        <v>0</v>
      </c>
      <c r="Y366">
        <v>0.4062445401293161</v>
      </c>
      <c r="Z366">
        <v>0</v>
      </c>
      <c r="AA366">
        <v>0</v>
      </c>
      <c r="AB366">
        <v>0</v>
      </c>
      <c r="AC366">
        <v>0</v>
      </c>
      <c r="AD366">
        <v>0</v>
      </c>
      <c r="AE366" t="s">
        <v>166</v>
      </c>
      <c r="AF366">
        <v>10</v>
      </c>
      <c r="AG366" t="s">
        <v>176</v>
      </c>
      <c r="AH366">
        <v>1</v>
      </c>
      <c r="AI366">
        <v>46227</v>
      </c>
      <c r="AJ366" t="s">
        <v>150</v>
      </c>
    </row>
    <row r="367" spans="1:36" x14ac:dyDescent="0.25">
      <c r="A367" s="1">
        <v>46227</v>
      </c>
      <c r="B367" t="s">
        <v>13</v>
      </c>
      <c r="C367" t="s">
        <v>11</v>
      </c>
      <c r="D367">
        <v>1.2742252699784016</v>
      </c>
      <c r="E367">
        <v>0</v>
      </c>
      <c r="F367">
        <v>0</v>
      </c>
      <c r="G367">
        <v>0.94117647058823517</v>
      </c>
      <c r="H367">
        <v>0</v>
      </c>
      <c r="I367">
        <v>0</v>
      </c>
      <c r="J367">
        <v>0.73862643659875649</v>
      </c>
      <c r="K367">
        <v>0</v>
      </c>
      <c r="L367">
        <v>0</v>
      </c>
      <c r="M367">
        <v>0</v>
      </c>
      <c r="N367">
        <v>0</v>
      </c>
      <c r="O367">
        <v>0</v>
      </c>
      <c r="P367">
        <v>0</v>
      </c>
      <c r="Q367">
        <v>0</v>
      </c>
      <c r="R367">
        <v>0</v>
      </c>
      <c r="S367">
        <v>0</v>
      </c>
      <c r="T367">
        <v>0.73862643659875649</v>
      </c>
      <c r="U367">
        <v>0.26137356340124351</v>
      </c>
      <c r="V367">
        <v>0</v>
      </c>
      <c r="W367">
        <v>0</v>
      </c>
      <c r="X367">
        <v>0</v>
      </c>
      <c r="Y367">
        <v>0</v>
      </c>
      <c r="Z367">
        <v>0</v>
      </c>
      <c r="AA367">
        <v>0</v>
      </c>
      <c r="AB367">
        <v>0</v>
      </c>
      <c r="AC367">
        <v>0</v>
      </c>
      <c r="AD367">
        <v>0</v>
      </c>
      <c r="AE367" t="s">
        <v>166</v>
      </c>
      <c r="AF367">
        <v>10</v>
      </c>
      <c r="AG367" t="s">
        <v>177</v>
      </c>
      <c r="AH367">
        <v>1</v>
      </c>
      <c r="AI367">
        <v>46227</v>
      </c>
      <c r="AJ367" t="s">
        <v>150</v>
      </c>
    </row>
    <row r="368" spans="1:36" x14ac:dyDescent="0.25">
      <c r="A368" s="1">
        <v>46228</v>
      </c>
      <c r="B368" t="s">
        <v>13</v>
      </c>
      <c r="C368" t="s">
        <v>10</v>
      </c>
      <c r="D368">
        <v>2.3878830275229359</v>
      </c>
      <c r="E368">
        <v>2.8499999999999996</v>
      </c>
      <c r="F368">
        <v>2.8499999999999996</v>
      </c>
      <c r="G368">
        <v>3.8235294117647038</v>
      </c>
      <c r="H368">
        <v>1.1935257996939823</v>
      </c>
      <c r="I368">
        <v>1.1935257996939823</v>
      </c>
      <c r="J368">
        <v>1.6012214030982213</v>
      </c>
      <c r="K368">
        <v>0.40769560340423894</v>
      </c>
      <c r="L368">
        <v>0</v>
      </c>
      <c r="M368">
        <v>0</v>
      </c>
      <c r="N368">
        <v>0</v>
      </c>
      <c r="O368">
        <v>0</v>
      </c>
      <c r="P368">
        <v>5.6474200306017686E-2</v>
      </c>
      <c r="Q368">
        <v>0.19352579969398231</v>
      </c>
      <c r="R368">
        <v>0</v>
      </c>
      <c r="S368">
        <v>0</v>
      </c>
      <c r="T368">
        <v>0</v>
      </c>
      <c r="U368">
        <v>0</v>
      </c>
      <c r="V368">
        <v>0</v>
      </c>
      <c r="W368">
        <v>0</v>
      </c>
      <c r="X368">
        <v>0</v>
      </c>
      <c r="Y368">
        <v>0</v>
      </c>
      <c r="Z368">
        <v>0</v>
      </c>
      <c r="AA368">
        <v>0</v>
      </c>
      <c r="AB368">
        <v>0</v>
      </c>
      <c r="AC368">
        <v>0</v>
      </c>
      <c r="AD368">
        <v>1</v>
      </c>
      <c r="AE368" t="s">
        <v>161</v>
      </c>
      <c r="AF368">
        <v>10</v>
      </c>
      <c r="AG368" t="s">
        <v>179</v>
      </c>
      <c r="AI368">
        <v>46228</v>
      </c>
      <c r="AJ368" t="s">
        <v>150</v>
      </c>
    </row>
    <row r="369" spans="1:36" x14ac:dyDescent="0.25">
      <c r="A369" s="1">
        <v>46228</v>
      </c>
      <c r="B369" t="s">
        <v>13</v>
      </c>
      <c r="C369" t="s">
        <v>11</v>
      </c>
      <c r="D369">
        <v>1.2735376146788993</v>
      </c>
      <c r="E369">
        <v>0</v>
      </c>
      <c r="F369">
        <v>0</v>
      </c>
      <c r="G369">
        <v>0.94117647058823517</v>
      </c>
      <c r="H369">
        <v>0</v>
      </c>
      <c r="I369">
        <v>0</v>
      </c>
      <c r="J369">
        <v>0.73902526296840998</v>
      </c>
      <c r="K369">
        <v>0</v>
      </c>
      <c r="L369">
        <v>0</v>
      </c>
      <c r="M369">
        <v>0</v>
      </c>
      <c r="N369">
        <v>0</v>
      </c>
      <c r="O369">
        <v>0</v>
      </c>
      <c r="P369">
        <v>0</v>
      </c>
      <c r="Q369">
        <v>0</v>
      </c>
      <c r="R369">
        <v>0</v>
      </c>
      <c r="S369">
        <v>0</v>
      </c>
      <c r="T369">
        <v>0.73902526296840998</v>
      </c>
      <c r="U369">
        <v>0.26097473703159002</v>
      </c>
      <c r="V369">
        <v>0</v>
      </c>
      <c r="W369">
        <v>0</v>
      </c>
      <c r="X369">
        <v>0</v>
      </c>
      <c r="Y369">
        <v>0</v>
      </c>
      <c r="Z369">
        <v>0</v>
      </c>
      <c r="AA369">
        <v>0</v>
      </c>
      <c r="AB369">
        <v>0</v>
      </c>
      <c r="AC369">
        <v>0</v>
      </c>
      <c r="AD369">
        <v>0</v>
      </c>
      <c r="AE369" t="s">
        <v>161</v>
      </c>
      <c r="AF369">
        <v>10</v>
      </c>
      <c r="AG369" t="s">
        <v>180</v>
      </c>
      <c r="AI369">
        <v>46228</v>
      </c>
      <c r="AJ369" t="s">
        <v>150</v>
      </c>
    </row>
    <row r="370" spans="1:36" x14ac:dyDescent="0.25">
      <c r="A370" s="1">
        <v>46228</v>
      </c>
      <c r="B370" t="s">
        <v>13</v>
      </c>
      <c r="C370" t="s">
        <v>12</v>
      </c>
      <c r="D370">
        <v>3.3711289800323798</v>
      </c>
      <c r="E370">
        <v>2.8499999999999996</v>
      </c>
      <c r="F370">
        <v>2.8499999999999996</v>
      </c>
      <c r="G370">
        <v>3.1003460207612457</v>
      </c>
      <c r="H370">
        <v>0.84541410811657092</v>
      </c>
      <c r="I370">
        <v>0.84541410811657092</v>
      </c>
      <c r="J370">
        <v>0.91967588280513279</v>
      </c>
      <c r="K370">
        <v>0</v>
      </c>
      <c r="L370">
        <v>0</v>
      </c>
      <c r="M370">
        <v>0</v>
      </c>
      <c r="N370">
        <v>0</v>
      </c>
      <c r="O370">
        <v>0</v>
      </c>
      <c r="P370">
        <v>0</v>
      </c>
      <c r="Q370">
        <v>0</v>
      </c>
      <c r="R370">
        <v>0</v>
      </c>
      <c r="S370">
        <v>0</v>
      </c>
      <c r="T370">
        <v>7.4261774688561877E-2</v>
      </c>
      <c r="U370">
        <v>8.0324117194867206E-2</v>
      </c>
      <c r="V370">
        <v>0</v>
      </c>
      <c r="W370">
        <v>0</v>
      </c>
      <c r="X370">
        <v>0</v>
      </c>
      <c r="Y370">
        <v>0.84541410811657092</v>
      </c>
      <c r="Z370">
        <v>0</v>
      </c>
      <c r="AA370">
        <v>0</v>
      </c>
      <c r="AB370">
        <v>0</v>
      </c>
      <c r="AC370">
        <v>0</v>
      </c>
      <c r="AD370">
        <v>0</v>
      </c>
      <c r="AE370" t="s">
        <v>161</v>
      </c>
      <c r="AF370">
        <v>10</v>
      </c>
      <c r="AG370" t="s">
        <v>181</v>
      </c>
      <c r="AI370">
        <v>46228</v>
      </c>
      <c r="AJ370" t="s">
        <v>150</v>
      </c>
    </row>
    <row r="371" spans="1:36" x14ac:dyDescent="0.25">
      <c r="A371" s="1">
        <v>46228</v>
      </c>
      <c r="B371" t="s">
        <v>13</v>
      </c>
      <c r="C371" t="s">
        <v>10</v>
      </c>
      <c r="D371">
        <v>2.3891723812095034</v>
      </c>
      <c r="E371">
        <v>2.8499999999999996</v>
      </c>
      <c r="F371">
        <v>2.8499999999999996</v>
      </c>
      <c r="G371">
        <v>3.8235294117647038</v>
      </c>
      <c r="H371">
        <v>1.1928816951069914</v>
      </c>
      <c r="I371">
        <v>1.1928816951069914</v>
      </c>
      <c r="J371">
        <v>1.6003572792973046</v>
      </c>
      <c r="K371">
        <v>0.40747558419031327</v>
      </c>
      <c r="L371">
        <v>0</v>
      </c>
      <c r="M371">
        <v>0</v>
      </c>
      <c r="N371">
        <v>0</v>
      </c>
      <c r="O371">
        <v>0</v>
      </c>
      <c r="P371">
        <v>5.711830489300862E-2</v>
      </c>
      <c r="Q371">
        <v>0.19288169510699138</v>
      </c>
      <c r="R371">
        <v>0</v>
      </c>
      <c r="S371">
        <v>0</v>
      </c>
      <c r="T371">
        <v>0</v>
      </c>
      <c r="U371">
        <v>0</v>
      </c>
      <c r="V371">
        <v>0</v>
      </c>
      <c r="W371">
        <v>0</v>
      </c>
      <c r="X371">
        <v>0</v>
      </c>
      <c r="Y371">
        <v>0</v>
      </c>
      <c r="Z371">
        <v>0</v>
      </c>
      <c r="AA371">
        <v>0</v>
      </c>
      <c r="AB371">
        <v>0</v>
      </c>
      <c r="AC371">
        <v>0</v>
      </c>
      <c r="AD371">
        <v>1</v>
      </c>
      <c r="AE371" t="s">
        <v>166</v>
      </c>
      <c r="AF371">
        <v>10</v>
      </c>
      <c r="AG371" t="s">
        <v>179</v>
      </c>
      <c r="AH371">
        <v>1</v>
      </c>
      <c r="AI371">
        <v>46228</v>
      </c>
      <c r="AJ371" t="s">
        <v>150</v>
      </c>
    </row>
    <row r="372" spans="1:36" x14ac:dyDescent="0.25">
      <c r="A372" s="1">
        <v>46228</v>
      </c>
      <c r="B372" t="s">
        <v>13</v>
      </c>
      <c r="C372" t="s">
        <v>11</v>
      </c>
      <c r="D372">
        <v>1.2742252699784016</v>
      </c>
      <c r="E372">
        <v>0</v>
      </c>
      <c r="F372">
        <v>0</v>
      </c>
      <c r="G372">
        <v>0.94117647058823517</v>
      </c>
      <c r="H372">
        <v>0</v>
      </c>
      <c r="I372">
        <v>0</v>
      </c>
      <c r="J372">
        <v>0.73862643659875649</v>
      </c>
      <c r="K372">
        <v>0</v>
      </c>
      <c r="L372">
        <v>0</v>
      </c>
      <c r="M372">
        <v>0</v>
      </c>
      <c r="N372">
        <v>0</v>
      </c>
      <c r="O372">
        <v>0</v>
      </c>
      <c r="P372">
        <v>0</v>
      </c>
      <c r="Q372">
        <v>0</v>
      </c>
      <c r="R372">
        <v>0</v>
      </c>
      <c r="S372">
        <v>0</v>
      </c>
      <c r="T372">
        <v>0.73862643659875649</v>
      </c>
      <c r="U372">
        <v>0.26137356340124351</v>
      </c>
      <c r="V372">
        <v>0</v>
      </c>
      <c r="W372">
        <v>0</v>
      </c>
      <c r="X372">
        <v>0</v>
      </c>
      <c r="Y372">
        <v>0</v>
      </c>
      <c r="Z372">
        <v>0</v>
      </c>
      <c r="AA372">
        <v>0</v>
      </c>
      <c r="AB372">
        <v>0</v>
      </c>
      <c r="AC372">
        <v>0</v>
      </c>
      <c r="AD372">
        <v>0</v>
      </c>
      <c r="AE372" t="s">
        <v>166</v>
      </c>
      <c r="AF372">
        <v>10</v>
      </c>
      <c r="AG372" t="s">
        <v>180</v>
      </c>
      <c r="AH372">
        <v>1</v>
      </c>
      <c r="AI372">
        <v>46228</v>
      </c>
      <c r="AJ372" t="s">
        <v>150</v>
      </c>
    </row>
    <row r="373" spans="1:36" x14ac:dyDescent="0.25">
      <c r="A373" s="1">
        <v>46228</v>
      </c>
      <c r="B373" t="s">
        <v>13</v>
      </c>
      <c r="C373" t="s">
        <v>12</v>
      </c>
      <c r="D373">
        <v>3.3729492440604751</v>
      </c>
      <c r="E373">
        <v>2.8499999999999996</v>
      </c>
      <c r="F373">
        <v>2.8499999999999996</v>
      </c>
      <c r="G373">
        <v>3.1003460207612457</v>
      </c>
      <c r="H373">
        <v>0.84495786736745238</v>
      </c>
      <c r="I373">
        <v>0.84495786736745238</v>
      </c>
      <c r="J373">
        <v>0.91917956554511915</v>
      </c>
      <c r="K373">
        <v>0</v>
      </c>
      <c r="L373">
        <v>0</v>
      </c>
      <c r="M373">
        <v>0</v>
      </c>
      <c r="N373">
        <v>0</v>
      </c>
      <c r="O373">
        <v>0</v>
      </c>
      <c r="P373">
        <v>0</v>
      </c>
      <c r="Q373">
        <v>0</v>
      </c>
      <c r="R373">
        <v>0</v>
      </c>
      <c r="S373">
        <v>0</v>
      </c>
      <c r="T373">
        <v>7.4221698177666773E-2</v>
      </c>
      <c r="U373">
        <v>8.0820434454880852E-2</v>
      </c>
      <c r="V373">
        <v>0</v>
      </c>
      <c r="W373">
        <v>0</v>
      </c>
      <c r="X373">
        <v>0</v>
      </c>
      <c r="Y373">
        <v>0.84495786736745238</v>
      </c>
      <c r="Z373">
        <v>0</v>
      </c>
      <c r="AA373">
        <v>0</v>
      </c>
      <c r="AB373">
        <v>0</v>
      </c>
      <c r="AC373">
        <v>0</v>
      </c>
      <c r="AD373">
        <v>0</v>
      </c>
      <c r="AE373" t="s">
        <v>166</v>
      </c>
      <c r="AF373">
        <v>10</v>
      </c>
      <c r="AG373" t="s">
        <v>181</v>
      </c>
      <c r="AH373">
        <v>1</v>
      </c>
      <c r="AI373">
        <v>46228</v>
      </c>
      <c r="AJ373" t="s">
        <v>150</v>
      </c>
    </row>
    <row r="374" spans="1:36" x14ac:dyDescent="0.25">
      <c r="A374" s="1">
        <v>46229</v>
      </c>
      <c r="B374" t="s">
        <v>13</v>
      </c>
      <c r="C374" t="s">
        <v>10</v>
      </c>
      <c r="D374">
        <v>3.507203196674312</v>
      </c>
      <c r="E374">
        <v>4.75</v>
      </c>
      <c r="F374">
        <v>4.75</v>
      </c>
      <c r="G374">
        <v>3.5854779411764701</v>
      </c>
      <c r="H374">
        <v>1.3543555173832424</v>
      </c>
      <c r="I374">
        <v>1.3543555173832424</v>
      </c>
      <c r="J374">
        <v>1.022318280439634</v>
      </c>
      <c r="K374">
        <v>0</v>
      </c>
      <c r="L374">
        <v>0</v>
      </c>
      <c r="M374">
        <v>0.10435551738324245</v>
      </c>
      <c r="N374">
        <v>0</v>
      </c>
      <c r="O374">
        <v>0</v>
      </c>
      <c r="P374">
        <v>0</v>
      </c>
      <c r="Q374">
        <v>2.231828043963402E-2</v>
      </c>
      <c r="R374">
        <v>0</v>
      </c>
      <c r="S374">
        <v>0.22768171956036598</v>
      </c>
      <c r="T374">
        <v>0</v>
      </c>
      <c r="U374">
        <v>0</v>
      </c>
      <c r="V374">
        <v>0</v>
      </c>
      <c r="W374">
        <v>0</v>
      </c>
      <c r="X374">
        <v>0</v>
      </c>
      <c r="Y374">
        <v>1</v>
      </c>
      <c r="Z374">
        <v>0</v>
      </c>
      <c r="AA374">
        <v>0</v>
      </c>
      <c r="AB374">
        <v>0</v>
      </c>
      <c r="AC374">
        <v>0</v>
      </c>
      <c r="AD374">
        <v>0</v>
      </c>
      <c r="AE374" t="s">
        <v>161</v>
      </c>
      <c r="AF374">
        <v>10</v>
      </c>
      <c r="AG374" t="s">
        <v>184</v>
      </c>
      <c r="AI374">
        <v>46229</v>
      </c>
      <c r="AJ374" t="s">
        <v>150</v>
      </c>
    </row>
    <row r="375" spans="1:36" x14ac:dyDescent="0.25">
      <c r="A375" s="1">
        <v>46229</v>
      </c>
      <c r="B375" t="s">
        <v>13</v>
      </c>
      <c r="C375" t="s">
        <v>11</v>
      </c>
      <c r="D375">
        <v>1.2735376146788993</v>
      </c>
      <c r="E375">
        <v>0</v>
      </c>
      <c r="F375">
        <v>0</v>
      </c>
      <c r="G375">
        <v>0.94117647058823517</v>
      </c>
      <c r="H375">
        <v>0</v>
      </c>
      <c r="I375">
        <v>0</v>
      </c>
      <c r="J375">
        <v>0.73902526296840998</v>
      </c>
      <c r="K375">
        <v>0</v>
      </c>
      <c r="L375">
        <v>0</v>
      </c>
      <c r="M375">
        <v>0</v>
      </c>
      <c r="N375">
        <v>0</v>
      </c>
      <c r="O375">
        <v>0</v>
      </c>
      <c r="P375">
        <v>0</v>
      </c>
      <c r="Q375">
        <v>0</v>
      </c>
      <c r="R375">
        <v>0</v>
      </c>
      <c r="S375">
        <v>0</v>
      </c>
      <c r="T375">
        <v>0.73902526296840998</v>
      </c>
      <c r="U375">
        <v>0.26097473703159002</v>
      </c>
      <c r="V375">
        <v>0</v>
      </c>
      <c r="W375">
        <v>0</v>
      </c>
      <c r="X375">
        <v>0</v>
      </c>
      <c r="Y375">
        <v>0</v>
      </c>
      <c r="Z375">
        <v>0</v>
      </c>
      <c r="AA375">
        <v>0</v>
      </c>
      <c r="AB375">
        <v>0</v>
      </c>
      <c r="AC375">
        <v>0</v>
      </c>
      <c r="AD375">
        <v>0</v>
      </c>
      <c r="AE375" t="s">
        <v>161</v>
      </c>
      <c r="AF375">
        <v>10</v>
      </c>
      <c r="AG375" t="s">
        <v>182</v>
      </c>
      <c r="AI375">
        <v>46229</v>
      </c>
      <c r="AJ375" t="s">
        <v>150</v>
      </c>
    </row>
    <row r="376" spans="1:36" x14ac:dyDescent="0.25">
      <c r="A376" s="1">
        <v>46229</v>
      </c>
      <c r="B376" t="s">
        <v>13</v>
      </c>
      <c r="C376" t="s">
        <v>12</v>
      </c>
      <c r="D376">
        <v>3.3711289800323798</v>
      </c>
      <c r="E376">
        <v>1.9</v>
      </c>
      <c r="F376">
        <v>1.9</v>
      </c>
      <c r="G376">
        <v>3.2655709342560537</v>
      </c>
      <c r="H376">
        <v>0.56360940541104732</v>
      </c>
      <c r="I376">
        <v>0.56360940541104732</v>
      </c>
      <c r="J376">
        <v>0.96868762767560668</v>
      </c>
      <c r="K376">
        <v>0</v>
      </c>
      <c r="L376">
        <v>0</v>
      </c>
      <c r="M376">
        <v>0</v>
      </c>
      <c r="N376">
        <v>0</v>
      </c>
      <c r="O376">
        <v>0</v>
      </c>
      <c r="P376">
        <v>0</v>
      </c>
      <c r="Q376">
        <v>0</v>
      </c>
      <c r="R376">
        <v>0</v>
      </c>
      <c r="S376">
        <v>0</v>
      </c>
      <c r="T376">
        <v>0.40507822226455936</v>
      </c>
      <c r="U376">
        <v>3.1312372324393323E-2</v>
      </c>
      <c r="V376">
        <v>0</v>
      </c>
      <c r="W376">
        <v>0</v>
      </c>
      <c r="X376">
        <v>0</v>
      </c>
      <c r="Y376">
        <v>0.56360940541104732</v>
      </c>
      <c r="Z376">
        <v>0</v>
      </c>
      <c r="AA376">
        <v>0</v>
      </c>
      <c r="AB376">
        <v>0</v>
      </c>
      <c r="AC376">
        <v>0</v>
      </c>
      <c r="AD376">
        <v>0</v>
      </c>
      <c r="AE376" t="s">
        <v>161</v>
      </c>
      <c r="AF376">
        <v>10</v>
      </c>
      <c r="AG376" t="s">
        <v>183</v>
      </c>
      <c r="AI376">
        <v>46229</v>
      </c>
      <c r="AJ376" t="s">
        <v>150</v>
      </c>
    </row>
    <row r="377" spans="1:36" x14ac:dyDescent="0.25">
      <c r="A377" s="1">
        <v>46229</v>
      </c>
      <c r="B377" t="s">
        <v>13</v>
      </c>
      <c r="C377" t="s">
        <v>10</v>
      </c>
      <c r="D377">
        <v>3.5134887958963281</v>
      </c>
      <c r="E377">
        <v>4.75</v>
      </c>
      <c r="F377">
        <v>4.75</v>
      </c>
      <c r="G377">
        <v>3.5854779411764701</v>
      </c>
      <c r="H377">
        <v>1.351932587787924</v>
      </c>
      <c r="I377">
        <v>1.351932587787924</v>
      </c>
      <c r="J377">
        <v>1.0204893624149944</v>
      </c>
      <c r="K377">
        <v>0</v>
      </c>
      <c r="L377">
        <v>0</v>
      </c>
      <c r="M377">
        <v>0.10193258778792402</v>
      </c>
      <c r="N377">
        <v>0</v>
      </c>
      <c r="O377">
        <v>0</v>
      </c>
      <c r="P377">
        <v>0</v>
      </c>
      <c r="Q377">
        <v>2.0489362414994439E-2</v>
      </c>
      <c r="R377">
        <v>0</v>
      </c>
      <c r="S377">
        <v>0.22951063758500556</v>
      </c>
      <c r="T377">
        <v>0</v>
      </c>
      <c r="U377">
        <v>0</v>
      </c>
      <c r="V377">
        <v>0</v>
      </c>
      <c r="W377">
        <v>0</v>
      </c>
      <c r="X377">
        <v>0</v>
      </c>
      <c r="Y377">
        <v>1</v>
      </c>
      <c r="Z377">
        <v>0</v>
      </c>
      <c r="AA377">
        <v>0</v>
      </c>
      <c r="AB377">
        <v>0</v>
      </c>
      <c r="AC377">
        <v>0</v>
      </c>
      <c r="AD377">
        <v>0</v>
      </c>
      <c r="AE377" t="s">
        <v>166</v>
      </c>
      <c r="AF377">
        <v>10</v>
      </c>
      <c r="AG377" t="s">
        <v>184</v>
      </c>
      <c r="AH377">
        <v>1</v>
      </c>
      <c r="AI377">
        <v>46229</v>
      </c>
      <c r="AJ377" t="s">
        <v>150</v>
      </c>
    </row>
    <row r="378" spans="1:36" x14ac:dyDescent="0.25">
      <c r="A378" s="1">
        <v>46229</v>
      </c>
      <c r="B378" t="s">
        <v>13</v>
      </c>
      <c r="C378" t="s">
        <v>11</v>
      </c>
      <c r="D378">
        <v>1.2742252699784016</v>
      </c>
      <c r="E378">
        <v>0</v>
      </c>
      <c r="F378">
        <v>0</v>
      </c>
      <c r="G378">
        <v>0.94117647058823517</v>
      </c>
      <c r="H378">
        <v>0</v>
      </c>
      <c r="I378">
        <v>0</v>
      </c>
      <c r="J378">
        <v>0.73862643659875649</v>
      </c>
      <c r="K378">
        <v>0</v>
      </c>
      <c r="L378">
        <v>0</v>
      </c>
      <c r="M378">
        <v>0</v>
      </c>
      <c r="N378">
        <v>0</v>
      </c>
      <c r="O378">
        <v>0</v>
      </c>
      <c r="P378">
        <v>0</v>
      </c>
      <c r="Q378">
        <v>0</v>
      </c>
      <c r="R378">
        <v>0</v>
      </c>
      <c r="S378">
        <v>0</v>
      </c>
      <c r="T378">
        <v>0.73862643659875649</v>
      </c>
      <c r="U378">
        <v>0.26137356340124351</v>
      </c>
      <c r="V378">
        <v>0</v>
      </c>
      <c r="W378">
        <v>0</v>
      </c>
      <c r="X378">
        <v>0</v>
      </c>
      <c r="Y378">
        <v>0</v>
      </c>
      <c r="Z378">
        <v>0</v>
      </c>
      <c r="AA378">
        <v>0</v>
      </c>
      <c r="AB378">
        <v>0</v>
      </c>
      <c r="AC378">
        <v>0</v>
      </c>
      <c r="AD378">
        <v>0</v>
      </c>
      <c r="AE378" t="s">
        <v>166</v>
      </c>
      <c r="AF378">
        <v>10</v>
      </c>
      <c r="AG378" t="s">
        <v>182</v>
      </c>
      <c r="AH378">
        <v>1</v>
      </c>
      <c r="AI378">
        <v>46229</v>
      </c>
      <c r="AJ378" t="s">
        <v>150</v>
      </c>
    </row>
    <row r="379" spans="1:36" x14ac:dyDescent="0.25">
      <c r="A379" s="1">
        <v>46229</v>
      </c>
      <c r="B379" t="s">
        <v>13</v>
      </c>
      <c r="C379" t="s">
        <v>12</v>
      </c>
      <c r="D379">
        <v>3.3729492440604751</v>
      </c>
      <c r="E379">
        <v>1.9</v>
      </c>
      <c r="F379">
        <v>1.9</v>
      </c>
      <c r="G379">
        <v>3.2655709342560537</v>
      </c>
      <c r="H379">
        <v>0.56330524491163492</v>
      </c>
      <c r="I379">
        <v>0.56330524491163492</v>
      </c>
      <c r="J379">
        <v>0.96816486047232786</v>
      </c>
      <c r="K379">
        <v>0</v>
      </c>
      <c r="L379">
        <v>0</v>
      </c>
      <c r="M379">
        <v>0</v>
      </c>
      <c r="N379">
        <v>0</v>
      </c>
      <c r="O379">
        <v>0</v>
      </c>
      <c r="P379">
        <v>0</v>
      </c>
      <c r="Q379">
        <v>0</v>
      </c>
      <c r="R379">
        <v>0</v>
      </c>
      <c r="S379">
        <v>0</v>
      </c>
      <c r="T379">
        <v>0.40485961556069294</v>
      </c>
      <c r="U379">
        <v>3.1835139527672141E-2</v>
      </c>
      <c r="V379">
        <v>0</v>
      </c>
      <c r="W379">
        <v>0</v>
      </c>
      <c r="X379">
        <v>0</v>
      </c>
      <c r="Y379">
        <v>0.56330524491163492</v>
      </c>
      <c r="Z379">
        <v>0</v>
      </c>
      <c r="AA379">
        <v>0</v>
      </c>
      <c r="AB379">
        <v>0</v>
      </c>
      <c r="AC379">
        <v>0</v>
      </c>
      <c r="AD379">
        <v>0</v>
      </c>
      <c r="AE379" t="s">
        <v>166</v>
      </c>
      <c r="AF379">
        <v>10</v>
      </c>
      <c r="AG379" t="s">
        <v>183</v>
      </c>
      <c r="AH379">
        <v>1</v>
      </c>
      <c r="AI379">
        <v>46229</v>
      </c>
      <c r="AJ379" t="s">
        <v>150</v>
      </c>
    </row>
    <row r="380" spans="1:36" x14ac:dyDescent="0.25">
      <c r="A380" s="1">
        <v>46230</v>
      </c>
      <c r="B380" t="s">
        <v>13</v>
      </c>
      <c r="C380" t="s">
        <v>12</v>
      </c>
      <c r="D380">
        <v>3.3711289800323798</v>
      </c>
      <c r="E380">
        <v>3.8</v>
      </c>
      <c r="F380">
        <v>3.8</v>
      </c>
      <c r="G380">
        <v>3.1548442906574392</v>
      </c>
      <c r="H380">
        <v>1.1272188108220946</v>
      </c>
      <c r="I380">
        <v>1.1272188108220946</v>
      </c>
      <c r="J380">
        <v>0.93584206043256668</v>
      </c>
      <c r="K380">
        <v>0</v>
      </c>
      <c r="L380">
        <v>0</v>
      </c>
      <c r="M380">
        <v>0</v>
      </c>
      <c r="N380">
        <v>0</v>
      </c>
      <c r="O380">
        <v>0</v>
      </c>
      <c r="P380">
        <v>0</v>
      </c>
      <c r="Q380">
        <v>0</v>
      </c>
      <c r="R380">
        <v>0</v>
      </c>
      <c r="S380">
        <v>0.12721881082209463</v>
      </c>
      <c r="T380">
        <v>0</v>
      </c>
      <c r="U380">
        <v>0</v>
      </c>
      <c r="V380">
        <v>0</v>
      </c>
      <c r="W380">
        <v>6.415793956743332E-2</v>
      </c>
      <c r="X380">
        <v>0</v>
      </c>
      <c r="Y380">
        <v>0.93584206043256668</v>
      </c>
      <c r="Z380">
        <v>0</v>
      </c>
      <c r="AA380">
        <v>0</v>
      </c>
      <c r="AB380">
        <v>0</v>
      </c>
      <c r="AC380">
        <v>0</v>
      </c>
      <c r="AD380">
        <v>0</v>
      </c>
      <c r="AE380" t="s">
        <v>161</v>
      </c>
      <c r="AF380">
        <v>10</v>
      </c>
      <c r="AG380" t="s">
        <v>185</v>
      </c>
      <c r="AI380">
        <v>46230</v>
      </c>
      <c r="AJ380" t="s">
        <v>150</v>
      </c>
    </row>
    <row r="381" spans="1:36" x14ac:dyDescent="0.25">
      <c r="A381" s="1">
        <v>46230</v>
      </c>
      <c r="B381" t="s">
        <v>13</v>
      </c>
      <c r="C381" t="s">
        <v>11</v>
      </c>
      <c r="D381">
        <v>1.2735376146788993</v>
      </c>
      <c r="E381">
        <v>0</v>
      </c>
      <c r="F381">
        <v>0</v>
      </c>
      <c r="G381">
        <v>0.94117647058823517</v>
      </c>
      <c r="H381">
        <v>0</v>
      </c>
      <c r="I381">
        <v>0</v>
      </c>
      <c r="J381">
        <v>0.73902526296840998</v>
      </c>
      <c r="K381">
        <v>0</v>
      </c>
      <c r="L381">
        <v>0</v>
      </c>
      <c r="M381">
        <v>0</v>
      </c>
      <c r="N381">
        <v>0</v>
      </c>
      <c r="O381">
        <v>0</v>
      </c>
      <c r="P381">
        <v>0</v>
      </c>
      <c r="Q381">
        <v>0</v>
      </c>
      <c r="R381">
        <v>0</v>
      </c>
      <c r="S381">
        <v>0</v>
      </c>
      <c r="T381">
        <v>0.73902526296840998</v>
      </c>
      <c r="U381">
        <v>0.26097473703159002</v>
      </c>
      <c r="V381">
        <v>0</v>
      </c>
      <c r="W381">
        <v>0</v>
      </c>
      <c r="X381">
        <v>0</v>
      </c>
      <c r="Y381">
        <v>0</v>
      </c>
      <c r="Z381">
        <v>0</v>
      </c>
      <c r="AA381">
        <v>0</v>
      </c>
      <c r="AB381">
        <v>0</v>
      </c>
      <c r="AC381">
        <v>0</v>
      </c>
      <c r="AD381">
        <v>0</v>
      </c>
      <c r="AE381" t="s">
        <v>161</v>
      </c>
      <c r="AF381">
        <v>10</v>
      </c>
      <c r="AG381" t="s">
        <v>187</v>
      </c>
      <c r="AI381">
        <v>46230</v>
      </c>
      <c r="AJ381" t="s">
        <v>150</v>
      </c>
    </row>
    <row r="382" spans="1:36" x14ac:dyDescent="0.25">
      <c r="A382" s="1">
        <v>46230</v>
      </c>
      <c r="B382" t="s">
        <v>13</v>
      </c>
      <c r="C382" t="s">
        <v>10</v>
      </c>
      <c r="D382">
        <v>3.5072031966743116</v>
      </c>
      <c r="E382">
        <v>4.75</v>
      </c>
      <c r="F382">
        <v>4.75</v>
      </c>
      <c r="G382">
        <v>1.703125</v>
      </c>
      <c r="H382">
        <v>1.3543555173832427</v>
      </c>
      <c r="I382">
        <v>1.3543555173832427</v>
      </c>
      <c r="J382">
        <v>0.48560773485122849</v>
      </c>
      <c r="K382">
        <v>0</v>
      </c>
      <c r="L382">
        <v>0</v>
      </c>
      <c r="M382">
        <v>0.10435551738324267</v>
      </c>
      <c r="N382">
        <v>0</v>
      </c>
      <c r="O382">
        <v>0</v>
      </c>
      <c r="P382">
        <v>0</v>
      </c>
      <c r="Q382">
        <v>0</v>
      </c>
      <c r="R382">
        <v>0</v>
      </c>
      <c r="S382">
        <v>0.25</v>
      </c>
      <c r="T382">
        <v>0</v>
      </c>
      <c r="U382">
        <v>0</v>
      </c>
      <c r="V382">
        <v>0</v>
      </c>
      <c r="W382">
        <v>0.51439226514877157</v>
      </c>
      <c r="X382">
        <v>0</v>
      </c>
      <c r="Y382">
        <v>0.48560773485122849</v>
      </c>
      <c r="Z382">
        <v>0</v>
      </c>
      <c r="AA382">
        <v>0</v>
      </c>
      <c r="AB382">
        <v>0</v>
      </c>
      <c r="AC382">
        <v>0</v>
      </c>
      <c r="AD382">
        <v>0</v>
      </c>
      <c r="AE382" t="s">
        <v>161</v>
      </c>
      <c r="AF382">
        <v>10</v>
      </c>
      <c r="AG382" t="s">
        <v>186</v>
      </c>
      <c r="AI382">
        <v>46230</v>
      </c>
      <c r="AJ382" t="s">
        <v>150</v>
      </c>
    </row>
    <row r="383" spans="1:36" x14ac:dyDescent="0.25">
      <c r="A383" s="1">
        <v>46230</v>
      </c>
      <c r="B383" t="s">
        <v>13</v>
      </c>
      <c r="C383" t="s">
        <v>12</v>
      </c>
      <c r="D383">
        <v>3.3729492440604751</v>
      </c>
      <c r="E383">
        <v>3.8</v>
      </c>
      <c r="F383">
        <v>3.8</v>
      </c>
      <c r="G383">
        <v>3.1548442906574392</v>
      </c>
      <c r="H383">
        <v>1.1266104898232698</v>
      </c>
      <c r="I383">
        <v>1.1266104898232698</v>
      </c>
      <c r="J383">
        <v>0.93533701884571685</v>
      </c>
      <c r="K383">
        <v>0</v>
      </c>
      <c r="L383">
        <v>0</v>
      </c>
      <c r="M383">
        <v>0</v>
      </c>
      <c r="N383">
        <v>0</v>
      </c>
      <c r="O383">
        <v>0</v>
      </c>
      <c r="P383">
        <v>0</v>
      </c>
      <c r="Q383">
        <v>0</v>
      </c>
      <c r="R383">
        <v>0</v>
      </c>
      <c r="S383">
        <v>0.12661048982326983</v>
      </c>
      <c r="T383">
        <v>0</v>
      </c>
      <c r="U383">
        <v>0</v>
      </c>
      <c r="V383">
        <v>0</v>
      </c>
      <c r="W383">
        <v>6.466298115428315E-2</v>
      </c>
      <c r="X383">
        <v>0</v>
      </c>
      <c r="Y383">
        <v>0.93533701884571685</v>
      </c>
      <c r="Z383">
        <v>0</v>
      </c>
      <c r="AA383">
        <v>0</v>
      </c>
      <c r="AB383">
        <v>0</v>
      </c>
      <c r="AC383">
        <v>0</v>
      </c>
      <c r="AD383">
        <v>0</v>
      </c>
      <c r="AE383" t="s">
        <v>166</v>
      </c>
      <c r="AF383">
        <v>10</v>
      </c>
      <c r="AG383" t="s">
        <v>185</v>
      </c>
      <c r="AH383">
        <v>1</v>
      </c>
      <c r="AI383">
        <v>46230</v>
      </c>
      <c r="AJ383" t="s">
        <v>150</v>
      </c>
    </row>
    <row r="384" spans="1:36" x14ac:dyDescent="0.25">
      <c r="A384" s="1">
        <v>46230</v>
      </c>
      <c r="B384" t="s">
        <v>13</v>
      </c>
      <c r="C384" t="s">
        <v>11</v>
      </c>
      <c r="D384">
        <v>1.2742252699784016</v>
      </c>
      <c r="E384">
        <v>0</v>
      </c>
      <c r="F384">
        <v>0</v>
      </c>
      <c r="G384">
        <v>0.94117647058823517</v>
      </c>
      <c r="H384">
        <v>0</v>
      </c>
      <c r="I384">
        <v>0</v>
      </c>
      <c r="J384">
        <v>0.73862643659875649</v>
      </c>
      <c r="K384">
        <v>0</v>
      </c>
      <c r="L384">
        <v>0</v>
      </c>
      <c r="M384">
        <v>0</v>
      </c>
      <c r="N384">
        <v>0</v>
      </c>
      <c r="O384">
        <v>0</v>
      </c>
      <c r="P384">
        <v>0</v>
      </c>
      <c r="Q384">
        <v>0</v>
      </c>
      <c r="R384">
        <v>0</v>
      </c>
      <c r="S384">
        <v>0</v>
      </c>
      <c r="T384">
        <v>0.73862643659875649</v>
      </c>
      <c r="U384">
        <v>0.26137356340124351</v>
      </c>
      <c r="V384">
        <v>0</v>
      </c>
      <c r="W384">
        <v>0</v>
      </c>
      <c r="X384">
        <v>0</v>
      </c>
      <c r="Y384">
        <v>0</v>
      </c>
      <c r="Z384">
        <v>0</v>
      </c>
      <c r="AA384">
        <v>0</v>
      </c>
      <c r="AB384">
        <v>0</v>
      </c>
      <c r="AC384">
        <v>0</v>
      </c>
      <c r="AD384">
        <v>0</v>
      </c>
      <c r="AE384" t="s">
        <v>166</v>
      </c>
      <c r="AF384">
        <v>10</v>
      </c>
      <c r="AG384" t="s">
        <v>187</v>
      </c>
      <c r="AH384">
        <v>1</v>
      </c>
      <c r="AI384">
        <v>46230</v>
      </c>
      <c r="AJ384" t="s">
        <v>150</v>
      </c>
    </row>
    <row r="385" spans="1:36" x14ac:dyDescent="0.25">
      <c r="A385" s="1">
        <v>46230</v>
      </c>
      <c r="B385" t="s">
        <v>13</v>
      </c>
      <c r="C385" t="s">
        <v>10</v>
      </c>
      <c r="D385">
        <v>3.5134887958963268</v>
      </c>
      <c r="E385">
        <v>4.75</v>
      </c>
      <c r="F385">
        <v>4.75</v>
      </c>
      <c r="G385">
        <v>1.703125</v>
      </c>
      <c r="H385">
        <v>1.3519325877879245</v>
      </c>
      <c r="I385">
        <v>1.3519325877879245</v>
      </c>
      <c r="J385">
        <v>0.48473898706869661</v>
      </c>
      <c r="K385">
        <v>0</v>
      </c>
      <c r="L385">
        <v>0</v>
      </c>
      <c r="M385">
        <v>0.10193258778792447</v>
      </c>
      <c r="N385">
        <v>0</v>
      </c>
      <c r="O385">
        <v>0</v>
      </c>
      <c r="P385">
        <v>0</v>
      </c>
      <c r="Q385">
        <v>0</v>
      </c>
      <c r="R385">
        <v>0</v>
      </c>
      <c r="S385">
        <v>0.25</v>
      </c>
      <c r="T385">
        <v>0</v>
      </c>
      <c r="U385">
        <v>0</v>
      </c>
      <c r="V385">
        <v>0</v>
      </c>
      <c r="W385">
        <v>0.51526101293130333</v>
      </c>
      <c r="X385">
        <v>0</v>
      </c>
      <c r="Y385">
        <v>0.48473898706869661</v>
      </c>
      <c r="Z385">
        <v>0</v>
      </c>
      <c r="AA385">
        <v>0</v>
      </c>
      <c r="AB385">
        <v>0</v>
      </c>
      <c r="AC385">
        <v>0</v>
      </c>
      <c r="AD385">
        <v>0</v>
      </c>
      <c r="AE385" t="s">
        <v>166</v>
      </c>
      <c r="AF385">
        <v>10</v>
      </c>
      <c r="AG385" t="s">
        <v>186</v>
      </c>
      <c r="AH385">
        <v>1</v>
      </c>
      <c r="AI385">
        <v>46230</v>
      </c>
      <c r="AJ385" t="s">
        <v>150</v>
      </c>
    </row>
    <row r="386" spans="1:36" x14ac:dyDescent="0.25">
      <c r="A386" s="1">
        <v>46231</v>
      </c>
      <c r="B386" t="s">
        <v>13</v>
      </c>
      <c r="C386" t="s">
        <v>11</v>
      </c>
      <c r="D386">
        <v>1.2735376146788993</v>
      </c>
      <c r="E386">
        <v>0</v>
      </c>
      <c r="F386">
        <v>0</v>
      </c>
      <c r="G386">
        <v>0.94117647058823517</v>
      </c>
      <c r="H386">
        <v>0</v>
      </c>
      <c r="I386">
        <v>0</v>
      </c>
      <c r="J386">
        <v>0.73902526296840998</v>
      </c>
      <c r="K386">
        <v>0</v>
      </c>
      <c r="L386">
        <v>0</v>
      </c>
      <c r="M386">
        <v>0</v>
      </c>
      <c r="N386">
        <v>0</v>
      </c>
      <c r="O386">
        <v>0</v>
      </c>
      <c r="P386">
        <v>0</v>
      </c>
      <c r="Q386">
        <v>0</v>
      </c>
      <c r="R386">
        <v>0</v>
      </c>
      <c r="S386">
        <v>0</v>
      </c>
      <c r="T386">
        <v>0.73902526296840998</v>
      </c>
      <c r="U386">
        <v>0.26097473703159002</v>
      </c>
      <c r="V386">
        <v>0</v>
      </c>
      <c r="W386">
        <v>0</v>
      </c>
      <c r="X386">
        <v>0</v>
      </c>
      <c r="Y386">
        <v>0</v>
      </c>
      <c r="Z386">
        <v>0</v>
      </c>
      <c r="AA386">
        <v>0</v>
      </c>
      <c r="AB386">
        <v>0</v>
      </c>
      <c r="AC386">
        <v>0</v>
      </c>
      <c r="AD386">
        <v>0</v>
      </c>
      <c r="AE386" t="s">
        <v>161</v>
      </c>
      <c r="AF386">
        <v>10</v>
      </c>
      <c r="AG386" t="s">
        <v>189</v>
      </c>
      <c r="AI386">
        <v>46231</v>
      </c>
      <c r="AJ386" t="s">
        <v>150</v>
      </c>
    </row>
    <row r="387" spans="1:36" x14ac:dyDescent="0.25">
      <c r="A387" s="1">
        <v>46231</v>
      </c>
      <c r="B387" t="s">
        <v>13</v>
      </c>
      <c r="C387" t="s">
        <v>12</v>
      </c>
      <c r="D387">
        <v>3.3711289800323798</v>
      </c>
      <c r="E387">
        <v>1.9</v>
      </c>
      <c r="F387">
        <v>1.9</v>
      </c>
      <c r="G387">
        <v>3.5415224913494807</v>
      </c>
      <c r="H387">
        <v>0.56360940541104732</v>
      </c>
      <c r="I387">
        <v>0.56360940541104732</v>
      </c>
      <c r="J387">
        <v>1.050544939789122</v>
      </c>
      <c r="K387">
        <v>5.0544939789122001E-2</v>
      </c>
      <c r="L387">
        <v>0</v>
      </c>
      <c r="M387">
        <v>0</v>
      </c>
      <c r="N387">
        <v>0</v>
      </c>
      <c r="O387">
        <v>0</v>
      </c>
      <c r="P387">
        <v>0</v>
      </c>
      <c r="Q387">
        <v>0</v>
      </c>
      <c r="R387">
        <v>0</v>
      </c>
      <c r="S387">
        <v>0</v>
      </c>
      <c r="T387">
        <v>0.43639059458895268</v>
      </c>
      <c r="U387">
        <v>0</v>
      </c>
      <c r="V387">
        <v>0</v>
      </c>
      <c r="W387">
        <v>0</v>
      </c>
      <c r="X387">
        <v>0</v>
      </c>
      <c r="Y387">
        <v>0.56360940541104732</v>
      </c>
      <c r="Z387">
        <v>0</v>
      </c>
      <c r="AA387">
        <v>0</v>
      </c>
      <c r="AB387">
        <v>0</v>
      </c>
      <c r="AC387">
        <v>0</v>
      </c>
      <c r="AD387">
        <v>0</v>
      </c>
      <c r="AE387" t="s">
        <v>161</v>
      </c>
      <c r="AF387">
        <v>10</v>
      </c>
      <c r="AG387" t="s">
        <v>188</v>
      </c>
      <c r="AI387">
        <v>46231</v>
      </c>
      <c r="AJ387" t="s">
        <v>150</v>
      </c>
    </row>
    <row r="388" spans="1:36" x14ac:dyDescent="0.25">
      <c r="A388" s="1">
        <v>46231</v>
      </c>
      <c r="B388" t="s">
        <v>13</v>
      </c>
      <c r="C388" t="s">
        <v>10</v>
      </c>
      <c r="D388">
        <v>7.014406393348624</v>
      </c>
      <c r="E388">
        <v>4.75</v>
      </c>
      <c r="F388">
        <v>4.75</v>
      </c>
      <c r="G388">
        <v>5.2297794117647047</v>
      </c>
      <c r="H388">
        <v>0.67717775869162122</v>
      </c>
      <c r="I388">
        <v>0.67717775869162122</v>
      </c>
      <c r="J388">
        <v>0.74557690537061228</v>
      </c>
      <c r="K388">
        <v>0</v>
      </c>
      <c r="L388">
        <v>0</v>
      </c>
      <c r="M388">
        <v>0</v>
      </c>
      <c r="N388">
        <v>0</v>
      </c>
      <c r="O388">
        <v>0</v>
      </c>
      <c r="P388">
        <v>0</v>
      </c>
      <c r="Q388">
        <v>0</v>
      </c>
      <c r="R388">
        <v>0</v>
      </c>
      <c r="S388">
        <v>0</v>
      </c>
      <c r="T388">
        <v>6.8399146678991052E-2</v>
      </c>
      <c r="U388">
        <v>0.25442309462938772</v>
      </c>
      <c r="V388">
        <v>0</v>
      </c>
      <c r="W388">
        <v>0</v>
      </c>
      <c r="X388">
        <v>0</v>
      </c>
      <c r="Y388">
        <v>0.67717775869162122</v>
      </c>
      <c r="Z388">
        <v>0</v>
      </c>
      <c r="AA388">
        <v>0</v>
      </c>
      <c r="AB388">
        <v>0</v>
      </c>
      <c r="AC388">
        <v>0</v>
      </c>
      <c r="AD388">
        <v>0</v>
      </c>
      <c r="AE388" t="s">
        <v>161</v>
      </c>
      <c r="AF388">
        <v>10</v>
      </c>
      <c r="AG388" t="s">
        <v>190</v>
      </c>
      <c r="AI388">
        <v>46231</v>
      </c>
      <c r="AJ388" t="s">
        <v>150</v>
      </c>
    </row>
    <row r="389" spans="1:36" x14ac:dyDescent="0.25">
      <c r="A389" s="1">
        <v>46231</v>
      </c>
      <c r="B389" t="s">
        <v>13</v>
      </c>
      <c r="C389" t="s">
        <v>11</v>
      </c>
      <c r="D389">
        <v>1.2742252699784016</v>
      </c>
      <c r="E389">
        <v>0</v>
      </c>
      <c r="F389">
        <v>0</v>
      </c>
      <c r="G389">
        <v>0.94117647058823517</v>
      </c>
      <c r="H389">
        <v>0</v>
      </c>
      <c r="I389">
        <v>0</v>
      </c>
      <c r="J389">
        <v>0.73862643659875649</v>
      </c>
      <c r="K389">
        <v>0</v>
      </c>
      <c r="L389">
        <v>0</v>
      </c>
      <c r="M389">
        <v>0</v>
      </c>
      <c r="N389">
        <v>0</v>
      </c>
      <c r="O389">
        <v>0</v>
      </c>
      <c r="P389">
        <v>0</v>
      </c>
      <c r="Q389">
        <v>0</v>
      </c>
      <c r="R389">
        <v>0</v>
      </c>
      <c r="S389">
        <v>0</v>
      </c>
      <c r="T389">
        <v>0.73862643659875649</v>
      </c>
      <c r="U389">
        <v>0.26137356340124351</v>
      </c>
      <c r="V389">
        <v>0</v>
      </c>
      <c r="W389">
        <v>0</v>
      </c>
      <c r="X389">
        <v>0</v>
      </c>
      <c r="Y389">
        <v>0</v>
      </c>
      <c r="Z389">
        <v>0</v>
      </c>
      <c r="AA389">
        <v>0</v>
      </c>
      <c r="AB389">
        <v>0</v>
      </c>
      <c r="AC389">
        <v>0</v>
      </c>
      <c r="AD389">
        <v>0</v>
      </c>
      <c r="AE389" t="s">
        <v>166</v>
      </c>
      <c r="AF389">
        <v>10</v>
      </c>
      <c r="AG389" t="s">
        <v>189</v>
      </c>
      <c r="AH389">
        <v>1</v>
      </c>
      <c r="AI389">
        <v>46231</v>
      </c>
      <c r="AJ389" t="s">
        <v>150</v>
      </c>
    </row>
    <row r="390" spans="1:36" x14ac:dyDescent="0.25">
      <c r="A390" s="1">
        <v>46231</v>
      </c>
      <c r="B390" t="s">
        <v>13</v>
      </c>
      <c r="C390" t="s">
        <v>12</v>
      </c>
      <c r="D390">
        <v>3.3729492440604751</v>
      </c>
      <c r="E390">
        <v>1.9</v>
      </c>
      <c r="F390">
        <v>1.9</v>
      </c>
      <c r="G390">
        <v>3.5415224913494807</v>
      </c>
      <c r="H390">
        <v>0.56330524491163492</v>
      </c>
      <c r="I390">
        <v>0.56330524491163492</v>
      </c>
      <c r="J390">
        <v>1.0499779970261489</v>
      </c>
      <c r="K390">
        <v>4.9977997026148913E-2</v>
      </c>
      <c r="L390">
        <v>0</v>
      </c>
      <c r="M390">
        <v>0</v>
      </c>
      <c r="N390">
        <v>0</v>
      </c>
      <c r="O390">
        <v>0</v>
      </c>
      <c r="P390">
        <v>0</v>
      </c>
      <c r="Q390">
        <v>0</v>
      </c>
      <c r="R390">
        <v>0</v>
      </c>
      <c r="S390">
        <v>0</v>
      </c>
      <c r="T390">
        <v>0.43669475508836508</v>
      </c>
      <c r="U390">
        <v>0</v>
      </c>
      <c r="V390">
        <v>0</v>
      </c>
      <c r="W390">
        <v>0</v>
      </c>
      <c r="X390">
        <v>0</v>
      </c>
      <c r="Y390">
        <v>0.56330524491163492</v>
      </c>
      <c r="Z390">
        <v>0</v>
      </c>
      <c r="AA390">
        <v>0</v>
      </c>
      <c r="AB390">
        <v>0</v>
      </c>
      <c r="AC390">
        <v>0</v>
      </c>
      <c r="AD390">
        <v>0</v>
      </c>
      <c r="AE390" t="s">
        <v>166</v>
      </c>
      <c r="AF390">
        <v>10</v>
      </c>
      <c r="AG390" t="s">
        <v>188</v>
      </c>
      <c r="AH390">
        <v>1</v>
      </c>
      <c r="AI390">
        <v>46231</v>
      </c>
      <c r="AJ390" t="s">
        <v>150</v>
      </c>
    </row>
    <row r="391" spans="1:36" x14ac:dyDescent="0.25">
      <c r="A391" s="1">
        <v>46231</v>
      </c>
      <c r="B391" t="s">
        <v>13</v>
      </c>
      <c r="C391" t="s">
        <v>10</v>
      </c>
      <c r="D391">
        <v>7.0269775917926545</v>
      </c>
      <c r="E391">
        <v>4.75</v>
      </c>
      <c r="F391">
        <v>4.75</v>
      </c>
      <c r="G391">
        <v>5.2297794117647047</v>
      </c>
      <c r="H391">
        <v>0.67596629389396212</v>
      </c>
      <c r="I391">
        <v>0.67596629389396212</v>
      </c>
      <c r="J391">
        <v>0.74424307512705956</v>
      </c>
      <c r="K391">
        <v>0</v>
      </c>
      <c r="L391">
        <v>0</v>
      </c>
      <c r="M391">
        <v>0</v>
      </c>
      <c r="N391">
        <v>0</v>
      </c>
      <c r="O391">
        <v>0</v>
      </c>
      <c r="P391">
        <v>0</v>
      </c>
      <c r="Q391">
        <v>0</v>
      </c>
      <c r="R391">
        <v>0</v>
      </c>
      <c r="S391">
        <v>0</v>
      </c>
      <c r="T391">
        <v>6.8276781233097439E-2</v>
      </c>
      <c r="U391">
        <v>0.25575692487294044</v>
      </c>
      <c r="V391">
        <v>0</v>
      </c>
      <c r="W391">
        <v>0</v>
      </c>
      <c r="X391">
        <v>0</v>
      </c>
      <c r="Y391">
        <v>0.67596629389396212</v>
      </c>
      <c r="Z391">
        <v>0</v>
      </c>
      <c r="AA391">
        <v>0</v>
      </c>
      <c r="AB391">
        <v>0</v>
      </c>
      <c r="AC391">
        <v>0</v>
      </c>
      <c r="AD391">
        <v>0</v>
      </c>
      <c r="AE391" t="s">
        <v>166</v>
      </c>
      <c r="AF391">
        <v>10</v>
      </c>
      <c r="AG391" t="s">
        <v>190</v>
      </c>
      <c r="AH391">
        <v>1</v>
      </c>
      <c r="AI391">
        <v>46231</v>
      </c>
      <c r="AJ391" t="s">
        <v>150</v>
      </c>
    </row>
    <row r="392" spans="1:36" x14ac:dyDescent="0.25">
      <c r="A392" s="1">
        <v>46232</v>
      </c>
      <c r="B392" t="s">
        <v>13</v>
      </c>
      <c r="C392" t="s">
        <v>12</v>
      </c>
      <c r="D392">
        <v>2.2474193200215873</v>
      </c>
      <c r="E392">
        <v>4.75</v>
      </c>
      <c r="F392">
        <v>4.75</v>
      </c>
      <c r="G392">
        <v>2.5449826989619382</v>
      </c>
      <c r="H392">
        <v>2.1135352702914267</v>
      </c>
      <c r="I392">
        <v>2.1135352702914267</v>
      </c>
      <c r="J392">
        <v>1.1324022519026369</v>
      </c>
      <c r="K392">
        <v>0</v>
      </c>
      <c r="L392">
        <v>0</v>
      </c>
      <c r="M392">
        <v>0.86353527029142674</v>
      </c>
      <c r="N392">
        <v>0</v>
      </c>
      <c r="O392">
        <v>0</v>
      </c>
      <c r="P392">
        <v>0</v>
      </c>
      <c r="Q392">
        <v>0.13240225190263688</v>
      </c>
      <c r="R392">
        <v>0</v>
      </c>
      <c r="S392">
        <v>0.11759774809736312</v>
      </c>
      <c r="T392">
        <v>0</v>
      </c>
      <c r="U392">
        <v>0</v>
      </c>
      <c r="V392">
        <v>0</v>
      </c>
      <c r="W392">
        <v>0</v>
      </c>
      <c r="X392">
        <v>0</v>
      </c>
      <c r="Y392">
        <v>1</v>
      </c>
      <c r="Z392">
        <v>0</v>
      </c>
      <c r="AA392">
        <v>0</v>
      </c>
      <c r="AB392">
        <v>0</v>
      </c>
      <c r="AC392">
        <v>0</v>
      </c>
      <c r="AD392">
        <v>0</v>
      </c>
      <c r="AE392" t="s">
        <v>161</v>
      </c>
      <c r="AF392">
        <v>10</v>
      </c>
      <c r="AG392" t="s">
        <v>192</v>
      </c>
      <c r="AI392">
        <v>46232</v>
      </c>
      <c r="AJ392" t="s">
        <v>150</v>
      </c>
    </row>
    <row r="393" spans="1:36" x14ac:dyDescent="0.25">
      <c r="A393" s="1">
        <v>46232</v>
      </c>
      <c r="B393" t="s">
        <v>13</v>
      </c>
      <c r="C393" t="s">
        <v>11</v>
      </c>
      <c r="D393">
        <v>1.2735376146788993</v>
      </c>
      <c r="E393">
        <v>0</v>
      </c>
      <c r="F393">
        <v>0</v>
      </c>
      <c r="G393">
        <v>0.94117647058823517</v>
      </c>
      <c r="H393">
        <v>0</v>
      </c>
      <c r="I393">
        <v>0</v>
      </c>
      <c r="J393">
        <v>0.73902526296840998</v>
      </c>
      <c r="K393">
        <v>0</v>
      </c>
      <c r="L393">
        <v>0</v>
      </c>
      <c r="M393">
        <v>0</v>
      </c>
      <c r="N393">
        <v>0</v>
      </c>
      <c r="O393">
        <v>0</v>
      </c>
      <c r="P393">
        <v>0</v>
      </c>
      <c r="Q393">
        <v>0</v>
      </c>
      <c r="R393">
        <v>0</v>
      </c>
      <c r="S393">
        <v>0</v>
      </c>
      <c r="T393">
        <v>0.73902526296840998</v>
      </c>
      <c r="U393">
        <v>0.26097473703159002</v>
      </c>
      <c r="V393">
        <v>0</v>
      </c>
      <c r="W393">
        <v>0</v>
      </c>
      <c r="X393">
        <v>0</v>
      </c>
      <c r="Y393">
        <v>0</v>
      </c>
      <c r="Z393">
        <v>0</v>
      </c>
      <c r="AA393">
        <v>0</v>
      </c>
      <c r="AB393">
        <v>0</v>
      </c>
      <c r="AC393">
        <v>0</v>
      </c>
      <c r="AD393">
        <v>0</v>
      </c>
      <c r="AE393" t="s">
        <v>161</v>
      </c>
      <c r="AF393">
        <v>10</v>
      </c>
      <c r="AG393" t="s">
        <v>191</v>
      </c>
      <c r="AI393">
        <v>46232</v>
      </c>
      <c r="AJ393" t="s">
        <v>150</v>
      </c>
    </row>
    <row r="394" spans="1:36" x14ac:dyDescent="0.25">
      <c r="A394" s="1">
        <v>46232</v>
      </c>
      <c r="B394" t="s">
        <v>13</v>
      </c>
      <c r="C394" t="s">
        <v>10</v>
      </c>
      <c r="D394">
        <v>5.8204648795871572</v>
      </c>
      <c r="E394">
        <v>3.8</v>
      </c>
      <c r="F394">
        <v>3.8</v>
      </c>
      <c r="G394">
        <v>4.2886029411764683</v>
      </c>
      <c r="H394">
        <v>0.65286881350781933</v>
      </c>
      <c r="I394">
        <v>0.65286881350781933</v>
      </c>
      <c r="J394">
        <v>0.73681450363474355</v>
      </c>
      <c r="K394">
        <v>0</v>
      </c>
      <c r="L394">
        <v>0</v>
      </c>
      <c r="M394">
        <v>0</v>
      </c>
      <c r="N394">
        <v>0</v>
      </c>
      <c r="O394">
        <v>0</v>
      </c>
      <c r="P394">
        <v>0</v>
      </c>
      <c r="Q394">
        <v>0</v>
      </c>
      <c r="R394">
        <v>0</v>
      </c>
      <c r="S394">
        <v>0</v>
      </c>
      <c r="T394">
        <v>8.3945690126924211E-2</v>
      </c>
      <c r="U394">
        <v>0.26318549636525645</v>
      </c>
      <c r="V394">
        <v>0</v>
      </c>
      <c r="W394">
        <v>0</v>
      </c>
      <c r="X394">
        <v>0</v>
      </c>
      <c r="Y394">
        <v>0.65286881350781933</v>
      </c>
      <c r="Z394">
        <v>0</v>
      </c>
      <c r="AA394">
        <v>0</v>
      </c>
      <c r="AB394">
        <v>0</v>
      </c>
      <c r="AC394">
        <v>0</v>
      </c>
      <c r="AD394">
        <v>0</v>
      </c>
      <c r="AE394" t="s">
        <v>161</v>
      </c>
      <c r="AF394">
        <v>10</v>
      </c>
      <c r="AG394" t="s">
        <v>193</v>
      </c>
      <c r="AI394">
        <v>46232</v>
      </c>
      <c r="AJ394" t="s">
        <v>150</v>
      </c>
    </row>
    <row r="395" spans="1:36" x14ac:dyDescent="0.25">
      <c r="A395" s="1">
        <v>46232</v>
      </c>
      <c r="B395" t="s">
        <v>13</v>
      </c>
      <c r="C395" t="s">
        <v>12</v>
      </c>
      <c r="D395">
        <v>2.2486328293736499</v>
      </c>
      <c r="E395">
        <v>4.75</v>
      </c>
      <c r="F395">
        <v>4.75</v>
      </c>
      <c r="G395">
        <v>2.5449826989619382</v>
      </c>
      <c r="H395">
        <v>2.1123946684186312</v>
      </c>
      <c r="I395">
        <v>2.1123946684186312</v>
      </c>
      <c r="J395">
        <v>1.1317911335799697</v>
      </c>
      <c r="K395">
        <v>0</v>
      </c>
      <c r="L395">
        <v>0</v>
      </c>
      <c r="M395">
        <v>0.86239466841863122</v>
      </c>
      <c r="N395">
        <v>0</v>
      </c>
      <c r="O395">
        <v>0</v>
      </c>
      <c r="P395">
        <v>0</v>
      </c>
      <c r="Q395">
        <v>0.13179113357996974</v>
      </c>
      <c r="R395">
        <v>0</v>
      </c>
      <c r="S395">
        <v>0.11820886642003026</v>
      </c>
      <c r="T395">
        <v>0</v>
      </c>
      <c r="U395">
        <v>0</v>
      </c>
      <c r="V395">
        <v>0</v>
      </c>
      <c r="W395">
        <v>0</v>
      </c>
      <c r="X395">
        <v>0</v>
      </c>
      <c r="Y395">
        <v>1</v>
      </c>
      <c r="Z395">
        <v>0</v>
      </c>
      <c r="AA395">
        <v>0</v>
      </c>
      <c r="AB395">
        <v>0</v>
      </c>
      <c r="AC395">
        <v>0</v>
      </c>
      <c r="AD395">
        <v>0</v>
      </c>
      <c r="AE395" t="s">
        <v>166</v>
      </c>
      <c r="AF395">
        <v>10</v>
      </c>
      <c r="AG395" t="s">
        <v>192</v>
      </c>
      <c r="AH395">
        <v>1</v>
      </c>
      <c r="AI395">
        <v>46232</v>
      </c>
      <c r="AJ395" t="s">
        <v>150</v>
      </c>
    </row>
    <row r="396" spans="1:36" x14ac:dyDescent="0.25">
      <c r="A396" s="1">
        <v>46232</v>
      </c>
      <c r="B396" t="s">
        <v>13</v>
      </c>
      <c r="C396" t="s">
        <v>11</v>
      </c>
      <c r="D396">
        <v>1.2742252699784016</v>
      </c>
      <c r="E396">
        <v>0</v>
      </c>
      <c r="F396">
        <v>0</v>
      </c>
      <c r="G396">
        <v>0.94117647058823517</v>
      </c>
      <c r="H396">
        <v>0</v>
      </c>
      <c r="I396">
        <v>0</v>
      </c>
      <c r="J396">
        <v>0.73862643659875649</v>
      </c>
      <c r="K396">
        <v>0</v>
      </c>
      <c r="L396">
        <v>0</v>
      </c>
      <c r="M396">
        <v>0</v>
      </c>
      <c r="N396">
        <v>0</v>
      </c>
      <c r="O396">
        <v>0</v>
      </c>
      <c r="P396">
        <v>0</v>
      </c>
      <c r="Q396">
        <v>0</v>
      </c>
      <c r="R396">
        <v>0</v>
      </c>
      <c r="S396">
        <v>0</v>
      </c>
      <c r="T396">
        <v>0.73862643659875649</v>
      </c>
      <c r="U396">
        <v>0.26137356340124351</v>
      </c>
      <c r="V396">
        <v>0</v>
      </c>
      <c r="W396">
        <v>0</v>
      </c>
      <c r="X396">
        <v>0</v>
      </c>
      <c r="Y396">
        <v>0</v>
      </c>
      <c r="Z396">
        <v>0</v>
      </c>
      <c r="AA396">
        <v>0</v>
      </c>
      <c r="AB396">
        <v>0</v>
      </c>
      <c r="AC396">
        <v>0</v>
      </c>
      <c r="AD396">
        <v>0</v>
      </c>
      <c r="AE396" t="s">
        <v>166</v>
      </c>
      <c r="AF396">
        <v>10</v>
      </c>
      <c r="AG396" t="s">
        <v>191</v>
      </c>
      <c r="AH396">
        <v>1</v>
      </c>
      <c r="AI396">
        <v>46232</v>
      </c>
      <c r="AJ396" t="s">
        <v>150</v>
      </c>
    </row>
    <row r="397" spans="1:36" x14ac:dyDescent="0.25">
      <c r="A397" s="1">
        <v>46232</v>
      </c>
      <c r="B397" t="s">
        <v>13</v>
      </c>
      <c r="C397" t="s">
        <v>10</v>
      </c>
      <c r="D397">
        <v>5.8323914011879054</v>
      </c>
      <c r="E397">
        <v>3.8</v>
      </c>
      <c r="F397">
        <v>3.8</v>
      </c>
      <c r="G397">
        <v>4.2886029411764683</v>
      </c>
      <c r="H397">
        <v>0.65153377724719219</v>
      </c>
      <c r="I397">
        <v>0.65153377724719219</v>
      </c>
      <c r="J397">
        <v>0.73530780878371649</v>
      </c>
      <c r="K397">
        <v>0</v>
      </c>
      <c r="L397">
        <v>0</v>
      </c>
      <c r="M397">
        <v>0</v>
      </c>
      <c r="N397">
        <v>0</v>
      </c>
      <c r="O397">
        <v>0</v>
      </c>
      <c r="P397">
        <v>0</v>
      </c>
      <c r="Q397">
        <v>0</v>
      </c>
      <c r="R397">
        <v>0</v>
      </c>
      <c r="S397">
        <v>0</v>
      </c>
      <c r="T397">
        <v>8.3774031536524296E-2</v>
      </c>
      <c r="U397">
        <v>0.26469219121628351</v>
      </c>
      <c r="V397">
        <v>0</v>
      </c>
      <c r="W397">
        <v>0</v>
      </c>
      <c r="X397">
        <v>0</v>
      </c>
      <c r="Y397">
        <v>0.65153377724719219</v>
      </c>
      <c r="Z397">
        <v>0</v>
      </c>
      <c r="AA397">
        <v>0</v>
      </c>
      <c r="AB397">
        <v>0</v>
      </c>
      <c r="AC397">
        <v>0</v>
      </c>
      <c r="AD397">
        <v>0</v>
      </c>
      <c r="AE397" t="s">
        <v>166</v>
      </c>
      <c r="AF397">
        <v>10</v>
      </c>
      <c r="AG397" t="s">
        <v>193</v>
      </c>
      <c r="AH397">
        <v>1</v>
      </c>
      <c r="AI397">
        <v>46232</v>
      </c>
      <c r="AJ397" t="s">
        <v>150</v>
      </c>
    </row>
    <row r="398" spans="1:36" x14ac:dyDescent="0.25">
      <c r="A398" s="1">
        <v>46233</v>
      </c>
      <c r="B398" t="s">
        <v>13</v>
      </c>
      <c r="C398" t="s">
        <v>12</v>
      </c>
      <c r="D398">
        <v>3.3711289800323798</v>
      </c>
      <c r="E398">
        <v>3.8</v>
      </c>
      <c r="F398">
        <v>3.8</v>
      </c>
      <c r="G398">
        <v>3.5949826989619371</v>
      </c>
      <c r="H398">
        <v>1.1272188108220946</v>
      </c>
      <c r="I398">
        <v>1.1272188108220946</v>
      </c>
      <c r="J398">
        <v>1.0664031902236524</v>
      </c>
      <c r="K398">
        <v>0</v>
      </c>
      <c r="L398">
        <v>0</v>
      </c>
      <c r="M398">
        <v>0</v>
      </c>
      <c r="N398">
        <v>0</v>
      </c>
      <c r="O398">
        <v>0</v>
      </c>
      <c r="P398">
        <v>0</v>
      </c>
      <c r="Q398">
        <v>6.6403190223652375E-2</v>
      </c>
      <c r="R398">
        <v>0</v>
      </c>
      <c r="S398">
        <v>6.0815620598442255E-2</v>
      </c>
      <c r="T398">
        <v>0</v>
      </c>
      <c r="U398">
        <v>0</v>
      </c>
      <c r="V398">
        <v>0</v>
      </c>
      <c r="W398">
        <v>0</v>
      </c>
      <c r="X398">
        <v>0</v>
      </c>
      <c r="Y398">
        <v>1</v>
      </c>
      <c r="Z398">
        <v>0</v>
      </c>
      <c r="AA398">
        <v>0</v>
      </c>
      <c r="AB398">
        <v>0</v>
      </c>
      <c r="AC398">
        <v>0</v>
      </c>
      <c r="AD398">
        <v>0</v>
      </c>
      <c r="AE398" t="s">
        <v>161</v>
      </c>
      <c r="AF398">
        <v>10</v>
      </c>
      <c r="AG398" t="s">
        <v>194</v>
      </c>
      <c r="AI398">
        <v>46233</v>
      </c>
      <c r="AJ398" t="s">
        <v>150</v>
      </c>
    </row>
    <row r="399" spans="1:36" x14ac:dyDescent="0.25">
      <c r="A399" s="1">
        <v>46233</v>
      </c>
      <c r="B399" t="s">
        <v>13</v>
      </c>
      <c r="C399" t="s">
        <v>11</v>
      </c>
      <c r="D399">
        <v>1.2735376146788993</v>
      </c>
      <c r="E399">
        <v>0</v>
      </c>
      <c r="F399">
        <v>0</v>
      </c>
      <c r="G399">
        <v>0.94117647058823517</v>
      </c>
      <c r="H399">
        <v>0</v>
      </c>
      <c r="I399">
        <v>0</v>
      </c>
      <c r="J399">
        <v>0.73902526296840998</v>
      </c>
      <c r="K399">
        <v>0</v>
      </c>
      <c r="L399">
        <v>0</v>
      </c>
      <c r="M399">
        <v>0</v>
      </c>
      <c r="N399">
        <v>0</v>
      </c>
      <c r="O399">
        <v>0</v>
      </c>
      <c r="P399">
        <v>0</v>
      </c>
      <c r="Q399">
        <v>0</v>
      </c>
      <c r="R399">
        <v>0</v>
      </c>
      <c r="S399">
        <v>0</v>
      </c>
      <c r="T399">
        <v>0.73902526296840998</v>
      </c>
      <c r="U399">
        <v>0.26097473703159002</v>
      </c>
      <c r="V399">
        <v>0</v>
      </c>
      <c r="W399">
        <v>0</v>
      </c>
      <c r="X399">
        <v>0</v>
      </c>
      <c r="Y399">
        <v>0</v>
      </c>
      <c r="Z399">
        <v>0</v>
      </c>
      <c r="AA399">
        <v>0</v>
      </c>
      <c r="AB399">
        <v>0</v>
      </c>
      <c r="AC399">
        <v>0</v>
      </c>
      <c r="AD399">
        <v>0</v>
      </c>
      <c r="AE399" t="s">
        <v>161</v>
      </c>
      <c r="AF399">
        <v>10</v>
      </c>
      <c r="AG399" t="s">
        <v>196</v>
      </c>
      <c r="AI399">
        <v>46233</v>
      </c>
      <c r="AJ399" t="s">
        <v>150</v>
      </c>
    </row>
    <row r="400" spans="1:36" x14ac:dyDescent="0.25">
      <c r="A400" s="1">
        <v>46233</v>
      </c>
      <c r="B400" t="s">
        <v>13</v>
      </c>
      <c r="C400" t="s">
        <v>10</v>
      </c>
      <c r="D400">
        <v>5.7458435349770651</v>
      </c>
      <c r="E400">
        <v>2.8499999999999996</v>
      </c>
      <c r="F400">
        <v>2.8499999999999996</v>
      </c>
      <c r="G400">
        <v>4.1104779411764714</v>
      </c>
      <c r="H400">
        <v>0.49601072195074586</v>
      </c>
      <c r="I400">
        <v>0.49601072195074586</v>
      </c>
      <c r="J400">
        <v>0.71538285304054638</v>
      </c>
      <c r="K400">
        <v>0</v>
      </c>
      <c r="L400">
        <v>0</v>
      </c>
      <c r="M400">
        <v>0</v>
      </c>
      <c r="N400">
        <v>0</v>
      </c>
      <c r="O400">
        <v>0</v>
      </c>
      <c r="P400">
        <v>0</v>
      </c>
      <c r="Q400">
        <v>0</v>
      </c>
      <c r="R400">
        <v>0</v>
      </c>
      <c r="S400">
        <v>0</v>
      </c>
      <c r="T400">
        <v>0.21937213108980053</v>
      </c>
      <c r="U400">
        <v>0.28461714695945362</v>
      </c>
      <c r="V400">
        <v>0</v>
      </c>
      <c r="W400">
        <v>0</v>
      </c>
      <c r="X400">
        <v>0</v>
      </c>
      <c r="Y400">
        <v>0.49601072195074586</v>
      </c>
      <c r="Z400">
        <v>0</v>
      </c>
      <c r="AA400">
        <v>0</v>
      </c>
      <c r="AB400">
        <v>0</v>
      </c>
      <c r="AC400">
        <v>0</v>
      </c>
      <c r="AD400">
        <v>0</v>
      </c>
      <c r="AE400" t="s">
        <v>161</v>
      </c>
      <c r="AF400">
        <v>10</v>
      </c>
      <c r="AG400" t="s">
        <v>195</v>
      </c>
      <c r="AI400">
        <v>46233</v>
      </c>
      <c r="AJ400" t="s">
        <v>150</v>
      </c>
    </row>
    <row r="401" spans="1:36" x14ac:dyDescent="0.25">
      <c r="A401" s="1">
        <v>46233</v>
      </c>
      <c r="B401" t="s">
        <v>13</v>
      </c>
      <c r="C401" t="s">
        <v>12</v>
      </c>
      <c r="D401">
        <v>3.3729492440604751</v>
      </c>
      <c r="E401">
        <v>3.8</v>
      </c>
      <c r="F401">
        <v>3.8</v>
      </c>
      <c r="G401">
        <v>3.5949826989619371</v>
      </c>
      <c r="H401">
        <v>1.1266104898232698</v>
      </c>
      <c r="I401">
        <v>1.1266104898232698</v>
      </c>
      <c r="J401">
        <v>1.0658276893114971</v>
      </c>
      <c r="K401">
        <v>0</v>
      </c>
      <c r="L401">
        <v>0</v>
      </c>
      <c r="M401">
        <v>0</v>
      </c>
      <c r="N401">
        <v>0</v>
      </c>
      <c r="O401">
        <v>0</v>
      </c>
      <c r="P401">
        <v>0</v>
      </c>
      <c r="Q401">
        <v>6.5827689311497073E-2</v>
      </c>
      <c r="R401">
        <v>0</v>
      </c>
      <c r="S401">
        <v>6.0782800511772761E-2</v>
      </c>
      <c r="T401">
        <v>0</v>
      </c>
      <c r="U401">
        <v>0</v>
      </c>
      <c r="V401">
        <v>0</v>
      </c>
      <c r="W401">
        <v>0</v>
      </c>
      <c r="X401">
        <v>0</v>
      </c>
      <c r="Y401">
        <v>1</v>
      </c>
      <c r="Z401">
        <v>0</v>
      </c>
      <c r="AA401">
        <v>0</v>
      </c>
      <c r="AB401">
        <v>0</v>
      </c>
      <c r="AC401">
        <v>0</v>
      </c>
      <c r="AD401">
        <v>0</v>
      </c>
      <c r="AE401" t="s">
        <v>166</v>
      </c>
      <c r="AF401">
        <v>10</v>
      </c>
      <c r="AG401" t="s">
        <v>194</v>
      </c>
      <c r="AH401">
        <v>1</v>
      </c>
      <c r="AI401">
        <v>46233</v>
      </c>
      <c r="AJ401" t="s">
        <v>150</v>
      </c>
    </row>
    <row r="402" spans="1:36" x14ac:dyDescent="0.25">
      <c r="A402" s="1">
        <v>46233</v>
      </c>
      <c r="B402" t="s">
        <v>13</v>
      </c>
      <c r="C402" t="s">
        <v>11</v>
      </c>
      <c r="D402">
        <v>1.2742252699784016</v>
      </c>
      <c r="E402">
        <v>0</v>
      </c>
      <c r="F402">
        <v>0</v>
      </c>
      <c r="G402">
        <v>0.94117647058823517</v>
      </c>
      <c r="H402">
        <v>0</v>
      </c>
      <c r="I402">
        <v>0</v>
      </c>
      <c r="J402">
        <v>0.73862643659875649</v>
      </c>
      <c r="K402">
        <v>0</v>
      </c>
      <c r="L402">
        <v>0</v>
      </c>
      <c r="M402">
        <v>0</v>
      </c>
      <c r="N402">
        <v>0</v>
      </c>
      <c r="O402">
        <v>0</v>
      </c>
      <c r="P402">
        <v>0</v>
      </c>
      <c r="Q402">
        <v>0</v>
      </c>
      <c r="R402">
        <v>0</v>
      </c>
      <c r="S402">
        <v>0</v>
      </c>
      <c r="T402">
        <v>0.73862643659875649</v>
      </c>
      <c r="U402">
        <v>0.26137356340124351</v>
      </c>
      <c r="V402">
        <v>0</v>
      </c>
      <c r="W402">
        <v>0</v>
      </c>
      <c r="X402">
        <v>0</v>
      </c>
      <c r="Y402">
        <v>0</v>
      </c>
      <c r="Z402">
        <v>0</v>
      </c>
      <c r="AA402">
        <v>0</v>
      </c>
      <c r="AB402">
        <v>0</v>
      </c>
      <c r="AC402">
        <v>0</v>
      </c>
      <c r="AD402">
        <v>0</v>
      </c>
      <c r="AE402" t="s">
        <v>166</v>
      </c>
      <c r="AF402">
        <v>10</v>
      </c>
      <c r="AG402" t="s">
        <v>196</v>
      </c>
      <c r="AH402">
        <v>1</v>
      </c>
      <c r="AI402">
        <v>46233</v>
      </c>
      <c r="AJ402" t="s">
        <v>150</v>
      </c>
    </row>
    <row r="403" spans="1:36" x14ac:dyDescent="0.25">
      <c r="A403" s="1">
        <v>46233</v>
      </c>
      <c r="B403" t="s">
        <v>13</v>
      </c>
      <c r="C403" t="s">
        <v>10</v>
      </c>
      <c r="D403">
        <v>5.7621216252699776</v>
      </c>
      <c r="E403">
        <v>2.8499999999999996</v>
      </c>
      <c r="F403">
        <v>2.8499999999999996</v>
      </c>
      <c r="G403">
        <v>4.1104779411764714</v>
      </c>
      <c r="H403">
        <v>0.49460948333704535</v>
      </c>
      <c r="I403">
        <v>0.49460948333704535</v>
      </c>
      <c r="J403">
        <v>0.71336188447495319</v>
      </c>
      <c r="K403">
        <v>0</v>
      </c>
      <c r="L403">
        <v>0</v>
      </c>
      <c r="M403">
        <v>0</v>
      </c>
      <c r="N403">
        <v>0</v>
      </c>
      <c r="O403">
        <v>0</v>
      </c>
      <c r="P403">
        <v>0</v>
      </c>
      <c r="Q403">
        <v>0</v>
      </c>
      <c r="R403">
        <v>0</v>
      </c>
      <c r="S403">
        <v>0</v>
      </c>
      <c r="T403">
        <v>0.21875240113790784</v>
      </c>
      <c r="U403">
        <v>0.28663811552504681</v>
      </c>
      <c r="V403">
        <v>0</v>
      </c>
      <c r="W403">
        <v>0</v>
      </c>
      <c r="X403">
        <v>0</v>
      </c>
      <c r="Y403">
        <v>0.49460948333704535</v>
      </c>
      <c r="Z403">
        <v>0</v>
      </c>
      <c r="AA403">
        <v>0</v>
      </c>
      <c r="AB403">
        <v>0</v>
      </c>
      <c r="AC403">
        <v>0</v>
      </c>
      <c r="AD403">
        <v>0</v>
      </c>
      <c r="AE403" t="s">
        <v>166</v>
      </c>
      <c r="AF403">
        <v>10</v>
      </c>
      <c r="AG403" t="s">
        <v>195</v>
      </c>
      <c r="AH403">
        <v>1</v>
      </c>
      <c r="AI403">
        <v>46233</v>
      </c>
      <c r="AJ403" t="s">
        <v>150</v>
      </c>
    </row>
    <row r="404" spans="1:36" x14ac:dyDescent="0.25">
      <c r="A404" s="1">
        <v>46234</v>
      </c>
      <c r="B404" t="s">
        <v>13</v>
      </c>
      <c r="C404" t="s">
        <v>10</v>
      </c>
      <c r="D404">
        <v>4.5519020212155965</v>
      </c>
      <c r="E404">
        <v>3.8</v>
      </c>
      <c r="F404">
        <v>3.8</v>
      </c>
      <c r="G404">
        <v>3.1104779411764705</v>
      </c>
      <c r="H404">
        <v>0.83481585989524454</v>
      </c>
      <c r="I404">
        <v>0.83481585989524454</v>
      </c>
      <c r="J404">
        <v>0.68333587293379605</v>
      </c>
      <c r="K404">
        <v>0</v>
      </c>
      <c r="L404">
        <v>0</v>
      </c>
      <c r="M404">
        <v>0</v>
      </c>
      <c r="N404">
        <v>0</v>
      </c>
      <c r="O404">
        <v>0</v>
      </c>
      <c r="P404">
        <v>0</v>
      </c>
      <c r="Q404">
        <v>0</v>
      </c>
      <c r="R404">
        <v>0</v>
      </c>
      <c r="S404">
        <v>0</v>
      </c>
      <c r="T404">
        <v>0</v>
      </c>
      <c r="U404">
        <v>0.16518414010475546</v>
      </c>
      <c r="V404">
        <v>0</v>
      </c>
      <c r="W404">
        <v>0.15147998696144849</v>
      </c>
      <c r="X404">
        <v>0</v>
      </c>
      <c r="Y404">
        <v>0.68333587293379605</v>
      </c>
      <c r="Z404">
        <v>0</v>
      </c>
      <c r="AA404">
        <v>0</v>
      </c>
      <c r="AB404">
        <v>0</v>
      </c>
      <c r="AC404">
        <v>0</v>
      </c>
      <c r="AD404">
        <v>0</v>
      </c>
      <c r="AE404" t="s">
        <v>161</v>
      </c>
      <c r="AF404">
        <v>10</v>
      </c>
      <c r="AG404" t="s">
        <v>197</v>
      </c>
      <c r="AI404">
        <v>46234</v>
      </c>
      <c r="AJ404" t="s">
        <v>150</v>
      </c>
    </row>
    <row r="405" spans="1:36" x14ac:dyDescent="0.25">
      <c r="A405" s="1">
        <v>46234</v>
      </c>
      <c r="B405" t="s">
        <v>13</v>
      </c>
      <c r="C405" t="s">
        <v>11</v>
      </c>
      <c r="D405">
        <v>1.2735376146788993</v>
      </c>
      <c r="E405">
        <v>0</v>
      </c>
      <c r="F405">
        <v>0</v>
      </c>
      <c r="G405">
        <v>0.94117647058823517</v>
      </c>
      <c r="H405">
        <v>0</v>
      </c>
      <c r="I405">
        <v>0</v>
      </c>
      <c r="J405">
        <v>0.73902526296840998</v>
      </c>
      <c r="K405">
        <v>0</v>
      </c>
      <c r="L405">
        <v>0</v>
      </c>
      <c r="M405">
        <v>0</v>
      </c>
      <c r="N405">
        <v>0</v>
      </c>
      <c r="O405">
        <v>0</v>
      </c>
      <c r="P405">
        <v>0</v>
      </c>
      <c r="Q405">
        <v>0</v>
      </c>
      <c r="R405">
        <v>0</v>
      </c>
      <c r="S405">
        <v>0</v>
      </c>
      <c r="T405">
        <v>0.73902526296840998</v>
      </c>
      <c r="U405">
        <v>0.26097473703159002</v>
      </c>
      <c r="V405">
        <v>0</v>
      </c>
      <c r="W405">
        <v>0</v>
      </c>
      <c r="X405">
        <v>0</v>
      </c>
      <c r="Y405">
        <v>0</v>
      </c>
      <c r="Z405">
        <v>0</v>
      </c>
      <c r="AA405">
        <v>0</v>
      </c>
      <c r="AB405">
        <v>0</v>
      </c>
      <c r="AC405">
        <v>0</v>
      </c>
      <c r="AD405">
        <v>0</v>
      </c>
      <c r="AE405" t="s">
        <v>161</v>
      </c>
      <c r="AF405">
        <v>10</v>
      </c>
      <c r="AG405" t="s">
        <v>198</v>
      </c>
      <c r="AI405">
        <v>46234</v>
      </c>
      <c r="AJ405" t="s">
        <v>150</v>
      </c>
    </row>
    <row r="406" spans="1:36" x14ac:dyDescent="0.25">
      <c r="A406" s="1">
        <v>46234</v>
      </c>
      <c r="B406" t="s">
        <v>13</v>
      </c>
      <c r="C406" t="s">
        <v>12</v>
      </c>
      <c r="D406">
        <v>2.2474193200215873</v>
      </c>
      <c r="E406">
        <v>2.8499999999999996</v>
      </c>
      <c r="F406">
        <v>2.8499999999999996</v>
      </c>
      <c r="G406">
        <v>2.6538062283737021</v>
      </c>
      <c r="H406">
        <v>1.2681211621748558</v>
      </c>
      <c r="I406">
        <v>1.2681211621748558</v>
      </c>
      <c r="J406">
        <v>1.1808238029867124</v>
      </c>
      <c r="K406">
        <v>0</v>
      </c>
      <c r="L406">
        <v>0</v>
      </c>
      <c r="M406">
        <v>1.812116217485582E-2</v>
      </c>
      <c r="N406">
        <v>0</v>
      </c>
      <c r="O406">
        <v>0</v>
      </c>
      <c r="P406">
        <v>0</v>
      </c>
      <c r="Q406">
        <v>0.18082380298671241</v>
      </c>
      <c r="R406">
        <v>0</v>
      </c>
      <c r="S406">
        <v>6.9176197013287588E-2</v>
      </c>
      <c r="T406">
        <v>0</v>
      </c>
      <c r="U406">
        <v>0</v>
      </c>
      <c r="V406">
        <v>0</v>
      </c>
      <c r="W406">
        <v>0</v>
      </c>
      <c r="X406">
        <v>0</v>
      </c>
      <c r="Y406">
        <v>1</v>
      </c>
      <c r="Z406">
        <v>0</v>
      </c>
      <c r="AA406">
        <v>0</v>
      </c>
      <c r="AB406">
        <v>0</v>
      </c>
      <c r="AC406">
        <v>0</v>
      </c>
      <c r="AD406">
        <v>0</v>
      </c>
      <c r="AE406" t="s">
        <v>161</v>
      </c>
      <c r="AF406">
        <v>10</v>
      </c>
      <c r="AG406" t="s">
        <v>199</v>
      </c>
      <c r="AI406">
        <v>46234</v>
      </c>
      <c r="AJ406" t="s">
        <v>150</v>
      </c>
    </row>
    <row r="407" spans="1:36" x14ac:dyDescent="0.25">
      <c r="A407" s="1">
        <v>46234</v>
      </c>
      <c r="B407" t="s">
        <v>13</v>
      </c>
      <c r="C407" t="s">
        <v>10</v>
      </c>
      <c r="D407">
        <v>4.5675354346652268</v>
      </c>
      <c r="E407">
        <v>3.8</v>
      </c>
      <c r="F407">
        <v>3.8</v>
      </c>
      <c r="G407">
        <v>3.1104779411764705</v>
      </c>
      <c r="H407">
        <v>0.83195851556179934</v>
      </c>
      <c r="I407">
        <v>0.83195851556179934</v>
      </c>
      <c r="J407">
        <v>0.68099700279707842</v>
      </c>
      <c r="K407">
        <v>0</v>
      </c>
      <c r="L407">
        <v>0</v>
      </c>
      <c r="M407">
        <v>0</v>
      </c>
      <c r="N407">
        <v>0</v>
      </c>
      <c r="O407">
        <v>0</v>
      </c>
      <c r="P407">
        <v>0</v>
      </c>
      <c r="Q407">
        <v>0</v>
      </c>
      <c r="R407">
        <v>0</v>
      </c>
      <c r="S407">
        <v>0</v>
      </c>
      <c r="T407">
        <v>0</v>
      </c>
      <c r="U407">
        <v>0.16804148443820066</v>
      </c>
      <c r="V407">
        <v>0</v>
      </c>
      <c r="W407">
        <v>0.15096151276472092</v>
      </c>
      <c r="X407">
        <v>0</v>
      </c>
      <c r="Y407">
        <v>0.68099700279707842</v>
      </c>
      <c r="Z407">
        <v>0</v>
      </c>
      <c r="AA407">
        <v>0</v>
      </c>
      <c r="AB407">
        <v>0</v>
      </c>
      <c r="AC407">
        <v>0</v>
      </c>
      <c r="AD407">
        <v>0</v>
      </c>
      <c r="AE407" t="s">
        <v>166</v>
      </c>
      <c r="AF407">
        <v>10</v>
      </c>
      <c r="AG407" t="s">
        <v>197</v>
      </c>
      <c r="AH407">
        <v>1</v>
      </c>
      <c r="AI407">
        <v>46234</v>
      </c>
      <c r="AJ407" t="s">
        <v>150</v>
      </c>
    </row>
    <row r="408" spans="1:36" x14ac:dyDescent="0.25">
      <c r="A408" s="1">
        <v>46234</v>
      </c>
      <c r="B408" t="s">
        <v>13</v>
      </c>
      <c r="C408" t="s">
        <v>11</v>
      </c>
      <c r="D408">
        <v>1.2742252699784016</v>
      </c>
      <c r="E408">
        <v>0</v>
      </c>
      <c r="F408">
        <v>0</v>
      </c>
      <c r="G408">
        <v>0.94117647058823517</v>
      </c>
      <c r="H408">
        <v>0</v>
      </c>
      <c r="I408">
        <v>0</v>
      </c>
      <c r="J408">
        <v>0.73862643659875649</v>
      </c>
      <c r="K408">
        <v>0</v>
      </c>
      <c r="L408">
        <v>0</v>
      </c>
      <c r="M408">
        <v>0</v>
      </c>
      <c r="N408">
        <v>0</v>
      </c>
      <c r="O408">
        <v>0</v>
      </c>
      <c r="P408">
        <v>0</v>
      </c>
      <c r="Q408">
        <v>0</v>
      </c>
      <c r="R408">
        <v>0</v>
      </c>
      <c r="S408">
        <v>0</v>
      </c>
      <c r="T408">
        <v>0.73862643659875649</v>
      </c>
      <c r="U408">
        <v>0.26137356340124351</v>
      </c>
      <c r="V408">
        <v>0</v>
      </c>
      <c r="W408">
        <v>0</v>
      </c>
      <c r="X408">
        <v>0</v>
      </c>
      <c r="Y408">
        <v>0</v>
      </c>
      <c r="Z408">
        <v>0</v>
      </c>
      <c r="AA408">
        <v>0</v>
      </c>
      <c r="AB408">
        <v>0</v>
      </c>
      <c r="AC408">
        <v>0</v>
      </c>
      <c r="AD408">
        <v>0</v>
      </c>
      <c r="AE408" t="s">
        <v>166</v>
      </c>
      <c r="AF408">
        <v>10</v>
      </c>
      <c r="AG408" t="s">
        <v>198</v>
      </c>
      <c r="AH408">
        <v>1</v>
      </c>
      <c r="AI408">
        <v>46234</v>
      </c>
      <c r="AJ408" t="s">
        <v>150</v>
      </c>
    </row>
    <row r="409" spans="1:36" x14ac:dyDescent="0.25">
      <c r="A409" s="1">
        <v>46234</v>
      </c>
      <c r="B409" t="s">
        <v>13</v>
      </c>
      <c r="C409" t="s">
        <v>12</v>
      </c>
      <c r="D409">
        <v>2.2486328293736499</v>
      </c>
      <c r="E409">
        <v>2.8499999999999996</v>
      </c>
      <c r="F409">
        <v>2.8499999999999996</v>
      </c>
      <c r="G409">
        <v>2.6538062283737021</v>
      </c>
      <c r="H409">
        <v>1.2674368010511787</v>
      </c>
      <c r="I409">
        <v>1.2674368010511787</v>
      </c>
      <c r="J409">
        <v>1.1801865532279505</v>
      </c>
      <c r="K409">
        <v>0</v>
      </c>
      <c r="L409">
        <v>0</v>
      </c>
      <c r="M409">
        <v>1.743680105117873E-2</v>
      </c>
      <c r="N409">
        <v>0</v>
      </c>
      <c r="O409">
        <v>0</v>
      </c>
      <c r="P409">
        <v>0</v>
      </c>
      <c r="Q409">
        <v>0.18018655322795052</v>
      </c>
      <c r="R409">
        <v>0</v>
      </c>
      <c r="S409">
        <v>6.9813446772049481E-2</v>
      </c>
      <c r="T409">
        <v>0</v>
      </c>
      <c r="U409">
        <v>0</v>
      </c>
      <c r="V409">
        <v>0</v>
      </c>
      <c r="W409">
        <v>0</v>
      </c>
      <c r="X409">
        <v>0</v>
      </c>
      <c r="Y409">
        <v>1</v>
      </c>
      <c r="Z409">
        <v>0</v>
      </c>
      <c r="AA409">
        <v>0</v>
      </c>
      <c r="AB409">
        <v>0</v>
      </c>
      <c r="AC409">
        <v>0</v>
      </c>
      <c r="AD409">
        <v>0</v>
      </c>
      <c r="AE409" t="s">
        <v>166</v>
      </c>
      <c r="AF409">
        <v>10</v>
      </c>
      <c r="AG409" t="s">
        <v>199</v>
      </c>
      <c r="AH409">
        <v>1</v>
      </c>
      <c r="AI409">
        <v>46234</v>
      </c>
      <c r="AJ409" t="s">
        <v>150</v>
      </c>
    </row>
    <row r="410" spans="1:36" x14ac:dyDescent="0.25">
      <c r="A410" s="1">
        <v>46235</v>
      </c>
      <c r="B410" t="s">
        <v>13</v>
      </c>
      <c r="C410" t="s">
        <v>11</v>
      </c>
      <c r="D410">
        <v>1.2735376146788993</v>
      </c>
      <c r="E410">
        <v>0</v>
      </c>
      <c r="F410">
        <v>0</v>
      </c>
      <c r="G410">
        <v>0.94117647058823517</v>
      </c>
      <c r="H410">
        <v>0</v>
      </c>
      <c r="I410">
        <v>0</v>
      </c>
      <c r="J410">
        <v>0.73902526296840998</v>
      </c>
      <c r="K410">
        <v>0</v>
      </c>
      <c r="L410">
        <v>0</v>
      </c>
      <c r="M410">
        <v>0</v>
      </c>
      <c r="N410">
        <v>0</v>
      </c>
      <c r="O410">
        <v>0</v>
      </c>
      <c r="P410">
        <v>0</v>
      </c>
      <c r="Q410">
        <v>0</v>
      </c>
      <c r="R410">
        <v>0</v>
      </c>
      <c r="S410">
        <v>0</v>
      </c>
      <c r="T410">
        <v>0.73902526296840998</v>
      </c>
      <c r="U410">
        <v>0.26097473703159002</v>
      </c>
      <c r="V410">
        <v>0</v>
      </c>
      <c r="W410">
        <v>0</v>
      </c>
      <c r="X410">
        <v>0</v>
      </c>
      <c r="Y410">
        <v>0</v>
      </c>
      <c r="Z410">
        <v>0</v>
      </c>
      <c r="AA410">
        <v>0</v>
      </c>
      <c r="AB410">
        <v>0</v>
      </c>
      <c r="AC410">
        <v>0</v>
      </c>
      <c r="AD410">
        <v>0</v>
      </c>
      <c r="AE410" t="s">
        <v>161</v>
      </c>
      <c r="AF410">
        <v>10</v>
      </c>
      <c r="AG410" t="s">
        <v>202</v>
      </c>
      <c r="AI410">
        <v>46235</v>
      </c>
      <c r="AJ410" t="s">
        <v>150</v>
      </c>
    </row>
    <row r="411" spans="1:36" x14ac:dyDescent="0.25">
      <c r="A411" s="1">
        <v>46235</v>
      </c>
      <c r="B411" t="s">
        <v>13</v>
      </c>
      <c r="C411" t="s">
        <v>10</v>
      </c>
      <c r="D411">
        <v>5.3727368119266048</v>
      </c>
      <c r="E411">
        <v>4.75</v>
      </c>
      <c r="F411">
        <v>4.75</v>
      </c>
      <c r="G411">
        <v>4.3235294117647047</v>
      </c>
      <c r="H411">
        <v>0.88409318495850564</v>
      </c>
      <c r="I411">
        <v>0.88409318495850564</v>
      </c>
      <c r="J411">
        <v>0.80471639745449108</v>
      </c>
      <c r="K411">
        <v>0</v>
      </c>
      <c r="L411">
        <v>0</v>
      </c>
      <c r="M411">
        <v>0</v>
      </c>
      <c r="N411">
        <v>0</v>
      </c>
      <c r="O411">
        <v>0</v>
      </c>
      <c r="P411">
        <v>0</v>
      </c>
      <c r="Q411">
        <v>0</v>
      </c>
      <c r="R411">
        <v>0</v>
      </c>
      <c r="S411">
        <v>0</v>
      </c>
      <c r="T411">
        <v>0</v>
      </c>
      <c r="U411">
        <v>0.11590681504149436</v>
      </c>
      <c r="V411">
        <v>0</v>
      </c>
      <c r="W411">
        <v>7.9376787504014557E-2</v>
      </c>
      <c r="X411">
        <v>0</v>
      </c>
      <c r="Y411">
        <v>0.80471639745449108</v>
      </c>
      <c r="Z411">
        <v>0</v>
      </c>
      <c r="AA411">
        <v>0</v>
      </c>
      <c r="AB411">
        <v>0</v>
      </c>
      <c r="AC411">
        <v>0</v>
      </c>
      <c r="AD411">
        <v>0</v>
      </c>
      <c r="AE411" t="s">
        <v>161</v>
      </c>
      <c r="AF411">
        <v>10</v>
      </c>
      <c r="AG411" t="s">
        <v>200</v>
      </c>
      <c r="AI411">
        <v>46235</v>
      </c>
      <c r="AJ411" t="s">
        <v>150</v>
      </c>
    </row>
    <row r="412" spans="1:36" x14ac:dyDescent="0.25">
      <c r="A412" s="1">
        <v>46235</v>
      </c>
      <c r="B412" t="s">
        <v>13</v>
      </c>
      <c r="C412" t="s">
        <v>12</v>
      </c>
      <c r="D412">
        <v>2.2474193200215873</v>
      </c>
      <c r="E412">
        <v>0.95</v>
      </c>
      <c r="F412">
        <v>0.95</v>
      </c>
      <c r="G412">
        <v>2.1591695501730106</v>
      </c>
      <c r="H412">
        <v>0.42270705405828535</v>
      </c>
      <c r="I412">
        <v>0.42270705405828535</v>
      </c>
      <c r="J412">
        <v>0.96073284185893315</v>
      </c>
      <c r="K412">
        <v>0</v>
      </c>
      <c r="L412">
        <v>0</v>
      </c>
      <c r="M412">
        <v>0</v>
      </c>
      <c r="N412">
        <v>0</v>
      </c>
      <c r="O412">
        <v>0</v>
      </c>
      <c r="P412">
        <v>0</v>
      </c>
      <c r="Q412">
        <v>0</v>
      </c>
      <c r="R412">
        <v>0</v>
      </c>
      <c r="S412">
        <v>0</v>
      </c>
      <c r="T412">
        <v>0.5380257878006478</v>
      </c>
      <c r="U412">
        <v>3.9267158141066849E-2</v>
      </c>
      <c r="V412">
        <v>0</v>
      </c>
      <c r="W412">
        <v>0</v>
      </c>
      <c r="X412">
        <v>0</v>
      </c>
      <c r="Y412">
        <v>0.42270705405828535</v>
      </c>
      <c r="Z412">
        <v>0</v>
      </c>
      <c r="AA412">
        <v>0</v>
      </c>
      <c r="AB412">
        <v>0</v>
      </c>
      <c r="AC412">
        <v>0</v>
      </c>
      <c r="AD412">
        <v>0</v>
      </c>
      <c r="AE412" t="s">
        <v>161</v>
      </c>
      <c r="AF412">
        <v>10</v>
      </c>
      <c r="AG412" t="s">
        <v>201</v>
      </c>
      <c r="AI412">
        <v>46235</v>
      </c>
      <c r="AJ412" t="s">
        <v>150</v>
      </c>
    </row>
    <row r="413" spans="1:36" x14ac:dyDescent="0.25">
      <c r="A413" s="1">
        <v>46235</v>
      </c>
      <c r="B413" t="s">
        <v>13</v>
      </c>
      <c r="C413" t="s">
        <v>11</v>
      </c>
      <c r="D413">
        <v>1.2742252699784016</v>
      </c>
      <c r="E413">
        <v>0</v>
      </c>
      <c r="F413">
        <v>0</v>
      </c>
      <c r="G413">
        <v>0.94117647058823517</v>
      </c>
      <c r="H413">
        <v>0</v>
      </c>
      <c r="I413">
        <v>0</v>
      </c>
      <c r="J413">
        <v>0.73862643659875649</v>
      </c>
      <c r="K413">
        <v>0</v>
      </c>
      <c r="L413">
        <v>0</v>
      </c>
      <c r="M413">
        <v>0</v>
      </c>
      <c r="N413">
        <v>0</v>
      </c>
      <c r="O413">
        <v>0</v>
      </c>
      <c r="P413">
        <v>0</v>
      </c>
      <c r="Q413">
        <v>0</v>
      </c>
      <c r="R413">
        <v>0</v>
      </c>
      <c r="S413">
        <v>0</v>
      </c>
      <c r="T413">
        <v>0.73862643659875649</v>
      </c>
      <c r="U413">
        <v>0.26137356340124351</v>
      </c>
      <c r="V413">
        <v>0</v>
      </c>
      <c r="W413">
        <v>0</v>
      </c>
      <c r="X413">
        <v>0</v>
      </c>
      <c r="Y413">
        <v>0</v>
      </c>
      <c r="Z413">
        <v>0</v>
      </c>
      <c r="AA413">
        <v>0</v>
      </c>
      <c r="AB413">
        <v>0</v>
      </c>
      <c r="AC413">
        <v>0</v>
      </c>
      <c r="AD413">
        <v>0</v>
      </c>
      <c r="AE413" t="s">
        <v>166</v>
      </c>
      <c r="AF413">
        <v>10</v>
      </c>
      <c r="AG413" t="s">
        <v>202</v>
      </c>
      <c r="AH413">
        <v>1</v>
      </c>
      <c r="AI413">
        <v>46235</v>
      </c>
      <c r="AJ413" t="s">
        <v>150</v>
      </c>
    </row>
    <row r="414" spans="1:36" x14ac:dyDescent="0.25">
      <c r="A414" s="1">
        <v>46235</v>
      </c>
      <c r="B414" t="s">
        <v>13</v>
      </c>
      <c r="C414" t="s">
        <v>10</v>
      </c>
      <c r="D414">
        <v>5.3405029697624178</v>
      </c>
      <c r="E414">
        <v>4.75</v>
      </c>
      <c r="F414">
        <v>4.75</v>
      </c>
      <c r="G414">
        <v>4.3235294117647047</v>
      </c>
      <c r="H414">
        <v>0.88942933407100278</v>
      </c>
      <c r="I414">
        <v>0.88942933407100278</v>
      </c>
      <c r="J414">
        <v>0.80957344958784749</v>
      </c>
      <c r="K414">
        <v>0</v>
      </c>
      <c r="L414">
        <v>0</v>
      </c>
      <c r="M414">
        <v>0</v>
      </c>
      <c r="N414">
        <v>0</v>
      </c>
      <c r="O414">
        <v>0</v>
      </c>
      <c r="P414">
        <v>0</v>
      </c>
      <c r="Q414">
        <v>0</v>
      </c>
      <c r="R414">
        <v>0</v>
      </c>
      <c r="S414">
        <v>0</v>
      </c>
      <c r="T414">
        <v>0</v>
      </c>
      <c r="U414">
        <v>0.11057066592899722</v>
      </c>
      <c r="V414">
        <v>0</v>
      </c>
      <c r="W414">
        <v>7.9855884483155282E-2</v>
      </c>
      <c r="X414">
        <v>0</v>
      </c>
      <c r="Y414">
        <v>0.80957344958784749</v>
      </c>
      <c r="Z414">
        <v>0</v>
      </c>
      <c r="AA414">
        <v>0</v>
      </c>
      <c r="AB414">
        <v>0</v>
      </c>
      <c r="AC414">
        <v>0</v>
      </c>
      <c r="AD414">
        <v>0</v>
      </c>
      <c r="AE414" t="s">
        <v>166</v>
      </c>
      <c r="AF414">
        <v>10</v>
      </c>
      <c r="AG414" t="s">
        <v>200</v>
      </c>
      <c r="AH414">
        <v>1</v>
      </c>
      <c r="AI414">
        <v>46235</v>
      </c>
      <c r="AJ414" t="s">
        <v>150</v>
      </c>
    </row>
    <row r="415" spans="1:36" x14ac:dyDescent="0.25">
      <c r="A415" s="1">
        <v>46235</v>
      </c>
      <c r="B415" t="s">
        <v>13</v>
      </c>
      <c r="C415" t="s">
        <v>12</v>
      </c>
      <c r="D415">
        <v>2.2486328293736499</v>
      </c>
      <c r="E415">
        <v>0.95</v>
      </c>
      <c r="F415">
        <v>0.95</v>
      </c>
      <c r="G415">
        <v>2.1591695501730106</v>
      </c>
      <c r="H415">
        <v>0.42247893368372624</v>
      </c>
      <c r="I415">
        <v>0.42247893368372624</v>
      </c>
      <c r="J415">
        <v>0.96021436757838363</v>
      </c>
      <c r="K415">
        <v>0</v>
      </c>
      <c r="L415">
        <v>0</v>
      </c>
      <c r="M415">
        <v>0</v>
      </c>
      <c r="N415">
        <v>0</v>
      </c>
      <c r="O415">
        <v>0</v>
      </c>
      <c r="P415">
        <v>0</v>
      </c>
      <c r="Q415">
        <v>0</v>
      </c>
      <c r="R415">
        <v>0</v>
      </c>
      <c r="S415">
        <v>0</v>
      </c>
      <c r="T415">
        <v>0.53773543389465739</v>
      </c>
      <c r="U415">
        <v>3.9785632421616368E-2</v>
      </c>
      <c r="V415">
        <v>0</v>
      </c>
      <c r="W415">
        <v>0</v>
      </c>
      <c r="X415">
        <v>0</v>
      </c>
      <c r="Y415">
        <v>0.42247893368372624</v>
      </c>
      <c r="Z415">
        <v>0</v>
      </c>
      <c r="AA415">
        <v>0</v>
      </c>
      <c r="AB415">
        <v>0</v>
      </c>
      <c r="AC415">
        <v>0</v>
      </c>
      <c r="AD415">
        <v>0</v>
      </c>
      <c r="AE415" t="s">
        <v>166</v>
      </c>
      <c r="AF415">
        <v>10</v>
      </c>
      <c r="AG415" t="s">
        <v>201</v>
      </c>
      <c r="AH415">
        <v>1</v>
      </c>
      <c r="AI415">
        <v>46235</v>
      </c>
      <c r="AJ415" t="s">
        <v>150</v>
      </c>
    </row>
    <row r="416" spans="1:36" x14ac:dyDescent="0.25">
      <c r="A416" s="1">
        <v>46236</v>
      </c>
      <c r="B416" t="s">
        <v>13</v>
      </c>
      <c r="C416" t="s">
        <v>12</v>
      </c>
      <c r="D416">
        <v>2.2474193200215873</v>
      </c>
      <c r="E416">
        <v>0.95</v>
      </c>
      <c r="F416">
        <v>0.95</v>
      </c>
      <c r="G416">
        <v>2.0484429065743952</v>
      </c>
      <c r="H416">
        <v>0.42270705405828535</v>
      </c>
      <c r="I416">
        <v>0.42270705405828535</v>
      </c>
      <c r="J416">
        <v>0.91146449099437266</v>
      </c>
      <c r="K416">
        <v>0</v>
      </c>
      <c r="L416">
        <v>0</v>
      </c>
      <c r="M416">
        <v>0</v>
      </c>
      <c r="N416">
        <v>0</v>
      </c>
      <c r="O416">
        <v>0</v>
      </c>
      <c r="P416">
        <v>0</v>
      </c>
      <c r="Q416">
        <v>0</v>
      </c>
      <c r="R416">
        <v>0</v>
      </c>
      <c r="S416">
        <v>0</v>
      </c>
      <c r="T416">
        <v>0.48875743693608731</v>
      </c>
      <c r="U416">
        <v>8.8535509005627344E-2</v>
      </c>
      <c r="V416">
        <v>0</v>
      </c>
      <c r="W416">
        <v>0</v>
      </c>
      <c r="X416">
        <v>0</v>
      </c>
      <c r="Y416">
        <v>0.42270705405828535</v>
      </c>
      <c r="Z416">
        <v>0</v>
      </c>
      <c r="AA416">
        <v>0</v>
      </c>
      <c r="AB416">
        <v>0</v>
      </c>
      <c r="AC416">
        <v>0</v>
      </c>
      <c r="AD416">
        <v>0</v>
      </c>
      <c r="AE416" t="s">
        <v>161</v>
      </c>
      <c r="AF416">
        <v>10</v>
      </c>
      <c r="AG416" t="s">
        <v>203</v>
      </c>
      <c r="AI416">
        <v>46236</v>
      </c>
      <c r="AJ416" t="s">
        <v>150</v>
      </c>
    </row>
    <row r="417" spans="1:36" x14ac:dyDescent="0.25">
      <c r="A417" s="1">
        <v>46236</v>
      </c>
      <c r="B417" t="s">
        <v>13</v>
      </c>
      <c r="C417" t="s">
        <v>11</v>
      </c>
      <c r="D417">
        <v>1.2735376146788993</v>
      </c>
      <c r="E417">
        <v>0</v>
      </c>
      <c r="F417">
        <v>0</v>
      </c>
      <c r="G417">
        <v>0.94117647058823517</v>
      </c>
      <c r="H417">
        <v>0</v>
      </c>
      <c r="I417">
        <v>0</v>
      </c>
      <c r="J417">
        <v>0.73902526296840998</v>
      </c>
      <c r="K417">
        <v>0</v>
      </c>
      <c r="L417">
        <v>0</v>
      </c>
      <c r="M417">
        <v>0</v>
      </c>
      <c r="N417">
        <v>0</v>
      </c>
      <c r="O417">
        <v>0</v>
      </c>
      <c r="P417">
        <v>0</v>
      </c>
      <c r="Q417">
        <v>0</v>
      </c>
      <c r="R417">
        <v>0</v>
      </c>
      <c r="S417">
        <v>0</v>
      </c>
      <c r="T417">
        <v>0.73902526296840998</v>
      </c>
      <c r="U417">
        <v>0.26097473703159002</v>
      </c>
      <c r="V417">
        <v>0</v>
      </c>
      <c r="W417">
        <v>0</v>
      </c>
      <c r="X417">
        <v>0</v>
      </c>
      <c r="Y417">
        <v>0</v>
      </c>
      <c r="Z417">
        <v>0</v>
      </c>
      <c r="AA417">
        <v>0</v>
      </c>
      <c r="AB417">
        <v>0</v>
      </c>
      <c r="AC417">
        <v>0</v>
      </c>
      <c r="AD417">
        <v>0</v>
      </c>
      <c r="AE417" t="s">
        <v>161</v>
      </c>
      <c r="AF417">
        <v>10</v>
      </c>
      <c r="AG417" t="s">
        <v>204</v>
      </c>
      <c r="AI417">
        <v>46236</v>
      </c>
      <c r="AJ417" t="s">
        <v>150</v>
      </c>
    </row>
    <row r="418" spans="1:36" x14ac:dyDescent="0.25">
      <c r="A418" s="1">
        <v>46236</v>
      </c>
      <c r="B418" t="s">
        <v>13</v>
      </c>
      <c r="C418" t="s">
        <v>10</v>
      </c>
      <c r="D418">
        <v>3.5818245412844032</v>
      </c>
      <c r="E418">
        <v>4.75</v>
      </c>
      <c r="F418">
        <v>4.75</v>
      </c>
      <c r="G418">
        <v>2.9411764705882346</v>
      </c>
      <c r="H418">
        <v>1.3261397774377586</v>
      </c>
      <c r="I418">
        <v>1.3261397774377586</v>
      </c>
      <c r="J418">
        <v>0.82113918107601125</v>
      </c>
      <c r="K418">
        <v>0</v>
      </c>
      <c r="L418">
        <v>0</v>
      </c>
      <c r="M418">
        <v>7.6139777437758571E-2</v>
      </c>
      <c r="N418">
        <v>0</v>
      </c>
      <c r="O418">
        <v>0</v>
      </c>
      <c r="P418">
        <v>0</v>
      </c>
      <c r="Q418">
        <v>0</v>
      </c>
      <c r="R418">
        <v>0</v>
      </c>
      <c r="S418">
        <v>0.25</v>
      </c>
      <c r="T418">
        <v>0</v>
      </c>
      <c r="U418">
        <v>0</v>
      </c>
      <c r="V418">
        <v>0</v>
      </c>
      <c r="W418">
        <v>0.17886081892398875</v>
      </c>
      <c r="X418">
        <v>0</v>
      </c>
      <c r="Y418">
        <v>0.82113918107601125</v>
      </c>
      <c r="Z418">
        <v>0</v>
      </c>
      <c r="AA418">
        <v>0</v>
      </c>
      <c r="AB418">
        <v>0</v>
      </c>
      <c r="AC418">
        <v>0</v>
      </c>
      <c r="AD418">
        <v>0</v>
      </c>
      <c r="AE418" t="s">
        <v>161</v>
      </c>
      <c r="AF418">
        <v>10</v>
      </c>
      <c r="AG418" t="s">
        <v>205</v>
      </c>
      <c r="AI418">
        <v>46236</v>
      </c>
      <c r="AJ418" t="s">
        <v>150</v>
      </c>
    </row>
    <row r="419" spans="1:36" x14ac:dyDescent="0.25">
      <c r="A419" s="1">
        <v>46236</v>
      </c>
      <c r="B419" t="s">
        <v>13</v>
      </c>
      <c r="C419" t="s">
        <v>12</v>
      </c>
      <c r="D419">
        <v>2.2486328293736499</v>
      </c>
      <c r="E419">
        <v>0.95</v>
      </c>
      <c r="F419">
        <v>0.95</v>
      </c>
      <c r="G419">
        <v>2.0484429065743952</v>
      </c>
      <c r="H419">
        <v>0.42247893368372624</v>
      </c>
      <c r="I419">
        <v>0.42247893368372624</v>
      </c>
      <c r="J419">
        <v>0.91097260513846667</v>
      </c>
      <c r="K419">
        <v>0</v>
      </c>
      <c r="L419">
        <v>0</v>
      </c>
      <c r="M419">
        <v>0</v>
      </c>
      <c r="N419">
        <v>0</v>
      </c>
      <c r="O419">
        <v>0</v>
      </c>
      <c r="P419">
        <v>0</v>
      </c>
      <c r="Q419">
        <v>0</v>
      </c>
      <c r="R419">
        <v>0</v>
      </c>
      <c r="S419">
        <v>0</v>
      </c>
      <c r="T419">
        <v>0.48849367145474043</v>
      </c>
      <c r="U419">
        <v>8.9027394861533327E-2</v>
      </c>
      <c r="V419">
        <v>0</v>
      </c>
      <c r="W419">
        <v>0</v>
      </c>
      <c r="X419">
        <v>0</v>
      </c>
      <c r="Y419">
        <v>0.42247893368372624</v>
      </c>
      <c r="Z419">
        <v>0</v>
      </c>
      <c r="AA419">
        <v>0</v>
      </c>
      <c r="AB419">
        <v>0</v>
      </c>
      <c r="AC419">
        <v>0</v>
      </c>
      <c r="AD419">
        <v>0</v>
      </c>
      <c r="AE419" t="s">
        <v>166</v>
      </c>
      <c r="AF419">
        <v>10</v>
      </c>
      <c r="AG419" t="s">
        <v>203</v>
      </c>
      <c r="AH419">
        <v>1</v>
      </c>
      <c r="AI419">
        <v>46236</v>
      </c>
      <c r="AJ419" t="s">
        <v>150</v>
      </c>
    </row>
    <row r="420" spans="1:36" x14ac:dyDescent="0.25">
      <c r="A420" s="1">
        <v>46236</v>
      </c>
      <c r="B420" t="s">
        <v>13</v>
      </c>
      <c r="C420" t="s">
        <v>11</v>
      </c>
      <c r="D420">
        <v>1.2742252699784016</v>
      </c>
      <c r="E420">
        <v>0</v>
      </c>
      <c r="F420">
        <v>0</v>
      </c>
      <c r="G420">
        <v>0.94117647058823517</v>
      </c>
      <c r="H420">
        <v>0</v>
      </c>
      <c r="I420">
        <v>0</v>
      </c>
      <c r="J420">
        <v>0.73862643659875649</v>
      </c>
      <c r="K420">
        <v>0</v>
      </c>
      <c r="L420">
        <v>0</v>
      </c>
      <c r="M420">
        <v>0</v>
      </c>
      <c r="N420">
        <v>0</v>
      </c>
      <c r="O420">
        <v>0</v>
      </c>
      <c r="P420">
        <v>0</v>
      </c>
      <c r="Q420">
        <v>0</v>
      </c>
      <c r="R420">
        <v>0</v>
      </c>
      <c r="S420">
        <v>0</v>
      </c>
      <c r="T420">
        <v>0.73862643659875649</v>
      </c>
      <c r="U420">
        <v>0.26137356340124351</v>
      </c>
      <c r="V420">
        <v>0</v>
      </c>
      <c r="W420">
        <v>0</v>
      </c>
      <c r="X420">
        <v>0</v>
      </c>
      <c r="Y420">
        <v>0</v>
      </c>
      <c r="Z420">
        <v>0</v>
      </c>
      <c r="AA420">
        <v>0</v>
      </c>
      <c r="AB420">
        <v>0</v>
      </c>
      <c r="AC420">
        <v>0</v>
      </c>
      <c r="AD420">
        <v>0</v>
      </c>
      <c r="AE420" t="s">
        <v>166</v>
      </c>
      <c r="AF420">
        <v>10</v>
      </c>
      <c r="AG420" t="s">
        <v>204</v>
      </c>
      <c r="AH420">
        <v>1</v>
      </c>
      <c r="AI420">
        <v>46236</v>
      </c>
      <c r="AJ420" t="s">
        <v>150</v>
      </c>
    </row>
    <row r="421" spans="1:36" x14ac:dyDescent="0.25">
      <c r="A421" s="1">
        <v>46236</v>
      </c>
      <c r="B421" t="s">
        <v>13</v>
      </c>
      <c r="C421" t="s">
        <v>10</v>
      </c>
      <c r="D421">
        <v>3.5134887958963272</v>
      </c>
      <c r="E421">
        <v>4.75</v>
      </c>
      <c r="F421">
        <v>4.75</v>
      </c>
      <c r="G421">
        <v>2.9411764705882346</v>
      </c>
      <c r="H421">
        <v>1.3519325877879242</v>
      </c>
      <c r="I421">
        <v>1.3519325877879242</v>
      </c>
      <c r="J421">
        <v>0.83710996147859074</v>
      </c>
      <c r="K421">
        <v>0</v>
      </c>
      <c r="L421">
        <v>0</v>
      </c>
      <c r="M421">
        <v>0.10193258778792424</v>
      </c>
      <c r="N421">
        <v>0</v>
      </c>
      <c r="O421">
        <v>0</v>
      </c>
      <c r="P421">
        <v>0</v>
      </c>
      <c r="Q421">
        <v>0</v>
      </c>
      <c r="R421">
        <v>0</v>
      </c>
      <c r="S421">
        <v>0.25</v>
      </c>
      <c r="T421">
        <v>0</v>
      </c>
      <c r="U421">
        <v>0</v>
      </c>
      <c r="V421">
        <v>0</v>
      </c>
      <c r="W421">
        <v>0.16289003852140926</v>
      </c>
      <c r="X421">
        <v>0</v>
      </c>
      <c r="Y421">
        <v>0.83710996147859074</v>
      </c>
      <c r="Z421">
        <v>0</v>
      </c>
      <c r="AA421">
        <v>0</v>
      </c>
      <c r="AB421">
        <v>0</v>
      </c>
      <c r="AC421">
        <v>0</v>
      </c>
      <c r="AD421">
        <v>0</v>
      </c>
      <c r="AE421" t="s">
        <v>166</v>
      </c>
      <c r="AF421">
        <v>10</v>
      </c>
      <c r="AG421" t="s">
        <v>205</v>
      </c>
      <c r="AH421">
        <v>1</v>
      </c>
      <c r="AI421">
        <v>46236</v>
      </c>
      <c r="AJ421" t="s">
        <v>150</v>
      </c>
    </row>
    <row r="422" spans="1:36" x14ac:dyDescent="0.25">
      <c r="A422" s="1">
        <v>46237</v>
      </c>
      <c r="B422" t="s">
        <v>13</v>
      </c>
      <c r="C422" t="s">
        <v>10</v>
      </c>
      <c r="D422">
        <v>5.8204648795871554</v>
      </c>
      <c r="E422">
        <v>0</v>
      </c>
      <c r="F422">
        <v>0</v>
      </c>
      <c r="G422">
        <v>4.2886029411764701</v>
      </c>
      <c r="H422">
        <v>0</v>
      </c>
      <c r="I422">
        <v>0</v>
      </c>
      <c r="J422">
        <v>0.73681450363474399</v>
      </c>
      <c r="K422">
        <v>0</v>
      </c>
      <c r="L422">
        <v>0</v>
      </c>
      <c r="M422">
        <v>0</v>
      </c>
      <c r="N422">
        <v>0</v>
      </c>
      <c r="O422">
        <v>0</v>
      </c>
      <c r="P422">
        <v>0</v>
      </c>
      <c r="Q422">
        <v>0</v>
      </c>
      <c r="R422">
        <v>0</v>
      </c>
      <c r="S422">
        <v>0</v>
      </c>
      <c r="T422">
        <v>0.73681450363474399</v>
      </c>
      <c r="U422">
        <v>0.26318549636525601</v>
      </c>
      <c r="V422">
        <v>0</v>
      </c>
      <c r="W422">
        <v>0</v>
      </c>
      <c r="X422">
        <v>0</v>
      </c>
      <c r="Y422">
        <v>0</v>
      </c>
      <c r="Z422">
        <v>0</v>
      </c>
      <c r="AA422">
        <v>0</v>
      </c>
      <c r="AB422">
        <v>0</v>
      </c>
      <c r="AC422">
        <v>0</v>
      </c>
      <c r="AD422">
        <v>0</v>
      </c>
      <c r="AE422" t="s">
        <v>161</v>
      </c>
      <c r="AF422">
        <v>10</v>
      </c>
      <c r="AG422" t="s">
        <v>206</v>
      </c>
      <c r="AI422">
        <v>46237</v>
      </c>
      <c r="AJ422" t="s">
        <v>150</v>
      </c>
    </row>
    <row r="423" spans="1:36" x14ac:dyDescent="0.25">
      <c r="A423" s="1">
        <v>46237</v>
      </c>
      <c r="B423" t="s">
        <v>13</v>
      </c>
      <c r="C423" t="s">
        <v>11</v>
      </c>
      <c r="D423">
        <v>1.2735376146788993</v>
      </c>
      <c r="E423">
        <v>0</v>
      </c>
      <c r="F423">
        <v>0</v>
      </c>
      <c r="G423">
        <v>0.94117647058823517</v>
      </c>
      <c r="H423">
        <v>0</v>
      </c>
      <c r="I423">
        <v>0</v>
      </c>
      <c r="J423">
        <v>0.73902526296840998</v>
      </c>
      <c r="K423">
        <v>0</v>
      </c>
      <c r="L423">
        <v>0</v>
      </c>
      <c r="M423">
        <v>0</v>
      </c>
      <c r="N423">
        <v>0</v>
      </c>
      <c r="O423">
        <v>0</v>
      </c>
      <c r="P423">
        <v>0</v>
      </c>
      <c r="Q423">
        <v>0</v>
      </c>
      <c r="R423">
        <v>0</v>
      </c>
      <c r="S423">
        <v>0</v>
      </c>
      <c r="T423">
        <v>0.73902526296840998</v>
      </c>
      <c r="U423">
        <v>0.26097473703159002</v>
      </c>
      <c r="V423">
        <v>0</v>
      </c>
      <c r="W423">
        <v>0</v>
      </c>
      <c r="X423">
        <v>0</v>
      </c>
      <c r="Y423">
        <v>0</v>
      </c>
      <c r="Z423">
        <v>0</v>
      </c>
      <c r="AA423">
        <v>0</v>
      </c>
      <c r="AB423">
        <v>0</v>
      </c>
      <c r="AC423">
        <v>0</v>
      </c>
      <c r="AD423">
        <v>0</v>
      </c>
      <c r="AE423" t="s">
        <v>161</v>
      </c>
      <c r="AF423">
        <v>10</v>
      </c>
      <c r="AG423" t="s">
        <v>207</v>
      </c>
      <c r="AI423">
        <v>46237</v>
      </c>
      <c r="AJ423" t="s">
        <v>150</v>
      </c>
    </row>
    <row r="424" spans="1:36" x14ac:dyDescent="0.25">
      <c r="A424" s="1">
        <v>46237</v>
      </c>
      <c r="B424" t="s">
        <v>13</v>
      </c>
      <c r="C424" t="s">
        <v>12</v>
      </c>
      <c r="D424">
        <v>3.3711289800323798</v>
      </c>
      <c r="E424">
        <v>0</v>
      </c>
      <c r="F424">
        <v>0</v>
      </c>
      <c r="G424">
        <v>3.4861591695501724</v>
      </c>
      <c r="H424">
        <v>0</v>
      </c>
      <c r="I424">
        <v>0</v>
      </c>
      <c r="J424">
        <v>1.0341221561676017</v>
      </c>
      <c r="K424">
        <v>3.4122156167601725E-2</v>
      </c>
      <c r="L424">
        <v>0</v>
      </c>
      <c r="M424">
        <v>0</v>
      </c>
      <c r="N424">
        <v>0</v>
      </c>
      <c r="O424">
        <v>0</v>
      </c>
      <c r="P424">
        <v>0</v>
      </c>
      <c r="Q424">
        <v>0</v>
      </c>
      <c r="R424">
        <v>0</v>
      </c>
      <c r="S424">
        <v>0</v>
      </c>
      <c r="T424">
        <v>0</v>
      </c>
      <c r="U424">
        <v>0</v>
      </c>
      <c r="V424">
        <v>0</v>
      </c>
      <c r="W424">
        <v>0</v>
      </c>
      <c r="X424">
        <v>0</v>
      </c>
      <c r="Y424">
        <v>0</v>
      </c>
      <c r="Z424">
        <v>0</v>
      </c>
      <c r="AA424">
        <v>0</v>
      </c>
      <c r="AB424">
        <v>0</v>
      </c>
      <c r="AC424">
        <v>1</v>
      </c>
      <c r="AD424">
        <v>0</v>
      </c>
      <c r="AE424" t="s">
        <v>161</v>
      </c>
      <c r="AF424">
        <v>10</v>
      </c>
      <c r="AG424" t="s">
        <v>208</v>
      </c>
      <c r="AI424">
        <v>46237</v>
      </c>
      <c r="AJ424" t="s">
        <v>150</v>
      </c>
    </row>
    <row r="425" spans="1:36" x14ac:dyDescent="0.25">
      <c r="A425" s="1">
        <v>46237</v>
      </c>
      <c r="B425" t="s">
        <v>13</v>
      </c>
      <c r="C425" t="s">
        <v>10</v>
      </c>
      <c r="D425">
        <v>5.8323914011879037</v>
      </c>
      <c r="E425">
        <v>0</v>
      </c>
      <c r="F425">
        <v>0</v>
      </c>
      <c r="G425">
        <v>4.2886029411764701</v>
      </c>
      <c r="H425">
        <v>0</v>
      </c>
      <c r="I425">
        <v>0</v>
      </c>
      <c r="J425">
        <v>0.73530780878371693</v>
      </c>
      <c r="K425">
        <v>0</v>
      </c>
      <c r="L425">
        <v>0</v>
      </c>
      <c r="M425">
        <v>0</v>
      </c>
      <c r="N425">
        <v>0</v>
      </c>
      <c r="O425">
        <v>0</v>
      </c>
      <c r="P425">
        <v>0</v>
      </c>
      <c r="Q425">
        <v>0</v>
      </c>
      <c r="R425">
        <v>0</v>
      </c>
      <c r="S425">
        <v>0</v>
      </c>
      <c r="T425">
        <v>0.73530780878371693</v>
      </c>
      <c r="U425">
        <v>0.26469219121628307</v>
      </c>
      <c r="V425">
        <v>0</v>
      </c>
      <c r="W425">
        <v>0</v>
      </c>
      <c r="X425">
        <v>0</v>
      </c>
      <c r="Y425">
        <v>0</v>
      </c>
      <c r="Z425">
        <v>0</v>
      </c>
      <c r="AA425">
        <v>0</v>
      </c>
      <c r="AB425">
        <v>0</v>
      </c>
      <c r="AC425">
        <v>0</v>
      </c>
      <c r="AD425">
        <v>0</v>
      </c>
      <c r="AE425" t="s">
        <v>166</v>
      </c>
      <c r="AF425">
        <v>10</v>
      </c>
      <c r="AG425" t="s">
        <v>206</v>
      </c>
      <c r="AH425">
        <v>1</v>
      </c>
      <c r="AI425">
        <v>46237</v>
      </c>
      <c r="AJ425" t="s">
        <v>150</v>
      </c>
    </row>
    <row r="426" spans="1:36" x14ac:dyDescent="0.25">
      <c r="A426" s="1">
        <v>46237</v>
      </c>
      <c r="B426" t="s">
        <v>13</v>
      </c>
      <c r="C426" t="s">
        <v>11</v>
      </c>
      <c r="D426">
        <v>1.2742252699784016</v>
      </c>
      <c r="E426">
        <v>0</v>
      </c>
      <c r="F426">
        <v>0</v>
      </c>
      <c r="G426">
        <v>0.94117647058823517</v>
      </c>
      <c r="H426">
        <v>0</v>
      </c>
      <c r="I426">
        <v>0</v>
      </c>
      <c r="J426">
        <v>0.73862643659875649</v>
      </c>
      <c r="K426">
        <v>0</v>
      </c>
      <c r="L426">
        <v>0</v>
      </c>
      <c r="M426">
        <v>0</v>
      </c>
      <c r="N426">
        <v>0</v>
      </c>
      <c r="O426">
        <v>0</v>
      </c>
      <c r="P426">
        <v>0</v>
      </c>
      <c r="Q426">
        <v>0</v>
      </c>
      <c r="R426">
        <v>0</v>
      </c>
      <c r="S426">
        <v>0</v>
      </c>
      <c r="T426">
        <v>0.73862643659875649</v>
      </c>
      <c r="U426">
        <v>0.26137356340124351</v>
      </c>
      <c r="V426">
        <v>0</v>
      </c>
      <c r="W426">
        <v>0</v>
      </c>
      <c r="X426">
        <v>0</v>
      </c>
      <c r="Y426">
        <v>0</v>
      </c>
      <c r="Z426">
        <v>0</v>
      </c>
      <c r="AA426">
        <v>0</v>
      </c>
      <c r="AB426">
        <v>0</v>
      </c>
      <c r="AC426">
        <v>0</v>
      </c>
      <c r="AD426">
        <v>0</v>
      </c>
      <c r="AE426" t="s">
        <v>166</v>
      </c>
      <c r="AF426">
        <v>10</v>
      </c>
      <c r="AG426" t="s">
        <v>207</v>
      </c>
      <c r="AH426">
        <v>1</v>
      </c>
      <c r="AI426">
        <v>46237</v>
      </c>
      <c r="AJ426" t="s">
        <v>150</v>
      </c>
    </row>
    <row r="427" spans="1:36" x14ac:dyDescent="0.25">
      <c r="A427" s="1">
        <v>46237</v>
      </c>
      <c r="B427" t="s">
        <v>13</v>
      </c>
      <c r="C427" t="s">
        <v>12</v>
      </c>
      <c r="D427">
        <v>3.3729492440604751</v>
      </c>
      <c r="E427">
        <v>0</v>
      </c>
      <c r="F427">
        <v>0</v>
      </c>
      <c r="G427">
        <v>3.4861591695501724</v>
      </c>
      <c r="H427">
        <v>0</v>
      </c>
      <c r="I427">
        <v>0</v>
      </c>
      <c r="J427">
        <v>1.0335640762128431</v>
      </c>
      <c r="K427">
        <v>3.3564076212843075E-2</v>
      </c>
      <c r="L427">
        <v>0</v>
      </c>
      <c r="M427">
        <v>0</v>
      </c>
      <c r="N427">
        <v>0</v>
      </c>
      <c r="O427">
        <v>0</v>
      </c>
      <c r="P427">
        <v>0</v>
      </c>
      <c r="Q427">
        <v>0</v>
      </c>
      <c r="R427">
        <v>0</v>
      </c>
      <c r="S427">
        <v>0</v>
      </c>
      <c r="T427">
        <v>0</v>
      </c>
      <c r="U427">
        <v>0</v>
      </c>
      <c r="V427">
        <v>0</v>
      </c>
      <c r="W427">
        <v>0</v>
      </c>
      <c r="X427">
        <v>0</v>
      </c>
      <c r="Y427">
        <v>0</v>
      </c>
      <c r="Z427">
        <v>0</v>
      </c>
      <c r="AA427">
        <v>0</v>
      </c>
      <c r="AB427">
        <v>0</v>
      </c>
      <c r="AC427">
        <v>1</v>
      </c>
      <c r="AD427">
        <v>0</v>
      </c>
      <c r="AE427" t="s">
        <v>166</v>
      </c>
      <c r="AF427">
        <v>10</v>
      </c>
      <c r="AG427" t="s">
        <v>208</v>
      </c>
      <c r="AH427">
        <v>1</v>
      </c>
      <c r="AI427">
        <v>46237</v>
      </c>
      <c r="AJ427" t="s">
        <v>150</v>
      </c>
    </row>
    <row r="428" spans="1:36" x14ac:dyDescent="0.25">
      <c r="A428" s="1">
        <v>46238</v>
      </c>
      <c r="B428" t="s">
        <v>13</v>
      </c>
      <c r="C428" t="s">
        <v>12</v>
      </c>
      <c r="D428">
        <v>3.3711289800323798</v>
      </c>
      <c r="E428">
        <v>0</v>
      </c>
      <c r="F428">
        <v>0</v>
      </c>
      <c r="G428">
        <v>3.4861591695501724</v>
      </c>
      <c r="H428">
        <v>0</v>
      </c>
      <c r="I428">
        <v>0</v>
      </c>
      <c r="J428">
        <v>1.0341221561676017</v>
      </c>
      <c r="K428">
        <v>3.4122156167601725E-2</v>
      </c>
      <c r="L428">
        <v>0</v>
      </c>
      <c r="M428">
        <v>0</v>
      </c>
      <c r="N428">
        <v>0</v>
      </c>
      <c r="O428">
        <v>0</v>
      </c>
      <c r="P428">
        <v>0</v>
      </c>
      <c r="Q428">
        <v>0</v>
      </c>
      <c r="R428">
        <v>0</v>
      </c>
      <c r="S428">
        <v>0</v>
      </c>
      <c r="T428">
        <v>0</v>
      </c>
      <c r="U428">
        <v>0</v>
      </c>
      <c r="V428">
        <v>0</v>
      </c>
      <c r="W428">
        <v>0</v>
      </c>
      <c r="X428">
        <v>0</v>
      </c>
      <c r="Y428">
        <v>0</v>
      </c>
      <c r="Z428">
        <v>0</v>
      </c>
      <c r="AA428">
        <v>0</v>
      </c>
      <c r="AB428">
        <v>0</v>
      </c>
      <c r="AC428">
        <v>1</v>
      </c>
      <c r="AD428">
        <v>0</v>
      </c>
      <c r="AE428" t="s">
        <v>161</v>
      </c>
      <c r="AF428">
        <v>10</v>
      </c>
      <c r="AG428" t="s">
        <v>209</v>
      </c>
      <c r="AI428">
        <v>46238</v>
      </c>
      <c r="AJ428" t="s">
        <v>150</v>
      </c>
    </row>
    <row r="429" spans="1:36" x14ac:dyDescent="0.25">
      <c r="A429" s="1">
        <v>46238</v>
      </c>
      <c r="B429" t="s">
        <v>13</v>
      </c>
      <c r="C429" t="s">
        <v>10</v>
      </c>
      <c r="D429">
        <v>5.8204648795871554</v>
      </c>
      <c r="E429">
        <v>0</v>
      </c>
      <c r="F429">
        <v>0</v>
      </c>
      <c r="G429">
        <v>4.2886029411764701</v>
      </c>
      <c r="H429">
        <v>0</v>
      </c>
      <c r="I429">
        <v>0</v>
      </c>
      <c r="J429">
        <v>0.73681450363474399</v>
      </c>
      <c r="K429">
        <v>0</v>
      </c>
      <c r="L429">
        <v>0</v>
      </c>
      <c r="M429">
        <v>0</v>
      </c>
      <c r="N429">
        <v>0</v>
      </c>
      <c r="O429">
        <v>0</v>
      </c>
      <c r="P429">
        <v>0</v>
      </c>
      <c r="Q429">
        <v>0</v>
      </c>
      <c r="R429">
        <v>0</v>
      </c>
      <c r="S429">
        <v>0</v>
      </c>
      <c r="T429">
        <v>0.73681450363474399</v>
      </c>
      <c r="U429">
        <v>0.26318549636525601</v>
      </c>
      <c r="V429">
        <v>0</v>
      </c>
      <c r="W429">
        <v>0</v>
      </c>
      <c r="X429">
        <v>0</v>
      </c>
      <c r="Y429">
        <v>0</v>
      </c>
      <c r="Z429">
        <v>0</v>
      </c>
      <c r="AA429">
        <v>0</v>
      </c>
      <c r="AB429">
        <v>0</v>
      </c>
      <c r="AC429">
        <v>0</v>
      </c>
      <c r="AD429">
        <v>0</v>
      </c>
      <c r="AE429" t="s">
        <v>161</v>
      </c>
      <c r="AF429">
        <v>10</v>
      </c>
      <c r="AG429" t="s">
        <v>211</v>
      </c>
      <c r="AI429">
        <v>46238</v>
      </c>
      <c r="AJ429" t="s">
        <v>150</v>
      </c>
    </row>
    <row r="430" spans="1:36" x14ac:dyDescent="0.25">
      <c r="A430" s="1">
        <v>46238</v>
      </c>
      <c r="B430" t="s">
        <v>13</v>
      </c>
      <c r="C430" t="s">
        <v>11</v>
      </c>
      <c r="D430">
        <v>1.2735376146788993</v>
      </c>
      <c r="E430">
        <v>0</v>
      </c>
      <c r="F430">
        <v>0</v>
      </c>
      <c r="G430">
        <v>0.94117647058823517</v>
      </c>
      <c r="H430">
        <v>0</v>
      </c>
      <c r="I430">
        <v>0</v>
      </c>
      <c r="J430">
        <v>0.73902526296840998</v>
      </c>
      <c r="K430">
        <v>0</v>
      </c>
      <c r="L430">
        <v>0</v>
      </c>
      <c r="M430">
        <v>0</v>
      </c>
      <c r="N430">
        <v>0</v>
      </c>
      <c r="O430">
        <v>0</v>
      </c>
      <c r="P430">
        <v>0</v>
      </c>
      <c r="Q430">
        <v>0</v>
      </c>
      <c r="R430">
        <v>0</v>
      </c>
      <c r="S430">
        <v>0</v>
      </c>
      <c r="T430">
        <v>0.73902526296840998</v>
      </c>
      <c r="U430">
        <v>0.26097473703159002</v>
      </c>
      <c r="V430">
        <v>0</v>
      </c>
      <c r="W430">
        <v>0</v>
      </c>
      <c r="X430">
        <v>0</v>
      </c>
      <c r="Y430">
        <v>0</v>
      </c>
      <c r="Z430">
        <v>0</v>
      </c>
      <c r="AA430">
        <v>0</v>
      </c>
      <c r="AB430">
        <v>0</v>
      </c>
      <c r="AC430">
        <v>0</v>
      </c>
      <c r="AD430">
        <v>0</v>
      </c>
      <c r="AE430" t="s">
        <v>161</v>
      </c>
      <c r="AF430">
        <v>10</v>
      </c>
      <c r="AG430" t="s">
        <v>210</v>
      </c>
      <c r="AI430">
        <v>46238</v>
      </c>
      <c r="AJ430" t="s">
        <v>150</v>
      </c>
    </row>
    <row r="431" spans="1:36" x14ac:dyDescent="0.25">
      <c r="A431" s="1">
        <v>46238</v>
      </c>
      <c r="B431" t="s">
        <v>13</v>
      </c>
      <c r="C431" t="s">
        <v>12</v>
      </c>
      <c r="D431">
        <v>3.3729492440604751</v>
      </c>
      <c r="E431">
        <v>0</v>
      </c>
      <c r="F431">
        <v>0</v>
      </c>
      <c r="G431">
        <v>3.4861591695501724</v>
      </c>
      <c r="H431">
        <v>0</v>
      </c>
      <c r="I431">
        <v>0</v>
      </c>
      <c r="J431">
        <v>1.0335640762128431</v>
      </c>
      <c r="K431">
        <v>3.3564076212843075E-2</v>
      </c>
      <c r="L431">
        <v>0</v>
      </c>
      <c r="M431">
        <v>0</v>
      </c>
      <c r="N431">
        <v>0</v>
      </c>
      <c r="O431">
        <v>0</v>
      </c>
      <c r="P431">
        <v>0</v>
      </c>
      <c r="Q431">
        <v>0</v>
      </c>
      <c r="R431">
        <v>0</v>
      </c>
      <c r="S431">
        <v>0</v>
      </c>
      <c r="T431">
        <v>0</v>
      </c>
      <c r="U431">
        <v>0</v>
      </c>
      <c r="V431">
        <v>0</v>
      </c>
      <c r="W431">
        <v>0</v>
      </c>
      <c r="X431">
        <v>0</v>
      </c>
      <c r="Y431">
        <v>0</v>
      </c>
      <c r="Z431">
        <v>0</v>
      </c>
      <c r="AA431">
        <v>0</v>
      </c>
      <c r="AB431">
        <v>0</v>
      </c>
      <c r="AC431">
        <v>1</v>
      </c>
      <c r="AD431">
        <v>0</v>
      </c>
      <c r="AE431" t="s">
        <v>166</v>
      </c>
      <c r="AF431">
        <v>10</v>
      </c>
      <c r="AG431" t="s">
        <v>209</v>
      </c>
      <c r="AH431">
        <v>1</v>
      </c>
      <c r="AI431">
        <v>46238</v>
      </c>
      <c r="AJ431" t="s">
        <v>150</v>
      </c>
    </row>
    <row r="432" spans="1:36" x14ac:dyDescent="0.25">
      <c r="A432" s="1">
        <v>46238</v>
      </c>
      <c r="B432" t="s">
        <v>13</v>
      </c>
      <c r="C432" t="s">
        <v>10</v>
      </c>
      <c r="D432">
        <v>5.8323914011879046</v>
      </c>
      <c r="E432">
        <v>0</v>
      </c>
      <c r="F432">
        <v>0</v>
      </c>
      <c r="G432">
        <v>4.2886029411764701</v>
      </c>
      <c r="H432">
        <v>0</v>
      </c>
      <c r="I432">
        <v>0</v>
      </c>
      <c r="J432">
        <v>0.73530780878371682</v>
      </c>
      <c r="K432">
        <v>0</v>
      </c>
      <c r="L432">
        <v>0</v>
      </c>
      <c r="M432">
        <v>0</v>
      </c>
      <c r="N432">
        <v>0</v>
      </c>
      <c r="O432">
        <v>0</v>
      </c>
      <c r="P432">
        <v>0</v>
      </c>
      <c r="Q432">
        <v>0</v>
      </c>
      <c r="R432">
        <v>0</v>
      </c>
      <c r="S432">
        <v>0</v>
      </c>
      <c r="T432">
        <v>0.73530780878371682</v>
      </c>
      <c r="U432">
        <v>0.26469219121628318</v>
      </c>
      <c r="V432">
        <v>0</v>
      </c>
      <c r="W432">
        <v>0</v>
      </c>
      <c r="X432">
        <v>0</v>
      </c>
      <c r="Y432">
        <v>0</v>
      </c>
      <c r="Z432">
        <v>0</v>
      </c>
      <c r="AA432">
        <v>0</v>
      </c>
      <c r="AB432">
        <v>0</v>
      </c>
      <c r="AC432">
        <v>0</v>
      </c>
      <c r="AD432">
        <v>0</v>
      </c>
      <c r="AE432" t="s">
        <v>166</v>
      </c>
      <c r="AF432">
        <v>10</v>
      </c>
      <c r="AG432" t="s">
        <v>211</v>
      </c>
      <c r="AH432">
        <v>1</v>
      </c>
      <c r="AI432">
        <v>46238</v>
      </c>
      <c r="AJ432" t="s">
        <v>150</v>
      </c>
    </row>
    <row r="433" spans="1:36" x14ac:dyDescent="0.25">
      <c r="A433" s="1">
        <v>46238</v>
      </c>
      <c r="B433" t="s">
        <v>13</v>
      </c>
      <c r="C433" t="s">
        <v>11</v>
      </c>
      <c r="D433">
        <v>1.2742252699784016</v>
      </c>
      <c r="E433">
        <v>0</v>
      </c>
      <c r="F433">
        <v>0</v>
      </c>
      <c r="G433">
        <v>0.94117647058823517</v>
      </c>
      <c r="H433">
        <v>0</v>
      </c>
      <c r="I433">
        <v>0</v>
      </c>
      <c r="J433">
        <v>0.73862643659875649</v>
      </c>
      <c r="K433">
        <v>0</v>
      </c>
      <c r="L433">
        <v>0</v>
      </c>
      <c r="M433">
        <v>0</v>
      </c>
      <c r="N433">
        <v>0</v>
      </c>
      <c r="O433">
        <v>0</v>
      </c>
      <c r="P433">
        <v>0</v>
      </c>
      <c r="Q433">
        <v>0</v>
      </c>
      <c r="R433">
        <v>0</v>
      </c>
      <c r="S433">
        <v>0</v>
      </c>
      <c r="T433">
        <v>0.73862643659875649</v>
      </c>
      <c r="U433">
        <v>0.26137356340124351</v>
      </c>
      <c r="V433">
        <v>0</v>
      </c>
      <c r="W433">
        <v>0</v>
      </c>
      <c r="X433">
        <v>0</v>
      </c>
      <c r="Y433">
        <v>0</v>
      </c>
      <c r="Z433">
        <v>0</v>
      </c>
      <c r="AA433">
        <v>0</v>
      </c>
      <c r="AB433">
        <v>0</v>
      </c>
      <c r="AC433">
        <v>0</v>
      </c>
      <c r="AD433">
        <v>0</v>
      </c>
      <c r="AE433" t="s">
        <v>166</v>
      </c>
      <c r="AF433">
        <v>10</v>
      </c>
      <c r="AG433" t="s">
        <v>210</v>
      </c>
      <c r="AH433">
        <v>1</v>
      </c>
      <c r="AI433">
        <v>46238</v>
      </c>
      <c r="AJ433" t="s">
        <v>150</v>
      </c>
    </row>
    <row r="434" spans="1:36" x14ac:dyDescent="0.25">
      <c r="A434" s="1">
        <v>46239</v>
      </c>
      <c r="B434" t="s">
        <v>13</v>
      </c>
      <c r="C434" t="s">
        <v>11</v>
      </c>
      <c r="D434">
        <v>1.2735376146788993</v>
      </c>
      <c r="E434">
        <v>0</v>
      </c>
      <c r="F434">
        <v>0</v>
      </c>
      <c r="G434">
        <v>0.94117647058823517</v>
      </c>
      <c r="H434">
        <v>0</v>
      </c>
      <c r="I434">
        <v>0</v>
      </c>
      <c r="J434">
        <v>0.73902526296840998</v>
      </c>
      <c r="K434">
        <v>0</v>
      </c>
      <c r="L434">
        <v>0</v>
      </c>
      <c r="M434">
        <v>0</v>
      </c>
      <c r="N434">
        <v>0</v>
      </c>
      <c r="O434">
        <v>0</v>
      </c>
      <c r="P434">
        <v>0</v>
      </c>
      <c r="Q434">
        <v>0</v>
      </c>
      <c r="R434">
        <v>0</v>
      </c>
      <c r="S434">
        <v>0</v>
      </c>
      <c r="T434">
        <v>0.73902526296840998</v>
      </c>
      <c r="U434">
        <v>0.26097473703159002</v>
      </c>
      <c r="V434">
        <v>0</v>
      </c>
      <c r="W434">
        <v>0</v>
      </c>
      <c r="X434">
        <v>0</v>
      </c>
      <c r="Y434">
        <v>0</v>
      </c>
      <c r="Z434">
        <v>0</v>
      </c>
      <c r="AA434">
        <v>0</v>
      </c>
      <c r="AB434">
        <v>0</v>
      </c>
      <c r="AC434">
        <v>0</v>
      </c>
      <c r="AD434">
        <v>0</v>
      </c>
      <c r="AE434" t="s">
        <v>161</v>
      </c>
      <c r="AF434">
        <v>10</v>
      </c>
      <c r="AG434" t="s">
        <v>212</v>
      </c>
      <c r="AI434">
        <v>46239</v>
      </c>
      <c r="AJ434" t="s">
        <v>150</v>
      </c>
    </row>
    <row r="435" spans="1:36" x14ac:dyDescent="0.25">
      <c r="A435" s="1">
        <v>46239</v>
      </c>
      <c r="B435" t="s">
        <v>13</v>
      </c>
      <c r="C435" t="s">
        <v>12</v>
      </c>
      <c r="D435">
        <v>3.9329838100377774</v>
      </c>
      <c r="E435">
        <v>0</v>
      </c>
      <c r="F435">
        <v>0</v>
      </c>
      <c r="G435">
        <v>3.8460207612456743</v>
      </c>
      <c r="H435">
        <v>0</v>
      </c>
      <c r="I435">
        <v>0</v>
      </c>
      <c r="J435">
        <v>0.97788878546355673</v>
      </c>
      <c r="K435">
        <v>0</v>
      </c>
      <c r="L435">
        <v>0</v>
      </c>
      <c r="M435">
        <v>0</v>
      </c>
      <c r="N435">
        <v>0</v>
      </c>
      <c r="O435">
        <v>0</v>
      </c>
      <c r="P435">
        <v>0</v>
      </c>
      <c r="Q435">
        <v>0</v>
      </c>
      <c r="R435">
        <v>0</v>
      </c>
      <c r="S435">
        <v>0</v>
      </c>
      <c r="T435">
        <v>0.97788878546355673</v>
      </c>
      <c r="U435">
        <v>2.2111214536443269E-2</v>
      </c>
      <c r="V435">
        <v>0</v>
      </c>
      <c r="W435">
        <v>0</v>
      </c>
      <c r="X435">
        <v>0</v>
      </c>
      <c r="Y435">
        <v>0</v>
      </c>
      <c r="Z435">
        <v>0</v>
      </c>
      <c r="AA435">
        <v>0</v>
      </c>
      <c r="AB435">
        <v>0</v>
      </c>
      <c r="AC435">
        <v>0</v>
      </c>
      <c r="AD435">
        <v>0</v>
      </c>
      <c r="AE435" t="s">
        <v>161</v>
      </c>
      <c r="AF435">
        <v>10</v>
      </c>
      <c r="AG435" t="s">
        <v>213</v>
      </c>
      <c r="AI435">
        <v>46239</v>
      </c>
      <c r="AJ435" t="s">
        <v>150</v>
      </c>
    </row>
    <row r="436" spans="1:36" x14ac:dyDescent="0.25">
      <c r="A436" s="1">
        <v>46239</v>
      </c>
      <c r="B436" t="s">
        <v>13</v>
      </c>
      <c r="C436" t="s">
        <v>10</v>
      </c>
      <c r="D436">
        <v>4.6265233658256895</v>
      </c>
      <c r="E436">
        <v>0</v>
      </c>
      <c r="F436">
        <v>0</v>
      </c>
      <c r="G436">
        <v>2.40625</v>
      </c>
      <c r="H436">
        <v>0</v>
      </c>
      <c r="I436">
        <v>0</v>
      </c>
      <c r="J436">
        <v>0.52009896194927352</v>
      </c>
      <c r="K436">
        <v>0</v>
      </c>
      <c r="L436">
        <v>0</v>
      </c>
      <c r="M436">
        <v>0</v>
      </c>
      <c r="N436">
        <v>0</v>
      </c>
      <c r="O436">
        <v>0</v>
      </c>
      <c r="P436">
        <v>0</v>
      </c>
      <c r="Q436">
        <v>0</v>
      </c>
      <c r="R436">
        <v>0</v>
      </c>
      <c r="S436">
        <v>0</v>
      </c>
      <c r="T436">
        <v>0.52009896194927352</v>
      </c>
      <c r="U436">
        <v>0.47990103805072648</v>
      </c>
      <c r="V436">
        <v>0</v>
      </c>
      <c r="W436">
        <v>0</v>
      </c>
      <c r="X436">
        <v>0</v>
      </c>
      <c r="Y436">
        <v>0</v>
      </c>
      <c r="Z436">
        <v>0</v>
      </c>
      <c r="AA436">
        <v>0</v>
      </c>
      <c r="AB436">
        <v>0</v>
      </c>
      <c r="AC436">
        <v>0</v>
      </c>
      <c r="AD436">
        <v>0</v>
      </c>
      <c r="AE436" t="s">
        <v>161</v>
      </c>
      <c r="AF436">
        <v>10</v>
      </c>
      <c r="AG436" t="s">
        <v>214</v>
      </c>
      <c r="AI436">
        <v>46239</v>
      </c>
      <c r="AJ436" t="s">
        <v>150</v>
      </c>
    </row>
    <row r="437" spans="1:36" x14ac:dyDescent="0.25">
      <c r="A437" s="1">
        <v>46239</v>
      </c>
      <c r="B437" t="s">
        <v>13</v>
      </c>
      <c r="C437" t="s">
        <v>11</v>
      </c>
      <c r="D437">
        <v>1.2742252699784016</v>
      </c>
      <c r="E437">
        <v>0</v>
      </c>
      <c r="F437">
        <v>0</v>
      </c>
      <c r="G437">
        <v>0.94117647058823517</v>
      </c>
      <c r="H437">
        <v>0</v>
      </c>
      <c r="I437">
        <v>0</v>
      </c>
      <c r="J437">
        <v>0.73862643659875649</v>
      </c>
      <c r="K437">
        <v>0</v>
      </c>
      <c r="L437">
        <v>0</v>
      </c>
      <c r="M437">
        <v>0</v>
      </c>
      <c r="N437">
        <v>0</v>
      </c>
      <c r="O437">
        <v>0</v>
      </c>
      <c r="P437">
        <v>0</v>
      </c>
      <c r="Q437">
        <v>0</v>
      </c>
      <c r="R437">
        <v>0</v>
      </c>
      <c r="S437">
        <v>0</v>
      </c>
      <c r="T437">
        <v>0.73862643659875649</v>
      </c>
      <c r="U437">
        <v>0.26137356340124351</v>
      </c>
      <c r="V437">
        <v>0</v>
      </c>
      <c r="W437">
        <v>0</v>
      </c>
      <c r="X437">
        <v>0</v>
      </c>
      <c r="Y437">
        <v>0</v>
      </c>
      <c r="Z437">
        <v>0</v>
      </c>
      <c r="AA437">
        <v>0</v>
      </c>
      <c r="AB437">
        <v>0</v>
      </c>
      <c r="AC437">
        <v>0</v>
      </c>
      <c r="AD437">
        <v>0</v>
      </c>
      <c r="AE437" t="s">
        <v>166</v>
      </c>
      <c r="AF437">
        <v>10</v>
      </c>
      <c r="AG437" t="s">
        <v>212</v>
      </c>
      <c r="AH437">
        <v>1</v>
      </c>
      <c r="AI437">
        <v>46239</v>
      </c>
      <c r="AJ437" t="s">
        <v>150</v>
      </c>
    </row>
    <row r="438" spans="1:36" x14ac:dyDescent="0.25">
      <c r="A438" s="1">
        <v>46239</v>
      </c>
      <c r="B438" t="s">
        <v>13</v>
      </c>
      <c r="C438" t="s">
        <v>12</v>
      </c>
      <c r="D438">
        <v>3.902039321560157</v>
      </c>
      <c r="E438">
        <v>0</v>
      </c>
      <c r="F438">
        <v>0</v>
      </c>
      <c r="G438">
        <v>3.8460207612456743</v>
      </c>
      <c r="H438">
        <v>0</v>
      </c>
      <c r="I438">
        <v>0</v>
      </c>
      <c r="J438">
        <v>0.98564377349942112</v>
      </c>
      <c r="K438">
        <v>0</v>
      </c>
      <c r="L438">
        <v>0</v>
      </c>
      <c r="M438">
        <v>0</v>
      </c>
      <c r="N438">
        <v>0</v>
      </c>
      <c r="O438">
        <v>0</v>
      </c>
      <c r="P438">
        <v>0</v>
      </c>
      <c r="Q438">
        <v>0</v>
      </c>
      <c r="R438">
        <v>0</v>
      </c>
      <c r="S438">
        <v>0</v>
      </c>
      <c r="T438">
        <v>0.98564377349942112</v>
      </c>
      <c r="U438">
        <v>1.4356226500578884E-2</v>
      </c>
      <c r="V438">
        <v>0</v>
      </c>
      <c r="W438">
        <v>0</v>
      </c>
      <c r="X438">
        <v>0</v>
      </c>
      <c r="Y438">
        <v>0</v>
      </c>
      <c r="Z438">
        <v>0</v>
      </c>
      <c r="AA438">
        <v>0</v>
      </c>
      <c r="AB438">
        <v>0</v>
      </c>
      <c r="AC438">
        <v>0</v>
      </c>
      <c r="AD438">
        <v>0</v>
      </c>
      <c r="AE438" t="s">
        <v>166</v>
      </c>
      <c r="AF438">
        <v>10</v>
      </c>
      <c r="AG438" t="s">
        <v>213</v>
      </c>
      <c r="AH438">
        <v>1</v>
      </c>
      <c r="AI438">
        <v>46239</v>
      </c>
      <c r="AJ438" t="s">
        <v>150</v>
      </c>
    </row>
    <row r="439" spans="1:36" x14ac:dyDescent="0.25">
      <c r="A439" s="1">
        <v>46239</v>
      </c>
      <c r="B439" t="s">
        <v>13</v>
      </c>
      <c r="C439" t="s">
        <v>10</v>
      </c>
      <c r="D439">
        <v>4.6378052105831538</v>
      </c>
      <c r="E439">
        <v>0</v>
      </c>
      <c r="F439">
        <v>0</v>
      </c>
      <c r="G439">
        <v>2.40625</v>
      </c>
      <c r="H439">
        <v>0</v>
      </c>
      <c r="I439">
        <v>0</v>
      </c>
      <c r="J439">
        <v>0.51883377820808485</v>
      </c>
      <c r="K439">
        <v>0</v>
      </c>
      <c r="L439">
        <v>0</v>
      </c>
      <c r="M439">
        <v>0</v>
      </c>
      <c r="N439">
        <v>0</v>
      </c>
      <c r="O439">
        <v>0</v>
      </c>
      <c r="P439">
        <v>0</v>
      </c>
      <c r="Q439">
        <v>0</v>
      </c>
      <c r="R439">
        <v>0</v>
      </c>
      <c r="S439">
        <v>0</v>
      </c>
      <c r="T439">
        <v>0.51883377820808485</v>
      </c>
      <c r="U439">
        <v>0.48116622179191515</v>
      </c>
      <c r="V439">
        <v>0</v>
      </c>
      <c r="W439">
        <v>0</v>
      </c>
      <c r="X439">
        <v>0</v>
      </c>
      <c r="Y439">
        <v>0</v>
      </c>
      <c r="Z439">
        <v>0</v>
      </c>
      <c r="AA439">
        <v>0</v>
      </c>
      <c r="AB439">
        <v>0</v>
      </c>
      <c r="AC439">
        <v>0</v>
      </c>
      <c r="AD439">
        <v>0</v>
      </c>
      <c r="AE439" t="s">
        <v>166</v>
      </c>
      <c r="AF439">
        <v>10</v>
      </c>
      <c r="AG439" t="s">
        <v>214</v>
      </c>
      <c r="AH439">
        <v>1</v>
      </c>
      <c r="AI439">
        <v>46239</v>
      </c>
      <c r="AJ439" t="s">
        <v>150</v>
      </c>
    </row>
    <row r="440" spans="1:36" x14ac:dyDescent="0.25">
      <c r="A440" s="1">
        <v>46240</v>
      </c>
      <c r="B440" t="s">
        <v>13</v>
      </c>
      <c r="C440" t="s">
        <v>10</v>
      </c>
      <c r="D440">
        <v>5.9697075688073395</v>
      </c>
      <c r="E440">
        <v>0</v>
      </c>
      <c r="F440">
        <v>0</v>
      </c>
      <c r="G440">
        <v>3.9419504643962866</v>
      </c>
      <c r="H440">
        <v>0</v>
      </c>
      <c r="I440">
        <v>0</v>
      </c>
      <c r="J440">
        <v>0.66032555514002012</v>
      </c>
      <c r="K440">
        <v>0</v>
      </c>
      <c r="L440">
        <v>0</v>
      </c>
      <c r="M440">
        <v>0</v>
      </c>
      <c r="N440">
        <v>0</v>
      </c>
      <c r="O440">
        <v>0</v>
      </c>
      <c r="P440">
        <v>0</v>
      </c>
      <c r="Q440">
        <v>0</v>
      </c>
      <c r="R440">
        <v>0</v>
      </c>
      <c r="S440">
        <v>0</v>
      </c>
      <c r="T440">
        <v>0.66032555514002012</v>
      </c>
      <c r="U440">
        <v>0.33967444485997988</v>
      </c>
      <c r="V440">
        <v>0</v>
      </c>
      <c r="W440">
        <v>0</v>
      </c>
      <c r="X440">
        <v>0</v>
      </c>
      <c r="Y440">
        <v>0</v>
      </c>
      <c r="Z440">
        <v>0</v>
      </c>
      <c r="AA440">
        <v>0</v>
      </c>
      <c r="AB440">
        <v>0</v>
      </c>
      <c r="AC440">
        <v>0</v>
      </c>
      <c r="AD440">
        <v>0</v>
      </c>
      <c r="AE440" t="s">
        <v>161</v>
      </c>
      <c r="AF440">
        <v>10</v>
      </c>
      <c r="AG440" t="s">
        <v>216</v>
      </c>
      <c r="AI440">
        <v>46240</v>
      </c>
      <c r="AJ440" t="s">
        <v>150</v>
      </c>
    </row>
    <row r="441" spans="1:36" x14ac:dyDescent="0.25">
      <c r="A441" s="1">
        <v>46240</v>
      </c>
      <c r="B441" t="s">
        <v>13</v>
      </c>
      <c r="C441" t="s">
        <v>11</v>
      </c>
      <c r="D441">
        <v>1.2735376146788993</v>
      </c>
      <c r="E441">
        <v>0</v>
      </c>
      <c r="F441">
        <v>0</v>
      </c>
      <c r="G441">
        <v>0.94117647058823517</v>
      </c>
      <c r="H441">
        <v>0</v>
      </c>
      <c r="I441">
        <v>0</v>
      </c>
      <c r="J441">
        <v>0.73902526296840998</v>
      </c>
      <c r="K441">
        <v>0</v>
      </c>
      <c r="L441">
        <v>0</v>
      </c>
      <c r="M441">
        <v>0</v>
      </c>
      <c r="N441">
        <v>0</v>
      </c>
      <c r="O441">
        <v>0</v>
      </c>
      <c r="P441">
        <v>0</v>
      </c>
      <c r="Q441">
        <v>0</v>
      </c>
      <c r="R441">
        <v>0</v>
      </c>
      <c r="S441">
        <v>0</v>
      </c>
      <c r="T441">
        <v>0.73902526296840998</v>
      </c>
      <c r="U441">
        <v>0.26097473703159002</v>
      </c>
      <c r="V441">
        <v>0</v>
      </c>
      <c r="W441">
        <v>0</v>
      </c>
      <c r="X441">
        <v>0</v>
      </c>
      <c r="Y441">
        <v>0</v>
      </c>
      <c r="Z441">
        <v>0</v>
      </c>
      <c r="AA441">
        <v>0</v>
      </c>
      <c r="AB441">
        <v>0</v>
      </c>
      <c r="AC441">
        <v>0</v>
      </c>
      <c r="AD441">
        <v>0</v>
      </c>
      <c r="AE441" t="s">
        <v>161</v>
      </c>
      <c r="AF441">
        <v>10</v>
      </c>
      <c r="AG441" t="s">
        <v>215</v>
      </c>
      <c r="AI441">
        <v>46240</v>
      </c>
      <c r="AJ441" t="s">
        <v>150</v>
      </c>
    </row>
    <row r="442" spans="1:36" x14ac:dyDescent="0.25">
      <c r="A442" s="1">
        <v>46240</v>
      </c>
      <c r="B442" t="s">
        <v>13</v>
      </c>
      <c r="C442" t="s">
        <v>12</v>
      </c>
      <c r="D442">
        <v>3.5115926875337284</v>
      </c>
      <c r="E442">
        <v>0</v>
      </c>
      <c r="F442">
        <v>0</v>
      </c>
      <c r="G442">
        <v>3.1065379712256411</v>
      </c>
      <c r="H442">
        <v>0</v>
      </c>
      <c r="I442">
        <v>0</v>
      </c>
      <c r="J442">
        <v>0.88465213583965896</v>
      </c>
      <c r="K442">
        <v>0</v>
      </c>
      <c r="L442">
        <v>0</v>
      </c>
      <c r="M442">
        <v>0</v>
      </c>
      <c r="N442">
        <v>0</v>
      </c>
      <c r="O442">
        <v>0</v>
      </c>
      <c r="P442">
        <v>0</v>
      </c>
      <c r="Q442">
        <v>0</v>
      </c>
      <c r="R442">
        <v>0</v>
      </c>
      <c r="S442">
        <v>0</v>
      </c>
      <c r="T442">
        <v>0.88465213583965896</v>
      </c>
      <c r="U442">
        <v>0.11534786416034104</v>
      </c>
      <c r="V442">
        <v>0</v>
      </c>
      <c r="W442">
        <v>0</v>
      </c>
      <c r="X442">
        <v>0</v>
      </c>
      <c r="Y442">
        <v>0</v>
      </c>
      <c r="Z442">
        <v>0</v>
      </c>
      <c r="AA442">
        <v>0</v>
      </c>
      <c r="AB442">
        <v>0</v>
      </c>
      <c r="AC442">
        <v>0</v>
      </c>
      <c r="AD442">
        <v>0</v>
      </c>
      <c r="AE442" t="s">
        <v>161</v>
      </c>
      <c r="AF442">
        <v>10</v>
      </c>
      <c r="AG442" t="s">
        <v>217</v>
      </c>
      <c r="AI442">
        <v>46240</v>
      </c>
      <c r="AJ442" t="s">
        <v>150</v>
      </c>
    </row>
    <row r="443" spans="1:36" x14ac:dyDescent="0.25">
      <c r="A443" s="1">
        <v>46240</v>
      </c>
      <c r="B443" t="s">
        <v>13</v>
      </c>
      <c r="C443" t="s">
        <v>10</v>
      </c>
      <c r="D443">
        <v>5.9729309530237575</v>
      </c>
      <c r="E443">
        <v>0</v>
      </c>
      <c r="F443">
        <v>0</v>
      </c>
      <c r="G443">
        <v>3.9419504643962866</v>
      </c>
      <c r="H443">
        <v>0</v>
      </c>
      <c r="I443">
        <v>0</v>
      </c>
      <c r="J443">
        <v>0.65996920028025763</v>
      </c>
      <c r="K443">
        <v>0</v>
      </c>
      <c r="L443">
        <v>0</v>
      </c>
      <c r="M443">
        <v>0</v>
      </c>
      <c r="N443">
        <v>0</v>
      </c>
      <c r="O443">
        <v>0</v>
      </c>
      <c r="P443">
        <v>0</v>
      </c>
      <c r="Q443">
        <v>0</v>
      </c>
      <c r="R443">
        <v>0</v>
      </c>
      <c r="S443">
        <v>0</v>
      </c>
      <c r="T443">
        <v>0.65996920028025763</v>
      </c>
      <c r="U443">
        <v>0.34003079971974237</v>
      </c>
      <c r="V443">
        <v>0</v>
      </c>
      <c r="W443">
        <v>0</v>
      </c>
      <c r="X443">
        <v>0</v>
      </c>
      <c r="Y443">
        <v>0</v>
      </c>
      <c r="Z443">
        <v>0</v>
      </c>
      <c r="AA443">
        <v>0</v>
      </c>
      <c r="AB443">
        <v>0</v>
      </c>
      <c r="AC443">
        <v>0</v>
      </c>
      <c r="AD443">
        <v>0</v>
      </c>
      <c r="AE443" t="s">
        <v>166</v>
      </c>
      <c r="AF443">
        <v>10</v>
      </c>
      <c r="AG443" t="s">
        <v>216</v>
      </c>
      <c r="AH443">
        <v>1</v>
      </c>
      <c r="AI443">
        <v>46240</v>
      </c>
      <c r="AJ443" t="s">
        <v>150</v>
      </c>
    </row>
    <row r="444" spans="1:36" x14ac:dyDescent="0.25">
      <c r="A444" s="1">
        <v>46240</v>
      </c>
      <c r="B444" t="s">
        <v>13</v>
      </c>
      <c r="C444" t="s">
        <v>11</v>
      </c>
      <c r="D444">
        <v>1.2742252699784016</v>
      </c>
      <c r="E444">
        <v>0</v>
      </c>
      <c r="F444">
        <v>0</v>
      </c>
      <c r="G444">
        <v>0.94117647058823517</v>
      </c>
      <c r="H444">
        <v>0</v>
      </c>
      <c r="I444">
        <v>0</v>
      </c>
      <c r="J444">
        <v>0.73862643659875649</v>
      </c>
      <c r="K444">
        <v>0</v>
      </c>
      <c r="L444">
        <v>0</v>
      </c>
      <c r="M444">
        <v>0</v>
      </c>
      <c r="N444">
        <v>0</v>
      </c>
      <c r="O444">
        <v>0</v>
      </c>
      <c r="P444">
        <v>0</v>
      </c>
      <c r="Q444">
        <v>0</v>
      </c>
      <c r="R444">
        <v>0</v>
      </c>
      <c r="S444">
        <v>0</v>
      </c>
      <c r="T444">
        <v>0.73862643659875649</v>
      </c>
      <c r="U444">
        <v>0.26137356340124351</v>
      </c>
      <c r="V444">
        <v>0</v>
      </c>
      <c r="W444">
        <v>0</v>
      </c>
      <c r="X444">
        <v>0</v>
      </c>
      <c r="Y444">
        <v>0</v>
      </c>
      <c r="Z444">
        <v>0</v>
      </c>
      <c r="AA444">
        <v>0</v>
      </c>
      <c r="AB444">
        <v>0</v>
      </c>
      <c r="AC444">
        <v>0</v>
      </c>
      <c r="AD444">
        <v>0</v>
      </c>
      <c r="AE444" t="s">
        <v>166</v>
      </c>
      <c r="AF444">
        <v>10</v>
      </c>
      <c r="AG444" t="s">
        <v>215</v>
      </c>
      <c r="AH444">
        <v>1</v>
      </c>
      <c r="AI444">
        <v>46240</v>
      </c>
      <c r="AJ444" t="s">
        <v>150</v>
      </c>
    </row>
    <row r="445" spans="1:36" x14ac:dyDescent="0.25">
      <c r="A445" s="1">
        <v>46240</v>
      </c>
      <c r="B445" t="s">
        <v>13</v>
      </c>
      <c r="C445" t="s">
        <v>12</v>
      </c>
      <c r="D445">
        <v>3.505221763435395</v>
      </c>
      <c r="E445">
        <v>0</v>
      </c>
      <c r="F445">
        <v>0</v>
      </c>
      <c r="G445">
        <v>3.1065379712256411</v>
      </c>
      <c r="H445">
        <v>0</v>
      </c>
      <c r="I445">
        <v>0</v>
      </c>
      <c r="J445">
        <v>0.88626003741942638</v>
      </c>
      <c r="K445">
        <v>0</v>
      </c>
      <c r="L445">
        <v>0</v>
      </c>
      <c r="M445">
        <v>0</v>
      </c>
      <c r="N445">
        <v>0</v>
      </c>
      <c r="O445">
        <v>0</v>
      </c>
      <c r="P445">
        <v>0</v>
      </c>
      <c r="Q445">
        <v>0</v>
      </c>
      <c r="R445">
        <v>0</v>
      </c>
      <c r="S445">
        <v>0</v>
      </c>
      <c r="T445">
        <v>0.88626003741942638</v>
      </c>
      <c r="U445">
        <v>0.11373996258057362</v>
      </c>
      <c r="V445">
        <v>0</v>
      </c>
      <c r="W445">
        <v>0</v>
      </c>
      <c r="X445">
        <v>0</v>
      </c>
      <c r="Y445">
        <v>0</v>
      </c>
      <c r="Z445">
        <v>0</v>
      </c>
      <c r="AA445">
        <v>0</v>
      </c>
      <c r="AB445">
        <v>0</v>
      </c>
      <c r="AC445">
        <v>0</v>
      </c>
      <c r="AD445">
        <v>0</v>
      </c>
      <c r="AE445" t="s">
        <v>166</v>
      </c>
      <c r="AF445">
        <v>10</v>
      </c>
      <c r="AG445" t="s">
        <v>217</v>
      </c>
      <c r="AH445">
        <v>1</v>
      </c>
      <c r="AI445">
        <v>46240</v>
      </c>
      <c r="AJ445" t="s">
        <v>150</v>
      </c>
    </row>
    <row r="446" spans="1:36" x14ac:dyDescent="0.25">
      <c r="A446" s="1">
        <v>46241</v>
      </c>
      <c r="B446" t="s">
        <v>13</v>
      </c>
      <c r="C446" t="s">
        <v>12</v>
      </c>
      <c r="D446">
        <v>2.2474193200215873</v>
      </c>
      <c r="E446">
        <v>0</v>
      </c>
      <c r="F446">
        <v>0</v>
      </c>
      <c r="G446">
        <v>2.1038062283737027</v>
      </c>
      <c r="H446">
        <v>0</v>
      </c>
      <c r="I446">
        <v>0</v>
      </c>
      <c r="J446">
        <v>0.93609866642665285</v>
      </c>
      <c r="K446">
        <v>0</v>
      </c>
      <c r="L446">
        <v>0</v>
      </c>
      <c r="M446">
        <v>0</v>
      </c>
      <c r="N446">
        <v>0</v>
      </c>
      <c r="O446">
        <v>0</v>
      </c>
      <c r="P446">
        <v>0</v>
      </c>
      <c r="Q446">
        <v>0</v>
      </c>
      <c r="R446">
        <v>0</v>
      </c>
      <c r="S446">
        <v>0</v>
      </c>
      <c r="T446">
        <v>0.93609866642665285</v>
      </c>
      <c r="U446">
        <v>6.3901333573347152E-2</v>
      </c>
      <c r="V446">
        <v>0</v>
      </c>
      <c r="W446">
        <v>0</v>
      </c>
      <c r="X446">
        <v>0</v>
      </c>
      <c r="Y446">
        <v>0</v>
      </c>
      <c r="Z446">
        <v>0</v>
      </c>
      <c r="AA446">
        <v>0</v>
      </c>
      <c r="AB446">
        <v>0</v>
      </c>
      <c r="AC446">
        <v>0</v>
      </c>
      <c r="AD446">
        <v>0</v>
      </c>
      <c r="AE446" t="s">
        <v>161</v>
      </c>
      <c r="AF446">
        <v>10</v>
      </c>
      <c r="AG446" t="s">
        <v>218</v>
      </c>
      <c r="AI446">
        <v>46241</v>
      </c>
      <c r="AJ446" t="s">
        <v>150</v>
      </c>
    </row>
    <row r="447" spans="1:36" x14ac:dyDescent="0.25">
      <c r="A447" s="1">
        <v>46241</v>
      </c>
      <c r="B447" t="s">
        <v>13</v>
      </c>
      <c r="C447" t="s">
        <v>10</v>
      </c>
      <c r="D447">
        <v>4.7757660550458718</v>
      </c>
      <c r="E447">
        <v>0</v>
      </c>
      <c r="F447">
        <v>0</v>
      </c>
      <c r="G447">
        <v>2.8823529411764706</v>
      </c>
      <c r="H447">
        <v>0</v>
      </c>
      <c r="I447">
        <v>0</v>
      </c>
      <c r="J447">
        <v>0.60353729809086831</v>
      </c>
      <c r="K447">
        <v>0</v>
      </c>
      <c r="L447">
        <v>0</v>
      </c>
      <c r="M447">
        <v>0</v>
      </c>
      <c r="N447">
        <v>0</v>
      </c>
      <c r="O447">
        <v>0</v>
      </c>
      <c r="P447">
        <v>0</v>
      </c>
      <c r="Q447">
        <v>0</v>
      </c>
      <c r="R447">
        <v>0</v>
      </c>
      <c r="S447">
        <v>0</v>
      </c>
      <c r="T447">
        <v>0.60353729809086831</v>
      </c>
      <c r="U447">
        <v>0.39646270190913169</v>
      </c>
      <c r="V447">
        <v>0</v>
      </c>
      <c r="W447">
        <v>0</v>
      </c>
      <c r="X447">
        <v>0</v>
      </c>
      <c r="Y447">
        <v>0</v>
      </c>
      <c r="Z447">
        <v>0</v>
      </c>
      <c r="AA447">
        <v>0</v>
      </c>
      <c r="AB447">
        <v>0</v>
      </c>
      <c r="AC447">
        <v>0</v>
      </c>
      <c r="AD447">
        <v>0</v>
      </c>
      <c r="AE447" t="s">
        <v>161</v>
      </c>
      <c r="AF447">
        <v>10</v>
      </c>
      <c r="AG447" t="s">
        <v>220</v>
      </c>
      <c r="AI447">
        <v>46241</v>
      </c>
      <c r="AJ447" t="s">
        <v>150</v>
      </c>
    </row>
    <row r="448" spans="1:36" x14ac:dyDescent="0.25">
      <c r="A448" s="1">
        <v>46241</v>
      </c>
      <c r="B448" t="s">
        <v>13</v>
      </c>
      <c r="C448" t="s">
        <v>11</v>
      </c>
      <c r="D448">
        <v>1.2735376146788993</v>
      </c>
      <c r="E448">
        <v>0</v>
      </c>
      <c r="F448">
        <v>0</v>
      </c>
      <c r="G448">
        <v>0.94117647058823517</v>
      </c>
      <c r="H448">
        <v>0</v>
      </c>
      <c r="I448">
        <v>0</v>
      </c>
      <c r="J448">
        <v>0.73902526296840998</v>
      </c>
      <c r="K448">
        <v>0</v>
      </c>
      <c r="L448">
        <v>0</v>
      </c>
      <c r="M448">
        <v>0</v>
      </c>
      <c r="N448">
        <v>0</v>
      </c>
      <c r="O448">
        <v>0</v>
      </c>
      <c r="P448">
        <v>0</v>
      </c>
      <c r="Q448">
        <v>0</v>
      </c>
      <c r="R448">
        <v>0</v>
      </c>
      <c r="S448">
        <v>0</v>
      </c>
      <c r="T448">
        <v>0.73902526296840998</v>
      </c>
      <c r="U448">
        <v>0.26097473703159002</v>
      </c>
      <c r="V448">
        <v>0</v>
      </c>
      <c r="W448">
        <v>0</v>
      </c>
      <c r="X448">
        <v>0</v>
      </c>
      <c r="Y448">
        <v>0</v>
      </c>
      <c r="Z448">
        <v>0</v>
      </c>
      <c r="AA448">
        <v>0</v>
      </c>
      <c r="AB448">
        <v>0</v>
      </c>
      <c r="AC448">
        <v>0</v>
      </c>
      <c r="AD448">
        <v>0</v>
      </c>
      <c r="AE448" t="s">
        <v>161</v>
      </c>
      <c r="AF448">
        <v>10</v>
      </c>
      <c r="AG448" t="s">
        <v>219</v>
      </c>
      <c r="AI448">
        <v>46241</v>
      </c>
      <c r="AJ448" t="s">
        <v>150</v>
      </c>
    </row>
    <row r="449" spans="1:36" x14ac:dyDescent="0.25">
      <c r="A449" s="1">
        <v>46241</v>
      </c>
      <c r="B449" t="s">
        <v>13</v>
      </c>
      <c r="C449" t="s">
        <v>12</v>
      </c>
      <c r="D449">
        <v>2.2486328293736499</v>
      </c>
      <c r="E449">
        <v>0</v>
      </c>
      <c r="F449">
        <v>0</v>
      </c>
      <c r="G449">
        <v>2.1038062283737027</v>
      </c>
      <c r="H449">
        <v>0</v>
      </c>
      <c r="I449">
        <v>0</v>
      </c>
      <c r="J449">
        <v>0.9355934863584251</v>
      </c>
      <c r="K449">
        <v>0</v>
      </c>
      <c r="L449">
        <v>0</v>
      </c>
      <c r="M449">
        <v>0</v>
      </c>
      <c r="N449">
        <v>0</v>
      </c>
      <c r="O449">
        <v>0</v>
      </c>
      <c r="P449">
        <v>0</v>
      </c>
      <c r="Q449">
        <v>0</v>
      </c>
      <c r="R449">
        <v>0</v>
      </c>
      <c r="S449">
        <v>0</v>
      </c>
      <c r="T449">
        <v>0.9355934863584251</v>
      </c>
      <c r="U449">
        <v>6.4406513641574903E-2</v>
      </c>
      <c r="V449">
        <v>0</v>
      </c>
      <c r="W449">
        <v>0</v>
      </c>
      <c r="X449">
        <v>0</v>
      </c>
      <c r="Y449">
        <v>0</v>
      </c>
      <c r="Z449">
        <v>0</v>
      </c>
      <c r="AA449">
        <v>0</v>
      </c>
      <c r="AB449">
        <v>0</v>
      </c>
      <c r="AC449">
        <v>0</v>
      </c>
      <c r="AD449">
        <v>0</v>
      </c>
      <c r="AE449" t="s">
        <v>166</v>
      </c>
      <c r="AF449">
        <v>10</v>
      </c>
      <c r="AG449" t="s">
        <v>218</v>
      </c>
      <c r="AH449">
        <v>1</v>
      </c>
      <c r="AI449">
        <v>46241</v>
      </c>
      <c r="AJ449" t="s">
        <v>150</v>
      </c>
    </row>
    <row r="450" spans="1:36" x14ac:dyDescent="0.25">
      <c r="A450" s="1">
        <v>46241</v>
      </c>
      <c r="B450" t="s">
        <v>13</v>
      </c>
      <c r="C450" t="s">
        <v>10</v>
      </c>
      <c r="D450">
        <v>4.7783447624190067</v>
      </c>
      <c r="E450">
        <v>0</v>
      </c>
      <c r="F450">
        <v>0</v>
      </c>
      <c r="G450">
        <v>2.8823529411764706</v>
      </c>
      <c r="H450">
        <v>0</v>
      </c>
      <c r="I450">
        <v>0</v>
      </c>
      <c r="J450">
        <v>0.60321158988898438</v>
      </c>
      <c r="K450">
        <v>0</v>
      </c>
      <c r="L450">
        <v>0</v>
      </c>
      <c r="M450">
        <v>0</v>
      </c>
      <c r="N450">
        <v>0</v>
      </c>
      <c r="O450">
        <v>0</v>
      </c>
      <c r="P450">
        <v>0</v>
      </c>
      <c r="Q450">
        <v>0</v>
      </c>
      <c r="R450">
        <v>0</v>
      </c>
      <c r="S450">
        <v>0</v>
      </c>
      <c r="T450">
        <v>0.60321158988898438</v>
      </c>
      <c r="U450">
        <v>0.39678841011101562</v>
      </c>
      <c r="V450">
        <v>0</v>
      </c>
      <c r="W450">
        <v>0</v>
      </c>
      <c r="X450">
        <v>0</v>
      </c>
      <c r="Y450">
        <v>0</v>
      </c>
      <c r="Z450">
        <v>0</v>
      </c>
      <c r="AA450">
        <v>0</v>
      </c>
      <c r="AB450">
        <v>0</v>
      </c>
      <c r="AC450">
        <v>0</v>
      </c>
      <c r="AD450">
        <v>0</v>
      </c>
      <c r="AE450" t="s">
        <v>166</v>
      </c>
      <c r="AF450">
        <v>10</v>
      </c>
      <c r="AG450" t="s">
        <v>220</v>
      </c>
      <c r="AH450">
        <v>1</v>
      </c>
      <c r="AI450">
        <v>46241</v>
      </c>
      <c r="AJ450" t="s">
        <v>150</v>
      </c>
    </row>
    <row r="451" spans="1:36" x14ac:dyDescent="0.25">
      <c r="A451" s="1">
        <v>46241</v>
      </c>
      <c r="B451" t="s">
        <v>13</v>
      </c>
      <c r="C451" t="s">
        <v>11</v>
      </c>
      <c r="D451">
        <v>1.2742252699784016</v>
      </c>
      <c r="E451">
        <v>0</v>
      </c>
      <c r="F451">
        <v>0</v>
      </c>
      <c r="G451">
        <v>0.94117647058823517</v>
      </c>
      <c r="H451">
        <v>0</v>
      </c>
      <c r="I451">
        <v>0</v>
      </c>
      <c r="J451">
        <v>0.73862643659875649</v>
      </c>
      <c r="K451">
        <v>0</v>
      </c>
      <c r="L451">
        <v>0</v>
      </c>
      <c r="M451">
        <v>0</v>
      </c>
      <c r="N451">
        <v>0</v>
      </c>
      <c r="O451">
        <v>0</v>
      </c>
      <c r="P451">
        <v>0</v>
      </c>
      <c r="Q451">
        <v>0</v>
      </c>
      <c r="R451">
        <v>0</v>
      </c>
      <c r="S451">
        <v>0</v>
      </c>
      <c r="T451">
        <v>0.73862643659875649</v>
      </c>
      <c r="U451">
        <v>0.26137356340124351</v>
      </c>
      <c r="V451">
        <v>0</v>
      </c>
      <c r="W451">
        <v>0</v>
      </c>
      <c r="X451">
        <v>0</v>
      </c>
      <c r="Y451">
        <v>0</v>
      </c>
      <c r="Z451">
        <v>0</v>
      </c>
      <c r="AA451">
        <v>0</v>
      </c>
      <c r="AB451">
        <v>0</v>
      </c>
      <c r="AC451">
        <v>0</v>
      </c>
      <c r="AD451">
        <v>0</v>
      </c>
      <c r="AE451" t="s">
        <v>166</v>
      </c>
      <c r="AF451">
        <v>10</v>
      </c>
      <c r="AG451" t="s">
        <v>219</v>
      </c>
      <c r="AH451">
        <v>1</v>
      </c>
      <c r="AI451">
        <v>46241</v>
      </c>
      <c r="AJ451" t="s">
        <v>150</v>
      </c>
    </row>
    <row r="452" spans="1:36" x14ac:dyDescent="0.25">
      <c r="A452" s="1">
        <v>46242</v>
      </c>
      <c r="B452" t="s">
        <v>13</v>
      </c>
      <c r="C452" t="s">
        <v>12</v>
      </c>
      <c r="D452">
        <v>3.3711289800323798</v>
      </c>
      <c r="E452">
        <v>0</v>
      </c>
      <c r="F452">
        <v>0</v>
      </c>
      <c r="G452">
        <v>3.0449826989619369</v>
      </c>
      <c r="H452">
        <v>0</v>
      </c>
      <c r="I452">
        <v>0</v>
      </c>
      <c r="J452">
        <v>0.9032530991836123</v>
      </c>
      <c r="K452">
        <v>0</v>
      </c>
      <c r="L452">
        <v>0</v>
      </c>
      <c r="M452">
        <v>0</v>
      </c>
      <c r="N452">
        <v>0</v>
      </c>
      <c r="O452">
        <v>0</v>
      </c>
      <c r="P452">
        <v>0</v>
      </c>
      <c r="Q452">
        <v>0</v>
      </c>
      <c r="R452">
        <v>0</v>
      </c>
      <c r="S452">
        <v>0</v>
      </c>
      <c r="T452">
        <v>0.9032530991836123</v>
      </c>
      <c r="U452">
        <v>9.6746900816387704E-2</v>
      </c>
      <c r="V452">
        <v>0</v>
      </c>
      <c r="W452">
        <v>0</v>
      </c>
      <c r="X452">
        <v>0</v>
      </c>
      <c r="Y452">
        <v>0</v>
      </c>
      <c r="Z452">
        <v>0</v>
      </c>
      <c r="AA452">
        <v>0</v>
      </c>
      <c r="AB452">
        <v>0</v>
      </c>
      <c r="AC452">
        <v>0</v>
      </c>
      <c r="AD452">
        <v>0</v>
      </c>
      <c r="AE452" t="s">
        <v>161</v>
      </c>
      <c r="AF452">
        <v>10</v>
      </c>
      <c r="AG452" t="s">
        <v>221</v>
      </c>
      <c r="AI452">
        <v>46242</v>
      </c>
      <c r="AJ452" t="s">
        <v>150</v>
      </c>
    </row>
    <row r="453" spans="1:36" x14ac:dyDescent="0.25">
      <c r="A453" s="1">
        <v>46242</v>
      </c>
      <c r="B453" t="s">
        <v>13</v>
      </c>
      <c r="C453" t="s">
        <v>11</v>
      </c>
      <c r="D453">
        <v>1.2735376146788993</v>
      </c>
      <c r="E453">
        <v>0</v>
      </c>
      <c r="F453">
        <v>0</v>
      </c>
      <c r="G453">
        <v>0.94117647058823517</v>
      </c>
      <c r="H453">
        <v>0</v>
      </c>
      <c r="I453">
        <v>0</v>
      </c>
      <c r="J453">
        <v>0.73902526296840998</v>
      </c>
      <c r="K453">
        <v>0</v>
      </c>
      <c r="L453">
        <v>0</v>
      </c>
      <c r="M453">
        <v>0</v>
      </c>
      <c r="N453">
        <v>0</v>
      </c>
      <c r="O453">
        <v>0</v>
      </c>
      <c r="P453">
        <v>0</v>
      </c>
      <c r="Q453">
        <v>0</v>
      </c>
      <c r="R453">
        <v>0</v>
      </c>
      <c r="S453">
        <v>0</v>
      </c>
      <c r="T453">
        <v>0.73902526296840998</v>
      </c>
      <c r="U453">
        <v>0.26097473703159002</v>
      </c>
      <c r="V453">
        <v>0</v>
      </c>
      <c r="W453">
        <v>0</v>
      </c>
      <c r="X453">
        <v>0</v>
      </c>
      <c r="Y453">
        <v>0</v>
      </c>
      <c r="Z453">
        <v>0</v>
      </c>
      <c r="AA453">
        <v>0</v>
      </c>
      <c r="AB453">
        <v>0</v>
      </c>
      <c r="AC453">
        <v>0</v>
      </c>
      <c r="AD453">
        <v>0</v>
      </c>
      <c r="AE453" t="s">
        <v>161</v>
      </c>
      <c r="AF453">
        <v>10</v>
      </c>
      <c r="AG453" t="s">
        <v>223</v>
      </c>
      <c r="AI453">
        <v>46242</v>
      </c>
      <c r="AJ453" t="s">
        <v>150</v>
      </c>
    </row>
    <row r="454" spans="1:36" x14ac:dyDescent="0.25">
      <c r="A454" s="1">
        <v>46242</v>
      </c>
      <c r="B454" t="s">
        <v>13</v>
      </c>
      <c r="C454" t="s">
        <v>10</v>
      </c>
      <c r="D454">
        <v>2.3878830275229359</v>
      </c>
      <c r="E454">
        <v>0</v>
      </c>
      <c r="F454">
        <v>0</v>
      </c>
      <c r="G454">
        <v>2.882352941176471</v>
      </c>
      <c r="H454">
        <v>0</v>
      </c>
      <c r="I454">
        <v>0</v>
      </c>
      <c r="J454">
        <v>1.2070745961817368</v>
      </c>
      <c r="K454">
        <v>0.20707459618173685</v>
      </c>
      <c r="L454">
        <v>0</v>
      </c>
      <c r="M454">
        <v>0</v>
      </c>
      <c r="N454">
        <v>0</v>
      </c>
      <c r="O454">
        <v>0</v>
      </c>
      <c r="P454">
        <v>0</v>
      </c>
      <c r="Q454">
        <v>0</v>
      </c>
      <c r="R454">
        <v>0</v>
      </c>
      <c r="S454">
        <v>0</v>
      </c>
      <c r="T454">
        <v>0</v>
      </c>
      <c r="U454">
        <v>0</v>
      </c>
      <c r="V454">
        <v>0</v>
      </c>
      <c r="W454">
        <v>0</v>
      </c>
      <c r="X454">
        <v>0</v>
      </c>
      <c r="Y454">
        <v>0</v>
      </c>
      <c r="Z454">
        <v>0</v>
      </c>
      <c r="AA454">
        <v>0</v>
      </c>
      <c r="AB454">
        <v>0</v>
      </c>
      <c r="AC454">
        <v>1</v>
      </c>
      <c r="AD454">
        <v>0</v>
      </c>
      <c r="AE454" t="s">
        <v>161</v>
      </c>
      <c r="AF454">
        <v>10</v>
      </c>
      <c r="AG454" t="s">
        <v>222</v>
      </c>
      <c r="AI454">
        <v>46242</v>
      </c>
      <c r="AJ454" t="s">
        <v>150</v>
      </c>
    </row>
    <row r="455" spans="1:36" x14ac:dyDescent="0.25">
      <c r="A455" s="1">
        <v>46242</v>
      </c>
      <c r="B455" t="s">
        <v>13</v>
      </c>
      <c r="C455" t="s">
        <v>12</v>
      </c>
      <c r="D455">
        <v>3.3729492440604751</v>
      </c>
      <c r="E455">
        <v>0</v>
      </c>
      <c r="F455">
        <v>0</v>
      </c>
      <c r="G455">
        <v>3.0449826989619369</v>
      </c>
      <c r="H455">
        <v>0</v>
      </c>
      <c r="I455">
        <v>0</v>
      </c>
      <c r="J455">
        <v>0.9027656447318132</v>
      </c>
      <c r="K455">
        <v>0</v>
      </c>
      <c r="L455">
        <v>0</v>
      </c>
      <c r="M455">
        <v>0</v>
      </c>
      <c r="N455">
        <v>0</v>
      </c>
      <c r="O455">
        <v>0</v>
      </c>
      <c r="P455">
        <v>0</v>
      </c>
      <c r="Q455">
        <v>0</v>
      </c>
      <c r="R455">
        <v>0</v>
      </c>
      <c r="S455">
        <v>0</v>
      </c>
      <c r="T455">
        <v>0.9027656447318132</v>
      </c>
      <c r="U455">
        <v>9.7234355268186801E-2</v>
      </c>
      <c r="V455">
        <v>0</v>
      </c>
      <c r="W455">
        <v>0</v>
      </c>
      <c r="X455">
        <v>0</v>
      </c>
      <c r="Y455">
        <v>0</v>
      </c>
      <c r="Z455">
        <v>0</v>
      </c>
      <c r="AA455">
        <v>0</v>
      </c>
      <c r="AB455">
        <v>0</v>
      </c>
      <c r="AC455">
        <v>0</v>
      </c>
      <c r="AD455">
        <v>0</v>
      </c>
      <c r="AE455" t="s">
        <v>166</v>
      </c>
      <c r="AF455">
        <v>10</v>
      </c>
      <c r="AG455" t="s">
        <v>221</v>
      </c>
      <c r="AH455">
        <v>1</v>
      </c>
      <c r="AI455">
        <v>46242</v>
      </c>
      <c r="AJ455" t="s">
        <v>150</v>
      </c>
    </row>
    <row r="456" spans="1:36" x14ac:dyDescent="0.25">
      <c r="A456" s="1">
        <v>46242</v>
      </c>
      <c r="B456" t="s">
        <v>13</v>
      </c>
      <c r="C456" t="s">
        <v>11</v>
      </c>
      <c r="D456">
        <v>1.2742252699784016</v>
      </c>
      <c r="E456">
        <v>0</v>
      </c>
      <c r="F456">
        <v>0</v>
      </c>
      <c r="G456">
        <v>0.94117647058823517</v>
      </c>
      <c r="H456">
        <v>0</v>
      </c>
      <c r="I456">
        <v>0</v>
      </c>
      <c r="J456">
        <v>0.73862643659875649</v>
      </c>
      <c r="K456">
        <v>0</v>
      </c>
      <c r="L456">
        <v>0</v>
      </c>
      <c r="M456">
        <v>0</v>
      </c>
      <c r="N456">
        <v>0</v>
      </c>
      <c r="O456">
        <v>0</v>
      </c>
      <c r="P456">
        <v>0</v>
      </c>
      <c r="Q456">
        <v>0</v>
      </c>
      <c r="R456">
        <v>0</v>
      </c>
      <c r="S456">
        <v>0</v>
      </c>
      <c r="T456">
        <v>0.73862643659875649</v>
      </c>
      <c r="U456">
        <v>0.26137356340124351</v>
      </c>
      <c r="V456">
        <v>0</v>
      </c>
      <c r="W456">
        <v>0</v>
      </c>
      <c r="X456">
        <v>0</v>
      </c>
      <c r="Y456">
        <v>0</v>
      </c>
      <c r="Z456">
        <v>0</v>
      </c>
      <c r="AA456">
        <v>0</v>
      </c>
      <c r="AB456">
        <v>0</v>
      </c>
      <c r="AC456">
        <v>0</v>
      </c>
      <c r="AD456">
        <v>0</v>
      </c>
      <c r="AE456" t="s">
        <v>166</v>
      </c>
      <c r="AF456">
        <v>10</v>
      </c>
      <c r="AG456" t="s">
        <v>223</v>
      </c>
      <c r="AH456">
        <v>1</v>
      </c>
      <c r="AI456">
        <v>46242</v>
      </c>
      <c r="AJ456" t="s">
        <v>150</v>
      </c>
    </row>
    <row r="457" spans="1:36" x14ac:dyDescent="0.25">
      <c r="A457" s="1">
        <v>46242</v>
      </c>
      <c r="B457" t="s">
        <v>13</v>
      </c>
      <c r="C457" t="s">
        <v>10</v>
      </c>
      <c r="D457">
        <v>2.3891723812095034</v>
      </c>
      <c r="E457">
        <v>0</v>
      </c>
      <c r="F457">
        <v>0</v>
      </c>
      <c r="G457">
        <v>2.882352941176471</v>
      </c>
      <c r="H457">
        <v>0</v>
      </c>
      <c r="I457">
        <v>0</v>
      </c>
      <c r="J457">
        <v>1.206423179777969</v>
      </c>
      <c r="K457">
        <v>0.20642317977796898</v>
      </c>
      <c r="L457">
        <v>0</v>
      </c>
      <c r="M457">
        <v>0</v>
      </c>
      <c r="N457">
        <v>0</v>
      </c>
      <c r="O457">
        <v>0</v>
      </c>
      <c r="P457">
        <v>0</v>
      </c>
      <c r="Q457">
        <v>0</v>
      </c>
      <c r="R457">
        <v>0</v>
      </c>
      <c r="S457">
        <v>0</v>
      </c>
      <c r="T457">
        <v>0</v>
      </c>
      <c r="U457">
        <v>0</v>
      </c>
      <c r="V457">
        <v>0</v>
      </c>
      <c r="W457">
        <v>0</v>
      </c>
      <c r="X457">
        <v>0</v>
      </c>
      <c r="Y457">
        <v>0</v>
      </c>
      <c r="Z457">
        <v>0</v>
      </c>
      <c r="AA457">
        <v>0</v>
      </c>
      <c r="AB457">
        <v>0</v>
      </c>
      <c r="AC457">
        <v>1</v>
      </c>
      <c r="AD457">
        <v>0</v>
      </c>
      <c r="AE457" t="s">
        <v>166</v>
      </c>
      <c r="AF457">
        <v>10</v>
      </c>
      <c r="AG457" t="s">
        <v>222</v>
      </c>
      <c r="AH457">
        <v>1</v>
      </c>
      <c r="AI457">
        <v>46242</v>
      </c>
      <c r="AJ457" t="s">
        <v>150</v>
      </c>
    </row>
    <row r="458" spans="1:36" x14ac:dyDescent="0.25">
      <c r="A458" s="1">
        <v>46243</v>
      </c>
      <c r="B458" t="s">
        <v>13</v>
      </c>
      <c r="C458" t="s">
        <v>10</v>
      </c>
      <c r="D458">
        <v>3.507203196674312</v>
      </c>
      <c r="E458">
        <v>0</v>
      </c>
      <c r="F458">
        <v>0</v>
      </c>
      <c r="G458">
        <v>2.882352941176471</v>
      </c>
      <c r="H458">
        <v>0</v>
      </c>
      <c r="I458">
        <v>0</v>
      </c>
      <c r="J458">
        <v>0.82183802293224639</v>
      </c>
      <c r="K458">
        <v>0</v>
      </c>
      <c r="L458">
        <v>0</v>
      </c>
      <c r="M458">
        <v>0</v>
      </c>
      <c r="N458">
        <v>0</v>
      </c>
      <c r="O458">
        <v>0</v>
      </c>
      <c r="P458">
        <v>0</v>
      </c>
      <c r="Q458">
        <v>0</v>
      </c>
      <c r="R458">
        <v>0</v>
      </c>
      <c r="S458">
        <v>0</v>
      </c>
      <c r="T458">
        <v>0.82183802293224639</v>
      </c>
      <c r="U458">
        <v>0.17816197706775361</v>
      </c>
      <c r="V458">
        <v>0</v>
      </c>
      <c r="W458">
        <v>0</v>
      </c>
      <c r="X458">
        <v>0</v>
      </c>
      <c r="Y458">
        <v>0</v>
      </c>
      <c r="Z458">
        <v>0</v>
      </c>
      <c r="AA458">
        <v>0</v>
      </c>
      <c r="AB458">
        <v>0</v>
      </c>
      <c r="AC458">
        <v>0</v>
      </c>
      <c r="AD458">
        <v>0</v>
      </c>
      <c r="AE458" t="s">
        <v>161</v>
      </c>
      <c r="AF458">
        <v>10</v>
      </c>
      <c r="AG458" t="s">
        <v>225</v>
      </c>
      <c r="AI458">
        <v>46243</v>
      </c>
      <c r="AJ458" t="s">
        <v>150</v>
      </c>
    </row>
    <row r="459" spans="1:36" x14ac:dyDescent="0.25">
      <c r="A459" s="1">
        <v>46243</v>
      </c>
      <c r="B459" t="s">
        <v>13</v>
      </c>
      <c r="C459" t="s">
        <v>11</v>
      </c>
      <c r="D459">
        <v>1.2735376146788993</v>
      </c>
      <c r="E459">
        <v>0</v>
      </c>
      <c r="F459">
        <v>0</v>
      </c>
      <c r="G459">
        <v>0.94117647058823517</v>
      </c>
      <c r="H459">
        <v>0</v>
      </c>
      <c r="I459">
        <v>0</v>
      </c>
      <c r="J459">
        <v>0.73902526296840998</v>
      </c>
      <c r="K459">
        <v>0</v>
      </c>
      <c r="L459">
        <v>0</v>
      </c>
      <c r="M459">
        <v>0</v>
      </c>
      <c r="N459">
        <v>0</v>
      </c>
      <c r="O459">
        <v>0</v>
      </c>
      <c r="P459">
        <v>0</v>
      </c>
      <c r="Q459">
        <v>0</v>
      </c>
      <c r="R459">
        <v>0</v>
      </c>
      <c r="S459">
        <v>0</v>
      </c>
      <c r="T459">
        <v>0.73902526296840998</v>
      </c>
      <c r="U459">
        <v>0.26097473703159002</v>
      </c>
      <c r="V459">
        <v>0</v>
      </c>
      <c r="W459">
        <v>0</v>
      </c>
      <c r="X459">
        <v>0</v>
      </c>
      <c r="Y459">
        <v>0</v>
      </c>
      <c r="Z459">
        <v>0</v>
      </c>
      <c r="AA459">
        <v>0</v>
      </c>
      <c r="AB459">
        <v>0</v>
      </c>
      <c r="AC459">
        <v>0</v>
      </c>
      <c r="AD459">
        <v>0</v>
      </c>
      <c r="AE459" t="s">
        <v>161</v>
      </c>
      <c r="AF459">
        <v>10</v>
      </c>
      <c r="AG459" t="s">
        <v>226</v>
      </c>
      <c r="AI459">
        <v>46243</v>
      </c>
      <c r="AJ459" t="s">
        <v>150</v>
      </c>
    </row>
    <row r="460" spans="1:36" x14ac:dyDescent="0.25">
      <c r="A460" s="1">
        <v>46243</v>
      </c>
      <c r="B460" t="s">
        <v>13</v>
      </c>
      <c r="C460" t="s">
        <v>12</v>
      </c>
      <c r="D460">
        <v>3.3711289800323798</v>
      </c>
      <c r="E460">
        <v>0</v>
      </c>
      <c r="F460">
        <v>0</v>
      </c>
      <c r="G460">
        <v>3.0449826989619369</v>
      </c>
      <c r="H460">
        <v>0</v>
      </c>
      <c r="I460">
        <v>0</v>
      </c>
      <c r="J460">
        <v>0.9032530991836123</v>
      </c>
      <c r="K460">
        <v>0</v>
      </c>
      <c r="L460">
        <v>0</v>
      </c>
      <c r="M460">
        <v>0</v>
      </c>
      <c r="N460">
        <v>0</v>
      </c>
      <c r="O460">
        <v>0</v>
      </c>
      <c r="P460">
        <v>0</v>
      </c>
      <c r="Q460">
        <v>0</v>
      </c>
      <c r="R460">
        <v>0</v>
      </c>
      <c r="S460">
        <v>0</v>
      </c>
      <c r="T460">
        <v>0.9032530991836123</v>
      </c>
      <c r="U460">
        <v>9.6746900816387704E-2</v>
      </c>
      <c r="V460">
        <v>0</v>
      </c>
      <c r="W460">
        <v>0</v>
      </c>
      <c r="X460">
        <v>0</v>
      </c>
      <c r="Y460">
        <v>0</v>
      </c>
      <c r="Z460">
        <v>0</v>
      </c>
      <c r="AA460">
        <v>0</v>
      </c>
      <c r="AB460">
        <v>0</v>
      </c>
      <c r="AC460">
        <v>0</v>
      </c>
      <c r="AD460">
        <v>0</v>
      </c>
      <c r="AE460" t="s">
        <v>161</v>
      </c>
      <c r="AF460">
        <v>10</v>
      </c>
      <c r="AG460" t="s">
        <v>224</v>
      </c>
      <c r="AI460">
        <v>46243</v>
      </c>
      <c r="AJ460" t="s">
        <v>150</v>
      </c>
    </row>
    <row r="461" spans="1:36" x14ac:dyDescent="0.25">
      <c r="A461" s="1">
        <v>46243</v>
      </c>
      <c r="B461" t="s">
        <v>13</v>
      </c>
      <c r="C461" t="s">
        <v>10</v>
      </c>
      <c r="D461">
        <v>3.5134887958963272</v>
      </c>
      <c r="E461">
        <v>0</v>
      </c>
      <c r="F461">
        <v>0</v>
      </c>
      <c r="G461">
        <v>2.882352941176471</v>
      </c>
      <c r="H461">
        <v>0</v>
      </c>
      <c r="I461">
        <v>0</v>
      </c>
      <c r="J461">
        <v>0.82036776224901919</v>
      </c>
      <c r="K461">
        <v>0</v>
      </c>
      <c r="L461">
        <v>0</v>
      </c>
      <c r="M461">
        <v>0</v>
      </c>
      <c r="N461">
        <v>0</v>
      </c>
      <c r="O461">
        <v>0</v>
      </c>
      <c r="P461">
        <v>0</v>
      </c>
      <c r="Q461">
        <v>0</v>
      </c>
      <c r="R461">
        <v>0</v>
      </c>
      <c r="S461">
        <v>0</v>
      </c>
      <c r="T461">
        <v>0.82036776224901919</v>
      </c>
      <c r="U461">
        <v>0.17963223775098081</v>
      </c>
      <c r="V461">
        <v>0</v>
      </c>
      <c r="W461">
        <v>0</v>
      </c>
      <c r="X461">
        <v>0</v>
      </c>
      <c r="Y461">
        <v>0</v>
      </c>
      <c r="Z461">
        <v>0</v>
      </c>
      <c r="AA461">
        <v>0</v>
      </c>
      <c r="AB461">
        <v>0</v>
      </c>
      <c r="AC461">
        <v>0</v>
      </c>
      <c r="AD461">
        <v>0</v>
      </c>
      <c r="AE461" t="s">
        <v>166</v>
      </c>
      <c r="AF461">
        <v>10</v>
      </c>
      <c r="AG461" t="s">
        <v>225</v>
      </c>
      <c r="AH461">
        <v>1</v>
      </c>
      <c r="AI461">
        <v>46243</v>
      </c>
      <c r="AJ461" t="s">
        <v>150</v>
      </c>
    </row>
    <row r="462" spans="1:36" x14ac:dyDescent="0.25">
      <c r="A462" s="1">
        <v>46243</v>
      </c>
      <c r="B462" t="s">
        <v>13</v>
      </c>
      <c r="C462" t="s">
        <v>11</v>
      </c>
      <c r="D462">
        <v>1.2742252699784016</v>
      </c>
      <c r="E462">
        <v>0</v>
      </c>
      <c r="F462">
        <v>0</v>
      </c>
      <c r="G462">
        <v>0.94117647058823517</v>
      </c>
      <c r="H462">
        <v>0</v>
      </c>
      <c r="I462">
        <v>0</v>
      </c>
      <c r="J462">
        <v>0.73862643659875649</v>
      </c>
      <c r="K462">
        <v>0</v>
      </c>
      <c r="L462">
        <v>0</v>
      </c>
      <c r="M462">
        <v>0</v>
      </c>
      <c r="N462">
        <v>0</v>
      </c>
      <c r="O462">
        <v>0</v>
      </c>
      <c r="P462">
        <v>0</v>
      </c>
      <c r="Q462">
        <v>0</v>
      </c>
      <c r="R462">
        <v>0</v>
      </c>
      <c r="S462">
        <v>0</v>
      </c>
      <c r="T462">
        <v>0.73862643659875649</v>
      </c>
      <c r="U462">
        <v>0.26137356340124351</v>
      </c>
      <c r="V462">
        <v>0</v>
      </c>
      <c r="W462">
        <v>0</v>
      </c>
      <c r="X462">
        <v>0</v>
      </c>
      <c r="Y462">
        <v>0</v>
      </c>
      <c r="Z462">
        <v>0</v>
      </c>
      <c r="AA462">
        <v>0</v>
      </c>
      <c r="AB462">
        <v>0</v>
      </c>
      <c r="AC462">
        <v>0</v>
      </c>
      <c r="AD462">
        <v>0</v>
      </c>
      <c r="AE462" t="s">
        <v>166</v>
      </c>
      <c r="AF462">
        <v>10</v>
      </c>
      <c r="AG462" t="s">
        <v>226</v>
      </c>
      <c r="AH462">
        <v>1</v>
      </c>
      <c r="AI462">
        <v>46243</v>
      </c>
      <c r="AJ462" t="s">
        <v>150</v>
      </c>
    </row>
    <row r="463" spans="1:36" x14ac:dyDescent="0.25">
      <c r="A463" s="1">
        <v>46243</v>
      </c>
      <c r="B463" t="s">
        <v>13</v>
      </c>
      <c r="C463" t="s">
        <v>12</v>
      </c>
      <c r="D463">
        <v>3.3729492440604751</v>
      </c>
      <c r="E463">
        <v>0</v>
      </c>
      <c r="F463">
        <v>0</v>
      </c>
      <c r="G463">
        <v>3.0449826989619369</v>
      </c>
      <c r="H463">
        <v>0</v>
      </c>
      <c r="I463">
        <v>0</v>
      </c>
      <c r="J463">
        <v>0.9027656447318132</v>
      </c>
      <c r="K463">
        <v>0</v>
      </c>
      <c r="L463">
        <v>0</v>
      </c>
      <c r="M463">
        <v>0</v>
      </c>
      <c r="N463">
        <v>0</v>
      </c>
      <c r="O463">
        <v>0</v>
      </c>
      <c r="P463">
        <v>0</v>
      </c>
      <c r="Q463">
        <v>0</v>
      </c>
      <c r="R463">
        <v>0</v>
      </c>
      <c r="S463">
        <v>0</v>
      </c>
      <c r="T463">
        <v>0.9027656447318132</v>
      </c>
      <c r="U463">
        <v>9.7234355268186801E-2</v>
      </c>
      <c r="V463">
        <v>0</v>
      </c>
      <c r="W463">
        <v>0</v>
      </c>
      <c r="X463">
        <v>0</v>
      </c>
      <c r="Y463">
        <v>0</v>
      </c>
      <c r="Z463">
        <v>0</v>
      </c>
      <c r="AA463">
        <v>0</v>
      </c>
      <c r="AB463">
        <v>0</v>
      </c>
      <c r="AC463">
        <v>0</v>
      </c>
      <c r="AD463">
        <v>0</v>
      </c>
      <c r="AE463" t="s">
        <v>166</v>
      </c>
      <c r="AF463">
        <v>10</v>
      </c>
      <c r="AG463" t="s">
        <v>224</v>
      </c>
      <c r="AH463">
        <v>1</v>
      </c>
      <c r="AI463">
        <v>46243</v>
      </c>
      <c r="AJ463" t="s">
        <v>150</v>
      </c>
    </row>
    <row r="464" spans="1:36" x14ac:dyDescent="0.25">
      <c r="A464" s="1">
        <v>46244</v>
      </c>
      <c r="B464" t="s">
        <v>13</v>
      </c>
      <c r="C464" t="s">
        <v>10</v>
      </c>
      <c r="D464">
        <v>3.507203196674312</v>
      </c>
      <c r="E464">
        <v>0</v>
      </c>
      <c r="F464">
        <v>0</v>
      </c>
      <c r="G464">
        <v>2.6443014705882351</v>
      </c>
      <c r="H464">
        <v>0</v>
      </c>
      <c r="I464">
        <v>0</v>
      </c>
      <c r="J464">
        <v>0.75396300764543123</v>
      </c>
      <c r="K464">
        <v>0</v>
      </c>
      <c r="L464">
        <v>0</v>
      </c>
      <c r="M464">
        <v>0</v>
      </c>
      <c r="N464">
        <v>0</v>
      </c>
      <c r="O464">
        <v>0</v>
      </c>
      <c r="P464">
        <v>0</v>
      </c>
      <c r="Q464">
        <v>0</v>
      </c>
      <c r="R464">
        <v>0</v>
      </c>
      <c r="S464">
        <v>0</v>
      </c>
      <c r="T464">
        <v>0.75396300764543123</v>
      </c>
      <c r="U464">
        <v>0.24603699235456877</v>
      </c>
      <c r="V464">
        <v>0</v>
      </c>
      <c r="W464">
        <v>0</v>
      </c>
      <c r="X464">
        <v>0</v>
      </c>
      <c r="Y464">
        <v>0</v>
      </c>
      <c r="Z464">
        <v>0</v>
      </c>
      <c r="AA464">
        <v>0</v>
      </c>
      <c r="AB464">
        <v>0</v>
      </c>
      <c r="AC464">
        <v>0</v>
      </c>
      <c r="AD464">
        <v>0</v>
      </c>
      <c r="AE464" t="s">
        <v>161</v>
      </c>
      <c r="AF464">
        <v>10</v>
      </c>
      <c r="AG464" t="s">
        <v>227</v>
      </c>
      <c r="AI464">
        <v>46244</v>
      </c>
      <c r="AJ464" t="s">
        <v>150</v>
      </c>
    </row>
    <row r="465" spans="1:36" x14ac:dyDescent="0.25">
      <c r="A465" s="1">
        <v>46244</v>
      </c>
      <c r="B465" t="s">
        <v>13</v>
      </c>
      <c r="C465" t="s">
        <v>11</v>
      </c>
      <c r="D465">
        <v>1.2735376146788993</v>
      </c>
      <c r="E465">
        <v>0</v>
      </c>
      <c r="F465">
        <v>0</v>
      </c>
      <c r="G465">
        <v>0.94117647058823517</v>
      </c>
      <c r="H465">
        <v>0</v>
      </c>
      <c r="I465">
        <v>0</v>
      </c>
      <c r="J465">
        <v>0.73902526296840998</v>
      </c>
      <c r="K465">
        <v>0</v>
      </c>
      <c r="L465">
        <v>0</v>
      </c>
      <c r="M465">
        <v>0</v>
      </c>
      <c r="N465">
        <v>0</v>
      </c>
      <c r="O465">
        <v>0</v>
      </c>
      <c r="P465">
        <v>0</v>
      </c>
      <c r="Q465">
        <v>0</v>
      </c>
      <c r="R465">
        <v>0</v>
      </c>
      <c r="S465">
        <v>0</v>
      </c>
      <c r="T465">
        <v>0.73902526296840998</v>
      </c>
      <c r="U465">
        <v>0.26097473703159002</v>
      </c>
      <c r="V465">
        <v>0</v>
      </c>
      <c r="W465">
        <v>0</v>
      </c>
      <c r="X465">
        <v>0</v>
      </c>
      <c r="Y465">
        <v>0</v>
      </c>
      <c r="Z465">
        <v>0</v>
      </c>
      <c r="AA465">
        <v>0</v>
      </c>
      <c r="AB465">
        <v>0</v>
      </c>
      <c r="AC465">
        <v>0</v>
      </c>
      <c r="AD465">
        <v>0</v>
      </c>
      <c r="AE465" t="s">
        <v>161</v>
      </c>
      <c r="AF465">
        <v>10</v>
      </c>
      <c r="AG465" t="s">
        <v>228</v>
      </c>
      <c r="AI465">
        <v>46244</v>
      </c>
      <c r="AJ465" t="s">
        <v>150</v>
      </c>
    </row>
    <row r="466" spans="1:36" x14ac:dyDescent="0.25">
      <c r="A466" s="1">
        <v>46244</v>
      </c>
      <c r="B466" t="s">
        <v>13</v>
      </c>
      <c r="C466" t="s">
        <v>12</v>
      </c>
      <c r="D466">
        <v>3.3711289800323798</v>
      </c>
      <c r="E466">
        <v>0</v>
      </c>
      <c r="F466">
        <v>0</v>
      </c>
      <c r="G466">
        <v>3.2102076124567458</v>
      </c>
      <c r="H466">
        <v>0</v>
      </c>
      <c r="I466">
        <v>0</v>
      </c>
      <c r="J466">
        <v>0.95226484405408651</v>
      </c>
      <c r="K466">
        <v>0</v>
      </c>
      <c r="L466">
        <v>0</v>
      </c>
      <c r="M466">
        <v>0</v>
      </c>
      <c r="N466">
        <v>0</v>
      </c>
      <c r="O466">
        <v>0</v>
      </c>
      <c r="P466">
        <v>0</v>
      </c>
      <c r="Q466">
        <v>0</v>
      </c>
      <c r="R466">
        <v>0</v>
      </c>
      <c r="S466">
        <v>0</v>
      </c>
      <c r="T466">
        <v>0.95226484405408651</v>
      </c>
      <c r="U466">
        <v>4.7735155945913488E-2</v>
      </c>
      <c r="V466">
        <v>0</v>
      </c>
      <c r="W466">
        <v>0</v>
      </c>
      <c r="X466">
        <v>0</v>
      </c>
      <c r="Y466">
        <v>0</v>
      </c>
      <c r="Z466">
        <v>0</v>
      </c>
      <c r="AA466">
        <v>0</v>
      </c>
      <c r="AB466">
        <v>0</v>
      </c>
      <c r="AC466">
        <v>0</v>
      </c>
      <c r="AD466">
        <v>0</v>
      </c>
      <c r="AE466" t="s">
        <v>161</v>
      </c>
      <c r="AF466">
        <v>10</v>
      </c>
      <c r="AG466" t="s">
        <v>229</v>
      </c>
      <c r="AI466">
        <v>46244</v>
      </c>
      <c r="AJ466" t="s">
        <v>150</v>
      </c>
    </row>
    <row r="467" spans="1:36" x14ac:dyDescent="0.25">
      <c r="A467" s="1">
        <v>46244</v>
      </c>
      <c r="B467" t="s">
        <v>13</v>
      </c>
      <c r="C467" t="s">
        <v>10</v>
      </c>
      <c r="D467">
        <v>3.5134887958963272</v>
      </c>
      <c r="E467">
        <v>0</v>
      </c>
      <c r="F467">
        <v>0</v>
      </c>
      <c r="G467">
        <v>2.6443014705882351</v>
      </c>
      <c r="H467">
        <v>0</v>
      </c>
      <c r="I467">
        <v>0</v>
      </c>
      <c r="J467">
        <v>0.75261417474184555</v>
      </c>
      <c r="K467">
        <v>0</v>
      </c>
      <c r="L467">
        <v>0</v>
      </c>
      <c r="M467">
        <v>0</v>
      </c>
      <c r="N467">
        <v>0</v>
      </c>
      <c r="O467">
        <v>0</v>
      </c>
      <c r="P467">
        <v>0</v>
      </c>
      <c r="Q467">
        <v>0</v>
      </c>
      <c r="R467">
        <v>0</v>
      </c>
      <c r="S467">
        <v>0</v>
      </c>
      <c r="T467">
        <v>0.75261417474184555</v>
      </c>
      <c r="U467">
        <v>0.24738582525815445</v>
      </c>
      <c r="V467">
        <v>0</v>
      </c>
      <c r="W467">
        <v>0</v>
      </c>
      <c r="X467">
        <v>0</v>
      </c>
      <c r="Y467">
        <v>0</v>
      </c>
      <c r="Z467">
        <v>0</v>
      </c>
      <c r="AA467">
        <v>0</v>
      </c>
      <c r="AB467">
        <v>0</v>
      </c>
      <c r="AC467">
        <v>0</v>
      </c>
      <c r="AD467">
        <v>0</v>
      </c>
      <c r="AE467" t="s">
        <v>166</v>
      </c>
      <c r="AF467">
        <v>10</v>
      </c>
      <c r="AG467" t="s">
        <v>227</v>
      </c>
      <c r="AH467">
        <v>1</v>
      </c>
      <c r="AI467">
        <v>46244</v>
      </c>
      <c r="AJ467" t="s">
        <v>150</v>
      </c>
    </row>
    <row r="468" spans="1:36" x14ac:dyDescent="0.25">
      <c r="A468" s="1">
        <v>46244</v>
      </c>
      <c r="B468" t="s">
        <v>13</v>
      </c>
      <c r="C468" t="s">
        <v>11</v>
      </c>
      <c r="D468">
        <v>1.2742252699784016</v>
      </c>
      <c r="E468">
        <v>0</v>
      </c>
      <c r="F468">
        <v>0</v>
      </c>
      <c r="G468">
        <v>0.94117647058823517</v>
      </c>
      <c r="H468">
        <v>0</v>
      </c>
      <c r="I468">
        <v>0</v>
      </c>
      <c r="J468">
        <v>0.73862643659875649</v>
      </c>
      <c r="K468">
        <v>0</v>
      </c>
      <c r="L468">
        <v>0</v>
      </c>
      <c r="M468">
        <v>0</v>
      </c>
      <c r="N468">
        <v>0</v>
      </c>
      <c r="O468">
        <v>0</v>
      </c>
      <c r="P468">
        <v>0</v>
      </c>
      <c r="Q468">
        <v>0</v>
      </c>
      <c r="R468">
        <v>0</v>
      </c>
      <c r="S468">
        <v>0</v>
      </c>
      <c r="T468">
        <v>0.73862643659875649</v>
      </c>
      <c r="U468">
        <v>0.26137356340124351</v>
      </c>
      <c r="V468">
        <v>0</v>
      </c>
      <c r="W468">
        <v>0</v>
      </c>
      <c r="X468">
        <v>0</v>
      </c>
      <c r="Y468">
        <v>0</v>
      </c>
      <c r="Z468">
        <v>0</v>
      </c>
      <c r="AA468">
        <v>0</v>
      </c>
      <c r="AB468">
        <v>0</v>
      </c>
      <c r="AC468">
        <v>0</v>
      </c>
      <c r="AD468">
        <v>0</v>
      </c>
      <c r="AE468" t="s">
        <v>166</v>
      </c>
      <c r="AF468">
        <v>10</v>
      </c>
      <c r="AG468" t="s">
        <v>228</v>
      </c>
      <c r="AH468">
        <v>1</v>
      </c>
      <c r="AI468">
        <v>46244</v>
      </c>
      <c r="AJ468" t="s">
        <v>150</v>
      </c>
    </row>
    <row r="469" spans="1:36" x14ac:dyDescent="0.25">
      <c r="A469" s="1">
        <v>46244</v>
      </c>
      <c r="B469" t="s">
        <v>13</v>
      </c>
      <c r="C469" t="s">
        <v>12</v>
      </c>
      <c r="D469">
        <v>3.3729492440604751</v>
      </c>
      <c r="E469">
        <v>0</v>
      </c>
      <c r="F469">
        <v>0</v>
      </c>
      <c r="G469">
        <v>3.2102076124567458</v>
      </c>
      <c r="H469">
        <v>0</v>
      </c>
      <c r="I469">
        <v>0</v>
      </c>
      <c r="J469">
        <v>0.95175093965902224</v>
      </c>
      <c r="K469">
        <v>0</v>
      </c>
      <c r="L469">
        <v>0</v>
      </c>
      <c r="M469">
        <v>0</v>
      </c>
      <c r="N469">
        <v>0</v>
      </c>
      <c r="O469">
        <v>0</v>
      </c>
      <c r="P469">
        <v>0</v>
      </c>
      <c r="Q469">
        <v>0</v>
      </c>
      <c r="R469">
        <v>0</v>
      </c>
      <c r="S469">
        <v>0</v>
      </c>
      <c r="T469">
        <v>0.95175093965902224</v>
      </c>
      <c r="U469">
        <v>4.8249060340977756E-2</v>
      </c>
      <c r="V469">
        <v>0</v>
      </c>
      <c r="W469">
        <v>0</v>
      </c>
      <c r="X469">
        <v>0</v>
      </c>
      <c r="Y469">
        <v>0</v>
      </c>
      <c r="Z469">
        <v>0</v>
      </c>
      <c r="AA469">
        <v>0</v>
      </c>
      <c r="AB469">
        <v>0</v>
      </c>
      <c r="AC469">
        <v>0</v>
      </c>
      <c r="AD469">
        <v>0</v>
      </c>
      <c r="AE469" t="s">
        <v>166</v>
      </c>
      <c r="AF469">
        <v>10</v>
      </c>
      <c r="AG469" t="s">
        <v>229</v>
      </c>
      <c r="AH469">
        <v>1</v>
      </c>
      <c r="AI469">
        <v>46244</v>
      </c>
      <c r="AJ469" t="s">
        <v>150</v>
      </c>
    </row>
    <row r="470" spans="1:36" x14ac:dyDescent="0.25">
      <c r="A470" s="1">
        <v>46245</v>
      </c>
      <c r="B470" t="s">
        <v>13</v>
      </c>
      <c r="C470" t="s">
        <v>12</v>
      </c>
      <c r="D470">
        <v>3.3711289800323798</v>
      </c>
      <c r="E470">
        <v>0</v>
      </c>
      <c r="F470">
        <v>0</v>
      </c>
      <c r="G470">
        <v>3.5415224913494798</v>
      </c>
      <c r="H470">
        <v>0</v>
      </c>
      <c r="I470">
        <v>0</v>
      </c>
      <c r="J470">
        <v>1.0505449397891218</v>
      </c>
      <c r="K470">
        <v>5.0544939789121779E-2</v>
      </c>
      <c r="L470">
        <v>0</v>
      </c>
      <c r="M470">
        <v>0</v>
      </c>
      <c r="N470">
        <v>0</v>
      </c>
      <c r="O470">
        <v>0</v>
      </c>
      <c r="P470">
        <v>0</v>
      </c>
      <c r="Q470">
        <v>0</v>
      </c>
      <c r="R470">
        <v>0</v>
      </c>
      <c r="S470">
        <v>0</v>
      </c>
      <c r="T470">
        <v>0</v>
      </c>
      <c r="U470">
        <v>0</v>
      </c>
      <c r="V470">
        <v>0</v>
      </c>
      <c r="W470">
        <v>0</v>
      </c>
      <c r="X470">
        <v>0</v>
      </c>
      <c r="Y470">
        <v>0</v>
      </c>
      <c r="Z470">
        <v>0</v>
      </c>
      <c r="AA470">
        <v>0</v>
      </c>
      <c r="AB470">
        <v>0</v>
      </c>
      <c r="AC470">
        <v>1</v>
      </c>
      <c r="AD470">
        <v>0</v>
      </c>
      <c r="AE470" t="s">
        <v>161</v>
      </c>
      <c r="AF470">
        <v>10</v>
      </c>
      <c r="AG470" t="s">
        <v>230</v>
      </c>
      <c r="AI470">
        <v>46245</v>
      </c>
      <c r="AJ470" t="s">
        <v>150</v>
      </c>
    </row>
    <row r="471" spans="1:36" x14ac:dyDescent="0.25">
      <c r="A471" s="1">
        <v>46245</v>
      </c>
      <c r="B471" t="s">
        <v>13</v>
      </c>
      <c r="C471" t="s">
        <v>11</v>
      </c>
      <c r="D471">
        <v>1.2735376146788993</v>
      </c>
      <c r="E471">
        <v>0</v>
      </c>
      <c r="F471">
        <v>0</v>
      </c>
      <c r="G471">
        <v>0.94117647058823517</v>
      </c>
      <c r="H471">
        <v>0</v>
      </c>
      <c r="I471">
        <v>0</v>
      </c>
      <c r="J471">
        <v>0.73902526296840998</v>
      </c>
      <c r="K471">
        <v>0</v>
      </c>
      <c r="L471">
        <v>0</v>
      </c>
      <c r="M471">
        <v>0</v>
      </c>
      <c r="N471">
        <v>0</v>
      </c>
      <c r="O471">
        <v>0</v>
      </c>
      <c r="P471">
        <v>0</v>
      </c>
      <c r="Q471">
        <v>0</v>
      </c>
      <c r="R471">
        <v>0</v>
      </c>
      <c r="S471">
        <v>0</v>
      </c>
      <c r="T471">
        <v>0.73902526296840998</v>
      </c>
      <c r="U471">
        <v>0.26097473703159002</v>
      </c>
      <c r="V471">
        <v>0</v>
      </c>
      <c r="W471">
        <v>0</v>
      </c>
      <c r="X471">
        <v>0</v>
      </c>
      <c r="Y471">
        <v>0</v>
      </c>
      <c r="Z471">
        <v>0</v>
      </c>
      <c r="AA471">
        <v>0</v>
      </c>
      <c r="AB471">
        <v>0</v>
      </c>
      <c r="AC471">
        <v>0</v>
      </c>
      <c r="AD471">
        <v>0</v>
      </c>
      <c r="AE471" t="s">
        <v>161</v>
      </c>
      <c r="AF471">
        <v>10</v>
      </c>
      <c r="AG471" t="s">
        <v>232</v>
      </c>
      <c r="AI471">
        <v>46245</v>
      </c>
      <c r="AJ471" t="s">
        <v>150</v>
      </c>
    </row>
    <row r="472" spans="1:36" x14ac:dyDescent="0.25">
      <c r="A472" s="1">
        <v>46245</v>
      </c>
      <c r="B472" t="s">
        <v>13</v>
      </c>
      <c r="C472" t="s">
        <v>10</v>
      </c>
      <c r="D472">
        <v>7.014406393348624</v>
      </c>
      <c r="E472">
        <v>0</v>
      </c>
      <c r="F472">
        <v>0</v>
      </c>
      <c r="G472">
        <v>5.2297794117647056</v>
      </c>
      <c r="H472">
        <v>0</v>
      </c>
      <c r="I472">
        <v>0</v>
      </c>
      <c r="J472">
        <v>0.74557690537061239</v>
      </c>
      <c r="K472">
        <v>0</v>
      </c>
      <c r="L472">
        <v>0</v>
      </c>
      <c r="M472">
        <v>0</v>
      </c>
      <c r="N472">
        <v>0</v>
      </c>
      <c r="O472">
        <v>0</v>
      </c>
      <c r="P472">
        <v>0</v>
      </c>
      <c r="Q472">
        <v>0</v>
      </c>
      <c r="R472">
        <v>0</v>
      </c>
      <c r="S472">
        <v>0</v>
      </c>
      <c r="T472">
        <v>0.74557690537061239</v>
      </c>
      <c r="U472">
        <v>0.25442309462938761</v>
      </c>
      <c r="V472">
        <v>0</v>
      </c>
      <c r="W472">
        <v>0</v>
      </c>
      <c r="X472">
        <v>0</v>
      </c>
      <c r="Y472">
        <v>0</v>
      </c>
      <c r="Z472">
        <v>0</v>
      </c>
      <c r="AA472">
        <v>0</v>
      </c>
      <c r="AB472">
        <v>0</v>
      </c>
      <c r="AC472">
        <v>0</v>
      </c>
      <c r="AD472">
        <v>0</v>
      </c>
      <c r="AE472" t="s">
        <v>161</v>
      </c>
      <c r="AF472">
        <v>10</v>
      </c>
      <c r="AG472" t="s">
        <v>231</v>
      </c>
      <c r="AI472">
        <v>46245</v>
      </c>
      <c r="AJ472" t="s">
        <v>150</v>
      </c>
    </row>
    <row r="473" spans="1:36" x14ac:dyDescent="0.25">
      <c r="A473" s="1">
        <v>46245</v>
      </c>
      <c r="B473" t="s">
        <v>13</v>
      </c>
      <c r="C473" t="s">
        <v>12</v>
      </c>
      <c r="D473">
        <v>3.3729492440604751</v>
      </c>
      <c r="E473">
        <v>0</v>
      </c>
      <c r="F473">
        <v>0</v>
      </c>
      <c r="G473">
        <v>3.5415224913494798</v>
      </c>
      <c r="H473">
        <v>0</v>
      </c>
      <c r="I473">
        <v>0</v>
      </c>
      <c r="J473">
        <v>1.0499779970261487</v>
      </c>
      <c r="K473">
        <v>4.9977997026148691E-2</v>
      </c>
      <c r="L473">
        <v>0</v>
      </c>
      <c r="M473">
        <v>0</v>
      </c>
      <c r="N473">
        <v>0</v>
      </c>
      <c r="O473">
        <v>0</v>
      </c>
      <c r="P473">
        <v>0</v>
      </c>
      <c r="Q473">
        <v>0</v>
      </c>
      <c r="R473">
        <v>0</v>
      </c>
      <c r="S473">
        <v>0</v>
      </c>
      <c r="T473">
        <v>0</v>
      </c>
      <c r="U473">
        <v>0</v>
      </c>
      <c r="V473">
        <v>0</v>
      </c>
      <c r="W473">
        <v>0</v>
      </c>
      <c r="X473">
        <v>0</v>
      </c>
      <c r="Y473">
        <v>0</v>
      </c>
      <c r="Z473">
        <v>0</v>
      </c>
      <c r="AA473">
        <v>0</v>
      </c>
      <c r="AB473">
        <v>0</v>
      </c>
      <c r="AC473">
        <v>1</v>
      </c>
      <c r="AD473">
        <v>0</v>
      </c>
      <c r="AE473" t="s">
        <v>166</v>
      </c>
      <c r="AF473">
        <v>10</v>
      </c>
      <c r="AG473" t="s">
        <v>230</v>
      </c>
      <c r="AH473">
        <v>1</v>
      </c>
      <c r="AI473">
        <v>46245</v>
      </c>
      <c r="AJ473" t="s">
        <v>150</v>
      </c>
    </row>
    <row r="474" spans="1:36" x14ac:dyDescent="0.25">
      <c r="A474" s="1">
        <v>46245</v>
      </c>
      <c r="B474" t="s">
        <v>13</v>
      </c>
      <c r="C474" t="s">
        <v>11</v>
      </c>
      <c r="D474">
        <v>1.2742252699784016</v>
      </c>
      <c r="E474">
        <v>0</v>
      </c>
      <c r="F474">
        <v>0</v>
      </c>
      <c r="G474">
        <v>0.94117647058823517</v>
      </c>
      <c r="H474">
        <v>0</v>
      </c>
      <c r="I474">
        <v>0</v>
      </c>
      <c r="J474">
        <v>0.73862643659875649</v>
      </c>
      <c r="K474">
        <v>0</v>
      </c>
      <c r="L474">
        <v>0</v>
      </c>
      <c r="M474">
        <v>0</v>
      </c>
      <c r="N474">
        <v>0</v>
      </c>
      <c r="O474">
        <v>0</v>
      </c>
      <c r="P474">
        <v>0</v>
      </c>
      <c r="Q474">
        <v>0</v>
      </c>
      <c r="R474">
        <v>0</v>
      </c>
      <c r="S474">
        <v>0</v>
      </c>
      <c r="T474">
        <v>0.73862643659875649</v>
      </c>
      <c r="U474">
        <v>0.26137356340124351</v>
      </c>
      <c r="V474">
        <v>0</v>
      </c>
      <c r="W474">
        <v>0</v>
      </c>
      <c r="X474">
        <v>0</v>
      </c>
      <c r="Y474">
        <v>0</v>
      </c>
      <c r="Z474">
        <v>0</v>
      </c>
      <c r="AA474">
        <v>0</v>
      </c>
      <c r="AB474">
        <v>0</v>
      </c>
      <c r="AC474">
        <v>0</v>
      </c>
      <c r="AD474">
        <v>0</v>
      </c>
      <c r="AE474" t="s">
        <v>166</v>
      </c>
      <c r="AF474">
        <v>10</v>
      </c>
      <c r="AG474" t="s">
        <v>232</v>
      </c>
      <c r="AH474">
        <v>1</v>
      </c>
      <c r="AI474">
        <v>46245</v>
      </c>
      <c r="AJ474" t="s">
        <v>150</v>
      </c>
    </row>
    <row r="475" spans="1:36" x14ac:dyDescent="0.25">
      <c r="A475" s="1">
        <v>46245</v>
      </c>
      <c r="B475" t="s">
        <v>13</v>
      </c>
      <c r="C475" t="s">
        <v>10</v>
      </c>
      <c r="D475">
        <v>7.0269775917926545</v>
      </c>
      <c r="E475">
        <v>0</v>
      </c>
      <c r="F475">
        <v>0</v>
      </c>
      <c r="G475">
        <v>5.2297794117647056</v>
      </c>
      <c r="H475">
        <v>0</v>
      </c>
      <c r="I475">
        <v>0</v>
      </c>
      <c r="J475">
        <v>0.74424307512705967</v>
      </c>
      <c r="K475">
        <v>0</v>
      </c>
      <c r="L475">
        <v>0</v>
      </c>
      <c r="M475">
        <v>0</v>
      </c>
      <c r="N475">
        <v>0</v>
      </c>
      <c r="O475">
        <v>0</v>
      </c>
      <c r="P475">
        <v>0</v>
      </c>
      <c r="Q475">
        <v>0</v>
      </c>
      <c r="R475">
        <v>0</v>
      </c>
      <c r="S475">
        <v>0</v>
      </c>
      <c r="T475">
        <v>0.74424307512705967</v>
      </c>
      <c r="U475">
        <v>0.25575692487294033</v>
      </c>
      <c r="V475">
        <v>0</v>
      </c>
      <c r="W475">
        <v>0</v>
      </c>
      <c r="X475">
        <v>0</v>
      </c>
      <c r="Y475">
        <v>0</v>
      </c>
      <c r="Z475">
        <v>0</v>
      </c>
      <c r="AA475">
        <v>0</v>
      </c>
      <c r="AB475">
        <v>0</v>
      </c>
      <c r="AC475">
        <v>0</v>
      </c>
      <c r="AD475">
        <v>0</v>
      </c>
      <c r="AE475" t="s">
        <v>166</v>
      </c>
      <c r="AF475">
        <v>10</v>
      </c>
      <c r="AG475" t="s">
        <v>231</v>
      </c>
      <c r="AH475">
        <v>1</v>
      </c>
      <c r="AI475">
        <v>46245</v>
      </c>
      <c r="AJ475" t="s">
        <v>150</v>
      </c>
    </row>
    <row r="476" spans="1:36" x14ac:dyDescent="0.25">
      <c r="A476" s="1">
        <v>46246</v>
      </c>
      <c r="B476" t="s">
        <v>13</v>
      </c>
      <c r="C476" t="s">
        <v>10</v>
      </c>
      <c r="D476">
        <v>5.8204648795871554</v>
      </c>
      <c r="E476">
        <v>0</v>
      </c>
      <c r="F476">
        <v>0</v>
      </c>
      <c r="G476">
        <v>4.2886029411764692</v>
      </c>
      <c r="H476">
        <v>0</v>
      </c>
      <c r="I476">
        <v>0</v>
      </c>
      <c r="J476">
        <v>0.73681450363474388</v>
      </c>
      <c r="K476">
        <v>0</v>
      </c>
      <c r="L476">
        <v>0</v>
      </c>
      <c r="M476">
        <v>0</v>
      </c>
      <c r="N476">
        <v>0</v>
      </c>
      <c r="O476">
        <v>0</v>
      </c>
      <c r="P476">
        <v>0</v>
      </c>
      <c r="Q476">
        <v>0</v>
      </c>
      <c r="R476">
        <v>0</v>
      </c>
      <c r="S476">
        <v>0</v>
      </c>
      <c r="T476">
        <v>0.73681450363474388</v>
      </c>
      <c r="U476">
        <v>0.26318549636525612</v>
      </c>
      <c r="V476">
        <v>0</v>
      </c>
      <c r="W476">
        <v>0</v>
      </c>
      <c r="X476">
        <v>0</v>
      </c>
      <c r="Y476">
        <v>0</v>
      </c>
      <c r="Z476">
        <v>0</v>
      </c>
      <c r="AA476">
        <v>0</v>
      </c>
      <c r="AB476">
        <v>0</v>
      </c>
      <c r="AC476">
        <v>0</v>
      </c>
      <c r="AD476">
        <v>0</v>
      </c>
      <c r="AE476" t="s">
        <v>161</v>
      </c>
      <c r="AF476">
        <v>10</v>
      </c>
      <c r="AG476" t="s">
        <v>233</v>
      </c>
      <c r="AI476">
        <v>46246</v>
      </c>
      <c r="AJ476" t="s">
        <v>150</v>
      </c>
    </row>
    <row r="477" spans="1:36" x14ac:dyDescent="0.25">
      <c r="A477" s="1">
        <v>46246</v>
      </c>
      <c r="B477" t="s">
        <v>13</v>
      </c>
      <c r="C477" t="s">
        <v>11</v>
      </c>
      <c r="D477">
        <v>1.2735376146788993</v>
      </c>
      <c r="E477">
        <v>0</v>
      </c>
      <c r="F477">
        <v>0</v>
      </c>
      <c r="G477">
        <v>0.94117647058823517</v>
      </c>
      <c r="H477">
        <v>0</v>
      </c>
      <c r="I477">
        <v>0</v>
      </c>
      <c r="J477">
        <v>0.73902526296840998</v>
      </c>
      <c r="K477">
        <v>0</v>
      </c>
      <c r="L477">
        <v>0</v>
      </c>
      <c r="M477">
        <v>0</v>
      </c>
      <c r="N477">
        <v>0</v>
      </c>
      <c r="O477">
        <v>0</v>
      </c>
      <c r="P477">
        <v>0</v>
      </c>
      <c r="Q477">
        <v>0</v>
      </c>
      <c r="R477">
        <v>0</v>
      </c>
      <c r="S477">
        <v>0</v>
      </c>
      <c r="T477">
        <v>0.73902526296840998</v>
      </c>
      <c r="U477">
        <v>0.26097473703159002</v>
      </c>
      <c r="V477">
        <v>0</v>
      </c>
      <c r="W477">
        <v>0</v>
      </c>
      <c r="X477">
        <v>0</v>
      </c>
      <c r="Y477">
        <v>0</v>
      </c>
      <c r="Z477">
        <v>0</v>
      </c>
      <c r="AA477">
        <v>0</v>
      </c>
      <c r="AB477">
        <v>0</v>
      </c>
      <c r="AC477">
        <v>0</v>
      </c>
      <c r="AD477">
        <v>0</v>
      </c>
      <c r="AE477" t="s">
        <v>161</v>
      </c>
      <c r="AF477">
        <v>10</v>
      </c>
      <c r="AG477" t="s">
        <v>234</v>
      </c>
      <c r="AI477">
        <v>46246</v>
      </c>
      <c r="AJ477" t="s">
        <v>150</v>
      </c>
    </row>
    <row r="478" spans="1:36" x14ac:dyDescent="0.25">
      <c r="A478" s="1">
        <v>46246</v>
      </c>
      <c r="B478" t="s">
        <v>13</v>
      </c>
      <c r="C478" t="s">
        <v>12</v>
      </c>
      <c r="D478">
        <v>2.2474193200215873</v>
      </c>
      <c r="E478">
        <v>0</v>
      </c>
      <c r="F478">
        <v>0</v>
      </c>
      <c r="G478">
        <v>2.5449826989619373</v>
      </c>
      <c r="H478">
        <v>0</v>
      </c>
      <c r="I478">
        <v>0</v>
      </c>
      <c r="J478">
        <v>1.1324022519026364</v>
      </c>
      <c r="K478">
        <v>0.13240225190263644</v>
      </c>
      <c r="L478">
        <v>0</v>
      </c>
      <c r="M478">
        <v>0</v>
      </c>
      <c r="N478">
        <v>0</v>
      </c>
      <c r="O478">
        <v>0</v>
      </c>
      <c r="P478">
        <v>0</v>
      </c>
      <c r="Q478">
        <v>0</v>
      </c>
      <c r="R478">
        <v>0</v>
      </c>
      <c r="S478">
        <v>0</v>
      </c>
      <c r="T478">
        <v>0</v>
      </c>
      <c r="U478">
        <v>0</v>
      </c>
      <c r="V478">
        <v>0</v>
      </c>
      <c r="W478">
        <v>0</v>
      </c>
      <c r="X478">
        <v>0</v>
      </c>
      <c r="Y478">
        <v>0</v>
      </c>
      <c r="Z478">
        <v>0</v>
      </c>
      <c r="AA478">
        <v>0</v>
      </c>
      <c r="AB478">
        <v>0</v>
      </c>
      <c r="AC478">
        <v>1</v>
      </c>
      <c r="AD478">
        <v>0</v>
      </c>
      <c r="AE478" t="s">
        <v>161</v>
      </c>
      <c r="AF478">
        <v>10</v>
      </c>
      <c r="AG478" t="s">
        <v>235</v>
      </c>
      <c r="AI478">
        <v>46246</v>
      </c>
      <c r="AJ478" t="s">
        <v>150</v>
      </c>
    </row>
    <row r="479" spans="1:36" x14ac:dyDescent="0.25">
      <c r="A479" s="1">
        <v>46246</v>
      </c>
      <c r="B479" t="s">
        <v>13</v>
      </c>
      <c r="C479" t="s">
        <v>10</v>
      </c>
      <c r="D479">
        <v>5.8323914011879037</v>
      </c>
      <c r="E479">
        <v>0</v>
      </c>
      <c r="F479">
        <v>0</v>
      </c>
      <c r="G479">
        <v>4.2886029411764692</v>
      </c>
      <c r="H479">
        <v>0</v>
      </c>
      <c r="I479">
        <v>0</v>
      </c>
      <c r="J479">
        <v>0.73530780878371682</v>
      </c>
      <c r="K479">
        <v>0</v>
      </c>
      <c r="L479">
        <v>0</v>
      </c>
      <c r="M479">
        <v>0</v>
      </c>
      <c r="N479">
        <v>0</v>
      </c>
      <c r="O479">
        <v>0</v>
      </c>
      <c r="P479">
        <v>0</v>
      </c>
      <c r="Q479">
        <v>0</v>
      </c>
      <c r="R479">
        <v>0</v>
      </c>
      <c r="S479">
        <v>0</v>
      </c>
      <c r="T479">
        <v>0.73530780878371682</v>
      </c>
      <c r="U479">
        <v>0.26469219121628318</v>
      </c>
      <c r="V479">
        <v>0</v>
      </c>
      <c r="W479">
        <v>0</v>
      </c>
      <c r="X479">
        <v>0</v>
      </c>
      <c r="Y479">
        <v>0</v>
      </c>
      <c r="Z479">
        <v>0</v>
      </c>
      <c r="AA479">
        <v>0</v>
      </c>
      <c r="AB479">
        <v>0</v>
      </c>
      <c r="AC479">
        <v>0</v>
      </c>
      <c r="AD479">
        <v>0</v>
      </c>
      <c r="AE479" t="s">
        <v>166</v>
      </c>
      <c r="AF479">
        <v>10</v>
      </c>
      <c r="AG479" t="s">
        <v>233</v>
      </c>
      <c r="AH479">
        <v>1</v>
      </c>
      <c r="AI479">
        <v>46246</v>
      </c>
      <c r="AJ479" t="s">
        <v>150</v>
      </c>
    </row>
    <row r="480" spans="1:36" x14ac:dyDescent="0.25">
      <c r="A480" s="1">
        <v>46246</v>
      </c>
      <c r="B480" t="s">
        <v>13</v>
      </c>
      <c r="C480" t="s">
        <v>11</v>
      </c>
      <c r="D480">
        <v>1.2742252699784016</v>
      </c>
      <c r="E480">
        <v>0</v>
      </c>
      <c r="F480">
        <v>0</v>
      </c>
      <c r="G480">
        <v>0.94117647058823517</v>
      </c>
      <c r="H480">
        <v>0</v>
      </c>
      <c r="I480">
        <v>0</v>
      </c>
      <c r="J480">
        <v>0.73862643659875649</v>
      </c>
      <c r="K480">
        <v>0</v>
      </c>
      <c r="L480">
        <v>0</v>
      </c>
      <c r="M480">
        <v>0</v>
      </c>
      <c r="N480">
        <v>0</v>
      </c>
      <c r="O480">
        <v>0</v>
      </c>
      <c r="P480">
        <v>0</v>
      </c>
      <c r="Q480">
        <v>0</v>
      </c>
      <c r="R480">
        <v>0</v>
      </c>
      <c r="S480">
        <v>0</v>
      </c>
      <c r="T480">
        <v>0.73862643659875649</v>
      </c>
      <c r="U480">
        <v>0.26137356340124351</v>
      </c>
      <c r="V480">
        <v>0</v>
      </c>
      <c r="W480">
        <v>0</v>
      </c>
      <c r="X480">
        <v>0</v>
      </c>
      <c r="Y480">
        <v>0</v>
      </c>
      <c r="Z480">
        <v>0</v>
      </c>
      <c r="AA480">
        <v>0</v>
      </c>
      <c r="AB480">
        <v>0</v>
      </c>
      <c r="AC480">
        <v>0</v>
      </c>
      <c r="AD480">
        <v>0</v>
      </c>
      <c r="AE480" t="s">
        <v>166</v>
      </c>
      <c r="AF480">
        <v>10</v>
      </c>
      <c r="AG480" t="s">
        <v>234</v>
      </c>
      <c r="AH480">
        <v>1</v>
      </c>
      <c r="AI480">
        <v>46246</v>
      </c>
      <c r="AJ480" t="s">
        <v>150</v>
      </c>
    </row>
    <row r="481" spans="1:36" x14ac:dyDescent="0.25">
      <c r="A481" s="1">
        <v>46246</v>
      </c>
      <c r="B481" t="s">
        <v>13</v>
      </c>
      <c r="C481" t="s">
        <v>12</v>
      </c>
      <c r="D481">
        <v>2.2486328293736499</v>
      </c>
      <c r="E481">
        <v>0</v>
      </c>
      <c r="F481">
        <v>0</v>
      </c>
      <c r="G481">
        <v>2.5449826989619373</v>
      </c>
      <c r="H481">
        <v>0</v>
      </c>
      <c r="I481">
        <v>0</v>
      </c>
      <c r="J481">
        <v>1.1317911335799695</v>
      </c>
      <c r="K481">
        <v>0.13179113357996952</v>
      </c>
      <c r="L481">
        <v>0</v>
      </c>
      <c r="M481">
        <v>0</v>
      </c>
      <c r="N481">
        <v>0</v>
      </c>
      <c r="O481">
        <v>0</v>
      </c>
      <c r="P481">
        <v>0</v>
      </c>
      <c r="Q481">
        <v>0</v>
      </c>
      <c r="R481">
        <v>0</v>
      </c>
      <c r="S481">
        <v>0</v>
      </c>
      <c r="T481">
        <v>0</v>
      </c>
      <c r="U481">
        <v>0</v>
      </c>
      <c r="V481">
        <v>0</v>
      </c>
      <c r="W481">
        <v>0</v>
      </c>
      <c r="X481">
        <v>0</v>
      </c>
      <c r="Y481">
        <v>0</v>
      </c>
      <c r="Z481">
        <v>0</v>
      </c>
      <c r="AA481">
        <v>0</v>
      </c>
      <c r="AB481">
        <v>0</v>
      </c>
      <c r="AC481">
        <v>1</v>
      </c>
      <c r="AD481">
        <v>0</v>
      </c>
      <c r="AE481" t="s">
        <v>166</v>
      </c>
      <c r="AF481">
        <v>10</v>
      </c>
      <c r="AG481" t="s">
        <v>235</v>
      </c>
      <c r="AH481">
        <v>1</v>
      </c>
      <c r="AI481">
        <v>46246</v>
      </c>
      <c r="AJ481" t="s">
        <v>150</v>
      </c>
    </row>
    <row r="482" spans="1:36" x14ac:dyDescent="0.25">
      <c r="A482" s="1">
        <v>46247</v>
      </c>
      <c r="B482" t="s">
        <v>13</v>
      </c>
      <c r="C482" t="s">
        <v>12</v>
      </c>
      <c r="D482">
        <v>3.3711289800323798</v>
      </c>
      <c r="E482">
        <v>0</v>
      </c>
      <c r="F482">
        <v>0</v>
      </c>
      <c r="G482">
        <v>3.5949826989619371</v>
      </c>
      <c r="H482">
        <v>0</v>
      </c>
      <c r="I482">
        <v>0</v>
      </c>
      <c r="J482">
        <v>1.0664031902236524</v>
      </c>
      <c r="K482">
        <v>6.6403190223652375E-2</v>
      </c>
      <c r="L482">
        <v>0</v>
      </c>
      <c r="M482">
        <v>0</v>
      </c>
      <c r="N482">
        <v>0</v>
      </c>
      <c r="O482">
        <v>0</v>
      </c>
      <c r="P482">
        <v>0</v>
      </c>
      <c r="Q482">
        <v>0</v>
      </c>
      <c r="R482">
        <v>0</v>
      </c>
      <c r="S482">
        <v>0</v>
      </c>
      <c r="T482">
        <v>0</v>
      </c>
      <c r="U482">
        <v>0</v>
      </c>
      <c r="V482">
        <v>0</v>
      </c>
      <c r="W482">
        <v>0</v>
      </c>
      <c r="X482">
        <v>0</v>
      </c>
      <c r="Y482">
        <v>0</v>
      </c>
      <c r="Z482">
        <v>0</v>
      </c>
      <c r="AA482">
        <v>0</v>
      </c>
      <c r="AB482">
        <v>0</v>
      </c>
      <c r="AC482">
        <v>1</v>
      </c>
      <c r="AD482">
        <v>0</v>
      </c>
      <c r="AE482" t="s">
        <v>161</v>
      </c>
      <c r="AF482">
        <v>10</v>
      </c>
      <c r="AG482" t="s">
        <v>236</v>
      </c>
      <c r="AI482">
        <v>46247</v>
      </c>
      <c r="AJ482" t="s">
        <v>150</v>
      </c>
    </row>
    <row r="483" spans="1:36" x14ac:dyDescent="0.25">
      <c r="A483" s="1">
        <v>46247</v>
      </c>
      <c r="B483" t="s">
        <v>13</v>
      </c>
      <c r="C483" t="s">
        <v>10</v>
      </c>
      <c r="D483">
        <v>5.7458435349770651</v>
      </c>
      <c r="E483">
        <v>0</v>
      </c>
      <c r="F483">
        <v>0</v>
      </c>
      <c r="G483">
        <v>4.1104779411764714</v>
      </c>
      <c r="H483">
        <v>0</v>
      </c>
      <c r="I483">
        <v>0</v>
      </c>
      <c r="J483">
        <v>0.71538285304054638</v>
      </c>
      <c r="K483">
        <v>0</v>
      </c>
      <c r="L483">
        <v>0</v>
      </c>
      <c r="M483">
        <v>0</v>
      </c>
      <c r="N483">
        <v>0</v>
      </c>
      <c r="O483">
        <v>0</v>
      </c>
      <c r="P483">
        <v>0</v>
      </c>
      <c r="Q483">
        <v>0</v>
      </c>
      <c r="R483">
        <v>0</v>
      </c>
      <c r="S483">
        <v>0</v>
      </c>
      <c r="T483">
        <v>0.71538285304054638</v>
      </c>
      <c r="U483">
        <v>0.28461714695945362</v>
      </c>
      <c r="V483">
        <v>0</v>
      </c>
      <c r="W483">
        <v>0</v>
      </c>
      <c r="X483">
        <v>0</v>
      </c>
      <c r="Y483">
        <v>0</v>
      </c>
      <c r="Z483">
        <v>0</v>
      </c>
      <c r="AA483">
        <v>0</v>
      </c>
      <c r="AB483">
        <v>0</v>
      </c>
      <c r="AC483">
        <v>0</v>
      </c>
      <c r="AD483">
        <v>0</v>
      </c>
      <c r="AE483" t="s">
        <v>161</v>
      </c>
      <c r="AF483">
        <v>10</v>
      </c>
      <c r="AG483" t="s">
        <v>238</v>
      </c>
      <c r="AI483">
        <v>46247</v>
      </c>
      <c r="AJ483" t="s">
        <v>150</v>
      </c>
    </row>
    <row r="484" spans="1:36" x14ac:dyDescent="0.25">
      <c r="A484" s="1">
        <v>46247</v>
      </c>
      <c r="B484" t="s">
        <v>13</v>
      </c>
      <c r="C484" t="s">
        <v>11</v>
      </c>
      <c r="D484">
        <v>1.2735376146788993</v>
      </c>
      <c r="E484">
        <v>0</v>
      </c>
      <c r="F484">
        <v>0</v>
      </c>
      <c r="G484">
        <v>0.94117647058823517</v>
      </c>
      <c r="H484">
        <v>0</v>
      </c>
      <c r="I484">
        <v>0</v>
      </c>
      <c r="J484">
        <v>0.73902526296840998</v>
      </c>
      <c r="K484">
        <v>0</v>
      </c>
      <c r="L484">
        <v>0</v>
      </c>
      <c r="M484">
        <v>0</v>
      </c>
      <c r="N484">
        <v>0</v>
      </c>
      <c r="O484">
        <v>0</v>
      </c>
      <c r="P484">
        <v>0</v>
      </c>
      <c r="Q484">
        <v>0</v>
      </c>
      <c r="R484">
        <v>0</v>
      </c>
      <c r="S484">
        <v>0</v>
      </c>
      <c r="T484">
        <v>0.73902526296840998</v>
      </c>
      <c r="U484">
        <v>0.26097473703159002</v>
      </c>
      <c r="V484">
        <v>0</v>
      </c>
      <c r="W484">
        <v>0</v>
      </c>
      <c r="X484">
        <v>0</v>
      </c>
      <c r="Y484">
        <v>0</v>
      </c>
      <c r="Z484">
        <v>0</v>
      </c>
      <c r="AA484">
        <v>0</v>
      </c>
      <c r="AB484">
        <v>0</v>
      </c>
      <c r="AC484">
        <v>0</v>
      </c>
      <c r="AD484">
        <v>0</v>
      </c>
      <c r="AE484" t="s">
        <v>161</v>
      </c>
      <c r="AF484">
        <v>10</v>
      </c>
      <c r="AG484" t="s">
        <v>237</v>
      </c>
      <c r="AI484">
        <v>46247</v>
      </c>
      <c r="AJ484" t="s">
        <v>150</v>
      </c>
    </row>
    <row r="485" spans="1:36" x14ac:dyDescent="0.25">
      <c r="A485" s="1">
        <v>46247</v>
      </c>
      <c r="B485" t="s">
        <v>13</v>
      </c>
      <c r="C485" t="s">
        <v>12</v>
      </c>
      <c r="D485">
        <v>3.3729492440604751</v>
      </c>
      <c r="E485">
        <v>0</v>
      </c>
      <c r="F485">
        <v>0</v>
      </c>
      <c r="G485">
        <v>3.5949826989619371</v>
      </c>
      <c r="H485">
        <v>0</v>
      </c>
      <c r="I485">
        <v>0</v>
      </c>
      <c r="J485">
        <v>1.0658276893114971</v>
      </c>
      <c r="K485">
        <v>6.5827689311497073E-2</v>
      </c>
      <c r="L485">
        <v>0</v>
      </c>
      <c r="M485">
        <v>0</v>
      </c>
      <c r="N485">
        <v>0</v>
      </c>
      <c r="O485">
        <v>0</v>
      </c>
      <c r="P485">
        <v>0</v>
      </c>
      <c r="Q485">
        <v>0</v>
      </c>
      <c r="R485">
        <v>0</v>
      </c>
      <c r="S485">
        <v>0</v>
      </c>
      <c r="T485">
        <v>0</v>
      </c>
      <c r="U485">
        <v>0</v>
      </c>
      <c r="V485">
        <v>0</v>
      </c>
      <c r="W485">
        <v>0</v>
      </c>
      <c r="X485">
        <v>0</v>
      </c>
      <c r="Y485">
        <v>0</v>
      </c>
      <c r="Z485">
        <v>0</v>
      </c>
      <c r="AA485">
        <v>0</v>
      </c>
      <c r="AB485">
        <v>0</v>
      </c>
      <c r="AC485">
        <v>1</v>
      </c>
      <c r="AD485">
        <v>0</v>
      </c>
      <c r="AE485" t="s">
        <v>166</v>
      </c>
      <c r="AF485">
        <v>10</v>
      </c>
      <c r="AG485" t="s">
        <v>236</v>
      </c>
      <c r="AH485">
        <v>1</v>
      </c>
      <c r="AI485">
        <v>46247</v>
      </c>
      <c r="AJ485" t="s">
        <v>150</v>
      </c>
    </row>
    <row r="486" spans="1:36" x14ac:dyDescent="0.25">
      <c r="A486" s="1">
        <v>46247</v>
      </c>
      <c r="B486" t="s">
        <v>13</v>
      </c>
      <c r="C486" t="s">
        <v>10</v>
      </c>
      <c r="D486">
        <v>5.7621216252699776</v>
      </c>
      <c r="E486">
        <v>0</v>
      </c>
      <c r="F486">
        <v>0</v>
      </c>
      <c r="G486">
        <v>4.1104779411764714</v>
      </c>
      <c r="H486">
        <v>0</v>
      </c>
      <c r="I486">
        <v>0</v>
      </c>
      <c r="J486">
        <v>0.71336188447495319</v>
      </c>
      <c r="K486">
        <v>0</v>
      </c>
      <c r="L486">
        <v>0</v>
      </c>
      <c r="M486">
        <v>0</v>
      </c>
      <c r="N486">
        <v>0</v>
      </c>
      <c r="O486">
        <v>0</v>
      </c>
      <c r="P486">
        <v>0</v>
      </c>
      <c r="Q486">
        <v>0</v>
      </c>
      <c r="R486">
        <v>0</v>
      </c>
      <c r="S486">
        <v>0</v>
      </c>
      <c r="T486">
        <v>0.71336188447495319</v>
      </c>
      <c r="U486">
        <v>0.28663811552504681</v>
      </c>
      <c r="V486">
        <v>0</v>
      </c>
      <c r="W486">
        <v>0</v>
      </c>
      <c r="X486">
        <v>0</v>
      </c>
      <c r="Y486">
        <v>0</v>
      </c>
      <c r="Z486">
        <v>0</v>
      </c>
      <c r="AA486">
        <v>0</v>
      </c>
      <c r="AB486">
        <v>0</v>
      </c>
      <c r="AC486">
        <v>0</v>
      </c>
      <c r="AD486">
        <v>0</v>
      </c>
      <c r="AE486" t="s">
        <v>166</v>
      </c>
      <c r="AF486">
        <v>10</v>
      </c>
      <c r="AG486" t="s">
        <v>238</v>
      </c>
      <c r="AH486">
        <v>1</v>
      </c>
      <c r="AI486">
        <v>46247</v>
      </c>
      <c r="AJ486" t="s">
        <v>150</v>
      </c>
    </row>
    <row r="487" spans="1:36" x14ac:dyDescent="0.25">
      <c r="A487" s="1">
        <v>46247</v>
      </c>
      <c r="B487" t="s">
        <v>13</v>
      </c>
      <c r="C487" t="s">
        <v>11</v>
      </c>
      <c r="D487">
        <v>1.2742252699784016</v>
      </c>
      <c r="E487">
        <v>0</v>
      </c>
      <c r="F487">
        <v>0</v>
      </c>
      <c r="G487">
        <v>0.94117647058823517</v>
      </c>
      <c r="H487">
        <v>0</v>
      </c>
      <c r="I487">
        <v>0</v>
      </c>
      <c r="J487">
        <v>0.73862643659875649</v>
      </c>
      <c r="K487">
        <v>0</v>
      </c>
      <c r="L487">
        <v>0</v>
      </c>
      <c r="M487">
        <v>0</v>
      </c>
      <c r="N487">
        <v>0</v>
      </c>
      <c r="O487">
        <v>0</v>
      </c>
      <c r="P487">
        <v>0</v>
      </c>
      <c r="Q487">
        <v>0</v>
      </c>
      <c r="R487">
        <v>0</v>
      </c>
      <c r="S487">
        <v>0</v>
      </c>
      <c r="T487">
        <v>0.73862643659875649</v>
      </c>
      <c r="U487">
        <v>0.26137356340124351</v>
      </c>
      <c r="V487">
        <v>0</v>
      </c>
      <c r="W487">
        <v>0</v>
      </c>
      <c r="X487">
        <v>0</v>
      </c>
      <c r="Y487">
        <v>0</v>
      </c>
      <c r="Z487">
        <v>0</v>
      </c>
      <c r="AA487">
        <v>0</v>
      </c>
      <c r="AB487">
        <v>0</v>
      </c>
      <c r="AC487">
        <v>0</v>
      </c>
      <c r="AD487">
        <v>0</v>
      </c>
      <c r="AE487" t="s">
        <v>166</v>
      </c>
      <c r="AF487">
        <v>10</v>
      </c>
      <c r="AG487" t="s">
        <v>237</v>
      </c>
      <c r="AH487">
        <v>1</v>
      </c>
      <c r="AI487">
        <v>46247</v>
      </c>
      <c r="AJ487" t="s">
        <v>150</v>
      </c>
    </row>
    <row r="488" spans="1:36" x14ac:dyDescent="0.25">
      <c r="A488" s="1">
        <v>46248</v>
      </c>
      <c r="B488" t="s">
        <v>13</v>
      </c>
      <c r="C488" t="s">
        <v>12</v>
      </c>
      <c r="D488">
        <v>2.2474193200215873</v>
      </c>
      <c r="E488">
        <v>0</v>
      </c>
      <c r="F488">
        <v>0</v>
      </c>
      <c r="G488">
        <v>2.6538062283737021</v>
      </c>
      <c r="H488">
        <v>0</v>
      </c>
      <c r="I488">
        <v>0</v>
      </c>
      <c r="J488">
        <v>1.1808238029867124</v>
      </c>
      <c r="K488">
        <v>0.18082380298671241</v>
      </c>
      <c r="L488">
        <v>0</v>
      </c>
      <c r="M488">
        <v>0</v>
      </c>
      <c r="N488">
        <v>0</v>
      </c>
      <c r="O488">
        <v>0</v>
      </c>
      <c r="P488">
        <v>0</v>
      </c>
      <c r="Q488">
        <v>0</v>
      </c>
      <c r="R488">
        <v>0</v>
      </c>
      <c r="S488">
        <v>0</v>
      </c>
      <c r="T488">
        <v>0</v>
      </c>
      <c r="U488">
        <v>0</v>
      </c>
      <c r="V488">
        <v>0</v>
      </c>
      <c r="W488">
        <v>0</v>
      </c>
      <c r="X488">
        <v>0</v>
      </c>
      <c r="Y488">
        <v>0</v>
      </c>
      <c r="Z488">
        <v>0</v>
      </c>
      <c r="AA488">
        <v>0</v>
      </c>
      <c r="AB488">
        <v>0</v>
      </c>
      <c r="AC488">
        <v>1</v>
      </c>
      <c r="AD488">
        <v>0</v>
      </c>
      <c r="AE488" t="s">
        <v>161</v>
      </c>
      <c r="AF488">
        <v>10</v>
      </c>
      <c r="AG488" t="s">
        <v>239</v>
      </c>
      <c r="AI488">
        <v>46248</v>
      </c>
      <c r="AJ488" t="s">
        <v>150</v>
      </c>
    </row>
    <row r="489" spans="1:36" x14ac:dyDescent="0.25">
      <c r="A489" s="1">
        <v>46248</v>
      </c>
      <c r="B489" t="s">
        <v>13</v>
      </c>
      <c r="C489" t="s">
        <v>10</v>
      </c>
      <c r="D489">
        <v>4.5519020212155956</v>
      </c>
      <c r="E489">
        <v>0</v>
      </c>
      <c r="F489">
        <v>0</v>
      </c>
      <c r="G489">
        <v>3.1104779411764705</v>
      </c>
      <c r="H489">
        <v>0</v>
      </c>
      <c r="I489">
        <v>0</v>
      </c>
      <c r="J489">
        <v>0.68333587293379627</v>
      </c>
      <c r="K489">
        <v>0</v>
      </c>
      <c r="L489">
        <v>0</v>
      </c>
      <c r="M489">
        <v>0</v>
      </c>
      <c r="N489">
        <v>0</v>
      </c>
      <c r="O489">
        <v>0</v>
      </c>
      <c r="P489">
        <v>0</v>
      </c>
      <c r="Q489">
        <v>0</v>
      </c>
      <c r="R489">
        <v>0</v>
      </c>
      <c r="S489">
        <v>0</v>
      </c>
      <c r="T489">
        <v>0.68333587293379627</v>
      </c>
      <c r="U489">
        <v>0.31666412706620373</v>
      </c>
      <c r="V489">
        <v>0</v>
      </c>
      <c r="W489">
        <v>0</v>
      </c>
      <c r="X489">
        <v>0</v>
      </c>
      <c r="Y489">
        <v>0</v>
      </c>
      <c r="Z489">
        <v>0</v>
      </c>
      <c r="AA489">
        <v>0</v>
      </c>
      <c r="AB489">
        <v>0</v>
      </c>
      <c r="AC489">
        <v>0</v>
      </c>
      <c r="AD489">
        <v>0</v>
      </c>
      <c r="AE489" t="s">
        <v>161</v>
      </c>
      <c r="AF489">
        <v>10</v>
      </c>
      <c r="AG489" t="s">
        <v>241</v>
      </c>
      <c r="AI489">
        <v>46248</v>
      </c>
      <c r="AJ489" t="s">
        <v>150</v>
      </c>
    </row>
    <row r="490" spans="1:36" x14ac:dyDescent="0.25">
      <c r="A490" s="1">
        <v>46248</v>
      </c>
      <c r="B490" t="s">
        <v>13</v>
      </c>
      <c r="C490" t="s">
        <v>11</v>
      </c>
      <c r="D490">
        <v>1.2735376146788993</v>
      </c>
      <c r="E490">
        <v>0</v>
      </c>
      <c r="F490">
        <v>0</v>
      </c>
      <c r="G490">
        <v>0.94117647058823517</v>
      </c>
      <c r="H490">
        <v>0</v>
      </c>
      <c r="I490">
        <v>0</v>
      </c>
      <c r="J490">
        <v>0.73902526296840998</v>
      </c>
      <c r="K490">
        <v>0</v>
      </c>
      <c r="L490">
        <v>0</v>
      </c>
      <c r="M490">
        <v>0</v>
      </c>
      <c r="N490">
        <v>0</v>
      </c>
      <c r="O490">
        <v>0</v>
      </c>
      <c r="P490">
        <v>0</v>
      </c>
      <c r="Q490">
        <v>0</v>
      </c>
      <c r="R490">
        <v>0</v>
      </c>
      <c r="S490">
        <v>0</v>
      </c>
      <c r="T490">
        <v>0.73902526296840998</v>
      </c>
      <c r="U490">
        <v>0.26097473703159002</v>
      </c>
      <c r="V490">
        <v>0</v>
      </c>
      <c r="W490">
        <v>0</v>
      </c>
      <c r="X490">
        <v>0</v>
      </c>
      <c r="Y490">
        <v>0</v>
      </c>
      <c r="Z490">
        <v>0</v>
      </c>
      <c r="AA490">
        <v>0</v>
      </c>
      <c r="AB490">
        <v>0</v>
      </c>
      <c r="AC490">
        <v>0</v>
      </c>
      <c r="AD490">
        <v>0</v>
      </c>
      <c r="AE490" t="s">
        <v>161</v>
      </c>
      <c r="AF490">
        <v>10</v>
      </c>
      <c r="AG490" t="s">
        <v>240</v>
      </c>
      <c r="AI490">
        <v>46248</v>
      </c>
      <c r="AJ490" t="s">
        <v>150</v>
      </c>
    </row>
    <row r="491" spans="1:36" x14ac:dyDescent="0.25">
      <c r="A491" s="1">
        <v>46248</v>
      </c>
      <c r="B491" t="s">
        <v>13</v>
      </c>
      <c r="C491" t="s">
        <v>12</v>
      </c>
      <c r="D491">
        <v>2.2486328293736499</v>
      </c>
      <c r="E491">
        <v>0</v>
      </c>
      <c r="F491">
        <v>0</v>
      </c>
      <c r="G491">
        <v>2.6538062283737021</v>
      </c>
      <c r="H491">
        <v>0</v>
      </c>
      <c r="I491">
        <v>0</v>
      </c>
      <c r="J491">
        <v>1.1801865532279505</v>
      </c>
      <c r="K491">
        <v>0.18018655322795052</v>
      </c>
      <c r="L491">
        <v>0</v>
      </c>
      <c r="M491">
        <v>0</v>
      </c>
      <c r="N491">
        <v>0</v>
      </c>
      <c r="O491">
        <v>0</v>
      </c>
      <c r="P491">
        <v>0</v>
      </c>
      <c r="Q491">
        <v>0</v>
      </c>
      <c r="R491">
        <v>0</v>
      </c>
      <c r="S491">
        <v>0</v>
      </c>
      <c r="T491">
        <v>0</v>
      </c>
      <c r="U491">
        <v>0</v>
      </c>
      <c r="V491">
        <v>0</v>
      </c>
      <c r="W491">
        <v>0</v>
      </c>
      <c r="X491">
        <v>0</v>
      </c>
      <c r="Y491">
        <v>0</v>
      </c>
      <c r="Z491">
        <v>0</v>
      </c>
      <c r="AA491">
        <v>0</v>
      </c>
      <c r="AB491">
        <v>0</v>
      </c>
      <c r="AC491">
        <v>1</v>
      </c>
      <c r="AD491">
        <v>0</v>
      </c>
      <c r="AE491" t="s">
        <v>166</v>
      </c>
      <c r="AF491">
        <v>10</v>
      </c>
      <c r="AG491" t="s">
        <v>239</v>
      </c>
      <c r="AH491">
        <v>1</v>
      </c>
      <c r="AI491">
        <v>46248</v>
      </c>
      <c r="AJ491" t="s">
        <v>150</v>
      </c>
    </row>
    <row r="492" spans="1:36" x14ac:dyDescent="0.25">
      <c r="A492" s="1">
        <v>46248</v>
      </c>
      <c r="B492" t="s">
        <v>13</v>
      </c>
      <c r="C492" t="s">
        <v>10</v>
      </c>
      <c r="D492">
        <v>4.5675354346652259</v>
      </c>
      <c r="E492">
        <v>0</v>
      </c>
      <c r="F492">
        <v>0</v>
      </c>
      <c r="G492">
        <v>3.1104779411764705</v>
      </c>
      <c r="H492">
        <v>0</v>
      </c>
      <c r="I492">
        <v>0</v>
      </c>
      <c r="J492">
        <v>0.68099700279707864</v>
      </c>
      <c r="K492">
        <v>0</v>
      </c>
      <c r="L492">
        <v>0</v>
      </c>
      <c r="M492">
        <v>0</v>
      </c>
      <c r="N492">
        <v>0</v>
      </c>
      <c r="O492">
        <v>0</v>
      </c>
      <c r="P492">
        <v>0</v>
      </c>
      <c r="Q492">
        <v>0</v>
      </c>
      <c r="R492">
        <v>0</v>
      </c>
      <c r="S492">
        <v>0</v>
      </c>
      <c r="T492">
        <v>0.68099700279707864</v>
      </c>
      <c r="U492">
        <v>0.31900299720292136</v>
      </c>
      <c r="V492">
        <v>0</v>
      </c>
      <c r="W492">
        <v>0</v>
      </c>
      <c r="X492">
        <v>0</v>
      </c>
      <c r="Y492">
        <v>0</v>
      </c>
      <c r="Z492">
        <v>0</v>
      </c>
      <c r="AA492">
        <v>0</v>
      </c>
      <c r="AB492">
        <v>0</v>
      </c>
      <c r="AC492">
        <v>0</v>
      </c>
      <c r="AD492">
        <v>0</v>
      </c>
      <c r="AE492" t="s">
        <v>166</v>
      </c>
      <c r="AF492">
        <v>10</v>
      </c>
      <c r="AG492" t="s">
        <v>241</v>
      </c>
      <c r="AH492">
        <v>1</v>
      </c>
      <c r="AI492">
        <v>46248</v>
      </c>
      <c r="AJ492" t="s">
        <v>150</v>
      </c>
    </row>
    <row r="493" spans="1:36" x14ac:dyDescent="0.25">
      <c r="A493" s="1">
        <v>46248</v>
      </c>
      <c r="B493" t="s">
        <v>13</v>
      </c>
      <c r="C493" t="s">
        <v>11</v>
      </c>
      <c r="D493">
        <v>1.2742252699784016</v>
      </c>
      <c r="E493">
        <v>0</v>
      </c>
      <c r="F493">
        <v>0</v>
      </c>
      <c r="G493">
        <v>0.94117647058823517</v>
      </c>
      <c r="H493">
        <v>0</v>
      </c>
      <c r="I493">
        <v>0</v>
      </c>
      <c r="J493">
        <v>0.73862643659875649</v>
      </c>
      <c r="K493">
        <v>0</v>
      </c>
      <c r="L493">
        <v>0</v>
      </c>
      <c r="M493">
        <v>0</v>
      </c>
      <c r="N493">
        <v>0</v>
      </c>
      <c r="O493">
        <v>0</v>
      </c>
      <c r="P493">
        <v>0</v>
      </c>
      <c r="Q493">
        <v>0</v>
      </c>
      <c r="R493">
        <v>0</v>
      </c>
      <c r="S493">
        <v>0</v>
      </c>
      <c r="T493">
        <v>0.73862643659875649</v>
      </c>
      <c r="U493">
        <v>0.26137356340124351</v>
      </c>
      <c r="V493">
        <v>0</v>
      </c>
      <c r="W493">
        <v>0</v>
      </c>
      <c r="X493">
        <v>0</v>
      </c>
      <c r="Y493">
        <v>0</v>
      </c>
      <c r="Z493">
        <v>0</v>
      </c>
      <c r="AA493">
        <v>0</v>
      </c>
      <c r="AB493">
        <v>0</v>
      </c>
      <c r="AC493">
        <v>0</v>
      </c>
      <c r="AD493">
        <v>0</v>
      </c>
      <c r="AE493" t="s">
        <v>166</v>
      </c>
      <c r="AF493">
        <v>10</v>
      </c>
      <c r="AG493" t="s">
        <v>240</v>
      </c>
      <c r="AH493">
        <v>1</v>
      </c>
      <c r="AI493">
        <v>46248</v>
      </c>
      <c r="AJ493" t="s">
        <v>150</v>
      </c>
    </row>
    <row r="494" spans="1:36" x14ac:dyDescent="0.25">
      <c r="A494" s="1">
        <v>46249</v>
      </c>
      <c r="B494" t="s">
        <v>13</v>
      </c>
      <c r="C494" t="s">
        <v>12</v>
      </c>
      <c r="D494">
        <v>2.2474193200215873</v>
      </c>
      <c r="E494">
        <v>0</v>
      </c>
      <c r="F494">
        <v>0</v>
      </c>
      <c r="G494">
        <v>2.1591695501730106</v>
      </c>
      <c r="H494">
        <v>0</v>
      </c>
      <c r="I494">
        <v>0</v>
      </c>
      <c r="J494">
        <v>0.96073284185893315</v>
      </c>
      <c r="K494">
        <v>0</v>
      </c>
      <c r="L494">
        <v>0</v>
      </c>
      <c r="M494">
        <v>0</v>
      </c>
      <c r="N494">
        <v>0</v>
      </c>
      <c r="O494">
        <v>0</v>
      </c>
      <c r="P494">
        <v>0</v>
      </c>
      <c r="Q494">
        <v>0</v>
      </c>
      <c r="R494">
        <v>0</v>
      </c>
      <c r="S494">
        <v>0</v>
      </c>
      <c r="T494">
        <v>0.96073284185893315</v>
      </c>
      <c r="U494">
        <v>3.9267158141066849E-2</v>
      </c>
      <c r="V494">
        <v>0</v>
      </c>
      <c r="W494">
        <v>0</v>
      </c>
      <c r="X494">
        <v>0</v>
      </c>
      <c r="Y494">
        <v>0</v>
      </c>
      <c r="Z494">
        <v>0</v>
      </c>
      <c r="AA494">
        <v>0</v>
      </c>
      <c r="AB494">
        <v>0</v>
      </c>
      <c r="AC494">
        <v>0</v>
      </c>
      <c r="AD494">
        <v>0</v>
      </c>
      <c r="AE494" t="s">
        <v>161</v>
      </c>
      <c r="AF494">
        <v>10</v>
      </c>
      <c r="AG494" t="s">
        <v>242</v>
      </c>
      <c r="AI494">
        <v>46249</v>
      </c>
      <c r="AJ494" t="s">
        <v>150</v>
      </c>
    </row>
    <row r="495" spans="1:36" x14ac:dyDescent="0.25">
      <c r="A495" s="1">
        <v>46249</v>
      </c>
      <c r="B495" t="s">
        <v>13</v>
      </c>
      <c r="C495" t="s">
        <v>11</v>
      </c>
      <c r="D495">
        <v>1.2735376146788993</v>
      </c>
      <c r="E495">
        <v>0</v>
      </c>
      <c r="F495">
        <v>0</v>
      </c>
      <c r="G495">
        <v>0.94117647058823517</v>
      </c>
      <c r="H495">
        <v>0</v>
      </c>
      <c r="I495">
        <v>0</v>
      </c>
      <c r="J495">
        <v>0.73902526296840998</v>
      </c>
      <c r="K495">
        <v>0</v>
      </c>
      <c r="L495">
        <v>0</v>
      </c>
      <c r="M495">
        <v>0</v>
      </c>
      <c r="N495">
        <v>0</v>
      </c>
      <c r="O495">
        <v>0</v>
      </c>
      <c r="P495">
        <v>0</v>
      </c>
      <c r="Q495">
        <v>0</v>
      </c>
      <c r="R495">
        <v>0</v>
      </c>
      <c r="S495">
        <v>0</v>
      </c>
      <c r="T495">
        <v>0.73902526296840998</v>
      </c>
      <c r="U495">
        <v>0.26097473703159002</v>
      </c>
      <c r="V495">
        <v>0</v>
      </c>
      <c r="W495">
        <v>0</v>
      </c>
      <c r="X495">
        <v>0</v>
      </c>
      <c r="Y495">
        <v>0</v>
      </c>
      <c r="Z495">
        <v>0</v>
      </c>
      <c r="AA495">
        <v>0</v>
      </c>
      <c r="AB495">
        <v>0</v>
      </c>
      <c r="AC495">
        <v>0</v>
      </c>
      <c r="AD495">
        <v>0</v>
      </c>
      <c r="AE495" t="s">
        <v>161</v>
      </c>
      <c r="AF495">
        <v>10</v>
      </c>
      <c r="AG495" t="s">
        <v>243</v>
      </c>
      <c r="AI495">
        <v>46249</v>
      </c>
      <c r="AJ495" t="s">
        <v>150</v>
      </c>
    </row>
    <row r="496" spans="1:36" x14ac:dyDescent="0.25">
      <c r="A496" s="1">
        <v>46249</v>
      </c>
      <c r="B496" t="s">
        <v>13</v>
      </c>
      <c r="C496" t="s">
        <v>10</v>
      </c>
      <c r="D496">
        <v>5.3727368119266048</v>
      </c>
      <c r="E496">
        <v>0</v>
      </c>
      <c r="F496">
        <v>0</v>
      </c>
      <c r="G496">
        <v>4.3235294117647038</v>
      </c>
      <c r="H496">
        <v>0</v>
      </c>
      <c r="I496">
        <v>0</v>
      </c>
      <c r="J496">
        <v>0.80471639745449086</v>
      </c>
      <c r="K496">
        <v>0</v>
      </c>
      <c r="L496">
        <v>0</v>
      </c>
      <c r="M496">
        <v>0</v>
      </c>
      <c r="N496">
        <v>0</v>
      </c>
      <c r="O496">
        <v>0</v>
      </c>
      <c r="P496">
        <v>0</v>
      </c>
      <c r="Q496">
        <v>0</v>
      </c>
      <c r="R496">
        <v>0</v>
      </c>
      <c r="S496">
        <v>0</v>
      </c>
      <c r="T496">
        <v>0.80471639745449086</v>
      </c>
      <c r="U496">
        <v>0.19528360254550914</v>
      </c>
      <c r="V496">
        <v>0</v>
      </c>
      <c r="W496">
        <v>0</v>
      </c>
      <c r="X496">
        <v>0</v>
      </c>
      <c r="Y496">
        <v>0</v>
      </c>
      <c r="Z496">
        <v>0</v>
      </c>
      <c r="AA496">
        <v>0</v>
      </c>
      <c r="AB496">
        <v>0</v>
      </c>
      <c r="AC496">
        <v>0</v>
      </c>
      <c r="AD496">
        <v>0</v>
      </c>
      <c r="AE496" t="s">
        <v>161</v>
      </c>
      <c r="AF496">
        <v>10</v>
      </c>
      <c r="AG496" t="s">
        <v>244</v>
      </c>
      <c r="AI496">
        <v>46249</v>
      </c>
      <c r="AJ496" t="s">
        <v>150</v>
      </c>
    </row>
    <row r="497" spans="1:36" x14ac:dyDescent="0.25">
      <c r="A497" s="1">
        <v>46249</v>
      </c>
      <c r="B497" t="s">
        <v>13</v>
      </c>
      <c r="C497" t="s">
        <v>12</v>
      </c>
      <c r="D497">
        <v>2.2486328293736499</v>
      </c>
      <c r="E497">
        <v>0</v>
      </c>
      <c r="F497">
        <v>0</v>
      </c>
      <c r="G497">
        <v>2.1591695501730106</v>
      </c>
      <c r="H497">
        <v>0</v>
      </c>
      <c r="I497">
        <v>0</v>
      </c>
      <c r="J497">
        <v>0.96021436757838363</v>
      </c>
      <c r="K497">
        <v>0</v>
      </c>
      <c r="L497">
        <v>0</v>
      </c>
      <c r="M497">
        <v>0</v>
      </c>
      <c r="N497">
        <v>0</v>
      </c>
      <c r="O497">
        <v>0</v>
      </c>
      <c r="P497">
        <v>0</v>
      </c>
      <c r="Q497">
        <v>0</v>
      </c>
      <c r="R497">
        <v>0</v>
      </c>
      <c r="S497">
        <v>0</v>
      </c>
      <c r="T497">
        <v>0.96021436757838363</v>
      </c>
      <c r="U497">
        <v>3.9785632421616368E-2</v>
      </c>
      <c r="V497">
        <v>0</v>
      </c>
      <c r="W497">
        <v>0</v>
      </c>
      <c r="X497">
        <v>0</v>
      </c>
      <c r="Y497">
        <v>0</v>
      </c>
      <c r="Z497">
        <v>0</v>
      </c>
      <c r="AA497">
        <v>0</v>
      </c>
      <c r="AB497">
        <v>0</v>
      </c>
      <c r="AC497">
        <v>0</v>
      </c>
      <c r="AD497">
        <v>0</v>
      </c>
      <c r="AE497" t="s">
        <v>166</v>
      </c>
      <c r="AF497">
        <v>10</v>
      </c>
      <c r="AG497" t="s">
        <v>242</v>
      </c>
      <c r="AH497">
        <v>1</v>
      </c>
      <c r="AI497">
        <v>46249</v>
      </c>
      <c r="AJ497" t="s">
        <v>150</v>
      </c>
    </row>
    <row r="498" spans="1:36" x14ac:dyDescent="0.25">
      <c r="A498" s="1">
        <v>46249</v>
      </c>
      <c r="B498" t="s">
        <v>13</v>
      </c>
      <c r="C498" t="s">
        <v>11</v>
      </c>
      <c r="D498">
        <v>1.2742252699784016</v>
      </c>
      <c r="E498">
        <v>0</v>
      </c>
      <c r="F498">
        <v>0</v>
      </c>
      <c r="G498">
        <v>0.94117647058823517</v>
      </c>
      <c r="H498">
        <v>0</v>
      </c>
      <c r="I498">
        <v>0</v>
      </c>
      <c r="J498">
        <v>0.73862643659875649</v>
      </c>
      <c r="K498">
        <v>0</v>
      </c>
      <c r="L498">
        <v>0</v>
      </c>
      <c r="M498">
        <v>0</v>
      </c>
      <c r="N498">
        <v>0</v>
      </c>
      <c r="O498">
        <v>0</v>
      </c>
      <c r="P498">
        <v>0</v>
      </c>
      <c r="Q498">
        <v>0</v>
      </c>
      <c r="R498">
        <v>0</v>
      </c>
      <c r="S498">
        <v>0</v>
      </c>
      <c r="T498">
        <v>0.73862643659875649</v>
      </c>
      <c r="U498">
        <v>0.26137356340124351</v>
      </c>
      <c r="V498">
        <v>0</v>
      </c>
      <c r="W498">
        <v>0</v>
      </c>
      <c r="X498">
        <v>0</v>
      </c>
      <c r="Y498">
        <v>0</v>
      </c>
      <c r="Z498">
        <v>0</v>
      </c>
      <c r="AA498">
        <v>0</v>
      </c>
      <c r="AB498">
        <v>0</v>
      </c>
      <c r="AC498">
        <v>0</v>
      </c>
      <c r="AD498">
        <v>0</v>
      </c>
      <c r="AE498" t="s">
        <v>166</v>
      </c>
      <c r="AF498">
        <v>10</v>
      </c>
      <c r="AG498" t="s">
        <v>243</v>
      </c>
      <c r="AH498">
        <v>1</v>
      </c>
      <c r="AI498">
        <v>46249</v>
      </c>
      <c r="AJ498" t="s">
        <v>150</v>
      </c>
    </row>
    <row r="499" spans="1:36" x14ac:dyDescent="0.25">
      <c r="A499" s="1">
        <v>46249</v>
      </c>
      <c r="B499" t="s">
        <v>13</v>
      </c>
      <c r="C499" t="s">
        <v>10</v>
      </c>
      <c r="D499">
        <v>5.3405029697624178</v>
      </c>
      <c r="E499">
        <v>0</v>
      </c>
      <c r="F499">
        <v>0</v>
      </c>
      <c r="G499">
        <v>4.3235294117647038</v>
      </c>
      <c r="H499">
        <v>0</v>
      </c>
      <c r="I499">
        <v>0</v>
      </c>
      <c r="J499">
        <v>0.80957344958784738</v>
      </c>
      <c r="K499">
        <v>0</v>
      </c>
      <c r="L499">
        <v>0</v>
      </c>
      <c r="M499">
        <v>0</v>
      </c>
      <c r="N499">
        <v>0</v>
      </c>
      <c r="O499">
        <v>0</v>
      </c>
      <c r="P499">
        <v>0</v>
      </c>
      <c r="Q499">
        <v>0</v>
      </c>
      <c r="R499">
        <v>0</v>
      </c>
      <c r="S499">
        <v>0</v>
      </c>
      <c r="T499">
        <v>0.80957344958784738</v>
      </c>
      <c r="U499">
        <v>0.19042655041215262</v>
      </c>
      <c r="V499">
        <v>0</v>
      </c>
      <c r="W499">
        <v>0</v>
      </c>
      <c r="X499">
        <v>0</v>
      </c>
      <c r="Y499">
        <v>0</v>
      </c>
      <c r="Z499">
        <v>0</v>
      </c>
      <c r="AA499">
        <v>0</v>
      </c>
      <c r="AB499">
        <v>0</v>
      </c>
      <c r="AC499">
        <v>0</v>
      </c>
      <c r="AD499">
        <v>0</v>
      </c>
      <c r="AE499" t="s">
        <v>166</v>
      </c>
      <c r="AF499">
        <v>10</v>
      </c>
      <c r="AG499" t="s">
        <v>244</v>
      </c>
      <c r="AH499">
        <v>1</v>
      </c>
      <c r="AI499">
        <v>46249</v>
      </c>
      <c r="AJ499" t="s">
        <v>150</v>
      </c>
    </row>
    <row r="500" spans="1:36" x14ac:dyDescent="0.25">
      <c r="A500" s="1">
        <v>46250</v>
      </c>
      <c r="B500" t="s">
        <v>13</v>
      </c>
      <c r="C500" t="s">
        <v>11</v>
      </c>
      <c r="D500">
        <v>1.2735376146788993</v>
      </c>
      <c r="E500">
        <v>0</v>
      </c>
      <c r="F500">
        <v>0</v>
      </c>
      <c r="G500">
        <v>0.94117647058823517</v>
      </c>
      <c r="H500">
        <v>0</v>
      </c>
      <c r="I500">
        <v>0</v>
      </c>
      <c r="J500">
        <v>0.73902526296840998</v>
      </c>
      <c r="K500">
        <v>0</v>
      </c>
      <c r="L500">
        <v>0</v>
      </c>
      <c r="M500">
        <v>0</v>
      </c>
      <c r="N500">
        <v>0</v>
      </c>
      <c r="O500">
        <v>0</v>
      </c>
      <c r="P500">
        <v>0</v>
      </c>
      <c r="Q500">
        <v>0</v>
      </c>
      <c r="R500">
        <v>0</v>
      </c>
      <c r="S500">
        <v>0</v>
      </c>
      <c r="T500">
        <v>0.73902526296840998</v>
      </c>
      <c r="U500">
        <v>0.26097473703159002</v>
      </c>
      <c r="V500">
        <v>0</v>
      </c>
      <c r="W500">
        <v>0</v>
      </c>
      <c r="X500">
        <v>0</v>
      </c>
      <c r="Y500">
        <v>0</v>
      </c>
      <c r="Z500">
        <v>0</v>
      </c>
      <c r="AA500">
        <v>0</v>
      </c>
      <c r="AB500">
        <v>0</v>
      </c>
      <c r="AC500">
        <v>0</v>
      </c>
      <c r="AD500">
        <v>0</v>
      </c>
      <c r="AE500" t="s">
        <v>161</v>
      </c>
      <c r="AF500">
        <v>10</v>
      </c>
      <c r="AG500" t="s">
        <v>246</v>
      </c>
      <c r="AI500">
        <v>46250</v>
      </c>
      <c r="AJ500" t="s">
        <v>150</v>
      </c>
    </row>
    <row r="501" spans="1:36" x14ac:dyDescent="0.25">
      <c r="A501" s="1">
        <v>46250</v>
      </c>
      <c r="B501" t="s">
        <v>13</v>
      </c>
      <c r="C501" t="s">
        <v>12</v>
      </c>
      <c r="D501">
        <v>2.2474193200215873</v>
      </c>
      <c r="E501">
        <v>0</v>
      </c>
      <c r="F501">
        <v>0</v>
      </c>
      <c r="G501">
        <v>2.0484429065743952</v>
      </c>
      <c r="H501">
        <v>0</v>
      </c>
      <c r="I501">
        <v>0</v>
      </c>
      <c r="J501">
        <v>0.91146449099437266</v>
      </c>
      <c r="K501">
        <v>0</v>
      </c>
      <c r="L501">
        <v>0</v>
      </c>
      <c r="M501">
        <v>0</v>
      </c>
      <c r="N501">
        <v>0</v>
      </c>
      <c r="O501">
        <v>0</v>
      </c>
      <c r="P501">
        <v>0</v>
      </c>
      <c r="Q501">
        <v>0</v>
      </c>
      <c r="R501">
        <v>0</v>
      </c>
      <c r="S501">
        <v>0</v>
      </c>
      <c r="T501">
        <v>0.91146449099437266</v>
      </c>
      <c r="U501">
        <v>8.8535509005627344E-2</v>
      </c>
      <c r="V501">
        <v>0</v>
      </c>
      <c r="W501">
        <v>0</v>
      </c>
      <c r="X501">
        <v>0</v>
      </c>
      <c r="Y501">
        <v>0</v>
      </c>
      <c r="Z501">
        <v>0</v>
      </c>
      <c r="AA501">
        <v>0</v>
      </c>
      <c r="AB501">
        <v>0</v>
      </c>
      <c r="AC501">
        <v>0</v>
      </c>
      <c r="AD501">
        <v>0</v>
      </c>
      <c r="AE501" t="s">
        <v>161</v>
      </c>
      <c r="AF501">
        <v>10</v>
      </c>
      <c r="AG501" t="s">
        <v>247</v>
      </c>
      <c r="AI501">
        <v>46250</v>
      </c>
      <c r="AJ501" t="s">
        <v>150</v>
      </c>
    </row>
    <row r="502" spans="1:36" x14ac:dyDescent="0.25">
      <c r="A502" s="1">
        <v>46250</v>
      </c>
      <c r="B502" t="s">
        <v>13</v>
      </c>
      <c r="C502" t="s">
        <v>10</v>
      </c>
      <c r="D502">
        <v>3.5818245412844032</v>
      </c>
      <c r="E502">
        <v>0</v>
      </c>
      <c r="F502">
        <v>0</v>
      </c>
      <c r="G502">
        <v>2.9411764705882346</v>
      </c>
      <c r="H502">
        <v>0</v>
      </c>
      <c r="I502">
        <v>0</v>
      </c>
      <c r="J502">
        <v>0.82113918107601125</v>
      </c>
      <c r="K502">
        <v>0</v>
      </c>
      <c r="L502">
        <v>0</v>
      </c>
      <c r="M502">
        <v>0</v>
      </c>
      <c r="N502">
        <v>0</v>
      </c>
      <c r="O502">
        <v>0</v>
      </c>
      <c r="P502">
        <v>0</v>
      </c>
      <c r="Q502">
        <v>0</v>
      </c>
      <c r="R502">
        <v>0</v>
      </c>
      <c r="S502">
        <v>0</v>
      </c>
      <c r="T502">
        <v>0.82113918107601125</v>
      </c>
      <c r="U502">
        <v>0.17886081892398875</v>
      </c>
      <c r="V502">
        <v>0</v>
      </c>
      <c r="W502">
        <v>0</v>
      </c>
      <c r="X502">
        <v>0</v>
      </c>
      <c r="Y502">
        <v>0</v>
      </c>
      <c r="Z502">
        <v>0</v>
      </c>
      <c r="AA502">
        <v>0</v>
      </c>
      <c r="AB502">
        <v>0</v>
      </c>
      <c r="AC502">
        <v>0</v>
      </c>
      <c r="AD502">
        <v>0</v>
      </c>
      <c r="AE502" t="s">
        <v>161</v>
      </c>
      <c r="AF502">
        <v>10</v>
      </c>
      <c r="AG502" t="s">
        <v>245</v>
      </c>
      <c r="AI502">
        <v>46250</v>
      </c>
      <c r="AJ502" t="s">
        <v>150</v>
      </c>
    </row>
    <row r="503" spans="1:36" x14ac:dyDescent="0.25">
      <c r="A503" s="1">
        <v>46250</v>
      </c>
      <c r="B503" t="s">
        <v>13</v>
      </c>
      <c r="C503" t="s">
        <v>11</v>
      </c>
      <c r="D503">
        <v>1.2742252699784016</v>
      </c>
      <c r="E503">
        <v>0</v>
      </c>
      <c r="F503">
        <v>0</v>
      </c>
      <c r="G503">
        <v>0.94117647058823517</v>
      </c>
      <c r="H503">
        <v>0</v>
      </c>
      <c r="I503">
        <v>0</v>
      </c>
      <c r="J503">
        <v>0.73862643659875649</v>
      </c>
      <c r="K503">
        <v>0</v>
      </c>
      <c r="L503">
        <v>0</v>
      </c>
      <c r="M503">
        <v>0</v>
      </c>
      <c r="N503">
        <v>0</v>
      </c>
      <c r="O503">
        <v>0</v>
      </c>
      <c r="P503">
        <v>0</v>
      </c>
      <c r="Q503">
        <v>0</v>
      </c>
      <c r="R503">
        <v>0</v>
      </c>
      <c r="S503">
        <v>0</v>
      </c>
      <c r="T503">
        <v>0.73862643659875649</v>
      </c>
      <c r="U503">
        <v>0.26137356340124351</v>
      </c>
      <c r="V503">
        <v>0</v>
      </c>
      <c r="W503">
        <v>0</v>
      </c>
      <c r="X503">
        <v>0</v>
      </c>
      <c r="Y503">
        <v>0</v>
      </c>
      <c r="Z503">
        <v>0</v>
      </c>
      <c r="AA503">
        <v>0</v>
      </c>
      <c r="AB503">
        <v>0</v>
      </c>
      <c r="AC503">
        <v>0</v>
      </c>
      <c r="AD503">
        <v>0</v>
      </c>
      <c r="AE503" t="s">
        <v>166</v>
      </c>
      <c r="AF503">
        <v>10</v>
      </c>
      <c r="AG503" t="s">
        <v>246</v>
      </c>
      <c r="AH503">
        <v>1</v>
      </c>
      <c r="AI503">
        <v>46250</v>
      </c>
      <c r="AJ503" t="s">
        <v>150</v>
      </c>
    </row>
    <row r="504" spans="1:36" x14ac:dyDescent="0.25">
      <c r="A504" s="1">
        <v>46250</v>
      </c>
      <c r="B504" t="s">
        <v>13</v>
      </c>
      <c r="C504" t="s">
        <v>12</v>
      </c>
      <c r="D504">
        <v>2.2486328293736499</v>
      </c>
      <c r="E504">
        <v>0</v>
      </c>
      <c r="F504">
        <v>0</v>
      </c>
      <c r="G504">
        <v>2.0484429065743952</v>
      </c>
      <c r="H504">
        <v>0</v>
      </c>
      <c r="I504">
        <v>0</v>
      </c>
      <c r="J504">
        <v>0.91097260513846667</v>
      </c>
      <c r="K504">
        <v>0</v>
      </c>
      <c r="L504">
        <v>0</v>
      </c>
      <c r="M504">
        <v>0</v>
      </c>
      <c r="N504">
        <v>0</v>
      </c>
      <c r="O504">
        <v>0</v>
      </c>
      <c r="P504">
        <v>0</v>
      </c>
      <c r="Q504">
        <v>0</v>
      </c>
      <c r="R504">
        <v>0</v>
      </c>
      <c r="S504">
        <v>0</v>
      </c>
      <c r="T504">
        <v>0.91097260513846667</v>
      </c>
      <c r="U504">
        <v>8.9027394861533327E-2</v>
      </c>
      <c r="V504">
        <v>0</v>
      </c>
      <c r="W504">
        <v>0</v>
      </c>
      <c r="X504">
        <v>0</v>
      </c>
      <c r="Y504">
        <v>0</v>
      </c>
      <c r="Z504">
        <v>0</v>
      </c>
      <c r="AA504">
        <v>0</v>
      </c>
      <c r="AB504">
        <v>0</v>
      </c>
      <c r="AC504">
        <v>0</v>
      </c>
      <c r="AD504">
        <v>0</v>
      </c>
      <c r="AE504" t="s">
        <v>166</v>
      </c>
      <c r="AF504">
        <v>10</v>
      </c>
      <c r="AG504" t="s">
        <v>247</v>
      </c>
      <c r="AH504">
        <v>1</v>
      </c>
      <c r="AI504">
        <v>46250</v>
      </c>
      <c r="AJ504" t="s">
        <v>150</v>
      </c>
    </row>
    <row r="505" spans="1:36" x14ac:dyDescent="0.25">
      <c r="A505" s="1">
        <v>46250</v>
      </c>
      <c r="B505" t="s">
        <v>13</v>
      </c>
      <c r="C505" t="s">
        <v>10</v>
      </c>
      <c r="D505">
        <v>3.5134887958963272</v>
      </c>
      <c r="E505">
        <v>0</v>
      </c>
      <c r="F505">
        <v>0</v>
      </c>
      <c r="G505">
        <v>2.9411764705882346</v>
      </c>
      <c r="H505">
        <v>0</v>
      </c>
      <c r="I505">
        <v>0</v>
      </c>
      <c r="J505">
        <v>0.83710996147859074</v>
      </c>
      <c r="K505">
        <v>0</v>
      </c>
      <c r="L505">
        <v>0</v>
      </c>
      <c r="M505">
        <v>0</v>
      </c>
      <c r="N505">
        <v>0</v>
      </c>
      <c r="O505">
        <v>0</v>
      </c>
      <c r="P505">
        <v>0</v>
      </c>
      <c r="Q505">
        <v>0</v>
      </c>
      <c r="R505">
        <v>0</v>
      </c>
      <c r="S505">
        <v>0</v>
      </c>
      <c r="T505">
        <v>0.83710996147859074</v>
      </c>
      <c r="U505">
        <v>0.16289003852140926</v>
      </c>
      <c r="V505">
        <v>0</v>
      </c>
      <c r="W505">
        <v>0</v>
      </c>
      <c r="X505">
        <v>0</v>
      </c>
      <c r="Y505">
        <v>0</v>
      </c>
      <c r="Z505">
        <v>0</v>
      </c>
      <c r="AA505">
        <v>0</v>
      </c>
      <c r="AB505">
        <v>0</v>
      </c>
      <c r="AC505">
        <v>0</v>
      </c>
      <c r="AD505">
        <v>0</v>
      </c>
      <c r="AE505" t="s">
        <v>166</v>
      </c>
      <c r="AF505">
        <v>10</v>
      </c>
      <c r="AG505" t="s">
        <v>245</v>
      </c>
      <c r="AH505">
        <v>1</v>
      </c>
      <c r="AI505">
        <v>46250</v>
      </c>
      <c r="AJ505" t="s">
        <v>150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630CC-77D4-431C-9BA5-C101708360B5}">
  <dimension ref="A1:T505"/>
  <sheetViews>
    <sheetView workbookViewId="0">
      <selection activeCell="V13" sqref="V13"/>
    </sheetView>
  </sheetViews>
  <sheetFormatPr defaultRowHeight="15" x14ac:dyDescent="0.25"/>
  <cols>
    <col min="1" max="1" width="10.7109375" bestFit="1" customWidth="1"/>
    <col min="2" max="3" width="6.7109375" bestFit="1" customWidth="1"/>
    <col min="4" max="4" width="12" bestFit="1" customWidth="1"/>
    <col min="5" max="5" width="9.5703125" bestFit="1" customWidth="1"/>
    <col min="6" max="6" width="29" bestFit="1" customWidth="1"/>
    <col min="7" max="7" width="8.5703125" bestFit="1" customWidth="1"/>
    <col min="8" max="8" width="10.140625" bestFit="1" customWidth="1"/>
    <col min="9" max="9" width="18.140625" bestFit="1" customWidth="1"/>
    <col min="10" max="10" width="27.42578125" bestFit="1" customWidth="1"/>
    <col min="11" max="11" width="12" bestFit="1" customWidth="1"/>
    <col min="12" max="12" width="19.5703125" bestFit="1" customWidth="1"/>
    <col min="13" max="13" width="19.140625" bestFit="1" customWidth="1"/>
    <col min="14" max="14" width="12.28515625" bestFit="1" customWidth="1"/>
    <col min="15" max="15" width="17" bestFit="1" customWidth="1"/>
    <col min="16" max="16" width="13.85546875" bestFit="1" customWidth="1"/>
    <col min="17" max="17" width="25" bestFit="1" customWidth="1"/>
    <col min="18" max="18" width="24.28515625" bestFit="1" customWidth="1"/>
    <col min="19" max="19" width="12.7109375" bestFit="1" customWidth="1"/>
    <col min="20" max="20" width="17.7109375" customWidth="1"/>
    <col min="21" max="21" width="24.28515625" bestFit="1" customWidth="1"/>
    <col min="22" max="22" width="12.7109375" bestFit="1" customWidth="1"/>
    <col min="23" max="23" width="17.7109375" bestFit="1" customWidth="1"/>
    <col min="24" max="24" width="12.7109375" bestFit="1" customWidth="1"/>
    <col min="25" max="25" width="17.7109375" customWidth="1"/>
  </cols>
  <sheetData>
    <row r="1" spans="1:20" x14ac:dyDescent="0.25">
      <c r="A1" t="s">
        <v>0</v>
      </c>
      <c r="B1" t="s">
        <v>14</v>
      </c>
      <c r="C1" t="s">
        <v>15</v>
      </c>
      <c r="D1" t="s">
        <v>2</v>
      </c>
      <c r="E1" t="s">
        <v>135</v>
      </c>
      <c r="F1" t="s">
        <v>148</v>
      </c>
      <c r="G1" t="s">
        <v>154</v>
      </c>
      <c r="H1" t="s">
        <v>145</v>
      </c>
      <c r="I1" t="s">
        <v>38</v>
      </c>
      <c r="J1" t="s">
        <v>138</v>
      </c>
      <c r="K1" t="s">
        <v>39</v>
      </c>
      <c r="L1" t="s">
        <v>139</v>
      </c>
      <c r="M1" t="s">
        <v>40</v>
      </c>
      <c r="N1" t="s">
        <v>124</v>
      </c>
      <c r="O1" t="s">
        <v>132</v>
      </c>
      <c r="P1" t="s">
        <v>133</v>
      </c>
      <c r="Q1" t="s">
        <v>41</v>
      </c>
      <c r="R1" t="s">
        <v>42</v>
      </c>
      <c r="S1" t="s">
        <v>43</v>
      </c>
      <c r="T1" t="s">
        <v>44</v>
      </c>
    </row>
    <row r="2" spans="1:20" x14ac:dyDescent="0.25">
      <c r="A2" s="1">
        <v>46223</v>
      </c>
      <c r="B2" t="s">
        <v>149</v>
      </c>
      <c r="C2" t="s">
        <v>11</v>
      </c>
      <c r="D2">
        <v>4.220105607573192</v>
      </c>
      <c r="E2" t="s">
        <v>161</v>
      </c>
      <c r="G2">
        <v>46223</v>
      </c>
      <c r="H2" t="s">
        <v>150</v>
      </c>
      <c r="I2">
        <v>0.11075419335194958</v>
      </c>
      <c r="J2">
        <v>0.11075419335194958</v>
      </c>
      <c r="K2">
        <v>0</v>
      </c>
      <c r="L2">
        <v>0</v>
      </c>
      <c r="M2">
        <v>0</v>
      </c>
      <c r="N2" t="s">
        <v>125</v>
      </c>
      <c r="O2" t="s">
        <v>125</v>
      </c>
      <c r="P2">
        <v>29.417999999999999</v>
      </c>
      <c r="Q2">
        <v>19.359832997920787</v>
      </c>
      <c r="R2">
        <v>0</v>
      </c>
      <c r="S2">
        <v>0</v>
      </c>
      <c r="T2">
        <v>19.359832997920787</v>
      </c>
    </row>
    <row r="3" spans="1:20" x14ac:dyDescent="0.25">
      <c r="A3" s="1">
        <v>46223</v>
      </c>
      <c r="B3" t="s">
        <v>149</v>
      </c>
      <c r="C3" t="s">
        <v>11</v>
      </c>
      <c r="D3">
        <v>4.2207252494765797</v>
      </c>
      <c r="E3" t="s">
        <v>166</v>
      </c>
      <c r="F3">
        <v>1</v>
      </c>
      <c r="G3">
        <v>46223</v>
      </c>
      <c r="H3" t="s">
        <v>150</v>
      </c>
      <c r="I3">
        <v>0.11059112425792361</v>
      </c>
      <c r="J3">
        <v>0.11059112425792361</v>
      </c>
      <c r="K3">
        <v>0</v>
      </c>
      <c r="L3">
        <v>0</v>
      </c>
      <c r="M3">
        <v>0</v>
      </c>
      <c r="N3" t="s">
        <v>125</v>
      </c>
      <c r="O3" t="s">
        <v>125</v>
      </c>
      <c r="P3">
        <v>29.417999999999999</v>
      </c>
      <c r="Q3">
        <v>19.331328520285048</v>
      </c>
      <c r="R3">
        <v>0</v>
      </c>
      <c r="S3">
        <v>0</v>
      </c>
      <c r="T3">
        <v>19.331328520285048</v>
      </c>
    </row>
    <row r="4" spans="1:20" x14ac:dyDescent="0.25">
      <c r="A4" s="1">
        <v>46230</v>
      </c>
      <c r="B4" t="s">
        <v>149</v>
      </c>
      <c r="C4" t="s">
        <v>11</v>
      </c>
      <c r="D4">
        <v>4.220105607573192</v>
      </c>
      <c r="E4" t="s">
        <v>161</v>
      </c>
      <c r="G4">
        <v>46230</v>
      </c>
      <c r="H4" t="s">
        <v>150</v>
      </c>
      <c r="I4">
        <v>0.11075419335194958</v>
      </c>
      <c r="J4">
        <v>0.11075419335194958</v>
      </c>
      <c r="K4">
        <v>0</v>
      </c>
      <c r="L4">
        <v>0</v>
      </c>
      <c r="M4">
        <v>0</v>
      </c>
      <c r="N4" t="s">
        <v>125</v>
      </c>
      <c r="O4" t="s">
        <v>125</v>
      </c>
      <c r="P4">
        <v>29.417999999999999</v>
      </c>
      <c r="Q4">
        <v>19.359832997920787</v>
      </c>
      <c r="R4">
        <v>0</v>
      </c>
      <c r="S4">
        <v>0</v>
      </c>
      <c r="T4">
        <v>19.359832997920787</v>
      </c>
    </row>
    <row r="5" spans="1:20" x14ac:dyDescent="0.25">
      <c r="A5" s="1">
        <v>46230</v>
      </c>
      <c r="B5" t="s">
        <v>149</v>
      </c>
      <c r="C5" t="s">
        <v>11</v>
      </c>
      <c r="D5">
        <v>4.2207252494765797</v>
      </c>
      <c r="E5" t="s">
        <v>166</v>
      </c>
      <c r="F5">
        <v>1</v>
      </c>
      <c r="G5">
        <v>46230</v>
      </c>
      <c r="H5" t="s">
        <v>150</v>
      </c>
      <c r="I5">
        <v>0.11059112425792361</v>
      </c>
      <c r="J5">
        <v>0.11059112425792361</v>
      </c>
      <c r="K5">
        <v>0</v>
      </c>
      <c r="L5">
        <v>0</v>
      </c>
      <c r="M5">
        <v>0</v>
      </c>
      <c r="N5" t="s">
        <v>125</v>
      </c>
      <c r="O5" t="s">
        <v>125</v>
      </c>
      <c r="P5">
        <v>29.417999999999999</v>
      </c>
      <c r="Q5">
        <v>19.331328520285048</v>
      </c>
      <c r="R5">
        <v>0</v>
      </c>
      <c r="S5">
        <v>0</v>
      </c>
      <c r="T5">
        <v>19.331328520285048</v>
      </c>
    </row>
    <row r="6" spans="1:20" x14ac:dyDescent="0.25">
      <c r="A6" s="1">
        <v>46223</v>
      </c>
      <c r="B6" t="s">
        <v>149</v>
      </c>
      <c r="C6" t="s">
        <v>12</v>
      </c>
      <c r="D6">
        <v>10.972274579690296</v>
      </c>
      <c r="E6" t="s">
        <v>161</v>
      </c>
      <c r="G6">
        <v>46223</v>
      </c>
      <c r="H6" t="s">
        <v>150</v>
      </c>
      <c r="I6">
        <v>0</v>
      </c>
      <c r="J6">
        <v>0</v>
      </c>
      <c r="K6">
        <v>0.73789957969029651</v>
      </c>
      <c r="L6">
        <v>0.73789957969029651</v>
      </c>
      <c r="M6">
        <v>0</v>
      </c>
      <c r="N6" t="s">
        <v>125</v>
      </c>
      <c r="O6" t="s">
        <v>125</v>
      </c>
      <c r="P6">
        <v>28.36</v>
      </c>
      <c r="Q6">
        <v>0</v>
      </c>
      <c r="R6">
        <v>159.04392380812774</v>
      </c>
      <c r="S6">
        <v>0</v>
      </c>
      <c r="T6">
        <v>159.04392380812774</v>
      </c>
    </row>
    <row r="7" spans="1:20" x14ac:dyDescent="0.25">
      <c r="A7" s="1">
        <v>46223</v>
      </c>
      <c r="B7" t="s">
        <v>149</v>
      </c>
      <c r="C7" t="s">
        <v>12</v>
      </c>
      <c r="D7">
        <v>10.973885648639106</v>
      </c>
      <c r="E7" t="s">
        <v>166</v>
      </c>
      <c r="F7">
        <v>1</v>
      </c>
      <c r="G7">
        <v>46223</v>
      </c>
      <c r="H7" t="s">
        <v>150</v>
      </c>
      <c r="I7">
        <v>0</v>
      </c>
      <c r="J7">
        <v>0</v>
      </c>
      <c r="K7">
        <v>0.73951064863910576</v>
      </c>
      <c r="L7">
        <v>0.73951064863910576</v>
      </c>
      <c r="M7">
        <v>9.2843750000000007</v>
      </c>
      <c r="N7" t="s">
        <v>125</v>
      </c>
      <c r="O7" t="s">
        <v>125</v>
      </c>
      <c r="P7">
        <v>28.36</v>
      </c>
      <c r="Q7">
        <v>0</v>
      </c>
      <c r="R7">
        <v>159.39116716507829</v>
      </c>
      <c r="S7">
        <v>0</v>
      </c>
      <c r="T7">
        <v>159.39116716507829</v>
      </c>
    </row>
    <row r="8" spans="1:20" x14ac:dyDescent="0.25">
      <c r="A8" s="1">
        <v>46230</v>
      </c>
      <c r="B8" t="s">
        <v>149</v>
      </c>
      <c r="C8" t="s">
        <v>12</v>
      </c>
      <c r="D8">
        <v>10.972274579690296</v>
      </c>
      <c r="E8" t="s">
        <v>161</v>
      </c>
      <c r="G8">
        <v>46230</v>
      </c>
      <c r="H8" t="s">
        <v>150</v>
      </c>
      <c r="I8">
        <v>0</v>
      </c>
      <c r="J8">
        <v>0</v>
      </c>
      <c r="K8">
        <v>1.7066246356964455E-2</v>
      </c>
      <c r="L8">
        <v>1.7066246356964455E-2</v>
      </c>
      <c r="M8">
        <v>0.50520833333333315</v>
      </c>
      <c r="N8" t="s">
        <v>125</v>
      </c>
      <c r="O8" t="s">
        <v>125</v>
      </c>
      <c r="P8">
        <v>28.36</v>
      </c>
      <c r="Q8">
        <v>0</v>
      </c>
      <c r="R8">
        <v>3.6783904747946905</v>
      </c>
      <c r="S8">
        <v>0</v>
      </c>
      <c r="T8">
        <v>3.6783904747946905</v>
      </c>
    </row>
    <row r="9" spans="1:20" x14ac:dyDescent="0.25">
      <c r="A9" s="1">
        <v>46230</v>
      </c>
      <c r="B9" t="s">
        <v>149</v>
      </c>
      <c r="C9" t="s">
        <v>12</v>
      </c>
      <c r="D9">
        <v>10.973885648639106</v>
      </c>
      <c r="E9" t="s">
        <v>166</v>
      </c>
      <c r="F9">
        <v>1</v>
      </c>
      <c r="G9">
        <v>46230</v>
      </c>
      <c r="H9" t="s">
        <v>150</v>
      </c>
      <c r="I9">
        <v>0</v>
      </c>
      <c r="J9">
        <v>0</v>
      </c>
      <c r="K9">
        <v>1.8677315305774399E-2</v>
      </c>
      <c r="L9">
        <v>1.8677315305774399E-2</v>
      </c>
      <c r="M9">
        <v>10.005208333333332</v>
      </c>
      <c r="N9" t="s">
        <v>125</v>
      </c>
      <c r="O9" t="s">
        <v>125</v>
      </c>
      <c r="P9">
        <v>28.36</v>
      </c>
      <c r="Q9">
        <v>0</v>
      </c>
      <c r="R9">
        <v>4.0256338317453899</v>
      </c>
      <c r="S9">
        <v>0</v>
      </c>
      <c r="T9">
        <v>4.0256338317453899</v>
      </c>
    </row>
    <row r="10" spans="1:20" x14ac:dyDescent="0.25">
      <c r="A10" s="1">
        <v>46223</v>
      </c>
      <c r="B10" t="s">
        <v>149</v>
      </c>
      <c r="C10" t="s">
        <v>10</v>
      </c>
      <c r="D10">
        <v>11.872563775972576</v>
      </c>
      <c r="E10" t="s">
        <v>161</v>
      </c>
      <c r="G10">
        <v>46223</v>
      </c>
      <c r="H10" t="s">
        <v>150</v>
      </c>
      <c r="I10">
        <v>0</v>
      </c>
      <c r="J10">
        <v>0</v>
      </c>
      <c r="K10">
        <v>1.4246471093059103</v>
      </c>
      <c r="L10">
        <v>1.4246471093059103</v>
      </c>
      <c r="M10">
        <v>0</v>
      </c>
      <c r="N10" t="s">
        <v>125</v>
      </c>
      <c r="O10" t="s">
        <v>125</v>
      </c>
      <c r="P10">
        <v>27.57</v>
      </c>
      <c r="Q10">
        <v>0</v>
      </c>
      <c r="R10">
        <v>298.50915810708597</v>
      </c>
      <c r="S10">
        <v>0</v>
      </c>
      <c r="T10">
        <v>298.50915810708597</v>
      </c>
    </row>
    <row r="11" spans="1:20" x14ac:dyDescent="0.25">
      <c r="A11" s="1">
        <v>46223</v>
      </c>
      <c r="B11" t="s">
        <v>149</v>
      </c>
      <c r="C11" t="s">
        <v>10</v>
      </c>
      <c r="D11">
        <v>11.87078976415288</v>
      </c>
      <c r="E11" t="s">
        <v>166</v>
      </c>
      <c r="F11">
        <v>1</v>
      </c>
      <c r="G11">
        <v>46223</v>
      </c>
      <c r="H11" t="s">
        <v>150</v>
      </c>
      <c r="I11">
        <v>0</v>
      </c>
      <c r="J11">
        <v>0</v>
      </c>
      <c r="K11">
        <v>1.422873097486214</v>
      </c>
      <c r="L11">
        <v>1.422873097486214</v>
      </c>
      <c r="M11">
        <v>6.6479166666666654</v>
      </c>
      <c r="N11" t="s">
        <v>125</v>
      </c>
      <c r="O11" t="s">
        <v>125</v>
      </c>
      <c r="P11">
        <v>27.57</v>
      </c>
      <c r="Q11">
        <v>0</v>
      </c>
      <c r="R11">
        <v>298.13744586248134</v>
      </c>
      <c r="S11">
        <v>0</v>
      </c>
      <c r="T11">
        <v>298.13744586248134</v>
      </c>
    </row>
    <row r="12" spans="1:20" x14ac:dyDescent="0.25">
      <c r="A12" s="1">
        <v>46230</v>
      </c>
      <c r="B12" t="s">
        <v>149</v>
      </c>
      <c r="C12" t="s">
        <v>10</v>
      </c>
      <c r="D12">
        <v>11.872563775972576</v>
      </c>
      <c r="E12" t="s">
        <v>161</v>
      </c>
      <c r="G12">
        <v>46230</v>
      </c>
      <c r="H12" t="s">
        <v>150</v>
      </c>
      <c r="I12">
        <v>7.9260800337443982E-3</v>
      </c>
      <c r="J12">
        <v>7.9260800337443982E-3</v>
      </c>
      <c r="K12">
        <v>0</v>
      </c>
      <c r="L12">
        <v>0</v>
      </c>
      <c r="M12">
        <v>0</v>
      </c>
      <c r="N12" t="s">
        <v>125</v>
      </c>
      <c r="O12" t="s">
        <v>125</v>
      </c>
      <c r="P12">
        <v>27.57</v>
      </c>
      <c r="Q12">
        <v>1.3854787898985208</v>
      </c>
      <c r="R12">
        <v>0</v>
      </c>
      <c r="S12">
        <v>0</v>
      </c>
      <c r="T12">
        <v>1.3854787898985208</v>
      </c>
    </row>
    <row r="13" spans="1:20" x14ac:dyDescent="0.25">
      <c r="A13" s="1">
        <v>46230</v>
      </c>
      <c r="B13" t="s">
        <v>149</v>
      </c>
      <c r="C13" t="s">
        <v>10</v>
      </c>
      <c r="D13">
        <v>11.870789764152878</v>
      </c>
      <c r="E13" t="s">
        <v>166</v>
      </c>
      <c r="F13">
        <v>1</v>
      </c>
      <c r="G13">
        <v>46230</v>
      </c>
      <c r="H13" t="s">
        <v>150</v>
      </c>
      <c r="I13">
        <v>8.0767079881507442E-3</v>
      </c>
      <c r="J13">
        <v>8.0767079881507442E-3</v>
      </c>
      <c r="K13">
        <v>0</v>
      </c>
      <c r="L13">
        <v>0</v>
      </c>
      <c r="M13">
        <v>7.1207897641528772</v>
      </c>
      <c r="N13" t="s">
        <v>125</v>
      </c>
      <c r="O13" t="s">
        <v>125</v>
      </c>
      <c r="P13">
        <v>27.57</v>
      </c>
      <c r="Q13">
        <v>1.4118085563287501</v>
      </c>
      <c r="R13">
        <v>0</v>
      </c>
      <c r="S13">
        <v>0</v>
      </c>
      <c r="T13">
        <v>1.4118085563287501</v>
      </c>
    </row>
    <row r="14" spans="1:20" x14ac:dyDescent="0.25">
      <c r="A14" s="1">
        <v>46224</v>
      </c>
      <c r="B14" t="s">
        <v>149</v>
      </c>
      <c r="C14" t="s">
        <v>11</v>
      </c>
      <c r="D14">
        <v>4.220105607573192</v>
      </c>
      <c r="E14" t="s">
        <v>161</v>
      </c>
      <c r="G14">
        <v>46224</v>
      </c>
      <c r="H14" t="s">
        <v>150</v>
      </c>
      <c r="I14">
        <v>0.11075419335194958</v>
      </c>
      <c r="J14">
        <v>0.11075419335194958</v>
      </c>
      <c r="K14">
        <v>0</v>
      </c>
      <c r="L14">
        <v>0</v>
      </c>
      <c r="M14">
        <v>0</v>
      </c>
      <c r="N14" t="s">
        <v>126</v>
      </c>
      <c r="O14" t="s">
        <v>126</v>
      </c>
      <c r="P14">
        <v>29.417999999999999</v>
      </c>
      <c r="Q14">
        <v>19.359832997920787</v>
      </c>
      <c r="R14">
        <v>0</v>
      </c>
      <c r="S14">
        <v>0</v>
      </c>
      <c r="T14">
        <v>19.359832997920787</v>
      </c>
    </row>
    <row r="15" spans="1:20" x14ac:dyDescent="0.25">
      <c r="A15" s="1">
        <v>46224</v>
      </c>
      <c r="B15" t="s">
        <v>149</v>
      </c>
      <c r="C15" t="s">
        <v>11</v>
      </c>
      <c r="D15">
        <v>4.2207252494765797</v>
      </c>
      <c r="E15" t="s">
        <v>166</v>
      </c>
      <c r="F15">
        <v>1</v>
      </c>
      <c r="G15">
        <v>46224</v>
      </c>
      <c r="H15" t="s">
        <v>150</v>
      </c>
      <c r="I15">
        <v>0.11059112425792361</v>
      </c>
      <c r="J15">
        <v>0.11059112425792361</v>
      </c>
      <c r="K15">
        <v>0</v>
      </c>
      <c r="L15">
        <v>0</v>
      </c>
      <c r="M15">
        <v>0</v>
      </c>
      <c r="N15" t="s">
        <v>126</v>
      </c>
      <c r="O15" t="s">
        <v>126</v>
      </c>
      <c r="P15">
        <v>29.417999999999999</v>
      </c>
      <c r="Q15">
        <v>19.331328520285048</v>
      </c>
      <c r="R15">
        <v>0</v>
      </c>
      <c r="S15">
        <v>0</v>
      </c>
      <c r="T15">
        <v>19.331328520285048</v>
      </c>
    </row>
    <row r="16" spans="1:20" x14ac:dyDescent="0.25">
      <c r="A16" s="1">
        <v>46231</v>
      </c>
      <c r="B16" t="s">
        <v>149</v>
      </c>
      <c r="C16" t="s">
        <v>11</v>
      </c>
      <c r="D16">
        <v>4.220105607573192</v>
      </c>
      <c r="E16" t="s">
        <v>161</v>
      </c>
      <c r="G16">
        <v>46231</v>
      </c>
      <c r="H16" t="s">
        <v>150</v>
      </c>
      <c r="I16">
        <v>0.11075419335194958</v>
      </c>
      <c r="J16">
        <v>0.11075419335194958</v>
      </c>
      <c r="K16">
        <v>0</v>
      </c>
      <c r="L16">
        <v>0</v>
      </c>
      <c r="M16">
        <v>0</v>
      </c>
      <c r="N16" t="s">
        <v>126</v>
      </c>
      <c r="O16" t="s">
        <v>126</v>
      </c>
      <c r="P16">
        <v>29.417999999999999</v>
      </c>
      <c r="Q16">
        <v>19.359832997920787</v>
      </c>
      <c r="R16">
        <v>0</v>
      </c>
      <c r="S16">
        <v>0</v>
      </c>
      <c r="T16">
        <v>19.359832997920787</v>
      </c>
    </row>
    <row r="17" spans="1:20" x14ac:dyDescent="0.25">
      <c r="A17" s="1">
        <v>46231</v>
      </c>
      <c r="B17" t="s">
        <v>149</v>
      </c>
      <c r="C17" t="s">
        <v>11</v>
      </c>
      <c r="D17">
        <v>4.2207252494765797</v>
      </c>
      <c r="E17" t="s">
        <v>166</v>
      </c>
      <c r="F17">
        <v>1</v>
      </c>
      <c r="G17">
        <v>46231</v>
      </c>
      <c r="H17" t="s">
        <v>150</v>
      </c>
      <c r="I17">
        <v>0.11059112425792361</v>
      </c>
      <c r="J17">
        <v>0.11059112425792361</v>
      </c>
      <c r="K17">
        <v>0</v>
      </c>
      <c r="L17">
        <v>0</v>
      </c>
      <c r="M17">
        <v>0</v>
      </c>
      <c r="N17" t="s">
        <v>126</v>
      </c>
      <c r="O17" t="s">
        <v>126</v>
      </c>
      <c r="P17">
        <v>29.417999999999999</v>
      </c>
      <c r="Q17">
        <v>19.331328520285048</v>
      </c>
      <c r="R17">
        <v>0</v>
      </c>
      <c r="S17">
        <v>0</v>
      </c>
      <c r="T17">
        <v>19.331328520285048</v>
      </c>
    </row>
    <row r="18" spans="1:20" x14ac:dyDescent="0.25">
      <c r="A18" s="1">
        <v>46224</v>
      </c>
      <c r="B18" t="s">
        <v>149</v>
      </c>
      <c r="C18" t="s">
        <v>10</v>
      </c>
      <c r="D18">
        <v>13.026059308709252</v>
      </c>
      <c r="E18" t="s">
        <v>161</v>
      </c>
      <c r="G18">
        <v>46224</v>
      </c>
      <c r="H18" t="s">
        <v>150</v>
      </c>
      <c r="I18">
        <v>0</v>
      </c>
      <c r="J18">
        <v>0</v>
      </c>
      <c r="K18">
        <v>1.338559308709252</v>
      </c>
      <c r="L18">
        <v>1.338559308709252</v>
      </c>
      <c r="M18">
        <v>0</v>
      </c>
      <c r="N18" t="s">
        <v>126</v>
      </c>
      <c r="O18" t="s">
        <v>126</v>
      </c>
      <c r="P18">
        <v>27.57</v>
      </c>
      <c r="Q18">
        <v>0</v>
      </c>
      <c r="R18">
        <v>280.47100907246698</v>
      </c>
      <c r="S18">
        <v>0</v>
      </c>
      <c r="T18">
        <v>280.47100907246698</v>
      </c>
    </row>
    <row r="19" spans="1:20" x14ac:dyDescent="0.25">
      <c r="A19" s="1">
        <v>46224</v>
      </c>
      <c r="B19" t="s">
        <v>149</v>
      </c>
      <c r="C19" t="s">
        <v>10</v>
      </c>
      <c r="D19">
        <v>13.005109674949711</v>
      </c>
      <c r="E19" t="s">
        <v>166</v>
      </c>
      <c r="F19">
        <v>1</v>
      </c>
      <c r="G19">
        <v>46224</v>
      </c>
      <c r="H19" t="s">
        <v>150</v>
      </c>
      <c r="I19">
        <v>0</v>
      </c>
      <c r="J19">
        <v>0</v>
      </c>
      <c r="K19">
        <v>1.3176096749497113</v>
      </c>
      <c r="L19">
        <v>1.3176096749497113</v>
      </c>
      <c r="M19">
        <v>9.7874999999999996</v>
      </c>
      <c r="N19" t="s">
        <v>126</v>
      </c>
      <c r="O19" t="s">
        <v>126</v>
      </c>
      <c r="P19">
        <v>27.57</v>
      </c>
      <c r="Q19">
        <v>0</v>
      </c>
      <c r="R19">
        <v>276.08139041156289</v>
      </c>
      <c r="S19">
        <v>0</v>
      </c>
      <c r="T19">
        <v>276.08139041156289</v>
      </c>
    </row>
    <row r="20" spans="1:20" x14ac:dyDescent="0.25">
      <c r="A20" s="1">
        <v>46231</v>
      </c>
      <c r="B20" t="s">
        <v>149</v>
      </c>
      <c r="C20" t="s">
        <v>10</v>
      </c>
      <c r="D20">
        <v>11.73189358905347</v>
      </c>
      <c r="E20" t="s">
        <v>161</v>
      </c>
      <c r="G20">
        <v>46231</v>
      </c>
      <c r="H20" t="s">
        <v>150</v>
      </c>
      <c r="I20">
        <v>0</v>
      </c>
      <c r="J20">
        <v>0</v>
      </c>
      <c r="K20">
        <v>2.2131435890534696</v>
      </c>
      <c r="L20">
        <v>2.2131435890534696</v>
      </c>
      <c r="M20">
        <v>0</v>
      </c>
      <c r="N20" t="s">
        <v>126</v>
      </c>
      <c r="O20" t="s">
        <v>126</v>
      </c>
      <c r="P20">
        <v>27.57</v>
      </c>
      <c r="Q20">
        <v>0</v>
      </c>
      <c r="R20">
        <v>463.72440250155159</v>
      </c>
      <c r="S20">
        <v>0</v>
      </c>
      <c r="T20">
        <v>463.72440250155159</v>
      </c>
    </row>
    <row r="21" spans="1:20" x14ac:dyDescent="0.25">
      <c r="A21" s="1">
        <v>46231</v>
      </c>
      <c r="B21" t="s">
        <v>149</v>
      </c>
      <c r="C21" t="s">
        <v>10</v>
      </c>
      <c r="D21">
        <v>11.738892100106735</v>
      </c>
      <c r="E21" t="s">
        <v>166</v>
      </c>
      <c r="F21">
        <v>1</v>
      </c>
      <c r="G21">
        <v>46231</v>
      </c>
      <c r="H21" t="s">
        <v>150</v>
      </c>
      <c r="I21">
        <v>0</v>
      </c>
      <c r="J21">
        <v>0</v>
      </c>
      <c r="K21">
        <v>2.2201421001067345</v>
      </c>
      <c r="L21">
        <v>2.2201421001067345</v>
      </c>
      <c r="M21">
        <v>5.7187500000000009</v>
      </c>
      <c r="N21" t="s">
        <v>126</v>
      </c>
      <c r="O21" t="s">
        <v>126</v>
      </c>
      <c r="P21">
        <v>27.57</v>
      </c>
      <c r="Q21">
        <v>0</v>
      </c>
      <c r="R21">
        <v>465.1908145195643</v>
      </c>
      <c r="S21">
        <v>0</v>
      </c>
      <c r="T21">
        <v>465.1908145195643</v>
      </c>
    </row>
    <row r="22" spans="1:20" x14ac:dyDescent="0.25">
      <c r="A22" s="1">
        <v>46224</v>
      </c>
      <c r="B22" t="s">
        <v>149</v>
      </c>
      <c r="C22" t="s">
        <v>12</v>
      </c>
      <c r="D22">
        <v>10.972274579690296</v>
      </c>
      <c r="E22" t="s">
        <v>161</v>
      </c>
      <c r="G22">
        <v>46224</v>
      </c>
      <c r="H22" t="s">
        <v>150</v>
      </c>
      <c r="I22">
        <v>2.5311563094107647E-2</v>
      </c>
      <c r="J22">
        <v>2.5311563094107647E-2</v>
      </c>
      <c r="K22">
        <v>0</v>
      </c>
      <c r="L22">
        <v>0</v>
      </c>
      <c r="M22">
        <v>0</v>
      </c>
      <c r="N22" t="s">
        <v>126</v>
      </c>
      <c r="O22" t="s">
        <v>126</v>
      </c>
      <c r="P22">
        <v>28.36</v>
      </c>
      <c r="Q22">
        <v>4.4244612288500162</v>
      </c>
      <c r="R22">
        <v>0</v>
      </c>
      <c r="S22">
        <v>0</v>
      </c>
      <c r="T22">
        <v>4.4244612288500162</v>
      </c>
    </row>
    <row r="23" spans="1:20" x14ac:dyDescent="0.25">
      <c r="A23" s="1">
        <v>46224</v>
      </c>
      <c r="B23" t="s">
        <v>149</v>
      </c>
      <c r="C23" t="s">
        <v>12</v>
      </c>
      <c r="D23">
        <v>10.973885648639106</v>
      </c>
      <c r="E23" t="s">
        <v>166</v>
      </c>
      <c r="F23">
        <v>1</v>
      </c>
      <c r="G23">
        <v>46224</v>
      </c>
      <c r="H23" t="s">
        <v>150</v>
      </c>
      <c r="I23">
        <v>2.5161037776544992E-2</v>
      </c>
      <c r="J23">
        <v>2.5161037776544992E-2</v>
      </c>
      <c r="K23">
        <v>0</v>
      </c>
      <c r="L23">
        <v>0</v>
      </c>
      <c r="M23">
        <v>8.1238856486391064</v>
      </c>
      <c r="N23" t="s">
        <v>126</v>
      </c>
      <c r="O23" t="s">
        <v>126</v>
      </c>
      <c r="P23">
        <v>28.36</v>
      </c>
      <c r="Q23">
        <v>4.3981494033400645</v>
      </c>
      <c r="R23">
        <v>0</v>
      </c>
      <c r="S23">
        <v>0</v>
      </c>
      <c r="T23">
        <v>4.3981494033400645</v>
      </c>
    </row>
    <row r="24" spans="1:20" x14ac:dyDescent="0.25">
      <c r="A24" s="1">
        <v>46231</v>
      </c>
      <c r="B24" t="s">
        <v>149</v>
      </c>
      <c r="C24" t="s">
        <v>12</v>
      </c>
      <c r="D24">
        <v>10.972274579690296</v>
      </c>
      <c r="E24" t="s">
        <v>161</v>
      </c>
      <c r="G24">
        <v>46231</v>
      </c>
      <c r="H24" t="s">
        <v>150</v>
      </c>
      <c r="I24">
        <v>2.6450798164212141E-2</v>
      </c>
      <c r="J24">
        <v>2.6450798164212141E-2</v>
      </c>
      <c r="K24">
        <v>0</v>
      </c>
      <c r="L24">
        <v>0</v>
      </c>
      <c r="M24">
        <v>0.52227457969029756</v>
      </c>
      <c r="N24" t="s">
        <v>126</v>
      </c>
      <c r="O24" t="s">
        <v>126</v>
      </c>
      <c r="P24">
        <v>28.36</v>
      </c>
      <c r="Q24">
        <v>4.6235995191042818</v>
      </c>
      <c r="R24">
        <v>0</v>
      </c>
      <c r="S24">
        <v>0</v>
      </c>
      <c r="T24">
        <v>4.6235995191042818</v>
      </c>
    </row>
    <row r="25" spans="1:20" x14ac:dyDescent="0.25">
      <c r="A25" s="1">
        <v>46231</v>
      </c>
      <c r="B25" t="s">
        <v>149</v>
      </c>
      <c r="C25" t="s">
        <v>12</v>
      </c>
      <c r="D25">
        <v>10.973885648639106</v>
      </c>
      <c r="E25" t="s">
        <v>166</v>
      </c>
      <c r="F25">
        <v>1</v>
      </c>
      <c r="G25">
        <v>46231</v>
      </c>
      <c r="H25" t="s">
        <v>150</v>
      </c>
      <c r="I25">
        <v>2.6300105596296586E-2</v>
      </c>
      <c r="J25">
        <v>2.6300105596296586E-2</v>
      </c>
      <c r="K25">
        <v>0</v>
      </c>
      <c r="L25">
        <v>0</v>
      </c>
      <c r="M25">
        <v>10.023885648639107</v>
      </c>
      <c r="N25" t="s">
        <v>126</v>
      </c>
      <c r="O25" t="s">
        <v>126</v>
      </c>
      <c r="P25">
        <v>28.36</v>
      </c>
      <c r="Q25">
        <v>4.597258458232643</v>
      </c>
      <c r="R25">
        <v>0</v>
      </c>
      <c r="S25">
        <v>0</v>
      </c>
      <c r="T25">
        <v>4.597258458232643</v>
      </c>
    </row>
    <row r="26" spans="1:20" x14ac:dyDescent="0.25">
      <c r="A26" s="1">
        <v>46225</v>
      </c>
      <c r="B26" t="s">
        <v>149</v>
      </c>
      <c r="C26" t="s">
        <v>10</v>
      </c>
      <c r="D26">
        <v>12.57591471056811</v>
      </c>
      <c r="E26" t="s">
        <v>161</v>
      </c>
      <c r="G26">
        <v>46225</v>
      </c>
      <c r="H26" t="s">
        <v>150</v>
      </c>
      <c r="I26">
        <v>0</v>
      </c>
      <c r="J26">
        <v>0</v>
      </c>
      <c r="K26">
        <v>1.0795911811563463</v>
      </c>
      <c r="L26">
        <v>1.0795911811563463</v>
      </c>
      <c r="M26">
        <v>0</v>
      </c>
      <c r="N26" t="s">
        <v>127</v>
      </c>
      <c r="O26" t="s">
        <v>127</v>
      </c>
      <c r="P26">
        <v>27.57</v>
      </c>
      <c r="Q26">
        <v>0</v>
      </c>
      <c r="R26">
        <v>226.20889937005154</v>
      </c>
      <c r="S26">
        <v>0</v>
      </c>
      <c r="T26">
        <v>226.20889937005154</v>
      </c>
    </row>
    <row r="27" spans="1:20" x14ac:dyDescent="0.25">
      <c r="A27" s="1">
        <v>46225</v>
      </c>
      <c r="B27" t="s">
        <v>149</v>
      </c>
      <c r="C27" t="s">
        <v>10</v>
      </c>
      <c r="D27">
        <v>12.583037150002054</v>
      </c>
      <c r="E27" t="s">
        <v>166</v>
      </c>
      <c r="F27">
        <v>1</v>
      </c>
      <c r="G27">
        <v>46225</v>
      </c>
      <c r="H27" t="s">
        <v>150</v>
      </c>
      <c r="I27">
        <v>0</v>
      </c>
      <c r="J27">
        <v>0</v>
      </c>
      <c r="K27">
        <v>1.0867136205902901</v>
      </c>
      <c r="L27">
        <v>1.0867136205902901</v>
      </c>
      <c r="M27">
        <v>8.6463235294117649</v>
      </c>
      <c r="N27" t="s">
        <v>127</v>
      </c>
      <c r="O27" t="s">
        <v>127</v>
      </c>
      <c r="P27">
        <v>27.57</v>
      </c>
      <c r="Q27">
        <v>0</v>
      </c>
      <c r="R27">
        <v>227.70127834952467</v>
      </c>
      <c r="S27">
        <v>0</v>
      </c>
      <c r="T27">
        <v>227.70127834952467</v>
      </c>
    </row>
    <row r="28" spans="1:20" x14ac:dyDescent="0.25">
      <c r="A28" s="1">
        <v>46232</v>
      </c>
      <c r="B28" t="s">
        <v>149</v>
      </c>
      <c r="C28" t="s">
        <v>10</v>
      </c>
      <c r="D28">
        <v>12.57591471056811</v>
      </c>
      <c r="E28" t="s">
        <v>161</v>
      </c>
      <c r="G28">
        <v>46232</v>
      </c>
      <c r="H28" t="s">
        <v>150</v>
      </c>
      <c r="I28">
        <v>6.0956853324740656E-3</v>
      </c>
      <c r="J28">
        <v>6.0956853324740656E-3</v>
      </c>
      <c r="K28">
        <v>0</v>
      </c>
      <c r="L28">
        <v>0</v>
      </c>
      <c r="M28">
        <v>0</v>
      </c>
      <c r="N28" t="s">
        <v>127</v>
      </c>
      <c r="O28" t="s">
        <v>127</v>
      </c>
      <c r="P28">
        <v>27.57</v>
      </c>
      <c r="Q28">
        <v>1.0655257961164666</v>
      </c>
      <c r="R28">
        <v>0</v>
      </c>
      <c r="S28">
        <v>0</v>
      </c>
      <c r="T28">
        <v>1.0655257961164666</v>
      </c>
    </row>
    <row r="29" spans="1:20" x14ac:dyDescent="0.25">
      <c r="A29" s="1">
        <v>46232</v>
      </c>
      <c r="B29" t="s">
        <v>149</v>
      </c>
      <c r="C29" t="s">
        <v>10</v>
      </c>
      <c r="D29">
        <v>12.583037150002054</v>
      </c>
      <c r="E29" t="s">
        <v>166</v>
      </c>
      <c r="F29">
        <v>1</v>
      </c>
      <c r="G29">
        <v>46232</v>
      </c>
      <c r="H29" t="s">
        <v>150</v>
      </c>
      <c r="I29">
        <v>5.5261999611675439E-3</v>
      </c>
      <c r="J29">
        <v>5.5261999611675439E-3</v>
      </c>
      <c r="K29">
        <v>0</v>
      </c>
      <c r="L29">
        <v>0</v>
      </c>
      <c r="M29">
        <v>9.7330371500020547</v>
      </c>
      <c r="N29" t="s">
        <v>127</v>
      </c>
      <c r="O29" t="s">
        <v>127</v>
      </c>
      <c r="P29">
        <v>27.57</v>
      </c>
      <c r="Q29">
        <v>0.96597975321208662</v>
      </c>
      <c r="R29">
        <v>0</v>
      </c>
      <c r="S29">
        <v>0</v>
      </c>
      <c r="T29">
        <v>0.96597975321208662</v>
      </c>
    </row>
    <row r="30" spans="1:20" x14ac:dyDescent="0.25">
      <c r="A30" s="1">
        <v>46225</v>
      </c>
      <c r="B30" t="s">
        <v>149</v>
      </c>
      <c r="C30" t="s">
        <v>12</v>
      </c>
      <c r="D30">
        <v>10.80347035538737</v>
      </c>
      <c r="E30" t="s">
        <v>161</v>
      </c>
      <c r="G30">
        <v>46225</v>
      </c>
      <c r="H30" t="s">
        <v>150</v>
      </c>
      <c r="I30">
        <v>4.0845906848093749E-2</v>
      </c>
      <c r="J30">
        <v>4.0845906848093749E-2</v>
      </c>
      <c r="K30">
        <v>0</v>
      </c>
      <c r="L30">
        <v>0</v>
      </c>
      <c r="M30">
        <v>0</v>
      </c>
      <c r="N30" t="s">
        <v>127</v>
      </c>
      <c r="O30" t="s">
        <v>127</v>
      </c>
      <c r="P30">
        <v>28.36</v>
      </c>
      <c r="Q30">
        <v>7.1398645170467869</v>
      </c>
      <c r="R30">
        <v>0</v>
      </c>
      <c r="S30">
        <v>0</v>
      </c>
      <c r="T30">
        <v>7.1398645170467869</v>
      </c>
    </row>
    <row r="31" spans="1:20" x14ac:dyDescent="0.25">
      <c r="A31" s="1">
        <v>46225</v>
      </c>
      <c r="B31" t="s">
        <v>149</v>
      </c>
      <c r="C31" t="s">
        <v>12</v>
      </c>
      <c r="D31">
        <v>10.815608451783737</v>
      </c>
      <c r="E31" t="s">
        <v>166</v>
      </c>
      <c r="F31">
        <v>1</v>
      </c>
      <c r="G31">
        <v>46225</v>
      </c>
      <c r="H31" t="s">
        <v>150</v>
      </c>
      <c r="I31">
        <v>3.9677790601337248E-2</v>
      </c>
      <c r="J31">
        <v>3.9677790601337248E-2</v>
      </c>
      <c r="K31">
        <v>0</v>
      </c>
      <c r="L31">
        <v>0</v>
      </c>
      <c r="M31">
        <v>9.8656084517837357</v>
      </c>
      <c r="N31" t="s">
        <v>127</v>
      </c>
      <c r="O31" t="s">
        <v>127</v>
      </c>
      <c r="P31">
        <v>28.36</v>
      </c>
      <c r="Q31">
        <v>6.9356777971137511</v>
      </c>
      <c r="R31">
        <v>0</v>
      </c>
      <c r="S31">
        <v>0</v>
      </c>
      <c r="T31">
        <v>6.9356777971137511</v>
      </c>
    </row>
    <row r="32" spans="1:20" x14ac:dyDescent="0.25">
      <c r="A32" s="1">
        <v>46232</v>
      </c>
      <c r="B32" t="s">
        <v>149</v>
      </c>
      <c r="C32" t="s">
        <v>12</v>
      </c>
      <c r="D32">
        <v>10.80347035538737</v>
      </c>
      <c r="E32" t="s">
        <v>161</v>
      </c>
      <c r="G32">
        <v>46232</v>
      </c>
      <c r="H32" t="s">
        <v>150</v>
      </c>
      <c r="I32">
        <v>4.1672360861004343E-2</v>
      </c>
      <c r="J32">
        <v>4.1672360861004343E-2</v>
      </c>
      <c r="K32">
        <v>0</v>
      </c>
      <c r="L32">
        <v>0</v>
      </c>
      <c r="M32">
        <v>0.35347035538737059</v>
      </c>
      <c r="N32" t="s">
        <v>127</v>
      </c>
      <c r="O32" t="s">
        <v>127</v>
      </c>
      <c r="P32">
        <v>28.36</v>
      </c>
      <c r="Q32">
        <v>7.2843286785035586</v>
      </c>
      <c r="R32">
        <v>0</v>
      </c>
      <c r="S32">
        <v>0</v>
      </c>
      <c r="T32">
        <v>7.2843286785035586</v>
      </c>
    </row>
    <row r="33" spans="1:20" x14ac:dyDescent="0.25">
      <c r="A33" s="1">
        <v>46232</v>
      </c>
      <c r="B33" t="s">
        <v>149</v>
      </c>
      <c r="C33" t="s">
        <v>12</v>
      </c>
      <c r="D33">
        <v>10.815608451783737</v>
      </c>
      <c r="E33" t="s">
        <v>166</v>
      </c>
      <c r="F33">
        <v>1</v>
      </c>
      <c r="G33">
        <v>46232</v>
      </c>
      <c r="H33" t="s">
        <v>150</v>
      </c>
      <c r="I33">
        <v>4.0503317104850556E-2</v>
      </c>
      <c r="J33">
        <v>4.0503317104850556E-2</v>
      </c>
      <c r="K33">
        <v>0</v>
      </c>
      <c r="L33">
        <v>0</v>
      </c>
      <c r="M33">
        <v>9.8656084517837357</v>
      </c>
      <c r="N33" t="s">
        <v>127</v>
      </c>
      <c r="O33" t="s">
        <v>127</v>
      </c>
      <c r="P33">
        <v>28.36</v>
      </c>
      <c r="Q33">
        <v>7.0799798299278764</v>
      </c>
      <c r="R33">
        <v>0</v>
      </c>
      <c r="S33">
        <v>0</v>
      </c>
      <c r="T33">
        <v>7.0799798299278764</v>
      </c>
    </row>
    <row r="34" spans="1:20" x14ac:dyDescent="0.25">
      <c r="A34" s="1">
        <v>46225</v>
      </c>
      <c r="B34" t="s">
        <v>149</v>
      </c>
      <c r="C34" t="s">
        <v>11</v>
      </c>
      <c r="D34">
        <v>4.2201056075731911</v>
      </c>
      <c r="E34" t="s">
        <v>161</v>
      </c>
      <c r="G34">
        <v>46225</v>
      </c>
      <c r="H34" t="s">
        <v>150</v>
      </c>
      <c r="I34">
        <v>6.7381886754397602E-2</v>
      </c>
      <c r="J34">
        <v>6.7381886754397602E-2</v>
      </c>
      <c r="K34">
        <v>0</v>
      </c>
      <c r="L34">
        <v>0</v>
      </c>
      <c r="M34">
        <v>0.42010560757319104</v>
      </c>
      <c r="N34" t="s">
        <v>127</v>
      </c>
      <c r="O34" t="s">
        <v>127</v>
      </c>
      <c r="P34">
        <v>29.417999999999999</v>
      </c>
      <c r="Q34">
        <v>11.778353804668701</v>
      </c>
      <c r="R34">
        <v>0</v>
      </c>
      <c r="S34">
        <v>0</v>
      </c>
      <c r="T34">
        <v>11.778353804668701</v>
      </c>
    </row>
    <row r="35" spans="1:20" x14ac:dyDescent="0.25">
      <c r="A35" s="1">
        <v>46225</v>
      </c>
      <c r="B35" t="s">
        <v>149</v>
      </c>
      <c r="C35" t="s">
        <v>11</v>
      </c>
      <c r="D35">
        <v>4.2207252494765788</v>
      </c>
      <c r="E35" t="s">
        <v>166</v>
      </c>
      <c r="F35">
        <v>1</v>
      </c>
      <c r="G35">
        <v>46225</v>
      </c>
      <c r="H35" t="s">
        <v>150</v>
      </c>
      <c r="I35">
        <v>6.7225185120233677E-2</v>
      </c>
      <c r="J35">
        <v>6.7225185120233677E-2</v>
      </c>
      <c r="K35">
        <v>0</v>
      </c>
      <c r="L35">
        <v>0</v>
      </c>
      <c r="M35">
        <v>1.3707252494765794</v>
      </c>
      <c r="N35" t="s">
        <v>127</v>
      </c>
      <c r="O35" t="s">
        <v>127</v>
      </c>
      <c r="P35">
        <v>29.417999999999999</v>
      </c>
      <c r="Q35">
        <v>11.750962359016846</v>
      </c>
      <c r="R35">
        <v>0</v>
      </c>
      <c r="S35">
        <v>0</v>
      </c>
      <c r="T35">
        <v>11.750962359016846</v>
      </c>
    </row>
    <row r="36" spans="1:20" x14ac:dyDescent="0.25">
      <c r="A36" s="1">
        <v>46232</v>
      </c>
      <c r="B36" t="s">
        <v>149</v>
      </c>
      <c r="C36" t="s">
        <v>11</v>
      </c>
      <c r="D36">
        <v>4.220105607573192</v>
      </c>
      <c r="E36" t="s">
        <v>161</v>
      </c>
      <c r="G36">
        <v>46232</v>
      </c>
      <c r="H36" t="s">
        <v>150</v>
      </c>
      <c r="I36">
        <v>0.11075419335194958</v>
      </c>
      <c r="J36">
        <v>0.11075419335194958</v>
      </c>
      <c r="K36">
        <v>0</v>
      </c>
      <c r="L36">
        <v>0</v>
      </c>
      <c r="M36">
        <v>0.4201056075731921</v>
      </c>
      <c r="N36" t="s">
        <v>127</v>
      </c>
      <c r="O36" t="s">
        <v>127</v>
      </c>
      <c r="P36">
        <v>29.417999999999999</v>
      </c>
      <c r="Q36">
        <v>19.359832997920787</v>
      </c>
      <c r="R36">
        <v>0</v>
      </c>
      <c r="S36">
        <v>0</v>
      </c>
      <c r="T36">
        <v>19.359832997920787</v>
      </c>
    </row>
    <row r="37" spans="1:20" x14ac:dyDescent="0.25">
      <c r="A37" s="1">
        <v>46232</v>
      </c>
      <c r="B37" t="s">
        <v>149</v>
      </c>
      <c r="C37" t="s">
        <v>11</v>
      </c>
      <c r="D37">
        <v>4.2207252494765797</v>
      </c>
      <c r="E37" t="s">
        <v>166</v>
      </c>
      <c r="F37">
        <v>1</v>
      </c>
      <c r="G37">
        <v>46232</v>
      </c>
      <c r="H37" t="s">
        <v>150</v>
      </c>
      <c r="I37">
        <v>0.11059112425792361</v>
      </c>
      <c r="J37">
        <v>0.11059112425792361</v>
      </c>
      <c r="K37">
        <v>0</v>
      </c>
      <c r="L37">
        <v>0</v>
      </c>
      <c r="M37">
        <v>1.37072524947658</v>
      </c>
      <c r="N37" t="s">
        <v>127</v>
      </c>
      <c r="O37" t="s">
        <v>127</v>
      </c>
      <c r="P37">
        <v>29.417999999999999</v>
      </c>
      <c r="Q37">
        <v>19.331328520285048</v>
      </c>
      <c r="R37">
        <v>0</v>
      </c>
      <c r="S37">
        <v>0</v>
      </c>
      <c r="T37">
        <v>19.331328520285048</v>
      </c>
    </row>
    <row r="38" spans="1:20" x14ac:dyDescent="0.25">
      <c r="A38" s="1">
        <v>46226</v>
      </c>
      <c r="B38" t="s">
        <v>149</v>
      </c>
      <c r="C38" t="s">
        <v>12</v>
      </c>
      <c r="D38">
        <v>10.972274579690296</v>
      </c>
      <c r="E38" t="s">
        <v>161</v>
      </c>
      <c r="G38">
        <v>46226</v>
      </c>
      <c r="H38" t="s">
        <v>150</v>
      </c>
      <c r="I38">
        <v>0</v>
      </c>
      <c r="J38">
        <v>0</v>
      </c>
      <c r="K38">
        <v>0.65977457969029651</v>
      </c>
      <c r="L38">
        <v>0.65977457969029651</v>
      </c>
      <c r="M38">
        <v>0</v>
      </c>
      <c r="N38" t="s">
        <v>128</v>
      </c>
      <c r="O38" t="s">
        <v>128</v>
      </c>
      <c r="P38">
        <v>28.36</v>
      </c>
      <c r="Q38">
        <v>0</v>
      </c>
      <c r="R38">
        <v>142.20517380812774</v>
      </c>
      <c r="S38">
        <v>0</v>
      </c>
      <c r="T38">
        <v>142.20517380812774</v>
      </c>
    </row>
    <row r="39" spans="1:20" x14ac:dyDescent="0.25">
      <c r="A39" s="1">
        <v>46226</v>
      </c>
      <c r="B39" t="s">
        <v>149</v>
      </c>
      <c r="C39" t="s">
        <v>12</v>
      </c>
      <c r="D39">
        <v>10.973885648639106</v>
      </c>
      <c r="E39" t="s">
        <v>166</v>
      </c>
      <c r="F39">
        <v>1</v>
      </c>
      <c r="G39">
        <v>46226</v>
      </c>
      <c r="H39" t="s">
        <v>150</v>
      </c>
      <c r="I39">
        <v>0</v>
      </c>
      <c r="J39">
        <v>0</v>
      </c>
      <c r="K39">
        <v>0.66138564863910632</v>
      </c>
      <c r="L39">
        <v>0.66138564863910632</v>
      </c>
      <c r="M39">
        <v>10.3125</v>
      </c>
      <c r="N39" t="s">
        <v>128</v>
      </c>
      <c r="O39" t="s">
        <v>128</v>
      </c>
      <c r="P39">
        <v>28.36</v>
      </c>
      <c r="Q39">
        <v>0</v>
      </c>
      <c r="R39">
        <v>142.5524171650784</v>
      </c>
      <c r="S39">
        <v>0</v>
      </c>
      <c r="T39">
        <v>142.5524171650784</v>
      </c>
    </row>
    <row r="40" spans="1:20" x14ac:dyDescent="0.25">
      <c r="A40" s="1">
        <v>46233</v>
      </c>
      <c r="B40" t="s">
        <v>149</v>
      </c>
      <c r="C40" t="s">
        <v>12</v>
      </c>
      <c r="D40">
        <v>10.972274579690296</v>
      </c>
      <c r="E40" t="s">
        <v>161</v>
      </c>
      <c r="G40">
        <v>46233</v>
      </c>
      <c r="H40" t="s">
        <v>150</v>
      </c>
      <c r="I40">
        <v>2.5311563094107647E-2</v>
      </c>
      <c r="J40">
        <v>2.5311563094107647E-2</v>
      </c>
      <c r="K40">
        <v>0</v>
      </c>
      <c r="L40">
        <v>0</v>
      </c>
      <c r="M40">
        <v>0</v>
      </c>
      <c r="N40" t="s">
        <v>128</v>
      </c>
      <c r="O40" t="s">
        <v>128</v>
      </c>
      <c r="P40">
        <v>28.36</v>
      </c>
      <c r="Q40">
        <v>4.4244612288500162</v>
      </c>
      <c r="R40">
        <v>0</v>
      </c>
      <c r="S40">
        <v>0</v>
      </c>
      <c r="T40">
        <v>4.4244612288500162</v>
      </c>
    </row>
    <row r="41" spans="1:20" x14ac:dyDescent="0.25">
      <c r="A41" s="1">
        <v>46233</v>
      </c>
      <c r="B41" t="s">
        <v>149</v>
      </c>
      <c r="C41" t="s">
        <v>12</v>
      </c>
      <c r="D41">
        <v>10.973885648639106</v>
      </c>
      <c r="E41" t="s">
        <v>166</v>
      </c>
      <c r="F41">
        <v>1</v>
      </c>
      <c r="G41">
        <v>46233</v>
      </c>
      <c r="H41" t="s">
        <v>150</v>
      </c>
      <c r="I41">
        <v>2.5161037776544992E-2</v>
      </c>
      <c r="J41">
        <v>2.5161037776544992E-2</v>
      </c>
      <c r="K41">
        <v>0</v>
      </c>
      <c r="L41">
        <v>0</v>
      </c>
      <c r="M41">
        <v>5.2738856486391068</v>
      </c>
      <c r="N41" t="s">
        <v>128</v>
      </c>
      <c r="O41" t="s">
        <v>128</v>
      </c>
      <c r="P41">
        <v>28.36</v>
      </c>
      <c r="Q41">
        <v>4.3981494033400645</v>
      </c>
      <c r="R41">
        <v>0</v>
      </c>
      <c r="S41">
        <v>0</v>
      </c>
      <c r="T41">
        <v>4.3981494033400645</v>
      </c>
    </row>
    <row r="42" spans="1:20" x14ac:dyDescent="0.25">
      <c r="A42" s="1">
        <v>46226</v>
      </c>
      <c r="B42" t="s">
        <v>149</v>
      </c>
      <c r="C42" t="s">
        <v>10</v>
      </c>
      <c r="D42">
        <v>11.73189358905347</v>
      </c>
      <c r="E42" t="s">
        <v>161</v>
      </c>
      <c r="G42">
        <v>46226</v>
      </c>
      <c r="H42" t="s">
        <v>150</v>
      </c>
      <c r="I42">
        <v>0</v>
      </c>
      <c r="J42">
        <v>0</v>
      </c>
      <c r="K42">
        <v>1.1381435890534701</v>
      </c>
      <c r="L42">
        <v>1.1381435890534701</v>
      </c>
      <c r="M42">
        <v>0</v>
      </c>
      <c r="N42" t="s">
        <v>128</v>
      </c>
      <c r="O42" t="s">
        <v>128</v>
      </c>
      <c r="P42">
        <v>27.57</v>
      </c>
      <c r="Q42">
        <v>0</v>
      </c>
      <c r="R42">
        <v>238.4775025015517</v>
      </c>
      <c r="S42">
        <v>0</v>
      </c>
      <c r="T42">
        <v>238.4775025015517</v>
      </c>
    </row>
    <row r="43" spans="1:20" x14ac:dyDescent="0.25">
      <c r="A43" s="1">
        <v>46226</v>
      </c>
      <c r="B43" t="s">
        <v>149</v>
      </c>
      <c r="C43" t="s">
        <v>10</v>
      </c>
      <c r="D43">
        <v>11.738892100106735</v>
      </c>
      <c r="E43" t="s">
        <v>166</v>
      </c>
      <c r="F43">
        <v>1</v>
      </c>
      <c r="G43">
        <v>46226</v>
      </c>
      <c r="H43" t="s">
        <v>150</v>
      </c>
      <c r="I43">
        <v>0</v>
      </c>
      <c r="J43">
        <v>0</v>
      </c>
      <c r="K43">
        <v>1.1451421001067359</v>
      </c>
      <c r="L43">
        <v>1.1451421001067359</v>
      </c>
      <c r="M43">
        <v>4.8937499999999998</v>
      </c>
      <c r="N43" t="s">
        <v>128</v>
      </c>
      <c r="O43" t="s">
        <v>128</v>
      </c>
      <c r="P43">
        <v>27.57</v>
      </c>
      <c r="Q43">
        <v>0</v>
      </c>
      <c r="R43">
        <v>239.94391451956457</v>
      </c>
      <c r="S43">
        <v>0</v>
      </c>
      <c r="T43">
        <v>239.94391451956457</v>
      </c>
    </row>
    <row r="44" spans="1:20" x14ac:dyDescent="0.25">
      <c r="A44" s="1">
        <v>46233</v>
      </c>
      <c r="B44" t="s">
        <v>149</v>
      </c>
      <c r="C44" t="s">
        <v>10</v>
      </c>
      <c r="D44">
        <v>10.887872467538834</v>
      </c>
      <c r="E44" t="s">
        <v>161</v>
      </c>
      <c r="G44">
        <v>46233</v>
      </c>
      <c r="H44" t="s">
        <v>150</v>
      </c>
      <c r="I44">
        <v>2.4649217123116296E-2</v>
      </c>
      <c r="J44">
        <v>2.4649217123116296E-2</v>
      </c>
      <c r="K44">
        <v>0</v>
      </c>
      <c r="L44">
        <v>0</v>
      </c>
      <c r="M44">
        <v>0</v>
      </c>
      <c r="N44" t="s">
        <v>128</v>
      </c>
      <c r="O44" t="s">
        <v>128</v>
      </c>
      <c r="P44">
        <v>27.57</v>
      </c>
      <c r="Q44">
        <v>4.3086831531207279</v>
      </c>
      <c r="R44">
        <v>0</v>
      </c>
      <c r="S44">
        <v>0</v>
      </c>
      <c r="T44">
        <v>4.3086831531207279</v>
      </c>
    </row>
    <row r="45" spans="1:20" x14ac:dyDescent="0.25">
      <c r="A45" s="1">
        <v>46226</v>
      </c>
      <c r="B45" t="s">
        <v>149</v>
      </c>
      <c r="C45" t="s">
        <v>11</v>
      </c>
      <c r="D45">
        <v>4.220105607573192</v>
      </c>
      <c r="E45" t="s">
        <v>161</v>
      </c>
      <c r="G45">
        <v>46226</v>
      </c>
      <c r="H45" t="s">
        <v>150</v>
      </c>
      <c r="I45">
        <v>0</v>
      </c>
      <c r="J45">
        <v>0</v>
      </c>
      <c r="K45">
        <v>1.4076056075731922</v>
      </c>
      <c r="L45">
        <v>1.4076056075731922</v>
      </c>
      <c r="M45">
        <v>0</v>
      </c>
      <c r="N45" t="s">
        <v>128</v>
      </c>
      <c r="O45" t="s">
        <v>128</v>
      </c>
      <c r="P45">
        <v>29.417999999999999</v>
      </c>
      <c r="Q45">
        <v>0</v>
      </c>
      <c r="R45">
        <v>314.70795740327003</v>
      </c>
      <c r="S45">
        <v>0</v>
      </c>
      <c r="T45">
        <v>314.70795740327003</v>
      </c>
    </row>
    <row r="46" spans="1:20" x14ac:dyDescent="0.25">
      <c r="A46" s="1">
        <v>46226</v>
      </c>
      <c r="B46" t="s">
        <v>149</v>
      </c>
      <c r="C46" t="s">
        <v>11</v>
      </c>
      <c r="D46">
        <v>4.2207252494765797</v>
      </c>
      <c r="E46" t="s">
        <v>166</v>
      </c>
      <c r="F46">
        <v>1</v>
      </c>
      <c r="G46">
        <v>46226</v>
      </c>
      <c r="H46" t="s">
        <v>150</v>
      </c>
      <c r="I46">
        <v>0</v>
      </c>
      <c r="J46">
        <v>0</v>
      </c>
      <c r="K46">
        <v>1.4082252494765799</v>
      </c>
      <c r="L46">
        <v>1.4082252494765799</v>
      </c>
      <c r="M46">
        <v>1.8624999999999998</v>
      </c>
      <c r="N46" t="s">
        <v>128</v>
      </c>
      <c r="O46" t="s">
        <v>128</v>
      </c>
      <c r="P46">
        <v>29.417999999999999</v>
      </c>
      <c r="Q46">
        <v>0</v>
      </c>
      <c r="R46">
        <v>314.84649495717537</v>
      </c>
      <c r="S46">
        <v>0</v>
      </c>
      <c r="T46">
        <v>314.84649495717537</v>
      </c>
    </row>
    <row r="47" spans="1:20" x14ac:dyDescent="0.25">
      <c r="A47" s="1">
        <v>46233</v>
      </c>
      <c r="B47" t="s">
        <v>149</v>
      </c>
      <c r="C47" t="s">
        <v>11</v>
      </c>
      <c r="D47">
        <v>4.220105607573192</v>
      </c>
      <c r="E47" t="s">
        <v>161</v>
      </c>
      <c r="G47">
        <v>46233</v>
      </c>
      <c r="H47" t="s">
        <v>150</v>
      </c>
      <c r="I47">
        <v>0.11075419335194958</v>
      </c>
      <c r="J47">
        <v>0.11075419335194958</v>
      </c>
      <c r="K47">
        <v>0</v>
      </c>
      <c r="L47">
        <v>0</v>
      </c>
      <c r="M47">
        <v>0.4201056075731921</v>
      </c>
      <c r="N47" t="s">
        <v>128</v>
      </c>
      <c r="O47" t="s">
        <v>128</v>
      </c>
      <c r="P47">
        <v>29.417999999999999</v>
      </c>
      <c r="Q47">
        <v>19.359832997920787</v>
      </c>
      <c r="R47">
        <v>0</v>
      </c>
      <c r="S47">
        <v>0</v>
      </c>
      <c r="T47">
        <v>19.359832997920787</v>
      </c>
    </row>
    <row r="48" spans="1:20" x14ac:dyDescent="0.25">
      <c r="A48" s="1">
        <v>46227</v>
      </c>
      <c r="B48" t="s">
        <v>149</v>
      </c>
      <c r="C48" t="s">
        <v>10</v>
      </c>
      <c r="D48">
        <v>10.972274579690296</v>
      </c>
      <c r="E48" t="s">
        <v>161</v>
      </c>
      <c r="G48">
        <v>46227</v>
      </c>
      <c r="H48" t="s">
        <v>150</v>
      </c>
      <c r="I48">
        <v>0</v>
      </c>
      <c r="J48">
        <v>0</v>
      </c>
      <c r="K48">
        <v>0.46706624635696115</v>
      </c>
      <c r="L48">
        <v>0.46706624635696115</v>
      </c>
      <c r="M48">
        <v>0</v>
      </c>
      <c r="N48" t="s">
        <v>129</v>
      </c>
      <c r="O48" t="s">
        <v>129</v>
      </c>
      <c r="P48">
        <v>27.57</v>
      </c>
      <c r="Q48">
        <v>0</v>
      </c>
      <c r="R48">
        <v>97.865324731666774</v>
      </c>
      <c r="S48">
        <v>0</v>
      </c>
      <c r="T48">
        <v>97.865324731666774</v>
      </c>
    </row>
    <row r="49" spans="1:20" x14ac:dyDescent="0.25">
      <c r="A49" s="1">
        <v>46227</v>
      </c>
      <c r="B49" t="s">
        <v>149</v>
      </c>
      <c r="C49" t="s">
        <v>10</v>
      </c>
      <c r="D49">
        <v>10.973885648639106</v>
      </c>
      <c r="E49" t="s">
        <v>166</v>
      </c>
      <c r="F49">
        <v>1</v>
      </c>
      <c r="G49">
        <v>46227</v>
      </c>
      <c r="H49" t="s">
        <v>150</v>
      </c>
      <c r="I49">
        <v>0</v>
      </c>
      <c r="J49">
        <v>0</v>
      </c>
      <c r="K49">
        <v>0.46867731530577084</v>
      </c>
      <c r="L49">
        <v>0.46867731530577084</v>
      </c>
      <c r="M49">
        <v>8.6052083333333353</v>
      </c>
      <c r="N49" t="s">
        <v>129</v>
      </c>
      <c r="O49" t="s">
        <v>129</v>
      </c>
      <c r="P49">
        <v>27.57</v>
      </c>
      <c r="Q49">
        <v>0</v>
      </c>
      <c r="R49">
        <v>98.202895230648764</v>
      </c>
      <c r="S49">
        <v>0</v>
      </c>
      <c r="T49">
        <v>98.202895230648764</v>
      </c>
    </row>
    <row r="50" spans="1:20" x14ac:dyDescent="0.25">
      <c r="A50" s="1">
        <v>46227</v>
      </c>
      <c r="B50" t="s">
        <v>149</v>
      </c>
      <c r="C50" t="s">
        <v>11</v>
      </c>
      <c r="D50">
        <v>4.220105607573192</v>
      </c>
      <c r="E50" t="s">
        <v>161</v>
      </c>
      <c r="G50">
        <v>46227</v>
      </c>
      <c r="H50" t="s">
        <v>150</v>
      </c>
      <c r="I50">
        <v>0.11075419335194958</v>
      </c>
      <c r="J50">
        <v>0.11075419335194958</v>
      </c>
      <c r="K50">
        <v>0</v>
      </c>
      <c r="L50">
        <v>0</v>
      </c>
      <c r="M50">
        <v>0</v>
      </c>
      <c r="N50" t="s">
        <v>129</v>
      </c>
      <c r="O50" t="s">
        <v>129</v>
      </c>
      <c r="P50">
        <v>29.417999999999999</v>
      </c>
      <c r="Q50">
        <v>19.359832997920787</v>
      </c>
      <c r="R50">
        <v>0</v>
      </c>
      <c r="S50">
        <v>0</v>
      </c>
      <c r="T50">
        <v>19.359832997920787</v>
      </c>
    </row>
    <row r="51" spans="1:20" x14ac:dyDescent="0.25">
      <c r="A51" s="1">
        <v>46227</v>
      </c>
      <c r="B51" t="s">
        <v>149</v>
      </c>
      <c r="C51" t="s">
        <v>11</v>
      </c>
      <c r="D51">
        <v>4.2207252494765797</v>
      </c>
      <c r="E51" t="s">
        <v>166</v>
      </c>
      <c r="F51">
        <v>1</v>
      </c>
      <c r="G51">
        <v>46227</v>
      </c>
      <c r="H51" t="s">
        <v>150</v>
      </c>
      <c r="I51">
        <v>0.11059112425792361</v>
      </c>
      <c r="J51">
        <v>0.11059112425792361</v>
      </c>
      <c r="K51">
        <v>0</v>
      </c>
      <c r="L51">
        <v>0</v>
      </c>
      <c r="M51">
        <v>2.3207252494765798</v>
      </c>
      <c r="N51" t="s">
        <v>129</v>
      </c>
      <c r="O51" t="s">
        <v>129</v>
      </c>
      <c r="P51">
        <v>29.417999999999999</v>
      </c>
      <c r="Q51">
        <v>19.331328520285048</v>
      </c>
      <c r="R51">
        <v>0</v>
      </c>
      <c r="S51">
        <v>0</v>
      </c>
      <c r="T51">
        <v>19.331328520285048</v>
      </c>
    </row>
    <row r="52" spans="1:20" x14ac:dyDescent="0.25">
      <c r="A52" s="1">
        <v>46227</v>
      </c>
      <c r="B52" t="s">
        <v>149</v>
      </c>
      <c r="C52" t="s">
        <v>12</v>
      </c>
      <c r="D52">
        <v>11.028542654457938</v>
      </c>
      <c r="E52" t="s">
        <v>161</v>
      </c>
      <c r="G52">
        <v>46227</v>
      </c>
      <c r="H52" t="s">
        <v>150</v>
      </c>
      <c r="I52">
        <v>1.3941008982413683E-2</v>
      </c>
      <c r="J52">
        <v>1.3941008982413683E-2</v>
      </c>
      <c r="K52">
        <v>0</v>
      </c>
      <c r="L52">
        <v>0</v>
      </c>
      <c r="M52">
        <v>0</v>
      </c>
      <c r="N52" t="s">
        <v>129</v>
      </c>
      <c r="O52" t="s">
        <v>129</v>
      </c>
      <c r="P52">
        <v>28.36</v>
      </c>
      <c r="Q52">
        <v>2.4368883701259119</v>
      </c>
      <c r="R52">
        <v>0</v>
      </c>
      <c r="S52">
        <v>0</v>
      </c>
      <c r="T52">
        <v>2.4368883701259119</v>
      </c>
    </row>
    <row r="53" spans="1:20" x14ac:dyDescent="0.25">
      <c r="A53" s="1">
        <v>46227</v>
      </c>
      <c r="B53" t="s">
        <v>149</v>
      </c>
      <c r="C53" t="s">
        <v>12</v>
      </c>
      <c r="D53">
        <v>11.026644714257564</v>
      </c>
      <c r="E53" t="s">
        <v>166</v>
      </c>
      <c r="F53">
        <v>1</v>
      </c>
      <c r="G53">
        <v>46227</v>
      </c>
      <c r="H53" t="s">
        <v>150</v>
      </c>
      <c r="I53">
        <v>1.4115531645619406E-2</v>
      </c>
      <c r="J53">
        <v>1.4115531645619406E-2</v>
      </c>
      <c r="K53">
        <v>0</v>
      </c>
      <c r="L53">
        <v>0</v>
      </c>
      <c r="M53">
        <v>9.126644714257564</v>
      </c>
      <c r="N53" t="s">
        <v>129</v>
      </c>
      <c r="O53" t="s">
        <v>129</v>
      </c>
      <c r="P53">
        <v>28.36</v>
      </c>
      <c r="Q53">
        <v>2.467394931654272</v>
      </c>
      <c r="R53">
        <v>0</v>
      </c>
      <c r="S53">
        <v>0</v>
      </c>
      <c r="T53">
        <v>2.467394931654272</v>
      </c>
    </row>
    <row r="54" spans="1:20" x14ac:dyDescent="0.25">
      <c r="A54" s="1">
        <v>46228</v>
      </c>
      <c r="B54" t="s">
        <v>149</v>
      </c>
      <c r="C54" t="s">
        <v>10</v>
      </c>
      <c r="D54">
        <v>11.028542654457938</v>
      </c>
      <c r="E54" t="s">
        <v>161</v>
      </c>
      <c r="G54">
        <v>46228</v>
      </c>
      <c r="H54" t="s">
        <v>150</v>
      </c>
      <c r="I54">
        <v>2.041374125159634E-2</v>
      </c>
      <c r="J54">
        <v>2.041374125159634E-2</v>
      </c>
      <c r="K54">
        <v>0</v>
      </c>
      <c r="L54">
        <v>0</v>
      </c>
      <c r="M54">
        <v>0</v>
      </c>
      <c r="N54" t="s">
        <v>119</v>
      </c>
      <c r="O54" t="s">
        <v>119</v>
      </c>
      <c r="P54">
        <v>37.600000000000009</v>
      </c>
      <c r="Q54">
        <v>3.5683219707790399</v>
      </c>
      <c r="R54">
        <v>0</v>
      </c>
      <c r="S54">
        <v>0</v>
      </c>
      <c r="T54">
        <v>3.5683219707790399</v>
      </c>
    </row>
    <row r="55" spans="1:20" x14ac:dyDescent="0.25">
      <c r="A55" s="1">
        <v>46228</v>
      </c>
      <c r="B55" t="s">
        <v>149</v>
      </c>
      <c r="C55" t="s">
        <v>10</v>
      </c>
      <c r="D55">
        <v>11.026644714257564</v>
      </c>
      <c r="E55" t="s">
        <v>166</v>
      </c>
      <c r="F55">
        <v>1</v>
      </c>
      <c r="G55">
        <v>46228</v>
      </c>
      <c r="H55" t="s">
        <v>150</v>
      </c>
      <c r="I55">
        <v>2.058937802150429E-2</v>
      </c>
      <c r="J55">
        <v>2.058937802150429E-2</v>
      </c>
      <c r="K55">
        <v>0</v>
      </c>
      <c r="L55">
        <v>0</v>
      </c>
      <c r="M55">
        <v>5.326644714257565</v>
      </c>
      <c r="N55" t="s">
        <v>119</v>
      </c>
      <c r="O55" t="s">
        <v>119</v>
      </c>
      <c r="P55">
        <v>37.600000000000009</v>
      </c>
      <c r="Q55">
        <v>3.5990232781589495</v>
      </c>
      <c r="R55">
        <v>0</v>
      </c>
      <c r="S55">
        <v>0</v>
      </c>
      <c r="T55">
        <v>3.5990232781589495</v>
      </c>
    </row>
    <row r="56" spans="1:20" x14ac:dyDescent="0.25">
      <c r="A56" s="1">
        <v>46229</v>
      </c>
      <c r="B56" t="s">
        <v>149</v>
      </c>
      <c r="C56" t="s">
        <v>10</v>
      </c>
      <c r="D56">
        <v>10.972274579690298</v>
      </c>
      <c r="E56" t="s">
        <v>161</v>
      </c>
      <c r="G56">
        <v>46229</v>
      </c>
      <c r="H56" t="s">
        <v>150</v>
      </c>
      <c r="I56">
        <v>2.5268616920162135E-3</v>
      </c>
      <c r="J56">
        <v>2.5268616920162135E-3</v>
      </c>
      <c r="K56">
        <v>0</v>
      </c>
      <c r="L56">
        <v>0</v>
      </c>
      <c r="M56">
        <v>0.52227457969029889</v>
      </c>
      <c r="N56" t="s">
        <v>120</v>
      </c>
      <c r="O56" t="s">
        <v>120</v>
      </c>
      <c r="P56">
        <v>42.790000000000006</v>
      </c>
      <c r="Q56">
        <v>0.4416954237644341</v>
      </c>
      <c r="R56">
        <v>0</v>
      </c>
      <c r="S56">
        <v>0</v>
      </c>
      <c r="T56">
        <v>0.4416954237644341</v>
      </c>
    </row>
    <row r="57" spans="1:20" x14ac:dyDescent="0.25">
      <c r="A57" s="1">
        <v>46229</v>
      </c>
      <c r="B57" t="s">
        <v>149</v>
      </c>
      <c r="C57" t="s">
        <v>10</v>
      </c>
      <c r="D57">
        <v>10.973885648639108</v>
      </c>
      <c r="E57" t="s">
        <v>166</v>
      </c>
      <c r="F57">
        <v>1</v>
      </c>
      <c r="G57">
        <v>46229</v>
      </c>
      <c r="H57" t="s">
        <v>150</v>
      </c>
      <c r="I57">
        <v>2.3796813815104567E-3</v>
      </c>
      <c r="J57">
        <v>2.3796813815104567E-3</v>
      </c>
      <c r="K57">
        <v>0</v>
      </c>
      <c r="L57">
        <v>0</v>
      </c>
      <c r="M57">
        <v>9.0738856486391075</v>
      </c>
      <c r="N57" t="s">
        <v>120</v>
      </c>
      <c r="O57" t="s">
        <v>120</v>
      </c>
      <c r="P57">
        <v>42.790000000000006</v>
      </c>
      <c r="Q57">
        <v>0.41596830548802782</v>
      </c>
      <c r="R57">
        <v>0</v>
      </c>
      <c r="S57">
        <v>0</v>
      </c>
      <c r="T57">
        <v>0.41596830548802782</v>
      </c>
    </row>
    <row r="58" spans="1:20" x14ac:dyDescent="0.25">
      <c r="A58" s="1">
        <v>46228</v>
      </c>
      <c r="B58" t="s">
        <v>149</v>
      </c>
      <c r="C58" t="s">
        <v>11</v>
      </c>
      <c r="D58">
        <v>4.220105607573192</v>
      </c>
      <c r="E58" t="s">
        <v>161</v>
      </c>
      <c r="G58">
        <v>46228</v>
      </c>
      <c r="H58" t="s">
        <v>150</v>
      </c>
      <c r="I58">
        <v>0.11075419335194958</v>
      </c>
      <c r="J58">
        <v>0.11075419335194958</v>
      </c>
      <c r="K58">
        <v>0</v>
      </c>
      <c r="L58">
        <v>0</v>
      </c>
      <c r="M58">
        <v>0</v>
      </c>
      <c r="N58" t="s">
        <v>119</v>
      </c>
      <c r="O58" t="s">
        <v>119</v>
      </c>
      <c r="P58">
        <v>32.272000000000013</v>
      </c>
      <c r="Q58">
        <v>19.359832997920787</v>
      </c>
      <c r="R58">
        <v>0</v>
      </c>
      <c r="S58">
        <v>0</v>
      </c>
      <c r="T58">
        <v>19.359832997920787</v>
      </c>
    </row>
    <row r="59" spans="1:20" x14ac:dyDescent="0.25">
      <c r="A59" s="1">
        <v>46228</v>
      </c>
      <c r="B59" t="s">
        <v>149</v>
      </c>
      <c r="C59" t="s">
        <v>11</v>
      </c>
      <c r="D59">
        <v>4.2207252494765797</v>
      </c>
      <c r="E59" t="s">
        <v>166</v>
      </c>
      <c r="F59">
        <v>1</v>
      </c>
      <c r="G59">
        <v>46228</v>
      </c>
      <c r="H59" t="s">
        <v>150</v>
      </c>
      <c r="I59">
        <v>0.11059112425792361</v>
      </c>
      <c r="J59">
        <v>0.11059112425792361</v>
      </c>
      <c r="K59">
        <v>0</v>
      </c>
      <c r="L59">
        <v>0</v>
      </c>
      <c r="M59">
        <v>0</v>
      </c>
      <c r="N59" t="s">
        <v>119</v>
      </c>
      <c r="O59" t="s">
        <v>119</v>
      </c>
      <c r="P59">
        <v>32.272000000000013</v>
      </c>
      <c r="Q59">
        <v>19.331328520285048</v>
      </c>
      <c r="R59">
        <v>0</v>
      </c>
      <c r="S59">
        <v>0</v>
      </c>
      <c r="T59">
        <v>19.331328520285048</v>
      </c>
    </row>
    <row r="60" spans="1:20" x14ac:dyDescent="0.25">
      <c r="A60" s="1">
        <v>46228</v>
      </c>
      <c r="B60" t="s">
        <v>149</v>
      </c>
      <c r="C60" t="s">
        <v>12</v>
      </c>
      <c r="D60">
        <v>10.972274579690296</v>
      </c>
      <c r="E60" t="s">
        <v>161</v>
      </c>
      <c r="G60">
        <v>46228</v>
      </c>
      <c r="H60" t="s">
        <v>150</v>
      </c>
      <c r="I60">
        <v>3.0672669306364364E-2</v>
      </c>
      <c r="J60">
        <v>3.0672669306364364E-2</v>
      </c>
      <c r="K60">
        <v>0</v>
      </c>
      <c r="L60">
        <v>0</v>
      </c>
      <c r="M60">
        <v>0</v>
      </c>
      <c r="N60" t="s">
        <v>119</v>
      </c>
      <c r="O60" t="s">
        <v>119</v>
      </c>
      <c r="P60">
        <v>33.160000000000011</v>
      </c>
      <c r="Q60">
        <v>5.3615825947524902</v>
      </c>
      <c r="R60">
        <v>0</v>
      </c>
      <c r="S60">
        <v>0</v>
      </c>
      <c r="T60">
        <v>5.3615825947524902</v>
      </c>
    </row>
    <row r="61" spans="1:20" x14ac:dyDescent="0.25">
      <c r="A61" s="1">
        <v>46228</v>
      </c>
      <c r="B61" t="s">
        <v>149</v>
      </c>
      <c r="C61" t="s">
        <v>12</v>
      </c>
      <c r="D61">
        <v>10.973885648639106</v>
      </c>
      <c r="E61" t="s">
        <v>166</v>
      </c>
      <c r="F61">
        <v>1</v>
      </c>
      <c r="G61">
        <v>46228</v>
      </c>
      <c r="H61" t="s">
        <v>150</v>
      </c>
      <c r="I61">
        <v>3.0521356928317811E-2</v>
      </c>
      <c r="J61">
        <v>3.0521356928317811E-2</v>
      </c>
      <c r="K61">
        <v>0</v>
      </c>
      <c r="L61">
        <v>0</v>
      </c>
      <c r="M61">
        <v>9.0738856486391075</v>
      </c>
      <c r="N61" t="s">
        <v>119</v>
      </c>
      <c r="O61" t="s">
        <v>119</v>
      </c>
      <c r="P61">
        <v>33.160000000000011</v>
      </c>
      <c r="Q61">
        <v>5.3351331910699535</v>
      </c>
      <c r="R61">
        <v>0</v>
      </c>
      <c r="S61">
        <v>0</v>
      </c>
      <c r="T61">
        <v>5.3351331910699535</v>
      </c>
    </row>
    <row r="62" spans="1:20" x14ac:dyDescent="0.25">
      <c r="A62" s="1">
        <v>46229</v>
      </c>
      <c r="B62" t="s">
        <v>149</v>
      </c>
      <c r="C62" t="s">
        <v>12</v>
      </c>
      <c r="D62">
        <v>11.816295701204934</v>
      </c>
      <c r="E62" t="s">
        <v>161</v>
      </c>
      <c r="G62">
        <v>46229</v>
      </c>
      <c r="H62" t="s">
        <v>150</v>
      </c>
      <c r="I62">
        <v>1.5105915591087538E-2</v>
      </c>
      <c r="J62">
        <v>1.5105915591087538E-2</v>
      </c>
      <c r="K62">
        <v>0</v>
      </c>
      <c r="L62">
        <v>0</v>
      </c>
      <c r="M62">
        <v>0.41629570120493531</v>
      </c>
      <c r="N62" t="s">
        <v>120</v>
      </c>
      <c r="O62" t="s">
        <v>120</v>
      </c>
      <c r="P62">
        <v>37.610000000000007</v>
      </c>
      <c r="Q62">
        <v>2.6405140453221017</v>
      </c>
      <c r="R62">
        <v>0</v>
      </c>
      <c r="S62">
        <v>0</v>
      </c>
      <c r="T62">
        <v>2.6405140453221017</v>
      </c>
    </row>
    <row r="63" spans="1:20" x14ac:dyDescent="0.25">
      <c r="A63" s="1">
        <v>46229</v>
      </c>
      <c r="B63" t="s">
        <v>149</v>
      </c>
      <c r="C63" t="s">
        <v>12</v>
      </c>
      <c r="D63">
        <v>11.818030698534422</v>
      </c>
      <c r="E63" t="s">
        <v>166</v>
      </c>
      <c r="F63">
        <v>1</v>
      </c>
      <c r="G63">
        <v>46229</v>
      </c>
      <c r="H63" t="s">
        <v>150</v>
      </c>
      <c r="I63">
        <v>1.4956888557935866E-2</v>
      </c>
      <c r="J63">
        <v>1.4956888557935866E-2</v>
      </c>
      <c r="K63">
        <v>0</v>
      </c>
      <c r="L63">
        <v>0</v>
      </c>
      <c r="M63">
        <v>6.1180306985344233</v>
      </c>
      <c r="N63" t="s">
        <v>120</v>
      </c>
      <c r="O63" t="s">
        <v>120</v>
      </c>
      <c r="P63">
        <v>37.610000000000007</v>
      </c>
      <c r="Q63">
        <v>2.6144641199271894</v>
      </c>
      <c r="R63">
        <v>0</v>
      </c>
      <c r="S63">
        <v>0</v>
      </c>
      <c r="T63">
        <v>2.6144641199271894</v>
      </c>
    </row>
    <row r="64" spans="1:20" x14ac:dyDescent="0.25">
      <c r="A64" s="1">
        <v>46229</v>
      </c>
      <c r="B64" t="s">
        <v>149</v>
      </c>
      <c r="C64" t="s">
        <v>11</v>
      </c>
      <c r="D64">
        <v>4.220105607573192</v>
      </c>
      <c r="E64" t="s">
        <v>161</v>
      </c>
      <c r="G64">
        <v>46229</v>
      </c>
      <c r="H64" t="s">
        <v>150</v>
      </c>
      <c r="I64">
        <v>0.11075419335194958</v>
      </c>
      <c r="J64">
        <v>0.11075419335194958</v>
      </c>
      <c r="K64">
        <v>0</v>
      </c>
      <c r="L64">
        <v>0</v>
      </c>
      <c r="M64">
        <v>0</v>
      </c>
      <c r="N64" t="s">
        <v>120</v>
      </c>
      <c r="O64" t="s">
        <v>120</v>
      </c>
      <c r="P64">
        <v>36.574000000000012</v>
      </c>
      <c r="Q64">
        <v>19.359832997920787</v>
      </c>
      <c r="R64">
        <v>0</v>
      </c>
      <c r="S64">
        <v>0</v>
      </c>
      <c r="T64">
        <v>19.359832997920787</v>
      </c>
    </row>
    <row r="65" spans="1:20" x14ac:dyDescent="0.25">
      <c r="A65" s="1">
        <v>46229</v>
      </c>
      <c r="B65" t="s">
        <v>149</v>
      </c>
      <c r="C65" t="s">
        <v>11</v>
      </c>
      <c r="D65">
        <v>4.2207252494765797</v>
      </c>
      <c r="E65" t="s">
        <v>166</v>
      </c>
      <c r="F65">
        <v>1</v>
      </c>
      <c r="G65">
        <v>46229</v>
      </c>
      <c r="H65" t="s">
        <v>150</v>
      </c>
      <c r="I65">
        <v>0.11059112425792361</v>
      </c>
      <c r="J65">
        <v>0.11059112425792361</v>
      </c>
      <c r="K65">
        <v>0</v>
      </c>
      <c r="L65">
        <v>0</v>
      </c>
      <c r="M65">
        <v>3.2707252494765799</v>
      </c>
      <c r="N65" t="s">
        <v>120</v>
      </c>
      <c r="O65" t="s">
        <v>120</v>
      </c>
      <c r="P65">
        <v>36.574000000000012</v>
      </c>
      <c r="Q65">
        <v>19.331328520285048</v>
      </c>
      <c r="R65">
        <v>0</v>
      </c>
      <c r="S65">
        <v>0</v>
      </c>
      <c r="T65">
        <v>19.331328520285048</v>
      </c>
    </row>
    <row r="66" spans="1:20" x14ac:dyDescent="0.25">
      <c r="A66" s="1">
        <v>46233</v>
      </c>
      <c r="B66" t="s">
        <v>149</v>
      </c>
      <c r="C66" t="s">
        <v>10</v>
      </c>
      <c r="D66">
        <v>10.89474705021142</v>
      </c>
      <c r="E66" t="s">
        <v>166</v>
      </c>
      <c r="F66">
        <v>1</v>
      </c>
      <c r="G66">
        <v>46233</v>
      </c>
      <c r="H66" t="s">
        <v>150</v>
      </c>
      <c r="I66">
        <v>2.4002663722560325E-2</v>
      </c>
      <c r="J66">
        <v>2.4002663722560325E-2</v>
      </c>
      <c r="K66">
        <v>0</v>
      </c>
      <c r="L66">
        <v>0</v>
      </c>
      <c r="M66">
        <v>0</v>
      </c>
      <c r="N66" t="s">
        <v>128</v>
      </c>
      <c r="O66" t="s">
        <v>128</v>
      </c>
      <c r="P66">
        <v>27.57</v>
      </c>
      <c r="Q66">
        <v>4.1956656187035444</v>
      </c>
      <c r="R66">
        <v>0</v>
      </c>
      <c r="S66">
        <v>0</v>
      </c>
      <c r="T66">
        <v>4.1956656187035444</v>
      </c>
    </row>
    <row r="67" spans="1:20" x14ac:dyDescent="0.25">
      <c r="A67" s="1">
        <v>46233</v>
      </c>
      <c r="B67" t="s">
        <v>149</v>
      </c>
      <c r="C67" t="s">
        <v>11</v>
      </c>
      <c r="D67">
        <v>4.2207252494765797</v>
      </c>
      <c r="E67" t="s">
        <v>166</v>
      </c>
      <c r="F67">
        <v>1</v>
      </c>
      <c r="G67">
        <v>46233</v>
      </c>
      <c r="H67" t="s">
        <v>150</v>
      </c>
      <c r="I67">
        <v>0.11059112425792361</v>
      </c>
      <c r="J67">
        <v>0.11059112425792361</v>
      </c>
      <c r="K67">
        <v>0</v>
      </c>
      <c r="L67">
        <v>0</v>
      </c>
      <c r="M67">
        <v>0</v>
      </c>
      <c r="N67" t="s">
        <v>128</v>
      </c>
      <c r="O67" t="s">
        <v>128</v>
      </c>
      <c r="P67">
        <v>29.417999999999999</v>
      </c>
      <c r="Q67">
        <v>19.331328520285048</v>
      </c>
      <c r="R67">
        <v>0</v>
      </c>
      <c r="S67">
        <v>0</v>
      </c>
      <c r="T67">
        <v>19.331328520285048</v>
      </c>
    </row>
    <row r="68" spans="1:20" x14ac:dyDescent="0.25">
      <c r="A68" s="1">
        <v>46234</v>
      </c>
      <c r="B68" t="s">
        <v>149</v>
      </c>
      <c r="C68" t="s">
        <v>10</v>
      </c>
      <c r="D68">
        <v>10.972274579690298</v>
      </c>
      <c r="E68" t="s">
        <v>161</v>
      </c>
      <c r="G68">
        <v>46234</v>
      </c>
      <c r="H68" t="s">
        <v>150</v>
      </c>
      <c r="I68">
        <v>7.6242072110546788E-2</v>
      </c>
      <c r="J68">
        <v>7.6242072110546788E-2</v>
      </c>
      <c r="K68">
        <v>0</v>
      </c>
      <c r="L68">
        <v>0</v>
      </c>
      <c r="M68">
        <v>0</v>
      </c>
      <c r="N68" t="s">
        <v>129</v>
      </c>
      <c r="O68" t="s">
        <v>129</v>
      </c>
      <c r="P68">
        <v>27.57</v>
      </c>
      <c r="Q68">
        <v>13.327114204923578</v>
      </c>
      <c r="R68">
        <v>0</v>
      </c>
      <c r="S68">
        <v>0</v>
      </c>
      <c r="T68">
        <v>13.327114204923578</v>
      </c>
    </row>
    <row r="69" spans="1:20" x14ac:dyDescent="0.25">
      <c r="A69" s="1">
        <v>46234</v>
      </c>
      <c r="B69" t="s">
        <v>149</v>
      </c>
      <c r="C69" t="s">
        <v>11</v>
      </c>
      <c r="D69">
        <v>4.220105607573192</v>
      </c>
      <c r="E69" t="s">
        <v>161</v>
      </c>
      <c r="G69">
        <v>46234</v>
      </c>
      <c r="H69" t="s">
        <v>150</v>
      </c>
      <c r="I69">
        <v>0.11075419335194958</v>
      </c>
      <c r="J69">
        <v>0.11075419335194958</v>
      </c>
      <c r="K69">
        <v>0</v>
      </c>
      <c r="L69">
        <v>0</v>
      </c>
      <c r="M69">
        <v>0</v>
      </c>
      <c r="N69" t="s">
        <v>129</v>
      </c>
      <c r="O69" t="s">
        <v>129</v>
      </c>
      <c r="P69">
        <v>29.417999999999999</v>
      </c>
      <c r="Q69">
        <v>19.359832997920787</v>
      </c>
      <c r="R69">
        <v>0</v>
      </c>
      <c r="S69">
        <v>0</v>
      </c>
      <c r="T69">
        <v>19.359832997920787</v>
      </c>
    </row>
    <row r="70" spans="1:20" x14ac:dyDescent="0.25">
      <c r="A70" s="1">
        <v>46234</v>
      </c>
      <c r="B70" t="s">
        <v>149</v>
      </c>
      <c r="C70" t="s">
        <v>12</v>
      </c>
      <c r="D70">
        <v>11.028542654457938</v>
      </c>
      <c r="E70" t="s">
        <v>161</v>
      </c>
      <c r="G70">
        <v>46234</v>
      </c>
      <c r="H70" t="s">
        <v>150</v>
      </c>
      <c r="I70">
        <v>9.0795147888211858E-3</v>
      </c>
      <c r="J70">
        <v>9.0795147888211858E-3</v>
      </c>
      <c r="K70">
        <v>0</v>
      </c>
      <c r="L70">
        <v>0</v>
      </c>
      <c r="M70">
        <v>0</v>
      </c>
      <c r="N70" t="s">
        <v>129</v>
      </c>
      <c r="O70" t="s">
        <v>129</v>
      </c>
      <c r="P70">
        <v>28.36</v>
      </c>
      <c r="Q70">
        <v>1.5870991850859433</v>
      </c>
      <c r="R70">
        <v>0</v>
      </c>
      <c r="S70">
        <v>0</v>
      </c>
      <c r="T70">
        <v>1.5870991850859433</v>
      </c>
    </row>
    <row r="71" spans="1:20" x14ac:dyDescent="0.25">
      <c r="A71" s="1">
        <v>46234</v>
      </c>
      <c r="B71" t="s">
        <v>149</v>
      </c>
      <c r="C71" t="s">
        <v>10</v>
      </c>
      <c r="D71">
        <v>10.973885648639108</v>
      </c>
      <c r="E71" t="s">
        <v>166</v>
      </c>
      <c r="F71">
        <v>1</v>
      </c>
      <c r="G71">
        <v>46234</v>
      </c>
      <c r="H71" t="s">
        <v>150</v>
      </c>
      <c r="I71">
        <v>7.6084069718386216E-2</v>
      </c>
      <c r="J71">
        <v>7.6084069718386216E-2</v>
      </c>
      <c r="K71">
        <v>0</v>
      </c>
      <c r="L71">
        <v>0</v>
      </c>
      <c r="M71">
        <v>9.0738856486391075</v>
      </c>
      <c r="N71" t="s">
        <v>129</v>
      </c>
      <c r="O71" t="s">
        <v>129</v>
      </c>
      <c r="P71">
        <v>27.57</v>
      </c>
      <c r="Q71">
        <v>13.299495386773909</v>
      </c>
      <c r="R71">
        <v>0</v>
      </c>
      <c r="S71">
        <v>0</v>
      </c>
      <c r="T71">
        <v>13.299495386773909</v>
      </c>
    </row>
    <row r="72" spans="1:20" x14ac:dyDescent="0.25">
      <c r="A72" s="1">
        <v>46234</v>
      </c>
      <c r="B72" t="s">
        <v>149</v>
      </c>
      <c r="C72" t="s">
        <v>11</v>
      </c>
      <c r="D72">
        <v>4.2207252494765797</v>
      </c>
      <c r="E72" t="s">
        <v>166</v>
      </c>
      <c r="F72">
        <v>1</v>
      </c>
      <c r="G72">
        <v>46234</v>
      </c>
      <c r="H72" t="s">
        <v>150</v>
      </c>
      <c r="I72">
        <v>0.11059112425792361</v>
      </c>
      <c r="J72">
        <v>0.11059112425792361</v>
      </c>
      <c r="K72">
        <v>0</v>
      </c>
      <c r="L72">
        <v>0</v>
      </c>
      <c r="M72">
        <v>2.3207252494765798</v>
      </c>
      <c r="N72" t="s">
        <v>129</v>
      </c>
      <c r="O72" t="s">
        <v>129</v>
      </c>
      <c r="P72">
        <v>29.417999999999999</v>
      </c>
      <c r="Q72">
        <v>19.331328520285048</v>
      </c>
      <c r="R72">
        <v>0</v>
      </c>
      <c r="S72">
        <v>0</v>
      </c>
      <c r="T72">
        <v>19.331328520285048</v>
      </c>
    </row>
    <row r="73" spans="1:20" x14ac:dyDescent="0.25">
      <c r="A73" s="1">
        <v>46234</v>
      </c>
      <c r="B73" t="s">
        <v>149</v>
      </c>
      <c r="C73" t="s">
        <v>12</v>
      </c>
      <c r="D73">
        <v>11.026644714257564</v>
      </c>
      <c r="E73" t="s">
        <v>166</v>
      </c>
      <c r="F73">
        <v>1</v>
      </c>
      <c r="G73">
        <v>46234</v>
      </c>
      <c r="H73" t="s">
        <v>150</v>
      </c>
      <c r="I73">
        <v>9.253200676606621E-3</v>
      </c>
      <c r="J73">
        <v>9.253200676606621E-3</v>
      </c>
      <c r="K73">
        <v>0</v>
      </c>
      <c r="L73">
        <v>0</v>
      </c>
      <c r="M73">
        <v>8.1766447142575647</v>
      </c>
      <c r="N73" t="s">
        <v>129</v>
      </c>
      <c r="O73" t="s">
        <v>129</v>
      </c>
      <c r="P73">
        <v>28.36</v>
      </c>
      <c r="Q73">
        <v>1.6174594782708374</v>
      </c>
      <c r="R73">
        <v>0</v>
      </c>
      <c r="S73">
        <v>0</v>
      </c>
      <c r="T73">
        <v>1.6174594782708374</v>
      </c>
    </row>
    <row r="74" spans="1:20" x14ac:dyDescent="0.25">
      <c r="A74" s="1">
        <v>46235</v>
      </c>
      <c r="B74" t="s">
        <v>149</v>
      </c>
      <c r="C74" t="s">
        <v>10</v>
      </c>
      <c r="D74">
        <v>11.028542654457938</v>
      </c>
      <c r="E74" t="s">
        <v>161</v>
      </c>
      <c r="G74">
        <v>46235</v>
      </c>
      <c r="H74" t="s">
        <v>150</v>
      </c>
      <c r="I74">
        <v>8.7461551869749687E-3</v>
      </c>
      <c r="J74">
        <v>8.7461551869749687E-3</v>
      </c>
      <c r="K74">
        <v>0</v>
      </c>
      <c r="L74">
        <v>0</v>
      </c>
      <c r="M74">
        <v>0</v>
      </c>
      <c r="N74" t="s">
        <v>119</v>
      </c>
      <c r="O74" t="s">
        <v>119</v>
      </c>
      <c r="P74">
        <v>37.600000000000009</v>
      </c>
      <c r="Q74">
        <v>1.5288279266832245</v>
      </c>
      <c r="R74">
        <v>0</v>
      </c>
      <c r="S74">
        <v>0</v>
      </c>
      <c r="T74">
        <v>1.5288279266832245</v>
      </c>
    </row>
    <row r="75" spans="1:20" x14ac:dyDescent="0.25">
      <c r="A75" s="1">
        <v>46235</v>
      </c>
      <c r="B75" t="s">
        <v>149</v>
      </c>
      <c r="C75" t="s">
        <v>12</v>
      </c>
      <c r="D75">
        <v>10.972274579690296</v>
      </c>
      <c r="E75" t="s">
        <v>161</v>
      </c>
      <c r="G75">
        <v>46235</v>
      </c>
      <c r="H75" t="s">
        <v>150</v>
      </c>
      <c r="I75">
        <v>2.5311563094107647E-2</v>
      </c>
      <c r="J75">
        <v>2.5311563094107647E-2</v>
      </c>
      <c r="K75">
        <v>0</v>
      </c>
      <c r="L75">
        <v>0</v>
      </c>
      <c r="M75">
        <v>0</v>
      </c>
      <c r="N75" t="s">
        <v>119</v>
      </c>
      <c r="O75" t="s">
        <v>119</v>
      </c>
      <c r="P75">
        <v>33.160000000000011</v>
      </c>
      <c r="Q75">
        <v>4.4244612288500162</v>
      </c>
      <c r="R75">
        <v>0</v>
      </c>
      <c r="S75">
        <v>0</v>
      </c>
      <c r="T75">
        <v>4.4244612288500162</v>
      </c>
    </row>
    <row r="76" spans="1:20" x14ac:dyDescent="0.25">
      <c r="A76" s="1">
        <v>46235</v>
      </c>
      <c r="B76" t="s">
        <v>149</v>
      </c>
      <c r="C76" t="s">
        <v>11</v>
      </c>
      <c r="D76">
        <v>4.220105607573192</v>
      </c>
      <c r="E76" t="s">
        <v>161</v>
      </c>
      <c r="G76">
        <v>46235</v>
      </c>
      <c r="H76" t="s">
        <v>150</v>
      </c>
      <c r="I76">
        <v>0.11075419335194958</v>
      </c>
      <c r="J76">
        <v>0.11075419335194958</v>
      </c>
      <c r="K76">
        <v>0</v>
      </c>
      <c r="L76">
        <v>0</v>
      </c>
      <c r="M76">
        <v>0</v>
      </c>
      <c r="N76" t="s">
        <v>119</v>
      </c>
      <c r="O76" t="s">
        <v>119</v>
      </c>
      <c r="P76">
        <v>32.272000000000013</v>
      </c>
      <c r="Q76">
        <v>19.359832997920787</v>
      </c>
      <c r="R76">
        <v>0</v>
      </c>
      <c r="S76">
        <v>0</v>
      </c>
      <c r="T76">
        <v>19.359832997920787</v>
      </c>
    </row>
    <row r="77" spans="1:20" x14ac:dyDescent="0.25">
      <c r="A77" s="1">
        <v>46235</v>
      </c>
      <c r="B77" t="s">
        <v>149</v>
      </c>
      <c r="C77" t="s">
        <v>10</v>
      </c>
      <c r="D77">
        <v>11.026644714257564</v>
      </c>
      <c r="E77" t="s">
        <v>166</v>
      </c>
      <c r="F77">
        <v>1</v>
      </c>
      <c r="G77">
        <v>46235</v>
      </c>
      <c r="H77" t="s">
        <v>150</v>
      </c>
      <c r="I77">
        <v>8.9197836958745391E-3</v>
      </c>
      <c r="J77">
        <v>8.9197836958745391E-3</v>
      </c>
      <c r="K77">
        <v>0</v>
      </c>
      <c r="L77">
        <v>0</v>
      </c>
      <c r="M77">
        <v>5.326644714257565</v>
      </c>
      <c r="N77" t="s">
        <v>119</v>
      </c>
      <c r="O77" t="s">
        <v>119</v>
      </c>
      <c r="P77">
        <v>37.600000000000009</v>
      </c>
      <c r="Q77">
        <v>1.5591781900388693</v>
      </c>
      <c r="R77">
        <v>0</v>
      </c>
      <c r="S77">
        <v>0</v>
      </c>
      <c r="T77">
        <v>1.5591781900388693</v>
      </c>
    </row>
    <row r="78" spans="1:20" x14ac:dyDescent="0.25">
      <c r="A78" s="1">
        <v>46235</v>
      </c>
      <c r="B78" t="s">
        <v>149</v>
      </c>
      <c r="C78" t="s">
        <v>12</v>
      </c>
      <c r="D78">
        <v>10.973885648639106</v>
      </c>
      <c r="E78" t="s">
        <v>166</v>
      </c>
      <c r="F78">
        <v>1</v>
      </c>
      <c r="G78">
        <v>46235</v>
      </c>
      <c r="H78" t="s">
        <v>150</v>
      </c>
      <c r="I78">
        <v>2.5161037776544992E-2</v>
      </c>
      <c r="J78">
        <v>2.5161037776544992E-2</v>
      </c>
      <c r="K78">
        <v>0</v>
      </c>
      <c r="L78">
        <v>0</v>
      </c>
      <c r="M78">
        <v>9.0738856486391075</v>
      </c>
      <c r="N78" t="s">
        <v>119</v>
      </c>
      <c r="O78" t="s">
        <v>119</v>
      </c>
      <c r="P78">
        <v>33.160000000000011</v>
      </c>
      <c r="Q78">
        <v>4.3981494033400645</v>
      </c>
      <c r="R78">
        <v>0</v>
      </c>
      <c r="S78">
        <v>0</v>
      </c>
      <c r="T78">
        <v>4.3981494033400645</v>
      </c>
    </row>
    <row r="79" spans="1:20" x14ac:dyDescent="0.25">
      <c r="A79" s="1">
        <v>46235</v>
      </c>
      <c r="B79" t="s">
        <v>149</v>
      </c>
      <c r="C79" t="s">
        <v>11</v>
      </c>
      <c r="D79">
        <v>4.2207252494765797</v>
      </c>
      <c r="E79" t="s">
        <v>166</v>
      </c>
      <c r="F79">
        <v>1</v>
      </c>
      <c r="G79">
        <v>46235</v>
      </c>
      <c r="H79" t="s">
        <v>150</v>
      </c>
      <c r="I79">
        <v>0.11059112425792361</v>
      </c>
      <c r="J79">
        <v>0.11059112425792361</v>
      </c>
      <c r="K79">
        <v>0</v>
      </c>
      <c r="L79">
        <v>0</v>
      </c>
      <c r="M79">
        <v>0</v>
      </c>
      <c r="N79" t="s">
        <v>119</v>
      </c>
      <c r="O79" t="s">
        <v>119</v>
      </c>
      <c r="P79">
        <v>32.272000000000013</v>
      </c>
      <c r="Q79">
        <v>19.331328520285048</v>
      </c>
      <c r="R79">
        <v>0</v>
      </c>
      <c r="S79">
        <v>0</v>
      </c>
      <c r="T79">
        <v>19.331328520285048</v>
      </c>
    </row>
    <row r="80" spans="1:20" x14ac:dyDescent="0.25">
      <c r="A80" s="1">
        <v>46236</v>
      </c>
      <c r="B80" t="s">
        <v>149</v>
      </c>
      <c r="C80" t="s">
        <v>12</v>
      </c>
      <c r="D80">
        <v>10.972274579690296</v>
      </c>
      <c r="E80" t="s">
        <v>161</v>
      </c>
      <c r="G80">
        <v>46236</v>
      </c>
      <c r="H80" t="s">
        <v>150</v>
      </c>
      <c r="I80">
        <v>2.5311563094107647E-2</v>
      </c>
      <c r="J80">
        <v>2.5311563094107647E-2</v>
      </c>
      <c r="K80">
        <v>0</v>
      </c>
      <c r="L80">
        <v>0</v>
      </c>
      <c r="M80">
        <v>0</v>
      </c>
      <c r="N80" t="s">
        <v>120</v>
      </c>
      <c r="O80" t="s">
        <v>120</v>
      </c>
      <c r="P80">
        <v>37.610000000000007</v>
      </c>
      <c r="Q80">
        <v>4.4244612288500162</v>
      </c>
      <c r="R80">
        <v>0</v>
      </c>
      <c r="S80">
        <v>0</v>
      </c>
      <c r="T80">
        <v>4.4244612288500162</v>
      </c>
    </row>
    <row r="81" spans="1:20" x14ac:dyDescent="0.25">
      <c r="A81" s="1">
        <v>46236</v>
      </c>
      <c r="B81" t="s">
        <v>149</v>
      </c>
      <c r="C81" t="s">
        <v>11</v>
      </c>
      <c r="D81">
        <v>4.220105607573192</v>
      </c>
      <c r="E81" t="s">
        <v>161</v>
      </c>
      <c r="G81">
        <v>46236</v>
      </c>
      <c r="H81" t="s">
        <v>150</v>
      </c>
      <c r="I81">
        <v>0.11075419335194958</v>
      </c>
      <c r="J81">
        <v>0.11075419335194958</v>
      </c>
      <c r="K81">
        <v>0</v>
      </c>
      <c r="L81">
        <v>0</v>
      </c>
      <c r="M81">
        <v>0</v>
      </c>
      <c r="N81" t="s">
        <v>120</v>
      </c>
      <c r="O81" t="s">
        <v>120</v>
      </c>
      <c r="P81">
        <v>36.574000000000012</v>
      </c>
      <c r="Q81">
        <v>19.359832997920787</v>
      </c>
      <c r="R81">
        <v>0</v>
      </c>
      <c r="S81">
        <v>0</v>
      </c>
      <c r="T81">
        <v>19.359832997920787</v>
      </c>
    </row>
    <row r="82" spans="1:20" x14ac:dyDescent="0.25">
      <c r="A82" s="1">
        <v>46236</v>
      </c>
      <c r="B82" t="s">
        <v>149</v>
      </c>
      <c r="C82" t="s">
        <v>10</v>
      </c>
      <c r="D82">
        <v>10.972274579690296</v>
      </c>
      <c r="E82" t="s">
        <v>161</v>
      </c>
      <c r="G82">
        <v>46236</v>
      </c>
      <c r="H82" t="s">
        <v>150</v>
      </c>
      <c r="I82">
        <v>2.5311563094107647E-2</v>
      </c>
      <c r="J82">
        <v>2.5311563094107647E-2</v>
      </c>
      <c r="K82">
        <v>0</v>
      </c>
      <c r="L82">
        <v>0</v>
      </c>
      <c r="M82">
        <v>0</v>
      </c>
      <c r="N82" t="s">
        <v>120</v>
      </c>
      <c r="O82" t="s">
        <v>120</v>
      </c>
      <c r="P82">
        <v>42.790000000000006</v>
      </c>
      <c r="Q82">
        <v>4.4244612288500162</v>
      </c>
      <c r="R82">
        <v>0</v>
      </c>
      <c r="S82">
        <v>0</v>
      </c>
      <c r="T82">
        <v>4.4244612288500162</v>
      </c>
    </row>
    <row r="83" spans="1:20" x14ac:dyDescent="0.25">
      <c r="A83" s="1">
        <v>46236</v>
      </c>
      <c r="B83" t="s">
        <v>149</v>
      </c>
      <c r="C83" t="s">
        <v>12</v>
      </c>
      <c r="D83">
        <v>10.973885648639106</v>
      </c>
      <c r="E83" t="s">
        <v>166</v>
      </c>
      <c r="F83">
        <v>1</v>
      </c>
      <c r="G83">
        <v>46236</v>
      </c>
      <c r="H83" t="s">
        <v>150</v>
      </c>
      <c r="I83">
        <v>2.5161037776544992E-2</v>
      </c>
      <c r="J83">
        <v>2.5161037776544992E-2</v>
      </c>
      <c r="K83">
        <v>0</v>
      </c>
      <c r="L83">
        <v>0</v>
      </c>
      <c r="M83">
        <v>9.0738856486391075</v>
      </c>
      <c r="N83" t="s">
        <v>120</v>
      </c>
      <c r="O83" t="s">
        <v>120</v>
      </c>
      <c r="P83">
        <v>37.610000000000007</v>
      </c>
      <c r="Q83">
        <v>4.3981494033400645</v>
      </c>
      <c r="R83">
        <v>0</v>
      </c>
      <c r="S83">
        <v>0</v>
      </c>
      <c r="T83">
        <v>4.3981494033400645</v>
      </c>
    </row>
    <row r="84" spans="1:20" x14ac:dyDescent="0.25">
      <c r="A84" s="1">
        <v>46236</v>
      </c>
      <c r="B84" t="s">
        <v>149</v>
      </c>
      <c r="C84" t="s">
        <v>11</v>
      </c>
      <c r="D84">
        <v>4.2207252494765797</v>
      </c>
      <c r="E84" t="s">
        <v>166</v>
      </c>
      <c r="F84">
        <v>1</v>
      </c>
      <c r="G84">
        <v>46236</v>
      </c>
      <c r="H84" t="s">
        <v>150</v>
      </c>
      <c r="I84">
        <v>0.11059112425792361</v>
      </c>
      <c r="J84">
        <v>0.11059112425792361</v>
      </c>
      <c r="K84">
        <v>0</v>
      </c>
      <c r="L84">
        <v>0</v>
      </c>
      <c r="M84">
        <v>0</v>
      </c>
      <c r="N84" t="s">
        <v>120</v>
      </c>
      <c r="O84" t="s">
        <v>120</v>
      </c>
      <c r="P84">
        <v>36.574000000000012</v>
      </c>
      <c r="Q84">
        <v>19.331328520285048</v>
      </c>
      <c r="R84">
        <v>0</v>
      </c>
      <c r="S84">
        <v>0</v>
      </c>
      <c r="T84">
        <v>19.331328520285048</v>
      </c>
    </row>
    <row r="85" spans="1:20" x14ac:dyDescent="0.25">
      <c r="A85" s="1">
        <v>46236</v>
      </c>
      <c r="B85" t="s">
        <v>149</v>
      </c>
      <c r="C85" t="s">
        <v>10</v>
      </c>
      <c r="D85">
        <v>10.973885648639106</v>
      </c>
      <c r="E85" t="s">
        <v>166</v>
      </c>
      <c r="F85">
        <v>1</v>
      </c>
      <c r="G85">
        <v>46236</v>
      </c>
      <c r="H85" t="s">
        <v>150</v>
      </c>
      <c r="I85">
        <v>2.5161037776544992E-2</v>
      </c>
      <c r="J85">
        <v>2.5161037776544992E-2</v>
      </c>
      <c r="K85">
        <v>0</v>
      </c>
      <c r="L85">
        <v>0</v>
      </c>
      <c r="M85">
        <v>7.1738856486391063</v>
      </c>
      <c r="N85" t="s">
        <v>120</v>
      </c>
      <c r="O85" t="s">
        <v>120</v>
      </c>
      <c r="P85">
        <v>42.790000000000006</v>
      </c>
      <c r="Q85">
        <v>4.3981494033400645</v>
      </c>
      <c r="R85">
        <v>0</v>
      </c>
      <c r="S85">
        <v>0</v>
      </c>
      <c r="T85">
        <v>4.3981494033400645</v>
      </c>
    </row>
    <row r="86" spans="1:20" x14ac:dyDescent="0.25">
      <c r="A86" s="1">
        <v>46237</v>
      </c>
      <c r="B86" t="s">
        <v>149</v>
      </c>
      <c r="C86" t="s">
        <v>10</v>
      </c>
      <c r="D86">
        <v>11.872563775972576</v>
      </c>
      <c r="E86" t="s">
        <v>161</v>
      </c>
      <c r="G86">
        <v>46237</v>
      </c>
      <c r="H86" t="s">
        <v>150</v>
      </c>
      <c r="I86">
        <v>1.6655941190025336E-2</v>
      </c>
      <c r="J86">
        <v>1.6655941190025336E-2</v>
      </c>
      <c r="K86">
        <v>0</v>
      </c>
      <c r="L86">
        <v>0</v>
      </c>
      <c r="M86">
        <v>0.47256377597257737</v>
      </c>
      <c r="N86" t="s">
        <v>125</v>
      </c>
      <c r="O86" t="s">
        <v>125</v>
      </c>
      <c r="P86">
        <v>27.57</v>
      </c>
      <c r="Q86">
        <v>2.9114585200164287</v>
      </c>
      <c r="R86">
        <v>0</v>
      </c>
      <c r="S86">
        <v>0</v>
      </c>
      <c r="T86">
        <v>2.9114585200164287</v>
      </c>
    </row>
    <row r="87" spans="1:20" x14ac:dyDescent="0.25">
      <c r="A87" s="1">
        <v>46237</v>
      </c>
      <c r="B87" t="s">
        <v>149</v>
      </c>
      <c r="C87" t="s">
        <v>11</v>
      </c>
      <c r="D87">
        <v>4.220105607573192</v>
      </c>
      <c r="E87" t="s">
        <v>161</v>
      </c>
      <c r="G87">
        <v>46237</v>
      </c>
      <c r="H87" t="s">
        <v>150</v>
      </c>
      <c r="I87">
        <v>0.11075419335194958</v>
      </c>
      <c r="J87">
        <v>0.11075419335194958</v>
      </c>
      <c r="K87">
        <v>0</v>
      </c>
      <c r="L87">
        <v>0</v>
      </c>
      <c r="M87">
        <v>0</v>
      </c>
      <c r="N87" t="s">
        <v>125</v>
      </c>
      <c r="O87" t="s">
        <v>125</v>
      </c>
      <c r="P87">
        <v>29.417999999999999</v>
      </c>
      <c r="Q87">
        <v>19.359832997920787</v>
      </c>
      <c r="R87">
        <v>0</v>
      </c>
      <c r="S87">
        <v>0</v>
      </c>
      <c r="T87">
        <v>19.359832997920787</v>
      </c>
    </row>
    <row r="88" spans="1:20" x14ac:dyDescent="0.25">
      <c r="A88" s="1">
        <v>46237</v>
      </c>
      <c r="B88" t="s">
        <v>149</v>
      </c>
      <c r="C88" t="s">
        <v>12</v>
      </c>
      <c r="D88">
        <v>10.972274579690296</v>
      </c>
      <c r="E88" t="s">
        <v>161</v>
      </c>
      <c r="G88">
        <v>46237</v>
      </c>
      <c r="H88" t="s">
        <v>150</v>
      </c>
      <c r="I88">
        <v>3.5991891876337778E-2</v>
      </c>
      <c r="J88">
        <v>3.5991891876337778E-2</v>
      </c>
      <c r="K88">
        <v>0</v>
      </c>
      <c r="L88">
        <v>0</v>
      </c>
      <c r="M88">
        <v>0</v>
      </c>
      <c r="N88" t="s">
        <v>125</v>
      </c>
      <c r="O88" t="s">
        <v>125</v>
      </c>
      <c r="P88">
        <v>28.36</v>
      </c>
      <c r="Q88">
        <v>6.2913826999838429</v>
      </c>
      <c r="R88">
        <v>0</v>
      </c>
      <c r="S88">
        <v>0</v>
      </c>
      <c r="T88">
        <v>6.2913826999838429</v>
      </c>
    </row>
    <row r="89" spans="1:20" x14ac:dyDescent="0.25">
      <c r="A89" s="1">
        <v>46237</v>
      </c>
      <c r="B89" t="s">
        <v>149</v>
      </c>
      <c r="C89" t="s">
        <v>10</v>
      </c>
      <c r="D89">
        <v>11.870789764152878</v>
      </c>
      <c r="E89" t="s">
        <v>166</v>
      </c>
      <c r="F89">
        <v>1</v>
      </c>
      <c r="G89">
        <v>46237</v>
      </c>
      <c r="H89" t="s">
        <v>150</v>
      </c>
      <c r="I89">
        <v>1.6807873765032566E-2</v>
      </c>
      <c r="J89">
        <v>1.6807873765032566E-2</v>
      </c>
      <c r="K89">
        <v>0</v>
      </c>
      <c r="L89">
        <v>0</v>
      </c>
      <c r="M89">
        <v>7.1207897641528772</v>
      </c>
      <c r="N89" t="s">
        <v>125</v>
      </c>
      <c r="O89" t="s">
        <v>125</v>
      </c>
      <c r="P89">
        <v>27.57</v>
      </c>
      <c r="Q89">
        <v>2.9380163341276924</v>
      </c>
      <c r="R89">
        <v>0</v>
      </c>
      <c r="S89">
        <v>0</v>
      </c>
      <c r="T89">
        <v>2.9380163341276924</v>
      </c>
    </row>
    <row r="90" spans="1:20" x14ac:dyDescent="0.25">
      <c r="A90" s="1">
        <v>46237</v>
      </c>
      <c r="B90" t="s">
        <v>149</v>
      </c>
      <c r="C90" t="s">
        <v>11</v>
      </c>
      <c r="D90">
        <v>4.2207252494765797</v>
      </c>
      <c r="E90" t="s">
        <v>166</v>
      </c>
      <c r="F90">
        <v>1</v>
      </c>
      <c r="G90">
        <v>46237</v>
      </c>
      <c r="H90" t="s">
        <v>150</v>
      </c>
      <c r="I90">
        <v>0.11059112425792361</v>
      </c>
      <c r="J90">
        <v>0.11059112425792361</v>
      </c>
      <c r="K90">
        <v>0</v>
      </c>
      <c r="L90">
        <v>0</v>
      </c>
      <c r="M90">
        <v>0</v>
      </c>
      <c r="N90" t="s">
        <v>125</v>
      </c>
      <c r="O90" t="s">
        <v>125</v>
      </c>
      <c r="P90">
        <v>29.417999999999999</v>
      </c>
      <c r="Q90">
        <v>19.331328520285048</v>
      </c>
      <c r="R90">
        <v>0</v>
      </c>
      <c r="S90">
        <v>0</v>
      </c>
      <c r="T90">
        <v>19.331328520285048</v>
      </c>
    </row>
    <row r="91" spans="1:20" x14ac:dyDescent="0.25">
      <c r="A91" s="1">
        <v>46237</v>
      </c>
      <c r="B91" t="s">
        <v>149</v>
      </c>
      <c r="C91" t="s">
        <v>12</v>
      </c>
      <c r="D91">
        <v>10.973885648639106</v>
      </c>
      <c r="E91" t="s">
        <v>166</v>
      </c>
      <c r="F91">
        <v>1</v>
      </c>
      <c r="G91">
        <v>46237</v>
      </c>
      <c r="H91" t="s">
        <v>150</v>
      </c>
      <c r="I91">
        <v>3.5839798586717375E-2</v>
      </c>
      <c r="J91">
        <v>3.5839798586717375E-2</v>
      </c>
      <c r="K91">
        <v>0</v>
      </c>
      <c r="L91">
        <v>0</v>
      </c>
      <c r="M91">
        <v>0</v>
      </c>
      <c r="N91" t="s">
        <v>125</v>
      </c>
      <c r="O91" t="s">
        <v>125</v>
      </c>
      <c r="P91">
        <v>28.36</v>
      </c>
      <c r="Q91">
        <v>6.2647967929581965</v>
      </c>
      <c r="R91">
        <v>0</v>
      </c>
      <c r="S91">
        <v>0</v>
      </c>
      <c r="T91">
        <v>6.2647967929581965</v>
      </c>
    </row>
    <row r="92" spans="1:20" x14ac:dyDescent="0.25">
      <c r="A92" s="1">
        <v>46238</v>
      </c>
      <c r="B92" t="s">
        <v>149</v>
      </c>
      <c r="C92" t="s">
        <v>12</v>
      </c>
      <c r="D92">
        <v>10.972274579690296</v>
      </c>
      <c r="E92" t="s">
        <v>161</v>
      </c>
      <c r="G92">
        <v>46238</v>
      </c>
      <c r="H92" t="s">
        <v>150</v>
      </c>
      <c r="I92">
        <v>5.7352549440798484E-2</v>
      </c>
      <c r="J92">
        <v>5.7352549440798484E-2</v>
      </c>
      <c r="K92">
        <v>0</v>
      </c>
      <c r="L92">
        <v>0</v>
      </c>
      <c r="M92">
        <v>0</v>
      </c>
      <c r="N92" t="s">
        <v>126</v>
      </c>
      <c r="O92" t="s">
        <v>126</v>
      </c>
      <c r="P92">
        <v>28.36</v>
      </c>
      <c r="Q92">
        <v>10.025225642251575</v>
      </c>
      <c r="R92">
        <v>0</v>
      </c>
      <c r="S92">
        <v>0</v>
      </c>
      <c r="T92">
        <v>10.025225642251575</v>
      </c>
    </row>
    <row r="93" spans="1:20" x14ac:dyDescent="0.25">
      <c r="A93" s="1">
        <v>46238</v>
      </c>
      <c r="B93" t="s">
        <v>149</v>
      </c>
      <c r="C93" t="s">
        <v>11</v>
      </c>
      <c r="D93">
        <v>4.220105607573192</v>
      </c>
      <c r="E93" t="s">
        <v>161</v>
      </c>
      <c r="G93">
        <v>46238</v>
      </c>
      <c r="H93" t="s">
        <v>150</v>
      </c>
      <c r="I93">
        <v>0.11075419335194958</v>
      </c>
      <c r="J93">
        <v>0.11075419335194958</v>
      </c>
      <c r="K93">
        <v>0</v>
      </c>
      <c r="L93">
        <v>0</v>
      </c>
      <c r="M93">
        <v>0</v>
      </c>
      <c r="N93" t="s">
        <v>126</v>
      </c>
      <c r="O93" t="s">
        <v>126</v>
      </c>
      <c r="P93">
        <v>29.417999999999999</v>
      </c>
      <c r="Q93">
        <v>19.359832997920787</v>
      </c>
      <c r="R93">
        <v>0</v>
      </c>
      <c r="S93">
        <v>0</v>
      </c>
      <c r="T93">
        <v>19.359832997920787</v>
      </c>
    </row>
    <row r="94" spans="1:20" x14ac:dyDescent="0.25">
      <c r="A94" s="1">
        <v>46238</v>
      </c>
      <c r="B94" t="s">
        <v>149</v>
      </c>
      <c r="C94" t="s">
        <v>10</v>
      </c>
      <c r="D94">
        <v>13.02605930870925</v>
      </c>
      <c r="E94" t="s">
        <v>161</v>
      </c>
      <c r="G94">
        <v>46238</v>
      </c>
      <c r="H94" t="s">
        <v>150</v>
      </c>
      <c r="I94">
        <v>4.5380431432207713E-2</v>
      </c>
      <c r="J94">
        <v>4.5380431432207713E-2</v>
      </c>
      <c r="K94">
        <v>0</v>
      </c>
      <c r="L94">
        <v>0</v>
      </c>
      <c r="M94">
        <v>0</v>
      </c>
      <c r="N94" t="s">
        <v>126</v>
      </c>
      <c r="O94" t="s">
        <v>126</v>
      </c>
      <c r="P94">
        <v>27.57</v>
      </c>
      <c r="Q94">
        <v>7.9324994143499081</v>
      </c>
      <c r="R94">
        <v>0</v>
      </c>
      <c r="S94">
        <v>0</v>
      </c>
      <c r="T94">
        <v>7.9324994143499081</v>
      </c>
    </row>
    <row r="95" spans="1:20" x14ac:dyDescent="0.25">
      <c r="A95" s="1">
        <v>46238</v>
      </c>
      <c r="B95" t="s">
        <v>149</v>
      </c>
      <c r="C95" t="s">
        <v>12</v>
      </c>
      <c r="D95">
        <v>10.973885648639106</v>
      </c>
      <c r="E95" t="s">
        <v>166</v>
      </c>
      <c r="F95">
        <v>1</v>
      </c>
      <c r="G95">
        <v>46238</v>
      </c>
      <c r="H95" t="s">
        <v>150</v>
      </c>
      <c r="I95">
        <v>5.7197320207062141E-2</v>
      </c>
      <c r="J95">
        <v>5.7197320207062141E-2</v>
      </c>
      <c r="K95">
        <v>0</v>
      </c>
      <c r="L95">
        <v>0</v>
      </c>
      <c r="M95">
        <v>9.0738856486391075</v>
      </c>
      <c r="N95" t="s">
        <v>126</v>
      </c>
      <c r="O95" t="s">
        <v>126</v>
      </c>
      <c r="P95">
        <v>28.36</v>
      </c>
      <c r="Q95">
        <v>9.9980915721944612</v>
      </c>
      <c r="R95">
        <v>0</v>
      </c>
      <c r="S95">
        <v>0</v>
      </c>
      <c r="T95">
        <v>9.9980915721944612</v>
      </c>
    </row>
    <row r="96" spans="1:20" x14ac:dyDescent="0.25">
      <c r="A96" s="1">
        <v>46238</v>
      </c>
      <c r="B96" t="s">
        <v>149</v>
      </c>
      <c r="C96" t="s">
        <v>11</v>
      </c>
      <c r="D96">
        <v>4.2207252494765797</v>
      </c>
      <c r="E96" t="s">
        <v>166</v>
      </c>
      <c r="F96">
        <v>1</v>
      </c>
      <c r="G96">
        <v>46238</v>
      </c>
      <c r="H96" t="s">
        <v>150</v>
      </c>
      <c r="I96">
        <v>0.11059112425792361</v>
      </c>
      <c r="J96">
        <v>0.11059112425792361</v>
      </c>
      <c r="K96">
        <v>0</v>
      </c>
      <c r="L96">
        <v>0</v>
      </c>
      <c r="M96">
        <v>0</v>
      </c>
      <c r="N96" t="s">
        <v>126</v>
      </c>
      <c r="O96" t="s">
        <v>126</v>
      </c>
      <c r="P96">
        <v>29.417999999999999</v>
      </c>
      <c r="Q96">
        <v>19.331328520285048</v>
      </c>
      <c r="R96">
        <v>0</v>
      </c>
      <c r="S96">
        <v>0</v>
      </c>
      <c r="T96">
        <v>19.331328520285048</v>
      </c>
    </row>
    <row r="97" spans="1:20" x14ac:dyDescent="0.25">
      <c r="A97" s="1">
        <v>46238</v>
      </c>
      <c r="B97" t="s">
        <v>149</v>
      </c>
      <c r="C97" t="s">
        <v>10</v>
      </c>
      <c r="D97">
        <v>13.005109674949706</v>
      </c>
      <c r="E97" t="s">
        <v>166</v>
      </c>
      <c r="F97">
        <v>1</v>
      </c>
      <c r="G97">
        <v>46238</v>
      </c>
      <c r="H97" t="s">
        <v>150</v>
      </c>
      <c r="I97">
        <v>4.706441086223756E-2</v>
      </c>
      <c r="J97">
        <v>4.706441086223756E-2</v>
      </c>
      <c r="K97">
        <v>0</v>
      </c>
      <c r="L97">
        <v>0</v>
      </c>
      <c r="M97">
        <v>10.155109674949706</v>
      </c>
      <c r="N97" t="s">
        <v>126</v>
      </c>
      <c r="O97" t="s">
        <v>126</v>
      </c>
      <c r="P97">
        <v>27.57</v>
      </c>
      <c r="Q97">
        <v>8.2268590187191251</v>
      </c>
      <c r="R97">
        <v>0</v>
      </c>
      <c r="S97">
        <v>0</v>
      </c>
      <c r="T97">
        <v>8.2268590187191251</v>
      </c>
    </row>
    <row r="98" spans="1:20" x14ac:dyDescent="0.25">
      <c r="A98" s="1">
        <v>46239</v>
      </c>
      <c r="B98" t="s">
        <v>149</v>
      </c>
      <c r="C98" t="s">
        <v>11</v>
      </c>
      <c r="D98">
        <v>4.220105607573192</v>
      </c>
      <c r="E98" t="s">
        <v>161</v>
      </c>
      <c r="G98">
        <v>46239</v>
      </c>
      <c r="H98" t="s">
        <v>150</v>
      </c>
      <c r="I98">
        <v>0.11075419335194958</v>
      </c>
      <c r="J98">
        <v>0.11075419335194958</v>
      </c>
      <c r="K98">
        <v>0</v>
      </c>
      <c r="L98">
        <v>0</v>
      </c>
      <c r="M98">
        <v>0.4201056075731921</v>
      </c>
      <c r="N98" t="s">
        <v>127</v>
      </c>
      <c r="O98" t="s">
        <v>127</v>
      </c>
      <c r="P98">
        <v>29.417999999999999</v>
      </c>
      <c r="Q98">
        <v>19.359832997920787</v>
      </c>
      <c r="R98">
        <v>0</v>
      </c>
      <c r="S98">
        <v>0</v>
      </c>
      <c r="T98">
        <v>19.359832997920787</v>
      </c>
    </row>
    <row r="99" spans="1:20" x14ac:dyDescent="0.25">
      <c r="A99" s="1">
        <v>46239</v>
      </c>
      <c r="B99" t="s">
        <v>149</v>
      </c>
      <c r="C99" t="s">
        <v>12</v>
      </c>
      <c r="D99">
        <v>10.803470355387372</v>
      </c>
      <c r="E99" t="s">
        <v>161</v>
      </c>
      <c r="G99">
        <v>46239</v>
      </c>
      <c r="H99" t="s">
        <v>150</v>
      </c>
      <c r="I99">
        <v>5.1073275257863093E-2</v>
      </c>
      <c r="J99">
        <v>5.1073275257863093E-2</v>
      </c>
      <c r="K99">
        <v>0</v>
      </c>
      <c r="L99">
        <v>0</v>
      </c>
      <c r="M99">
        <v>0</v>
      </c>
      <c r="N99" t="s">
        <v>127</v>
      </c>
      <c r="O99" t="s">
        <v>127</v>
      </c>
      <c r="P99">
        <v>28.36</v>
      </c>
      <c r="Q99">
        <v>8.9276085150744677</v>
      </c>
      <c r="R99">
        <v>0</v>
      </c>
      <c r="S99">
        <v>0</v>
      </c>
      <c r="T99">
        <v>8.9276085150744677</v>
      </c>
    </row>
    <row r="100" spans="1:20" x14ac:dyDescent="0.25">
      <c r="A100" s="1">
        <v>46239</v>
      </c>
      <c r="B100" t="s">
        <v>149</v>
      </c>
      <c r="C100" t="s">
        <v>10</v>
      </c>
      <c r="D100">
        <v>12.575914710568108</v>
      </c>
      <c r="E100" t="s">
        <v>161</v>
      </c>
      <c r="G100">
        <v>46239</v>
      </c>
      <c r="H100" t="s">
        <v>150</v>
      </c>
      <c r="I100">
        <v>1.2929184284863116E-2</v>
      </c>
      <c r="J100">
        <v>1.2929184284863116E-2</v>
      </c>
      <c r="K100">
        <v>0</v>
      </c>
      <c r="L100">
        <v>0</v>
      </c>
      <c r="M100">
        <v>0</v>
      </c>
      <c r="N100" t="s">
        <v>127</v>
      </c>
      <c r="O100" t="s">
        <v>127</v>
      </c>
      <c r="P100">
        <v>27.57</v>
      </c>
      <c r="Q100">
        <v>2.2600214129940723</v>
      </c>
      <c r="R100">
        <v>0</v>
      </c>
      <c r="S100">
        <v>0</v>
      </c>
      <c r="T100">
        <v>2.2600214129940723</v>
      </c>
    </row>
    <row r="101" spans="1:20" x14ac:dyDescent="0.25">
      <c r="A101" s="1">
        <v>46239</v>
      </c>
      <c r="B101" t="s">
        <v>149</v>
      </c>
      <c r="C101" t="s">
        <v>11</v>
      </c>
      <c r="D101">
        <v>4.2207252494765797</v>
      </c>
      <c r="E101" t="s">
        <v>166</v>
      </c>
      <c r="F101">
        <v>1</v>
      </c>
      <c r="G101">
        <v>46239</v>
      </c>
      <c r="H101" t="s">
        <v>150</v>
      </c>
      <c r="I101">
        <v>0.11059112425792361</v>
      </c>
      <c r="J101">
        <v>0.11059112425792361</v>
      </c>
      <c r="K101">
        <v>0</v>
      </c>
      <c r="L101">
        <v>0</v>
      </c>
      <c r="M101">
        <v>2.3207252494765798</v>
      </c>
      <c r="N101" t="s">
        <v>127</v>
      </c>
      <c r="O101" t="s">
        <v>127</v>
      </c>
      <c r="P101">
        <v>29.417999999999999</v>
      </c>
      <c r="Q101">
        <v>19.331328520285048</v>
      </c>
      <c r="R101">
        <v>0</v>
      </c>
      <c r="S101">
        <v>0</v>
      </c>
      <c r="T101">
        <v>19.331328520285048</v>
      </c>
    </row>
    <row r="102" spans="1:20" x14ac:dyDescent="0.25">
      <c r="A102" s="1">
        <v>46239</v>
      </c>
      <c r="B102" t="s">
        <v>149</v>
      </c>
      <c r="C102" t="s">
        <v>12</v>
      </c>
      <c r="D102">
        <v>10.815608451783737</v>
      </c>
      <c r="E102" t="s">
        <v>166</v>
      </c>
      <c r="F102">
        <v>1</v>
      </c>
      <c r="G102">
        <v>46239</v>
      </c>
      <c r="H102" t="s">
        <v>150</v>
      </c>
      <c r="I102">
        <v>4.9893681082315844E-2</v>
      </c>
      <c r="J102">
        <v>4.9893681082315844E-2</v>
      </c>
      <c r="K102">
        <v>0</v>
      </c>
      <c r="L102">
        <v>0</v>
      </c>
      <c r="M102">
        <v>8.9156084517837364</v>
      </c>
      <c r="N102" t="s">
        <v>127</v>
      </c>
      <c r="O102" t="s">
        <v>127</v>
      </c>
      <c r="P102">
        <v>28.36</v>
      </c>
      <c r="Q102">
        <v>8.7214154531888095</v>
      </c>
      <c r="R102">
        <v>0</v>
      </c>
      <c r="S102">
        <v>0</v>
      </c>
      <c r="T102">
        <v>8.7214154531888095</v>
      </c>
    </row>
    <row r="103" spans="1:20" x14ac:dyDescent="0.25">
      <c r="A103" s="1">
        <v>46239</v>
      </c>
      <c r="B103" t="s">
        <v>149</v>
      </c>
      <c r="C103" t="s">
        <v>10</v>
      </c>
      <c r="D103">
        <v>12.583037150002053</v>
      </c>
      <c r="E103" t="s">
        <v>166</v>
      </c>
      <c r="F103">
        <v>1</v>
      </c>
      <c r="G103">
        <v>46239</v>
      </c>
      <c r="H103" t="s">
        <v>150</v>
      </c>
      <c r="I103">
        <v>1.2355830913976629E-2</v>
      </c>
      <c r="J103">
        <v>1.2355830913976629E-2</v>
      </c>
      <c r="K103">
        <v>0</v>
      </c>
      <c r="L103">
        <v>0</v>
      </c>
      <c r="M103">
        <v>9.7330371500020529</v>
      </c>
      <c r="N103" t="s">
        <v>127</v>
      </c>
      <c r="O103" t="s">
        <v>127</v>
      </c>
      <c r="P103">
        <v>27.57</v>
      </c>
      <c r="Q103">
        <v>2.1597992437631146</v>
      </c>
      <c r="R103">
        <v>0</v>
      </c>
      <c r="S103">
        <v>0</v>
      </c>
      <c r="T103">
        <v>2.1597992437631146</v>
      </c>
    </row>
    <row r="104" spans="1:20" x14ac:dyDescent="0.25">
      <c r="A104" s="1">
        <v>46240</v>
      </c>
      <c r="B104" t="s">
        <v>149</v>
      </c>
      <c r="C104" t="s">
        <v>11</v>
      </c>
      <c r="D104">
        <v>4.220105607573192</v>
      </c>
      <c r="E104" t="s">
        <v>161</v>
      </c>
      <c r="G104">
        <v>46240</v>
      </c>
      <c r="H104" t="s">
        <v>150</v>
      </c>
      <c r="I104">
        <v>0.11075419335194958</v>
      </c>
      <c r="J104">
        <v>0.11075419335194958</v>
      </c>
      <c r="K104">
        <v>0</v>
      </c>
      <c r="L104">
        <v>0</v>
      </c>
      <c r="M104">
        <v>0</v>
      </c>
      <c r="N104" t="s">
        <v>128</v>
      </c>
      <c r="O104" t="s">
        <v>128</v>
      </c>
      <c r="P104">
        <v>29.417999999999999</v>
      </c>
      <c r="Q104">
        <v>19.359832997920787</v>
      </c>
      <c r="R104">
        <v>0</v>
      </c>
      <c r="S104">
        <v>0</v>
      </c>
      <c r="T104">
        <v>19.359832997920787</v>
      </c>
    </row>
    <row r="105" spans="1:20" x14ac:dyDescent="0.25">
      <c r="A105" s="1">
        <v>46240</v>
      </c>
      <c r="B105" t="s">
        <v>149</v>
      </c>
      <c r="C105" t="s">
        <v>10</v>
      </c>
      <c r="D105">
        <v>11.73189358905347</v>
      </c>
      <c r="E105" t="s">
        <v>161</v>
      </c>
      <c r="G105">
        <v>46240</v>
      </c>
      <c r="H105" t="s">
        <v>150</v>
      </c>
      <c r="I105">
        <v>8.7742962109160771E-4</v>
      </c>
      <c r="J105">
        <v>8.7742962109160771E-4</v>
      </c>
      <c r="K105">
        <v>0</v>
      </c>
      <c r="L105">
        <v>0</v>
      </c>
      <c r="M105">
        <v>0</v>
      </c>
      <c r="N105" t="s">
        <v>128</v>
      </c>
      <c r="O105" t="s">
        <v>128</v>
      </c>
      <c r="P105">
        <v>27.57</v>
      </c>
      <c r="Q105">
        <v>0.15337469776681303</v>
      </c>
      <c r="R105">
        <v>0</v>
      </c>
      <c r="S105">
        <v>0</v>
      </c>
      <c r="T105">
        <v>0.15337469776681303</v>
      </c>
    </row>
    <row r="106" spans="1:20" x14ac:dyDescent="0.25">
      <c r="A106" s="1">
        <v>46240</v>
      </c>
      <c r="B106" t="s">
        <v>149</v>
      </c>
      <c r="C106" t="s">
        <v>12</v>
      </c>
      <c r="D106">
        <v>10.972274579690296</v>
      </c>
      <c r="E106" t="s">
        <v>161</v>
      </c>
      <c r="G106">
        <v>46240</v>
      </c>
      <c r="H106" t="s">
        <v>150</v>
      </c>
      <c r="I106">
        <v>5.7352549440798484E-2</v>
      </c>
      <c r="J106">
        <v>5.7352549440798484E-2</v>
      </c>
      <c r="K106">
        <v>0</v>
      </c>
      <c r="L106">
        <v>0</v>
      </c>
      <c r="M106">
        <v>0.52227457969029756</v>
      </c>
      <c r="N106" t="s">
        <v>128</v>
      </c>
      <c r="O106" t="s">
        <v>128</v>
      </c>
      <c r="P106">
        <v>28.36</v>
      </c>
      <c r="Q106">
        <v>10.025225642251575</v>
      </c>
      <c r="R106">
        <v>0</v>
      </c>
      <c r="S106">
        <v>0</v>
      </c>
      <c r="T106">
        <v>10.025225642251575</v>
      </c>
    </row>
    <row r="107" spans="1:20" x14ac:dyDescent="0.25">
      <c r="A107" s="1">
        <v>46240</v>
      </c>
      <c r="B107" t="s">
        <v>149</v>
      </c>
      <c r="C107" t="s">
        <v>11</v>
      </c>
      <c r="D107">
        <v>4.2207252494765797</v>
      </c>
      <c r="E107" t="s">
        <v>166</v>
      </c>
      <c r="F107">
        <v>1</v>
      </c>
      <c r="G107">
        <v>46240</v>
      </c>
      <c r="H107" t="s">
        <v>150</v>
      </c>
      <c r="I107">
        <v>0.11059112425792361</v>
      </c>
      <c r="J107">
        <v>0.11059112425792361</v>
      </c>
      <c r="K107">
        <v>0</v>
      </c>
      <c r="L107">
        <v>0</v>
      </c>
      <c r="M107">
        <v>3.2707252494765799</v>
      </c>
      <c r="N107" t="s">
        <v>128</v>
      </c>
      <c r="O107" t="s">
        <v>128</v>
      </c>
      <c r="P107">
        <v>29.417999999999999</v>
      </c>
      <c r="Q107">
        <v>19.331328520285048</v>
      </c>
      <c r="R107">
        <v>0</v>
      </c>
      <c r="S107">
        <v>0</v>
      </c>
      <c r="T107">
        <v>19.331328520285048</v>
      </c>
    </row>
    <row r="108" spans="1:20" x14ac:dyDescent="0.25">
      <c r="A108" s="1">
        <v>46240</v>
      </c>
      <c r="B108" t="s">
        <v>149</v>
      </c>
      <c r="C108" t="s">
        <v>10</v>
      </c>
      <c r="D108">
        <v>11.738892100106735</v>
      </c>
      <c r="E108" t="s">
        <v>166</v>
      </c>
      <c r="F108">
        <v>1</v>
      </c>
      <c r="G108">
        <v>46240</v>
      </c>
      <c r="H108" t="s">
        <v>150</v>
      </c>
      <c r="I108">
        <v>2.8072494960884598E-4</v>
      </c>
      <c r="J108">
        <v>2.8072494960884598E-4</v>
      </c>
      <c r="K108">
        <v>0</v>
      </c>
      <c r="L108">
        <v>0</v>
      </c>
      <c r="M108">
        <v>6.9888921001067361</v>
      </c>
      <c r="N108" t="s">
        <v>128</v>
      </c>
      <c r="O108" t="s">
        <v>128</v>
      </c>
      <c r="P108">
        <v>27.57</v>
      </c>
      <c r="Q108">
        <v>4.9070721191626275E-2</v>
      </c>
      <c r="R108">
        <v>0</v>
      </c>
      <c r="S108">
        <v>0</v>
      </c>
      <c r="T108">
        <v>4.9070721191626275E-2</v>
      </c>
    </row>
    <row r="109" spans="1:20" x14ac:dyDescent="0.25">
      <c r="A109" s="1">
        <v>46240</v>
      </c>
      <c r="B109" t="s">
        <v>149</v>
      </c>
      <c r="C109" t="s">
        <v>12</v>
      </c>
      <c r="D109">
        <v>10.973885648639106</v>
      </c>
      <c r="E109" t="s">
        <v>166</v>
      </c>
      <c r="F109">
        <v>1</v>
      </c>
      <c r="G109">
        <v>46240</v>
      </c>
      <c r="H109" t="s">
        <v>150</v>
      </c>
      <c r="I109">
        <v>5.7197320207062141E-2</v>
      </c>
      <c r="J109">
        <v>5.7197320207062141E-2</v>
      </c>
      <c r="K109">
        <v>0</v>
      </c>
      <c r="L109">
        <v>0</v>
      </c>
      <c r="M109">
        <v>10.023885648639107</v>
      </c>
      <c r="N109" t="s">
        <v>128</v>
      </c>
      <c r="O109" t="s">
        <v>128</v>
      </c>
      <c r="P109">
        <v>28.36</v>
      </c>
      <c r="Q109">
        <v>9.9980915721944612</v>
      </c>
      <c r="R109">
        <v>0</v>
      </c>
      <c r="S109">
        <v>0</v>
      </c>
      <c r="T109">
        <v>9.9980915721944612</v>
      </c>
    </row>
    <row r="110" spans="1:20" x14ac:dyDescent="0.25">
      <c r="A110" s="1">
        <v>46241</v>
      </c>
      <c r="B110" t="s">
        <v>149</v>
      </c>
      <c r="C110" t="s">
        <v>12</v>
      </c>
      <c r="D110">
        <v>11.028542654457938</v>
      </c>
      <c r="E110" t="s">
        <v>161</v>
      </c>
      <c r="G110">
        <v>46241</v>
      </c>
      <c r="H110" t="s">
        <v>150</v>
      </c>
      <c r="I110">
        <v>2.041374125159634E-2</v>
      </c>
      <c r="J110">
        <v>2.041374125159634E-2</v>
      </c>
      <c r="K110">
        <v>0</v>
      </c>
      <c r="L110">
        <v>0</v>
      </c>
      <c r="M110">
        <v>0</v>
      </c>
      <c r="N110" t="s">
        <v>129</v>
      </c>
      <c r="O110" t="s">
        <v>129</v>
      </c>
      <c r="P110">
        <v>28.36</v>
      </c>
      <c r="Q110">
        <v>3.5683219707790399</v>
      </c>
      <c r="R110">
        <v>0</v>
      </c>
      <c r="S110">
        <v>0</v>
      </c>
      <c r="T110">
        <v>3.5683219707790399</v>
      </c>
    </row>
    <row r="111" spans="1:20" x14ac:dyDescent="0.25">
      <c r="A111" s="1">
        <v>46241</v>
      </c>
      <c r="B111" t="s">
        <v>149</v>
      </c>
      <c r="C111" t="s">
        <v>11</v>
      </c>
      <c r="D111">
        <v>4.220105607573192</v>
      </c>
      <c r="E111" t="s">
        <v>161</v>
      </c>
      <c r="G111">
        <v>46241</v>
      </c>
      <c r="H111" t="s">
        <v>150</v>
      </c>
      <c r="I111">
        <v>0.11075419335194958</v>
      </c>
      <c r="J111">
        <v>0.11075419335194958</v>
      </c>
      <c r="K111">
        <v>0</v>
      </c>
      <c r="L111">
        <v>0</v>
      </c>
      <c r="M111">
        <v>0.4201056075731921</v>
      </c>
      <c r="N111" t="s">
        <v>129</v>
      </c>
      <c r="O111" t="s">
        <v>129</v>
      </c>
      <c r="P111">
        <v>29.417999999999999</v>
      </c>
      <c r="Q111">
        <v>19.359832997920787</v>
      </c>
      <c r="R111">
        <v>0</v>
      </c>
      <c r="S111">
        <v>0</v>
      </c>
      <c r="T111">
        <v>19.359832997920787</v>
      </c>
    </row>
    <row r="112" spans="1:20" x14ac:dyDescent="0.25">
      <c r="A112" s="1">
        <v>46241</v>
      </c>
      <c r="B112" t="s">
        <v>149</v>
      </c>
      <c r="C112" t="s">
        <v>10</v>
      </c>
      <c r="D112">
        <v>10.972274579690296</v>
      </c>
      <c r="E112" t="s">
        <v>161</v>
      </c>
      <c r="G112">
        <v>46241</v>
      </c>
      <c r="H112" t="s">
        <v>150</v>
      </c>
      <c r="I112">
        <v>3.0672669306364364E-2</v>
      </c>
      <c r="J112">
        <v>3.0672669306364364E-2</v>
      </c>
      <c r="K112">
        <v>0</v>
      </c>
      <c r="L112">
        <v>0</v>
      </c>
      <c r="M112">
        <v>0</v>
      </c>
      <c r="N112" t="s">
        <v>129</v>
      </c>
      <c r="O112" t="s">
        <v>129</v>
      </c>
      <c r="P112">
        <v>27.57</v>
      </c>
      <c r="Q112">
        <v>5.3615825947524902</v>
      </c>
      <c r="R112">
        <v>0</v>
      </c>
      <c r="S112">
        <v>0</v>
      </c>
      <c r="T112">
        <v>5.3615825947524902</v>
      </c>
    </row>
    <row r="113" spans="1:20" x14ac:dyDescent="0.25">
      <c r="A113" s="1">
        <v>46241</v>
      </c>
      <c r="B113" t="s">
        <v>149</v>
      </c>
      <c r="C113" t="s">
        <v>12</v>
      </c>
      <c r="D113">
        <v>11.026644714257564</v>
      </c>
      <c r="E113" t="s">
        <v>166</v>
      </c>
      <c r="F113">
        <v>1</v>
      </c>
      <c r="G113">
        <v>46241</v>
      </c>
      <c r="H113" t="s">
        <v>150</v>
      </c>
      <c r="I113">
        <v>2.058937802150429E-2</v>
      </c>
      <c r="J113">
        <v>2.058937802150429E-2</v>
      </c>
      <c r="K113">
        <v>0</v>
      </c>
      <c r="L113">
        <v>0</v>
      </c>
      <c r="M113">
        <v>8.1766447142575647</v>
      </c>
      <c r="N113" t="s">
        <v>129</v>
      </c>
      <c r="O113" t="s">
        <v>129</v>
      </c>
      <c r="P113">
        <v>28.36</v>
      </c>
      <c r="Q113">
        <v>3.5990232781589495</v>
      </c>
      <c r="R113">
        <v>0</v>
      </c>
      <c r="S113">
        <v>0</v>
      </c>
      <c r="T113">
        <v>3.5990232781589495</v>
      </c>
    </row>
    <row r="114" spans="1:20" x14ac:dyDescent="0.25">
      <c r="A114" s="1">
        <v>46241</v>
      </c>
      <c r="B114" t="s">
        <v>149</v>
      </c>
      <c r="C114" t="s">
        <v>11</v>
      </c>
      <c r="D114">
        <v>4.2207252494765797</v>
      </c>
      <c r="E114" t="s">
        <v>166</v>
      </c>
      <c r="F114">
        <v>1</v>
      </c>
      <c r="G114">
        <v>46241</v>
      </c>
      <c r="H114" t="s">
        <v>150</v>
      </c>
      <c r="I114">
        <v>0.11059112425792361</v>
      </c>
      <c r="J114">
        <v>0.11059112425792361</v>
      </c>
      <c r="K114">
        <v>0</v>
      </c>
      <c r="L114">
        <v>0</v>
      </c>
      <c r="M114">
        <v>0.42072524947657985</v>
      </c>
      <c r="N114" t="s">
        <v>129</v>
      </c>
      <c r="O114" t="s">
        <v>129</v>
      </c>
      <c r="P114">
        <v>29.417999999999999</v>
      </c>
      <c r="Q114">
        <v>19.331328520285048</v>
      </c>
      <c r="R114">
        <v>0</v>
      </c>
      <c r="S114">
        <v>0</v>
      </c>
      <c r="T114">
        <v>19.331328520285048</v>
      </c>
    </row>
    <row r="115" spans="1:20" x14ac:dyDescent="0.25">
      <c r="A115" s="1">
        <v>46241</v>
      </c>
      <c r="B115" t="s">
        <v>149</v>
      </c>
      <c r="C115" t="s">
        <v>10</v>
      </c>
      <c r="D115">
        <v>10.973885648639108</v>
      </c>
      <c r="E115" t="s">
        <v>166</v>
      </c>
      <c r="F115">
        <v>1</v>
      </c>
      <c r="G115">
        <v>46241</v>
      </c>
      <c r="H115" t="s">
        <v>150</v>
      </c>
      <c r="I115">
        <v>3.0521356928317589E-2</v>
      </c>
      <c r="J115">
        <v>3.0521356928317589E-2</v>
      </c>
      <c r="K115">
        <v>0</v>
      </c>
      <c r="L115">
        <v>0</v>
      </c>
      <c r="M115">
        <v>0</v>
      </c>
      <c r="N115" t="s">
        <v>129</v>
      </c>
      <c r="O115" t="s">
        <v>129</v>
      </c>
      <c r="P115">
        <v>27.57</v>
      </c>
      <c r="Q115">
        <v>5.3351331910699145</v>
      </c>
      <c r="R115">
        <v>0</v>
      </c>
      <c r="S115">
        <v>0</v>
      </c>
      <c r="T115">
        <v>5.3351331910699145</v>
      </c>
    </row>
    <row r="116" spans="1:20" x14ac:dyDescent="0.25">
      <c r="A116" s="1">
        <v>46242</v>
      </c>
      <c r="B116" t="s">
        <v>149</v>
      </c>
      <c r="C116" t="s">
        <v>12</v>
      </c>
      <c r="D116">
        <v>10.972274579690296</v>
      </c>
      <c r="E116" t="s">
        <v>161</v>
      </c>
      <c r="G116">
        <v>46242</v>
      </c>
      <c r="H116" t="s">
        <v>150</v>
      </c>
      <c r="I116">
        <v>3.0672669306364364E-2</v>
      </c>
      <c r="J116">
        <v>3.0672669306364364E-2</v>
      </c>
      <c r="K116">
        <v>0</v>
      </c>
      <c r="L116">
        <v>0</v>
      </c>
      <c r="M116">
        <v>0</v>
      </c>
      <c r="N116" t="s">
        <v>119</v>
      </c>
      <c r="O116" t="s">
        <v>119</v>
      </c>
      <c r="P116">
        <v>33.160000000000011</v>
      </c>
      <c r="Q116">
        <v>5.3615825947524902</v>
      </c>
      <c r="R116">
        <v>0</v>
      </c>
      <c r="S116">
        <v>0</v>
      </c>
      <c r="T116">
        <v>5.3615825947524902</v>
      </c>
    </row>
    <row r="117" spans="1:20" x14ac:dyDescent="0.25">
      <c r="A117" s="1">
        <v>46242</v>
      </c>
      <c r="B117" t="s">
        <v>149</v>
      </c>
      <c r="C117" t="s">
        <v>10</v>
      </c>
      <c r="D117">
        <v>11.028542654457938</v>
      </c>
      <c r="E117" t="s">
        <v>161</v>
      </c>
      <c r="G117">
        <v>46242</v>
      </c>
      <c r="H117" t="s">
        <v>150</v>
      </c>
      <c r="I117">
        <v>2.041374125159634E-2</v>
      </c>
      <c r="J117">
        <v>2.041374125159634E-2</v>
      </c>
      <c r="K117">
        <v>0</v>
      </c>
      <c r="L117">
        <v>0</v>
      </c>
      <c r="M117">
        <v>0</v>
      </c>
      <c r="N117" t="s">
        <v>119</v>
      </c>
      <c r="O117" t="s">
        <v>119</v>
      </c>
      <c r="P117">
        <v>37.600000000000009</v>
      </c>
      <c r="Q117">
        <v>3.5683219707790399</v>
      </c>
      <c r="R117">
        <v>0</v>
      </c>
      <c r="S117">
        <v>0</v>
      </c>
      <c r="T117">
        <v>3.5683219707790399</v>
      </c>
    </row>
    <row r="118" spans="1:20" x14ac:dyDescent="0.25">
      <c r="A118" s="1">
        <v>46242</v>
      </c>
      <c r="B118" t="s">
        <v>149</v>
      </c>
      <c r="C118" t="s">
        <v>11</v>
      </c>
      <c r="D118">
        <v>4.220105607573192</v>
      </c>
      <c r="E118" t="s">
        <v>161</v>
      </c>
      <c r="G118">
        <v>46242</v>
      </c>
      <c r="H118" t="s">
        <v>150</v>
      </c>
      <c r="I118">
        <v>0.11075419335194958</v>
      </c>
      <c r="J118">
        <v>0.11075419335194958</v>
      </c>
      <c r="K118">
        <v>0</v>
      </c>
      <c r="L118">
        <v>0</v>
      </c>
      <c r="M118">
        <v>0</v>
      </c>
      <c r="N118" t="s">
        <v>119</v>
      </c>
      <c r="O118" t="s">
        <v>119</v>
      </c>
      <c r="P118">
        <v>32.272000000000013</v>
      </c>
      <c r="Q118">
        <v>19.359832997920787</v>
      </c>
      <c r="R118">
        <v>0</v>
      </c>
      <c r="S118">
        <v>0</v>
      </c>
      <c r="T118">
        <v>19.359832997920787</v>
      </c>
    </row>
    <row r="119" spans="1:20" x14ac:dyDescent="0.25">
      <c r="A119" s="1">
        <v>46242</v>
      </c>
      <c r="B119" t="s">
        <v>149</v>
      </c>
      <c r="C119" t="s">
        <v>12</v>
      </c>
      <c r="D119">
        <v>10.973885648639106</v>
      </c>
      <c r="E119" t="s">
        <v>166</v>
      </c>
      <c r="F119">
        <v>1</v>
      </c>
      <c r="G119">
        <v>46242</v>
      </c>
      <c r="H119" t="s">
        <v>150</v>
      </c>
      <c r="I119">
        <v>3.0521356928317811E-2</v>
      </c>
      <c r="J119">
        <v>3.0521356928317811E-2</v>
      </c>
      <c r="K119">
        <v>0</v>
      </c>
      <c r="L119">
        <v>0</v>
      </c>
      <c r="M119">
        <v>9.0738856486391075</v>
      </c>
      <c r="N119" t="s">
        <v>119</v>
      </c>
      <c r="O119" t="s">
        <v>119</v>
      </c>
      <c r="P119">
        <v>33.160000000000011</v>
      </c>
      <c r="Q119">
        <v>5.3351331910699535</v>
      </c>
      <c r="R119">
        <v>0</v>
      </c>
      <c r="S119">
        <v>0</v>
      </c>
      <c r="T119">
        <v>5.3351331910699535</v>
      </c>
    </row>
    <row r="120" spans="1:20" x14ac:dyDescent="0.25">
      <c r="A120" s="1">
        <v>46242</v>
      </c>
      <c r="B120" t="s">
        <v>149</v>
      </c>
      <c r="C120" t="s">
        <v>10</v>
      </c>
      <c r="D120">
        <v>11.026644714257564</v>
      </c>
      <c r="E120" t="s">
        <v>166</v>
      </c>
      <c r="F120">
        <v>1</v>
      </c>
      <c r="G120">
        <v>46242</v>
      </c>
      <c r="H120" t="s">
        <v>150</v>
      </c>
      <c r="I120">
        <v>2.058937802150429E-2</v>
      </c>
      <c r="J120">
        <v>2.058937802150429E-2</v>
      </c>
      <c r="K120">
        <v>0</v>
      </c>
      <c r="L120">
        <v>0</v>
      </c>
      <c r="M120">
        <v>6.2766447142575643</v>
      </c>
      <c r="N120" t="s">
        <v>119</v>
      </c>
      <c r="O120" t="s">
        <v>119</v>
      </c>
      <c r="P120">
        <v>37.600000000000009</v>
      </c>
      <c r="Q120">
        <v>3.5990232781589495</v>
      </c>
      <c r="R120">
        <v>0</v>
      </c>
      <c r="S120">
        <v>0</v>
      </c>
      <c r="T120">
        <v>3.5990232781589495</v>
      </c>
    </row>
    <row r="121" spans="1:20" x14ac:dyDescent="0.25">
      <c r="A121" s="1">
        <v>46242</v>
      </c>
      <c r="B121" t="s">
        <v>149</v>
      </c>
      <c r="C121" t="s">
        <v>11</v>
      </c>
      <c r="D121">
        <v>4.2207252494765797</v>
      </c>
      <c r="E121" t="s">
        <v>166</v>
      </c>
      <c r="F121">
        <v>1</v>
      </c>
      <c r="G121">
        <v>46242</v>
      </c>
      <c r="H121" t="s">
        <v>150</v>
      </c>
      <c r="I121">
        <v>0.11059112425792361</v>
      </c>
      <c r="J121">
        <v>0.11059112425792361</v>
      </c>
      <c r="K121">
        <v>0</v>
      </c>
      <c r="L121">
        <v>0</v>
      </c>
      <c r="M121">
        <v>3.2707252494765799</v>
      </c>
      <c r="N121" t="s">
        <v>119</v>
      </c>
      <c r="O121" t="s">
        <v>119</v>
      </c>
      <c r="P121">
        <v>32.272000000000013</v>
      </c>
      <c r="Q121">
        <v>19.331328520285048</v>
      </c>
      <c r="R121">
        <v>0</v>
      </c>
      <c r="S121">
        <v>0</v>
      </c>
      <c r="T121">
        <v>19.331328520285048</v>
      </c>
    </row>
    <row r="122" spans="1:20" x14ac:dyDescent="0.25">
      <c r="A122" s="1">
        <v>46243</v>
      </c>
      <c r="B122" t="s">
        <v>149</v>
      </c>
      <c r="C122" t="s">
        <v>12</v>
      </c>
      <c r="D122">
        <v>11.816295701204934</v>
      </c>
      <c r="E122" t="s">
        <v>161</v>
      </c>
      <c r="G122">
        <v>46243</v>
      </c>
      <c r="H122" t="s">
        <v>150</v>
      </c>
      <c r="I122">
        <v>3.1414608112524833E-2</v>
      </c>
      <c r="J122">
        <v>3.1414608112524833E-2</v>
      </c>
      <c r="K122">
        <v>0</v>
      </c>
      <c r="L122">
        <v>0</v>
      </c>
      <c r="M122">
        <v>0</v>
      </c>
      <c r="N122" t="s">
        <v>120</v>
      </c>
      <c r="O122" t="s">
        <v>120</v>
      </c>
      <c r="P122">
        <v>37.610000000000007</v>
      </c>
      <c r="Q122">
        <v>5.491273498069341</v>
      </c>
      <c r="R122">
        <v>0</v>
      </c>
      <c r="S122">
        <v>0</v>
      </c>
      <c r="T122">
        <v>5.491273498069341</v>
      </c>
    </row>
    <row r="123" spans="1:20" x14ac:dyDescent="0.25">
      <c r="A123" s="1">
        <v>46243</v>
      </c>
      <c r="B123" t="s">
        <v>149</v>
      </c>
      <c r="C123" t="s">
        <v>10</v>
      </c>
      <c r="D123">
        <v>10.972274579690296</v>
      </c>
      <c r="E123" t="s">
        <v>161</v>
      </c>
      <c r="G123">
        <v>46243</v>
      </c>
      <c r="H123" t="s">
        <v>150</v>
      </c>
      <c r="I123">
        <v>2.5311563094107647E-2</v>
      </c>
      <c r="J123">
        <v>2.5311563094107647E-2</v>
      </c>
      <c r="K123">
        <v>0</v>
      </c>
      <c r="L123">
        <v>0</v>
      </c>
      <c r="M123">
        <v>0.52227457969029756</v>
      </c>
      <c r="N123" t="s">
        <v>120</v>
      </c>
      <c r="O123" t="s">
        <v>120</v>
      </c>
      <c r="P123">
        <v>42.790000000000006</v>
      </c>
      <c r="Q123">
        <v>4.4244612288500162</v>
      </c>
      <c r="R123">
        <v>0</v>
      </c>
      <c r="S123">
        <v>0</v>
      </c>
      <c r="T123">
        <v>4.4244612288500162</v>
      </c>
    </row>
    <row r="124" spans="1:20" x14ac:dyDescent="0.25">
      <c r="A124" s="1">
        <v>46243</v>
      </c>
      <c r="B124" t="s">
        <v>149</v>
      </c>
      <c r="C124" t="s">
        <v>11</v>
      </c>
      <c r="D124">
        <v>4.220105607573192</v>
      </c>
      <c r="E124" t="s">
        <v>161</v>
      </c>
      <c r="G124">
        <v>46243</v>
      </c>
      <c r="H124" t="s">
        <v>150</v>
      </c>
      <c r="I124">
        <v>0.11075419335194958</v>
      </c>
      <c r="J124">
        <v>0.11075419335194958</v>
      </c>
      <c r="K124">
        <v>0</v>
      </c>
      <c r="L124">
        <v>0</v>
      </c>
      <c r="M124">
        <v>0</v>
      </c>
      <c r="N124" t="s">
        <v>120</v>
      </c>
      <c r="O124" t="s">
        <v>120</v>
      </c>
      <c r="P124">
        <v>36.574000000000012</v>
      </c>
      <c r="Q124">
        <v>19.359832997920787</v>
      </c>
      <c r="R124">
        <v>0</v>
      </c>
      <c r="S124">
        <v>0</v>
      </c>
      <c r="T124">
        <v>19.359832997920787</v>
      </c>
    </row>
    <row r="125" spans="1:20" x14ac:dyDescent="0.25">
      <c r="A125" s="1">
        <v>46243</v>
      </c>
      <c r="B125" t="s">
        <v>149</v>
      </c>
      <c r="C125" t="s">
        <v>12</v>
      </c>
      <c r="D125">
        <v>11.818030698534422</v>
      </c>
      <c r="E125" t="s">
        <v>166</v>
      </c>
      <c r="F125">
        <v>1</v>
      </c>
      <c r="G125">
        <v>46243</v>
      </c>
      <c r="H125" t="s">
        <v>150</v>
      </c>
      <c r="I125">
        <v>3.1263186810929211E-2</v>
      </c>
      <c r="J125">
        <v>3.1263186810929211E-2</v>
      </c>
      <c r="K125">
        <v>0</v>
      </c>
      <c r="L125">
        <v>0</v>
      </c>
      <c r="M125">
        <v>6.1180306985344233</v>
      </c>
      <c r="N125" t="s">
        <v>120</v>
      </c>
      <c r="O125" t="s">
        <v>120</v>
      </c>
      <c r="P125">
        <v>37.610000000000007</v>
      </c>
      <c r="Q125">
        <v>5.4648050545504256</v>
      </c>
      <c r="R125">
        <v>0</v>
      </c>
      <c r="S125">
        <v>0</v>
      </c>
      <c r="T125">
        <v>5.4648050545504256</v>
      </c>
    </row>
    <row r="126" spans="1:20" x14ac:dyDescent="0.25">
      <c r="A126" s="1">
        <v>46243</v>
      </c>
      <c r="B126" t="s">
        <v>149</v>
      </c>
      <c r="C126" t="s">
        <v>10</v>
      </c>
      <c r="D126">
        <v>10.973885648639106</v>
      </c>
      <c r="E126" t="s">
        <v>166</v>
      </c>
      <c r="F126">
        <v>1</v>
      </c>
      <c r="G126">
        <v>46243</v>
      </c>
      <c r="H126" t="s">
        <v>150</v>
      </c>
      <c r="I126">
        <v>2.5161037776544992E-2</v>
      </c>
      <c r="J126">
        <v>2.5161037776544992E-2</v>
      </c>
      <c r="K126">
        <v>0</v>
      </c>
      <c r="L126">
        <v>0</v>
      </c>
      <c r="M126">
        <v>10.023885648639107</v>
      </c>
      <c r="N126" t="s">
        <v>120</v>
      </c>
      <c r="O126" t="s">
        <v>120</v>
      </c>
      <c r="P126">
        <v>42.790000000000006</v>
      </c>
      <c r="Q126">
        <v>4.3981494033400645</v>
      </c>
      <c r="R126">
        <v>0</v>
      </c>
      <c r="S126">
        <v>0</v>
      </c>
      <c r="T126">
        <v>4.3981494033400645</v>
      </c>
    </row>
    <row r="127" spans="1:20" x14ac:dyDescent="0.25">
      <c r="A127" s="1">
        <v>46243</v>
      </c>
      <c r="B127" t="s">
        <v>149</v>
      </c>
      <c r="C127" t="s">
        <v>11</v>
      </c>
      <c r="D127">
        <v>4.2207252494765797</v>
      </c>
      <c r="E127" t="s">
        <v>166</v>
      </c>
      <c r="F127">
        <v>1</v>
      </c>
      <c r="G127">
        <v>46243</v>
      </c>
      <c r="H127" t="s">
        <v>150</v>
      </c>
      <c r="I127">
        <v>0.11059112425792361</v>
      </c>
      <c r="J127">
        <v>0.11059112425792361</v>
      </c>
      <c r="K127">
        <v>0</v>
      </c>
      <c r="L127">
        <v>0</v>
      </c>
      <c r="M127">
        <v>2.3207252494765798</v>
      </c>
      <c r="N127" t="s">
        <v>120</v>
      </c>
      <c r="O127" t="s">
        <v>120</v>
      </c>
      <c r="P127">
        <v>36.574000000000012</v>
      </c>
      <c r="Q127">
        <v>19.331328520285048</v>
      </c>
      <c r="R127">
        <v>0</v>
      </c>
      <c r="S127">
        <v>0</v>
      </c>
      <c r="T127">
        <v>19.331328520285048</v>
      </c>
    </row>
    <row r="128" spans="1:20" x14ac:dyDescent="0.25">
      <c r="A128" s="1">
        <v>46244</v>
      </c>
      <c r="B128" t="s">
        <v>149</v>
      </c>
      <c r="C128" t="s">
        <v>10</v>
      </c>
      <c r="D128">
        <v>11.872563775972576</v>
      </c>
      <c r="E128" t="s">
        <v>161</v>
      </c>
      <c r="G128">
        <v>46244</v>
      </c>
      <c r="H128" t="s">
        <v>150</v>
      </c>
      <c r="I128">
        <v>0</v>
      </c>
      <c r="J128">
        <v>0</v>
      </c>
      <c r="K128">
        <v>3.2949805384340579E-2</v>
      </c>
      <c r="L128">
        <v>3.2949805384340579E-2</v>
      </c>
      <c r="M128">
        <v>0.43961397058823676</v>
      </c>
      <c r="N128" t="s">
        <v>125</v>
      </c>
      <c r="O128" t="s">
        <v>125</v>
      </c>
      <c r="P128">
        <v>27.57</v>
      </c>
      <c r="Q128">
        <v>0</v>
      </c>
      <c r="R128">
        <v>6.9040386217916501</v>
      </c>
      <c r="S128">
        <v>0</v>
      </c>
      <c r="T128">
        <v>6.9040386217916501</v>
      </c>
    </row>
    <row r="129" spans="1:20" x14ac:dyDescent="0.25">
      <c r="A129" s="1">
        <v>46244</v>
      </c>
      <c r="B129" t="s">
        <v>149</v>
      </c>
      <c r="C129" t="s">
        <v>11</v>
      </c>
      <c r="D129">
        <v>4.220105607573192</v>
      </c>
      <c r="E129" t="s">
        <v>161</v>
      </c>
      <c r="G129">
        <v>46244</v>
      </c>
      <c r="H129" t="s">
        <v>150</v>
      </c>
      <c r="I129">
        <v>0.11075419335194958</v>
      </c>
      <c r="J129">
        <v>0.11075419335194958</v>
      </c>
      <c r="K129">
        <v>0</v>
      </c>
      <c r="L129">
        <v>0</v>
      </c>
      <c r="M129">
        <v>0</v>
      </c>
      <c r="N129" t="s">
        <v>125</v>
      </c>
      <c r="O129" t="s">
        <v>125</v>
      </c>
      <c r="P129">
        <v>29.417999999999999</v>
      </c>
      <c r="Q129">
        <v>19.359832997920787</v>
      </c>
      <c r="R129">
        <v>0</v>
      </c>
      <c r="S129">
        <v>0</v>
      </c>
      <c r="T129">
        <v>19.359832997920787</v>
      </c>
    </row>
    <row r="130" spans="1:20" x14ac:dyDescent="0.25">
      <c r="A130" s="1">
        <v>46244</v>
      </c>
      <c r="B130" t="s">
        <v>149</v>
      </c>
      <c r="C130" t="s">
        <v>12</v>
      </c>
      <c r="D130">
        <v>10.972274579690296</v>
      </c>
      <c r="E130" t="s">
        <v>161</v>
      </c>
      <c r="G130">
        <v>46244</v>
      </c>
      <c r="H130" t="s">
        <v>150</v>
      </c>
      <c r="I130">
        <v>6.27136556530552E-2</v>
      </c>
      <c r="J130">
        <v>6.27136556530552E-2</v>
      </c>
      <c r="K130">
        <v>0</v>
      </c>
      <c r="L130">
        <v>0</v>
      </c>
      <c r="M130">
        <v>0.52227457969029756</v>
      </c>
      <c r="N130" t="s">
        <v>125</v>
      </c>
      <c r="O130" t="s">
        <v>125</v>
      </c>
      <c r="P130">
        <v>28.36</v>
      </c>
      <c r="Q130">
        <v>10.962347008154049</v>
      </c>
      <c r="R130">
        <v>0</v>
      </c>
      <c r="S130">
        <v>0</v>
      </c>
      <c r="T130">
        <v>10.962347008154049</v>
      </c>
    </row>
    <row r="131" spans="1:20" x14ac:dyDescent="0.25">
      <c r="A131" s="1">
        <v>46244</v>
      </c>
      <c r="B131" t="s">
        <v>149</v>
      </c>
      <c r="C131" t="s">
        <v>10</v>
      </c>
      <c r="D131">
        <v>11.870789764152878</v>
      </c>
      <c r="E131" t="s">
        <v>166</v>
      </c>
      <c r="F131">
        <v>1</v>
      </c>
      <c r="G131">
        <v>46244</v>
      </c>
      <c r="H131" t="s">
        <v>150</v>
      </c>
      <c r="I131">
        <v>0</v>
      </c>
      <c r="J131">
        <v>0</v>
      </c>
      <c r="K131">
        <v>3.1175793564642729E-2</v>
      </c>
      <c r="L131">
        <v>3.1175793564642729E-2</v>
      </c>
      <c r="M131">
        <v>6.1396139705882362</v>
      </c>
      <c r="N131" t="s">
        <v>125</v>
      </c>
      <c r="O131" t="s">
        <v>125</v>
      </c>
      <c r="P131">
        <v>27.57</v>
      </c>
      <c r="Q131">
        <v>0</v>
      </c>
      <c r="R131">
        <v>6.5323263771867195</v>
      </c>
      <c r="S131">
        <v>0</v>
      </c>
      <c r="T131">
        <v>6.5323263771867195</v>
      </c>
    </row>
    <row r="132" spans="1:20" x14ac:dyDescent="0.25">
      <c r="A132" s="1">
        <v>46244</v>
      </c>
      <c r="B132" t="s">
        <v>149</v>
      </c>
      <c r="C132" t="s">
        <v>11</v>
      </c>
      <c r="D132">
        <v>4.2207252494765797</v>
      </c>
      <c r="E132" t="s">
        <v>166</v>
      </c>
      <c r="F132">
        <v>1</v>
      </c>
      <c r="G132">
        <v>46244</v>
      </c>
      <c r="H132" t="s">
        <v>150</v>
      </c>
      <c r="I132">
        <v>0.11059112425792361</v>
      </c>
      <c r="J132">
        <v>0.11059112425792361</v>
      </c>
      <c r="K132">
        <v>0</v>
      </c>
      <c r="L132">
        <v>0</v>
      </c>
      <c r="M132">
        <v>3.2707252494765799</v>
      </c>
      <c r="N132" t="s">
        <v>125</v>
      </c>
      <c r="O132" t="s">
        <v>125</v>
      </c>
      <c r="P132">
        <v>29.417999999999999</v>
      </c>
      <c r="Q132">
        <v>19.331328520285048</v>
      </c>
      <c r="R132">
        <v>0</v>
      </c>
      <c r="S132">
        <v>0</v>
      </c>
      <c r="T132">
        <v>19.331328520285048</v>
      </c>
    </row>
    <row r="133" spans="1:20" x14ac:dyDescent="0.25">
      <c r="A133" s="1">
        <v>46244</v>
      </c>
      <c r="B133" t="s">
        <v>149</v>
      </c>
      <c r="C133" t="s">
        <v>12</v>
      </c>
      <c r="D133">
        <v>10.973885648639106</v>
      </c>
      <c r="E133" t="s">
        <v>166</v>
      </c>
      <c r="F133">
        <v>1</v>
      </c>
      <c r="G133">
        <v>46244</v>
      </c>
      <c r="H133" t="s">
        <v>150</v>
      </c>
      <c r="I133">
        <v>6.2557639358834738E-2</v>
      </c>
      <c r="J133">
        <v>6.2557639358834738E-2</v>
      </c>
      <c r="K133">
        <v>0</v>
      </c>
      <c r="L133">
        <v>0</v>
      </c>
      <c r="M133">
        <v>0</v>
      </c>
      <c r="N133" t="s">
        <v>125</v>
      </c>
      <c r="O133" t="s">
        <v>125</v>
      </c>
      <c r="P133">
        <v>28.36</v>
      </c>
      <c r="Q133">
        <v>10.935075359924312</v>
      </c>
      <c r="R133">
        <v>0</v>
      </c>
      <c r="S133">
        <v>0</v>
      </c>
      <c r="T133">
        <v>10.935075359924312</v>
      </c>
    </row>
    <row r="134" spans="1:20" x14ac:dyDescent="0.25">
      <c r="A134" s="1">
        <v>46245</v>
      </c>
      <c r="B134" t="s">
        <v>149</v>
      </c>
      <c r="C134" t="s">
        <v>12</v>
      </c>
      <c r="D134">
        <v>10.972274579690296</v>
      </c>
      <c r="E134" t="s">
        <v>161</v>
      </c>
      <c r="G134">
        <v>46245</v>
      </c>
      <c r="H134" t="s">
        <v>150</v>
      </c>
      <c r="I134">
        <v>5.7352549440798484E-2</v>
      </c>
      <c r="J134">
        <v>5.7352549440798484E-2</v>
      </c>
      <c r="K134">
        <v>0</v>
      </c>
      <c r="L134">
        <v>0</v>
      </c>
      <c r="M134">
        <v>0.52227457969029756</v>
      </c>
      <c r="N134" t="s">
        <v>126</v>
      </c>
      <c r="O134" t="s">
        <v>126</v>
      </c>
      <c r="P134">
        <v>28.36</v>
      </c>
      <c r="Q134">
        <v>10.025225642251575</v>
      </c>
      <c r="R134">
        <v>0</v>
      </c>
      <c r="S134">
        <v>0</v>
      </c>
      <c r="T134">
        <v>10.025225642251575</v>
      </c>
    </row>
    <row r="135" spans="1:20" x14ac:dyDescent="0.25">
      <c r="A135" s="1">
        <v>46245</v>
      </c>
      <c r="B135" t="s">
        <v>149</v>
      </c>
      <c r="C135" t="s">
        <v>10</v>
      </c>
      <c r="D135">
        <v>11.73189358905347</v>
      </c>
      <c r="E135" t="s">
        <v>161</v>
      </c>
      <c r="G135">
        <v>46245</v>
      </c>
      <c r="H135" t="s">
        <v>150</v>
      </c>
      <c r="I135">
        <v>8.7742962109160771E-4</v>
      </c>
      <c r="J135">
        <v>8.7742962109160771E-4</v>
      </c>
      <c r="K135">
        <v>0</v>
      </c>
      <c r="L135">
        <v>0</v>
      </c>
      <c r="M135">
        <v>0</v>
      </c>
      <c r="N135" t="s">
        <v>126</v>
      </c>
      <c r="O135" t="s">
        <v>126</v>
      </c>
      <c r="P135">
        <v>27.57</v>
      </c>
      <c r="Q135">
        <v>0.15337469776681303</v>
      </c>
      <c r="R135">
        <v>0</v>
      </c>
      <c r="S135">
        <v>0</v>
      </c>
      <c r="T135">
        <v>0.15337469776681303</v>
      </c>
    </row>
    <row r="136" spans="1:20" x14ac:dyDescent="0.25">
      <c r="A136" s="1">
        <v>46245</v>
      </c>
      <c r="B136" t="s">
        <v>149</v>
      </c>
      <c r="C136" t="s">
        <v>11</v>
      </c>
      <c r="D136">
        <v>4.220105607573192</v>
      </c>
      <c r="E136" t="s">
        <v>161</v>
      </c>
      <c r="G136">
        <v>46245</v>
      </c>
      <c r="H136" t="s">
        <v>150</v>
      </c>
      <c r="I136">
        <v>0.11075419335194958</v>
      </c>
      <c r="J136">
        <v>0.11075419335194958</v>
      </c>
      <c r="K136">
        <v>0</v>
      </c>
      <c r="L136">
        <v>0</v>
      </c>
      <c r="M136">
        <v>0</v>
      </c>
      <c r="N136" t="s">
        <v>126</v>
      </c>
      <c r="O136" t="s">
        <v>126</v>
      </c>
      <c r="P136">
        <v>29.417999999999999</v>
      </c>
      <c r="Q136">
        <v>19.359832997920787</v>
      </c>
      <c r="R136">
        <v>0</v>
      </c>
      <c r="S136">
        <v>0</v>
      </c>
      <c r="T136">
        <v>19.359832997920787</v>
      </c>
    </row>
    <row r="137" spans="1:20" x14ac:dyDescent="0.25">
      <c r="A137" s="1">
        <v>46245</v>
      </c>
      <c r="B137" t="s">
        <v>149</v>
      </c>
      <c r="C137" t="s">
        <v>12</v>
      </c>
      <c r="D137">
        <v>10.973885648639106</v>
      </c>
      <c r="E137" t="s">
        <v>166</v>
      </c>
      <c r="F137">
        <v>1</v>
      </c>
      <c r="G137">
        <v>46245</v>
      </c>
      <c r="H137" t="s">
        <v>150</v>
      </c>
      <c r="I137">
        <v>5.7197320207062141E-2</v>
      </c>
      <c r="J137">
        <v>5.7197320207062141E-2</v>
      </c>
      <c r="K137">
        <v>0</v>
      </c>
      <c r="L137">
        <v>0</v>
      </c>
      <c r="M137">
        <v>10.023885648639107</v>
      </c>
      <c r="N137" t="s">
        <v>126</v>
      </c>
      <c r="O137" t="s">
        <v>126</v>
      </c>
      <c r="P137">
        <v>28.36</v>
      </c>
      <c r="Q137">
        <v>9.9980915721944612</v>
      </c>
      <c r="R137">
        <v>0</v>
      </c>
      <c r="S137">
        <v>0</v>
      </c>
      <c r="T137">
        <v>9.9980915721944612</v>
      </c>
    </row>
    <row r="138" spans="1:20" x14ac:dyDescent="0.25">
      <c r="A138" s="1">
        <v>46245</v>
      </c>
      <c r="B138" t="s">
        <v>149</v>
      </c>
      <c r="C138" t="s">
        <v>10</v>
      </c>
      <c r="D138">
        <v>11.738892100106735</v>
      </c>
      <c r="E138" t="s">
        <v>166</v>
      </c>
      <c r="F138">
        <v>1</v>
      </c>
      <c r="G138">
        <v>46245</v>
      </c>
      <c r="H138" t="s">
        <v>150</v>
      </c>
      <c r="I138">
        <v>2.8072494960862393E-4</v>
      </c>
      <c r="J138">
        <v>2.8072494960862393E-4</v>
      </c>
      <c r="K138">
        <v>0</v>
      </c>
      <c r="L138">
        <v>0</v>
      </c>
      <c r="M138">
        <v>7.9388921001067354</v>
      </c>
      <c r="N138" t="s">
        <v>126</v>
      </c>
      <c r="O138" t="s">
        <v>126</v>
      </c>
      <c r="P138">
        <v>27.57</v>
      </c>
      <c r="Q138">
        <v>4.9070721191587459E-2</v>
      </c>
      <c r="R138">
        <v>0</v>
      </c>
      <c r="S138">
        <v>0</v>
      </c>
      <c r="T138">
        <v>4.9070721191587459E-2</v>
      </c>
    </row>
    <row r="139" spans="1:20" x14ac:dyDescent="0.25">
      <c r="A139" s="1">
        <v>46245</v>
      </c>
      <c r="B139" t="s">
        <v>149</v>
      </c>
      <c r="C139" t="s">
        <v>11</v>
      </c>
      <c r="D139">
        <v>4.2207252494765797</v>
      </c>
      <c r="E139" t="s">
        <v>166</v>
      </c>
      <c r="F139">
        <v>1</v>
      </c>
      <c r="G139">
        <v>46245</v>
      </c>
      <c r="H139" t="s">
        <v>150</v>
      </c>
      <c r="I139">
        <v>0.11059112425792361</v>
      </c>
      <c r="J139">
        <v>0.11059112425792361</v>
      </c>
      <c r="K139">
        <v>0</v>
      </c>
      <c r="L139">
        <v>0</v>
      </c>
      <c r="M139">
        <v>0</v>
      </c>
      <c r="N139" t="s">
        <v>126</v>
      </c>
      <c r="O139" t="s">
        <v>126</v>
      </c>
      <c r="P139">
        <v>29.417999999999999</v>
      </c>
      <c r="Q139">
        <v>19.331328520285048</v>
      </c>
      <c r="R139">
        <v>0</v>
      </c>
      <c r="S139">
        <v>0</v>
      </c>
      <c r="T139">
        <v>19.331328520285048</v>
      </c>
    </row>
    <row r="140" spans="1:20" x14ac:dyDescent="0.25">
      <c r="A140" s="1">
        <v>46246</v>
      </c>
      <c r="B140" t="s">
        <v>149</v>
      </c>
      <c r="C140" t="s">
        <v>10</v>
      </c>
      <c r="D140">
        <v>12.575914710568108</v>
      </c>
      <c r="E140" t="s">
        <v>161</v>
      </c>
      <c r="G140">
        <v>46246</v>
      </c>
      <c r="H140" t="s">
        <v>150</v>
      </c>
      <c r="I140">
        <v>0</v>
      </c>
      <c r="J140">
        <v>0</v>
      </c>
      <c r="K140">
        <v>0.77490368115634456</v>
      </c>
      <c r="L140">
        <v>0.77490368115634456</v>
      </c>
      <c r="M140">
        <v>0</v>
      </c>
      <c r="N140" t="s">
        <v>127</v>
      </c>
      <c r="O140" t="s">
        <v>127</v>
      </c>
      <c r="P140">
        <v>27.57</v>
      </c>
      <c r="Q140">
        <v>0</v>
      </c>
      <c r="R140">
        <v>162.36711812005117</v>
      </c>
      <c r="S140">
        <v>0</v>
      </c>
      <c r="T140">
        <v>162.36711812005117</v>
      </c>
    </row>
    <row r="141" spans="1:20" x14ac:dyDescent="0.25">
      <c r="A141" s="1">
        <v>46246</v>
      </c>
      <c r="B141" t="s">
        <v>149</v>
      </c>
      <c r="C141" t="s">
        <v>11</v>
      </c>
      <c r="D141">
        <v>4.220105607573192</v>
      </c>
      <c r="E141" t="s">
        <v>161</v>
      </c>
      <c r="G141">
        <v>46246</v>
      </c>
      <c r="H141" t="s">
        <v>150</v>
      </c>
      <c r="I141">
        <v>0.11075419335194958</v>
      </c>
      <c r="J141">
        <v>0.11075419335194958</v>
      </c>
      <c r="K141">
        <v>0</v>
      </c>
      <c r="L141">
        <v>0</v>
      </c>
      <c r="M141">
        <v>0.4201056075731921</v>
      </c>
      <c r="N141" t="s">
        <v>127</v>
      </c>
      <c r="O141" t="s">
        <v>127</v>
      </c>
      <c r="P141">
        <v>29.417999999999999</v>
      </c>
      <c r="Q141">
        <v>19.359832997920787</v>
      </c>
      <c r="R141">
        <v>0</v>
      </c>
      <c r="S141">
        <v>0</v>
      </c>
      <c r="T141">
        <v>19.359832997920787</v>
      </c>
    </row>
    <row r="142" spans="1:20" x14ac:dyDescent="0.25">
      <c r="A142" s="1">
        <v>46246</v>
      </c>
      <c r="B142" t="s">
        <v>149</v>
      </c>
      <c r="C142" t="s">
        <v>12</v>
      </c>
      <c r="D142">
        <v>10.80347035538737</v>
      </c>
      <c r="E142" t="s">
        <v>161</v>
      </c>
      <c r="G142">
        <v>46246</v>
      </c>
      <c r="H142" t="s">
        <v>150</v>
      </c>
      <c r="I142">
        <v>5.1073275257863093E-2</v>
      </c>
      <c r="J142">
        <v>5.1073275257863093E-2</v>
      </c>
      <c r="K142">
        <v>0</v>
      </c>
      <c r="L142">
        <v>0</v>
      </c>
      <c r="M142">
        <v>0.35347035538737059</v>
      </c>
      <c r="N142" t="s">
        <v>127</v>
      </c>
      <c r="O142" t="s">
        <v>127</v>
      </c>
      <c r="P142">
        <v>28.36</v>
      </c>
      <c r="Q142">
        <v>8.9276085150744677</v>
      </c>
      <c r="R142">
        <v>0</v>
      </c>
      <c r="S142">
        <v>0</v>
      </c>
      <c r="T142">
        <v>8.9276085150744677</v>
      </c>
    </row>
    <row r="143" spans="1:20" x14ac:dyDescent="0.25">
      <c r="A143" s="1">
        <v>46246</v>
      </c>
      <c r="B143" t="s">
        <v>149</v>
      </c>
      <c r="C143" t="s">
        <v>10</v>
      </c>
      <c r="D143">
        <v>12.583037150002053</v>
      </c>
      <c r="E143" t="s">
        <v>166</v>
      </c>
      <c r="F143">
        <v>1</v>
      </c>
      <c r="G143">
        <v>46246</v>
      </c>
      <c r="H143" t="s">
        <v>150</v>
      </c>
      <c r="I143">
        <v>0</v>
      </c>
      <c r="J143">
        <v>0</v>
      </c>
      <c r="K143">
        <v>0.78202612059028875</v>
      </c>
      <c r="L143">
        <v>0.78202612059028875</v>
      </c>
      <c r="M143">
        <v>9.9010110294117641</v>
      </c>
      <c r="N143" t="s">
        <v>127</v>
      </c>
      <c r="O143" t="s">
        <v>127</v>
      </c>
      <c r="P143">
        <v>27.57</v>
      </c>
      <c r="Q143">
        <v>0</v>
      </c>
      <c r="R143">
        <v>163.85949709952439</v>
      </c>
      <c r="S143">
        <v>0</v>
      </c>
      <c r="T143">
        <v>163.85949709952439</v>
      </c>
    </row>
    <row r="144" spans="1:20" x14ac:dyDescent="0.25">
      <c r="A144" s="1">
        <v>46246</v>
      </c>
      <c r="B144" t="s">
        <v>149</v>
      </c>
      <c r="C144" t="s">
        <v>11</v>
      </c>
      <c r="D144">
        <v>4.2207252494765797</v>
      </c>
      <c r="E144" t="s">
        <v>166</v>
      </c>
      <c r="F144">
        <v>1</v>
      </c>
      <c r="G144">
        <v>46246</v>
      </c>
      <c r="H144" t="s">
        <v>150</v>
      </c>
      <c r="I144">
        <v>0.11059112425792361</v>
      </c>
      <c r="J144">
        <v>0.11059112425792361</v>
      </c>
      <c r="K144">
        <v>0</v>
      </c>
      <c r="L144">
        <v>0</v>
      </c>
      <c r="M144">
        <v>2.3207252494765798</v>
      </c>
      <c r="N144" t="s">
        <v>127</v>
      </c>
      <c r="O144" t="s">
        <v>127</v>
      </c>
      <c r="P144">
        <v>29.417999999999999</v>
      </c>
      <c r="Q144">
        <v>19.331328520285048</v>
      </c>
      <c r="R144">
        <v>0</v>
      </c>
      <c r="S144">
        <v>0</v>
      </c>
      <c r="T144">
        <v>19.331328520285048</v>
      </c>
    </row>
    <row r="145" spans="1:20" x14ac:dyDescent="0.25">
      <c r="A145" s="1">
        <v>46246</v>
      </c>
      <c r="B145" t="s">
        <v>149</v>
      </c>
      <c r="C145" t="s">
        <v>12</v>
      </c>
      <c r="D145">
        <v>10.815608451783737</v>
      </c>
      <c r="E145" t="s">
        <v>166</v>
      </c>
      <c r="F145">
        <v>1</v>
      </c>
      <c r="G145">
        <v>46246</v>
      </c>
      <c r="H145" t="s">
        <v>150</v>
      </c>
      <c r="I145">
        <v>4.9893681082315844E-2</v>
      </c>
      <c r="J145">
        <v>4.9893681082315844E-2</v>
      </c>
      <c r="K145">
        <v>0</v>
      </c>
      <c r="L145">
        <v>0</v>
      </c>
      <c r="M145">
        <v>8.9156084517837364</v>
      </c>
      <c r="N145" t="s">
        <v>127</v>
      </c>
      <c r="O145" t="s">
        <v>127</v>
      </c>
      <c r="P145">
        <v>28.36</v>
      </c>
      <c r="Q145">
        <v>8.7214154531888095</v>
      </c>
      <c r="R145">
        <v>0</v>
      </c>
      <c r="S145">
        <v>0</v>
      </c>
      <c r="T145">
        <v>8.7214154531888095</v>
      </c>
    </row>
    <row r="146" spans="1:20" x14ac:dyDescent="0.25">
      <c r="A146" s="1">
        <v>46247</v>
      </c>
      <c r="B146" t="s">
        <v>149</v>
      </c>
      <c r="C146" t="s">
        <v>12</v>
      </c>
      <c r="D146">
        <v>10.972274579690296</v>
      </c>
      <c r="E146" t="s">
        <v>161</v>
      </c>
      <c r="G146">
        <v>46247</v>
      </c>
      <c r="H146" t="s">
        <v>150</v>
      </c>
      <c r="I146">
        <v>2.5311563094107647E-2</v>
      </c>
      <c r="J146">
        <v>2.5311563094107647E-2</v>
      </c>
      <c r="K146">
        <v>0</v>
      </c>
      <c r="L146">
        <v>0</v>
      </c>
      <c r="M146">
        <v>0</v>
      </c>
      <c r="N146" t="s">
        <v>128</v>
      </c>
      <c r="O146" t="s">
        <v>128</v>
      </c>
      <c r="P146">
        <v>28.36</v>
      </c>
      <c r="Q146">
        <v>4.4244612288500162</v>
      </c>
      <c r="R146">
        <v>0</v>
      </c>
      <c r="S146">
        <v>0</v>
      </c>
      <c r="T146">
        <v>4.4244612288500162</v>
      </c>
    </row>
    <row r="147" spans="1:20" x14ac:dyDescent="0.25">
      <c r="A147" s="1">
        <v>46247</v>
      </c>
      <c r="B147" t="s">
        <v>149</v>
      </c>
      <c r="C147" t="s">
        <v>11</v>
      </c>
      <c r="D147">
        <v>4.220105607573192</v>
      </c>
      <c r="E147" t="s">
        <v>161</v>
      </c>
      <c r="G147">
        <v>46247</v>
      </c>
      <c r="H147" t="s">
        <v>150</v>
      </c>
      <c r="I147">
        <v>0.11075419335194958</v>
      </c>
      <c r="J147">
        <v>0.11075419335194958</v>
      </c>
      <c r="K147">
        <v>0</v>
      </c>
      <c r="L147">
        <v>0</v>
      </c>
      <c r="M147">
        <v>0</v>
      </c>
      <c r="N147" t="s">
        <v>128</v>
      </c>
      <c r="O147" t="s">
        <v>128</v>
      </c>
      <c r="P147">
        <v>29.417999999999999</v>
      </c>
      <c r="Q147">
        <v>19.359832997920787</v>
      </c>
      <c r="R147">
        <v>0</v>
      </c>
      <c r="S147">
        <v>0</v>
      </c>
      <c r="T147">
        <v>19.359832997920787</v>
      </c>
    </row>
    <row r="148" spans="1:20" x14ac:dyDescent="0.25">
      <c r="A148" s="1">
        <v>46247</v>
      </c>
      <c r="B148" t="s">
        <v>149</v>
      </c>
      <c r="C148" t="s">
        <v>10</v>
      </c>
      <c r="D148">
        <v>10.887872467538834</v>
      </c>
      <c r="E148" t="s">
        <v>161</v>
      </c>
      <c r="G148">
        <v>46247</v>
      </c>
      <c r="H148" t="s">
        <v>150</v>
      </c>
      <c r="I148">
        <v>2.4649217123116296E-2</v>
      </c>
      <c r="J148">
        <v>2.4649217123116296E-2</v>
      </c>
      <c r="K148">
        <v>0</v>
      </c>
      <c r="L148">
        <v>0</v>
      </c>
      <c r="M148">
        <v>0</v>
      </c>
      <c r="N148" t="s">
        <v>128</v>
      </c>
      <c r="O148" t="s">
        <v>128</v>
      </c>
      <c r="P148">
        <v>27.57</v>
      </c>
      <c r="Q148">
        <v>4.3086831531207279</v>
      </c>
      <c r="R148">
        <v>0</v>
      </c>
      <c r="S148">
        <v>0</v>
      </c>
      <c r="T148">
        <v>4.3086831531207279</v>
      </c>
    </row>
    <row r="149" spans="1:20" x14ac:dyDescent="0.25">
      <c r="A149" s="1">
        <v>46247</v>
      </c>
      <c r="B149" t="s">
        <v>149</v>
      </c>
      <c r="C149" t="s">
        <v>12</v>
      </c>
      <c r="D149">
        <v>10.973885648639106</v>
      </c>
      <c r="E149" t="s">
        <v>166</v>
      </c>
      <c r="F149">
        <v>1</v>
      </c>
      <c r="G149">
        <v>46247</v>
      </c>
      <c r="H149" t="s">
        <v>150</v>
      </c>
      <c r="I149">
        <v>2.5161037776544992E-2</v>
      </c>
      <c r="J149">
        <v>2.5161037776544992E-2</v>
      </c>
      <c r="K149">
        <v>0</v>
      </c>
      <c r="L149">
        <v>0</v>
      </c>
      <c r="M149">
        <v>5.2738856486391068</v>
      </c>
      <c r="N149" t="s">
        <v>128</v>
      </c>
      <c r="O149" t="s">
        <v>128</v>
      </c>
      <c r="P149">
        <v>28.36</v>
      </c>
      <c r="Q149">
        <v>4.3981494033400645</v>
      </c>
      <c r="R149">
        <v>0</v>
      </c>
      <c r="S149">
        <v>0</v>
      </c>
      <c r="T149">
        <v>4.3981494033400645</v>
      </c>
    </row>
    <row r="150" spans="1:20" x14ac:dyDescent="0.25">
      <c r="A150" s="1">
        <v>46247</v>
      </c>
      <c r="B150" t="s">
        <v>149</v>
      </c>
      <c r="C150" t="s">
        <v>11</v>
      </c>
      <c r="D150">
        <v>4.2207252494765797</v>
      </c>
      <c r="E150" t="s">
        <v>166</v>
      </c>
      <c r="F150">
        <v>1</v>
      </c>
      <c r="G150">
        <v>46247</v>
      </c>
      <c r="H150" t="s">
        <v>150</v>
      </c>
      <c r="I150">
        <v>0.11059112425792361</v>
      </c>
      <c r="J150">
        <v>0.11059112425792361</v>
      </c>
      <c r="K150">
        <v>0</v>
      </c>
      <c r="L150">
        <v>0</v>
      </c>
      <c r="M150">
        <v>0</v>
      </c>
      <c r="N150" t="s">
        <v>128</v>
      </c>
      <c r="O150" t="s">
        <v>128</v>
      </c>
      <c r="P150">
        <v>29.417999999999999</v>
      </c>
      <c r="Q150">
        <v>19.331328520285048</v>
      </c>
      <c r="R150">
        <v>0</v>
      </c>
      <c r="S150">
        <v>0</v>
      </c>
      <c r="T150">
        <v>19.331328520285048</v>
      </c>
    </row>
    <row r="151" spans="1:20" x14ac:dyDescent="0.25">
      <c r="A151" s="1">
        <v>46247</v>
      </c>
      <c r="B151" t="s">
        <v>149</v>
      </c>
      <c r="C151" t="s">
        <v>10</v>
      </c>
      <c r="D151">
        <v>10.89474705021142</v>
      </c>
      <c r="E151" t="s">
        <v>166</v>
      </c>
      <c r="F151">
        <v>1</v>
      </c>
      <c r="G151">
        <v>46247</v>
      </c>
      <c r="H151" t="s">
        <v>150</v>
      </c>
      <c r="I151">
        <v>2.4002663722560325E-2</v>
      </c>
      <c r="J151">
        <v>2.4002663722560325E-2</v>
      </c>
      <c r="K151">
        <v>0</v>
      </c>
      <c r="L151">
        <v>0</v>
      </c>
      <c r="M151">
        <v>0</v>
      </c>
      <c r="N151" t="s">
        <v>128</v>
      </c>
      <c r="O151" t="s">
        <v>128</v>
      </c>
      <c r="P151">
        <v>27.57</v>
      </c>
      <c r="Q151">
        <v>4.1956656187035444</v>
      </c>
      <c r="R151">
        <v>0</v>
      </c>
      <c r="S151">
        <v>0</v>
      </c>
      <c r="T151">
        <v>4.1956656187035444</v>
      </c>
    </row>
    <row r="152" spans="1:20" x14ac:dyDescent="0.25">
      <c r="A152" s="1">
        <v>46248</v>
      </c>
      <c r="B152" t="s">
        <v>149</v>
      </c>
      <c r="C152" t="s">
        <v>12</v>
      </c>
      <c r="D152">
        <v>11.028542654457938</v>
      </c>
      <c r="E152" t="s">
        <v>161</v>
      </c>
      <c r="G152">
        <v>46248</v>
      </c>
      <c r="H152" t="s">
        <v>150</v>
      </c>
      <c r="I152">
        <v>2.041374125159634E-2</v>
      </c>
      <c r="J152">
        <v>2.041374125159634E-2</v>
      </c>
      <c r="K152">
        <v>0</v>
      </c>
      <c r="L152">
        <v>0</v>
      </c>
      <c r="M152">
        <v>0</v>
      </c>
      <c r="N152" t="s">
        <v>129</v>
      </c>
      <c r="O152" t="s">
        <v>129</v>
      </c>
      <c r="P152">
        <v>28.36</v>
      </c>
      <c r="Q152">
        <v>3.5683219707790399</v>
      </c>
      <c r="R152">
        <v>0</v>
      </c>
      <c r="S152">
        <v>0</v>
      </c>
      <c r="T152">
        <v>3.5683219707790399</v>
      </c>
    </row>
    <row r="153" spans="1:20" x14ac:dyDescent="0.25">
      <c r="A153" s="1">
        <v>46248</v>
      </c>
      <c r="B153" t="s">
        <v>149</v>
      </c>
      <c r="C153" t="s">
        <v>11</v>
      </c>
      <c r="D153">
        <v>4.220105607573192</v>
      </c>
      <c r="E153" t="s">
        <v>161</v>
      </c>
      <c r="G153">
        <v>46248</v>
      </c>
      <c r="H153" t="s">
        <v>150</v>
      </c>
      <c r="I153">
        <v>0</v>
      </c>
      <c r="J153">
        <v>0</v>
      </c>
      <c r="K153">
        <v>0.47010560757319181</v>
      </c>
      <c r="L153">
        <v>0.47010560757319181</v>
      </c>
      <c r="M153">
        <v>0</v>
      </c>
      <c r="N153" t="s">
        <v>129</v>
      </c>
      <c r="O153" t="s">
        <v>129</v>
      </c>
      <c r="P153">
        <v>29.417999999999999</v>
      </c>
      <c r="Q153">
        <v>0</v>
      </c>
      <c r="R153">
        <v>105.10470740326998</v>
      </c>
      <c r="S153">
        <v>0</v>
      </c>
      <c r="T153">
        <v>105.10470740326998</v>
      </c>
    </row>
    <row r="154" spans="1:20" x14ac:dyDescent="0.25">
      <c r="A154" s="1">
        <v>46248</v>
      </c>
      <c r="B154" t="s">
        <v>149</v>
      </c>
      <c r="C154" t="s">
        <v>10</v>
      </c>
      <c r="D154">
        <v>10.972274579690296</v>
      </c>
      <c r="E154" t="s">
        <v>161</v>
      </c>
      <c r="G154">
        <v>46248</v>
      </c>
      <c r="H154" t="s">
        <v>150</v>
      </c>
      <c r="I154">
        <v>0</v>
      </c>
      <c r="J154">
        <v>0</v>
      </c>
      <c r="K154">
        <v>1.538451050278532</v>
      </c>
      <c r="L154">
        <v>1.538451050278532</v>
      </c>
      <c r="M154">
        <v>0</v>
      </c>
      <c r="N154" t="s">
        <v>129</v>
      </c>
      <c r="O154" t="s">
        <v>129</v>
      </c>
      <c r="P154">
        <v>27.57</v>
      </c>
      <c r="Q154">
        <v>0</v>
      </c>
      <c r="R154">
        <v>322.35472546696138</v>
      </c>
      <c r="S154">
        <v>0</v>
      </c>
      <c r="T154">
        <v>322.35472546696138</v>
      </c>
    </row>
    <row r="155" spans="1:20" x14ac:dyDescent="0.25">
      <c r="A155" s="1">
        <v>46248</v>
      </c>
      <c r="B155" t="s">
        <v>149</v>
      </c>
      <c r="C155" t="s">
        <v>12</v>
      </c>
      <c r="D155">
        <v>11.026644714257564</v>
      </c>
      <c r="E155" t="s">
        <v>166</v>
      </c>
      <c r="F155">
        <v>1</v>
      </c>
      <c r="G155">
        <v>46248</v>
      </c>
      <c r="H155" t="s">
        <v>150</v>
      </c>
      <c r="I155">
        <v>2.058937802150429E-2</v>
      </c>
      <c r="J155">
        <v>2.058937802150429E-2</v>
      </c>
      <c r="K155">
        <v>0</v>
      </c>
      <c r="L155">
        <v>0</v>
      </c>
      <c r="M155">
        <v>6.2766447142575643</v>
      </c>
      <c r="N155" t="s">
        <v>129</v>
      </c>
      <c r="O155" t="s">
        <v>129</v>
      </c>
      <c r="P155">
        <v>28.36</v>
      </c>
      <c r="Q155">
        <v>3.5990232781589495</v>
      </c>
      <c r="R155">
        <v>0</v>
      </c>
      <c r="S155">
        <v>0</v>
      </c>
      <c r="T155">
        <v>3.5990232781589495</v>
      </c>
    </row>
    <row r="156" spans="1:20" x14ac:dyDescent="0.25">
      <c r="A156" s="1">
        <v>46248</v>
      </c>
      <c r="B156" t="s">
        <v>149</v>
      </c>
      <c r="C156" t="s">
        <v>11</v>
      </c>
      <c r="D156">
        <v>4.2207252494765797</v>
      </c>
      <c r="E156" t="s">
        <v>166</v>
      </c>
      <c r="F156">
        <v>1</v>
      </c>
      <c r="G156">
        <v>46248</v>
      </c>
      <c r="H156" t="s">
        <v>150</v>
      </c>
      <c r="I156">
        <v>0</v>
      </c>
      <c r="J156">
        <v>0</v>
      </c>
      <c r="K156">
        <v>0.4707252494765799</v>
      </c>
      <c r="L156">
        <v>0.4707252494765799</v>
      </c>
      <c r="M156">
        <v>2.8000000000000003</v>
      </c>
      <c r="N156" t="s">
        <v>129</v>
      </c>
      <c r="O156" t="s">
        <v>129</v>
      </c>
      <c r="P156">
        <v>29.417999999999999</v>
      </c>
      <c r="Q156">
        <v>0</v>
      </c>
      <c r="R156">
        <v>105.24324495717539</v>
      </c>
      <c r="S156">
        <v>0</v>
      </c>
      <c r="T156">
        <v>105.24324495717539</v>
      </c>
    </row>
    <row r="157" spans="1:20" x14ac:dyDescent="0.25">
      <c r="A157" s="1">
        <v>46248</v>
      </c>
      <c r="B157" t="s">
        <v>149</v>
      </c>
      <c r="C157" t="s">
        <v>10</v>
      </c>
      <c r="D157">
        <v>10.973885648639106</v>
      </c>
      <c r="E157" t="s">
        <v>166</v>
      </c>
      <c r="F157">
        <v>1</v>
      </c>
      <c r="G157">
        <v>46248</v>
      </c>
      <c r="H157" t="s">
        <v>150</v>
      </c>
      <c r="I157">
        <v>0</v>
      </c>
      <c r="J157">
        <v>0</v>
      </c>
      <c r="K157">
        <v>1.5400621192273423</v>
      </c>
      <c r="L157">
        <v>1.5400621192273423</v>
      </c>
      <c r="M157">
        <v>9.4338235294117645</v>
      </c>
      <c r="N157" t="s">
        <v>129</v>
      </c>
      <c r="O157" t="s">
        <v>129</v>
      </c>
      <c r="P157">
        <v>27.57</v>
      </c>
      <c r="Q157">
        <v>0</v>
      </c>
      <c r="R157">
        <v>322.69229596594352</v>
      </c>
      <c r="S157">
        <v>0</v>
      </c>
      <c r="T157">
        <v>322.69229596594352</v>
      </c>
    </row>
    <row r="158" spans="1:20" x14ac:dyDescent="0.25">
      <c r="A158" s="1">
        <v>46249</v>
      </c>
      <c r="B158" t="s">
        <v>149</v>
      </c>
      <c r="C158" t="s">
        <v>12</v>
      </c>
      <c r="D158">
        <v>10.972274579690296</v>
      </c>
      <c r="E158" t="s">
        <v>161</v>
      </c>
      <c r="G158">
        <v>46249</v>
      </c>
      <c r="H158" t="s">
        <v>150</v>
      </c>
      <c r="I158">
        <v>2.5311563094107647E-2</v>
      </c>
      <c r="J158">
        <v>2.5311563094107647E-2</v>
      </c>
      <c r="K158">
        <v>0</v>
      </c>
      <c r="L158">
        <v>0</v>
      </c>
      <c r="M158">
        <v>0</v>
      </c>
      <c r="N158" t="s">
        <v>119</v>
      </c>
      <c r="O158" t="s">
        <v>119</v>
      </c>
      <c r="P158">
        <v>33.160000000000011</v>
      </c>
      <c r="Q158">
        <v>4.4244612288500162</v>
      </c>
      <c r="R158">
        <v>0</v>
      </c>
      <c r="S158">
        <v>0</v>
      </c>
      <c r="T158">
        <v>4.4244612288500162</v>
      </c>
    </row>
    <row r="159" spans="1:20" x14ac:dyDescent="0.25">
      <c r="A159" s="1">
        <v>46249</v>
      </c>
      <c r="B159" t="s">
        <v>149</v>
      </c>
      <c r="C159" t="s">
        <v>11</v>
      </c>
      <c r="D159">
        <v>4.220105607573192</v>
      </c>
      <c r="E159" t="s">
        <v>161</v>
      </c>
      <c r="G159">
        <v>46249</v>
      </c>
      <c r="H159" t="s">
        <v>150</v>
      </c>
      <c r="I159">
        <v>0.11075419335194958</v>
      </c>
      <c r="J159">
        <v>0.11075419335194958</v>
      </c>
      <c r="K159">
        <v>0</v>
      </c>
      <c r="L159">
        <v>0</v>
      </c>
      <c r="M159">
        <v>0</v>
      </c>
      <c r="N159" t="s">
        <v>119</v>
      </c>
      <c r="O159" t="s">
        <v>119</v>
      </c>
      <c r="P159">
        <v>32.272000000000013</v>
      </c>
      <c r="Q159">
        <v>19.359832997920787</v>
      </c>
      <c r="R159">
        <v>0</v>
      </c>
      <c r="S159">
        <v>0</v>
      </c>
      <c r="T159">
        <v>19.359832997920787</v>
      </c>
    </row>
    <row r="160" spans="1:20" x14ac:dyDescent="0.25">
      <c r="A160" s="1">
        <v>46249</v>
      </c>
      <c r="B160" t="s">
        <v>149</v>
      </c>
      <c r="C160" t="s">
        <v>10</v>
      </c>
      <c r="D160">
        <v>11.028542654457937</v>
      </c>
      <c r="E160" t="s">
        <v>161</v>
      </c>
      <c r="G160">
        <v>46249</v>
      </c>
      <c r="H160" t="s">
        <v>150</v>
      </c>
      <c r="I160">
        <v>2.0080381649750123E-2</v>
      </c>
      <c r="J160">
        <v>2.0080381649750123E-2</v>
      </c>
      <c r="K160">
        <v>0</v>
      </c>
      <c r="L160">
        <v>0</v>
      </c>
      <c r="M160">
        <v>0</v>
      </c>
      <c r="N160" t="s">
        <v>119</v>
      </c>
      <c r="O160" t="s">
        <v>119</v>
      </c>
      <c r="P160">
        <v>37.600000000000009</v>
      </c>
      <c r="Q160">
        <v>3.5100507123763212</v>
      </c>
      <c r="R160">
        <v>0</v>
      </c>
      <c r="S160">
        <v>0</v>
      </c>
      <c r="T160">
        <v>3.5100507123763212</v>
      </c>
    </row>
    <row r="161" spans="1:20" x14ac:dyDescent="0.25">
      <c r="A161" s="1">
        <v>46249</v>
      </c>
      <c r="B161" t="s">
        <v>149</v>
      </c>
      <c r="C161" t="s">
        <v>12</v>
      </c>
      <c r="D161">
        <v>10.973885648639106</v>
      </c>
      <c r="E161" t="s">
        <v>166</v>
      </c>
      <c r="F161">
        <v>1</v>
      </c>
      <c r="G161">
        <v>46249</v>
      </c>
      <c r="H161" t="s">
        <v>150</v>
      </c>
      <c r="I161">
        <v>2.5161037776544992E-2</v>
      </c>
      <c r="J161">
        <v>2.5161037776544992E-2</v>
      </c>
      <c r="K161">
        <v>0</v>
      </c>
      <c r="L161">
        <v>0</v>
      </c>
      <c r="M161">
        <v>9.0738856486391075</v>
      </c>
      <c r="N161" t="s">
        <v>119</v>
      </c>
      <c r="O161" t="s">
        <v>119</v>
      </c>
      <c r="P161">
        <v>33.160000000000011</v>
      </c>
      <c r="Q161">
        <v>4.3981494033400645</v>
      </c>
      <c r="R161">
        <v>0</v>
      </c>
      <c r="S161">
        <v>0</v>
      </c>
      <c r="T161">
        <v>4.3981494033400645</v>
      </c>
    </row>
    <row r="162" spans="1:20" x14ac:dyDescent="0.25">
      <c r="A162" s="1">
        <v>46249</v>
      </c>
      <c r="B162" t="s">
        <v>149</v>
      </c>
      <c r="C162" t="s">
        <v>11</v>
      </c>
      <c r="D162">
        <v>4.2207252494765797</v>
      </c>
      <c r="E162" t="s">
        <v>166</v>
      </c>
      <c r="F162">
        <v>1</v>
      </c>
      <c r="G162">
        <v>46249</v>
      </c>
      <c r="H162" t="s">
        <v>150</v>
      </c>
      <c r="I162">
        <v>0.11059112425792361</v>
      </c>
      <c r="J162">
        <v>0.11059112425792361</v>
      </c>
      <c r="K162">
        <v>0</v>
      </c>
      <c r="L162">
        <v>0</v>
      </c>
      <c r="M162">
        <v>3.2707252494765799</v>
      </c>
      <c r="N162" t="s">
        <v>119</v>
      </c>
      <c r="O162" t="s">
        <v>119</v>
      </c>
      <c r="P162">
        <v>32.272000000000013</v>
      </c>
      <c r="Q162">
        <v>19.331328520285048</v>
      </c>
      <c r="R162">
        <v>0</v>
      </c>
      <c r="S162">
        <v>0</v>
      </c>
      <c r="T162">
        <v>19.331328520285048</v>
      </c>
    </row>
    <row r="163" spans="1:20" x14ac:dyDescent="0.25">
      <c r="A163" s="1">
        <v>46249</v>
      </c>
      <c r="B163" t="s">
        <v>149</v>
      </c>
      <c r="C163" t="s">
        <v>10</v>
      </c>
      <c r="D163">
        <v>11.026644714257564</v>
      </c>
      <c r="E163" t="s">
        <v>166</v>
      </c>
      <c r="F163">
        <v>1</v>
      </c>
      <c r="G163">
        <v>46249</v>
      </c>
      <c r="H163" t="s">
        <v>150</v>
      </c>
      <c r="I163">
        <v>2.0255961040771986E-2</v>
      </c>
      <c r="J163">
        <v>2.0255961040771986E-2</v>
      </c>
      <c r="K163">
        <v>0</v>
      </c>
      <c r="L163">
        <v>0</v>
      </c>
      <c r="M163">
        <v>7.2266447142575645</v>
      </c>
      <c r="N163" t="s">
        <v>119</v>
      </c>
      <c r="O163" t="s">
        <v>119</v>
      </c>
      <c r="P163">
        <v>37.600000000000009</v>
      </c>
      <c r="Q163">
        <v>3.5407419899269428</v>
      </c>
      <c r="R163">
        <v>0</v>
      </c>
      <c r="S163">
        <v>0</v>
      </c>
      <c r="T163">
        <v>3.5407419899269428</v>
      </c>
    </row>
    <row r="164" spans="1:20" x14ac:dyDescent="0.25">
      <c r="A164" s="1">
        <v>46250</v>
      </c>
      <c r="B164" t="s">
        <v>149</v>
      </c>
      <c r="C164" t="s">
        <v>10</v>
      </c>
      <c r="D164">
        <v>10.972274579690296</v>
      </c>
      <c r="E164" t="s">
        <v>161</v>
      </c>
      <c r="G164">
        <v>46250</v>
      </c>
      <c r="H164" t="s">
        <v>150</v>
      </c>
      <c r="I164">
        <v>2.5311563094107647E-2</v>
      </c>
      <c r="J164">
        <v>2.5311563094107647E-2</v>
      </c>
      <c r="K164">
        <v>0</v>
      </c>
      <c r="L164">
        <v>0</v>
      </c>
      <c r="M164">
        <v>0.52227457969029756</v>
      </c>
      <c r="N164" t="s">
        <v>120</v>
      </c>
      <c r="O164" t="s">
        <v>120</v>
      </c>
      <c r="P164">
        <v>42.790000000000006</v>
      </c>
      <c r="Q164">
        <v>4.4244612288500162</v>
      </c>
      <c r="R164">
        <v>0</v>
      </c>
      <c r="S164">
        <v>0</v>
      </c>
      <c r="T164">
        <v>4.4244612288500162</v>
      </c>
    </row>
    <row r="165" spans="1:20" x14ac:dyDescent="0.25">
      <c r="A165" s="1">
        <v>46250</v>
      </c>
      <c r="B165" t="s">
        <v>149</v>
      </c>
      <c r="C165" t="s">
        <v>11</v>
      </c>
      <c r="D165">
        <v>4.220105607573192</v>
      </c>
      <c r="E165" t="s">
        <v>161</v>
      </c>
      <c r="G165">
        <v>46250</v>
      </c>
      <c r="H165" t="s">
        <v>150</v>
      </c>
      <c r="I165">
        <v>0.11075419335194958</v>
      </c>
      <c r="J165">
        <v>0.11075419335194958</v>
      </c>
      <c r="K165">
        <v>0</v>
      </c>
      <c r="L165">
        <v>0</v>
      </c>
      <c r="M165">
        <v>0</v>
      </c>
      <c r="N165" t="s">
        <v>120</v>
      </c>
      <c r="O165" t="s">
        <v>120</v>
      </c>
      <c r="P165">
        <v>36.574000000000012</v>
      </c>
      <c r="Q165">
        <v>19.359832997920787</v>
      </c>
      <c r="R165">
        <v>0</v>
      </c>
      <c r="S165">
        <v>0</v>
      </c>
      <c r="T165">
        <v>19.359832997920787</v>
      </c>
    </row>
    <row r="166" spans="1:20" x14ac:dyDescent="0.25">
      <c r="A166" s="1">
        <v>46250</v>
      </c>
      <c r="B166" t="s">
        <v>149</v>
      </c>
      <c r="C166" t="s">
        <v>12</v>
      </c>
      <c r="D166">
        <v>10.972274579690296</v>
      </c>
      <c r="E166" t="s">
        <v>161</v>
      </c>
      <c r="G166">
        <v>46250</v>
      </c>
      <c r="H166" t="s">
        <v>150</v>
      </c>
      <c r="I166">
        <v>2.5311563094107647E-2</v>
      </c>
      <c r="J166">
        <v>2.5311563094107647E-2</v>
      </c>
      <c r="K166">
        <v>0</v>
      </c>
      <c r="L166">
        <v>0</v>
      </c>
      <c r="M166">
        <v>0.52227457969029756</v>
      </c>
      <c r="N166" t="s">
        <v>120</v>
      </c>
      <c r="O166" t="s">
        <v>120</v>
      </c>
      <c r="P166">
        <v>37.610000000000007</v>
      </c>
      <c r="Q166">
        <v>4.4244612288500162</v>
      </c>
      <c r="R166">
        <v>0</v>
      </c>
      <c r="S166">
        <v>0</v>
      </c>
      <c r="T166">
        <v>4.4244612288500162</v>
      </c>
    </row>
    <row r="167" spans="1:20" x14ac:dyDescent="0.25">
      <c r="A167" s="1">
        <v>46250</v>
      </c>
      <c r="B167" t="s">
        <v>149</v>
      </c>
      <c r="C167" t="s">
        <v>10</v>
      </c>
      <c r="D167">
        <v>10.973885648639106</v>
      </c>
      <c r="E167" t="s">
        <v>166</v>
      </c>
      <c r="F167">
        <v>1</v>
      </c>
      <c r="G167">
        <v>46250</v>
      </c>
      <c r="H167" t="s">
        <v>150</v>
      </c>
      <c r="I167">
        <v>2.5161037776544992E-2</v>
      </c>
      <c r="J167">
        <v>2.5161037776544992E-2</v>
      </c>
      <c r="K167">
        <v>0</v>
      </c>
      <c r="L167">
        <v>0</v>
      </c>
      <c r="M167">
        <v>7.1738856486391063</v>
      </c>
      <c r="N167" t="s">
        <v>120</v>
      </c>
      <c r="O167" t="s">
        <v>120</v>
      </c>
      <c r="P167">
        <v>42.790000000000006</v>
      </c>
      <c r="Q167">
        <v>4.3981494033400645</v>
      </c>
      <c r="R167">
        <v>0</v>
      </c>
      <c r="S167">
        <v>0</v>
      </c>
      <c r="T167">
        <v>4.3981494033400645</v>
      </c>
    </row>
    <row r="168" spans="1:20" x14ac:dyDescent="0.25">
      <c r="A168" s="1">
        <v>46250</v>
      </c>
      <c r="B168" t="s">
        <v>149</v>
      </c>
      <c r="C168" t="s">
        <v>11</v>
      </c>
      <c r="D168">
        <v>4.2207252494765797</v>
      </c>
      <c r="E168" t="s">
        <v>166</v>
      </c>
      <c r="F168">
        <v>1</v>
      </c>
      <c r="G168">
        <v>46250</v>
      </c>
      <c r="H168" t="s">
        <v>150</v>
      </c>
      <c r="I168">
        <v>0.11059112425792361</v>
      </c>
      <c r="J168">
        <v>0.11059112425792361</v>
      </c>
      <c r="K168">
        <v>0</v>
      </c>
      <c r="L168">
        <v>0</v>
      </c>
      <c r="M168">
        <v>0</v>
      </c>
      <c r="N168" t="s">
        <v>120</v>
      </c>
      <c r="O168" t="s">
        <v>120</v>
      </c>
      <c r="P168">
        <v>36.574000000000012</v>
      </c>
      <c r="Q168">
        <v>19.331328520285048</v>
      </c>
      <c r="R168">
        <v>0</v>
      </c>
      <c r="S168">
        <v>0</v>
      </c>
      <c r="T168">
        <v>19.331328520285048</v>
      </c>
    </row>
    <row r="169" spans="1:20" x14ac:dyDescent="0.25">
      <c r="A169" s="1">
        <v>46250</v>
      </c>
      <c r="B169" t="s">
        <v>149</v>
      </c>
      <c r="C169" t="s">
        <v>12</v>
      </c>
      <c r="D169">
        <v>10.973885648639106</v>
      </c>
      <c r="E169" t="s">
        <v>166</v>
      </c>
      <c r="F169">
        <v>1</v>
      </c>
      <c r="G169">
        <v>46250</v>
      </c>
      <c r="H169" t="s">
        <v>150</v>
      </c>
      <c r="I169">
        <v>2.5161037776544992E-2</v>
      </c>
      <c r="J169">
        <v>2.5161037776544992E-2</v>
      </c>
      <c r="K169">
        <v>0</v>
      </c>
      <c r="L169">
        <v>0</v>
      </c>
      <c r="M169">
        <v>8.1238856486391064</v>
      </c>
      <c r="N169" t="s">
        <v>120</v>
      </c>
      <c r="O169" t="s">
        <v>120</v>
      </c>
      <c r="P169">
        <v>37.610000000000007</v>
      </c>
      <c r="Q169">
        <v>4.3981494033400645</v>
      </c>
      <c r="R169">
        <v>0</v>
      </c>
      <c r="S169">
        <v>0</v>
      </c>
      <c r="T169">
        <v>4.3981494033400645</v>
      </c>
    </row>
    <row r="170" spans="1:20" x14ac:dyDescent="0.25">
      <c r="A170" s="1">
        <v>46223</v>
      </c>
      <c r="B170" t="s">
        <v>151</v>
      </c>
      <c r="C170" t="s">
        <v>12</v>
      </c>
      <c r="D170">
        <v>3.1774912809962848</v>
      </c>
      <c r="E170" t="s">
        <v>161</v>
      </c>
      <c r="G170">
        <v>46223</v>
      </c>
      <c r="H170" t="s">
        <v>150</v>
      </c>
      <c r="I170">
        <v>0</v>
      </c>
      <c r="J170">
        <v>0</v>
      </c>
      <c r="K170">
        <v>0.30897917026964111</v>
      </c>
      <c r="L170">
        <v>0.30897917026964111</v>
      </c>
      <c r="M170">
        <v>2.8685121107266438</v>
      </c>
      <c r="N170" t="s">
        <v>125</v>
      </c>
      <c r="O170" t="s">
        <v>125</v>
      </c>
      <c r="P170">
        <v>28.36</v>
      </c>
      <c r="Q170">
        <v>0</v>
      </c>
      <c r="R170">
        <v>66.596134443237375</v>
      </c>
      <c r="S170">
        <v>0</v>
      </c>
      <c r="T170">
        <v>66.596134443237375</v>
      </c>
    </row>
    <row r="171" spans="1:20" x14ac:dyDescent="0.25">
      <c r="A171" s="1">
        <v>46223</v>
      </c>
      <c r="B171" t="s">
        <v>151</v>
      </c>
      <c r="C171" t="s">
        <v>10</v>
      </c>
      <c r="D171">
        <v>3.6011567851291222</v>
      </c>
      <c r="E171" t="s">
        <v>161</v>
      </c>
      <c r="G171">
        <v>46223</v>
      </c>
      <c r="H171" t="s">
        <v>150</v>
      </c>
      <c r="I171">
        <v>4.5415711390070834E-2</v>
      </c>
      <c r="J171">
        <v>4.5415711390070834E-2</v>
      </c>
      <c r="K171">
        <v>0</v>
      </c>
      <c r="L171">
        <v>0</v>
      </c>
      <c r="M171">
        <v>0</v>
      </c>
      <c r="N171" t="s">
        <v>125</v>
      </c>
      <c r="O171" t="s">
        <v>125</v>
      </c>
      <c r="P171">
        <v>27.57</v>
      </c>
      <c r="Q171">
        <v>7.9386663509843816</v>
      </c>
      <c r="R171">
        <v>0</v>
      </c>
      <c r="S171">
        <v>0</v>
      </c>
      <c r="T171">
        <v>7.9386663509843816</v>
      </c>
    </row>
    <row r="172" spans="1:20" x14ac:dyDescent="0.25">
      <c r="A172" s="1">
        <v>46223</v>
      </c>
      <c r="B172" t="s">
        <v>151</v>
      </c>
      <c r="C172" t="s">
        <v>11</v>
      </c>
      <c r="D172">
        <v>0</v>
      </c>
      <c r="E172" t="s">
        <v>161</v>
      </c>
      <c r="G172">
        <v>46223</v>
      </c>
      <c r="H172" t="s">
        <v>150</v>
      </c>
      <c r="I172">
        <v>0</v>
      </c>
      <c r="J172">
        <v>0</v>
      </c>
      <c r="K172">
        <v>0</v>
      </c>
      <c r="L172">
        <v>0</v>
      </c>
      <c r="M172">
        <v>0</v>
      </c>
      <c r="N172" t="s">
        <v>125</v>
      </c>
      <c r="O172" t="s">
        <v>125</v>
      </c>
      <c r="P172">
        <v>29.417999999999999</v>
      </c>
      <c r="Q172">
        <v>0</v>
      </c>
      <c r="R172">
        <v>0</v>
      </c>
      <c r="S172">
        <v>0</v>
      </c>
      <c r="T172">
        <v>0</v>
      </c>
    </row>
    <row r="173" spans="1:20" x14ac:dyDescent="0.25">
      <c r="A173" s="1">
        <v>46223</v>
      </c>
      <c r="B173" t="s">
        <v>151</v>
      </c>
      <c r="C173" t="s">
        <v>12</v>
      </c>
      <c r="D173">
        <v>3.1779578349000128</v>
      </c>
      <c r="E173" t="s">
        <v>166</v>
      </c>
      <c r="F173">
        <v>1</v>
      </c>
      <c r="G173">
        <v>46223</v>
      </c>
      <c r="H173" t="s">
        <v>150</v>
      </c>
      <c r="I173">
        <v>0</v>
      </c>
      <c r="J173">
        <v>0</v>
      </c>
      <c r="K173">
        <v>0.30944572417336891</v>
      </c>
      <c r="L173">
        <v>0.30944572417336891</v>
      </c>
      <c r="M173">
        <v>1.8512110726644337E-2</v>
      </c>
      <c r="N173" t="s">
        <v>125</v>
      </c>
      <c r="O173" t="s">
        <v>125</v>
      </c>
      <c r="P173">
        <v>28.36</v>
      </c>
      <c r="Q173">
        <v>0</v>
      </c>
      <c r="R173">
        <v>66.696693605431236</v>
      </c>
      <c r="S173">
        <v>0</v>
      </c>
      <c r="T173">
        <v>66.696693605431236</v>
      </c>
    </row>
    <row r="174" spans="1:20" x14ac:dyDescent="0.25">
      <c r="A174" s="1">
        <v>46223</v>
      </c>
      <c r="B174" t="s">
        <v>151</v>
      </c>
      <c r="C174" t="s">
        <v>10</v>
      </c>
      <c r="D174">
        <v>3.5876164620550925</v>
      </c>
      <c r="E174" t="s">
        <v>166</v>
      </c>
      <c r="F174">
        <v>1</v>
      </c>
      <c r="G174">
        <v>46223</v>
      </c>
      <c r="H174" t="s">
        <v>150</v>
      </c>
      <c r="I174">
        <v>4.9361302182342914E-2</v>
      </c>
      <c r="J174">
        <v>4.9361302182342914E-2</v>
      </c>
      <c r="K174">
        <v>0</v>
      </c>
      <c r="L174">
        <v>0</v>
      </c>
      <c r="M174">
        <v>0</v>
      </c>
      <c r="N174" t="s">
        <v>125</v>
      </c>
      <c r="O174" t="s">
        <v>125</v>
      </c>
      <c r="P174">
        <v>27.57</v>
      </c>
      <c r="Q174">
        <v>8.6283556214735402</v>
      </c>
      <c r="R174">
        <v>0</v>
      </c>
      <c r="S174">
        <v>0</v>
      </c>
      <c r="T174">
        <v>8.6283556214735402</v>
      </c>
    </row>
    <row r="175" spans="1:20" x14ac:dyDescent="0.25">
      <c r="A175" s="1">
        <v>46223</v>
      </c>
      <c r="B175" t="s">
        <v>151</v>
      </c>
      <c r="C175" t="s">
        <v>11</v>
      </c>
      <c r="D175">
        <v>0</v>
      </c>
      <c r="E175" t="s">
        <v>166</v>
      </c>
      <c r="F175">
        <v>1</v>
      </c>
      <c r="G175">
        <v>46223</v>
      </c>
      <c r="H175" t="s">
        <v>150</v>
      </c>
      <c r="I175">
        <v>0</v>
      </c>
      <c r="J175">
        <v>0</v>
      </c>
      <c r="K175">
        <v>0</v>
      </c>
      <c r="L175">
        <v>0</v>
      </c>
      <c r="M175">
        <v>0</v>
      </c>
      <c r="N175" t="s">
        <v>125</v>
      </c>
      <c r="O175" t="s">
        <v>125</v>
      </c>
      <c r="P175">
        <v>29.417999999999999</v>
      </c>
      <c r="Q175">
        <v>0</v>
      </c>
      <c r="R175">
        <v>0</v>
      </c>
      <c r="S175">
        <v>0</v>
      </c>
      <c r="T175">
        <v>0</v>
      </c>
    </row>
    <row r="176" spans="1:20" x14ac:dyDescent="0.25">
      <c r="A176" s="1">
        <v>46224</v>
      </c>
      <c r="B176" t="s">
        <v>151</v>
      </c>
      <c r="C176" t="s">
        <v>12</v>
      </c>
      <c r="D176">
        <v>3.2304494690128904</v>
      </c>
      <c r="E176" t="s">
        <v>161</v>
      </c>
      <c r="G176">
        <v>46224</v>
      </c>
      <c r="H176" t="s">
        <v>150</v>
      </c>
      <c r="I176">
        <v>0.36399819252504195</v>
      </c>
      <c r="J176">
        <v>0.36399819252504195</v>
      </c>
      <c r="K176">
        <v>0</v>
      </c>
      <c r="L176">
        <v>0</v>
      </c>
      <c r="M176">
        <v>0</v>
      </c>
      <c r="N176" t="s">
        <v>126</v>
      </c>
      <c r="O176" t="s">
        <v>126</v>
      </c>
      <c r="P176">
        <v>28.36</v>
      </c>
      <c r="Q176">
        <v>63.626884053377331</v>
      </c>
      <c r="R176">
        <v>0</v>
      </c>
      <c r="S176">
        <v>0</v>
      </c>
      <c r="T176">
        <v>63.626884053377331</v>
      </c>
    </row>
    <row r="177" spans="1:20" x14ac:dyDescent="0.25">
      <c r="A177" s="1">
        <v>46224</v>
      </c>
      <c r="B177" t="s">
        <v>151</v>
      </c>
      <c r="C177" t="s">
        <v>11</v>
      </c>
      <c r="D177">
        <v>0</v>
      </c>
      <c r="E177" t="s">
        <v>161</v>
      </c>
      <c r="G177">
        <v>46224</v>
      </c>
      <c r="H177" t="s">
        <v>150</v>
      </c>
      <c r="I177">
        <v>0</v>
      </c>
      <c r="J177">
        <v>0</v>
      </c>
      <c r="K177">
        <v>0</v>
      </c>
      <c r="L177">
        <v>0</v>
      </c>
      <c r="M177">
        <v>0</v>
      </c>
      <c r="N177" t="s">
        <v>126</v>
      </c>
      <c r="O177" t="s">
        <v>126</v>
      </c>
      <c r="P177">
        <v>29.417999999999999</v>
      </c>
      <c r="Q177">
        <v>0</v>
      </c>
      <c r="R177">
        <v>0</v>
      </c>
      <c r="S177">
        <v>0</v>
      </c>
      <c r="T177">
        <v>0</v>
      </c>
    </row>
    <row r="178" spans="1:20" x14ac:dyDescent="0.25">
      <c r="A178" s="1">
        <v>46224</v>
      </c>
      <c r="B178" t="s">
        <v>151</v>
      </c>
      <c r="C178" t="s">
        <v>10</v>
      </c>
      <c r="D178">
        <v>3.6011567851291235</v>
      </c>
      <c r="E178" t="s">
        <v>161</v>
      </c>
      <c r="G178">
        <v>46224</v>
      </c>
      <c r="H178" t="s">
        <v>150</v>
      </c>
      <c r="I178">
        <v>0.33798043196044913</v>
      </c>
      <c r="J178">
        <v>0.33798043196044913</v>
      </c>
      <c r="K178">
        <v>0</v>
      </c>
      <c r="L178">
        <v>0</v>
      </c>
      <c r="M178">
        <v>0</v>
      </c>
      <c r="N178" t="s">
        <v>126</v>
      </c>
      <c r="O178" t="s">
        <v>126</v>
      </c>
      <c r="P178">
        <v>27.57</v>
      </c>
      <c r="Q178">
        <v>59.078979506686501</v>
      </c>
      <c r="R178">
        <v>0</v>
      </c>
      <c r="S178">
        <v>0</v>
      </c>
      <c r="T178">
        <v>59.078979506686501</v>
      </c>
    </row>
    <row r="179" spans="1:20" x14ac:dyDescent="0.25">
      <c r="A179" s="1">
        <v>46224</v>
      </c>
      <c r="B179" t="s">
        <v>151</v>
      </c>
      <c r="C179" t="s">
        <v>12</v>
      </c>
      <c r="D179">
        <v>3.2276134260703255</v>
      </c>
      <c r="E179" t="s">
        <v>166</v>
      </c>
      <c r="F179">
        <v>1</v>
      </c>
      <c r="G179">
        <v>46224</v>
      </c>
      <c r="H179" t="s">
        <v>150</v>
      </c>
      <c r="I179">
        <v>0.43785621347327153</v>
      </c>
      <c r="J179">
        <v>0.43785621347327153</v>
      </c>
      <c r="K179">
        <v>0</v>
      </c>
      <c r="L179">
        <v>0</v>
      </c>
      <c r="M179">
        <v>0</v>
      </c>
      <c r="N179" t="s">
        <v>126</v>
      </c>
      <c r="O179" t="s">
        <v>126</v>
      </c>
      <c r="P179">
        <v>28.36</v>
      </c>
      <c r="Q179">
        <v>76.537266115127863</v>
      </c>
      <c r="R179">
        <v>0</v>
      </c>
      <c r="S179">
        <v>0</v>
      </c>
      <c r="T179">
        <v>76.537266115127863</v>
      </c>
    </row>
    <row r="180" spans="1:20" x14ac:dyDescent="0.25">
      <c r="A180" s="1">
        <v>46224</v>
      </c>
      <c r="B180" t="s">
        <v>151</v>
      </c>
      <c r="C180" t="s">
        <v>11</v>
      </c>
      <c r="D180">
        <v>0</v>
      </c>
      <c r="E180" t="s">
        <v>166</v>
      </c>
      <c r="F180">
        <v>1</v>
      </c>
      <c r="G180">
        <v>46224</v>
      </c>
      <c r="H180" t="s">
        <v>150</v>
      </c>
      <c r="I180">
        <v>0</v>
      </c>
      <c r="J180">
        <v>0</v>
      </c>
      <c r="K180">
        <v>0</v>
      </c>
      <c r="L180">
        <v>0</v>
      </c>
      <c r="M180">
        <v>0</v>
      </c>
      <c r="N180" t="s">
        <v>126</v>
      </c>
      <c r="O180" t="s">
        <v>126</v>
      </c>
      <c r="P180">
        <v>29.417999999999999</v>
      </c>
      <c r="Q180">
        <v>0</v>
      </c>
      <c r="R180">
        <v>0</v>
      </c>
      <c r="S180">
        <v>0</v>
      </c>
      <c r="T180">
        <v>0</v>
      </c>
    </row>
    <row r="181" spans="1:20" x14ac:dyDescent="0.25">
      <c r="A181" s="1">
        <v>46224</v>
      </c>
      <c r="B181" t="s">
        <v>151</v>
      </c>
      <c r="C181" t="s">
        <v>10</v>
      </c>
      <c r="D181">
        <v>3.587616462055093</v>
      </c>
      <c r="E181" t="s">
        <v>166</v>
      </c>
      <c r="F181">
        <v>1</v>
      </c>
      <c r="G181">
        <v>46224</v>
      </c>
      <c r="H181" t="s">
        <v>150</v>
      </c>
      <c r="I181">
        <v>0.34303021571160786</v>
      </c>
      <c r="J181">
        <v>0.34303021571160786</v>
      </c>
      <c r="K181">
        <v>0</v>
      </c>
      <c r="L181">
        <v>0</v>
      </c>
      <c r="M181">
        <v>0</v>
      </c>
      <c r="N181" t="s">
        <v>126</v>
      </c>
      <c r="O181" t="s">
        <v>126</v>
      </c>
      <c r="P181">
        <v>27.57</v>
      </c>
      <c r="Q181">
        <v>59.961681706389051</v>
      </c>
      <c r="R181">
        <v>0</v>
      </c>
      <c r="S181">
        <v>0</v>
      </c>
      <c r="T181">
        <v>59.961681706389051</v>
      </c>
    </row>
    <row r="182" spans="1:20" x14ac:dyDescent="0.25">
      <c r="A182" s="1">
        <v>46225</v>
      </c>
      <c r="B182" t="s">
        <v>151</v>
      </c>
      <c r="C182" t="s">
        <v>10</v>
      </c>
      <c r="D182">
        <v>3.6011567851291222</v>
      </c>
      <c r="E182" t="s">
        <v>161</v>
      </c>
      <c r="G182">
        <v>46225</v>
      </c>
      <c r="H182" t="s">
        <v>150</v>
      </c>
      <c r="I182">
        <v>0.30574872545693377</v>
      </c>
      <c r="J182">
        <v>0.30574872545693377</v>
      </c>
      <c r="K182">
        <v>0</v>
      </c>
      <c r="L182">
        <v>0</v>
      </c>
      <c r="M182">
        <v>0</v>
      </c>
      <c r="N182" t="s">
        <v>127</v>
      </c>
      <c r="O182" t="s">
        <v>127</v>
      </c>
      <c r="P182">
        <v>27.57</v>
      </c>
      <c r="Q182">
        <v>53.444877209872018</v>
      </c>
      <c r="R182">
        <v>0</v>
      </c>
      <c r="S182">
        <v>0</v>
      </c>
      <c r="T182">
        <v>53.444877209872018</v>
      </c>
    </row>
    <row r="183" spans="1:20" x14ac:dyDescent="0.25">
      <c r="A183" s="1">
        <v>46225</v>
      </c>
      <c r="B183" t="s">
        <v>151</v>
      </c>
      <c r="C183" t="s">
        <v>11</v>
      </c>
      <c r="D183">
        <v>0</v>
      </c>
      <c r="E183" t="s">
        <v>161</v>
      </c>
      <c r="G183">
        <v>46225</v>
      </c>
      <c r="H183" t="s">
        <v>150</v>
      </c>
      <c r="I183">
        <v>0</v>
      </c>
      <c r="J183">
        <v>0</v>
      </c>
      <c r="K183">
        <v>0</v>
      </c>
      <c r="L183">
        <v>0</v>
      </c>
      <c r="M183">
        <v>0</v>
      </c>
      <c r="N183" t="s">
        <v>127</v>
      </c>
      <c r="O183" t="s">
        <v>127</v>
      </c>
      <c r="P183">
        <v>29.417999999999999</v>
      </c>
      <c r="Q183">
        <v>0</v>
      </c>
      <c r="R183">
        <v>0</v>
      </c>
      <c r="S183">
        <v>0</v>
      </c>
      <c r="T183">
        <v>0</v>
      </c>
    </row>
    <row r="184" spans="1:20" x14ac:dyDescent="0.25">
      <c r="A184" s="1">
        <v>46225</v>
      </c>
      <c r="B184" t="s">
        <v>151</v>
      </c>
      <c r="C184" t="s">
        <v>12</v>
      </c>
      <c r="D184">
        <v>3.1774912809962848</v>
      </c>
      <c r="E184" t="s">
        <v>161</v>
      </c>
      <c r="G184">
        <v>46225</v>
      </c>
      <c r="H184" t="s">
        <v>150</v>
      </c>
      <c r="I184">
        <v>0.4581371224492754</v>
      </c>
      <c r="J184">
        <v>0.4581371224492754</v>
      </c>
      <c r="K184">
        <v>0</v>
      </c>
      <c r="L184">
        <v>0</v>
      </c>
      <c r="M184">
        <v>0</v>
      </c>
      <c r="N184" t="s">
        <v>127</v>
      </c>
      <c r="O184" t="s">
        <v>127</v>
      </c>
      <c r="P184">
        <v>28.36</v>
      </c>
      <c r="Q184">
        <v>80.082369004133326</v>
      </c>
      <c r="R184">
        <v>0</v>
      </c>
      <c r="S184">
        <v>0</v>
      </c>
      <c r="T184">
        <v>80.082369004133326</v>
      </c>
    </row>
    <row r="185" spans="1:20" x14ac:dyDescent="0.25">
      <c r="A185" s="1">
        <v>46225</v>
      </c>
      <c r="B185" t="s">
        <v>151</v>
      </c>
      <c r="C185" t="s">
        <v>10</v>
      </c>
      <c r="D185">
        <v>3.587616462055093</v>
      </c>
      <c r="E185" t="s">
        <v>166</v>
      </c>
      <c r="F185">
        <v>1</v>
      </c>
      <c r="G185">
        <v>46225</v>
      </c>
      <c r="H185" t="s">
        <v>150</v>
      </c>
      <c r="I185">
        <v>0.50147779644096357</v>
      </c>
      <c r="J185">
        <v>0.50147779644096357</v>
      </c>
      <c r="K185">
        <v>0</v>
      </c>
      <c r="L185">
        <v>0</v>
      </c>
      <c r="M185">
        <v>0</v>
      </c>
      <c r="N185" t="s">
        <v>127</v>
      </c>
      <c r="O185" t="s">
        <v>127</v>
      </c>
      <c r="P185">
        <v>27.57</v>
      </c>
      <c r="Q185">
        <v>87.658318817880428</v>
      </c>
      <c r="R185">
        <v>0</v>
      </c>
      <c r="S185">
        <v>0</v>
      </c>
      <c r="T185">
        <v>87.658318817880428</v>
      </c>
    </row>
    <row r="186" spans="1:20" x14ac:dyDescent="0.25">
      <c r="A186" s="1">
        <v>46225</v>
      </c>
      <c r="B186" t="s">
        <v>151</v>
      </c>
      <c r="C186" t="s">
        <v>11</v>
      </c>
      <c r="D186">
        <v>0</v>
      </c>
      <c r="E186" t="s">
        <v>166</v>
      </c>
      <c r="F186">
        <v>1</v>
      </c>
      <c r="G186">
        <v>46225</v>
      </c>
      <c r="H186" t="s">
        <v>150</v>
      </c>
      <c r="I186">
        <v>0</v>
      </c>
      <c r="J186">
        <v>0</v>
      </c>
      <c r="K186">
        <v>0</v>
      </c>
      <c r="L186">
        <v>0</v>
      </c>
      <c r="M186">
        <v>0</v>
      </c>
      <c r="N186" t="s">
        <v>127</v>
      </c>
      <c r="O186" t="s">
        <v>127</v>
      </c>
      <c r="P186">
        <v>29.417999999999999</v>
      </c>
      <c r="Q186">
        <v>0</v>
      </c>
      <c r="R186">
        <v>0</v>
      </c>
      <c r="S186">
        <v>0</v>
      </c>
      <c r="T186">
        <v>0</v>
      </c>
    </row>
    <row r="187" spans="1:20" x14ac:dyDescent="0.25">
      <c r="A187" s="1">
        <v>46225</v>
      </c>
      <c r="B187" t="s">
        <v>151</v>
      </c>
      <c r="C187" t="s">
        <v>12</v>
      </c>
      <c r="D187">
        <v>3.1779578349000128</v>
      </c>
      <c r="E187" t="s">
        <v>166</v>
      </c>
      <c r="F187">
        <v>1</v>
      </c>
      <c r="G187">
        <v>46225</v>
      </c>
      <c r="H187" t="s">
        <v>150</v>
      </c>
      <c r="I187">
        <v>0.45792305429545088</v>
      </c>
      <c r="J187">
        <v>0.45792305429545088</v>
      </c>
      <c r="K187">
        <v>0</v>
      </c>
      <c r="L187">
        <v>0</v>
      </c>
      <c r="M187">
        <v>0.32795783490001323</v>
      </c>
      <c r="N187" t="s">
        <v>127</v>
      </c>
      <c r="O187" t="s">
        <v>127</v>
      </c>
      <c r="P187">
        <v>28.36</v>
      </c>
      <c r="Q187">
        <v>80.044949890844805</v>
      </c>
      <c r="R187">
        <v>0</v>
      </c>
      <c r="S187">
        <v>0</v>
      </c>
      <c r="T187">
        <v>80.044949890844805</v>
      </c>
    </row>
    <row r="188" spans="1:20" x14ac:dyDescent="0.25">
      <c r="A188" s="1">
        <v>46226</v>
      </c>
      <c r="B188" t="s">
        <v>151</v>
      </c>
      <c r="C188" t="s">
        <v>11</v>
      </c>
      <c r="D188">
        <v>0</v>
      </c>
      <c r="E188" t="s">
        <v>161</v>
      </c>
      <c r="G188">
        <v>46226</v>
      </c>
      <c r="H188" t="s">
        <v>150</v>
      </c>
      <c r="I188">
        <v>0</v>
      </c>
      <c r="J188">
        <v>0</v>
      </c>
      <c r="K188">
        <v>0</v>
      </c>
      <c r="L188">
        <v>0</v>
      </c>
      <c r="M188">
        <v>0</v>
      </c>
      <c r="N188" t="s">
        <v>128</v>
      </c>
      <c r="O188" t="s">
        <v>128</v>
      </c>
      <c r="P188">
        <v>29.417999999999999</v>
      </c>
      <c r="Q188">
        <v>0</v>
      </c>
      <c r="R188">
        <v>0</v>
      </c>
      <c r="S188">
        <v>0</v>
      </c>
      <c r="T188">
        <v>0</v>
      </c>
    </row>
    <row r="189" spans="1:20" x14ac:dyDescent="0.25">
      <c r="A189" s="1">
        <v>46226</v>
      </c>
      <c r="B189" t="s">
        <v>151</v>
      </c>
      <c r="C189" t="s">
        <v>12</v>
      </c>
      <c r="D189">
        <v>3.1774912809962856</v>
      </c>
      <c r="E189" t="s">
        <v>161</v>
      </c>
      <c r="G189">
        <v>46226</v>
      </c>
      <c r="H189" t="s">
        <v>150</v>
      </c>
      <c r="I189">
        <v>0.45813712244927518</v>
      </c>
      <c r="J189">
        <v>0.45813712244927518</v>
      </c>
      <c r="K189">
        <v>0</v>
      </c>
      <c r="L189">
        <v>0</v>
      </c>
      <c r="M189">
        <v>0</v>
      </c>
      <c r="N189" t="s">
        <v>128</v>
      </c>
      <c r="O189" t="s">
        <v>128</v>
      </c>
      <c r="P189">
        <v>28.36</v>
      </c>
      <c r="Q189">
        <v>80.082369004133298</v>
      </c>
      <c r="R189">
        <v>0</v>
      </c>
      <c r="S189">
        <v>0</v>
      </c>
      <c r="T189">
        <v>80.082369004133298</v>
      </c>
    </row>
    <row r="190" spans="1:20" x14ac:dyDescent="0.25">
      <c r="A190" s="1">
        <v>46226</v>
      </c>
      <c r="B190" t="s">
        <v>151</v>
      </c>
      <c r="C190" t="s">
        <v>10</v>
      </c>
      <c r="D190">
        <v>3.6011567851291222</v>
      </c>
      <c r="E190" t="s">
        <v>161</v>
      </c>
      <c r="G190">
        <v>46226</v>
      </c>
      <c r="H190" t="s">
        <v>150</v>
      </c>
      <c r="I190">
        <v>0.30574872545693399</v>
      </c>
      <c r="J190">
        <v>0.30574872545693399</v>
      </c>
      <c r="K190">
        <v>0</v>
      </c>
      <c r="L190">
        <v>0</v>
      </c>
      <c r="M190">
        <v>2.651156785129122</v>
      </c>
      <c r="N190" t="s">
        <v>128</v>
      </c>
      <c r="O190" t="s">
        <v>128</v>
      </c>
      <c r="P190">
        <v>27.57</v>
      </c>
      <c r="Q190">
        <v>53.444877209872061</v>
      </c>
      <c r="R190">
        <v>0</v>
      </c>
      <c r="S190">
        <v>0</v>
      </c>
      <c r="T190">
        <v>53.444877209872061</v>
      </c>
    </row>
    <row r="191" spans="1:20" x14ac:dyDescent="0.25">
      <c r="A191" s="1">
        <v>46226</v>
      </c>
      <c r="B191" t="s">
        <v>151</v>
      </c>
      <c r="C191" t="s">
        <v>11</v>
      </c>
      <c r="D191">
        <v>0</v>
      </c>
      <c r="E191" t="s">
        <v>166</v>
      </c>
      <c r="F191">
        <v>1</v>
      </c>
      <c r="G191">
        <v>46226</v>
      </c>
      <c r="H191" t="s">
        <v>150</v>
      </c>
      <c r="I191">
        <v>0</v>
      </c>
      <c r="J191">
        <v>0</v>
      </c>
      <c r="K191">
        <v>0</v>
      </c>
      <c r="L191">
        <v>0</v>
      </c>
      <c r="M191">
        <v>0</v>
      </c>
      <c r="N191" t="s">
        <v>128</v>
      </c>
      <c r="O191" t="s">
        <v>128</v>
      </c>
      <c r="P191">
        <v>29.417999999999999</v>
      </c>
      <c r="Q191">
        <v>0</v>
      </c>
      <c r="R191">
        <v>0</v>
      </c>
      <c r="S191">
        <v>0</v>
      </c>
      <c r="T191">
        <v>0</v>
      </c>
    </row>
    <row r="192" spans="1:20" x14ac:dyDescent="0.25">
      <c r="A192" s="1">
        <v>46226</v>
      </c>
      <c r="B192" t="s">
        <v>151</v>
      </c>
      <c r="C192" t="s">
        <v>12</v>
      </c>
      <c r="D192">
        <v>3.1779578349000133</v>
      </c>
      <c r="E192" t="s">
        <v>166</v>
      </c>
      <c r="F192">
        <v>1</v>
      </c>
      <c r="G192">
        <v>46226</v>
      </c>
      <c r="H192" t="s">
        <v>150</v>
      </c>
      <c r="I192">
        <v>0.45792305429545066</v>
      </c>
      <c r="J192">
        <v>0.45792305429545066</v>
      </c>
      <c r="K192">
        <v>0</v>
      </c>
      <c r="L192">
        <v>0</v>
      </c>
      <c r="M192">
        <v>0.32795783490001362</v>
      </c>
      <c r="N192" t="s">
        <v>128</v>
      </c>
      <c r="O192" t="s">
        <v>128</v>
      </c>
      <c r="P192">
        <v>28.36</v>
      </c>
      <c r="Q192">
        <v>80.044949890844777</v>
      </c>
      <c r="R192">
        <v>0</v>
      </c>
      <c r="S192">
        <v>0</v>
      </c>
      <c r="T192">
        <v>80.044949890844777</v>
      </c>
    </row>
    <row r="193" spans="1:20" x14ac:dyDescent="0.25">
      <c r="A193" s="1">
        <v>46226</v>
      </c>
      <c r="B193" t="s">
        <v>151</v>
      </c>
      <c r="C193" t="s">
        <v>10</v>
      </c>
      <c r="D193">
        <v>3.5876164620550925</v>
      </c>
      <c r="E193" t="s">
        <v>166</v>
      </c>
      <c r="F193">
        <v>1</v>
      </c>
      <c r="G193">
        <v>46226</v>
      </c>
      <c r="H193" t="s">
        <v>150</v>
      </c>
      <c r="I193">
        <v>0.5014777964409638</v>
      </c>
      <c r="J193">
        <v>0.5014777964409638</v>
      </c>
      <c r="K193">
        <v>0</v>
      </c>
      <c r="L193">
        <v>0</v>
      </c>
      <c r="M193">
        <v>0</v>
      </c>
      <c r="N193" t="s">
        <v>128</v>
      </c>
      <c r="O193" t="s">
        <v>128</v>
      </c>
      <c r="P193">
        <v>27.57</v>
      </c>
      <c r="Q193">
        <v>87.65831881788047</v>
      </c>
      <c r="R193">
        <v>0</v>
      </c>
      <c r="S193">
        <v>0</v>
      </c>
      <c r="T193">
        <v>87.65831881788047</v>
      </c>
    </row>
    <row r="194" spans="1:20" x14ac:dyDescent="0.25">
      <c r="A194" s="1">
        <v>46227</v>
      </c>
      <c r="B194" t="s">
        <v>151</v>
      </c>
      <c r="C194" t="s">
        <v>10</v>
      </c>
      <c r="D194">
        <v>3.6011567851291222</v>
      </c>
      <c r="E194" t="s">
        <v>161</v>
      </c>
      <c r="G194">
        <v>46227</v>
      </c>
      <c r="H194" t="s">
        <v>150</v>
      </c>
      <c r="I194">
        <v>0.30574872545693421</v>
      </c>
      <c r="J194">
        <v>0.30574872545693421</v>
      </c>
      <c r="K194">
        <v>0</v>
      </c>
      <c r="L194">
        <v>0</v>
      </c>
      <c r="M194">
        <v>2.651156785129122</v>
      </c>
      <c r="N194" t="s">
        <v>129</v>
      </c>
      <c r="O194" t="s">
        <v>129</v>
      </c>
      <c r="P194">
        <v>27.57</v>
      </c>
      <c r="Q194">
        <v>53.444877209872097</v>
      </c>
      <c r="R194">
        <v>0</v>
      </c>
      <c r="S194">
        <v>0</v>
      </c>
      <c r="T194">
        <v>53.444877209872097</v>
      </c>
    </row>
    <row r="195" spans="1:20" x14ac:dyDescent="0.25">
      <c r="A195" s="1">
        <v>46227</v>
      </c>
      <c r="B195" t="s">
        <v>151</v>
      </c>
      <c r="C195" t="s">
        <v>11</v>
      </c>
      <c r="D195">
        <v>0</v>
      </c>
      <c r="E195" t="s">
        <v>161</v>
      </c>
      <c r="G195">
        <v>46227</v>
      </c>
      <c r="H195" t="s">
        <v>150</v>
      </c>
      <c r="I195">
        <v>0</v>
      </c>
      <c r="J195">
        <v>0</v>
      </c>
      <c r="K195">
        <v>0</v>
      </c>
      <c r="L195">
        <v>0</v>
      </c>
      <c r="M195">
        <v>0</v>
      </c>
      <c r="N195" t="s">
        <v>129</v>
      </c>
      <c r="O195" t="s">
        <v>129</v>
      </c>
      <c r="P195">
        <v>29.417999999999999</v>
      </c>
      <c r="Q195">
        <v>0</v>
      </c>
      <c r="R195">
        <v>0</v>
      </c>
      <c r="S195">
        <v>0</v>
      </c>
      <c r="T195">
        <v>0</v>
      </c>
    </row>
    <row r="196" spans="1:20" x14ac:dyDescent="0.25">
      <c r="A196" s="1">
        <v>46227</v>
      </c>
      <c r="B196" t="s">
        <v>151</v>
      </c>
      <c r="C196" t="s">
        <v>12</v>
      </c>
      <c r="D196">
        <v>3.1774912809962848</v>
      </c>
      <c r="E196" t="s">
        <v>161</v>
      </c>
      <c r="G196">
        <v>46227</v>
      </c>
      <c r="H196" t="s">
        <v>150</v>
      </c>
      <c r="I196">
        <v>0</v>
      </c>
      <c r="J196">
        <v>0</v>
      </c>
      <c r="K196">
        <v>0.30897917026964111</v>
      </c>
      <c r="L196">
        <v>0.30897917026964111</v>
      </c>
      <c r="M196">
        <v>2.8685121107266438</v>
      </c>
      <c r="N196" t="s">
        <v>129</v>
      </c>
      <c r="O196" t="s">
        <v>129</v>
      </c>
      <c r="P196">
        <v>28.36</v>
      </c>
      <c r="Q196">
        <v>0</v>
      </c>
      <c r="R196">
        <v>66.596134443237375</v>
      </c>
      <c r="S196">
        <v>0</v>
      </c>
      <c r="T196">
        <v>66.596134443237375</v>
      </c>
    </row>
    <row r="197" spans="1:20" x14ac:dyDescent="0.25">
      <c r="A197" s="1">
        <v>46227</v>
      </c>
      <c r="B197" t="s">
        <v>151</v>
      </c>
      <c r="C197" t="s">
        <v>10</v>
      </c>
      <c r="D197">
        <v>3.5876164620550925</v>
      </c>
      <c r="E197" t="s">
        <v>166</v>
      </c>
      <c r="F197">
        <v>1</v>
      </c>
      <c r="G197">
        <v>46227</v>
      </c>
      <c r="H197" t="s">
        <v>150</v>
      </c>
      <c r="I197">
        <v>0.50147779644096402</v>
      </c>
      <c r="J197">
        <v>0.50147779644096402</v>
      </c>
      <c r="K197">
        <v>0</v>
      </c>
      <c r="L197">
        <v>0</v>
      </c>
      <c r="M197">
        <v>0</v>
      </c>
      <c r="N197" t="s">
        <v>129</v>
      </c>
      <c r="O197" t="s">
        <v>129</v>
      </c>
      <c r="P197">
        <v>27.57</v>
      </c>
      <c r="Q197">
        <v>87.658318817880499</v>
      </c>
      <c r="R197">
        <v>0</v>
      </c>
      <c r="S197">
        <v>0</v>
      </c>
      <c r="T197">
        <v>87.658318817880499</v>
      </c>
    </row>
    <row r="198" spans="1:20" x14ac:dyDescent="0.25">
      <c r="A198" s="1">
        <v>46227</v>
      </c>
      <c r="B198" t="s">
        <v>151</v>
      </c>
      <c r="C198" t="s">
        <v>11</v>
      </c>
      <c r="D198">
        <v>0</v>
      </c>
      <c r="E198" t="s">
        <v>166</v>
      </c>
      <c r="F198">
        <v>1</v>
      </c>
      <c r="G198">
        <v>46227</v>
      </c>
      <c r="H198" t="s">
        <v>150</v>
      </c>
      <c r="I198">
        <v>0</v>
      </c>
      <c r="J198">
        <v>0</v>
      </c>
      <c r="K198">
        <v>0</v>
      </c>
      <c r="L198">
        <v>0</v>
      </c>
      <c r="M198">
        <v>0</v>
      </c>
      <c r="N198" t="s">
        <v>129</v>
      </c>
      <c r="O198" t="s">
        <v>129</v>
      </c>
      <c r="P198">
        <v>29.417999999999999</v>
      </c>
      <c r="Q198">
        <v>0</v>
      </c>
      <c r="R198">
        <v>0</v>
      </c>
      <c r="S198">
        <v>0</v>
      </c>
      <c r="T198">
        <v>0</v>
      </c>
    </row>
    <row r="199" spans="1:20" x14ac:dyDescent="0.25">
      <c r="A199" s="1">
        <v>46227</v>
      </c>
      <c r="B199" t="s">
        <v>151</v>
      </c>
      <c r="C199" t="s">
        <v>12</v>
      </c>
      <c r="D199">
        <v>3.1779578349000128</v>
      </c>
      <c r="E199" t="s">
        <v>166</v>
      </c>
      <c r="F199">
        <v>1</v>
      </c>
      <c r="G199">
        <v>46227</v>
      </c>
      <c r="H199" t="s">
        <v>150</v>
      </c>
      <c r="I199">
        <v>0</v>
      </c>
      <c r="J199">
        <v>0</v>
      </c>
      <c r="K199">
        <v>0.30944572417336891</v>
      </c>
      <c r="L199">
        <v>0.30944572417336891</v>
      </c>
      <c r="M199">
        <v>1.8512110726644337E-2</v>
      </c>
      <c r="N199" t="s">
        <v>129</v>
      </c>
      <c r="O199" t="s">
        <v>129</v>
      </c>
      <c r="P199">
        <v>28.36</v>
      </c>
      <c r="Q199">
        <v>0</v>
      </c>
      <c r="R199">
        <v>66.696693605431236</v>
      </c>
      <c r="S199">
        <v>0</v>
      </c>
      <c r="T199">
        <v>66.696693605431236</v>
      </c>
    </row>
    <row r="200" spans="1:20" x14ac:dyDescent="0.25">
      <c r="A200" s="1">
        <v>46228</v>
      </c>
      <c r="B200" t="s">
        <v>151</v>
      </c>
      <c r="C200" t="s">
        <v>12</v>
      </c>
      <c r="D200">
        <v>3.1774912809962856</v>
      </c>
      <c r="E200" t="s">
        <v>161</v>
      </c>
      <c r="G200">
        <v>46228</v>
      </c>
      <c r="H200" t="s">
        <v>150</v>
      </c>
      <c r="I200">
        <v>0.44180250195880522</v>
      </c>
      <c r="J200">
        <v>0.44180250195880522</v>
      </c>
      <c r="K200">
        <v>0</v>
      </c>
      <c r="L200">
        <v>0</v>
      </c>
      <c r="M200">
        <v>0</v>
      </c>
      <c r="N200" t="s">
        <v>119</v>
      </c>
      <c r="O200" t="s">
        <v>119</v>
      </c>
      <c r="P200">
        <v>33.160000000000011</v>
      </c>
      <c r="Q200">
        <v>77.227077342399156</v>
      </c>
      <c r="R200">
        <v>0</v>
      </c>
      <c r="S200">
        <v>0</v>
      </c>
      <c r="T200">
        <v>77.227077342399156</v>
      </c>
    </row>
    <row r="201" spans="1:20" x14ac:dyDescent="0.25">
      <c r="A201" s="1">
        <v>46228</v>
      </c>
      <c r="B201" t="s">
        <v>151</v>
      </c>
      <c r="C201" t="s">
        <v>10</v>
      </c>
      <c r="D201">
        <v>3.6011567851291222</v>
      </c>
      <c r="E201" t="s">
        <v>161</v>
      </c>
      <c r="G201">
        <v>46228</v>
      </c>
      <c r="H201" t="s">
        <v>150</v>
      </c>
      <c r="I201">
        <v>6.0729418099885857E-2</v>
      </c>
      <c r="J201">
        <v>6.0729418099885857E-2</v>
      </c>
      <c r="K201">
        <v>0</v>
      </c>
      <c r="L201">
        <v>0</v>
      </c>
      <c r="M201">
        <v>0</v>
      </c>
      <c r="N201" t="s">
        <v>119</v>
      </c>
      <c r="O201" t="s">
        <v>119</v>
      </c>
      <c r="P201">
        <v>37.600000000000009</v>
      </c>
      <c r="Q201">
        <v>10.615502283860048</v>
      </c>
      <c r="R201">
        <v>0</v>
      </c>
      <c r="S201">
        <v>0</v>
      </c>
      <c r="T201">
        <v>10.615502283860048</v>
      </c>
    </row>
    <row r="202" spans="1:20" x14ac:dyDescent="0.25">
      <c r="A202" s="1">
        <v>46228</v>
      </c>
      <c r="B202" t="s">
        <v>151</v>
      </c>
      <c r="C202" t="s">
        <v>11</v>
      </c>
      <c r="D202">
        <v>0</v>
      </c>
      <c r="E202" t="s">
        <v>161</v>
      </c>
      <c r="G202">
        <v>46228</v>
      </c>
      <c r="H202" t="s">
        <v>150</v>
      </c>
      <c r="I202">
        <v>0</v>
      </c>
      <c r="J202">
        <v>0</v>
      </c>
      <c r="K202">
        <v>0</v>
      </c>
      <c r="L202">
        <v>0</v>
      </c>
      <c r="M202">
        <v>0</v>
      </c>
      <c r="N202" t="s">
        <v>119</v>
      </c>
      <c r="O202" t="s">
        <v>119</v>
      </c>
      <c r="P202">
        <v>32.272000000000013</v>
      </c>
      <c r="Q202">
        <v>0</v>
      </c>
      <c r="R202">
        <v>0</v>
      </c>
      <c r="S202">
        <v>0</v>
      </c>
      <c r="T202">
        <v>0</v>
      </c>
    </row>
    <row r="203" spans="1:20" x14ac:dyDescent="0.25">
      <c r="A203" s="1">
        <v>46228</v>
      </c>
      <c r="B203" t="s">
        <v>151</v>
      </c>
      <c r="C203" t="s">
        <v>12</v>
      </c>
      <c r="D203">
        <v>3.1779578349000133</v>
      </c>
      <c r="E203" t="s">
        <v>166</v>
      </c>
      <c r="F203">
        <v>1</v>
      </c>
      <c r="G203">
        <v>46228</v>
      </c>
      <c r="H203" t="s">
        <v>150</v>
      </c>
      <c r="I203">
        <v>0.4415908318798929</v>
      </c>
      <c r="J203">
        <v>0.4415908318798929</v>
      </c>
      <c r="K203">
        <v>0</v>
      </c>
      <c r="L203">
        <v>0</v>
      </c>
      <c r="M203">
        <v>0.32795783490001362</v>
      </c>
      <c r="N203" t="s">
        <v>119</v>
      </c>
      <c r="O203" t="s">
        <v>119</v>
      </c>
      <c r="P203">
        <v>33.160000000000011</v>
      </c>
      <c r="Q203">
        <v>77.190077412605277</v>
      </c>
      <c r="R203">
        <v>0</v>
      </c>
      <c r="S203">
        <v>0</v>
      </c>
      <c r="T203">
        <v>77.190077412605277</v>
      </c>
    </row>
    <row r="204" spans="1:20" x14ac:dyDescent="0.25">
      <c r="A204" s="1">
        <v>46228</v>
      </c>
      <c r="B204" t="s">
        <v>151</v>
      </c>
      <c r="C204" t="s">
        <v>10</v>
      </c>
      <c r="D204">
        <v>3.587616462055093</v>
      </c>
      <c r="E204" t="s">
        <v>166</v>
      </c>
      <c r="F204">
        <v>1</v>
      </c>
      <c r="G204">
        <v>46228</v>
      </c>
      <c r="H204" t="s">
        <v>150</v>
      </c>
      <c r="I204">
        <v>6.47328056322789E-2</v>
      </c>
      <c r="J204">
        <v>6.47328056322789E-2</v>
      </c>
      <c r="K204">
        <v>0</v>
      </c>
      <c r="L204">
        <v>0</v>
      </c>
      <c r="M204">
        <v>0</v>
      </c>
      <c r="N204" t="s">
        <v>119</v>
      </c>
      <c r="O204" t="s">
        <v>119</v>
      </c>
      <c r="P204">
        <v>37.600000000000009</v>
      </c>
      <c r="Q204">
        <v>11.315294424522351</v>
      </c>
      <c r="R204">
        <v>0</v>
      </c>
      <c r="S204">
        <v>0</v>
      </c>
      <c r="T204">
        <v>11.315294424522351</v>
      </c>
    </row>
    <row r="205" spans="1:20" x14ac:dyDescent="0.25">
      <c r="A205" s="1">
        <v>46228</v>
      </c>
      <c r="B205" t="s">
        <v>151</v>
      </c>
      <c r="C205" t="s">
        <v>11</v>
      </c>
      <c r="D205">
        <v>0</v>
      </c>
      <c r="E205" t="s">
        <v>166</v>
      </c>
      <c r="F205">
        <v>1</v>
      </c>
      <c r="G205">
        <v>46228</v>
      </c>
      <c r="H205" t="s">
        <v>150</v>
      </c>
      <c r="I205">
        <v>0</v>
      </c>
      <c r="J205">
        <v>0</v>
      </c>
      <c r="K205">
        <v>0</v>
      </c>
      <c r="L205">
        <v>0</v>
      </c>
      <c r="M205">
        <v>0</v>
      </c>
      <c r="N205" t="s">
        <v>119</v>
      </c>
      <c r="O205" t="s">
        <v>119</v>
      </c>
      <c r="P205">
        <v>32.272000000000013</v>
      </c>
      <c r="Q205">
        <v>0</v>
      </c>
      <c r="R205">
        <v>0</v>
      </c>
      <c r="S205">
        <v>0</v>
      </c>
      <c r="T205">
        <v>0</v>
      </c>
    </row>
    <row r="206" spans="1:20" x14ac:dyDescent="0.25">
      <c r="A206" s="1">
        <v>46229</v>
      </c>
      <c r="B206" t="s">
        <v>151</v>
      </c>
      <c r="C206" t="s">
        <v>10</v>
      </c>
      <c r="D206">
        <v>3.6011567851291222</v>
      </c>
      <c r="E206" t="s">
        <v>161</v>
      </c>
      <c r="G206">
        <v>46229</v>
      </c>
      <c r="H206" t="s">
        <v>150</v>
      </c>
      <c r="I206">
        <v>0.32208334594740373</v>
      </c>
      <c r="J206">
        <v>0.32208334594740373</v>
      </c>
      <c r="K206">
        <v>0</v>
      </c>
      <c r="L206">
        <v>0</v>
      </c>
      <c r="M206">
        <v>2.651156785129122</v>
      </c>
      <c r="N206" t="s">
        <v>120</v>
      </c>
      <c r="O206" t="s">
        <v>120</v>
      </c>
      <c r="P206">
        <v>42.790000000000006</v>
      </c>
      <c r="Q206">
        <v>56.300168871606175</v>
      </c>
      <c r="R206">
        <v>0</v>
      </c>
      <c r="S206">
        <v>0</v>
      </c>
      <c r="T206">
        <v>56.300168871606175</v>
      </c>
    </row>
    <row r="207" spans="1:20" x14ac:dyDescent="0.25">
      <c r="A207" s="1">
        <v>46229</v>
      </c>
      <c r="B207" t="s">
        <v>151</v>
      </c>
      <c r="C207" t="s">
        <v>11</v>
      </c>
      <c r="D207">
        <v>0</v>
      </c>
      <c r="E207" t="s">
        <v>161</v>
      </c>
      <c r="G207">
        <v>46229</v>
      </c>
      <c r="H207" t="s">
        <v>150</v>
      </c>
      <c r="I207">
        <v>0</v>
      </c>
      <c r="J207">
        <v>0</v>
      </c>
      <c r="K207">
        <v>0</v>
      </c>
      <c r="L207">
        <v>0</v>
      </c>
      <c r="M207">
        <v>0</v>
      </c>
      <c r="N207" t="s">
        <v>120</v>
      </c>
      <c r="O207" t="s">
        <v>120</v>
      </c>
      <c r="P207">
        <v>36.574000000000012</v>
      </c>
      <c r="Q207">
        <v>0</v>
      </c>
      <c r="R207">
        <v>0</v>
      </c>
      <c r="S207">
        <v>0</v>
      </c>
      <c r="T207">
        <v>0</v>
      </c>
    </row>
    <row r="208" spans="1:20" x14ac:dyDescent="0.25">
      <c r="A208" s="1">
        <v>46229</v>
      </c>
      <c r="B208" t="s">
        <v>151</v>
      </c>
      <c r="C208" t="s">
        <v>12</v>
      </c>
      <c r="D208">
        <v>3.1774912809962848</v>
      </c>
      <c r="E208" t="s">
        <v>161</v>
      </c>
      <c r="G208">
        <v>46229</v>
      </c>
      <c r="H208" t="s">
        <v>150</v>
      </c>
      <c r="I208">
        <v>0.45922609714863993</v>
      </c>
      <c r="J208">
        <v>0.45922609714863993</v>
      </c>
      <c r="K208">
        <v>0</v>
      </c>
      <c r="L208">
        <v>0</v>
      </c>
      <c r="M208">
        <v>0</v>
      </c>
      <c r="N208" t="s">
        <v>120</v>
      </c>
      <c r="O208" t="s">
        <v>120</v>
      </c>
      <c r="P208">
        <v>37.610000000000007</v>
      </c>
      <c r="Q208">
        <v>80.272721781582248</v>
      </c>
      <c r="R208">
        <v>0</v>
      </c>
      <c r="S208">
        <v>0</v>
      </c>
      <c r="T208">
        <v>80.272721781582248</v>
      </c>
    </row>
    <row r="209" spans="1:20" x14ac:dyDescent="0.25">
      <c r="A209" s="1">
        <v>46229</v>
      </c>
      <c r="B209" t="s">
        <v>151</v>
      </c>
      <c r="C209" t="s">
        <v>10</v>
      </c>
      <c r="D209">
        <v>3.587616462055093</v>
      </c>
      <c r="E209" t="s">
        <v>166</v>
      </c>
      <c r="F209">
        <v>1</v>
      </c>
      <c r="G209">
        <v>46229</v>
      </c>
      <c r="H209" t="s">
        <v>150</v>
      </c>
      <c r="I209">
        <v>0.32707313117786474</v>
      </c>
      <c r="J209">
        <v>0.32707313117786474</v>
      </c>
      <c r="K209">
        <v>0</v>
      </c>
      <c r="L209">
        <v>0</v>
      </c>
      <c r="M209">
        <v>0</v>
      </c>
      <c r="N209" t="s">
        <v>120</v>
      </c>
      <c r="O209" t="s">
        <v>120</v>
      </c>
      <c r="P209">
        <v>42.790000000000006</v>
      </c>
      <c r="Q209">
        <v>57.172383329890756</v>
      </c>
      <c r="R209">
        <v>0</v>
      </c>
      <c r="S209">
        <v>0</v>
      </c>
      <c r="T209">
        <v>57.172383329890756</v>
      </c>
    </row>
    <row r="210" spans="1:20" x14ac:dyDescent="0.25">
      <c r="A210" s="1">
        <v>46229</v>
      </c>
      <c r="B210" t="s">
        <v>151</v>
      </c>
      <c r="C210" t="s">
        <v>11</v>
      </c>
      <c r="D210">
        <v>0</v>
      </c>
      <c r="E210" t="s">
        <v>166</v>
      </c>
      <c r="F210">
        <v>1</v>
      </c>
      <c r="G210">
        <v>46229</v>
      </c>
      <c r="H210" t="s">
        <v>150</v>
      </c>
      <c r="I210">
        <v>0</v>
      </c>
      <c r="J210">
        <v>0</v>
      </c>
      <c r="K210">
        <v>0</v>
      </c>
      <c r="L210">
        <v>0</v>
      </c>
      <c r="M210">
        <v>0</v>
      </c>
      <c r="N210" t="s">
        <v>120</v>
      </c>
      <c r="O210" t="s">
        <v>120</v>
      </c>
      <c r="P210">
        <v>36.574000000000012</v>
      </c>
      <c r="Q210">
        <v>0</v>
      </c>
      <c r="R210">
        <v>0</v>
      </c>
      <c r="S210">
        <v>0</v>
      </c>
      <c r="T210">
        <v>0</v>
      </c>
    </row>
    <row r="211" spans="1:20" x14ac:dyDescent="0.25">
      <c r="A211" s="1">
        <v>46229</v>
      </c>
      <c r="B211" t="s">
        <v>151</v>
      </c>
      <c r="C211" t="s">
        <v>12</v>
      </c>
      <c r="D211">
        <v>3.1779578349000128</v>
      </c>
      <c r="E211" t="s">
        <v>166</v>
      </c>
      <c r="F211">
        <v>1</v>
      </c>
      <c r="G211">
        <v>46229</v>
      </c>
      <c r="H211" t="s">
        <v>150</v>
      </c>
      <c r="I211">
        <v>0.45901186912315439</v>
      </c>
      <c r="J211">
        <v>0.45901186912315439</v>
      </c>
      <c r="K211">
        <v>0</v>
      </c>
      <c r="L211">
        <v>0</v>
      </c>
      <c r="M211">
        <v>0.32795783490001323</v>
      </c>
      <c r="N211" t="s">
        <v>120</v>
      </c>
      <c r="O211" t="s">
        <v>120</v>
      </c>
      <c r="P211">
        <v>37.610000000000007</v>
      </c>
      <c r="Q211">
        <v>80.235274722727382</v>
      </c>
      <c r="R211">
        <v>0</v>
      </c>
      <c r="S211">
        <v>0</v>
      </c>
      <c r="T211">
        <v>80.235274722727382</v>
      </c>
    </row>
    <row r="212" spans="1:20" x14ac:dyDescent="0.25">
      <c r="A212" s="1">
        <v>46230</v>
      </c>
      <c r="B212" t="s">
        <v>151</v>
      </c>
      <c r="C212" t="s">
        <v>10</v>
      </c>
      <c r="D212">
        <v>3.6011567851291222</v>
      </c>
      <c r="E212" t="s">
        <v>161</v>
      </c>
      <c r="G212">
        <v>46230</v>
      </c>
      <c r="H212" t="s">
        <v>150</v>
      </c>
      <c r="I212">
        <v>0.30676963923758915</v>
      </c>
      <c r="J212">
        <v>0.30676963923758915</v>
      </c>
      <c r="K212">
        <v>0</v>
      </c>
      <c r="L212">
        <v>0</v>
      </c>
      <c r="M212">
        <v>0</v>
      </c>
      <c r="N212" t="s">
        <v>125</v>
      </c>
      <c r="O212" t="s">
        <v>125</v>
      </c>
      <c r="P212">
        <v>27.57</v>
      </c>
      <c r="Q212">
        <v>53.623332938730584</v>
      </c>
      <c r="R212">
        <v>0</v>
      </c>
      <c r="S212">
        <v>0</v>
      </c>
      <c r="T212">
        <v>53.623332938730584</v>
      </c>
    </row>
    <row r="213" spans="1:20" x14ac:dyDescent="0.25">
      <c r="A213" s="1">
        <v>46230</v>
      </c>
      <c r="B213" t="s">
        <v>151</v>
      </c>
      <c r="C213" t="s">
        <v>12</v>
      </c>
      <c r="D213">
        <v>3.1774912809962848</v>
      </c>
      <c r="E213" t="s">
        <v>161</v>
      </c>
      <c r="G213">
        <v>46230</v>
      </c>
      <c r="H213" t="s">
        <v>150</v>
      </c>
      <c r="I213">
        <v>0.1978721693011225</v>
      </c>
      <c r="J213">
        <v>0.1978721693011225</v>
      </c>
      <c r="K213">
        <v>0</v>
      </c>
      <c r="L213">
        <v>0</v>
      </c>
      <c r="M213">
        <v>0</v>
      </c>
      <c r="N213" t="s">
        <v>125</v>
      </c>
      <c r="O213" t="s">
        <v>125</v>
      </c>
      <c r="P213">
        <v>28.36</v>
      </c>
      <c r="Q213">
        <v>34.588055193836212</v>
      </c>
      <c r="R213">
        <v>0</v>
      </c>
      <c r="S213">
        <v>0</v>
      </c>
      <c r="T213">
        <v>34.588055193836212</v>
      </c>
    </row>
    <row r="214" spans="1:20" x14ac:dyDescent="0.25">
      <c r="A214" s="1">
        <v>46230</v>
      </c>
      <c r="B214" t="s">
        <v>151</v>
      </c>
      <c r="C214" t="s">
        <v>11</v>
      </c>
      <c r="D214">
        <v>0</v>
      </c>
      <c r="E214" t="s">
        <v>161</v>
      </c>
      <c r="G214">
        <v>46230</v>
      </c>
      <c r="H214" t="s">
        <v>150</v>
      </c>
      <c r="I214">
        <v>0</v>
      </c>
      <c r="J214">
        <v>0</v>
      </c>
      <c r="K214">
        <v>0</v>
      </c>
      <c r="L214">
        <v>0</v>
      </c>
      <c r="M214">
        <v>0</v>
      </c>
      <c r="N214" t="s">
        <v>125</v>
      </c>
      <c r="O214" t="s">
        <v>125</v>
      </c>
      <c r="P214">
        <v>29.417999999999999</v>
      </c>
      <c r="Q214">
        <v>0</v>
      </c>
      <c r="R214">
        <v>0</v>
      </c>
      <c r="S214">
        <v>0</v>
      </c>
      <c r="T214">
        <v>0</v>
      </c>
    </row>
    <row r="215" spans="1:20" x14ac:dyDescent="0.25">
      <c r="A215" s="1">
        <v>46230</v>
      </c>
      <c r="B215" t="s">
        <v>151</v>
      </c>
      <c r="C215" t="s">
        <v>10</v>
      </c>
      <c r="D215">
        <v>3.5876164620550921</v>
      </c>
      <c r="E215" t="s">
        <v>166</v>
      </c>
      <c r="F215">
        <v>1</v>
      </c>
      <c r="G215">
        <v>46230</v>
      </c>
      <c r="H215" t="s">
        <v>150</v>
      </c>
      <c r="I215">
        <v>0.31170162772792942</v>
      </c>
      <c r="J215">
        <v>0.31170162772792942</v>
      </c>
      <c r="K215">
        <v>0</v>
      </c>
      <c r="L215">
        <v>0</v>
      </c>
      <c r="M215">
        <v>0</v>
      </c>
      <c r="N215" t="s">
        <v>125</v>
      </c>
      <c r="O215" t="s">
        <v>125</v>
      </c>
      <c r="P215">
        <v>27.57</v>
      </c>
      <c r="Q215">
        <v>54.485444526842059</v>
      </c>
      <c r="R215">
        <v>0</v>
      </c>
      <c r="S215">
        <v>0</v>
      </c>
      <c r="T215">
        <v>54.485444526842059</v>
      </c>
    </row>
    <row r="216" spans="1:20" x14ac:dyDescent="0.25">
      <c r="A216" s="1">
        <v>46230</v>
      </c>
      <c r="B216" t="s">
        <v>151</v>
      </c>
      <c r="C216" t="s">
        <v>12</v>
      </c>
      <c r="D216">
        <v>3.1779578349000128</v>
      </c>
      <c r="E216" t="s">
        <v>166</v>
      </c>
      <c r="F216">
        <v>1</v>
      </c>
      <c r="G216">
        <v>46230</v>
      </c>
      <c r="H216" t="s">
        <v>150</v>
      </c>
      <c r="I216">
        <v>0.19769631047423153</v>
      </c>
      <c r="J216">
        <v>0.19769631047423153</v>
      </c>
      <c r="K216">
        <v>0</v>
      </c>
      <c r="L216">
        <v>0</v>
      </c>
      <c r="M216">
        <v>0</v>
      </c>
      <c r="N216" t="s">
        <v>125</v>
      </c>
      <c r="O216" t="s">
        <v>125</v>
      </c>
      <c r="P216">
        <v>28.36</v>
      </c>
      <c r="Q216">
        <v>34.557315070895669</v>
      </c>
      <c r="R216">
        <v>0</v>
      </c>
      <c r="S216">
        <v>0</v>
      </c>
      <c r="T216">
        <v>34.557315070895669</v>
      </c>
    </row>
    <row r="217" spans="1:20" x14ac:dyDescent="0.25">
      <c r="A217" s="1">
        <v>46230</v>
      </c>
      <c r="B217" t="s">
        <v>151</v>
      </c>
      <c r="C217" t="s">
        <v>11</v>
      </c>
      <c r="D217">
        <v>0</v>
      </c>
      <c r="E217" t="s">
        <v>166</v>
      </c>
      <c r="F217">
        <v>1</v>
      </c>
      <c r="G217">
        <v>46230</v>
      </c>
      <c r="H217" t="s">
        <v>150</v>
      </c>
      <c r="I217">
        <v>0</v>
      </c>
      <c r="J217">
        <v>0</v>
      </c>
      <c r="K217">
        <v>0</v>
      </c>
      <c r="L217">
        <v>0</v>
      </c>
      <c r="M217">
        <v>0</v>
      </c>
      <c r="N217" t="s">
        <v>125</v>
      </c>
      <c r="O217" t="s">
        <v>125</v>
      </c>
      <c r="P217">
        <v>29.417999999999999</v>
      </c>
      <c r="Q217">
        <v>0</v>
      </c>
      <c r="R217">
        <v>0</v>
      </c>
      <c r="S217">
        <v>0</v>
      </c>
      <c r="T217">
        <v>0</v>
      </c>
    </row>
    <row r="218" spans="1:20" x14ac:dyDescent="0.25">
      <c r="A218" s="1">
        <v>46231</v>
      </c>
      <c r="B218" t="s">
        <v>151</v>
      </c>
      <c r="C218" t="s">
        <v>12</v>
      </c>
      <c r="D218">
        <v>3.1774912809962848</v>
      </c>
      <c r="E218" t="s">
        <v>161</v>
      </c>
      <c r="G218">
        <v>46231</v>
      </c>
      <c r="H218" t="s">
        <v>150</v>
      </c>
      <c r="I218">
        <v>0.47556071763911034</v>
      </c>
      <c r="J218">
        <v>0.47556071763911034</v>
      </c>
      <c r="K218">
        <v>0</v>
      </c>
      <c r="L218">
        <v>0</v>
      </c>
      <c r="M218">
        <v>0</v>
      </c>
      <c r="N218" t="s">
        <v>126</v>
      </c>
      <c r="O218" t="s">
        <v>126</v>
      </c>
      <c r="P218">
        <v>28.36</v>
      </c>
      <c r="Q218">
        <v>83.128013443316476</v>
      </c>
      <c r="R218">
        <v>0</v>
      </c>
      <c r="S218">
        <v>0</v>
      </c>
      <c r="T218">
        <v>83.128013443316476</v>
      </c>
    </row>
    <row r="219" spans="1:20" x14ac:dyDescent="0.25">
      <c r="A219" s="1">
        <v>46231</v>
      </c>
      <c r="B219" t="s">
        <v>151</v>
      </c>
      <c r="C219" t="s">
        <v>10</v>
      </c>
      <c r="D219">
        <v>3.6011567851291222</v>
      </c>
      <c r="E219" t="s">
        <v>161</v>
      </c>
      <c r="G219">
        <v>46231</v>
      </c>
      <c r="H219" t="s">
        <v>150</v>
      </c>
      <c r="I219">
        <v>0.30676963923758782</v>
      </c>
      <c r="J219">
        <v>0.30676963923758782</v>
      </c>
      <c r="K219">
        <v>0</v>
      </c>
      <c r="L219">
        <v>0</v>
      </c>
      <c r="M219">
        <v>0</v>
      </c>
      <c r="N219" t="s">
        <v>126</v>
      </c>
      <c r="O219" t="s">
        <v>126</v>
      </c>
      <c r="P219">
        <v>27.57</v>
      </c>
      <c r="Q219">
        <v>53.623332938730343</v>
      </c>
      <c r="R219">
        <v>0</v>
      </c>
      <c r="S219">
        <v>0</v>
      </c>
      <c r="T219">
        <v>53.623332938730343</v>
      </c>
    </row>
    <row r="220" spans="1:20" x14ac:dyDescent="0.25">
      <c r="A220" s="1">
        <v>46231</v>
      </c>
      <c r="B220" t="s">
        <v>151</v>
      </c>
      <c r="C220" t="s">
        <v>11</v>
      </c>
      <c r="D220">
        <v>0</v>
      </c>
      <c r="E220" t="s">
        <v>161</v>
      </c>
      <c r="G220">
        <v>46231</v>
      </c>
      <c r="H220" t="s">
        <v>150</v>
      </c>
      <c r="I220">
        <v>0</v>
      </c>
      <c r="J220">
        <v>0</v>
      </c>
      <c r="K220">
        <v>0</v>
      </c>
      <c r="L220">
        <v>0</v>
      </c>
      <c r="M220">
        <v>0</v>
      </c>
      <c r="N220" t="s">
        <v>126</v>
      </c>
      <c r="O220" t="s">
        <v>126</v>
      </c>
      <c r="P220">
        <v>29.417999999999999</v>
      </c>
      <c r="Q220">
        <v>0</v>
      </c>
      <c r="R220">
        <v>0</v>
      </c>
      <c r="S220">
        <v>0</v>
      </c>
      <c r="T220">
        <v>0</v>
      </c>
    </row>
    <row r="221" spans="1:20" x14ac:dyDescent="0.25">
      <c r="A221" s="1">
        <v>46231</v>
      </c>
      <c r="B221" t="s">
        <v>151</v>
      </c>
      <c r="C221" t="s">
        <v>12</v>
      </c>
      <c r="D221">
        <v>3.1779578349000128</v>
      </c>
      <c r="E221" t="s">
        <v>166</v>
      </c>
      <c r="F221">
        <v>1</v>
      </c>
      <c r="G221">
        <v>46231</v>
      </c>
      <c r="H221" t="s">
        <v>150</v>
      </c>
      <c r="I221">
        <v>0.4753440915387126</v>
      </c>
      <c r="J221">
        <v>0.4753440915387126</v>
      </c>
      <c r="K221">
        <v>0</v>
      </c>
      <c r="L221">
        <v>0</v>
      </c>
      <c r="M221">
        <v>0.32795783490001323</v>
      </c>
      <c r="N221" t="s">
        <v>126</v>
      </c>
      <c r="O221" t="s">
        <v>126</v>
      </c>
      <c r="P221">
        <v>28.36</v>
      </c>
      <c r="Q221">
        <v>83.090147200966953</v>
      </c>
      <c r="R221">
        <v>0</v>
      </c>
      <c r="S221">
        <v>0</v>
      </c>
      <c r="T221">
        <v>83.090147200966953</v>
      </c>
    </row>
    <row r="222" spans="1:20" x14ac:dyDescent="0.25">
      <c r="A222" s="1">
        <v>46231</v>
      </c>
      <c r="B222" t="s">
        <v>151</v>
      </c>
      <c r="C222" t="s">
        <v>10</v>
      </c>
      <c r="D222">
        <v>3.5876164620550925</v>
      </c>
      <c r="E222" t="s">
        <v>166</v>
      </c>
      <c r="F222">
        <v>1</v>
      </c>
      <c r="G222">
        <v>46231</v>
      </c>
      <c r="H222" t="s">
        <v>150</v>
      </c>
      <c r="I222">
        <v>0.31170162772792787</v>
      </c>
      <c r="J222">
        <v>0.31170162772792787</v>
      </c>
      <c r="K222">
        <v>0</v>
      </c>
      <c r="L222">
        <v>0</v>
      </c>
      <c r="M222">
        <v>0</v>
      </c>
      <c r="N222" t="s">
        <v>126</v>
      </c>
      <c r="O222" t="s">
        <v>126</v>
      </c>
      <c r="P222">
        <v>27.57</v>
      </c>
      <c r="Q222">
        <v>54.485444526841789</v>
      </c>
      <c r="R222">
        <v>0</v>
      </c>
      <c r="S222">
        <v>0</v>
      </c>
      <c r="T222">
        <v>54.485444526841789</v>
      </c>
    </row>
    <row r="223" spans="1:20" x14ac:dyDescent="0.25">
      <c r="A223" s="1">
        <v>46231</v>
      </c>
      <c r="B223" t="s">
        <v>151</v>
      </c>
      <c r="C223" t="s">
        <v>11</v>
      </c>
      <c r="D223">
        <v>0</v>
      </c>
      <c r="E223" t="s">
        <v>166</v>
      </c>
      <c r="F223">
        <v>1</v>
      </c>
      <c r="G223">
        <v>46231</v>
      </c>
      <c r="H223" t="s">
        <v>150</v>
      </c>
      <c r="I223">
        <v>0</v>
      </c>
      <c r="J223">
        <v>0</v>
      </c>
      <c r="K223">
        <v>0</v>
      </c>
      <c r="L223">
        <v>0</v>
      </c>
      <c r="M223">
        <v>0</v>
      </c>
      <c r="N223" t="s">
        <v>126</v>
      </c>
      <c r="O223" t="s">
        <v>126</v>
      </c>
      <c r="P223">
        <v>29.417999999999999</v>
      </c>
      <c r="Q223">
        <v>0</v>
      </c>
      <c r="R223">
        <v>0</v>
      </c>
      <c r="S223">
        <v>0</v>
      </c>
      <c r="T223">
        <v>0</v>
      </c>
    </row>
    <row r="224" spans="1:20" x14ac:dyDescent="0.25">
      <c r="A224" s="1">
        <v>46232</v>
      </c>
      <c r="B224" t="s">
        <v>151</v>
      </c>
      <c r="C224" t="s">
        <v>12</v>
      </c>
      <c r="D224">
        <v>3.1774912809962848</v>
      </c>
      <c r="E224" t="s">
        <v>161</v>
      </c>
      <c r="G224">
        <v>46232</v>
      </c>
      <c r="H224" t="s">
        <v>150</v>
      </c>
      <c r="I224">
        <v>0.4581371224492754</v>
      </c>
      <c r="J224">
        <v>0.4581371224492754</v>
      </c>
      <c r="K224">
        <v>0</v>
      </c>
      <c r="L224">
        <v>0</v>
      </c>
      <c r="M224">
        <v>0</v>
      </c>
      <c r="N224" t="s">
        <v>127</v>
      </c>
      <c r="O224" t="s">
        <v>127</v>
      </c>
      <c r="P224">
        <v>28.36</v>
      </c>
      <c r="Q224">
        <v>80.082369004133326</v>
      </c>
      <c r="R224">
        <v>0</v>
      </c>
      <c r="S224">
        <v>0</v>
      </c>
      <c r="T224">
        <v>80.082369004133326</v>
      </c>
    </row>
    <row r="225" spans="1:20" x14ac:dyDescent="0.25">
      <c r="A225" s="1">
        <v>46232</v>
      </c>
      <c r="B225" t="s">
        <v>151</v>
      </c>
      <c r="C225" t="s">
        <v>11</v>
      </c>
      <c r="D225">
        <v>0</v>
      </c>
      <c r="E225" t="s">
        <v>161</v>
      </c>
      <c r="G225">
        <v>46232</v>
      </c>
      <c r="H225" t="s">
        <v>150</v>
      </c>
      <c r="I225">
        <v>0</v>
      </c>
      <c r="J225">
        <v>0</v>
      </c>
      <c r="K225">
        <v>0</v>
      </c>
      <c r="L225">
        <v>0</v>
      </c>
      <c r="M225">
        <v>0</v>
      </c>
      <c r="N225" t="s">
        <v>127</v>
      </c>
      <c r="O225" t="s">
        <v>127</v>
      </c>
      <c r="P225">
        <v>29.417999999999999</v>
      </c>
      <c r="Q225">
        <v>0</v>
      </c>
      <c r="R225">
        <v>0</v>
      </c>
      <c r="S225">
        <v>0</v>
      </c>
      <c r="T225">
        <v>0</v>
      </c>
    </row>
    <row r="226" spans="1:20" x14ac:dyDescent="0.25">
      <c r="A226" s="1">
        <v>46232</v>
      </c>
      <c r="B226" t="s">
        <v>151</v>
      </c>
      <c r="C226" t="s">
        <v>10</v>
      </c>
      <c r="D226">
        <v>3.6011567851291235</v>
      </c>
      <c r="E226" t="s">
        <v>161</v>
      </c>
      <c r="G226">
        <v>46232</v>
      </c>
      <c r="H226" t="s">
        <v>150</v>
      </c>
      <c r="I226">
        <v>0.30574872545693266</v>
      </c>
      <c r="J226">
        <v>0.30574872545693266</v>
      </c>
      <c r="K226">
        <v>0</v>
      </c>
      <c r="L226">
        <v>0</v>
      </c>
      <c r="M226">
        <v>0</v>
      </c>
      <c r="N226" t="s">
        <v>127</v>
      </c>
      <c r="O226" t="s">
        <v>127</v>
      </c>
      <c r="P226">
        <v>27.57</v>
      </c>
      <c r="Q226">
        <v>53.444877209871819</v>
      </c>
      <c r="R226">
        <v>0</v>
      </c>
      <c r="S226">
        <v>0</v>
      </c>
      <c r="T226">
        <v>53.444877209871819</v>
      </c>
    </row>
    <row r="227" spans="1:20" x14ac:dyDescent="0.25">
      <c r="A227" s="1">
        <v>46232</v>
      </c>
      <c r="B227" t="s">
        <v>151</v>
      </c>
      <c r="C227" t="s">
        <v>12</v>
      </c>
      <c r="D227">
        <v>3.1779578349000128</v>
      </c>
      <c r="E227" t="s">
        <v>166</v>
      </c>
      <c r="F227">
        <v>1</v>
      </c>
      <c r="G227">
        <v>46232</v>
      </c>
      <c r="H227" t="s">
        <v>150</v>
      </c>
      <c r="I227">
        <v>0.45792305429545088</v>
      </c>
      <c r="J227">
        <v>0.45792305429545088</v>
      </c>
      <c r="K227">
        <v>0</v>
      </c>
      <c r="L227">
        <v>0</v>
      </c>
      <c r="M227">
        <v>0.32795783490001323</v>
      </c>
      <c r="N227" t="s">
        <v>127</v>
      </c>
      <c r="O227" t="s">
        <v>127</v>
      </c>
      <c r="P227">
        <v>28.36</v>
      </c>
      <c r="Q227">
        <v>80.044949890844805</v>
      </c>
      <c r="R227">
        <v>0</v>
      </c>
      <c r="S227">
        <v>0</v>
      </c>
      <c r="T227">
        <v>80.044949890844805</v>
      </c>
    </row>
    <row r="228" spans="1:20" x14ac:dyDescent="0.25">
      <c r="A228" s="1">
        <v>46232</v>
      </c>
      <c r="B228" t="s">
        <v>151</v>
      </c>
      <c r="C228" t="s">
        <v>11</v>
      </c>
      <c r="D228">
        <v>0</v>
      </c>
      <c r="E228" t="s">
        <v>166</v>
      </c>
      <c r="F228">
        <v>1</v>
      </c>
      <c r="G228">
        <v>46232</v>
      </c>
      <c r="H228" t="s">
        <v>150</v>
      </c>
      <c r="I228">
        <v>0</v>
      </c>
      <c r="J228">
        <v>0</v>
      </c>
      <c r="K228">
        <v>0</v>
      </c>
      <c r="L228">
        <v>0</v>
      </c>
      <c r="M228">
        <v>0</v>
      </c>
      <c r="N228" t="s">
        <v>127</v>
      </c>
      <c r="O228" t="s">
        <v>127</v>
      </c>
      <c r="P228">
        <v>29.417999999999999</v>
      </c>
      <c r="Q228">
        <v>0</v>
      </c>
      <c r="R228">
        <v>0</v>
      </c>
      <c r="S228">
        <v>0</v>
      </c>
      <c r="T228">
        <v>0</v>
      </c>
    </row>
    <row r="229" spans="1:20" x14ac:dyDescent="0.25">
      <c r="A229" s="1">
        <v>46232</v>
      </c>
      <c r="B229" t="s">
        <v>151</v>
      </c>
      <c r="C229" t="s">
        <v>10</v>
      </c>
      <c r="D229">
        <v>3.587616462055093</v>
      </c>
      <c r="E229" t="s">
        <v>166</v>
      </c>
      <c r="F229">
        <v>1</v>
      </c>
      <c r="G229">
        <v>46232</v>
      </c>
      <c r="H229" t="s">
        <v>150</v>
      </c>
      <c r="I229">
        <v>0.50147779644096313</v>
      </c>
      <c r="J229">
        <v>0.50147779644096313</v>
      </c>
      <c r="K229">
        <v>0</v>
      </c>
      <c r="L229">
        <v>0</v>
      </c>
      <c r="M229">
        <v>0</v>
      </c>
      <c r="N229" t="s">
        <v>127</v>
      </c>
      <c r="O229" t="s">
        <v>127</v>
      </c>
      <c r="P229">
        <v>27.57</v>
      </c>
      <c r="Q229">
        <v>87.658318817880357</v>
      </c>
      <c r="R229">
        <v>0</v>
      </c>
      <c r="S229">
        <v>0</v>
      </c>
      <c r="T229">
        <v>87.658318817880357</v>
      </c>
    </row>
    <row r="230" spans="1:20" x14ac:dyDescent="0.25">
      <c r="A230" s="1">
        <v>46233</v>
      </c>
      <c r="B230" t="s">
        <v>151</v>
      </c>
      <c r="C230" t="s">
        <v>12</v>
      </c>
      <c r="D230">
        <v>3.1774912809962848</v>
      </c>
      <c r="E230" t="s">
        <v>161</v>
      </c>
      <c r="G230">
        <v>46233</v>
      </c>
      <c r="H230" t="s">
        <v>150</v>
      </c>
      <c r="I230">
        <v>0.4755607176391099</v>
      </c>
      <c r="J230">
        <v>0.4755607176391099</v>
      </c>
      <c r="K230">
        <v>0</v>
      </c>
      <c r="L230">
        <v>0</v>
      </c>
      <c r="M230">
        <v>0</v>
      </c>
      <c r="N230" t="s">
        <v>128</v>
      </c>
      <c r="O230" t="s">
        <v>128</v>
      </c>
      <c r="P230">
        <v>28.36</v>
      </c>
      <c r="Q230">
        <v>83.128013443316405</v>
      </c>
      <c r="R230">
        <v>0</v>
      </c>
      <c r="S230">
        <v>0</v>
      </c>
      <c r="T230">
        <v>83.128013443316405</v>
      </c>
    </row>
    <row r="231" spans="1:20" x14ac:dyDescent="0.25">
      <c r="A231" s="1">
        <v>46233</v>
      </c>
      <c r="B231" t="s">
        <v>151</v>
      </c>
      <c r="C231" t="s">
        <v>10</v>
      </c>
      <c r="D231">
        <v>3.6011567851291222</v>
      </c>
      <c r="E231" t="s">
        <v>161</v>
      </c>
      <c r="G231">
        <v>46233</v>
      </c>
      <c r="H231" t="s">
        <v>150</v>
      </c>
      <c r="I231">
        <v>0.56710265330445186</v>
      </c>
      <c r="J231">
        <v>0.56710265330445186</v>
      </c>
      <c r="K231">
        <v>0</v>
      </c>
      <c r="L231">
        <v>0</v>
      </c>
      <c r="M231">
        <v>2.651156785129122</v>
      </c>
      <c r="N231" t="s">
        <v>128</v>
      </c>
      <c r="O231" t="s">
        <v>128</v>
      </c>
      <c r="P231">
        <v>27.57</v>
      </c>
      <c r="Q231">
        <v>99.129543797618183</v>
      </c>
      <c r="R231">
        <v>0</v>
      </c>
      <c r="S231">
        <v>0</v>
      </c>
      <c r="T231">
        <v>99.129543797618183</v>
      </c>
    </row>
    <row r="232" spans="1:20" x14ac:dyDescent="0.25">
      <c r="A232" s="1">
        <v>46233</v>
      </c>
      <c r="B232" t="s">
        <v>151</v>
      </c>
      <c r="C232" t="s">
        <v>11</v>
      </c>
      <c r="D232">
        <v>0</v>
      </c>
      <c r="E232" t="s">
        <v>161</v>
      </c>
      <c r="G232">
        <v>46233</v>
      </c>
      <c r="H232" t="s">
        <v>150</v>
      </c>
      <c r="I232">
        <v>0</v>
      </c>
      <c r="J232">
        <v>0</v>
      </c>
      <c r="K232">
        <v>0</v>
      </c>
      <c r="L232">
        <v>0</v>
      </c>
      <c r="M232">
        <v>0</v>
      </c>
      <c r="N232" t="s">
        <v>128</v>
      </c>
      <c r="O232" t="s">
        <v>128</v>
      </c>
      <c r="P232">
        <v>29.417999999999999</v>
      </c>
      <c r="Q232">
        <v>0</v>
      </c>
      <c r="R232">
        <v>0</v>
      </c>
      <c r="S232">
        <v>0</v>
      </c>
      <c r="T232">
        <v>0</v>
      </c>
    </row>
    <row r="233" spans="1:20" x14ac:dyDescent="0.25">
      <c r="A233" s="1">
        <v>46233</v>
      </c>
      <c r="B233" t="s">
        <v>151</v>
      </c>
      <c r="C233" t="s">
        <v>12</v>
      </c>
      <c r="D233">
        <v>3.1779578349000128</v>
      </c>
      <c r="E233" t="s">
        <v>166</v>
      </c>
      <c r="F233">
        <v>1</v>
      </c>
      <c r="G233">
        <v>46233</v>
      </c>
      <c r="H233" t="s">
        <v>150</v>
      </c>
      <c r="I233">
        <v>0.47534409153871238</v>
      </c>
      <c r="J233">
        <v>0.47534409153871238</v>
      </c>
      <c r="K233">
        <v>0</v>
      </c>
      <c r="L233">
        <v>0</v>
      </c>
      <c r="M233">
        <v>0.32795783490001323</v>
      </c>
      <c r="N233" t="s">
        <v>128</v>
      </c>
      <c r="O233" t="s">
        <v>128</v>
      </c>
      <c r="P233">
        <v>28.36</v>
      </c>
      <c r="Q233">
        <v>83.090147200966925</v>
      </c>
      <c r="R233">
        <v>0</v>
      </c>
      <c r="S233">
        <v>0</v>
      </c>
      <c r="T233">
        <v>83.090147200966925</v>
      </c>
    </row>
    <row r="234" spans="1:20" x14ac:dyDescent="0.25">
      <c r="A234" s="1">
        <v>46233</v>
      </c>
      <c r="B234" t="s">
        <v>151</v>
      </c>
      <c r="C234" t="s">
        <v>10</v>
      </c>
      <c r="D234">
        <v>3.587616462055093</v>
      </c>
      <c r="E234" t="s">
        <v>166</v>
      </c>
      <c r="F234">
        <v>1</v>
      </c>
      <c r="G234">
        <v>46233</v>
      </c>
      <c r="H234" t="s">
        <v>150</v>
      </c>
      <c r="I234">
        <v>0.76381812198654964</v>
      </c>
      <c r="J234">
        <v>0.76381812198654964</v>
      </c>
      <c r="K234">
        <v>0</v>
      </c>
      <c r="L234">
        <v>0</v>
      </c>
      <c r="M234">
        <v>0</v>
      </c>
      <c r="N234" t="s">
        <v>128</v>
      </c>
      <c r="O234" t="s">
        <v>128</v>
      </c>
      <c r="P234">
        <v>27.57</v>
      </c>
      <c r="Q234">
        <v>133.51540772324887</v>
      </c>
      <c r="R234">
        <v>0</v>
      </c>
      <c r="S234">
        <v>0</v>
      </c>
      <c r="T234">
        <v>133.51540772324887</v>
      </c>
    </row>
    <row r="235" spans="1:20" x14ac:dyDescent="0.25">
      <c r="A235" s="1">
        <v>46233</v>
      </c>
      <c r="B235" t="s">
        <v>151</v>
      </c>
      <c r="C235" t="s">
        <v>11</v>
      </c>
      <c r="D235">
        <v>0</v>
      </c>
      <c r="E235" t="s">
        <v>166</v>
      </c>
      <c r="F235">
        <v>1</v>
      </c>
      <c r="G235">
        <v>46233</v>
      </c>
      <c r="H235" t="s">
        <v>150</v>
      </c>
      <c r="I235">
        <v>0</v>
      </c>
      <c r="J235">
        <v>0</v>
      </c>
      <c r="K235">
        <v>0</v>
      </c>
      <c r="L235">
        <v>0</v>
      </c>
      <c r="M235">
        <v>0</v>
      </c>
      <c r="N235" t="s">
        <v>128</v>
      </c>
      <c r="O235" t="s">
        <v>128</v>
      </c>
      <c r="P235">
        <v>29.417999999999999</v>
      </c>
      <c r="Q235">
        <v>0</v>
      </c>
      <c r="R235">
        <v>0</v>
      </c>
      <c r="S235">
        <v>0</v>
      </c>
      <c r="T235">
        <v>0</v>
      </c>
    </row>
    <row r="236" spans="1:20" x14ac:dyDescent="0.25">
      <c r="A236" s="1">
        <v>46234</v>
      </c>
      <c r="B236" t="s">
        <v>151</v>
      </c>
      <c r="C236" t="s">
        <v>10</v>
      </c>
      <c r="D236">
        <v>3.6011567851291235</v>
      </c>
      <c r="E236" t="s">
        <v>161</v>
      </c>
      <c r="G236">
        <v>46234</v>
      </c>
      <c r="H236" t="s">
        <v>150</v>
      </c>
      <c r="I236">
        <v>0.32208334594740307</v>
      </c>
      <c r="J236">
        <v>0.32208334594740307</v>
      </c>
      <c r="K236">
        <v>0</v>
      </c>
      <c r="L236">
        <v>0</v>
      </c>
      <c r="M236">
        <v>2.6511567851291238</v>
      </c>
      <c r="N236" t="s">
        <v>129</v>
      </c>
      <c r="O236" t="s">
        <v>129</v>
      </c>
      <c r="P236">
        <v>27.57</v>
      </c>
      <c r="Q236">
        <v>56.300168871606054</v>
      </c>
      <c r="R236">
        <v>0</v>
      </c>
      <c r="S236">
        <v>0</v>
      </c>
      <c r="T236">
        <v>56.300168871606054</v>
      </c>
    </row>
    <row r="237" spans="1:20" x14ac:dyDescent="0.25">
      <c r="A237" s="1">
        <v>46234</v>
      </c>
      <c r="B237" t="s">
        <v>151</v>
      </c>
      <c r="C237" t="s">
        <v>11</v>
      </c>
      <c r="D237">
        <v>0</v>
      </c>
      <c r="E237" t="s">
        <v>161</v>
      </c>
      <c r="G237">
        <v>46234</v>
      </c>
      <c r="H237" t="s">
        <v>150</v>
      </c>
      <c r="I237">
        <v>0</v>
      </c>
      <c r="J237">
        <v>0</v>
      </c>
      <c r="K237">
        <v>0</v>
      </c>
      <c r="L237">
        <v>0</v>
      </c>
      <c r="M237">
        <v>0</v>
      </c>
      <c r="N237" t="s">
        <v>129</v>
      </c>
      <c r="O237" t="s">
        <v>129</v>
      </c>
      <c r="P237">
        <v>29.417999999999999</v>
      </c>
      <c r="Q237">
        <v>0</v>
      </c>
      <c r="R237">
        <v>0</v>
      </c>
      <c r="S237">
        <v>0</v>
      </c>
      <c r="T237">
        <v>0</v>
      </c>
    </row>
    <row r="238" spans="1:20" x14ac:dyDescent="0.25">
      <c r="A238" s="1">
        <v>46234</v>
      </c>
      <c r="B238" t="s">
        <v>151</v>
      </c>
      <c r="C238" t="s">
        <v>12</v>
      </c>
      <c r="D238">
        <v>3.1774912809962848</v>
      </c>
      <c r="E238" t="s">
        <v>161</v>
      </c>
      <c r="G238">
        <v>46234</v>
      </c>
      <c r="H238" t="s">
        <v>150</v>
      </c>
      <c r="I238">
        <v>0.45922609714864016</v>
      </c>
      <c r="J238">
        <v>0.45922609714864016</v>
      </c>
      <c r="K238">
        <v>0</v>
      </c>
      <c r="L238">
        <v>0</v>
      </c>
      <c r="M238">
        <v>0</v>
      </c>
      <c r="N238" t="s">
        <v>129</v>
      </c>
      <c r="O238" t="s">
        <v>129</v>
      </c>
      <c r="P238">
        <v>28.36</v>
      </c>
      <c r="Q238">
        <v>80.272721781582291</v>
      </c>
      <c r="R238">
        <v>0</v>
      </c>
      <c r="S238">
        <v>0</v>
      </c>
      <c r="T238">
        <v>80.272721781582291</v>
      </c>
    </row>
    <row r="239" spans="1:20" x14ac:dyDescent="0.25">
      <c r="A239" s="1">
        <v>46234</v>
      </c>
      <c r="B239" t="s">
        <v>151</v>
      </c>
      <c r="C239" t="s">
        <v>10</v>
      </c>
      <c r="D239">
        <v>3.587616462055093</v>
      </c>
      <c r="E239" t="s">
        <v>166</v>
      </c>
      <c r="F239">
        <v>1</v>
      </c>
      <c r="G239">
        <v>46234</v>
      </c>
      <c r="H239" t="s">
        <v>150</v>
      </c>
      <c r="I239">
        <v>0.32707313117786452</v>
      </c>
      <c r="J239">
        <v>0.32707313117786452</v>
      </c>
      <c r="K239">
        <v>0</v>
      </c>
      <c r="L239">
        <v>0</v>
      </c>
      <c r="M239">
        <v>0</v>
      </c>
      <c r="N239" t="s">
        <v>129</v>
      </c>
      <c r="O239" t="s">
        <v>129</v>
      </c>
      <c r="P239">
        <v>27.57</v>
      </c>
      <c r="Q239">
        <v>57.172383329890714</v>
      </c>
      <c r="R239">
        <v>0</v>
      </c>
      <c r="S239">
        <v>0</v>
      </c>
      <c r="T239">
        <v>57.172383329890714</v>
      </c>
    </row>
    <row r="240" spans="1:20" x14ac:dyDescent="0.25">
      <c r="A240" s="1">
        <v>46234</v>
      </c>
      <c r="B240" t="s">
        <v>151</v>
      </c>
      <c r="C240" t="s">
        <v>11</v>
      </c>
      <c r="D240">
        <v>0</v>
      </c>
      <c r="E240" t="s">
        <v>166</v>
      </c>
      <c r="F240">
        <v>1</v>
      </c>
      <c r="G240">
        <v>46234</v>
      </c>
      <c r="H240" t="s">
        <v>150</v>
      </c>
      <c r="I240">
        <v>0</v>
      </c>
      <c r="J240">
        <v>0</v>
      </c>
      <c r="K240">
        <v>0</v>
      </c>
      <c r="L240">
        <v>0</v>
      </c>
      <c r="M240">
        <v>0</v>
      </c>
      <c r="N240" t="s">
        <v>129</v>
      </c>
      <c r="O240" t="s">
        <v>129</v>
      </c>
      <c r="P240">
        <v>29.417999999999999</v>
      </c>
      <c r="Q240">
        <v>0</v>
      </c>
      <c r="R240">
        <v>0</v>
      </c>
      <c r="S240">
        <v>0</v>
      </c>
      <c r="T240">
        <v>0</v>
      </c>
    </row>
    <row r="241" spans="1:20" x14ac:dyDescent="0.25">
      <c r="A241" s="1">
        <v>46234</v>
      </c>
      <c r="B241" t="s">
        <v>151</v>
      </c>
      <c r="C241" t="s">
        <v>12</v>
      </c>
      <c r="D241">
        <v>3.1779578349000128</v>
      </c>
      <c r="E241" t="s">
        <v>166</v>
      </c>
      <c r="F241">
        <v>1</v>
      </c>
      <c r="G241">
        <v>46234</v>
      </c>
      <c r="H241" t="s">
        <v>150</v>
      </c>
      <c r="I241">
        <v>0.45901186912315461</v>
      </c>
      <c r="J241">
        <v>0.45901186912315461</v>
      </c>
      <c r="K241">
        <v>0</v>
      </c>
      <c r="L241">
        <v>0</v>
      </c>
      <c r="M241">
        <v>0.32795783490001323</v>
      </c>
      <c r="N241" t="s">
        <v>129</v>
      </c>
      <c r="O241" t="s">
        <v>129</v>
      </c>
      <c r="P241">
        <v>28.36</v>
      </c>
      <c r="Q241">
        <v>80.235274722727425</v>
      </c>
      <c r="R241">
        <v>0</v>
      </c>
      <c r="S241">
        <v>0</v>
      </c>
      <c r="T241">
        <v>80.235274722727425</v>
      </c>
    </row>
    <row r="242" spans="1:20" x14ac:dyDescent="0.25">
      <c r="A242" s="1">
        <v>46235</v>
      </c>
      <c r="B242" t="s">
        <v>151</v>
      </c>
      <c r="C242" t="s">
        <v>12</v>
      </c>
      <c r="D242">
        <v>3.2304494690128904</v>
      </c>
      <c r="E242" t="s">
        <v>161</v>
      </c>
      <c r="G242">
        <v>46235</v>
      </c>
      <c r="H242" t="s">
        <v>150</v>
      </c>
      <c r="I242">
        <v>0.17823492062405455</v>
      </c>
      <c r="J242">
        <v>0.17823492062405455</v>
      </c>
      <c r="K242">
        <v>0</v>
      </c>
      <c r="L242">
        <v>0</v>
      </c>
      <c r="M242">
        <v>0</v>
      </c>
      <c r="N242" t="s">
        <v>119</v>
      </c>
      <c r="O242" t="s">
        <v>119</v>
      </c>
      <c r="P242">
        <v>33.160000000000011</v>
      </c>
      <c r="Q242">
        <v>31.15546412508473</v>
      </c>
      <c r="R242">
        <v>0</v>
      </c>
      <c r="S242">
        <v>0</v>
      </c>
      <c r="T242">
        <v>31.15546412508473</v>
      </c>
    </row>
    <row r="243" spans="1:20" x14ac:dyDescent="0.25">
      <c r="A243" s="1">
        <v>46235</v>
      </c>
      <c r="B243" t="s">
        <v>151</v>
      </c>
      <c r="C243" t="s">
        <v>11</v>
      </c>
      <c r="D243">
        <v>0</v>
      </c>
      <c r="E243" t="s">
        <v>161</v>
      </c>
      <c r="G243">
        <v>46235</v>
      </c>
      <c r="H243" t="s">
        <v>150</v>
      </c>
      <c r="I243">
        <v>0</v>
      </c>
      <c r="J243">
        <v>0</v>
      </c>
      <c r="K243">
        <v>0</v>
      </c>
      <c r="L243">
        <v>0</v>
      </c>
      <c r="M243">
        <v>0</v>
      </c>
      <c r="N243" t="s">
        <v>119</v>
      </c>
      <c r="O243" t="s">
        <v>119</v>
      </c>
      <c r="P243">
        <v>32.272000000000013</v>
      </c>
      <c r="Q243">
        <v>0</v>
      </c>
      <c r="R243">
        <v>0</v>
      </c>
      <c r="S243">
        <v>0</v>
      </c>
      <c r="T243">
        <v>0</v>
      </c>
    </row>
    <row r="244" spans="1:20" x14ac:dyDescent="0.25">
      <c r="A244" s="1">
        <v>46235</v>
      </c>
      <c r="B244" t="s">
        <v>151</v>
      </c>
      <c r="C244" t="s">
        <v>10</v>
      </c>
      <c r="D244">
        <v>3.6011567851291222</v>
      </c>
      <c r="E244" t="s">
        <v>161</v>
      </c>
      <c r="G244">
        <v>46235</v>
      </c>
      <c r="H244" t="s">
        <v>150</v>
      </c>
      <c r="I244">
        <v>0.30676963923758804</v>
      </c>
      <c r="J244">
        <v>0.30676963923758804</v>
      </c>
      <c r="K244">
        <v>0</v>
      </c>
      <c r="L244">
        <v>0</v>
      </c>
      <c r="M244">
        <v>0</v>
      </c>
      <c r="N244" t="s">
        <v>119</v>
      </c>
      <c r="O244" t="s">
        <v>119</v>
      </c>
      <c r="P244">
        <v>37.600000000000009</v>
      </c>
      <c r="Q244">
        <v>53.623332938730385</v>
      </c>
      <c r="R244">
        <v>0</v>
      </c>
      <c r="S244">
        <v>0</v>
      </c>
      <c r="T244">
        <v>53.623332938730385</v>
      </c>
    </row>
    <row r="245" spans="1:20" x14ac:dyDescent="0.25">
      <c r="A245" s="1">
        <v>46235</v>
      </c>
      <c r="B245" t="s">
        <v>151</v>
      </c>
      <c r="C245" t="s">
        <v>12</v>
      </c>
      <c r="D245">
        <v>3.2276134260703255</v>
      </c>
      <c r="E245" t="s">
        <v>166</v>
      </c>
      <c r="F245">
        <v>1</v>
      </c>
      <c r="G245">
        <v>46235</v>
      </c>
      <c r="H245" t="s">
        <v>150</v>
      </c>
      <c r="I245">
        <v>0.17927021339001259</v>
      </c>
      <c r="J245">
        <v>0.17927021339001259</v>
      </c>
      <c r="K245">
        <v>0</v>
      </c>
      <c r="L245">
        <v>0</v>
      </c>
      <c r="M245">
        <v>0.37761342607032572</v>
      </c>
      <c r="N245" t="s">
        <v>119</v>
      </c>
      <c r="O245" t="s">
        <v>119</v>
      </c>
      <c r="P245">
        <v>33.160000000000011</v>
      </c>
      <c r="Q245">
        <v>31.336433300574203</v>
      </c>
      <c r="R245">
        <v>0</v>
      </c>
      <c r="S245">
        <v>0</v>
      </c>
      <c r="T245">
        <v>31.336433300574203</v>
      </c>
    </row>
    <row r="246" spans="1:20" x14ac:dyDescent="0.25">
      <c r="A246" s="1">
        <v>46235</v>
      </c>
      <c r="B246" t="s">
        <v>151</v>
      </c>
      <c r="C246" t="s">
        <v>11</v>
      </c>
      <c r="D246">
        <v>0</v>
      </c>
      <c r="E246" t="s">
        <v>166</v>
      </c>
      <c r="F246">
        <v>1</v>
      </c>
      <c r="G246">
        <v>46235</v>
      </c>
      <c r="H246" t="s">
        <v>150</v>
      </c>
      <c r="I246">
        <v>0</v>
      </c>
      <c r="J246">
        <v>0</v>
      </c>
      <c r="K246">
        <v>0</v>
      </c>
      <c r="L246">
        <v>0</v>
      </c>
      <c r="M246">
        <v>0</v>
      </c>
      <c r="N246" t="s">
        <v>119</v>
      </c>
      <c r="O246" t="s">
        <v>119</v>
      </c>
      <c r="P246">
        <v>32.272000000000013</v>
      </c>
      <c r="Q246">
        <v>0</v>
      </c>
      <c r="R246">
        <v>0</v>
      </c>
      <c r="S246">
        <v>0</v>
      </c>
      <c r="T246">
        <v>0</v>
      </c>
    </row>
    <row r="247" spans="1:20" x14ac:dyDescent="0.25">
      <c r="A247" s="1">
        <v>46235</v>
      </c>
      <c r="B247" t="s">
        <v>151</v>
      </c>
      <c r="C247" t="s">
        <v>10</v>
      </c>
      <c r="D247">
        <v>3.5876164620550925</v>
      </c>
      <c r="E247" t="s">
        <v>166</v>
      </c>
      <c r="F247">
        <v>1</v>
      </c>
      <c r="G247">
        <v>46235</v>
      </c>
      <c r="H247" t="s">
        <v>150</v>
      </c>
      <c r="I247">
        <v>0.50250256333762588</v>
      </c>
      <c r="J247">
        <v>0.50250256333762588</v>
      </c>
      <c r="K247">
        <v>0</v>
      </c>
      <c r="L247">
        <v>0</v>
      </c>
      <c r="M247">
        <v>0</v>
      </c>
      <c r="N247" t="s">
        <v>119</v>
      </c>
      <c r="O247" t="s">
        <v>119</v>
      </c>
      <c r="P247">
        <v>37.600000000000009</v>
      </c>
      <c r="Q247">
        <v>87.837448071417001</v>
      </c>
      <c r="R247">
        <v>0</v>
      </c>
      <c r="S247">
        <v>0</v>
      </c>
      <c r="T247">
        <v>87.837448071417001</v>
      </c>
    </row>
    <row r="248" spans="1:20" x14ac:dyDescent="0.25">
      <c r="A248" s="1">
        <v>46236</v>
      </c>
      <c r="B248" t="s">
        <v>151</v>
      </c>
      <c r="C248" t="s">
        <v>12</v>
      </c>
      <c r="D248">
        <v>3.1774912809962856</v>
      </c>
      <c r="E248" t="s">
        <v>161</v>
      </c>
      <c r="G248">
        <v>46236</v>
      </c>
      <c r="H248" t="s">
        <v>150</v>
      </c>
      <c r="I248">
        <v>0.18153754881065254</v>
      </c>
      <c r="J248">
        <v>0.18153754881065254</v>
      </c>
      <c r="K248">
        <v>0</v>
      </c>
      <c r="L248">
        <v>0</v>
      </c>
      <c r="M248">
        <v>0</v>
      </c>
      <c r="N248" t="s">
        <v>120</v>
      </c>
      <c r="O248" t="s">
        <v>120</v>
      </c>
      <c r="P248">
        <v>37.610000000000007</v>
      </c>
      <c r="Q248">
        <v>31.732763532102062</v>
      </c>
      <c r="R248">
        <v>0</v>
      </c>
      <c r="S248">
        <v>0</v>
      </c>
      <c r="T248">
        <v>31.732763532102062</v>
      </c>
    </row>
    <row r="249" spans="1:20" x14ac:dyDescent="0.25">
      <c r="A249" s="1">
        <v>46236</v>
      </c>
      <c r="B249" t="s">
        <v>151</v>
      </c>
      <c r="C249" t="s">
        <v>10</v>
      </c>
      <c r="D249">
        <v>3.6011567851291222</v>
      </c>
      <c r="E249" t="s">
        <v>161</v>
      </c>
      <c r="G249">
        <v>46236</v>
      </c>
      <c r="H249" t="s">
        <v>150</v>
      </c>
      <c r="I249">
        <v>0.32208334594740351</v>
      </c>
      <c r="J249">
        <v>0.32208334594740351</v>
      </c>
      <c r="K249">
        <v>0</v>
      </c>
      <c r="L249">
        <v>0</v>
      </c>
      <c r="M249">
        <v>2.651156785129122</v>
      </c>
      <c r="N249" t="s">
        <v>120</v>
      </c>
      <c r="O249" t="s">
        <v>120</v>
      </c>
      <c r="P249">
        <v>42.790000000000006</v>
      </c>
      <c r="Q249">
        <v>56.300168871606132</v>
      </c>
      <c r="R249">
        <v>0</v>
      </c>
      <c r="S249">
        <v>0</v>
      </c>
      <c r="T249">
        <v>56.300168871606132</v>
      </c>
    </row>
    <row r="250" spans="1:20" x14ac:dyDescent="0.25">
      <c r="A250" s="1">
        <v>46236</v>
      </c>
      <c r="B250" t="s">
        <v>151</v>
      </c>
      <c r="C250" t="s">
        <v>11</v>
      </c>
      <c r="D250">
        <v>0</v>
      </c>
      <c r="E250" t="s">
        <v>161</v>
      </c>
      <c r="G250">
        <v>46236</v>
      </c>
      <c r="H250" t="s">
        <v>150</v>
      </c>
      <c r="I250">
        <v>0</v>
      </c>
      <c r="J250">
        <v>0</v>
      </c>
      <c r="K250">
        <v>0</v>
      </c>
      <c r="L250">
        <v>0</v>
      </c>
      <c r="M250">
        <v>0</v>
      </c>
      <c r="N250" t="s">
        <v>120</v>
      </c>
      <c r="O250" t="s">
        <v>120</v>
      </c>
      <c r="P250">
        <v>36.574000000000012</v>
      </c>
      <c r="Q250">
        <v>0</v>
      </c>
      <c r="R250">
        <v>0</v>
      </c>
      <c r="S250">
        <v>0</v>
      </c>
      <c r="T250">
        <v>0</v>
      </c>
    </row>
    <row r="251" spans="1:20" x14ac:dyDescent="0.25">
      <c r="A251" s="1">
        <v>46236</v>
      </c>
      <c r="B251" t="s">
        <v>151</v>
      </c>
      <c r="C251" t="s">
        <v>12</v>
      </c>
      <c r="D251">
        <v>3.1779578349000133</v>
      </c>
      <c r="E251" t="s">
        <v>166</v>
      </c>
      <c r="F251">
        <v>1</v>
      </c>
      <c r="G251">
        <v>46236</v>
      </c>
      <c r="H251" t="s">
        <v>150</v>
      </c>
      <c r="I251">
        <v>0.18136408805867377</v>
      </c>
      <c r="J251">
        <v>0.18136408805867377</v>
      </c>
      <c r="K251">
        <v>0</v>
      </c>
      <c r="L251">
        <v>0</v>
      </c>
      <c r="M251">
        <v>0.32795783490001362</v>
      </c>
      <c r="N251" t="s">
        <v>120</v>
      </c>
      <c r="O251" t="s">
        <v>120</v>
      </c>
      <c r="P251">
        <v>37.610000000000007</v>
      </c>
      <c r="Q251">
        <v>31.702442592656176</v>
      </c>
      <c r="R251">
        <v>0</v>
      </c>
      <c r="S251">
        <v>0</v>
      </c>
      <c r="T251">
        <v>31.702442592656176</v>
      </c>
    </row>
    <row r="252" spans="1:20" x14ac:dyDescent="0.25">
      <c r="A252" s="1">
        <v>46236</v>
      </c>
      <c r="B252" t="s">
        <v>151</v>
      </c>
      <c r="C252" t="s">
        <v>10</v>
      </c>
      <c r="D252">
        <v>3.5876164620550925</v>
      </c>
      <c r="E252" t="s">
        <v>166</v>
      </c>
      <c r="F252">
        <v>1</v>
      </c>
      <c r="G252">
        <v>46236</v>
      </c>
      <c r="H252" t="s">
        <v>150</v>
      </c>
      <c r="I252">
        <v>0.51787406678756254</v>
      </c>
      <c r="J252">
        <v>0.51787406678756254</v>
      </c>
      <c r="K252">
        <v>0</v>
      </c>
      <c r="L252">
        <v>0</v>
      </c>
      <c r="M252">
        <v>0</v>
      </c>
      <c r="N252" t="s">
        <v>120</v>
      </c>
      <c r="O252" t="s">
        <v>120</v>
      </c>
      <c r="P252">
        <v>42.790000000000006</v>
      </c>
      <c r="Q252">
        <v>90.524386874465918</v>
      </c>
      <c r="R252">
        <v>0</v>
      </c>
      <c r="S252">
        <v>0</v>
      </c>
      <c r="T252">
        <v>90.524386874465918</v>
      </c>
    </row>
    <row r="253" spans="1:20" x14ac:dyDescent="0.25">
      <c r="A253" s="1">
        <v>46236</v>
      </c>
      <c r="B253" t="s">
        <v>151</v>
      </c>
      <c r="C253" t="s">
        <v>11</v>
      </c>
      <c r="D253">
        <v>0</v>
      </c>
      <c r="E253" t="s">
        <v>166</v>
      </c>
      <c r="F253">
        <v>1</v>
      </c>
      <c r="G253">
        <v>46236</v>
      </c>
      <c r="H253" t="s">
        <v>150</v>
      </c>
      <c r="I253">
        <v>0</v>
      </c>
      <c r="J253">
        <v>0</v>
      </c>
      <c r="K253">
        <v>0</v>
      </c>
      <c r="L253">
        <v>0</v>
      </c>
      <c r="M253">
        <v>0</v>
      </c>
      <c r="N253" t="s">
        <v>120</v>
      </c>
      <c r="O253" t="s">
        <v>120</v>
      </c>
      <c r="P253">
        <v>36.574000000000012</v>
      </c>
      <c r="Q253">
        <v>0</v>
      </c>
      <c r="R253">
        <v>0</v>
      </c>
      <c r="S253">
        <v>0</v>
      </c>
      <c r="T253">
        <v>0</v>
      </c>
    </row>
    <row r="254" spans="1:20" x14ac:dyDescent="0.25">
      <c r="A254" s="1">
        <v>46237</v>
      </c>
      <c r="B254" t="s">
        <v>151</v>
      </c>
      <c r="C254" t="s">
        <v>10</v>
      </c>
      <c r="D254">
        <v>3.6011567851291222</v>
      </c>
      <c r="E254" t="s">
        <v>161</v>
      </c>
      <c r="G254">
        <v>46237</v>
      </c>
      <c r="H254" t="s">
        <v>150</v>
      </c>
      <c r="I254">
        <v>0.30676963923758804</v>
      </c>
      <c r="J254">
        <v>0.30676963923758804</v>
      </c>
      <c r="K254">
        <v>0</v>
      </c>
      <c r="L254">
        <v>0</v>
      </c>
      <c r="M254">
        <v>0</v>
      </c>
      <c r="N254" t="s">
        <v>125</v>
      </c>
      <c r="O254" t="s">
        <v>125</v>
      </c>
      <c r="P254">
        <v>27.57</v>
      </c>
      <c r="Q254">
        <v>53.623332938730385</v>
      </c>
      <c r="R254">
        <v>0</v>
      </c>
      <c r="S254">
        <v>0</v>
      </c>
      <c r="T254">
        <v>53.623332938730385</v>
      </c>
    </row>
    <row r="255" spans="1:20" x14ac:dyDescent="0.25">
      <c r="A255" s="1">
        <v>46237</v>
      </c>
      <c r="B255" t="s">
        <v>151</v>
      </c>
      <c r="C255" t="s">
        <v>12</v>
      </c>
      <c r="D255">
        <v>3.1774912809962848</v>
      </c>
      <c r="E255" t="s">
        <v>161</v>
      </c>
      <c r="G255">
        <v>46237</v>
      </c>
      <c r="H255" t="s">
        <v>150</v>
      </c>
      <c r="I255">
        <v>0.47556071763911034</v>
      </c>
      <c r="J255">
        <v>0.47556071763911034</v>
      </c>
      <c r="K255">
        <v>0</v>
      </c>
      <c r="L255">
        <v>0</v>
      </c>
      <c r="M255">
        <v>0</v>
      </c>
      <c r="N255" t="s">
        <v>125</v>
      </c>
      <c r="O255" t="s">
        <v>125</v>
      </c>
      <c r="P255">
        <v>28.36</v>
      </c>
      <c r="Q255">
        <v>83.128013443316476</v>
      </c>
      <c r="R255">
        <v>0</v>
      </c>
      <c r="S255">
        <v>0</v>
      </c>
      <c r="T255">
        <v>83.128013443316476</v>
      </c>
    </row>
    <row r="256" spans="1:20" x14ac:dyDescent="0.25">
      <c r="A256" s="1">
        <v>46237</v>
      </c>
      <c r="B256" t="s">
        <v>151</v>
      </c>
      <c r="C256" t="s">
        <v>11</v>
      </c>
      <c r="D256">
        <v>0</v>
      </c>
      <c r="E256" t="s">
        <v>161</v>
      </c>
      <c r="G256">
        <v>46237</v>
      </c>
      <c r="H256" t="s">
        <v>150</v>
      </c>
      <c r="I256">
        <v>0</v>
      </c>
      <c r="J256">
        <v>0</v>
      </c>
      <c r="K256">
        <v>0</v>
      </c>
      <c r="L256">
        <v>0</v>
      </c>
      <c r="M256">
        <v>0</v>
      </c>
      <c r="N256" t="s">
        <v>125</v>
      </c>
      <c r="O256" t="s">
        <v>125</v>
      </c>
      <c r="P256">
        <v>29.417999999999999</v>
      </c>
      <c r="Q256">
        <v>0</v>
      </c>
      <c r="R256">
        <v>0</v>
      </c>
      <c r="S256">
        <v>0</v>
      </c>
      <c r="T256">
        <v>0</v>
      </c>
    </row>
    <row r="257" spans="1:20" x14ac:dyDescent="0.25">
      <c r="A257" s="1">
        <v>46237</v>
      </c>
      <c r="B257" t="s">
        <v>151</v>
      </c>
      <c r="C257" t="s">
        <v>10</v>
      </c>
      <c r="D257">
        <v>3.5876164620550925</v>
      </c>
      <c r="E257" t="s">
        <v>166</v>
      </c>
      <c r="F257">
        <v>1</v>
      </c>
      <c r="G257">
        <v>46237</v>
      </c>
      <c r="H257" t="s">
        <v>150</v>
      </c>
      <c r="I257">
        <v>0.50250256333762588</v>
      </c>
      <c r="J257">
        <v>0.50250256333762588</v>
      </c>
      <c r="K257">
        <v>0</v>
      </c>
      <c r="L257">
        <v>0</v>
      </c>
      <c r="M257">
        <v>0</v>
      </c>
      <c r="N257" t="s">
        <v>125</v>
      </c>
      <c r="O257" t="s">
        <v>125</v>
      </c>
      <c r="P257">
        <v>27.57</v>
      </c>
      <c r="Q257">
        <v>87.837448071417001</v>
      </c>
      <c r="R257">
        <v>0</v>
      </c>
      <c r="S257">
        <v>0</v>
      </c>
      <c r="T257">
        <v>87.837448071417001</v>
      </c>
    </row>
    <row r="258" spans="1:20" x14ac:dyDescent="0.25">
      <c r="A258" s="1">
        <v>46237</v>
      </c>
      <c r="B258" t="s">
        <v>151</v>
      </c>
      <c r="C258" t="s">
        <v>12</v>
      </c>
      <c r="D258">
        <v>3.1779578349000128</v>
      </c>
      <c r="E258" t="s">
        <v>166</v>
      </c>
      <c r="F258">
        <v>1</v>
      </c>
      <c r="G258">
        <v>46237</v>
      </c>
      <c r="H258" t="s">
        <v>150</v>
      </c>
      <c r="I258">
        <v>0.4753440915387126</v>
      </c>
      <c r="J258">
        <v>0.4753440915387126</v>
      </c>
      <c r="K258">
        <v>0</v>
      </c>
      <c r="L258">
        <v>0</v>
      </c>
      <c r="M258">
        <v>0.32795783490001323</v>
      </c>
      <c r="N258" t="s">
        <v>125</v>
      </c>
      <c r="O258" t="s">
        <v>125</v>
      </c>
      <c r="P258">
        <v>28.36</v>
      </c>
      <c r="Q258">
        <v>83.090147200966953</v>
      </c>
      <c r="R258">
        <v>0</v>
      </c>
      <c r="S258">
        <v>0</v>
      </c>
      <c r="T258">
        <v>83.090147200966953</v>
      </c>
    </row>
    <row r="259" spans="1:20" x14ac:dyDescent="0.25">
      <c r="A259" s="1">
        <v>46237</v>
      </c>
      <c r="B259" t="s">
        <v>151</v>
      </c>
      <c r="C259" t="s">
        <v>11</v>
      </c>
      <c r="D259">
        <v>0</v>
      </c>
      <c r="E259" t="s">
        <v>166</v>
      </c>
      <c r="F259">
        <v>1</v>
      </c>
      <c r="G259">
        <v>46237</v>
      </c>
      <c r="H259" t="s">
        <v>150</v>
      </c>
      <c r="I259">
        <v>0</v>
      </c>
      <c r="J259">
        <v>0</v>
      </c>
      <c r="K259">
        <v>0</v>
      </c>
      <c r="L259">
        <v>0</v>
      </c>
      <c r="M259">
        <v>0</v>
      </c>
      <c r="N259" t="s">
        <v>125</v>
      </c>
      <c r="O259" t="s">
        <v>125</v>
      </c>
      <c r="P259">
        <v>29.417999999999999</v>
      </c>
      <c r="Q259">
        <v>0</v>
      </c>
      <c r="R259">
        <v>0</v>
      </c>
      <c r="S259">
        <v>0</v>
      </c>
      <c r="T259">
        <v>0</v>
      </c>
    </row>
    <row r="260" spans="1:20" x14ac:dyDescent="0.25">
      <c r="A260" s="1">
        <v>46238</v>
      </c>
      <c r="B260" t="s">
        <v>151</v>
      </c>
      <c r="C260" t="s">
        <v>12</v>
      </c>
      <c r="D260">
        <v>3.2304494690128904</v>
      </c>
      <c r="E260" t="s">
        <v>161</v>
      </c>
      <c r="G260">
        <v>46238</v>
      </c>
      <c r="H260" t="s">
        <v>150</v>
      </c>
      <c r="I260">
        <v>0.43625646687788788</v>
      </c>
      <c r="J260">
        <v>0.43625646687788788</v>
      </c>
      <c r="K260">
        <v>0</v>
      </c>
      <c r="L260">
        <v>0</v>
      </c>
      <c r="M260">
        <v>0</v>
      </c>
      <c r="N260" t="s">
        <v>126</v>
      </c>
      <c r="O260" t="s">
        <v>126</v>
      </c>
      <c r="P260">
        <v>28.36</v>
      </c>
      <c r="Q260">
        <v>76.257630410254805</v>
      </c>
      <c r="R260">
        <v>0</v>
      </c>
      <c r="S260">
        <v>0</v>
      </c>
      <c r="T260">
        <v>76.257630410254805</v>
      </c>
    </row>
    <row r="261" spans="1:20" x14ac:dyDescent="0.25">
      <c r="A261" s="1">
        <v>46238</v>
      </c>
      <c r="B261" t="s">
        <v>151</v>
      </c>
      <c r="C261" t="s">
        <v>11</v>
      </c>
      <c r="D261">
        <v>0</v>
      </c>
      <c r="E261" t="s">
        <v>161</v>
      </c>
      <c r="G261">
        <v>46238</v>
      </c>
      <c r="H261" t="s">
        <v>150</v>
      </c>
      <c r="I261">
        <v>0</v>
      </c>
      <c r="J261">
        <v>0</v>
      </c>
      <c r="K261">
        <v>0</v>
      </c>
      <c r="L261">
        <v>0</v>
      </c>
      <c r="M261">
        <v>0</v>
      </c>
      <c r="N261" t="s">
        <v>126</v>
      </c>
      <c r="O261" t="s">
        <v>126</v>
      </c>
      <c r="P261">
        <v>29.417999999999999</v>
      </c>
      <c r="Q261">
        <v>0</v>
      </c>
      <c r="R261">
        <v>0</v>
      </c>
      <c r="S261">
        <v>0</v>
      </c>
      <c r="T261">
        <v>0</v>
      </c>
    </row>
    <row r="262" spans="1:20" x14ac:dyDescent="0.25">
      <c r="A262" s="1">
        <v>46238</v>
      </c>
      <c r="B262" t="s">
        <v>151</v>
      </c>
      <c r="C262" t="s">
        <v>10</v>
      </c>
      <c r="D262">
        <v>3.6011567851291222</v>
      </c>
      <c r="E262" t="s">
        <v>161</v>
      </c>
      <c r="G262">
        <v>46238</v>
      </c>
      <c r="H262" t="s">
        <v>150</v>
      </c>
      <c r="I262">
        <v>0.33853140130239079</v>
      </c>
      <c r="J262">
        <v>0.33853140130239079</v>
      </c>
      <c r="K262">
        <v>0</v>
      </c>
      <c r="L262">
        <v>0</v>
      </c>
      <c r="M262">
        <v>0</v>
      </c>
      <c r="N262" t="s">
        <v>126</v>
      </c>
      <c r="O262" t="s">
        <v>126</v>
      </c>
      <c r="P262">
        <v>27.57</v>
      </c>
      <c r="Q262">
        <v>59.175288947657904</v>
      </c>
      <c r="R262">
        <v>0</v>
      </c>
      <c r="S262">
        <v>0</v>
      </c>
      <c r="T262">
        <v>59.175288947657904</v>
      </c>
    </row>
    <row r="263" spans="1:20" x14ac:dyDescent="0.25">
      <c r="A263" s="1">
        <v>46238</v>
      </c>
      <c r="B263" t="s">
        <v>151</v>
      </c>
      <c r="C263" t="s">
        <v>12</v>
      </c>
      <c r="D263">
        <v>3.2276134260703255</v>
      </c>
      <c r="E263" t="s">
        <v>166</v>
      </c>
      <c r="F263">
        <v>1</v>
      </c>
      <c r="G263">
        <v>46238</v>
      </c>
      <c r="H263" t="s">
        <v>150</v>
      </c>
      <c r="I263">
        <v>0.43751847830208801</v>
      </c>
      <c r="J263">
        <v>0.43751847830208801</v>
      </c>
      <c r="K263">
        <v>0</v>
      </c>
      <c r="L263">
        <v>0</v>
      </c>
      <c r="M263">
        <v>0.37761342607032572</v>
      </c>
      <c r="N263" t="s">
        <v>126</v>
      </c>
      <c r="O263" t="s">
        <v>126</v>
      </c>
      <c r="P263">
        <v>28.36</v>
      </c>
      <c r="Q263">
        <v>76.478230007204971</v>
      </c>
      <c r="R263">
        <v>0</v>
      </c>
      <c r="S263">
        <v>0</v>
      </c>
      <c r="T263">
        <v>76.478230007204971</v>
      </c>
    </row>
    <row r="264" spans="1:20" x14ac:dyDescent="0.25">
      <c r="A264" s="1">
        <v>46238</v>
      </c>
      <c r="B264" t="s">
        <v>151</v>
      </c>
      <c r="C264" t="s">
        <v>11</v>
      </c>
      <c r="D264">
        <v>0</v>
      </c>
      <c r="E264" t="s">
        <v>166</v>
      </c>
      <c r="F264">
        <v>1</v>
      </c>
      <c r="G264">
        <v>46238</v>
      </c>
      <c r="H264" t="s">
        <v>150</v>
      </c>
      <c r="I264">
        <v>0</v>
      </c>
      <c r="J264">
        <v>0</v>
      </c>
      <c r="K264">
        <v>0</v>
      </c>
      <c r="L264">
        <v>0</v>
      </c>
      <c r="M264">
        <v>0</v>
      </c>
      <c r="N264" t="s">
        <v>126</v>
      </c>
      <c r="O264" t="s">
        <v>126</v>
      </c>
      <c r="P264">
        <v>29.417999999999999</v>
      </c>
      <c r="Q264">
        <v>0</v>
      </c>
      <c r="R264">
        <v>0</v>
      </c>
      <c r="S264">
        <v>0</v>
      </c>
      <c r="T264">
        <v>0</v>
      </c>
    </row>
    <row r="265" spans="1:20" x14ac:dyDescent="0.25">
      <c r="A265" s="1">
        <v>46238</v>
      </c>
      <c r="B265" t="s">
        <v>151</v>
      </c>
      <c r="C265" t="s">
        <v>10</v>
      </c>
      <c r="D265">
        <v>3.5876164620550925</v>
      </c>
      <c r="E265" t="s">
        <v>166</v>
      </c>
      <c r="F265">
        <v>1</v>
      </c>
      <c r="G265">
        <v>46238</v>
      </c>
      <c r="H265" t="s">
        <v>150</v>
      </c>
      <c r="I265">
        <v>0.53438420012267995</v>
      </c>
      <c r="J265">
        <v>0.53438420012267995</v>
      </c>
      <c r="K265">
        <v>0</v>
      </c>
      <c r="L265">
        <v>0</v>
      </c>
      <c r="M265">
        <v>0</v>
      </c>
      <c r="N265" t="s">
        <v>126</v>
      </c>
      <c r="O265" t="s">
        <v>126</v>
      </c>
      <c r="P265">
        <v>27.57</v>
      </c>
      <c r="Q265">
        <v>93.410358181444451</v>
      </c>
      <c r="R265">
        <v>0</v>
      </c>
      <c r="S265">
        <v>0</v>
      </c>
      <c r="T265">
        <v>93.410358181444451</v>
      </c>
    </row>
    <row r="266" spans="1:20" x14ac:dyDescent="0.25">
      <c r="A266" s="1">
        <v>46239</v>
      </c>
      <c r="B266" t="s">
        <v>151</v>
      </c>
      <c r="C266" t="s">
        <v>11</v>
      </c>
      <c r="D266">
        <v>0</v>
      </c>
      <c r="E266" t="s">
        <v>161</v>
      </c>
      <c r="G266">
        <v>46239</v>
      </c>
      <c r="H266" t="s">
        <v>150</v>
      </c>
      <c r="I266">
        <v>0</v>
      </c>
      <c r="J266">
        <v>0</v>
      </c>
      <c r="K266">
        <v>0</v>
      </c>
      <c r="L266">
        <v>0</v>
      </c>
      <c r="M266">
        <v>0</v>
      </c>
      <c r="N266" t="s">
        <v>127</v>
      </c>
      <c r="O266" t="s">
        <v>127</v>
      </c>
      <c r="P266">
        <v>29.417999999999999</v>
      </c>
      <c r="Q266">
        <v>0</v>
      </c>
      <c r="R266">
        <v>0</v>
      </c>
      <c r="S266">
        <v>0</v>
      </c>
      <c r="T266">
        <v>0</v>
      </c>
    </row>
    <row r="267" spans="1:20" x14ac:dyDescent="0.25">
      <c r="A267" s="1">
        <v>46239</v>
      </c>
      <c r="B267" t="s">
        <v>151</v>
      </c>
      <c r="C267" t="s">
        <v>10</v>
      </c>
      <c r="D267">
        <v>3.6011567851291222</v>
      </c>
      <c r="E267" t="s">
        <v>161</v>
      </c>
      <c r="G267">
        <v>46239</v>
      </c>
      <c r="H267" t="s">
        <v>150</v>
      </c>
      <c r="I267">
        <v>0.30574872545693377</v>
      </c>
      <c r="J267">
        <v>0.30574872545693377</v>
      </c>
      <c r="K267">
        <v>0</v>
      </c>
      <c r="L267">
        <v>0</v>
      </c>
      <c r="M267">
        <v>0</v>
      </c>
      <c r="N267" t="s">
        <v>127</v>
      </c>
      <c r="O267" t="s">
        <v>127</v>
      </c>
      <c r="P267">
        <v>27.57</v>
      </c>
      <c r="Q267">
        <v>53.444877209872018</v>
      </c>
      <c r="R267">
        <v>0</v>
      </c>
      <c r="S267">
        <v>0</v>
      </c>
      <c r="T267">
        <v>53.444877209872018</v>
      </c>
    </row>
    <row r="268" spans="1:20" x14ac:dyDescent="0.25">
      <c r="A268" s="1">
        <v>46239</v>
      </c>
      <c r="B268" t="s">
        <v>151</v>
      </c>
      <c r="C268" t="s">
        <v>12</v>
      </c>
      <c r="D268">
        <v>3.1774912809962848</v>
      </c>
      <c r="E268" t="s">
        <v>161</v>
      </c>
      <c r="G268">
        <v>46239</v>
      </c>
      <c r="H268" t="s">
        <v>150</v>
      </c>
      <c r="I268">
        <v>0.4581371224492754</v>
      </c>
      <c r="J268">
        <v>0.4581371224492754</v>
      </c>
      <c r="K268">
        <v>0</v>
      </c>
      <c r="L268">
        <v>0</v>
      </c>
      <c r="M268">
        <v>0</v>
      </c>
      <c r="N268" t="s">
        <v>127</v>
      </c>
      <c r="O268" t="s">
        <v>127</v>
      </c>
      <c r="P268">
        <v>28.36</v>
      </c>
      <c r="Q268">
        <v>80.082369004133326</v>
      </c>
      <c r="R268">
        <v>0</v>
      </c>
      <c r="S268">
        <v>0</v>
      </c>
      <c r="T268">
        <v>80.082369004133326</v>
      </c>
    </row>
    <row r="269" spans="1:20" x14ac:dyDescent="0.25">
      <c r="A269" s="1">
        <v>46239</v>
      </c>
      <c r="B269" t="s">
        <v>151</v>
      </c>
      <c r="C269" t="s">
        <v>11</v>
      </c>
      <c r="D269">
        <v>0</v>
      </c>
      <c r="E269" t="s">
        <v>166</v>
      </c>
      <c r="F269">
        <v>1</v>
      </c>
      <c r="G269">
        <v>46239</v>
      </c>
      <c r="H269" t="s">
        <v>150</v>
      </c>
      <c r="I269">
        <v>0</v>
      </c>
      <c r="J269">
        <v>0</v>
      </c>
      <c r="K269">
        <v>0</v>
      </c>
      <c r="L269">
        <v>0</v>
      </c>
      <c r="M269">
        <v>0</v>
      </c>
      <c r="N269" t="s">
        <v>127</v>
      </c>
      <c r="O269" t="s">
        <v>127</v>
      </c>
      <c r="P269">
        <v>29.417999999999999</v>
      </c>
      <c r="Q269">
        <v>0</v>
      </c>
      <c r="R269">
        <v>0</v>
      </c>
      <c r="S269">
        <v>0</v>
      </c>
      <c r="T269">
        <v>0</v>
      </c>
    </row>
    <row r="270" spans="1:20" x14ac:dyDescent="0.25">
      <c r="A270" s="1">
        <v>46239</v>
      </c>
      <c r="B270" t="s">
        <v>151</v>
      </c>
      <c r="C270" t="s">
        <v>10</v>
      </c>
      <c r="D270">
        <v>3.5876164620550925</v>
      </c>
      <c r="E270" t="s">
        <v>166</v>
      </c>
      <c r="F270">
        <v>1</v>
      </c>
      <c r="G270">
        <v>46239</v>
      </c>
      <c r="H270" t="s">
        <v>150</v>
      </c>
      <c r="I270">
        <v>0.50147779644096335</v>
      </c>
      <c r="J270">
        <v>0.50147779644096335</v>
      </c>
      <c r="K270">
        <v>0</v>
      </c>
      <c r="L270">
        <v>0</v>
      </c>
      <c r="M270">
        <v>0</v>
      </c>
      <c r="N270" t="s">
        <v>127</v>
      </c>
      <c r="O270" t="s">
        <v>127</v>
      </c>
      <c r="P270">
        <v>27.57</v>
      </c>
      <c r="Q270">
        <v>87.658318817880399</v>
      </c>
      <c r="R270">
        <v>0</v>
      </c>
      <c r="S270">
        <v>0</v>
      </c>
      <c r="T270">
        <v>87.658318817880399</v>
      </c>
    </row>
    <row r="271" spans="1:20" x14ac:dyDescent="0.25">
      <c r="A271" s="1">
        <v>46239</v>
      </c>
      <c r="B271" t="s">
        <v>151</v>
      </c>
      <c r="C271" t="s">
        <v>12</v>
      </c>
      <c r="D271">
        <v>3.1779578349000128</v>
      </c>
      <c r="E271" t="s">
        <v>166</v>
      </c>
      <c r="F271">
        <v>1</v>
      </c>
      <c r="G271">
        <v>46239</v>
      </c>
      <c r="H271" t="s">
        <v>150</v>
      </c>
      <c r="I271">
        <v>0.45792305429545088</v>
      </c>
      <c r="J271">
        <v>0.45792305429545088</v>
      </c>
      <c r="K271">
        <v>0</v>
      </c>
      <c r="L271">
        <v>0</v>
      </c>
      <c r="M271">
        <v>0.32795783490001323</v>
      </c>
      <c r="N271" t="s">
        <v>127</v>
      </c>
      <c r="O271" t="s">
        <v>127</v>
      </c>
      <c r="P271">
        <v>28.36</v>
      </c>
      <c r="Q271">
        <v>80.044949890844805</v>
      </c>
      <c r="R271">
        <v>0</v>
      </c>
      <c r="S271">
        <v>0</v>
      </c>
      <c r="T271">
        <v>80.044949890844805</v>
      </c>
    </row>
    <row r="272" spans="1:20" x14ac:dyDescent="0.25">
      <c r="A272" s="1">
        <v>46240</v>
      </c>
      <c r="B272" t="s">
        <v>151</v>
      </c>
      <c r="C272" t="s">
        <v>10</v>
      </c>
      <c r="D272">
        <v>3.6011567851291222</v>
      </c>
      <c r="E272" t="s">
        <v>161</v>
      </c>
      <c r="G272">
        <v>46240</v>
      </c>
      <c r="H272" t="s">
        <v>150</v>
      </c>
      <c r="I272">
        <v>0.30574872545693399</v>
      </c>
      <c r="J272">
        <v>0.30574872545693399</v>
      </c>
      <c r="K272">
        <v>0</v>
      </c>
      <c r="L272">
        <v>0</v>
      </c>
      <c r="M272">
        <v>2.651156785129122</v>
      </c>
      <c r="N272" t="s">
        <v>128</v>
      </c>
      <c r="O272" t="s">
        <v>128</v>
      </c>
      <c r="P272">
        <v>27.57</v>
      </c>
      <c r="Q272">
        <v>53.444877209872061</v>
      </c>
      <c r="R272">
        <v>0</v>
      </c>
      <c r="S272">
        <v>0</v>
      </c>
      <c r="T272">
        <v>53.444877209872061</v>
      </c>
    </row>
    <row r="273" spans="1:20" x14ac:dyDescent="0.25">
      <c r="A273" s="1">
        <v>46240</v>
      </c>
      <c r="B273" t="s">
        <v>151</v>
      </c>
      <c r="C273" t="s">
        <v>11</v>
      </c>
      <c r="D273">
        <v>0</v>
      </c>
      <c r="E273" t="s">
        <v>161</v>
      </c>
      <c r="G273">
        <v>46240</v>
      </c>
      <c r="H273" t="s">
        <v>150</v>
      </c>
      <c r="I273">
        <v>0</v>
      </c>
      <c r="J273">
        <v>0</v>
      </c>
      <c r="K273">
        <v>0</v>
      </c>
      <c r="L273">
        <v>0</v>
      </c>
      <c r="M273">
        <v>0</v>
      </c>
      <c r="N273" t="s">
        <v>128</v>
      </c>
      <c r="O273" t="s">
        <v>128</v>
      </c>
      <c r="P273">
        <v>29.417999999999999</v>
      </c>
      <c r="Q273">
        <v>0</v>
      </c>
      <c r="R273">
        <v>0</v>
      </c>
      <c r="S273">
        <v>0</v>
      </c>
      <c r="T273">
        <v>0</v>
      </c>
    </row>
    <row r="274" spans="1:20" x14ac:dyDescent="0.25">
      <c r="A274" s="1">
        <v>46240</v>
      </c>
      <c r="B274" t="s">
        <v>151</v>
      </c>
      <c r="C274" t="s">
        <v>12</v>
      </c>
      <c r="D274">
        <v>3.1774912809962848</v>
      </c>
      <c r="E274" t="s">
        <v>161</v>
      </c>
      <c r="G274">
        <v>46240</v>
      </c>
      <c r="H274" t="s">
        <v>150</v>
      </c>
      <c r="I274">
        <v>0.4581371224492754</v>
      </c>
      <c r="J274">
        <v>0.4581371224492754</v>
      </c>
      <c r="K274">
        <v>0</v>
      </c>
      <c r="L274">
        <v>0</v>
      </c>
      <c r="M274">
        <v>0</v>
      </c>
      <c r="N274" t="s">
        <v>128</v>
      </c>
      <c r="O274" t="s">
        <v>128</v>
      </c>
      <c r="P274">
        <v>28.36</v>
      </c>
      <c r="Q274">
        <v>80.082369004133326</v>
      </c>
      <c r="R274">
        <v>0</v>
      </c>
      <c r="S274">
        <v>0</v>
      </c>
      <c r="T274">
        <v>80.082369004133326</v>
      </c>
    </row>
    <row r="275" spans="1:20" x14ac:dyDescent="0.25">
      <c r="A275" s="1">
        <v>46240</v>
      </c>
      <c r="B275" t="s">
        <v>151</v>
      </c>
      <c r="C275" t="s">
        <v>10</v>
      </c>
      <c r="D275">
        <v>3.5876164620550925</v>
      </c>
      <c r="E275" t="s">
        <v>166</v>
      </c>
      <c r="F275">
        <v>1</v>
      </c>
      <c r="G275">
        <v>46240</v>
      </c>
      <c r="H275" t="s">
        <v>150</v>
      </c>
      <c r="I275">
        <v>0.5014777964409638</v>
      </c>
      <c r="J275">
        <v>0.5014777964409638</v>
      </c>
      <c r="K275">
        <v>0</v>
      </c>
      <c r="L275">
        <v>0</v>
      </c>
      <c r="M275">
        <v>0</v>
      </c>
      <c r="N275" t="s">
        <v>128</v>
      </c>
      <c r="O275" t="s">
        <v>128</v>
      </c>
      <c r="P275">
        <v>27.57</v>
      </c>
      <c r="Q275">
        <v>87.65831881788047</v>
      </c>
      <c r="R275">
        <v>0</v>
      </c>
      <c r="S275">
        <v>0</v>
      </c>
      <c r="T275">
        <v>87.65831881788047</v>
      </c>
    </row>
    <row r="276" spans="1:20" x14ac:dyDescent="0.25">
      <c r="A276" s="1">
        <v>46240</v>
      </c>
      <c r="B276" t="s">
        <v>151</v>
      </c>
      <c r="C276" t="s">
        <v>11</v>
      </c>
      <c r="D276">
        <v>0</v>
      </c>
      <c r="E276" t="s">
        <v>166</v>
      </c>
      <c r="F276">
        <v>1</v>
      </c>
      <c r="G276">
        <v>46240</v>
      </c>
      <c r="H276" t="s">
        <v>150</v>
      </c>
      <c r="I276">
        <v>0</v>
      </c>
      <c r="J276">
        <v>0</v>
      </c>
      <c r="K276">
        <v>0</v>
      </c>
      <c r="L276">
        <v>0</v>
      </c>
      <c r="M276">
        <v>0</v>
      </c>
      <c r="N276" t="s">
        <v>128</v>
      </c>
      <c r="O276" t="s">
        <v>128</v>
      </c>
      <c r="P276">
        <v>29.417999999999999</v>
      </c>
      <c r="Q276">
        <v>0</v>
      </c>
      <c r="R276">
        <v>0</v>
      </c>
      <c r="S276">
        <v>0</v>
      </c>
      <c r="T276">
        <v>0</v>
      </c>
    </row>
    <row r="277" spans="1:20" x14ac:dyDescent="0.25">
      <c r="A277" s="1">
        <v>46240</v>
      </c>
      <c r="B277" t="s">
        <v>151</v>
      </c>
      <c r="C277" t="s">
        <v>12</v>
      </c>
      <c r="D277">
        <v>3.1779578349000128</v>
      </c>
      <c r="E277" t="s">
        <v>166</v>
      </c>
      <c r="F277">
        <v>1</v>
      </c>
      <c r="G277">
        <v>46240</v>
      </c>
      <c r="H277" t="s">
        <v>150</v>
      </c>
      <c r="I277">
        <v>0.45792305429545088</v>
      </c>
      <c r="J277">
        <v>0.45792305429545088</v>
      </c>
      <c r="K277">
        <v>0</v>
      </c>
      <c r="L277">
        <v>0</v>
      </c>
      <c r="M277">
        <v>0.32795783490001323</v>
      </c>
      <c r="N277" t="s">
        <v>128</v>
      </c>
      <c r="O277" t="s">
        <v>128</v>
      </c>
      <c r="P277">
        <v>28.36</v>
      </c>
      <c r="Q277">
        <v>80.044949890844805</v>
      </c>
      <c r="R277">
        <v>0</v>
      </c>
      <c r="S277">
        <v>0</v>
      </c>
      <c r="T277">
        <v>80.044949890844805</v>
      </c>
    </row>
    <row r="278" spans="1:20" x14ac:dyDescent="0.25">
      <c r="A278" s="1">
        <v>46241</v>
      </c>
      <c r="B278" t="s">
        <v>151</v>
      </c>
      <c r="C278" t="s">
        <v>11</v>
      </c>
      <c r="D278">
        <v>0</v>
      </c>
      <c r="E278" t="s">
        <v>161</v>
      </c>
      <c r="G278">
        <v>46241</v>
      </c>
      <c r="H278" t="s">
        <v>150</v>
      </c>
      <c r="I278">
        <v>0</v>
      </c>
      <c r="J278">
        <v>0</v>
      </c>
      <c r="K278">
        <v>0</v>
      </c>
      <c r="L278">
        <v>0</v>
      </c>
      <c r="M278">
        <v>0</v>
      </c>
      <c r="N278" t="s">
        <v>129</v>
      </c>
      <c r="O278" t="s">
        <v>129</v>
      </c>
      <c r="P278">
        <v>29.417999999999999</v>
      </c>
      <c r="Q278">
        <v>0</v>
      </c>
      <c r="R278">
        <v>0</v>
      </c>
      <c r="S278">
        <v>0</v>
      </c>
      <c r="T278">
        <v>0</v>
      </c>
    </row>
    <row r="279" spans="1:20" x14ac:dyDescent="0.25">
      <c r="A279" s="1">
        <v>46241</v>
      </c>
      <c r="B279" t="s">
        <v>151</v>
      </c>
      <c r="C279" t="s">
        <v>12</v>
      </c>
      <c r="D279">
        <v>3.1774912809962856</v>
      </c>
      <c r="E279" t="s">
        <v>161</v>
      </c>
      <c r="G279">
        <v>46241</v>
      </c>
      <c r="H279" t="s">
        <v>150</v>
      </c>
      <c r="I279">
        <v>0.45813712244927518</v>
      </c>
      <c r="J279">
        <v>0.45813712244927518</v>
      </c>
      <c r="K279">
        <v>0</v>
      </c>
      <c r="L279">
        <v>0</v>
      </c>
      <c r="M279">
        <v>0</v>
      </c>
      <c r="N279" t="s">
        <v>129</v>
      </c>
      <c r="O279" t="s">
        <v>129</v>
      </c>
      <c r="P279">
        <v>28.36</v>
      </c>
      <c r="Q279">
        <v>80.082369004133298</v>
      </c>
      <c r="R279">
        <v>0</v>
      </c>
      <c r="S279">
        <v>0</v>
      </c>
      <c r="T279">
        <v>80.082369004133298</v>
      </c>
    </row>
    <row r="280" spans="1:20" x14ac:dyDescent="0.25">
      <c r="A280" s="1">
        <v>46241</v>
      </c>
      <c r="B280" t="s">
        <v>151</v>
      </c>
      <c r="C280" t="s">
        <v>10</v>
      </c>
      <c r="D280">
        <v>3.6011567851291222</v>
      </c>
      <c r="E280" t="s">
        <v>161</v>
      </c>
      <c r="G280">
        <v>46241</v>
      </c>
      <c r="H280" t="s">
        <v>150</v>
      </c>
      <c r="I280">
        <v>0.30574872545693355</v>
      </c>
      <c r="J280">
        <v>0.30574872545693355</v>
      </c>
      <c r="K280">
        <v>0</v>
      </c>
      <c r="L280">
        <v>0</v>
      </c>
      <c r="M280">
        <v>2.651156785129122</v>
      </c>
      <c r="N280" t="s">
        <v>129</v>
      </c>
      <c r="O280" t="s">
        <v>129</v>
      </c>
      <c r="P280">
        <v>27.57</v>
      </c>
      <c r="Q280">
        <v>53.444877209871983</v>
      </c>
      <c r="R280">
        <v>0</v>
      </c>
      <c r="S280">
        <v>0</v>
      </c>
      <c r="T280">
        <v>53.444877209871983</v>
      </c>
    </row>
    <row r="281" spans="1:20" x14ac:dyDescent="0.25">
      <c r="A281" s="1">
        <v>46241</v>
      </c>
      <c r="B281" t="s">
        <v>151</v>
      </c>
      <c r="C281" t="s">
        <v>11</v>
      </c>
      <c r="D281">
        <v>0</v>
      </c>
      <c r="E281" t="s">
        <v>166</v>
      </c>
      <c r="F281">
        <v>1</v>
      </c>
      <c r="G281">
        <v>46241</v>
      </c>
      <c r="H281" t="s">
        <v>150</v>
      </c>
      <c r="I281">
        <v>0</v>
      </c>
      <c r="J281">
        <v>0</v>
      </c>
      <c r="K281">
        <v>0</v>
      </c>
      <c r="L281">
        <v>0</v>
      </c>
      <c r="M281">
        <v>0</v>
      </c>
      <c r="N281" t="s">
        <v>129</v>
      </c>
      <c r="O281" t="s">
        <v>129</v>
      </c>
      <c r="P281">
        <v>29.417999999999999</v>
      </c>
      <c r="Q281">
        <v>0</v>
      </c>
      <c r="R281">
        <v>0</v>
      </c>
      <c r="S281">
        <v>0</v>
      </c>
      <c r="T281">
        <v>0</v>
      </c>
    </row>
    <row r="282" spans="1:20" x14ac:dyDescent="0.25">
      <c r="A282" s="1">
        <v>46241</v>
      </c>
      <c r="B282" t="s">
        <v>151</v>
      </c>
      <c r="C282" t="s">
        <v>12</v>
      </c>
      <c r="D282">
        <v>3.1779578349000133</v>
      </c>
      <c r="E282" t="s">
        <v>166</v>
      </c>
      <c r="F282">
        <v>1</v>
      </c>
      <c r="G282">
        <v>46241</v>
      </c>
      <c r="H282" t="s">
        <v>150</v>
      </c>
      <c r="I282">
        <v>0.51218661051108638</v>
      </c>
      <c r="J282">
        <v>0.51218661051108638</v>
      </c>
      <c r="K282">
        <v>0</v>
      </c>
      <c r="L282">
        <v>0</v>
      </c>
      <c r="M282">
        <v>0</v>
      </c>
      <c r="N282" t="s">
        <v>129</v>
      </c>
      <c r="O282" t="s">
        <v>129</v>
      </c>
      <c r="P282">
        <v>28.36</v>
      </c>
      <c r="Q282">
        <v>89.530219517337898</v>
      </c>
      <c r="R282">
        <v>0</v>
      </c>
      <c r="S282">
        <v>0</v>
      </c>
      <c r="T282">
        <v>89.530219517337898</v>
      </c>
    </row>
    <row r="283" spans="1:20" x14ac:dyDescent="0.25">
      <c r="A283" s="1">
        <v>46241</v>
      </c>
      <c r="B283" t="s">
        <v>151</v>
      </c>
      <c r="C283" t="s">
        <v>10</v>
      </c>
      <c r="D283">
        <v>3.587616462055093</v>
      </c>
      <c r="E283" t="s">
        <v>166</v>
      </c>
      <c r="F283">
        <v>1</v>
      </c>
      <c r="G283">
        <v>46241</v>
      </c>
      <c r="H283" t="s">
        <v>150</v>
      </c>
      <c r="I283">
        <v>0.50147779644096335</v>
      </c>
      <c r="J283">
        <v>0.50147779644096335</v>
      </c>
      <c r="K283">
        <v>0</v>
      </c>
      <c r="L283">
        <v>0</v>
      </c>
      <c r="M283">
        <v>0</v>
      </c>
      <c r="N283" t="s">
        <v>129</v>
      </c>
      <c r="O283" t="s">
        <v>129</v>
      </c>
      <c r="P283">
        <v>27.57</v>
      </c>
      <c r="Q283">
        <v>87.658318817880399</v>
      </c>
      <c r="R283">
        <v>0</v>
      </c>
      <c r="S283">
        <v>0</v>
      </c>
      <c r="T283">
        <v>87.658318817880399</v>
      </c>
    </row>
    <row r="284" spans="1:20" x14ac:dyDescent="0.25">
      <c r="A284" s="1">
        <v>46242</v>
      </c>
      <c r="B284" t="s">
        <v>151</v>
      </c>
      <c r="C284" t="s">
        <v>12</v>
      </c>
      <c r="D284">
        <v>3.1774912809962856</v>
      </c>
      <c r="E284" t="s">
        <v>161</v>
      </c>
      <c r="G284">
        <v>46242</v>
      </c>
      <c r="H284" t="s">
        <v>150</v>
      </c>
      <c r="I284">
        <v>0.45813712244927518</v>
      </c>
      <c r="J284">
        <v>0.45813712244927518</v>
      </c>
      <c r="K284">
        <v>0</v>
      </c>
      <c r="L284">
        <v>0</v>
      </c>
      <c r="M284">
        <v>0</v>
      </c>
      <c r="N284" t="s">
        <v>119</v>
      </c>
      <c r="O284" t="s">
        <v>119</v>
      </c>
      <c r="P284">
        <v>33.160000000000011</v>
      </c>
      <c r="Q284">
        <v>80.082369004133298</v>
      </c>
      <c r="R284">
        <v>0</v>
      </c>
      <c r="S284">
        <v>0</v>
      </c>
      <c r="T284">
        <v>80.082369004133298</v>
      </c>
    </row>
    <row r="285" spans="1:20" x14ac:dyDescent="0.25">
      <c r="A285" s="1">
        <v>46242</v>
      </c>
      <c r="B285" t="s">
        <v>151</v>
      </c>
      <c r="C285" t="s">
        <v>11</v>
      </c>
      <c r="D285">
        <v>0</v>
      </c>
      <c r="E285" t="s">
        <v>161</v>
      </c>
      <c r="G285">
        <v>46242</v>
      </c>
      <c r="H285" t="s">
        <v>150</v>
      </c>
      <c r="I285">
        <v>0</v>
      </c>
      <c r="J285">
        <v>0</v>
      </c>
      <c r="K285">
        <v>0</v>
      </c>
      <c r="L285">
        <v>0</v>
      </c>
      <c r="M285">
        <v>0</v>
      </c>
      <c r="N285" t="s">
        <v>119</v>
      </c>
      <c r="O285" t="s">
        <v>119</v>
      </c>
      <c r="P285">
        <v>32.272000000000013</v>
      </c>
      <c r="Q285">
        <v>0</v>
      </c>
      <c r="R285">
        <v>0</v>
      </c>
      <c r="S285">
        <v>0</v>
      </c>
      <c r="T285">
        <v>0</v>
      </c>
    </row>
    <row r="286" spans="1:20" x14ac:dyDescent="0.25">
      <c r="A286" s="1">
        <v>46242</v>
      </c>
      <c r="B286" t="s">
        <v>151</v>
      </c>
      <c r="C286" t="s">
        <v>10</v>
      </c>
      <c r="D286">
        <v>3.6011567851291222</v>
      </c>
      <c r="E286" t="s">
        <v>161</v>
      </c>
      <c r="G286">
        <v>46242</v>
      </c>
      <c r="H286" t="s">
        <v>150</v>
      </c>
      <c r="I286">
        <v>0.30574872545693421</v>
      </c>
      <c r="J286">
        <v>0.30574872545693421</v>
      </c>
      <c r="K286">
        <v>0</v>
      </c>
      <c r="L286">
        <v>0</v>
      </c>
      <c r="M286">
        <v>0</v>
      </c>
      <c r="N286" t="s">
        <v>119</v>
      </c>
      <c r="O286" t="s">
        <v>119</v>
      </c>
      <c r="P286">
        <v>37.600000000000009</v>
      </c>
      <c r="Q286">
        <v>53.444877209872097</v>
      </c>
      <c r="R286">
        <v>0</v>
      </c>
      <c r="S286">
        <v>0</v>
      </c>
      <c r="T286">
        <v>53.444877209872097</v>
      </c>
    </row>
    <row r="287" spans="1:20" x14ac:dyDescent="0.25">
      <c r="A287" s="1">
        <v>46242</v>
      </c>
      <c r="B287" t="s">
        <v>151</v>
      </c>
      <c r="C287" t="s">
        <v>12</v>
      </c>
      <c r="D287">
        <v>3.1779578349000133</v>
      </c>
      <c r="E287" t="s">
        <v>166</v>
      </c>
      <c r="F287">
        <v>1</v>
      </c>
      <c r="G287">
        <v>46242</v>
      </c>
      <c r="H287" t="s">
        <v>150</v>
      </c>
      <c r="I287">
        <v>0.45792305429545066</v>
      </c>
      <c r="J287">
        <v>0.45792305429545066</v>
      </c>
      <c r="K287">
        <v>0</v>
      </c>
      <c r="L287">
        <v>0</v>
      </c>
      <c r="M287">
        <v>0.32795783490001362</v>
      </c>
      <c r="N287" t="s">
        <v>119</v>
      </c>
      <c r="O287" t="s">
        <v>119</v>
      </c>
      <c r="P287">
        <v>33.160000000000011</v>
      </c>
      <c r="Q287">
        <v>80.044949890844777</v>
      </c>
      <c r="R287">
        <v>0</v>
      </c>
      <c r="S287">
        <v>0</v>
      </c>
      <c r="T287">
        <v>80.044949890844777</v>
      </c>
    </row>
    <row r="288" spans="1:20" x14ac:dyDescent="0.25">
      <c r="A288" s="1">
        <v>46242</v>
      </c>
      <c r="B288" t="s">
        <v>151</v>
      </c>
      <c r="C288" t="s">
        <v>11</v>
      </c>
      <c r="D288">
        <v>0</v>
      </c>
      <c r="E288" t="s">
        <v>166</v>
      </c>
      <c r="F288">
        <v>1</v>
      </c>
      <c r="G288">
        <v>46242</v>
      </c>
      <c r="H288" t="s">
        <v>150</v>
      </c>
      <c r="I288">
        <v>0</v>
      </c>
      <c r="J288">
        <v>0</v>
      </c>
      <c r="K288">
        <v>0</v>
      </c>
      <c r="L288">
        <v>0</v>
      </c>
      <c r="M288">
        <v>0</v>
      </c>
      <c r="N288" t="s">
        <v>119</v>
      </c>
      <c r="O288" t="s">
        <v>119</v>
      </c>
      <c r="P288">
        <v>32.272000000000013</v>
      </c>
      <c r="Q288">
        <v>0</v>
      </c>
      <c r="R288">
        <v>0</v>
      </c>
      <c r="S288">
        <v>0</v>
      </c>
      <c r="T288">
        <v>0</v>
      </c>
    </row>
    <row r="289" spans="1:20" x14ac:dyDescent="0.25">
      <c r="A289" s="1">
        <v>46242</v>
      </c>
      <c r="B289" t="s">
        <v>151</v>
      </c>
      <c r="C289" t="s">
        <v>10</v>
      </c>
      <c r="D289">
        <v>3.5876164620550925</v>
      </c>
      <c r="E289" t="s">
        <v>166</v>
      </c>
      <c r="F289">
        <v>1</v>
      </c>
      <c r="G289">
        <v>46242</v>
      </c>
      <c r="H289" t="s">
        <v>150</v>
      </c>
      <c r="I289">
        <v>0.50147779644096402</v>
      </c>
      <c r="J289">
        <v>0.50147779644096402</v>
      </c>
      <c r="K289">
        <v>0</v>
      </c>
      <c r="L289">
        <v>0</v>
      </c>
      <c r="M289">
        <v>0</v>
      </c>
      <c r="N289" t="s">
        <v>119</v>
      </c>
      <c r="O289" t="s">
        <v>119</v>
      </c>
      <c r="P289">
        <v>37.600000000000009</v>
      </c>
      <c r="Q289">
        <v>87.658318817880499</v>
      </c>
      <c r="R289">
        <v>0</v>
      </c>
      <c r="S289">
        <v>0</v>
      </c>
      <c r="T289">
        <v>87.658318817880499</v>
      </c>
    </row>
    <row r="290" spans="1:20" x14ac:dyDescent="0.25">
      <c r="A290" s="1">
        <v>46243</v>
      </c>
      <c r="B290" t="s">
        <v>151</v>
      </c>
      <c r="C290" t="s">
        <v>11</v>
      </c>
      <c r="D290">
        <v>0</v>
      </c>
      <c r="E290" t="s">
        <v>161</v>
      </c>
      <c r="G290">
        <v>46243</v>
      </c>
      <c r="H290" t="s">
        <v>150</v>
      </c>
      <c r="I290">
        <v>0</v>
      </c>
      <c r="J290">
        <v>0</v>
      </c>
      <c r="K290">
        <v>0</v>
      </c>
      <c r="L290">
        <v>0</v>
      </c>
      <c r="M290">
        <v>0</v>
      </c>
      <c r="N290" t="s">
        <v>120</v>
      </c>
      <c r="O290" t="s">
        <v>120</v>
      </c>
      <c r="P290">
        <v>36.574000000000012</v>
      </c>
      <c r="Q290">
        <v>0</v>
      </c>
      <c r="R290">
        <v>0</v>
      </c>
      <c r="S290">
        <v>0</v>
      </c>
      <c r="T290">
        <v>0</v>
      </c>
    </row>
    <row r="291" spans="1:20" x14ac:dyDescent="0.25">
      <c r="A291" s="1">
        <v>46243</v>
      </c>
      <c r="B291" t="s">
        <v>151</v>
      </c>
      <c r="C291" t="s">
        <v>10</v>
      </c>
      <c r="D291">
        <v>3.6011567851291222</v>
      </c>
      <c r="E291" t="s">
        <v>161</v>
      </c>
      <c r="G291">
        <v>46243</v>
      </c>
      <c r="H291" t="s">
        <v>150</v>
      </c>
      <c r="I291">
        <v>0.30574872545693421</v>
      </c>
      <c r="J291">
        <v>0.30574872545693421</v>
      </c>
      <c r="K291">
        <v>0</v>
      </c>
      <c r="L291">
        <v>0</v>
      </c>
      <c r="M291">
        <v>2.651156785129122</v>
      </c>
      <c r="N291" t="s">
        <v>120</v>
      </c>
      <c r="O291" t="s">
        <v>120</v>
      </c>
      <c r="P291">
        <v>42.790000000000006</v>
      </c>
      <c r="Q291">
        <v>53.444877209872097</v>
      </c>
      <c r="R291">
        <v>0</v>
      </c>
      <c r="S291">
        <v>0</v>
      </c>
      <c r="T291">
        <v>53.444877209872097</v>
      </c>
    </row>
    <row r="292" spans="1:20" x14ac:dyDescent="0.25">
      <c r="A292" s="1">
        <v>46243</v>
      </c>
      <c r="B292" t="s">
        <v>151</v>
      </c>
      <c r="C292" t="s">
        <v>12</v>
      </c>
      <c r="D292">
        <v>3.1774912809962856</v>
      </c>
      <c r="E292" t="s">
        <v>161</v>
      </c>
      <c r="G292">
        <v>46243</v>
      </c>
      <c r="H292" t="s">
        <v>150</v>
      </c>
      <c r="I292">
        <v>0.45813712244927518</v>
      </c>
      <c r="J292">
        <v>0.45813712244927518</v>
      </c>
      <c r="K292">
        <v>0</v>
      </c>
      <c r="L292">
        <v>0</v>
      </c>
      <c r="M292">
        <v>0</v>
      </c>
      <c r="N292" t="s">
        <v>120</v>
      </c>
      <c r="O292" t="s">
        <v>120</v>
      </c>
      <c r="P292">
        <v>37.610000000000007</v>
      </c>
      <c r="Q292">
        <v>80.082369004133298</v>
      </c>
      <c r="R292">
        <v>0</v>
      </c>
      <c r="S292">
        <v>0</v>
      </c>
      <c r="T292">
        <v>80.082369004133298</v>
      </c>
    </row>
    <row r="293" spans="1:20" x14ac:dyDescent="0.25">
      <c r="A293" s="1">
        <v>46243</v>
      </c>
      <c r="B293" t="s">
        <v>151</v>
      </c>
      <c r="C293" t="s">
        <v>11</v>
      </c>
      <c r="D293">
        <v>0</v>
      </c>
      <c r="E293" t="s">
        <v>166</v>
      </c>
      <c r="F293">
        <v>1</v>
      </c>
      <c r="G293">
        <v>46243</v>
      </c>
      <c r="H293" t="s">
        <v>150</v>
      </c>
      <c r="I293">
        <v>0</v>
      </c>
      <c r="J293">
        <v>0</v>
      </c>
      <c r="K293">
        <v>0</v>
      </c>
      <c r="L293">
        <v>0</v>
      </c>
      <c r="M293">
        <v>0</v>
      </c>
      <c r="N293" t="s">
        <v>120</v>
      </c>
      <c r="O293" t="s">
        <v>120</v>
      </c>
      <c r="P293">
        <v>36.574000000000012</v>
      </c>
      <c r="Q293">
        <v>0</v>
      </c>
      <c r="R293">
        <v>0</v>
      </c>
      <c r="S293">
        <v>0</v>
      </c>
      <c r="T293">
        <v>0</v>
      </c>
    </row>
    <row r="294" spans="1:20" x14ac:dyDescent="0.25">
      <c r="A294" s="1">
        <v>46243</v>
      </c>
      <c r="B294" t="s">
        <v>151</v>
      </c>
      <c r="C294" t="s">
        <v>10</v>
      </c>
      <c r="D294">
        <v>3.5876164620550925</v>
      </c>
      <c r="E294" t="s">
        <v>166</v>
      </c>
      <c r="F294">
        <v>1</v>
      </c>
      <c r="G294">
        <v>46243</v>
      </c>
      <c r="H294" t="s">
        <v>150</v>
      </c>
      <c r="I294">
        <v>0.50147779644096402</v>
      </c>
      <c r="J294">
        <v>0.50147779644096402</v>
      </c>
      <c r="K294">
        <v>0</v>
      </c>
      <c r="L294">
        <v>0</v>
      </c>
      <c r="M294">
        <v>0</v>
      </c>
      <c r="N294" t="s">
        <v>120</v>
      </c>
      <c r="O294" t="s">
        <v>120</v>
      </c>
      <c r="P294">
        <v>42.790000000000006</v>
      </c>
      <c r="Q294">
        <v>87.658318817880499</v>
      </c>
      <c r="R294">
        <v>0</v>
      </c>
      <c r="S294">
        <v>0</v>
      </c>
      <c r="T294">
        <v>87.658318817880499</v>
      </c>
    </row>
    <row r="295" spans="1:20" x14ac:dyDescent="0.25">
      <c r="A295" s="1">
        <v>46243</v>
      </c>
      <c r="B295" t="s">
        <v>151</v>
      </c>
      <c r="C295" t="s">
        <v>12</v>
      </c>
      <c r="D295">
        <v>3.1779578349000133</v>
      </c>
      <c r="E295" t="s">
        <v>166</v>
      </c>
      <c r="F295">
        <v>1</v>
      </c>
      <c r="G295">
        <v>46243</v>
      </c>
      <c r="H295" t="s">
        <v>150</v>
      </c>
      <c r="I295">
        <v>0.45792305429545066</v>
      </c>
      <c r="J295">
        <v>0.45792305429545066</v>
      </c>
      <c r="K295">
        <v>0</v>
      </c>
      <c r="L295">
        <v>0</v>
      </c>
      <c r="M295">
        <v>0.32795783490001362</v>
      </c>
      <c r="N295" t="s">
        <v>120</v>
      </c>
      <c r="O295" t="s">
        <v>120</v>
      </c>
      <c r="P295">
        <v>37.610000000000007</v>
      </c>
      <c r="Q295">
        <v>80.044949890844777</v>
      </c>
      <c r="R295">
        <v>0</v>
      </c>
      <c r="S295">
        <v>0</v>
      </c>
      <c r="T295">
        <v>80.044949890844777</v>
      </c>
    </row>
    <row r="296" spans="1:20" x14ac:dyDescent="0.25">
      <c r="A296" s="1">
        <v>46244</v>
      </c>
      <c r="B296" t="s">
        <v>151</v>
      </c>
      <c r="C296" t="s">
        <v>11</v>
      </c>
      <c r="D296">
        <v>0</v>
      </c>
      <c r="E296" t="s">
        <v>161</v>
      </c>
      <c r="G296">
        <v>46244</v>
      </c>
      <c r="H296" t="s">
        <v>150</v>
      </c>
      <c r="I296">
        <v>0</v>
      </c>
      <c r="J296">
        <v>0</v>
      </c>
      <c r="K296">
        <v>0</v>
      </c>
      <c r="L296">
        <v>0</v>
      </c>
      <c r="M296">
        <v>0</v>
      </c>
      <c r="N296" t="s">
        <v>125</v>
      </c>
      <c r="O296" t="s">
        <v>125</v>
      </c>
      <c r="P296">
        <v>29.417999999999999</v>
      </c>
      <c r="Q296">
        <v>0</v>
      </c>
      <c r="R296">
        <v>0</v>
      </c>
      <c r="S296">
        <v>0</v>
      </c>
      <c r="T296">
        <v>0</v>
      </c>
    </row>
    <row r="297" spans="1:20" x14ac:dyDescent="0.25">
      <c r="A297" s="1">
        <v>46244</v>
      </c>
      <c r="B297" t="s">
        <v>151</v>
      </c>
      <c r="C297" t="s">
        <v>12</v>
      </c>
      <c r="D297">
        <v>3.1774912809962848</v>
      </c>
      <c r="E297" t="s">
        <v>161</v>
      </c>
      <c r="G297">
        <v>46244</v>
      </c>
      <c r="H297" t="s">
        <v>150</v>
      </c>
      <c r="I297">
        <v>0.4581371224492754</v>
      </c>
      <c r="J297">
        <v>0.4581371224492754</v>
      </c>
      <c r="K297">
        <v>0</v>
      </c>
      <c r="L297">
        <v>0</v>
      </c>
      <c r="M297">
        <v>0</v>
      </c>
      <c r="N297" t="s">
        <v>125</v>
      </c>
      <c r="O297" t="s">
        <v>125</v>
      </c>
      <c r="P297">
        <v>28.36</v>
      </c>
      <c r="Q297">
        <v>80.082369004133326</v>
      </c>
      <c r="R297">
        <v>0</v>
      </c>
      <c r="S297">
        <v>0</v>
      </c>
      <c r="T297">
        <v>80.082369004133326</v>
      </c>
    </row>
    <row r="298" spans="1:20" x14ac:dyDescent="0.25">
      <c r="A298" s="1">
        <v>46244</v>
      </c>
      <c r="B298" t="s">
        <v>151</v>
      </c>
      <c r="C298" t="s">
        <v>10</v>
      </c>
      <c r="D298">
        <v>3.6011567851291222</v>
      </c>
      <c r="E298" t="s">
        <v>161</v>
      </c>
      <c r="G298">
        <v>46244</v>
      </c>
      <c r="H298" t="s">
        <v>150</v>
      </c>
      <c r="I298">
        <v>0.30574872545693399</v>
      </c>
      <c r="J298">
        <v>0.30574872545693399</v>
      </c>
      <c r="K298">
        <v>0</v>
      </c>
      <c r="L298">
        <v>0</v>
      </c>
      <c r="M298">
        <v>0</v>
      </c>
      <c r="N298" t="s">
        <v>125</v>
      </c>
      <c r="O298" t="s">
        <v>125</v>
      </c>
      <c r="P298">
        <v>27.57</v>
      </c>
      <c r="Q298">
        <v>53.444877209872061</v>
      </c>
      <c r="R298">
        <v>0</v>
      </c>
      <c r="S298">
        <v>0</v>
      </c>
      <c r="T298">
        <v>53.444877209872061</v>
      </c>
    </row>
    <row r="299" spans="1:20" x14ac:dyDescent="0.25">
      <c r="A299" s="1">
        <v>46244</v>
      </c>
      <c r="B299" t="s">
        <v>151</v>
      </c>
      <c r="C299" t="s">
        <v>11</v>
      </c>
      <c r="D299">
        <v>0</v>
      </c>
      <c r="E299" t="s">
        <v>166</v>
      </c>
      <c r="F299">
        <v>1</v>
      </c>
      <c r="G299">
        <v>46244</v>
      </c>
      <c r="H299" t="s">
        <v>150</v>
      </c>
      <c r="I299">
        <v>0</v>
      </c>
      <c r="J299">
        <v>0</v>
      </c>
      <c r="K299">
        <v>0</v>
      </c>
      <c r="L299">
        <v>0</v>
      </c>
      <c r="M299">
        <v>0</v>
      </c>
      <c r="N299" t="s">
        <v>125</v>
      </c>
      <c r="O299" t="s">
        <v>125</v>
      </c>
      <c r="P299">
        <v>29.417999999999999</v>
      </c>
      <c r="Q299">
        <v>0</v>
      </c>
      <c r="R299">
        <v>0</v>
      </c>
      <c r="S299">
        <v>0</v>
      </c>
      <c r="T299">
        <v>0</v>
      </c>
    </row>
    <row r="300" spans="1:20" x14ac:dyDescent="0.25">
      <c r="A300" s="1">
        <v>46244</v>
      </c>
      <c r="B300" t="s">
        <v>151</v>
      </c>
      <c r="C300" t="s">
        <v>12</v>
      </c>
      <c r="D300">
        <v>3.1779578349000128</v>
      </c>
      <c r="E300" t="s">
        <v>166</v>
      </c>
      <c r="F300">
        <v>1</v>
      </c>
      <c r="G300">
        <v>46244</v>
      </c>
      <c r="H300" t="s">
        <v>150</v>
      </c>
      <c r="I300">
        <v>0.45792305429545088</v>
      </c>
      <c r="J300">
        <v>0.45792305429545088</v>
      </c>
      <c r="K300">
        <v>0</v>
      </c>
      <c r="L300">
        <v>0</v>
      </c>
      <c r="M300">
        <v>0.32795783490001323</v>
      </c>
      <c r="N300" t="s">
        <v>125</v>
      </c>
      <c r="O300" t="s">
        <v>125</v>
      </c>
      <c r="P300">
        <v>28.36</v>
      </c>
      <c r="Q300">
        <v>80.044949890844805</v>
      </c>
      <c r="R300">
        <v>0</v>
      </c>
      <c r="S300">
        <v>0</v>
      </c>
      <c r="T300">
        <v>80.044949890844805</v>
      </c>
    </row>
    <row r="301" spans="1:20" x14ac:dyDescent="0.25">
      <c r="A301" s="1">
        <v>46244</v>
      </c>
      <c r="B301" t="s">
        <v>151</v>
      </c>
      <c r="C301" t="s">
        <v>10</v>
      </c>
      <c r="D301">
        <v>3.5876164620550925</v>
      </c>
      <c r="E301" t="s">
        <v>166</v>
      </c>
      <c r="F301">
        <v>1</v>
      </c>
      <c r="G301">
        <v>46244</v>
      </c>
      <c r="H301" t="s">
        <v>150</v>
      </c>
      <c r="I301">
        <v>0.5014777964409638</v>
      </c>
      <c r="J301">
        <v>0.5014777964409638</v>
      </c>
      <c r="K301">
        <v>0</v>
      </c>
      <c r="L301">
        <v>0</v>
      </c>
      <c r="M301">
        <v>0</v>
      </c>
      <c r="N301" t="s">
        <v>125</v>
      </c>
      <c r="O301" t="s">
        <v>125</v>
      </c>
      <c r="P301">
        <v>27.57</v>
      </c>
      <c r="Q301">
        <v>87.65831881788047</v>
      </c>
      <c r="R301">
        <v>0</v>
      </c>
      <c r="S301">
        <v>0</v>
      </c>
      <c r="T301">
        <v>87.65831881788047</v>
      </c>
    </row>
    <row r="302" spans="1:20" x14ac:dyDescent="0.25">
      <c r="A302" s="1">
        <v>46245</v>
      </c>
      <c r="B302" t="s">
        <v>151</v>
      </c>
      <c r="C302" t="s">
        <v>12</v>
      </c>
      <c r="D302">
        <v>3.1774912809962848</v>
      </c>
      <c r="E302" t="s">
        <v>161</v>
      </c>
      <c r="G302">
        <v>46245</v>
      </c>
      <c r="H302" t="s">
        <v>150</v>
      </c>
      <c r="I302">
        <v>0.4581371224492754</v>
      </c>
      <c r="J302">
        <v>0.4581371224492754</v>
      </c>
      <c r="K302">
        <v>0</v>
      </c>
      <c r="L302">
        <v>0</v>
      </c>
      <c r="M302">
        <v>0</v>
      </c>
      <c r="N302" t="s">
        <v>126</v>
      </c>
      <c r="O302" t="s">
        <v>126</v>
      </c>
      <c r="P302">
        <v>28.36</v>
      </c>
      <c r="Q302">
        <v>80.082369004133326</v>
      </c>
      <c r="R302">
        <v>0</v>
      </c>
      <c r="S302">
        <v>0</v>
      </c>
      <c r="T302">
        <v>80.082369004133326</v>
      </c>
    </row>
    <row r="303" spans="1:20" x14ac:dyDescent="0.25">
      <c r="A303" s="1">
        <v>46245</v>
      </c>
      <c r="B303" t="s">
        <v>151</v>
      </c>
      <c r="C303" t="s">
        <v>11</v>
      </c>
      <c r="D303">
        <v>0</v>
      </c>
      <c r="E303" t="s">
        <v>161</v>
      </c>
      <c r="G303">
        <v>46245</v>
      </c>
      <c r="H303" t="s">
        <v>150</v>
      </c>
      <c r="I303">
        <v>0</v>
      </c>
      <c r="J303">
        <v>0</v>
      </c>
      <c r="K303">
        <v>0</v>
      </c>
      <c r="L303">
        <v>0</v>
      </c>
      <c r="M303">
        <v>0</v>
      </c>
      <c r="N303" t="s">
        <v>126</v>
      </c>
      <c r="O303" t="s">
        <v>126</v>
      </c>
      <c r="P303">
        <v>29.417999999999999</v>
      </c>
      <c r="Q303">
        <v>0</v>
      </c>
      <c r="R303">
        <v>0</v>
      </c>
      <c r="S303">
        <v>0</v>
      </c>
      <c r="T303">
        <v>0</v>
      </c>
    </row>
    <row r="304" spans="1:20" x14ac:dyDescent="0.25">
      <c r="A304" s="1">
        <v>46245</v>
      </c>
      <c r="B304" t="s">
        <v>151</v>
      </c>
      <c r="C304" t="s">
        <v>10</v>
      </c>
      <c r="D304">
        <v>3.6011567851291222</v>
      </c>
      <c r="E304" t="s">
        <v>161</v>
      </c>
      <c r="G304">
        <v>46245</v>
      </c>
      <c r="H304" t="s">
        <v>150</v>
      </c>
      <c r="I304">
        <v>0.30574872545693377</v>
      </c>
      <c r="J304">
        <v>0.30574872545693377</v>
      </c>
      <c r="K304">
        <v>0</v>
      </c>
      <c r="L304">
        <v>0</v>
      </c>
      <c r="M304">
        <v>0</v>
      </c>
      <c r="N304" t="s">
        <v>126</v>
      </c>
      <c r="O304" t="s">
        <v>126</v>
      </c>
      <c r="P304">
        <v>27.57</v>
      </c>
      <c r="Q304">
        <v>53.444877209872018</v>
      </c>
      <c r="R304">
        <v>0</v>
      </c>
      <c r="S304">
        <v>0</v>
      </c>
      <c r="T304">
        <v>53.444877209872018</v>
      </c>
    </row>
    <row r="305" spans="1:20" x14ac:dyDescent="0.25">
      <c r="A305" s="1">
        <v>46245</v>
      </c>
      <c r="B305" t="s">
        <v>151</v>
      </c>
      <c r="C305" t="s">
        <v>12</v>
      </c>
      <c r="D305">
        <v>3.1779578349000128</v>
      </c>
      <c r="E305" t="s">
        <v>166</v>
      </c>
      <c r="F305">
        <v>1</v>
      </c>
      <c r="G305">
        <v>46245</v>
      </c>
      <c r="H305" t="s">
        <v>150</v>
      </c>
      <c r="I305">
        <v>0.45792305429545088</v>
      </c>
      <c r="J305">
        <v>0.45792305429545088</v>
      </c>
      <c r="K305">
        <v>0</v>
      </c>
      <c r="L305">
        <v>0</v>
      </c>
      <c r="M305">
        <v>0.32795783490001323</v>
      </c>
      <c r="N305" t="s">
        <v>126</v>
      </c>
      <c r="O305" t="s">
        <v>126</v>
      </c>
      <c r="P305">
        <v>28.36</v>
      </c>
      <c r="Q305">
        <v>80.044949890844805</v>
      </c>
      <c r="R305">
        <v>0</v>
      </c>
      <c r="S305">
        <v>0</v>
      </c>
      <c r="T305">
        <v>80.044949890844805</v>
      </c>
    </row>
    <row r="306" spans="1:20" x14ac:dyDescent="0.25">
      <c r="A306" s="1">
        <v>46245</v>
      </c>
      <c r="B306" t="s">
        <v>151</v>
      </c>
      <c r="C306" t="s">
        <v>11</v>
      </c>
      <c r="D306">
        <v>0</v>
      </c>
      <c r="E306" t="s">
        <v>166</v>
      </c>
      <c r="F306">
        <v>1</v>
      </c>
      <c r="G306">
        <v>46245</v>
      </c>
      <c r="H306" t="s">
        <v>150</v>
      </c>
      <c r="I306">
        <v>0</v>
      </c>
      <c r="J306">
        <v>0</v>
      </c>
      <c r="K306">
        <v>0</v>
      </c>
      <c r="L306">
        <v>0</v>
      </c>
      <c r="M306">
        <v>0</v>
      </c>
      <c r="N306" t="s">
        <v>126</v>
      </c>
      <c r="O306" t="s">
        <v>126</v>
      </c>
      <c r="P306">
        <v>29.417999999999999</v>
      </c>
      <c r="Q306">
        <v>0</v>
      </c>
      <c r="R306">
        <v>0</v>
      </c>
      <c r="S306">
        <v>0</v>
      </c>
      <c r="T306">
        <v>0</v>
      </c>
    </row>
    <row r="307" spans="1:20" x14ac:dyDescent="0.25">
      <c r="A307" s="1">
        <v>46245</v>
      </c>
      <c r="B307" t="s">
        <v>151</v>
      </c>
      <c r="C307" t="s">
        <v>10</v>
      </c>
      <c r="D307">
        <v>3.5876164620550925</v>
      </c>
      <c r="E307" t="s">
        <v>166</v>
      </c>
      <c r="F307">
        <v>1</v>
      </c>
      <c r="G307">
        <v>46245</v>
      </c>
      <c r="H307" t="s">
        <v>150</v>
      </c>
      <c r="I307">
        <v>0.31067686083126556</v>
      </c>
      <c r="J307">
        <v>0.31067686083126556</v>
      </c>
      <c r="K307">
        <v>0</v>
      </c>
      <c r="L307">
        <v>0</v>
      </c>
      <c r="M307">
        <v>0</v>
      </c>
      <c r="N307" t="s">
        <v>126</v>
      </c>
      <c r="O307" t="s">
        <v>126</v>
      </c>
      <c r="P307">
        <v>27.57</v>
      </c>
      <c r="Q307">
        <v>54.306315273305216</v>
      </c>
      <c r="R307">
        <v>0</v>
      </c>
      <c r="S307">
        <v>0</v>
      </c>
      <c r="T307">
        <v>54.306315273305216</v>
      </c>
    </row>
    <row r="308" spans="1:20" x14ac:dyDescent="0.25">
      <c r="A308" s="1">
        <v>46246</v>
      </c>
      <c r="B308" t="s">
        <v>151</v>
      </c>
      <c r="C308" t="s">
        <v>10</v>
      </c>
      <c r="D308">
        <v>3.6011567851291222</v>
      </c>
      <c r="E308" t="s">
        <v>161</v>
      </c>
      <c r="G308">
        <v>46246</v>
      </c>
      <c r="H308" t="s">
        <v>150</v>
      </c>
      <c r="I308">
        <v>0.30574872545693377</v>
      </c>
      <c r="J308">
        <v>0.30574872545693377</v>
      </c>
      <c r="K308">
        <v>0</v>
      </c>
      <c r="L308">
        <v>0</v>
      </c>
      <c r="M308">
        <v>0</v>
      </c>
      <c r="N308" t="s">
        <v>127</v>
      </c>
      <c r="O308" t="s">
        <v>127</v>
      </c>
      <c r="P308">
        <v>27.57</v>
      </c>
      <c r="Q308">
        <v>53.444877209872018</v>
      </c>
      <c r="R308">
        <v>0</v>
      </c>
      <c r="S308">
        <v>0</v>
      </c>
      <c r="T308">
        <v>53.444877209872018</v>
      </c>
    </row>
    <row r="309" spans="1:20" x14ac:dyDescent="0.25">
      <c r="A309" s="1">
        <v>46246</v>
      </c>
      <c r="B309" t="s">
        <v>151</v>
      </c>
      <c r="C309" t="s">
        <v>11</v>
      </c>
      <c r="D309">
        <v>0</v>
      </c>
      <c r="E309" t="s">
        <v>161</v>
      </c>
      <c r="G309">
        <v>46246</v>
      </c>
      <c r="H309" t="s">
        <v>150</v>
      </c>
      <c r="I309">
        <v>0</v>
      </c>
      <c r="J309">
        <v>0</v>
      </c>
      <c r="K309">
        <v>0</v>
      </c>
      <c r="L309">
        <v>0</v>
      </c>
      <c r="M309">
        <v>0</v>
      </c>
      <c r="N309" t="s">
        <v>127</v>
      </c>
      <c r="O309" t="s">
        <v>127</v>
      </c>
      <c r="P309">
        <v>29.417999999999999</v>
      </c>
      <c r="Q309">
        <v>0</v>
      </c>
      <c r="R309">
        <v>0</v>
      </c>
      <c r="S309">
        <v>0</v>
      </c>
      <c r="T309">
        <v>0</v>
      </c>
    </row>
    <row r="310" spans="1:20" x14ac:dyDescent="0.25">
      <c r="A310" s="1">
        <v>46246</v>
      </c>
      <c r="B310" t="s">
        <v>151</v>
      </c>
      <c r="C310" t="s">
        <v>12</v>
      </c>
      <c r="D310">
        <v>3.1774912809962848</v>
      </c>
      <c r="E310" t="s">
        <v>161</v>
      </c>
      <c r="G310">
        <v>46246</v>
      </c>
      <c r="H310" t="s">
        <v>150</v>
      </c>
      <c r="I310">
        <v>0.4581371224492754</v>
      </c>
      <c r="J310">
        <v>0.4581371224492754</v>
      </c>
      <c r="K310">
        <v>0</v>
      </c>
      <c r="L310">
        <v>0</v>
      </c>
      <c r="M310">
        <v>0</v>
      </c>
      <c r="N310" t="s">
        <v>127</v>
      </c>
      <c r="O310" t="s">
        <v>127</v>
      </c>
      <c r="P310">
        <v>28.36</v>
      </c>
      <c r="Q310">
        <v>80.082369004133326</v>
      </c>
      <c r="R310">
        <v>0</v>
      </c>
      <c r="S310">
        <v>0</v>
      </c>
      <c r="T310">
        <v>80.082369004133326</v>
      </c>
    </row>
    <row r="311" spans="1:20" x14ac:dyDescent="0.25">
      <c r="A311" s="1">
        <v>46246</v>
      </c>
      <c r="B311" t="s">
        <v>151</v>
      </c>
      <c r="C311" t="s">
        <v>10</v>
      </c>
      <c r="D311">
        <v>3.5876164620550925</v>
      </c>
      <c r="E311" t="s">
        <v>166</v>
      </c>
      <c r="F311">
        <v>1</v>
      </c>
      <c r="G311">
        <v>46246</v>
      </c>
      <c r="H311" t="s">
        <v>150</v>
      </c>
      <c r="I311">
        <v>0.50147779644096335</v>
      </c>
      <c r="J311">
        <v>0.50147779644096335</v>
      </c>
      <c r="K311">
        <v>0</v>
      </c>
      <c r="L311">
        <v>0</v>
      </c>
      <c r="M311">
        <v>0</v>
      </c>
      <c r="N311" t="s">
        <v>127</v>
      </c>
      <c r="O311" t="s">
        <v>127</v>
      </c>
      <c r="P311">
        <v>27.57</v>
      </c>
      <c r="Q311">
        <v>87.658318817880399</v>
      </c>
      <c r="R311">
        <v>0</v>
      </c>
      <c r="S311">
        <v>0</v>
      </c>
      <c r="T311">
        <v>87.658318817880399</v>
      </c>
    </row>
    <row r="312" spans="1:20" x14ac:dyDescent="0.25">
      <c r="A312" s="1">
        <v>46246</v>
      </c>
      <c r="B312" t="s">
        <v>151</v>
      </c>
      <c r="C312" t="s">
        <v>11</v>
      </c>
      <c r="D312">
        <v>0</v>
      </c>
      <c r="E312" t="s">
        <v>166</v>
      </c>
      <c r="F312">
        <v>1</v>
      </c>
      <c r="G312">
        <v>46246</v>
      </c>
      <c r="H312" t="s">
        <v>150</v>
      </c>
      <c r="I312">
        <v>0</v>
      </c>
      <c r="J312">
        <v>0</v>
      </c>
      <c r="K312">
        <v>0</v>
      </c>
      <c r="L312">
        <v>0</v>
      </c>
      <c r="M312">
        <v>0</v>
      </c>
      <c r="N312" t="s">
        <v>127</v>
      </c>
      <c r="O312" t="s">
        <v>127</v>
      </c>
      <c r="P312">
        <v>29.417999999999999</v>
      </c>
      <c r="Q312">
        <v>0</v>
      </c>
      <c r="R312">
        <v>0</v>
      </c>
      <c r="S312">
        <v>0</v>
      </c>
      <c r="T312">
        <v>0</v>
      </c>
    </row>
    <row r="313" spans="1:20" x14ac:dyDescent="0.25">
      <c r="A313" s="1">
        <v>46246</v>
      </c>
      <c r="B313" t="s">
        <v>151</v>
      </c>
      <c r="C313" t="s">
        <v>12</v>
      </c>
      <c r="D313">
        <v>3.1779578349000128</v>
      </c>
      <c r="E313" t="s">
        <v>166</v>
      </c>
      <c r="F313">
        <v>1</v>
      </c>
      <c r="G313">
        <v>46246</v>
      </c>
      <c r="H313" t="s">
        <v>150</v>
      </c>
      <c r="I313">
        <v>0.45792305429545088</v>
      </c>
      <c r="J313">
        <v>0.45792305429545088</v>
      </c>
      <c r="K313">
        <v>0</v>
      </c>
      <c r="L313">
        <v>0</v>
      </c>
      <c r="M313">
        <v>0.32795783490001323</v>
      </c>
      <c r="N313" t="s">
        <v>127</v>
      </c>
      <c r="O313" t="s">
        <v>127</v>
      </c>
      <c r="P313">
        <v>28.36</v>
      </c>
      <c r="Q313">
        <v>80.044949890844805</v>
      </c>
      <c r="R313">
        <v>0</v>
      </c>
      <c r="S313">
        <v>0</v>
      </c>
      <c r="T313">
        <v>80.044949890844805</v>
      </c>
    </row>
    <row r="314" spans="1:20" x14ac:dyDescent="0.25">
      <c r="A314" s="1">
        <v>46247</v>
      </c>
      <c r="B314" t="s">
        <v>151</v>
      </c>
      <c r="C314" t="s">
        <v>12</v>
      </c>
      <c r="D314">
        <v>3.1774912809962848</v>
      </c>
      <c r="E314" t="s">
        <v>161</v>
      </c>
      <c r="G314">
        <v>46247</v>
      </c>
      <c r="H314" t="s">
        <v>150</v>
      </c>
      <c r="I314">
        <v>0.4581371224492754</v>
      </c>
      <c r="J314">
        <v>0.4581371224492754</v>
      </c>
      <c r="K314">
        <v>0</v>
      </c>
      <c r="L314">
        <v>0</v>
      </c>
      <c r="M314">
        <v>0</v>
      </c>
      <c r="N314" t="s">
        <v>128</v>
      </c>
      <c r="O314" t="s">
        <v>128</v>
      </c>
      <c r="P314">
        <v>28.36</v>
      </c>
      <c r="Q314">
        <v>80.082369004133326</v>
      </c>
      <c r="R314">
        <v>0</v>
      </c>
      <c r="S314">
        <v>0</v>
      </c>
      <c r="T314">
        <v>80.082369004133326</v>
      </c>
    </row>
    <row r="315" spans="1:20" x14ac:dyDescent="0.25">
      <c r="A315" s="1">
        <v>46247</v>
      </c>
      <c r="B315" t="s">
        <v>151</v>
      </c>
      <c r="C315" t="s">
        <v>11</v>
      </c>
      <c r="D315">
        <v>0</v>
      </c>
      <c r="E315" t="s">
        <v>161</v>
      </c>
      <c r="G315">
        <v>46247</v>
      </c>
      <c r="H315" t="s">
        <v>150</v>
      </c>
      <c r="I315">
        <v>0</v>
      </c>
      <c r="J315">
        <v>0</v>
      </c>
      <c r="K315">
        <v>0</v>
      </c>
      <c r="L315">
        <v>0</v>
      </c>
      <c r="M315">
        <v>0</v>
      </c>
      <c r="N315" t="s">
        <v>128</v>
      </c>
      <c r="O315" t="s">
        <v>128</v>
      </c>
      <c r="P315">
        <v>29.417999999999999</v>
      </c>
      <c r="Q315">
        <v>0</v>
      </c>
      <c r="R315">
        <v>0</v>
      </c>
      <c r="S315">
        <v>0</v>
      </c>
      <c r="T315">
        <v>0</v>
      </c>
    </row>
    <row r="316" spans="1:20" x14ac:dyDescent="0.25">
      <c r="A316" s="1">
        <v>46247</v>
      </c>
      <c r="B316" t="s">
        <v>151</v>
      </c>
      <c r="C316" t="s">
        <v>10</v>
      </c>
      <c r="D316">
        <v>3.6011567851291222</v>
      </c>
      <c r="E316" t="s">
        <v>161</v>
      </c>
      <c r="G316">
        <v>46247</v>
      </c>
      <c r="H316" t="s">
        <v>150</v>
      </c>
      <c r="I316">
        <v>0.30574872545693399</v>
      </c>
      <c r="J316">
        <v>0.30574872545693399</v>
      </c>
      <c r="K316">
        <v>0</v>
      </c>
      <c r="L316">
        <v>0</v>
      </c>
      <c r="M316">
        <v>2.651156785129122</v>
      </c>
      <c r="N316" t="s">
        <v>128</v>
      </c>
      <c r="O316" t="s">
        <v>128</v>
      </c>
      <c r="P316">
        <v>27.57</v>
      </c>
      <c r="Q316">
        <v>53.444877209872061</v>
      </c>
      <c r="R316">
        <v>0</v>
      </c>
      <c r="S316">
        <v>0</v>
      </c>
      <c r="T316">
        <v>53.444877209872061</v>
      </c>
    </row>
    <row r="317" spans="1:20" x14ac:dyDescent="0.25">
      <c r="A317" s="1">
        <v>46247</v>
      </c>
      <c r="B317" t="s">
        <v>151</v>
      </c>
      <c r="C317" t="s">
        <v>12</v>
      </c>
      <c r="D317">
        <v>3.1779578349000128</v>
      </c>
      <c r="E317" t="s">
        <v>166</v>
      </c>
      <c r="F317">
        <v>1</v>
      </c>
      <c r="G317">
        <v>46247</v>
      </c>
      <c r="H317" t="s">
        <v>150</v>
      </c>
      <c r="I317">
        <v>0.45792305429545088</v>
      </c>
      <c r="J317">
        <v>0.45792305429545088</v>
      </c>
      <c r="K317">
        <v>0</v>
      </c>
      <c r="L317">
        <v>0</v>
      </c>
      <c r="M317">
        <v>0.32795783490001323</v>
      </c>
      <c r="N317" t="s">
        <v>128</v>
      </c>
      <c r="O317" t="s">
        <v>128</v>
      </c>
      <c r="P317">
        <v>28.36</v>
      </c>
      <c r="Q317">
        <v>80.044949890844805</v>
      </c>
      <c r="R317">
        <v>0</v>
      </c>
      <c r="S317">
        <v>0</v>
      </c>
      <c r="T317">
        <v>80.044949890844805</v>
      </c>
    </row>
    <row r="318" spans="1:20" x14ac:dyDescent="0.25">
      <c r="A318" s="1">
        <v>46247</v>
      </c>
      <c r="B318" t="s">
        <v>151</v>
      </c>
      <c r="C318" t="s">
        <v>11</v>
      </c>
      <c r="D318">
        <v>0</v>
      </c>
      <c r="E318" t="s">
        <v>166</v>
      </c>
      <c r="F318">
        <v>1</v>
      </c>
      <c r="G318">
        <v>46247</v>
      </c>
      <c r="H318" t="s">
        <v>150</v>
      </c>
      <c r="I318">
        <v>0</v>
      </c>
      <c r="J318">
        <v>0</v>
      </c>
      <c r="K318">
        <v>0</v>
      </c>
      <c r="L318">
        <v>0</v>
      </c>
      <c r="M318">
        <v>0</v>
      </c>
      <c r="N318" t="s">
        <v>128</v>
      </c>
      <c r="O318" t="s">
        <v>128</v>
      </c>
      <c r="P318">
        <v>29.417999999999999</v>
      </c>
      <c r="Q318">
        <v>0</v>
      </c>
      <c r="R318">
        <v>0</v>
      </c>
      <c r="S318">
        <v>0</v>
      </c>
      <c r="T318">
        <v>0</v>
      </c>
    </row>
    <row r="319" spans="1:20" x14ac:dyDescent="0.25">
      <c r="A319" s="1">
        <v>46247</v>
      </c>
      <c r="B319" t="s">
        <v>151</v>
      </c>
      <c r="C319" t="s">
        <v>10</v>
      </c>
      <c r="D319">
        <v>3.587616462055093</v>
      </c>
      <c r="E319" t="s">
        <v>166</v>
      </c>
      <c r="F319">
        <v>1</v>
      </c>
      <c r="G319">
        <v>46247</v>
      </c>
      <c r="H319" t="s">
        <v>150</v>
      </c>
      <c r="I319">
        <v>0.5014777964409638</v>
      </c>
      <c r="J319">
        <v>0.5014777964409638</v>
      </c>
      <c r="K319">
        <v>0</v>
      </c>
      <c r="L319">
        <v>0</v>
      </c>
      <c r="M319">
        <v>0</v>
      </c>
      <c r="N319" t="s">
        <v>128</v>
      </c>
      <c r="O319" t="s">
        <v>128</v>
      </c>
      <c r="P319">
        <v>27.57</v>
      </c>
      <c r="Q319">
        <v>87.65831881788047</v>
      </c>
      <c r="R319">
        <v>0</v>
      </c>
      <c r="S319">
        <v>0</v>
      </c>
      <c r="T319">
        <v>87.65831881788047</v>
      </c>
    </row>
    <row r="320" spans="1:20" x14ac:dyDescent="0.25">
      <c r="A320" s="1">
        <v>46248</v>
      </c>
      <c r="B320" t="s">
        <v>151</v>
      </c>
      <c r="C320" t="s">
        <v>12</v>
      </c>
      <c r="D320">
        <v>3.1774912809962848</v>
      </c>
      <c r="E320" t="s">
        <v>161</v>
      </c>
      <c r="G320">
        <v>46248</v>
      </c>
      <c r="H320" t="s">
        <v>150</v>
      </c>
      <c r="I320">
        <v>0.4581371224492754</v>
      </c>
      <c r="J320">
        <v>0.4581371224492754</v>
      </c>
      <c r="K320">
        <v>0</v>
      </c>
      <c r="L320">
        <v>0</v>
      </c>
      <c r="M320">
        <v>0</v>
      </c>
      <c r="N320" t="s">
        <v>129</v>
      </c>
      <c r="O320" t="s">
        <v>129</v>
      </c>
      <c r="P320">
        <v>28.36</v>
      </c>
      <c r="Q320">
        <v>80.082369004133326</v>
      </c>
      <c r="R320">
        <v>0</v>
      </c>
      <c r="S320">
        <v>0</v>
      </c>
      <c r="T320">
        <v>80.082369004133326</v>
      </c>
    </row>
    <row r="321" spans="1:20" x14ac:dyDescent="0.25">
      <c r="A321" s="1">
        <v>46248</v>
      </c>
      <c r="B321" t="s">
        <v>151</v>
      </c>
      <c r="C321" t="s">
        <v>11</v>
      </c>
      <c r="D321">
        <v>0</v>
      </c>
      <c r="E321" t="s">
        <v>161</v>
      </c>
      <c r="G321">
        <v>46248</v>
      </c>
      <c r="H321" t="s">
        <v>150</v>
      </c>
      <c r="I321">
        <v>0</v>
      </c>
      <c r="J321">
        <v>0</v>
      </c>
      <c r="K321">
        <v>0</v>
      </c>
      <c r="L321">
        <v>0</v>
      </c>
      <c r="M321">
        <v>0</v>
      </c>
      <c r="N321" t="s">
        <v>129</v>
      </c>
      <c r="O321" t="s">
        <v>129</v>
      </c>
      <c r="P321">
        <v>29.417999999999999</v>
      </c>
      <c r="Q321">
        <v>0</v>
      </c>
      <c r="R321">
        <v>0</v>
      </c>
      <c r="S321">
        <v>0</v>
      </c>
      <c r="T321">
        <v>0</v>
      </c>
    </row>
    <row r="322" spans="1:20" x14ac:dyDescent="0.25">
      <c r="A322" s="1">
        <v>46248</v>
      </c>
      <c r="B322" t="s">
        <v>151</v>
      </c>
      <c r="C322" t="s">
        <v>10</v>
      </c>
      <c r="D322">
        <v>3.6011567851291222</v>
      </c>
      <c r="E322" t="s">
        <v>161</v>
      </c>
      <c r="G322">
        <v>46248</v>
      </c>
      <c r="H322" t="s">
        <v>150</v>
      </c>
      <c r="I322">
        <v>0.30574872545693377</v>
      </c>
      <c r="J322">
        <v>0.30574872545693377</v>
      </c>
      <c r="K322">
        <v>0</v>
      </c>
      <c r="L322">
        <v>0</v>
      </c>
      <c r="M322">
        <v>2.651156785129122</v>
      </c>
      <c r="N322" t="s">
        <v>129</v>
      </c>
      <c r="O322" t="s">
        <v>129</v>
      </c>
      <c r="P322">
        <v>27.57</v>
      </c>
      <c r="Q322">
        <v>53.444877209872018</v>
      </c>
      <c r="R322">
        <v>0</v>
      </c>
      <c r="S322">
        <v>0</v>
      </c>
      <c r="T322">
        <v>53.444877209872018</v>
      </c>
    </row>
    <row r="323" spans="1:20" x14ac:dyDescent="0.25">
      <c r="A323" s="1">
        <v>46248</v>
      </c>
      <c r="B323" t="s">
        <v>151</v>
      </c>
      <c r="C323" t="s">
        <v>12</v>
      </c>
      <c r="D323">
        <v>3.1779578349000128</v>
      </c>
      <c r="E323" t="s">
        <v>166</v>
      </c>
      <c r="F323">
        <v>1</v>
      </c>
      <c r="G323">
        <v>46248</v>
      </c>
      <c r="H323" t="s">
        <v>150</v>
      </c>
      <c r="I323">
        <v>0.51218661051108638</v>
      </c>
      <c r="J323">
        <v>0.51218661051108638</v>
      </c>
      <c r="K323">
        <v>0</v>
      </c>
      <c r="L323">
        <v>0</v>
      </c>
      <c r="M323">
        <v>0</v>
      </c>
      <c r="N323" t="s">
        <v>129</v>
      </c>
      <c r="O323" t="s">
        <v>129</v>
      </c>
      <c r="P323">
        <v>28.36</v>
      </c>
      <c r="Q323">
        <v>89.530219517337898</v>
      </c>
      <c r="R323">
        <v>0</v>
      </c>
      <c r="S323">
        <v>0</v>
      </c>
      <c r="T323">
        <v>89.530219517337898</v>
      </c>
    </row>
    <row r="324" spans="1:20" x14ac:dyDescent="0.25">
      <c r="A324" s="1">
        <v>46248</v>
      </c>
      <c r="B324" t="s">
        <v>151</v>
      </c>
      <c r="C324" t="s">
        <v>11</v>
      </c>
      <c r="D324">
        <v>0</v>
      </c>
      <c r="E324" t="s">
        <v>166</v>
      </c>
      <c r="F324">
        <v>1</v>
      </c>
      <c r="G324">
        <v>46248</v>
      </c>
      <c r="H324" t="s">
        <v>150</v>
      </c>
      <c r="I324">
        <v>0</v>
      </c>
      <c r="J324">
        <v>0</v>
      </c>
      <c r="K324">
        <v>0</v>
      </c>
      <c r="L324">
        <v>0</v>
      </c>
      <c r="M324">
        <v>0</v>
      </c>
      <c r="N324" t="s">
        <v>129</v>
      </c>
      <c r="O324" t="s">
        <v>129</v>
      </c>
      <c r="P324">
        <v>29.417999999999999</v>
      </c>
      <c r="Q324">
        <v>0</v>
      </c>
      <c r="R324">
        <v>0</v>
      </c>
      <c r="S324">
        <v>0</v>
      </c>
      <c r="T324">
        <v>0</v>
      </c>
    </row>
    <row r="325" spans="1:20" x14ac:dyDescent="0.25">
      <c r="A325" s="1">
        <v>46248</v>
      </c>
      <c r="B325" t="s">
        <v>151</v>
      </c>
      <c r="C325" t="s">
        <v>10</v>
      </c>
      <c r="D325">
        <v>3.5876164620550925</v>
      </c>
      <c r="E325" t="s">
        <v>166</v>
      </c>
      <c r="F325">
        <v>1</v>
      </c>
      <c r="G325">
        <v>46248</v>
      </c>
      <c r="H325" t="s">
        <v>150</v>
      </c>
      <c r="I325">
        <v>0.50147779644096335</v>
      </c>
      <c r="J325">
        <v>0.50147779644096335</v>
      </c>
      <c r="K325">
        <v>0</v>
      </c>
      <c r="L325">
        <v>0</v>
      </c>
      <c r="M325">
        <v>0</v>
      </c>
      <c r="N325" t="s">
        <v>129</v>
      </c>
      <c r="O325" t="s">
        <v>129</v>
      </c>
      <c r="P325">
        <v>27.57</v>
      </c>
      <c r="Q325">
        <v>87.658318817880399</v>
      </c>
      <c r="R325">
        <v>0</v>
      </c>
      <c r="S325">
        <v>0</v>
      </c>
      <c r="T325">
        <v>87.658318817880399</v>
      </c>
    </row>
    <row r="326" spans="1:20" x14ac:dyDescent="0.25">
      <c r="A326" s="1">
        <v>46249</v>
      </c>
      <c r="B326" t="s">
        <v>151</v>
      </c>
      <c r="C326" t="s">
        <v>12</v>
      </c>
      <c r="D326">
        <v>3.2304494690128904</v>
      </c>
      <c r="E326" t="s">
        <v>161</v>
      </c>
      <c r="G326">
        <v>46249</v>
      </c>
      <c r="H326" t="s">
        <v>150</v>
      </c>
      <c r="I326">
        <v>0.45244232033292553</v>
      </c>
      <c r="J326">
        <v>0.45244232033292553</v>
      </c>
      <c r="K326">
        <v>0</v>
      </c>
      <c r="L326">
        <v>0</v>
      </c>
      <c r="M326">
        <v>0</v>
      </c>
      <c r="N326" t="s">
        <v>119</v>
      </c>
      <c r="O326" t="s">
        <v>119</v>
      </c>
      <c r="P326">
        <v>33.160000000000011</v>
      </c>
      <c r="Q326">
        <v>79.08691759419537</v>
      </c>
      <c r="R326">
        <v>0</v>
      </c>
      <c r="S326">
        <v>0</v>
      </c>
      <c r="T326">
        <v>79.08691759419537</v>
      </c>
    </row>
    <row r="327" spans="1:20" x14ac:dyDescent="0.25">
      <c r="A327" s="1">
        <v>46249</v>
      </c>
      <c r="B327" t="s">
        <v>151</v>
      </c>
      <c r="C327" t="s">
        <v>10</v>
      </c>
      <c r="D327">
        <v>3.6011567851291222</v>
      </c>
      <c r="E327" t="s">
        <v>161</v>
      </c>
      <c r="G327">
        <v>46249</v>
      </c>
      <c r="H327" t="s">
        <v>150</v>
      </c>
      <c r="I327">
        <v>0.32310425972805734</v>
      </c>
      <c r="J327">
        <v>0.32310425972805734</v>
      </c>
      <c r="K327">
        <v>0</v>
      </c>
      <c r="L327">
        <v>0</v>
      </c>
      <c r="M327">
        <v>0</v>
      </c>
      <c r="N327" t="s">
        <v>119</v>
      </c>
      <c r="O327" t="s">
        <v>119</v>
      </c>
      <c r="P327">
        <v>37.600000000000009</v>
      </c>
      <c r="Q327">
        <v>56.478624600464421</v>
      </c>
      <c r="R327">
        <v>0</v>
      </c>
      <c r="S327">
        <v>0</v>
      </c>
      <c r="T327">
        <v>56.478624600464421</v>
      </c>
    </row>
    <row r="328" spans="1:20" x14ac:dyDescent="0.25">
      <c r="A328" s="1">
        <v>46249</v>
      </c>
      <c r="B328" t="s">
        <v>151</v>
      </c>
      <c r="C328" t="s">
        <v>11</v>
      </c>
      <c r="D328">
        <v>0</v>
      </c>
      <c r="E328" t="s">
        <v>161</v>
      </c>
      <c r="G328">
        <v>46249</v>
      </c>
      <c r="H328" t="s">
        <v>150</v>
      </c>
      <c r="I328">
        <v>0</v>
      </c>
      <c r="J328">
        <v>0</v>
      </c>
      <c r="K328">
        <v>0</v>
      </c>
      <c r="L328">
        <v>0</v>
      </c>
      <c r="M328">
        <v>0</v>
      </c>
      <c r="N328" t="s">
        <v>119</v>
      </c>
      <c r="O328" t="s">
        <v>119</v>
      </c>
      <c r="P328">
        <v>32.272000000000013</v>
      </c>
      <c r="Q328">
        <v>0</v>
      </c>
      <c r="R328">
        <v>0</v>
      </c>
      <c r="S328">
        <v>0</v>
      </c>
      <c r="T328">
        <v>0</v>
      </c>
    </row>
    <row r="329" spans="1:20" x14ac:dyDescent="0.25">
      <c r="A329" s="1">
        <v>46249</v>
      </c>
      <c r="B329" t="s">
        <v>151</v>
      </c>
      <c r="C329" t="s">
        <v>12</v>
      </c>
      <c r="D329">
        <v>3.2276134260703255</v>
      </c>
      <c r="E329" t="s">
        <v>166</v>
      </c>
      <c r="F329">
        <v>1</v>
      </c>
      <c r="G329">
        <v>46249</v>
      </c>
      <c r="H329" t="s">
        <v>150</v>
      </c>
      <c r="I329">
        <v>0.45371855396077909</v>
      </c>
      <c r="J329">
        <v>0.45371855396077909</v>
      </c>
      <c r="K329">
        <v>0</v>
      </c>
      <c r="L329">
        <v>0</v>
      </c>
      <c r="M329">
        <v>0.37761342607032572</v>
      </c>
      <c r="N329" t="s">
        <v>119</v>
      </c>
      <c r="O329" t="s">
        <v>119</v>
      </c>
      <c r="P329">
        <v>33.160000000000011</v>
      </c>
      <c r="Q329">
        <v>79.310003232344172</v>
      </c>
      <c r="R329">
        <v>0</v>
      </c>
      <c r="S329">
        <v>0</v>
      </c>
      <c r="T329">
        <v>79.310003232344172</v>
      </c>
    </row>
    <row r="330" spans="1:20" x14ac:dyDescent="0.25">
      <c r="A330" s="1">
        <v>46249</v>
      </c>
      <c r="B330" t="s">
        <v>151</v>
      </c>
      <c r="C330" t="s">
        <v>10</v>
      </c>
      <c r="D330">
        <v>3.5876164620550925</v>
      </c>
      <c r="E330" t="s">
        <v>166</v>
      </c>
      <c r="F330">
        <v>1</v>
      </c>
      <c r="G330">
        <v>46249</v>
      </c>
      <c r="H330" t="s">
        <v>150</v>
      </c>
      <c r="I330">
        <v>0.51889883368422463</v>
      </c>
      <c r="J330">
        <v>0.51889883368422463</v>
      </c>
      <c r="K330">
        <v>0</v>
      </c>
      <c r="L330">
        <v>0</v>
      </c>
      <c r="M330">
        <v>0</v>
      </c>
      <c r="N330" t="s">
        <v>119</v>
      </c>
      <c r="O330" t="s">
        <v>119</v>
      </c>
      <c r="P330">
        <v>37.600000000000009</v>
      </c>
      <c r="Q330">
        <v>90.703516128002462</v>
      </c>
      <c r="R330">
        <v>0</v>
      </c>
      <c r="S330">
        <v>0</v>
      </c>
      <c r="T330">
        <v>90.703516128002462</v>
      </c>
    </row>
    <row r="331" spans="1:20" x14ac:dyDescent="0.25">
      <c r="A331" s="1">
        <v>46249</v>
      </c>
      <c r="B331" t="s">
        <v>151</v>
      </c>
      <c r="C331" t="s">
        <v>11</v>
      </c>
      <c r="D331">
        <v>0</v>
      </c>
      <c r="E331" t="s">
        <v>166</v>
      </c>
      <c r="F331">
        <v>1</v>
      </c>
      <c r="G331">
        <v>46249</v>
      </c>
      <c r="H331" t="s">
        <v>150</v>
      </c>
      <c r="I331">
        <v>0</v>
      </c>
      <c r="J331">
        <v>0</v>
      </c>
      <c r="K331">
        <v>0</v>
      </c>
      <c r="L331">
        <v>0</v>
      </c>
      <c r="M331">
        <v>0</v>
      </c>
      <c r="N331" t="s">
        <v>119</v>
      </c>
      <c r="O331" t="s">
        <v>119</v>
      </c>
      <c r="P331">
        <v>32.272000000000013</v>
      </c>
      <c r="Q331">
        <v>0</v>
      </c>
      <c r="R331">
        <v>0</v>
      </c>
      <c r="S331">
        <v>0</v>
      </c>
      <c r="T331">
        <v>0</v>
      </c>
    </row>
    <row r="332" spans="1:20" x14ac:dyDescent="0.25">
      <c r="A332" s="1">
        <v>46250</v>
      </c>
      <c r="B332" t="s">
        <v>151</v>
      </c>
      <c r="C332" t="s">
        <v>10</v>
      </c>
      <c r="D332">
        <v>3.6011567851291222</v>
      </c>
      <c r="E332" t="s">
        <v>161</v>
      </c>
      <c r="G332">
        <v>46250</v>
      </c>
      <c r="H332" t="s">
        <v>150</v>
      </c>
      <c r="I332">
        <v>0.30574872545693377</v>
      </c>
      <c r="J332">
        <v>0.30574872545693377</v>
      </c>
      <c r="K332">
        <v>0</v>
      </c>
      <c r="L332">
        <v>0</v>
      </c>
      <c r="M332">
        <v>2.651156785129122</v>
      </c>
      <c r="N332" t="s">
        <v>120</v>
      </c>
      <c r="O332" t="s">
        <v>120</v>
      </c>
      <c r="P332">
        <v>42.790000000000006</v>
      </c>
      <c r="Q332">
        <v>53.444877209872018</v>
      </c>
      <c r="R332">
        <v>0</v>
      </c>
      <c r="S332">
        <v>0</v>
      </c>
      <c r="T332">
        <v>53.444877209872018</v>
      </c>
    </row>
    <row r="333" spans="1:20" x14ac:dyDescent="0.25">
      <c r="A333" s="1">
        <v>46250</v>
      </c>
      <c r="B333" t="s">
        <v>151</v>
      </c>
      <c r="C333" t="s">
        <v>11</v>
      </c>
      <c r="D333">
        <v>0</v>
      </c>
      <c r="E333" t="s">
        <v>161</v>
      </c>
      <c r="G333">
        <v>46250</v>
      </c>
      <c r="H333" t="s">
        <v>150</v>
      </c>
      <c r="I333">
        <v>0</v>
      </c>
      <c r="J333">
        <v>0</v>
      </c>
      <c r="K333">
        <v>0</v>
      </c>
      <c r="L333">
        <v>0</v>
      </c>
      <c r="M333">
        <v>0</v>
      </c>
      <c r="N333" t="s">
        <v>120</v>
      </c>
      <c r="O333" t="s">
        <v>120</v>
      </c>
      <c r="P333">
        <v>36.574000000000012</v>
      </c>
      <c r="Q333">
        <v>0</v>
      </c>
      <c r="R333">
        <v>0</v>
      </c>
      <c r="S333">
        <v>0</v>
      </c>
      <c r="T333">
        <v>0</v>
      </c>
    </row>
    <row r="334" spans="1:20" x14ac:dyDescent="0.25">
      <c r="A334" s="1">
        <v>46250</v>
      </c>
      <c r="B334" t="s">
        <v>151</v>
      </c>
      <c r="C334" t="s">
        <v>12</v>
      </c>
      <c r="D334">
        <v>3.1774912809962856</v>
      </c>
      <c r="E334" t="s">
        <v>161</v>
      </c>
      <c r="G334">
        <v>46250</v>
      </c>
      <c r="H334" t="s">
        <v>150</v>
      </c>
      <c r="I334">
        <v>0.45813712244927518</v>
      </c>
      <c r="J334">
        <v>0.45813712244927518</v>
      </c>
      <c r="K334">
        <v>0</v>
      </c>
      <c r="L334">
        <v>0</v>
      </c>
      <c r="M334">
        <v>0</v>
      </c>
      <c r="N334" t="s">
        <v>120</v>
      </c>
      <c r="O334" t="s">
        <v>120</v>
      </c>
      <c r="P334">
        <v>37.610000000000007</v>
      </c>
      <c r="Q334">
        <v>80.082369004133298</v>
      </c>
      <c r="R334">
        <v>0</v>
      </c>
      <c r="S334">
        <v>0</v>
      </c>
      <c r="T334">
        <v>80.082369004133298</v>
      </c>
    </row>
    <row r="335" spans="1:20" x14ac:dyDescent="0.25">
      <c r="A335" s="1">
        <v>46250</v>
      </c>
      <c r="B335" t="s">
        <v>151</v>
      </c>
      <c r="C335" t="s">
        <v>10</v>
      </c>
      <c r="D335">
        <v>3.5876164620550925</v>
      </c>
      <c r="E335" t="s">
        <v>166</v>
      </c>
      <c r="F335">
        <v>1</v>
      </c>
      <c r="G335">
        <v>46250</v>
      </c>
      <c r="H335" t="s">
        <v>150</v>
      </c>
      <c r="I335">
        <v>0.50147779644096335</v>
      </c>
      <c r="J335">
        <v>0.50147779644096335</v>
      </c>
      <c r="K335">
        <v>0</v>
      </c>
      <c r="L335">
        <v>0</v>
      </c>
      <c r="M335">
        <v>0</v>
      </c>
      <c r="N335" t="s">
        <v>120</v>
      </c>
      <c r="O335" t="s">
        <v>120</v>
      </c>
      <c r="P335">
        <v>42.790000000000006</v>
      </c>
      <c r="Q335">
        <v>87.658318817880399</v>
      </c>
      <c r="R335">
        <v>0</v>
      </c>
      <c r="S335">
        <v>0</v>
      </c>
      <c r="T335">
        <v>87.658318817880399</v>
      </c>
    </row>
    <row r="336" spans="1:20" x14ac:dyDescent="0.25">
      <c r="A336" s="1">
        <v>46250</v>
      </c>
      <c r="B336" t="s">
        <v>151</v>
      </c>
      <c r="C336" t="s">
        <v>11</v>
      </c>
      <c r="D336">
        <v>0</v>
      </c>
      <c r="E336" t="s">
        <v>166</v>
      </c>
      <c r="F336">
        <v>1</v>
      </c>
      <c r="G336">
        <v>46250</v>
      </c>
      <c r="H336" t="s">
        <v>150</v>
      </c>
      <c r="I336">
        <v>0</v>
      </c>
      <c r="J336">
        <v>0</v>
      </c>
      <c r="K336">
        <v>0</v>
      </c>
      <c r="L336">
        <v>0</v>
      </c>
      <c r="M336">
        <v>0</v>
      </c>
      <c r="N336" t="s">
        <v>120</v>
      </c>
      <c r="O336" t="s">
        <v>120</v>
      </c>
      <c r="P336">
        <v>36.574000000000012</v>
      </c>
      <c r="Q336">
        <v>0</v>
      </c>
      <c r="R336">
        <v>0</v>
      </c>
      <c r="S336">
        <v>0</v>
      </c>
      <c r="T336">
        <v>0</v>
      </c>
    </row>
    <row r="337" spans="1:20" x14ac:dyDescent="0.25">
      <c r="A337" s="1">
        <v>46250</v>
      </c>
      <c r="B337" t="s">
        <v>151</v>
      </c>
      <c r="C337" t="s">
        <v>12</v>
      </c>
      <c r="D337">
        <v>3.1779578349000133</v>
      </c>
      <c r="E337" t="s">
        <v>166</v>
      </c>
      <c r="F337">
        <v>1</v>
      </c>
      <c r="G337">
        <v>46250</v>
      </c>
      <c r="H337" t="s">
        <v>150</v>
      </c>
      <c r="I337">
        <v>0.45792305429545066</v>
      </c>
      <c r="J337">
        <v>0.45792305429545066</v>
      </c>
      <c r="K337">
        <v>0</v>
      </c>
      <c r="L337">
        <v>0</v>
      </c>
      <c r="M337">
        <v>0.32795783490001362</v>
      </c>
      <c r="N337" t="s">
        <v>120</v>
      </c>
      <c r="O337" t="s">
        <v>120</v>
      </c>
      <c r="P337">
        <v>37.610000000000007</v>
      </c>
      <c r="Q337">
        <v>80.044949890844777</v>
      </c>
      <c r="R337">
        <v>0</v>
      </c>
      <c r="S337">
        <v>0</v>
      </c>
      <c r="T337">
        <v>80.044949890844777</v>
      </c>
    </row>
    <row r="338" spans="1:20" x14ac:dyDescent="0.25">
      <c r="A338" s="1">
        <v>46223</v>
      </c>
      <c r="B338" t="s">
        <v>13</v>
      </c>
      <c r="C338" t="s">
        <v>11</v>
      </c>
      <c r="D338">
        <v>1.2735376146788993</v>
      </c>
      <c r="E338" t="s">
        <v>161</v>
      </c>
      <c r="G338">
        <v>46223</v>
      </c>
      <c r="H338" t="s">
        <v>150</v>
      </c>
      <c r="I338">
        <v>0</v>
      </c>
      <c r="J338">
        <v>0</v>
      </c>
      <c r="K338">
        <v>0.33236114409066414</v>
      </c>
      <c r="L338">
        <v>0.33236114409066414</v>
      </c>
      <c r="M338">
        <v>0.94117647058823506</v>
      </c>
      <c r="N338" t="s">
        <v>125</v>
      </c>
      <c r="Q338">
        <v>0</v>
      </c>
      <c r="R338">
        <v>0</v>
      </c>
      <c r="S338">
        <v>0</v>
      </c>
      <c r="T338">
        <v>0</v>
      </c>
    </row>
    <row r="339" spans="1:20" x14ac:dyDescent="0.25">
      <c r="A339" s="1">
        <v>46223</v>
      </c>
      <c r="B339" t="s">
        <v>13</v>
      </c>
      <c r="C339" t="s">
        <v>12</v>
      </c>
      <c r="D339">
        <v>3.3711289800323798</v>
      </c>
      <c r="E339" t="s">
        <v>161</v>
      </c>
      <c r="G339">
        <v>46223</v>
      </c>
      <c r="H339" t="s">
        <v>150</v>
      </c>
      <c r="I339">
        <v>0.31330947773344553</v>
      </c>
      <c r="J339">
        <v>0.31330947773344553</v>
      </c>
      <c r="K339">
        <v>0</v>
      </c>
      <c r="L339">
        <v>0</v>
      </c>
      <c r="M339">
        <v>0.52112898003238006</v>
      </c>
      <c r="N339" t="s">
        <v>125</v>
      </c>
      <c r="Q339">
        <v>54.766496707806276</v>
      </c>
      <c r="R339">
        <v>0</v>
      </c>
      <c r="S339">
        <v>0</v>
      </c>
      <c r="T339">
        <v>54.766496707806276</v>
      </c>
    </row>
    <row r="340" spans="1:20" x14ac:dyDescent="0.25">
      <c r="A340" s="1">
        <v>46223</v>
      </c>
      <c r="B340" t="s">
        <v>13</v>
      </c>
      <c r="C340" t="s">
        <v>10</v>
      </c>
      <c r="D340">
        <v>5.8204648795871554</v>
      </c>
      <c r="E340" t="s">
        <v>161</v>
      </c>
      <c r="G340">
        <v>46223</v>
      </c>
      <c r="H340" t="s">
        <v>150</v>
      </c>
      <c r="I340">
        <v>0</v>
      </c>
      <c r="J340">
        <v>0</v>
      </c>
      <c r="K340">
        <v>1.59068546782245</v>
      </c>
      <c r="L340">
        <v>1.59068546782245</v>
      </c>
      <c r="M340">
        <v>0</v>
      </c>
      <c r="N340" t="s">
        <v>125</v>
      </c>
      <c r="Q340">
        <v>0</v>
      </c>
      <c r="R340">
        <v>0</v>
      </c>
      <c r="S340">
        <v>0</v>
      </c>
      <c r="T340">
        <v>0</v>
      </c>
    </row>
    <row r="341" spans="1:20" x14ac:dyDescent="0.25">
      <c r="A341" s="1">
        <v>46223</v>
      </c>
      <c r="B341" t="s">
        <v>13</v>
      </c>
      <c r="C341" t="s">
        <v>11</v>
      </c>
      <c r="D341">
        <v>1.2742252699784016</v>
      </c>
      <c r="E341" t="s">
        <v>166</v>
      </c>
      <c r="F341">
        <v>1</v>
      </c>
      <c r="G341">
        <v>46223</v>
      </c>
      <c r="H341" t="s">
        <v>150</v>
      </c>
      <c r="I341">
        <v>0</v>
      </c>
      <c r="J341">
        <v>0</v>
      </c>
      <c r="K341">
        <v>0.33304879939016635</v>
      </c>
      <c r="L341">
        <v>0.33304879939016635</v>
      </c>
      <c r="M341">
        <v>0.94117647058823517</v>
      </c>
      <c r="N341" t="s">
        <v>125</v>
      </c>
      <c r="Q341">
        <v>0</v>
      </c>
      <c r="R341">
        <v>0</v>
      </c>
      <c r="S341">
        <v>0</v>
      </c>
      <c r="T341">
        <v>0</v>
      </c>
    </row>
    <row r="342" spans="1:20" x14ac:dyDescent="0.25">
      <c r="A342" s="1">
        <v>46223</v>
      </c>
      <c r="B342" t="s">
        <v>13</v>
      </c>
      <c r="C342" t="s">
        <v>12</v>
      </c>
      <c r="D342">
        <v>3.3729492440604751</v>
      </c>
      <c r="E342" t="s">
        <v>166</v>
      </c>
      <c r="F342">
        <v>1</v>
      </c>
      <c r="G342">
        <v>46223</v>
      </c>
      <c r="H342" t="s">
        <v>150</v>
      </c>
      <c r="I342">
        <v>0.31260073003903988</v>
      </c>
      <c r="J342">
        <v>0.31260073003903988</v>
      </c>
      <c r="K342">
        <v>0</v>
      </c>
      <c r="L342">
        <v>0</v>
      </c>
      <c r="M342">
        <v>0.52294924406047538</v>
      </c>
      <c r="N342" t="s">
        <v>125</v>
      </c>
      <c r="Q342">
        <v>54.642607610824172</v>
      </c>
      <c r="R342">
        <v>0</v>
      </c>
      <c r="S342">
        <v>0</v>
      </c>
      <c r="T342">
        <v>54.642607610824172</v>
      </c>
    </row>
    <row r="343" spans="1:20" x14ac:dyDescent="0.25">
      <c r="A343" s="1">
        <v>46223</v>
      </c>
      <c r="B343" t="s">
        <v>13</v>
      </c>
      <c r="C343" t="s">
        <v>10</v>
      </c>
      <c r="D343">
        <v>5.8323914011879046</v>
      </c>
      <c r="E343" t="s">
        <v>166</v>
      </c>
      <c r="F343">
        <v>1</v>
      </c>
      <c r="G343">
        <v>46223</v>
      </c>
      <c r="H343" t="s">
        <v>150</v>
      </c>
      <c r="I343">
        <v>0</v>
      </c>
      <c r="J343">
        <v>0</v>
      </c>
      <c r="K343">
        <v>1.6026119894231989</v>
      </c>
      <c r="L343">
        <v>1.6026119894231989</v>
      </c>
      <c r="M343">
        <v>0</v>
      </c>
      <c r="N343" t="s">
        <v>125</v>
      </c>
      <c r="Q343">
        <v>0</v>
      </c>
      <c r="R343">
        <v>0</v>
      </c>
      <c r="S343">
        <v>0</v>
      </c>
      <c r="T343">
        <v>0</v>
      </c>
    </row>
    <row r="344" spans="1:20" x14ac:dyDescent="0.25">
      <c r="A344" s="1">
        <v>46224</v>
      </c>
      <c r="B344" t="s">
        <v>13</v>
      </c>
      <c r="C344" t="s">
        <v>10</v>
      </c>
      <c r="D344">
        <v>5.8204648795871572</v>
      </c>
      <c r="E344" t="s">
        <v>161</v>
      </c>
      <c r="G344">
        <v>46224</v>
      </c>
      <c r="H344" t="s">
        <v>150</v>
      </c>
      <c r="I344">
        <v>0</v>
      </c>
      <c r="J344">
        <v>0</v>
      </c>
      <c r="K344">
        <v>1.531861938410688</v>
      </c>
      <c r="L344">
        <v>1.531861938410688</v>
      </c>
      <c r="M344">
        <v>0</v>
      </c>
      <c r="N344" t="s">
        <v>126</v>
      </c>
      <c r="Q344">
        <v>0</v>
      </c>
      <c r="R344">
        <v>0</v>
      </c>
      <c r="S344">
        <v>0</v>
      </c>
      <c r="T344">
        <v>0</v>
      </c>
    </row>
    <row r="345" spans="1:20" x14ac:dyDescent="0.25">
      <c r="A345" s="1">
        <v>46224</v>
      </c>
      <c r="B345" t="s">
        <v>13</v>
      </c>
      <c r="C345" t="s">
        <v>12</v>
      </c>
      <c r="D345">
        <v>3.3711289800323798</v>
      </c>
      <c r="E345" t="s">
        <v>161</v>
      </c>
      <c r="G345">
        <v>46224</v>
      </c>
      <c r="H345" t="s">
        <v>150</v>
      </c>
      <c r="I345">
        <v>3.4122156167601281E-2</v>
      </c>
      <c r="J345">
        <v>3.4122156167601281E-2</v>
      </c>
      <c r="K345">
        <v>0</v>
      </c>
      <c r="L345">
        <v>0</v>
      </c>
      <c r="M345">
        <v>2.4211289800323796</v>
      </c>
      <c r="N345" t="s">
        <v>126</v>
      </c>
      <c r="Q345">
        <v>5.964552898096704</v>
      </c>
      <c r="R345">
        <v>0</v>
      </c>
      <c r="S345">
        <v>0</v>
      </c>
      <c r="T345">
        <v>5.964552898096704</v>
      </c>
    </row>
    <row r="346" spans="1:20" x14ac:dyDescent="0.25">
      <c r="A346" s="1">
        <v>46224</v>
      </c>
      <c r="B346" t="s">
        <v>13</v>
      </c>
      <c r="C346" t="s">
        <v>11</v>
      </c>
      <c r="D346">
        <v>1.2735376146788993</v>
      </c>
      <c r="E346" t="s">
        <v>161</v>
      </c>
      <c r="G346">
        <v>46224</v>
      </c>
      <c r="H346" t="s">
        <v>150</v>
      </c>
      <c r="I346">
        <v>0</v>
      </c>
      <c r="J346">
        <v>0</v>
      </c>
      <c r="K346">
        <v>0.33236114409066414</v>
      </c>
      <c r="L346">
        <v>0.33236114409066414</v>
      </c>
      <c r="M346">
        <v>0.94117647058823506</v>
      </c>
      <c r="N346" t="s">
        <v>126</v>
      </c>
      <c r="Q346">
        <v>0</v>
      </c>
      <c r="R346">
        <v>0</v>
      </c>
      <c r="S346">
        <v>0</v>
      </c>
      <c r="T346">
        <v>0</v>
      </c>
    </row>
    <row r="347" spans="1:20" x14ac:dyDescent="0.25">
      <c r="A347" s="1">
        <v>46224</v>
      </c>
      <c r="B347" t="s">
        <v>13</v>
      </c>
      <c r="C347" t="s">
        <v>10</v>
      </c>
      <c r="D347">
        <v>5.8323914011879054</v>
      </c>
      <c r="E347" t="s">
        <v>166</v>
      </c>
      <c r="F347">
        <v>1</v>
      </c>
      <c r="G347">
        <v>46224</v>
      </c>
      <c r="H347" t="s">
        <v>150</v>
      </c>
      <c r="I347">
        <v>0</v>
      </c>
      <c r="J347">
        <v>0</v>
      </c>
      <c r="K347">
        <v>1.5437884600114362</v>
      </c>
      <c r="L347">
        <v>1.5437884600114362</v>
      </c>
      <c r="M347">
        <v>0</v>
      </c>
      <c r="N347" t="s">
        <v>126</v>
      </c>
      <c r="Q347">
        <v>0</v>
      </c>
      <c r="R347">
        <v>0</v>
      </c>
      <c r="S347">
        <v>0</v>
      </c>
      <c r="T347">
        <v>0</v>
      </c>
    </row>
    <row r="348" spans="1:20" x14ac:dyDescent="0.25">
      <c r="A348" s="1">
        <v>46224</v>
      </c>
      <c r="B348" t="s">
        <v>13</v>
      </c>
      <c r="C348" t="s">
        <v>12</v>
      </c>
      <c r="D348">
        <v>3.3729492440604751</v>
      </c>
      <c r="E348" t="s">
        <v>166</v>
      </c>
      <c r="F348">
        <v>1</v>
      </c>
      <c r="G348">
        <v>46224</v>
      </c>
      <c r="H348" t="s">
        <v>150</v>
      </c>
      <c r="I348">
        <v>3.3564076212842853E-2</v>
      </c>
      <c r="J348">
        <v>3.3564076212842853E-2</v>
      </c>
      <c r="K348">
        <v>0</v>
      </c>
      <c r="L348">
        <v>0</v>
      </c>
      <c r="M348">
        <v>2.4229492440604754</v>
      </c>
      <c r="N348" t="s">
        <v>126</v>
      </c>
      <c r="Q348">
        <v>5.8670005220049299</v>
      </c>
      <c r="R348">
        <v>0</v>
      </c>
      <c r="S348">
        <v>0</v>
      </c>
      <c r="T348">
        <v>5.8670005220049299</v>
      </c>
    </row>
    <row r="349" spans="1:20" x14ac:dyDescent="0.25">
      <c r="A349" s="1">
        <v>46224</v>
      </c>
      <c r="B349" t="s">
        <v>13</v>
      </c>
      <c r="C349" t="s">
        <v>11</v>
      </c>
      <c r="D349">
        <v>1.2742252699784016</v>
      </c>
      <c r="E349" t="s">
        <v>166</v>
      </c>
      <c r="F349">
        <v>1</v>
      </c>
      <c r="G349">
        <v>46224</v>
      </c>
      <c r="H349" t="s">
        <v>150</v>
      </c>
      <c r="I349">
        <v>0</v>
      </c>
      <c r="J349">
        <v>0</v>
      </c>
      <c r="K349">
        <v>0.33304879939016635</v>
      </c>
      <c r="L349">
        <v>0.33304879939016635</v>
      </c>
      <c r="M349">
        <v>0.94117647058823517</v>
      </c>
      <c r="N349" t="s">
        <v>126</v>
      </c>
      <c r="Q349">
        <v>0</v>
      </c>
      <c r="R349">
        <v>0</v>
      </c>
      <c r="S349">
        <v>0</v>
      </c>
      <c r="T349">
        <v>0</v>
      </c>
    </row>
    <row r="350" spans="1:20" x14ac:dyDescent="0.25">
      <c r="A350" s="1">
        <v>46225</v>
      </c>
      <c r="B350" t="s">
        <v>13</v>
      </c>
      <c r="C350" t="s">
        <v>12</v>
      </c>
      <c r="D350">
        <v>3.9329838100377774</v>
      </c>
      <c r="E350" t="s">
        <v>161</v>
      </c>
      <c r="G350">
        <v>46225</v>
      </c>
      <c r="H350" t="s">
        <v>150</v>
      </c>
      <c r="I350">
        <v>0</v>
      </c>
      <c r="J350">
        <v>0</v>
      </c>
      <c r="K350">
        <v>0.13108069585092888</v>
      </c>
      <c r="L350">
        <v>0.13108069585092888</v>
      </c>
      <c r="M350">
        <v>0</v>
      </c>
      <c r="N350" t="s">
        <v>127</v>
      </c>
      <c r="Q350">
        <v>0</v>
      </c>
      <c r="R350">
        <v>0</v>
      </c>
      <c r="S350">
        <v>0</v>
      </c>
      <c r="T350">
        <v>0</v>
      </c>
    </row>
    <row r="351" spans="1:20" x14ac:dyDescent="0.25">
      <c r="A351" s="1">
        <v>46225</v>
      </c>
      <c r="B351" t="s">
        <v>13</v>
      </c>
      <c r="C351" t="s">
        <v>11</v>
      </c>
      <c r="D351">
        <v>1.2735376146788993</v>
      </c>
      <c r="E351" t="s">
        <v>161</v>
      </c>
      <c r="G351">
        <v>46225</v>
      </c>
      <c r="H351" t="s">
        <v>150</v>
      </c>
      <c r="I351">
        <v>0</v>
      </c>
      <c r="J351">
        <v>0</v>
      </c>
      <c r="K351">
        <v>0.33236114409066414</v>
      </c>
      <c r="L351">
        <v>0.33236114409066414</v>
      </c>
      <c r="M351">
        <v>0.94117647058823506</v>
      </c>
      <c r="N351" t="s">
        <v>127</v>
      </c>
      <c r="Q351">
        <v>0</v>
      </c>
      <c r="R351">
        <v>0</v>
      </c>
      <c r="S351">
        <v>0</v>
      </c>
      <c r="T351">
        <v>0</v>
      </c>
    </row>
    <row r="352" spans="1:20" x14ac:dyDescent="0.25">
      <c r="A352" s="1">
        <v>46225</v>
      </c>
      <c r="B352" t="s">
        <v>13</v>
      </c>
      <c r="C352" t="s">
        <v>10</v>
      </c>
      <c r="D352">
        <v>4.6265233658256903</v>
      </c>
      <c r="E352" t="s">
        <v>161</v>
      </c>
      <c r="G352">
        <v>46225</v>
      </c>
      <c r="H352" t="s">
        <v>150</v>
      </c>
      <c r="I352">
        <v>0</v>
      </c>
      <c r="J352">
        <v>0</v>
      </c>
      <c r="K352">
        <v>1.8608983658256892</v>
      </c>
      <c r="L352">
        <v>1.8608983658256892</v>
      </c>
      <c r="M352">
        <v>0</v>
      </c>
      <c r="N352" t="s">
        <v>127</v>
      </c>
      <c r="Q352">
        <v>0</v>
      </c>
      <c r="R352">
        <v>0</v>
      </c>
      <c r="S352">
        <v>0</v>
      </c>
      <c r="T352">
        <v>0</v>
      </c>
    </row>
    <row r="353" spans="1:20" x14ac:dyDescent="0.25">
      <c r="A353" s="1">
        <v>46225</v>
      </c>
      <c r="B353" t="s">
        <v>13</v>
      </c>
      <c r="C353" t="s">
        <v>12</v>
      </c>
      <c r="D353">
        <v>3.902039321560157</v>
      </c>
      <c r="E353" t="s">
        <v>166</v>
      </c>
      <c r="F353">
        <v>1</v>
      </c>
      <c r="G353">
        <v>46225</v>
      </c>
      <c r="H353" t="s">
        <v>150</v>
      </c>
      <c r="I353">
        <v>0</v>
      </c>
      <c r="J353">
        <v>0</v>
      </c>
      <c r="K353">
        <v>0.10013620737330838</v>
      </c>
      <c r="L353">
        <v>0.10013620737330838</v>
      </c>
      <c r="M353">
        <v>0</v>
      </c>
      <c r="N353" t="s">
        <v>127</v>
      </c>
      <c r="Q353">
        <v>0</v>
      </c>
      <c r="R353">
        <v>0</v>
      </c>
      <c r="S353">
        <v>0</v>
      </c>
      <c r="T353">
        <v>0</v>
      </c>
    </row>
    <row r="354" spans="1:20" x14ac:dyDescent="0.25">
      <c r="A354" s="1">
        <v>46225</v>
      </c>
      <c r="B354" t="s">
        <v>13</v>
      </c>
      <c r="C354" t="s">
        <v>11</v>
      </c>
      <c r="D354">
        <v>1.2742252699784016</v>
      </c>
      <c r="E354" t="s">
        <v>166</v>
      </c>
      <c r="F354">
        <v>1</v>
      </c>
      <c r="G354">
        <v>46225</v>
      </c>
      <c r="H354" t="s">
        <v>150</v>
      </c>
      <c r="I354">
        <v>0</v>
      </c>
      <c r="J354">
        <v>0</v>
      </c>
      <c r="K354">
        <v>0.33304879939016635</v>
      </c>
      <c r="L354">
        <v>0.33304879939016635</v>
      </c>
      <c r="M354">
        <v>0.94117647058823517</v>
      </c>
      <c r="N354" t="s">
        <v>127</v>
      </c>
      <c r="Q354">
        <v>0</v>
      </c>
      <c r="R354">
        <v>0</v>
      </c>
      <c r="S354">
        <v>0</v>
      </c>
      <c r="T354">
        <v>0</v>
      </c>
    </row>
    <row r="355" spans="1:20" x14ac:dyDescent="0.25">
      <c r="A355" s="1">
        <v>46225</v>
      </c>
      <c r="B355" t="s">
        <v>13</v>
      </c>
      <c r="C355" t="s">
        <v>10</v>
      </c>
      <c r="D355">
        <v>4.6378052105831538</v>
      </c>
      <c r="E355" t="s">
        <v>166</v>
      </c>
      <c r="F355">
        <v>1</v>
      </c>
      <c r="G355">
        <v>46225</v>
      </c>
      <c r="H355" t="s">
        <v>150</v>
      </c>
      <c r="I355">
        <v>0</v>
      </c>
      <c r="J355">
        <v>0</v>
      </c>
      <c r="K355">
        <v>1.8721802105831529</v>
      </c>
      <c r="L355">
        <v>1.8721802105831529</v>
      </c>
      <c r="M355">
        <v>0</v>
      </c>
      <c r="N355" t="s">
        <v>127</v>
      </c>
      <c r="Q355">
        <v>0</v>
      </c>
      <c r="R355">
        <v>0</v>
      </c>
      <c r="S355">
        <v>0</v>
      </c>
      <c r="T355">
        <v>0</v>
      </c>
    </row>
    <row r="356" spans="1:20" x14ac:dyDescent="0.25">
      <c r="A356" s="1">
        <v>46226</v>
      </c>
      <c r="B356" t="s">
        <v>13</v>
      </c>
      <c r="C356" t="s">
        <v>12</v>
      </c>
      <c r="D356">
        <v>3.5115926875337284</v>
      </c>
      <c r="E356" t="s">
        <v>161</v>
      </c>
      <c r="G356">
        <v>46226</v>
      </c>
      <c r="H356" t="s">
        <v>150</v>
      </c>
      <c r="I356">
        <v>0</v>
      </c>
      <c r="J356">
        <v>0</v>
      </c>
      <c r="K356">
        <v>0.34969139450877845</v>
      </c>
      <c r="L356">
        <v>0.34969139450877845</v>
      </c>
      <c r="M356">
        <v>0</v>
      </c>
      <c r="N356" t="s">
        <v>128</v>
      </c>
      <c r="Q356">
        <v>0</v>
      </c>
      <c r="R356">
        <v>0</v>
      </c>
      <c r="S356">
        <v>0</v>
      </c>
      <c r="T356">
        <v>0</v>
      </c>
    </row>
    <row r="357" spans="1:20" x14ac:dyDescent="0.25">
      <c r="A357" s="1">
        <v>46226</v>
      </c>
      <c r="B357" t="s">
        <v>13</v>
      </c>
      <c r="C357" t="s">
        <v>10</v>
      </c>
      <c r="D357">
        <v>5.9697075688073395</v>
      </c>
      <c r="E357" t="s">
        <v>161</v>
      </c>
      <c r="G357">
        <v>46226</v>
      </c>
      <c r="H357" t="s">
        <v>150</v>
      </c>
      <c r="I357">
        <v>0</v>
      </c>
      <c r="J357">
        <v>0</v>
      </c>
      <c r="K357">
        <v>1.0865806338228197</v>
      </c>
      <c r="L357">
        <v>1.0865806338228197</v>
      </c>
      <c r="M357">
        <v>2.0331269349845202</v>
      </c>
      <c r="N357" t="s">
        <v>128</v>
      </c>
      <c r="Q357">
        <v>0</v>
      </c>
      <c r="R357">
        <v>0</v>
      </c>
      <c r="S357">
        <v>0</v>
      </c>
      <c r="T357">
        <v>0</v>
      </c>
    </row>
    <row r="358" spans="1:20" x14ac:dyDescent="0.25">
      <c r="A358" s="1">
        <v>46226</v>
      </c>
      <c r="B358" t="s">
        <v>13</v>
      </c>
      <c r="C358" t="s">
        <v>11</v>
      </c>
      <c r="D358">
        <v>1.2735376146788993</v>
      </c>
      <c r="E358" t="s">
        <v>161</v>
      </c>
      <c r="G358">
        <v>46226</v>
      </c>
      <c r="H358" t="s">
        <v>150</v>
      </c>
      <c r="I358">
        <v>0</v>
      </c>
      <c r="J358">
        <v>0</v>
      </c>
      <c r="K358">
        <v>0.33236114409066414</v>
      </c>
      <c r="L358">
        <v>0.33236114409066414</v>
      </c>
      <c r="M358">
        <v>0.94117647058823506</v>
      </c>
      <c r="N358" t="s">
        <v>128</v>
      </c>
      <c r="Q358">
        <v>0</v>
      </c>
      <c r="R358">
        <v>0</v>
      </c>
      <c r="S358">
        <v>0</v>
      </c>
      <c r="T358">
        <v>0</v>
      </c>
    </row>
    <row r="359" spans="1:20" x14ac:dyDescent="0.25">
      <c r="A359" s="1">
        <v>46226</v>
      </c>
      <c r="B359" t="s">
        <v>13</v>
      </c>
      <c r="C359" t="s">
        <v>12</v>
      </c>
      <c r="D359">
        <v>3.505221763435395</v>
      </c>
      <c r="E359" t="s">
        <v>166</v>
      </c>
      <c r="F359">
        <v>1</v>
      </c>
      <c r="G359">
        <v>46226</v>
      </c>
      <c r="H359" t="s">
        <v>150</v>
      </c>
      <c r="I359">
        <v>0</v>
      </c>
      <c r="J359">
        <v>0</v>
      </c>
      <c r="K359">
        <v>0.34332047041044511</v>
      </c>
      <c r="L359">
        <v>0.34332047041044511</v>
      </c>
      <c r="M359">
        <v>0</v>
      </c>
      <c r="N359" t="s">
        <v>128</v>
      </c>
      <c r="Q359">
        <v>0</v>
      </c>
      <c r="R359">
        <v>0</v>
      </c>
      <c r="S359">
        <v>0</v>
      </c>
      <c r="T359">
        <v>0</v>
      </c>
    </row>
    <row r="360" spans="1:20" x14ac:dyDescent="0.25">
      <c r="A360" s="1">
        <v>46226</v>
      </c>
      <c r="B360" t="s">
        <v>13</v>
      </c>
      <c r="C360" t="s">
        <v>10</v>
      </c>
      <c r="D360">
        <v>5.9729309530237575</v>
      </c>
      <c r="E360" t="s">
        <v>166</v>
      </c>
      <c r="F360">
        <v>1</v>
      </c>
      <c r="G360">
        <v>46226</v>
      </c>
      <c r="H360" t="s">
        <v>150</v>
      </c>
      <c r="I360">
        <v>0</v>
      </c>
      <c r="J360">
        <v>0</v>
      </c>
      <c r="K360">
        <v>1.0898040180392379</v>
      </c>
      <c r="L360">
        <v>1.0898040180392379</v>
      </c>
      <c r="M360">
        <v>2.0331269349845202</v>
      </c>
      <c r="N360" t="s">
        <v>128</v>
      </c>
      <c r="Q360">
        <v>0</v>
      </c>
      <c r="R360">
        <v>0</v>
      </c>
      <c r="S360">
        <v>0</v>
      </c>
      <c r="T360">
        <v>0</v>
      </c>
    </row>
    <row r="361" spans="1:20" x14ac:dyDescent="0.25">
      <c r="A361" s="1">
        <v>46226</v>
      </c>
      <c r="B361" t="s">
        <v>13</v>
      </c>
      <c r="C361" t="s">
        <v>11</v>
      </c>
      <c r="D361">
        <v>1.2742252699784016</v>
      </c>
      <c r="E361" t="s">
        <v>166</v>
      </c>
      <c r="F361">
        <v>1</v>
      </c>
      <c r="G361">
        <v>46226</v>
      </c>
      <c r="H361" t="s">
        <v>150</v>
      </c>
      <c r="I361">
        <v>0</v>
      </c>
      <c r="J361">
        <v>0</v>
      </c>
      <c r="K361">
        <v>0.33304879939016635</v>
      </c>
      <c r="L361">
        <v>0.33304879939016635</v>
      </c>
      <c r="M361">
        <v>0.94117647058823517</v>
      </c>
      <c r="N361" t="s">
        <v>128</v>
      </c>
      <c r="Q361">
        <v>0</v>
      </c>
      <c r="R361">
        <v>0</v>
      </c>
      <c r="S361">
        <v>0</v>
      </c>
      <c r="T361">
        <v>0</v>
      </c>
    </row>
    <row r="362" spans="1:20" x14ac:dyDescent="0.25">
      <c r="A362" s="1">
        <v>46227</v>
      </c>
      <c r="B362" t="s">
        <v>13</v>
      </c>
      <c r="C362" t="s">
        <v>12</v>
      </c>
      <c r="D362">
        <v>2.2474193200215873</v>
      </c>
      <c r="E362" t="s">
        <v>161</v>
      </c>
      <c r="G362">
        <v>46227</v>
      </c>
      <c r="H362" t="s">
        <v>150</v>
      </c>
      <c r="I362">
        <v>0.30407166194633994</v>
      </c>
      <c r="J362">
        <v>0.30407166194633994</v>
      </c>
      <c r="K362">
        <v>0</v>
      </c>
      <c r="L362">
        <v>0</v>
      </c>
      <c r="M362">
        <v>0</v>
      </c>
      <c r="N362" t="s">
        <v>129</v>
      </c>
      <c r="Q362">
        <v>53.151726508220221</v>
      </c>
      <c r="R362">
        <v>0</v>
      </c>
      <c r="S362">
        <v>0</v>
      </c>
      <c r="T362">
        <v>53.151726508220221</v>
      </c>
    </row>
    <row r="363" spans="1:20" x14ac:dyDescent="0.25">
      <c r="A363" s="1">
        <v>46227</v>
      </c>
      <c r="B363" t="s">
        <v>13</v>
      </c>
      <c r="C363" t="s">
        <v>10</v>
      </c>
      <c r="D363">
        <v>4.7757660550458727</v>
      </c>
      <c r="E363" t="s">
        <v>161</v>
      </c>
      <c r="G363">
        <v>46227</v>
      </c>
      <c r="H363" t="s">
        <v>150</v>
      </c>
      <c r="I363">
        <v>0</v>
      </c>
      <c r="J363">
        <v>0</v>
      </c>
      <c r="K363">
        <v>2.8345895844576372</v>
      </c>
      <c r="L363">
        <v>2.8345895844576372</v>
      </c>
      <c r="M363">
        <v>0</v>
      </c>
      <c r="N363" t="s">
        <v>129</v>
      </c>
      <c r="Q363">
        <v>0</v>
      </c>
      <c r="R363">
        <v>0</v>
      </c>
      <c r="S363">
        <v>0</v>
      </c>
      <c r="T363">
        <v>0</v>
      </c>
    </row>
    <row r="364" spans="1:20" x14ac:dyDescent="0.25">
      <c r="A364" s="1">
        <v>46227</v>
      </c>
      <c r="B364" t="s">
        <v>13</v>
      </c>
      <c r="C364" t="s">
        <v>11</v>
      </c>
      <c r="D364">
        <v>1.2735376146788993</v>
      </c>
      <c r="E364" t="s">
        <v>161</v>
      </c>
      <c r="G364">
        <v>46227</v>
      </c>
      <c r="H364" t="s">
        <v>150</v>
      </c>
      <c r="I364">
        <v>0</v>
      </c>
      <c r="J364">
        <v>0</v>
      </c>
      <c r="K364">
        <v>0.33236114409066414</v>
      </c>
      <c r="L364">
        <v>0.33236114409066414</v>
      </c>
      <c r="M364">
        <v>0.94117647058823506</v>
      </c>
      <c r="N364" t="s">
        <v>129</v>
      </c>
      <c r="Q364">
        <v>0</v>
      </c>
      <c r="R364">
        <v>0</v>
      </c>
      <c r="S364">
        <v>0</v>
      </c>
      <c r="T364">
        <v>0</v>
      </c>
    </row>
    <row r="365" spans="1:20" x14ac:dyDescent="0.25">
      <c r="A365" s="1">
        <v>46227</v>
      </c>
      <c r="B365" t="s">
        <v>13</v>
      </c>
      <c r="C365" t="s">
        <v>12</v>
      </c>
      <c r="D365">
        <v>2.2486328293736499</v>
      </c>
      <c r="E365" t="s">
        <v>166</v>
      </c>
      <c r="F365">
        <v>1</v>
      </c>
      <c r="G365">
        <v>46227</v>
      </c>
      <c r="H365" t="s">
        <v>150</v>
      </c>
      <c r="I365">
        <v>0.30336789958155541</v>
      </c>
      <c r="J365">
        <v>0.30336789958155541</v>
      </c>
      <c r="K365">
        <v>0</v>
      </c>
      <c r="L365">
        <v>0</v>
      </c>
      <c r="M365">
        <v>0</v>
      </c>
      <c r="N365" t="s">
        <v>129</v>
      </c>
      <c r="Q365">
        <v>53.028708846855885</v>
      </c>
      <c r="R365">
        <v>0</v>
      </c>
      <c r="S365">
        <v>0</v>
      </c>
      <c r="T365">
        <v>53.028708846855885</v>
      </c>
    </row>
    <row r="366" spans="1:20" x14ac:dyDescent="0.25">
      <c r="A366" s="1">
        <v>46227</v>
      </c>
      <c r="B366" t="s">
        <v>13</v>
      </c>
      <c r="C366" t="s">
        <v>10</v>
      </c>
      <c r="D366">
        <v>4.7783447624190059</v>
      </c>
      <c r="E366" t="s">
        <v>166</v>
      </c>
      <c r="F366">
        <v>1</v>
      </c>
      <c r="G366">
        <v>46227</v>
      </c>
      <c r="H366" t="s">
        <v>150</v>
      </c>
      <c r="I366">
        <v>0</v>
      </c>
      <c r="J366">
        <v>0</v>
      </c>
      <c r="K366">
        <v>2.8371682918307708</v>
      </c>
      <c r="L366">
        <v>2.8371682918307708</v>
      </c>
      <c r="M366">
        <v>0</v>
      </c>
      <c r="N366" t="s">
        <v>129</v>
      </c>
      <c r="Q366">
        <v>0</v>
      </c>
      <c r="R366">
        <v>0</v>
      </c>
      <c r="S366">
        <v>0</v>
      </c>
      <c r="T366">
        <v>0</v>
      </c>
    </row>
    <row r="367" spans="1:20" x14ac:dyDescent="0.25">
      <c r="A367" s="1">
        <v>46227</v>
      </c>
      <c r="B367" t="s">
        <v>13</v>
      </c>
      <c r="C367" t="s">
        <v>11</v>
      </c>
      <c r="D367">
        <v>1.2742252699784016</v>
      </c>
      <c r="E367" t="s">
        <v>166</v>
      </c>
      <c r="F367">
        <v>1</v>
      </c>
      <c r="G367">
        <v>46227</v>
      </c>
      <c r="H367" t="s">
        <v>150</v>
      </c>
      <c r="I367">
        <v>0</v>
      </c>
      <c r="J367">
        <v>0</v>
      </c>
      <c r="K367">
        <v>0.33304879939016635</v>
      </c>
      <c r="L367">
        <v>0.33304879939016635</v>
      </c>
      <c r="M367">
        <v>0.94117647058823517</v>
      </c>
      <c r="N367" t="s">
        <v>129</v>
      </c>
      <c r="Q367">
        <v>0</v>
      </c>
      <c r="R367">
        <v>0</v>
      </c>
      <c r="S367">
        <v>0</v>
      </c>
      <c r="T367">
        <v>0</v>
      </c>
    </row>
    <row r="368" spans="1:20" x14ac:dyDescent="0.25">
      <c r="A368" s="1">
        <v>46228</v>
      </c>
      <c r="B368" t="s">
        <v>13</v>
      </c>
      <c r="C368" t="s">
        <v>10</v>
      </c>
      <c r="D368">
        <v>2.3878830275229359</v>
      </c>
      <c r="E368" t="s">
        <v>161</v>
      </c>
      <c r="G368">
        <v>46228</v>
      </c>
      <c r="H368" t="s">
        <v>150</v>
      </c>
      <c r="I368">
        <v>0.65769560340423894</v>
      </c>
      <c r="J368">
        <v>0.65769560340423894</v>
      </c>
      <c r="K368">
        <v>0</v>
      </c>
      <c r="L368">
        <v>0</v>
      </c>
      <c r="M368">
        <v>0</v>
      </c>
      <c r="N368" t="s">
        <v>119</v>
      </c>
      <c r="Q368">
        <v>114.96519147506096</v>
      </c>
      <c r="R368">
        <v>0</v>
      </c>
      <c r="S368">
        <v>0</v>
      </c>
      <c r="T368">
        <v>114.96519147506096</v>
      </c>
    </row>
    <row r="369" spans="1:20" x14ac:dyDescent="0.25">
      <c r="A369" s="1">
        <v>46228</v>
      </c>
      <c r="B369" t="s">
        <v>13</v>
      </c>
      <c r="C369" t="s">
        <v>11</v>
      </c>
      <c r="D369">
        <v>1.2735376146788993</v>
      </c>
      <c r="E369" t="s">
        <v>161</v>
      </c>
      <c r="G369">
        <v>46228</v>
      </c>
      <c r="H369" t="s">
        <v>150</v>
      </c>
      <c r="I369">
        <v>0</v>
      </c>
      <c r="J369">
        <v>0</v>
      </c>
      <c r="K369">
        <v>0.33236114409066414</v>
      </c>
      <c r="L369">
        <v>0.33236114409066414</v>
      </c>
      <c r="M369">
        <v>0.94117647058823506</v>
      </c>
      <c r="N369" t="s">
        <v>119</v>
      </c>
      <c r="Q369">
        <v>0</v>
      </c>
      <c r="R369">
        <v>0</v>
      </c>
      <c r="S369">
        <v>0</v>
      </c>
      <c r="T369">
        <v>0</v>
      </c>
    </row>
    <row r="370" spans="1:20" x14ac:dyDescent="0.25">
      <c r="A370" s="1">
        <v>46228</v>
      </c>
      <c r="B370" t="s">
        <v>13</v>
      </c>
      <c r="C370" t="s">
        <v>12</v>
      </c>
      <c r="D370">
        <v>3.3711289800323798</v>
      </c>
      <c r="E370" t="s">
        <v>161</v>
      </c>
      <c r="G370">
        <v>46228</v>
      </c>
      <c r="H370" t="s">
        <v>150</v>
      </c>
      <c r="I370">
        <v>0</v>
      </c>
      <c r="J370">
        <v>0</v>
      </c>
      <c r="K370">
        <v>0.27078295927113405</v>
      </c>
      <c r="L370">
        <v>0.27078295927113405</v>
      </c>
      <c r="M370">
        <v>0.25034602076124601</v>
      </c>
      <c r="N370" t="s">
        <v>119</v>
      </c>
      <c r="Q370">
        <v>0</v>
      </c>
      <c r="R370">
        <v>0</v>
      </c>
      <c r="S370">
        <v>0</v>
      </c>
      <c r="T370">
        <v>0</v>
      </c>
    </row>
    <row r="371" spans="1:20" x14ac:dyDescent="0.25">
      <c r="A371" s="1">
        <v>46228</v>
      </c>
      <c r="B371" t="s">
        <v>13</v>
      </c>
      <c r="C371" t="s">
        <v>10</v>
      </c>
      <c r="D371">
        <v>2.3891723812095034</v>
      </c>
      <c r="E371" t="s">
        <v>166</v>
      </c>
      <c r="F371">
        <v>1</v>
      </c>
      <c r="G371">
        <v>46228</v>
      </c>
      <c r="H371" t="s">
        <v>150</v>
      </c>
      <c r="I371">
        <v>0.65747558419031327</v>
      </c>
      <c r="J371">
        <v>0.65747558419031327</v>
      </c>
      <c r="K371">
        <v>0</v>
      </c>
      <c r="L371">
        <v>0</v>
      </c>
      <c r="M371">
        <v>0</v>
      </c>
      <c r="N371" t="s">
        <v>119</v>
      </c>
      <c r="Q371">
        <v>114.92673211646675</v>
      </c>
      <c r="R371">
        <v>0</v>
      </c>
      <c r="S371">
        <v>0</v>
      </c>
      <c r="T371">
        <v>114.92673211646675</v>
      </c>
    </row>
    <row r="372" spans="1:20" x14ac:dyDescent="0.25">
      <c r="A372" s="1">
        <v>46228</v>
      </c>
      <c r="B372" t="s">
        <v>13</v>
      </c>
      <c r="C372" t="s">
        <v>11</v>
      </c>
      <c r="D372">
        <v>1.2742252699784016</v>
      </c>
      <c r="E372" t="s">
        <v>166</v>
      </c>
      <c r="F372">
        <v>1</v>
      </c>
      <c r="G372">
        <v>46228</v>
      </c>
      <c r="H372" t="s">
        <v>150</v>
      </c>
      <c r="I372">
        <v>0</v>
      </c>
      <c r="J372">
        <v>0</v>
      </c>
      <c r="K372">
        <v>0.33304879939016635</v>
      </c>
      <c r="L372">
        <v>0.33304879939016635</v>
      </c>
      <c r="M372">
        <v>0.94117647058823517</v>
      </c>
      <c r="N372" t="s">
        <v>119</v>
      </c>
      <c r="Q372">
        <v>0</v>
      </c>
      <c r="R372">
        <v>0</v>
      </c>
      <c r="S372">
        <v>0</v>
      </c>
      <c r="T372">
        <v>0</v>
      </c>
    </row>
    <row r="373" spans="1:20" x14ac:dyDescent="0.25">
      <c r="A373" s="1">
        <v>46228</v>
      </c>
      <c r="B373" t="s">
        <v>13</v>
      </c>
      <c r="C373" t="s">
        <v>12</v>
      </c>
      <c r="D373">
        <v>3.3729492440604751</v>
      </c>
      <c r="E373" t="s">
        <v>166</v>
      </c>
      <c r="F373">
        <v>1</v>
      </c>
      <c r="G373">
        <v>46228</v>
      </c>
      <c r="H373" t="s">
        <v>150</v>
      </c>
      <c r="I373">
        <v>0</v>
      </c>
      <c r="J373">
        <v>0</v>
      </c>
      <c r="K373">
        <v>0.27260322329922954</v>
      </c>
      <c r="L373">
        <v>0.27260322329922954</v>
      </c>
      <c r="M373">
        <v>0.2503460207612459</v>
      </c>
      <c r="N373" t="s">
        <v>119</v>
      </c>
      <c r="Q373">
        <v>0</v>
      </c>
      <c r="R373">
        <v>0</v>
      </c>
      <c r="S373">
        <v>0</v>
      </c>
      <c r="T373">
        <v>0</v>
      </c>
    </row>
    <row r="374" spans="1:20" x14ac:dyDescent="0.25">
      <c r="A374" s="1">
        <v>46229</v>
      </c>
      <c r="B374" t="s">
        <v>13</v>
      </c>
      <c r="C374" t="s">
        <v>10</v>
      </c>
      <c r="D374">
        <v>3.507203196674312</v>
      </c>
      <c r="E374" t="s">
        <v>161</v>
      </c>
      <c r="G374">
        <v>46229</v>
      </c>
      <c r="H374" t="s">
        <v>150</v>
      </c>
      <c r="I374">
        <v>2.231828043963402E-2</v>
      </c>
      <c r="J374">
        <v>2.231828043963402E-2</v>
      </c>
      <c r="K374">
        <v>0</v>
      </c>
      <c r="L374">
        <v>0</v>
      </c>
      <c r="M374">
        <v>0</v>
      </c>
      <c r="N374" t="s">
        <v>120</v>
      </c>
      <c r="Q374">
        <v>3.9012354208480264</v>
      </c>
      <c r="R374">
        <v>0</v>
      </c>
      <c r="S374">
        <v>0</v>
      </c>
      <c r="T374">
        <v>3.9012354208480264</v>
      </c>
    </row>
    <row r="375" spans="1:20" x14ac:dyDescent="0.25">
      <c r="A375" s="1">
        <v>46229</v>
      </c>
      <c r="B375" t="s">
        <v>13</v>
      </c>
      <c r="C375" t="s">
        <v>11</v>
      </c>
      <c r="D375">
        <v>1.2735376146788993</v>
      </c>
      <c r="E375" t="s">
        <v>161</v>
      </c>
      <c r="G375">
        <v>46229</v>
      </c>
      <c r="H375" t="s">
        <v>150</v>
      </c>
      <c r="I375">
        <v>0</v>
      </c>
      <c r="J375">
        <v>0</v>
      </c>
      <c r="K375">
        <v>0.33236114409066414</v>
      </c>
      <c r="L375">
        <v>0.33236114409066414</v>
      </c>
      <c r="M375">
        <v>0.94117647058823506</v>
      </c>
      <c r="N375" t="s">
        <v>120</v>
      </c>
      <c r="Q375">
        <v>0</v>
      </c>
      <c r="R375">
        <v>0</v>
      </c>
      <c r="S375">
        <v>0</v>
      </c>
      <c r="T375">
        <v>0</v>
      </c>
    </row>
    <row r="376" spans="1:20" x14ac:dyDescent="0.25">
      <c r="A376" s="1">
        <v>46229</v>
      </c>
      <c r="B376" t="s">
        <v>13</v>
      </c>
      <c r="C376" t="s">
        <v>12</v>
      </c>
      <c r="D376">
        <v>3.3711289800323798</v>
      </c>
      <c r="E376" t="s">
        <v>161</v>
      </c>
      <c r="G376">
        <v>46229</v>
      </c>
      <c r="H376" t="s">
        <v>150</v>
      </c>
      <c r="I376">
        <v>0</v>
      </c>
      <c r="J376">
        <v>0</v>
      </c>
      <c r="K376">
        <v>0.10555804577632619</v>
      </c>
      <c r="L376">
        <v>0.10555804577632619</v>
      </c>
      <c r="M376">
        <v>1.3655709342560536</v>
      </c>
      <c r="N376" t="s">
        <v>120</v>
      </c>
      <c r="Q376">
        <v>0</v>
      </c>
      <c r="R376">
        <v>0</v>
      </c>
      <c r="S376">
        <v>0</v>
      </c>
      <c r="T376">
        <v>0</v>
      </c>
    </row>
    <row r="377" spans="1:20" x14ac:dyDescent="0.25">
      <c r="A377" s="1">
        <v>46229</v>
      </c>
      <c r="B377" t="s">
        <v>13</v>
      </c>
      <c r="C377" t="s">
        <v>10</v>
      </c>
      <c r="D377">
        <v>3.5134887958963281</v>
      </c>
      <c r="E377" t="s">
        <v>166</v>
      </c>
      <c r="F377">
        <v>1</v>
      </c>
      <c r="G377">
        <v>46229</v>
      </c>
      <c r="H377" t="s">
        <v>150</v>
      </c>
      <c r="I377">
        <v>2.0489362414994439E-2</v>
      </c>
      <c r="J377">
        <v>2.0489362414994439E-2</v>
      </c>
      <c r="K377">
        <v>0</v>
      </c>
      <c r="L377">
        <v>0</v>
      </c>
      <c r="M377">
        <v>0</v>
      </c>
      <c r="N377" t="s">
        <v>120</v>
      </c>
      <c r="Q377">
        <v>3.5815405501410278</v>
      </c>
      <c r="R377">
        <v>0</v>
      </c>
      <c r="S377">
        <v>0</v>
      </c>
      <c r="T377">
        <v>3.5815405501410278</v>
      </c>
    </row>
    <row r="378" spans="1:20" x14ac:dyDescent="0.25">
      <c r="A378" s="1">
        <v>46229</v>
      </c>
      <c r="B378" t="s">
        <v>13</v>
      </c>
      <c r="C378" t="s">
        <v>11</v>
      </c>
      <c r="D378">
        <v>1.2742252699784016</v>
      </c>
      <c r="E378" t="s">
        <v>166</v>
      </c>
      <c r="F378">
        <v>1</v>
      </c>
      <c r="G378">
        <v>46229</v>
      </c>
      <c r="H378" t="s">
        <v>150</v>
      </c>
      <c r="I378">
        <v>0</v>
      </c>
      <c r="J378">
        <v>0</v>
      </c>
      <c r="K378">
        <v>0.33304879939016635</v>
      </c>
      <c r="L378">
        <v>0.33304879939016635</v>
      </c>
      <c r="M378">
        <v>0.94117647058823517</v>
      </c>
      <c r="N378" t="s">
        <v>120</v>
      </c>
      <c r="Q378">
        <v>0</v>
      </c>
      <c r="R378">
        <v>0</v>
      </c>
      <c r="S378">
        <v>0</v>
      </c>
      <c r="T378">
        <v>0</v>
      </c>
    </row>
    <row r="379" spans="1:20" x14ac:dyDescent="0.25">
      <c r="A379" s="1">
        <v>46229</v>
      </c>
      <c r="B379" t="s">
        <v>13</v>
      </c>
      <c r="C379" t="s">
        <v>12</v>
      </c>
      <c r="D379">
        <v>3.3729492440604751</v>
      </c>
      <c r="E379" t="s">
        <v>166</v>
      </c>
      <c r="F379">
        <v>1</v>
      </c>
      <c r="G379">
        <v>46229</v>
      </c>
      <c r="H379" t="s">
        <v>150</v>
      </c>
      <c r="I379">
        <v>0</v>
      </c>
      <c r="J379">
        <v>0</v>
      </c>
      <c r="K379">
        <v>0.10737830980442149</v>
      </c>
      <c r="L379">
        <v>0.10737830980442149</v>
      </c>
      <c r="M379">
        <v>1.3655709342560538</v>
      </c>
      <c r="N379" t="s">
        <v>120</v>
      </c>
      <c r="Q379">
        <v>0</v>
      </c>
      <c r="R379">
        <v>0</v>
      </c>
      <c r="S379">
        <v>0</v>
      </c>
      <c r="T379">
        <v>0</v>
      </c>
    </row>
    <row r="380" spans="1:20" x14ac:dyDescent="0.25">
      <c r="A380" s="1">
        <v>46230</v>
      </c>
      <c r="B380" t="s">
        <v>13</v>
      </c>
      <c r="C380" t="s">
        <v>12</v>
      </c>
      <c r="D380">
        <v>3.3711289800323798</v>
      </c>
      <c r="E380" t="s">
        <v>161</v>
      </c>
      <c r="G380">
        <v>46230</v>
      </c>
      <c r="H380" t="s">
        <v>150</v>
      </c>
      <c r="I380">
        <v>0</v>
      </c>
      <c r="J380">
        <v>0</v>
      </c>
      <c r="K380">
        <v>0.21628468937494055</v>
      </c>
      <c r="L380">
        <v>0.21628468937494055</v>
      </c>
      <c r="M380">
        <v>0</v>
      </c>
      <c r="N380" t="s">
        <v>125</v>
      </c>
      <c r="Q380">
        <v>0</v>
      </c>
      <c r="R380">
        <v>0</v>
      </c>
      <c r="S380">
        <v>0</v>
      </c>
      <c r="T380">
        <v>0</v>
      </c>
    </row>
    <row r="381" spans="1:20" x14ac:dyDescent="0.25">
      <c r="A381" s="1">
        <v>46230</v>
      </c>
      <c r="B381" t="s">
        <v>13</v>
      </c>
      <c r="C381" t="s">
        <v>11</v>
      </c>
      <c r="D381">
        <v>1.2735376146788993</v>
      </c>
      <c r="E381" t="s">
        <v>161</v>
      </c>
      <c r="G381">
        <v>46230</v>
      </c>
      <c r="H381" t="s">
        <v>150</v>
      </c>
      <c r="I381">
        <v>0</v>
      </c>
      <c r="J381">
        <v>0</v>
      </c>
      <c r="K381">
        <v>0.33236114409066414</v>
      </c>
      <c r="L381">
        <v>0.33236114409066414</v>
      </c>
      <c r="M381">
        <v>0.94117647058823506</v>
      </c>
      <c r="N381" t="s">
        <v>125</v>
      </c>
      <c r="Q381">
        <v>0</v>
      </c>
      <c r="R381">
        <v>0</v>
      </c>
      <c r="S381">
        <v>0</v>
      </c>
      <c r="T381">
        <v>0</v>
      </c>
    </row>
    <row r="382" spans="1:20" x14ac:dyDescent="0.25">
      <c r="A382" s="1">
        <v>46230</v>
      </c>
      <c r="B382" t="s">
        <v>13</v>
      </c>
      <c r="C382" t="s">
        <v>10</v>
      </c>
      <c r="D382">
        <v>3.5072031966743116</v>
      </c>
      <c r="E382" t="s">
        <v>161</v>
      </c>
      <c r="G382">
        <v>46230</v>
      </c>
      <c r="H382" t="s">
        <v>150</v>
      </c>
      <c r="I382">
        <v>0</v>
      </c>
      <c r="J382">
        <v>0</v>
      </c>
      <c r="K382">
        <v>1.8040781966743118</v>
      </c>
      <c r="L382">
        <v>1.8040781966743118</v>
      </c>
      <c r="M382">
        <v>0</v>
      </c>
      <c r="N382" t="s">
        <v>125</v>
      </c>
      <c r="Q382">
        <v>0</v>
      </c>
      <c r="R382">
        <v>0</v>
      </c>
      <c r="S382">
        <v>0</v>
      </c>
      <c r="T382">
        <v>0</v>
      </c>
    </row>
    <row r="383" spans="1:20" x14ac:dyDescent="0.25">
      <c r="A383" s="1">
        <v>46230</v>
      </c>
      <c r="B383" t="s">
        <v>13</v>
      </c>
      <c r="C383" t="s">
        <v>12</v>
      </c>
      <c r="D383">
        <v>3.3729492440604751</v>
      </c>
      <c r="E383" t="s">
        <v>166</v>
      </c>
      <c r="F383">
        <v>1</v>
      </c>
      <c r="G383">
        <v>46230</v>
      </c>
      <c r="H383" t="s">
        <v>150</v>
      </c>
      <c r="I383">
        <v>0</v>
      </c>
      <c r="J383">
        <v>0</v>
      </c>
      <c r="K383">
        <v>0.21810495340303609</v>
      </c>
      <c r="L383">
        <v>0.21810495340303609</v>
      </c>
      <c r="M383">
        <v>0</v>
      </c>
      <c r="N383" t="s">
        <v>125</v>
      </c>
      <c r="Q383">
        <v>0</v>
      </c>
      <c r="R383">
        <v>0</v>
      </c>
      <c r="S383">
        <v>0</v>
      </c>
      <c r="T383">
        <v>0</v>
      </c>
    </row>
    <row r="384" spans="1:20" x14ac:dyDescent="0.25">
      <c r="A384" s="1">
        <v>46230</v>
      </c>
      <c r="B384" t="s">
        <v>13</v>
      </c>
      <c r="C384" t="s">
        <v>11</v>
      </c>
      <c r="D384">
        <v>1.2742252699784016</v>
      </c>
      <c r="E384" t="s">
        <v>166</v>
      </c>
      <c r="F384">
        <v>1</v>
      </c>
      <c r="G384">
        <v>46230</v>
      </c>
      <c r="H384" t="s">
        <v>150</v>
      </c>
      <c r="I384">
        <v>0</v>
      </c>
      <c r="J384">
        <v>0</v>
      </c>
      <c r="K384">
        <v>0.33304879939016635</v>
      </c>
      <c r="L384">
        <v>0.33304879939016635</v>
      </c>
      <c r="M384">
        <v>0.94117647058823517</v>
      </c>
      <c r="N384" t="s">
        <v>125</v>
      </c>
      <c r="Q384">
        <v>0</v>
      </c>
      <c r="R384">
        <v>0</v>
      </c>
      <c r="S384">
        <v>0</v>
      </c>
      <c r="T384">
        <v>0</v>
      </c>
    </row>
    <row r="385" spans="1:20" x14ac:dyDescent="0.25">
      <c r="A385" s="1">
        <v>46230</v>
      </c>
      <c r="B385" t="s">
        <v>13</v>
      </c>
      <c r="C385" t="s">
        <v>10</v>
      </c>
      <c r="D385">
        <v>3.5134887958963268</v>
      </c>
      <c r="E385" t="s">
        <v>166</v>
      </c>
      <c r="F385">
        <v>1</v>
      </c>
      <c r="G385">
        <v>46230</v>
      </c>
      <c r="H385" t="s">
        <v>150</v>
      </c>
      <c r="I385">
        <v>0</v>
      </c>
      <c r="J385">
        <v>0</v>
      </c>
      <c r="K385">
        <v>1.8103637958963266</v>
      </c>
      <c r="L385">
        <v>1.8103637958963266</v>
      </c>
      <c r="M385">
        <v>0</v>
      </c>
      <c r="N385" t="s">
        <v>125</v>
      </c>
      <c r="Q385">
        <v>0</v>
      </c>
      <c r="R385">
        <v>0</v>
      </c>
      <c r="S385">
        <v>0</v>
      </c>
      <c r="T385">
        <v>0</v>
      </c>
    </row>
    <row r="386" spans="1:20" x14ac:dyDescent="0.25">
      <c r="A386" s="1">
        <v>46231</v>
      </c>
      <c r="B386" t="s">
        <v>13</v>
      </c>
      <c r="C386" t="s">
        <v>11</v>
      </c>
      <c r="D386">
        <v>1.2735376146788993</v>
      </c>
      <c r="E386" t="s">
        <v>161</v>
      </c>
      <c r="G386">
        <v>46231</v>
      </c>
      <c r="H386" t="s">
        <v>150</v>
      </c>
      <c r="I386">
        <v>0</v>
      </c>
      <c r="J386">
        <v>0</v>
      </c>
      <c r="K386">
        <v>0.33236114409066414</v>
      </c>
      <c r="L386">
        <v>0.33236114409066414</v>
      </c>
      <c r="M386">
        <v>0.94117647058823506</v>
      </c>
      <c r="N386" t="s">
        <v>126</v>
      </c>
      <c r="Q386">
        <v>0</v>
      </c>
      <c r="R386">
        <v>0</v>
      </c>
      <c r="S386">
        <v>0</v>
      </c>
      <c r="T386">
        <v>0</v>
      </c>
    </row>
    <row r="387" spans="1:20" x14ac:dyDescent="0.25">
      <c r="A387" s="1">
        <v>46231</v>
      </c>
      <c r="B387" t="s">
        <v>13</v>
      </c>
      <c r="C387" t="s">
        <v>12</v>
      </c>
      <c r="D387">
        <v>3.3711289800323798</v>
      </c>
      <c r="E387" t="s">
        <v>161</v>
      </c>
      <c r="G387">
        <v>46231</v>
      </c>
      <c r="H387" t="s">
        <v>150</v>
      </c>
      <c r="I387">
        <v>5.0544939789122001E-2</v>
      </c>
      <c r="J387">
        <v>5.0544939789122001E-2</v>
      </c>
      <c r="K387">
        <v>0</v>
      </c>
      <c r="L387">
        <v>0</v>
      </c>
      <c r="M387">
        <v>1.4711289800323799</v>
      </c>
      <c r="N387" t="s">
        <v>126</v>
      </c>
      <c r="Q387">
        <v>8.8352554751385259</v>
      </c>
      <c r="R387">
        <v>0</v>
      </c>
      <c r="S387">
        <v>0</v>
      </c>
      <c r="T387">
        <v>8.8352554751385259</v>
      </c>
    </row>
    <row r="388" spans="1:20" x14ac:dyDescent="0.25">
      <c r="A388" s="1">
        <v>46231</v>
      </c>
      <c r="B388" t="s">
        <v>13</v>
      </c>
      <c r="C388" t="s">
        <v>10</v>
      </c>
      <c r="D388">
        <v>7.014406393348624</v>
      </c>
      <c r="E388" t="s">
        <v>161</v>
      </c>
      <c r="G388">
        <v>46231</v>
      </c>
      <c r="H388" t="s">
        <v>150</v>
      </c>
      <c r="I388">
        <v>0</v>
      </c>
      <c r="J388">
        <v>0</v>
      </c>
      <c r="K388">
        <v>1.7846269815839193</v>
      </c>
      <c r="L388">
        <v>1.7846269815839193</v>
      </c>
      <c r="M388">
        <v>0.47977941176470512</v>
      </c>
      <c r="N388" t="s">
        <v>126</v>
      </c>
      <c r="Q388">
        <v>0</v>
      </c>
      <c r="R388">
        <v>0</v>
      </c>
      <c r="S388">
        <v>0</v>
      </c>
      <c r="T388">
        <v>0</v>
      </c>
    </row>
    <row r="389" spans="1:20" x14ac:dyDescent="0.25">
      <c r="A389" s="1">
        <v>46231</v>
      </c>
      <c r="B389" t="s">
        <v>13</v>
      </c>
      <c r="C389" t="s">
        <v>11</v>
      </c>
      <c r="D389">
        <v>1.2742252699784016</v>
      </c>
      <c r="E389" t="s">
        <v>166</v>
      </c>
      <c r="F389">
        <v>1</v>
      </c>
      <c r="G389">
        <v>46231</v>
      </c>
      <c r="H389" t="s">
        <v>150</v>
      </c>
      <c r="I389">
        <v>0</v>
      </c>
      <c r="J389">
        <v>0</v>
      </c>
      <c r="K389">
        <v>0.33304879939016635</v>
      </c>
      <c r="L389">
        <v>0.33304879939016635</v>
      </c>
      <c r="M389">
        <v>0.94117647058823517</v>
      </c>
      <c r="N389" t="s">
        <v>126</v>
      </c>
      <c r="Q389">
        <v>0</v>
      </c>
      <c r="R389">
        <v>0</v>
      </c>
      <c r="S389">
        <v>0</v>
      </c>
      <c r="T389">
        <v>0</v>
      </c>
    </row>
    <row r="390" spans="1:20" x14ac:dyDescent="0.25">
      <c r="A390" s="1">
        <v>46231</v>
      </c>
      <c r="B390" t="s">
        <v>13</v>
      </c>
      <c r="C390" t="s">
        <v>12</v>
      </c>
      <c r="D390">
        <v>3.3729492440604751</v>
      </c>
      <c r="E390" t="s">
        <v>166</v>
      </c>
      <c r="F390">
        <v>1</v>
      </c>
      <c r="G390">
        <v>46231</v>
      </c>
      <c r="H390" t="s">
        <v>150</v>
      </c>
      <c r="I390">
        <v>4.9977997026148913E-2</v>
      </c>
      <c r="J390">
        <v>4.9977997026148913E-2</v>
      </c>
      <c r="K390">
        <v>0</v>
      </c>
      <c r="L390">
        <v>0</v>
      </c>
      <c r="M390">
        <v>1.4729492440604752</v>
      </c>
      <c r="N390" t="s">
        <v>126</v>
      </c>
      <c r="Q390">
        <v>8.7361538801708303</v>
      </c>
      <c r="R390">
        <v>0</v>
      </c>
      <c r="S390">
        <v>0</v>
      </c>
      <c r="T390">
        <v>8.7361538801708303</v>
      </c>
    </row>
    <row r="391" spans="1:20" x14ac:dyDescent="0.25">
      <c r="A391" s="1">
        <v>46231</v>
      </c>
      <c r="B391" t="s">
        <v>13</v>
      </c>
      <c r="C391" t="s">
        <v>10</v>
      </c>
      <c r="D391">
        <v>7.0269775917926545</v>
      </c>
      <c r="E391" t="s">
        <v>166</v>
      </c>
      <c r="F391">
        <v>1</v>
      </c>
      <c r="G391">
        <v>46231</v>
      </c>
      <c r="H391" t="s">
        <v>150</v>
      </c>
      <c r="I391">
        <v>0</v>
      </c>
      <c r="J391">
        <v>0</v>
      </c>
      <c r="K391">
        <v>1.79719818002795</v>
      </c>
      <c r="L391">
        <v>1.79719818002795</v>
      </c>
      <c r="M391">
        <v>0.47977941176470495</v>
      </c>
      <c r="N391" t="s">
        <v>126</v>
      </c>
      <c r="Q391">
        <v>0</v>
      </c>
      <c r="R391">
        <v>0</v>
      </c>
      <c r="S391">
        <v>0</v>
      </c>
      <c r="T391">
        <v>0</v>
      </c>
    </row>
    <row r="392" spans="1:20" x14ac:dyDescent="0.25">
      <c r="A392" s="1">
        <v>46232</v>
      </c>
      <c r="B392" t="s">
        <v>13</v>
      </c>
      <c r="C392" t="s">
        <v>12</v>
      </c>
      <c r="D392">
        <v>2.2474193200215873</v>
      </c>
      <c r="E392" t="s">
        <v>161</v>
      </c>
      <c r="G392">
        <v>46232</v>
      </c>
      <c r="H392" t="s">
        <v>150</v>
      </c>
      <c r="I392">
        <v>0.13240225190263688</v>
      </c>
      <c r="J392">
        <v>0.13240225190263688</v>
      </c>
      <c r="K392">
        <v>0</v>
      </c>
      <c r="L392">
        <v>0</v>
      </c>
      <c r="M392">
        <v>0</v>
      </c>
      <c r="N392" t="s">
        <v>127</v>
      </c>
      <c r="Q392">
        <v>23.143913632580926</v>
      </c>
      <c r="R392">
        <v>0</v>
      </c>
      <c r="S392">
        <v>0</v>
      </c>
      <c r="T392">
        <v>23.143913632580926</v>
      </c>
    </row>
    <row r="393" spans="1:20" x14ac:dyDescent="0.25">
      <c r="A393" s="1">
        <v>46232</v>
      </c>
      <c r="B393" t="s">
        <v>13</v>
      </c>
      <c r="C393" t="s">
        <v>11</v>
      </c>
      <c r="D393">
        <v>1.2735376146788993</v>
      </c>
      <c r="E393" t="s">
        <v>161</v>
      </c>
      <c r="G393">
        <v>46232</v>
      </c>
      <c r="H393" t="s">
        <v>150</v>
      </c>
      <c r="I393">
        <v>0</v>
      </c>
      <c r="J393">
        <v>0</v>
      </c>
      <c r="K393">
        <v>0.33236114409066414</v>
      </c>
      <c r="L393">
        <v>0.33236114409066414</v>
      </c>
      <c r="M393">
        <v>0.94117647058823506</v>
      </c>
      <c r="N393" t="s">
        <v>127</v>
      </c>
      <c r="Q393">
        <v>0</v>
      </c>
      <c r="R393">
        <v>0</v>
      </c>
      <c r="S393">
        <v>0</v>
      </c>
      <c r="T393">
        <v>0</v>
      </c>
    </row>
    <row r="394" spans="1:20" x14ac:dyDescent="0.25">
      <c r="A394" s="1">
        <v>46232</v>
      </c>
      <c r="B394" t="s">
        <v>13</v>
      </c>
      <c r="C394" t="s">
        <v>10</v>
      </c>
      <c r="D394">
        <v>5.8204648795871572</v>
      </c>
      <c r="E394" t="s">
        <v>161</v>
      </c>
      <c r="G394">
        <v>46232</v>
      </c>
      <c r="H394" t="s">
        <v>150</v>
      </c>
      <c r="I394">
        <v>0</v>
      </c>
      <c r="J394">
        <v>0</v>
      </c>
      <c r="K394">
        <v>1.5318619384106886</v>
      </c>
      <c r="L394">
        <v>1.5318619384106886</v>
      </c>
      <c r="M394">
        <v>0.48860294117646874</v>
      </c>
      <c r="N394" t="s">
        <v>127</v>
      </c>
      <c r="Q394">
        <v>0</v>
      </c>
      <c r="R394">
        <v>0</v>
      </c>
      <c r="S394">
        <v>0</v>
      </c>
      <c r="T394">
        <v>0</v>
      </c>
    </row>
    <row r="395" spans="1:20" x14ac:dyDescent="0.25">
      <c r="A395" s="1">
        <v>46232</v>
      </c>
      <c r="B395" t="s">
        <v>13</v>
      </c>
      <c r="C395" t="s">
        <v>12</v>
      </c>
      <c r="D395">
        <v>2.2486328293736499</v>
      </c>
      <c r="E395" t="s">
        <v>166</v>
      </c>
      <c r="F395">
        <v>1</v>
      </c>
      <c r="G395">
        <v>46232</v>
      </c>
      <c r="H395" t="s">
        <v>150</v>
      </c>
      <c r="I395">
        <v>0.13179113357996974</v>
      </c>
      <c r="J395">
        <v>0.13179113357996974</v>
      </c>
      <c r="K395">
        <v>0</v>
      </c>
      <c r="L395">
        <v>0</v>
      </c>
      <c r="M395">
        <v>0</v>
      </c>
      <c r="N395" t="s">
        <v>127</v>
      </c>
      <c r="Q395">
        <v>23.03709014977871</v>
      </c>
      <c r="R395">
        <v>0</v>
      </c>
      <c r="S395">
        <v>0</v>
      </c>
      <c r="T395">
        <v>23.03709014977871</v>
      </c>
    </row>
    <row r="396" spans="1:20" x14ac:dyDescent="0.25">
      <c r="A396" s="1">
        <v>46232</v>
      </c>
      <c r="B396" t="s">
        <v>13</v>
      </c>
      <c r="C396" t="s">
        <v>11</v>
      </c>
      <c r="D396">
        <v>1.2742252699784016</v>
      </c>
      <c r="E396" t="s">
        <v>166</v>
      </c>
      <c r="F396">
        <v>1</v>
      </c>
      <c r="G396">
        <v>46232</v>
      </c>
      <c r="H396" t="s">
        <v>150</v>
      </c>
      <c r="I396">
        <v>0</v>
      </c>
      <c r="J396">
        <v>0</v>
      </c>
      <c r="K396">
        <v>0.33304879939016635</v>
      </c>
      <c r="L396">
        <v>0.33304879939016635</v>
      </c>
      <c r="M396">
        <v>0.94117647058823517</v>
      </c>
      <c r="N396" t="s">
        <v>127</v>
      </c>
      <c r="Q396">
        <v>0</v>
      </c>
      <c r="R396">
        <v>0</v>
      </c>
      <c r="S396">
        <v>0</v>
      </c>
      <c r="T396">
        <v>0</v>
      </c>
    </row>
    <row r="397" spans="1:20" x14ac:dyDescent="0.25">
      <c r="A397" s="1">
        <v>46232</v>
      </c>
      <c r="B397" t="s">
        <v>13</v>
      </c>
      <c r="C397" t="s">
        <v>10</v>
      </c>
      <c r="D397">
        <v>5.8323914011879054</v>
      </c>
      <c r="E397" t="s">
        <v>166</v>
      </c>
      <c r="F397">
        <v>1</v>
      </c>
      <c r="G397">
        <v>46232</v>
      </c>
      <c r="H397" t="s">
        <v>150</v>
      </c>
      <c r="I397">
        <v>0</v>
      </c>
      <c r="J397">
        <v>0</v>
      </c>
      <c r="K397">
        <v>1.5437884600114369</v>
      </c>
      <c r="L397">
        <v>1.5437884600114369</v>
      </c>
      <c r="M397">
        <v>0.48860294117646874</v>
      </c>
      <c r="N397" t="s">
        <v>127</v>
      </c>
      <c r="Q397">
        <v>0</v>
      </c>
      <c r="R397">
        <v>0</v>
      </c>
      <c r="S397">
        <v>0</v>
      </c>
      <c r="T397">
        <v>0</v>
      </c>
    </row>
    <row r="398" spans="1:20" x14ac:dyDescent="0.25">
      <c r="A398" s="1">
        <v>46233</v>
      </c>
      <c r="B398" t="s">
        <v>13</v>
      </c>
      <c r="C398" t="s">
        <v>12</v>
      </c>
      <c r="D398">
        <v>3.3711289800323798</v>
      </c>
      <c r="E398" t="s">
        <v>161</v>
      </c>
      <c r="G398">
        <v>46233</v>
      </c>
      <c r="H398" t="s">
        <v>150</v>
      </c>
      <c r="I398">
        <v>6.6403190223652375E-2</v>
      </c>
      <c r="J398">
        <v>6.6403190223652375E-2</v>
      </c>
      <c r="K398">
        <v>0</v>
      </c>
      <c r="L398">
        <v>0</v>
      </c>
      <c r="M398">
        <v>0</v>
      </c>
      <c r="N398" t="s">
        <v>128</v>
      </c>
      <c r="Q398">
        <v>11.607277651094435</v>
      </c>
      <c r="R398">
        <v>0</v>
      </c>
      <c r="S398">
        <v>0</v>
      </c>
      <c r="T398">
        <v>11.607277651094435</v>
      </c>
    </row>
    <row r="399" spans="1:20" x14ac:dyDescent="0.25">
      <c r="A399" s="1">
        <v>46233</v>
      </c>
      <c r="B399" t="s">
        <v>13</v>
      </c>
      <c r="C399" t="s">
        <v>11</v>
      </c>
      <c r="D399">
        <v>1.2735376146788993</v>
      </c>
      <c r="E399" t="s">
        <v>161</v>
      </c>
      <c r="G399">
        <v>46233</v>
      </c>
      <c r="H399" t="s">
        <v>150</v>
      </c>
      <c r="I399">
        <v>0</v>
      </c>
      <c r="J399">
        <v>0</v>
      </c>
      <c r="K399">
        <v>0.33236114409066414</v>
      </c>
      <c r="L399">
        <v>0.33236114409066414</v>
      </c>
      <c r="M399">
        <v>0.94117647058823506</v>
      </c>
      <c r="N399" t="s">
        <v>128</v>
      </c>
      <c r="Q399">
        <v>0</v>
      </c>
      <c r="R399">
        <v>0</v>
      </c>
      <c r="S399">
        <v>0</v>
      </c>
      <c r="T399">
        <v>0</v>
      </c>
    </row>
    <row r="400" spans="1:20" x14ac:dyDescent="0.25">
      <c r="A400" s="1">
        <v>46233</v>
      </c>
      <c r="B400" t="s">
        <v>13</v>
      </c>
      <c r="C400" t="s">
        <v>10</v>
      </c>
      <c r="D400">
        <v>5.7458435349770651</v>
      </c>
      <c r="E400" t="s">
        <v>161</v>
      </c>
      <c r="G400">
        <v>46233</v>
      </c>
      <c r="H400" t="s">
        <v>150</v>
      </c>
      <c r="I400">
        <v>0</v>
      </c>
      <c r="J400">
        <v>0</v>
      </c>
      <c r="K400">
        <v>1.6353655938005938</v>
      </c>
      <c r="L400">
        <v>1.6353655938005938</v>
      </c>
      <c r="M400">
        <v>1.2604779411764715</v>
      </c>
      <c r="N400" t="s">
        <v>128</v>
      </c>
      <c r="Q400">
        <v>0</v>
      </c>
      <c r="R400">
        <v>0</v>
      </c>
      <c r="S400">
        <v>0</v>
      </c>
      <c r="T400">
        <v>0</v>
      </c>
    </row>
    <row r="401" spans="1:20" x14ac:dyDescent="0.25">
      <c r="A401" s="1">
        <v>46233</v>
      </c>
      <c r="B401" t="s">
        <v>13</v>
      </c>
      <c r="C401" t="s">
        <v>12</v>
      </c>
      <c r="D401">
        <v>3.3729492440604751</v>
      </c>
      <c r="E401" t="s">
        <v>166</v>
      </c>
      <c r="F401">
        <v>1</v>
      </c>
      <c r="G401">
        <v>46233</v>
      </c>
      <c r="H401" t="s">
        <v>150</v>
      </c>
      <c r="I401">
        <v>6.5827689311497073E-2</v>
      </c>
      <c r="J401">
        <v>6.5827689311497073E-2</v>
      </c>
      <c r="K401">
        <v>0</v>
      </c>
      <c r="L401">
        <v>0</v>
      </c>
      <c r="M401">
        <v>0</v>
      </c>
      <c r="N401" t="s">
        <v>128</v>
      </c>
      <c r="Q401">
        <v>11.506680091649688</v>
      </c>
      <c r="R401">
        <v>0</v>
      </c>
      <c r="S401">
        <v>0</v>
      </c>
      <c r="T401">
        <v>11.506680091649688</v>
      </c>
    </row>
    <row r="402" spans="1:20" x14ac:dyDescent="0.25">
      <c r="A402" s="1">
        <v>46233</v>
      </c>
      <c r="B402" t="s">
        <v>13</v>
      </c>
      <c r="C402" t="s">
        <v>11</v>
      </c>
      <c r="D402">
        <v>1.2742252699784016</v>
      </c>
      <c r="E402" t="s">
        <v>166</v>
      </c>
      <c r="F402">
        <v>1</v>
      </c>
      <c r="G402">
        <v>46233</v>
      </c>
      <c r="H402" t="s">
        <v>150</v>
      </c>
      <c r="I402">
        <v>0</v>
      </c>
      <c r="J402">
        <v>0</v>
      </c>
      <c r="K402">
        <v>0.33304879939016635</v>
      </c>
      <c r="L402">
        <v>0.33304879939016635</v>
      </c>
      <c r="M402">
        <v>0.94117647058823517</v>
      </c>
      <c r="N402" t="s">
        <v>128</v>
      </c>
      <c r="Q402">
        <v>0</v>
      </c>
      <c r="R402">
        <v>0</v>
      </c>
      <c r="S402">
        <v>0</v>
      </c>
      <c r="T402">
        <v>0</v>
      </c>
    </row>
    <row r="403" spans="1:20" x14ac:dyDescent="0.25">
      <c r="A403" s="1">
        <v>46233</v>
      </c>
      <c r="B403" t="s">
        <v>13</v>
      </c>
      <c r="C403" t="s">
        <v>10</v>
      </c>
      <c r="D403">
        <v>5.7621216252699776</v>
      </c>
      <c r="E403" t="s">
        <v>166</v>
      </c>
      <c r="F403">
        <v>1</v>
      </c>
      <c r="G403">
        <v>46233</v>
      </c>
      <c r="H403" t="s">
        <v>150</v>
      </c>
      <c r="I403">
        <v>0</v>
      </c>
      <c r="J403">
        <v>0</v>
      </c>
      <c r="K403">
        <v>1.6516436840935063</v>
      </c>
      <c r="L403">
        <v>1.6516436840935063</v>
      </c>
      <c r="M403">
        <v>1.2604779411764717</v>
      </c>
      <c r="N403" t="s">
        <v>128</v>
      </c>
      <c r="Q403">
        <v>0</v>
      </c>
      <c r="R403">
        <v>0</v>
      </c>
      <c r="S403">
        <v>0</v>
      </c>
      <c r="T403">
        <v>0</v>
      </c>
    </row>
    <row r="404" spans="1:20" x14ac:dyDescent="0.25">
      <c r="A404" s="1">
        <v>46234</v>
      </c>
      <c r="B404" t="s">
        <v>13</v>
      </c>
      <c r="C404" t="s">
        <v>10</v>
      </c>
      <c r="D404">
        <v>4.5519020212155965</v>
      </c>
      <c r="E404" t="s">
        <v>161</v>
      </c>
      <c r="G404">
        <v>46234</v>
      </c>
      <c r="H404" t="s">
        <v>150</v>
      </c>
      <c r="I404">
        <v>0</v>
      </c>
      <c r="J404">
        <v>0</v>
      </c>
      <c r="K404">
        <v>1.4414240800391263</v>
      </c>
      <c r="L404">
        <v>1.4414240800391263</v>
      </c>
      <c r="M404">
        <v>0</v>
      </c>
      <c r="N404" t="s">
        <v>129</v>
      </c>
      <c r="Q404">
        <v>0</v>
      </c>
      <c r="R404">
        <v>0</v>
      </c>
      <c r="S404">
        <v>0</v>
      </c>
      <c r="T404">
        <v>0</v>
      </c>
    </row>
    <row r="405" spans="1:20" x14ac:dyDescent="0.25">
      <c r="A405" s="1">
        <v>46234</v>
      </c>
      <c r="B405" t="s">
        <v>13</v>
      </c>
      <c r="C405" t="s">
        <v>11</v>
      </c>
      <c r="D405">
        <v>1.2735376146788993</v>
      </c>
      <c r="E405" t="s">
        <v>161</v>
      </c>
      <c r="G405">
        <v>46234</v>
      </c>
      <c r="H405" t="s">
        <v>150</v>
      </c>
      <c r="I405">
        <v>0</v>
      </c>
      <c r="J405">
        <v>0</v>
      </c>
      <c r="K405">
        <v>0.33236114409066414</v>
      </c>
      <c r="L405">
        <v>0.33236114409066414</v>
      </c>
      <c r="M405">
        <v>0.94117647058823506</v>
      </c>
      <c r="N405" t="s">
        <v>129</v>
      </c>
      <c r="Q405">
        <v>0</v>
      </c>
      <c r="R405">
        <v>0</v>
      </c>
      <c r="S405">
        <v>0</v>
      </c>
      <c r="T405">
        <v>0</v>
      </c>
    </row>
    <row r="406" spans="1:20" x14ac:dyDescent="0.25">
      <c r="A406" s="1">
        <v>46234</v>
      </c>
      <c r="B406" t="s">
        <v>13</v>
      </c>
      <c r="C406" t="s">
        <v>12</v>
      </c>
      <c r="D406">
        <v>2.2474193200215873</v>
      </c>
      <c r="E406" t="s">
        <v>161</v>
      </c>
      <c r="G406">
        <v>46234</v>
      </c>
      <c r="H406" t="s">
        <v>150</v>
      </c>
      <c r="I406">
        <v>0.18082380298671241</v>
      </c>
      <c r="J406">
        <v>0.18082380298671241</v>
      </c>
      <c r="K406">
        <v>0</v>
      </c>
      <c r="L406">
        <v>0</v>
      </c>
      <c r="M406">
        <v>0</v>
      </c>
      <c r="N406" t="s">
        <v>129</v>
      </c>
      <c r="Q406">
        <v>31.608000762077332</v>
      </c>
      <c r="R406">
        <v>0</v>
      </c>
      <c r="S406">
        <v>0</v>
      </c>
      <c r="T406">
        <v>31.608000762077332</v>
      </c>
    </row>
    <row r="407" spans="1:20" x14ac:dyDescent="0.25">
      <c r="A407" s="1">
        <v>46234</v>
      </c>
      <c r="B407" t="s">
        <v>13</v>
      </c>
      <c r="C407" t="s">
        <v>10</v>
      </c>
      <c r="D407">
        <v>4.5675354346652268</v>
      </c>
      <c r="E407" t="s">
        <v>166</v>
      </c>
      <c r="F407">
        <v>1</v>
      </c>
      <c r="G407">
        <v>46234</v>
      </c>
      <c r="H407" t="s">
        <v>150</v>
      </c>
      <c r="I407">
        <v>0</v>
      </c>
      <c r="J407">
        <v>0</v>
      </c>
      <c r="K407">
        <v>1.4570574934887566</v>
      </c>
      <c r="L407">
        <v>1.4570574934887566</v>
      </c>
      <c r="M407">
        <v>0</v>
      </c>
      <c r="N407" t="s">
        <v>129</v>
      </c>
      <c r="Q407">
        <v>0</v>
      </c>
      <c r="R407">
        <v>0</v>
      </c>
      <c r="S407">
        <v>0</v>
      </c>
      <c r="T407">
        <v>0</v>
      </c>
    </row>
    <row r="408" spans="1:20" x14ac:dyDescent="0.25">
      <c r="A408" s="1">
        <v>46234</v>
      </c>
      <c r="B408" t="s">
        <v>13</v>
      </c>
      <c r="C408" t="s">
        <v>11</v>
      </c>
      <c r="D408">
        <v>1.2742252699784016</v>
      </c>
      <c r="E408" t="s">
        <v>166</v>
      </c>
      <c r="F408">
        <v>1</v>
      </c>
      <c r="G408">
        <v>46234</v>
      </c>
      <c r="H408" t="s">
        <v>150</v>
      </c>
      <c r="I408">
        <v>0</v>
      </c>
      <c r="J408">
        <v>0</v>
      </c>
      <c r="K408">
        <v>0.33304879939016635</v>
      </c>
      <c r="L408">
        <v>0.33304879939016635</v>
      </c>
      <c r="M408">
        <v>0.94117647058823517</v>
      </c>
      <c r="N408" t="s">
        <v>129</v>
      </c>
      <c r="Q408">
        <v>0</v>
      </c>
      <c r="R408">
        <v>0</v>
      </c>
      <c r="S408">
        <v>0</v>
      </c>
      <c r="T408">
        <v>0</v>
      </c>
    </row>
    <row r="409" spans="1:20" x14ac:dyDescent="0.25">
      <c r="A409" s="1">
        <v>46234</v>
      </c>
      <c r="B409" t="s">
        <v>13</v>
      </c>
      <c r="C409" t="s">
        <v>12</v>
      </c>
      <c r="D409">
        <v>2.2486328293736499</v>
      </c>
      <c r="E409" t="s">
        <v>166</v>
      </c>
      <c r="F409">
        <v>1</v>
      </c>
      <c r="G409">
        <v>46234</v>
      </c>
      <c r="H409" t="s">
        <v>150</v>
      </c>
      <c r="I409">
        <v>0.18018655322795052</v>
      </c>
      <c r="J409">
        <v>0.18018655322795052</v>
      </c>
      <c r="K409">
        <v>0</v>
      </c>
      <c r="L409">
        <v>0</v>
      </c>
      <c r="M409">
        <v>0</v>
      </c>
      <c r="N409" t="s">
        <v>129</v>
      </c>
      <c r="Q409">
        <v>31.49660950424575</v>
      </c>
      <c r="R409">
        <v>0</v>
      </c>
      <c r="S409">
        <v>0</v>
      </c>
      <c r="T409">
        <v>31.49660950424575</v>
      </c>
    </row>
    <row r="410" spans="1:20" x14ac:dyDescent="0.25">
      <c r="A410" s="1">
        <v>46235</v>
      </c>
      <c r="B410" t="s">
        <v>13</v>
      </c>
      <c r="C410" t="s">
        <v>11</v>
      </c>
      <c r="D410">
        <v>1.2735376146788993</v>
      </c>
      <c r="E410" t="s">
        <v>161</v>
      </c>
      <c r="G410">
        <v>46235</v>
      </c>
      <c r="H410" t="s">
        <v>150</v>
      </c>
      <c r="I410">
        <v>0</v>
      </c>
      <c r="J410">
        <v>0</v>
      </c>
      <c r="K410">
        <v>0.33236114409066414</v>
      </c>
      <c r="L410">
        <v>0.33236114409066414</v>
      </c>
      <c r="M410">
        <v>0.94117647058823506</v>
      </c>
      <c r="N410" t="s">
        <v>119</v>
      </c>
      <c r="Q410">
        <v>0</v>
      </c>
      <c r="R410">
        <v>0</v>
      </c>
      <c r="S410">
        <v>0</v>
      </c>
      <c r="T410">
        <v>0</v>
      </c>
    </row>
    <row r="411" spans="1:20" x14ac:dyDescent="0.25">
      <c r="A411" s="1">
        <v>46235</v>
      </c>
      <c r="B411" t="s">
        <v>13</v>
      </c>
      <c r="C411" t="s">
        <v>10</v>
      </c>
      <c r="D411">
        <v>5.3727368119266048</v>
      </c>
      <c r="E411" t="s">
        <v>161</v>
      </c>
      <c r="G411">
        <v>46235</v>
      </c>
      <c r="H411" t="s">
        <v>150</v>
      </c>
      <c r="I411">
        <v>0</v>
      </c>
      <c r="J411">
        <v>0</v>
      </c>
      <c r="K411">
        <v>1.0492074001618998</v>
      </c>
      <c r="L411">
        <v>1.0492074001618998</v>
      </c>
      <c r="M411">
        <v>0</v>
      </c>
      <c r="N411" t="s">
        <v>119</v>
      </c>
      <c r="Q411">
        <v>0</v>
      </c>
      <c r="R411">
        <v>0</v>
      </c>
      <c r="S411">
        <v>0</v>
      </c>
      <c r="T411">
        <v>0</v>
      </c>
    </row>
    <row r="412" spans="1:20" x14ac:dyDescent="0.25">
      <c r="A412" s="1">
        <v>46235</v>
      </c>
      <c r="B412" t="s">
        <v>13</v>
      </c>
      <c r="C412" t="s">
        <v>12</v>
      </c>
      <c r="D412">
        <v>2.2474193200215873</v>
      </c>
      <c r="E412" t="s">
        <v>161</v>
      </c>
      <c r="G412">
        <v>46235</v>
      </c>
      <c r="H412" t="s">
        <v>150</v>
      </c>
      <c r="I412">
        <v>0</v>
      </c>
      <c r="J412">
        <v>0</v>
      </c>
      <c r="K412">
        <v>8.824976984857659E-2</v>
      </c>
      <c r="L412">
        <v>8.824976984857659E-2</v>
      </c>
      <c r="M412">
        <v>1.2091695501730106</v>
      </c>
      <c r="N412" t="s">
        <v>119</v>
      </c>
      <c r="Q412">
        <v>0</v>
      </c>
      <c r="R412">
        <v>0</v>
      </c>
      <c r="S412">
        <v>0</v>
      </c>
      <c r="T412">
        <v>0</v>
      </c>
    </row>
    <row r="413" spans="1:20" x14ac:dyDescent="0.25">
      <c r="A413" s="1">
        <v>46235</v>
      </c>
      <c r="B413" t="s">
        <v>13</v>
      </c>
      <c r="C413" t="s">
        <v>11</v>
      </c>
      <c r="D413">
        <v>1.2742252699784016</v>
      </c>
      <c r="E413" t="s">
        <v>166</v>
      </c>
      <c r="F413">
        <v>1</v>
      </c>
      <c r="G413">
        <v>46235</v>
      </c>
      <c r="H413" t="s">
        <v>150</v>
      </c>
      <c r="I413">
        <v>0</v>
      </c>
      <c r="J413">
        <v>0</v>
      </c>
      <c r="K413">
        <v>0.33304879939016635</v>
      </c>
      <c r="L413">
        <v>0.33304879939016635</v>
      </c>
      <c r="M413">
        <v>0.94117647058823517</v>
      </c>
      <c r="N413" t="s">
        <v>119</v>
      </c>
      <c r="Q413">
        <v>0</v>
      </c>
      <c r="R413">
        <v>0</v>
      </c>
      <c r="S413">
        <v>0</v>
      </c>
      <c r="T413">
        <v>0</v>
      </c>
    </row>
    <row r="414" spans="1:20" x14ac:dyDescent="0.25">
      <c r="A414" s="1">
        <v>46235</v>
      </c>
      <c r="B414" t="s">
        <v>13</v>
      </c>
      <c r="C414" t="s">
        <v>10</v>
      </c>
      <c r="D414">
        <v>5.3405029697624178</v>
      </c>
      <c r="E414" t="s">
        <v>166</v>
      </c>
      <c r="F414">
        <v>1</v>
      </c>
      <c r="G414">
        <v>46235</v>
      </c>
      <c r="H414" t="s">
        <v>150</v>
      </c>
      <c r="I414">
        <v>0</v>
      </c>
      <c r="J414">
        <v>0</v>
      </c>
      <c r="K414">
        <v>1.0169735579977133</v>
      </c>
      <c r="L414">
        <v>1.0169735579977133</v>
      </c>
      <c r="M414">
        <v>0</v>
      </c>
      <c r="N414" t="s">
        <v>119</v>
      </c>
      <c r="Q414">
        <v>0</v>
      </c>
      <c r="R414">
        <v>0</v>
      </c>
      <c r="S414">
        <v>0</v>
      </c>
      <c r="T414">
        <v>0</v>
      </c>
    </row>
    <row r="415" spans="1:20" x14ac:dyDescent="0.25">
      <c r="A415" s="1">
        <v>46235</v>
      </c>
      <c r="B415" t="s">
        <v>13</v>
      </c>
      <c r="C415" t="s">
        <v>12</v>
      </c>
      <c r="D415">
        <v>2.2486328293736499</v>
      </c>
      <c r="E415" t="s">
        <v>166</v>
      </c>
      <c r="F415">
        <v>1</v>
      </c>
      <c r="G415">
        <v>46235</v>
      </c>
      <c r="H415" t="s">
        <v>150</v>
      </c>
      <c r="I415">
        <v>0</v>
      </c>
      <c r="J415">
        <v>0</v>
      </c>
      <c r="K415">
        <v>8.9463279200639234E-2</v>
      </c>
      <c r="L415">
        <v>8.9463279200639234E-2</v>
      </c>
      <c r="M415">
        <v>1.2091695501730106</v>
      </c>
      <c r="N415" t="s">
        <v>119</v>
      </c>
      <c r="Q415">
        <v>0</v>
      </c>
      <c r="R415">
        <v>0</v>
      </c>
      <c r="S415">
        <v>0</v>
      </c>
      <c r="T415">
        <v>0</v>
      </c>
    </row>
    <row r="416" spans="1:20" x14ac:dyDescent="0.25">
      <c r="A416" s="1">
        <v>46236</v>
      </c>
      <c r="B416" t="s">
        <v>13</v>
      </c>
      <c r="C416" t="s">
        <v>12</v>
      </c>
      <c r="D416">
        <v>2.2474193200215873</v>
      </c>
      <c r="E416" t="s">
        <v>161</v>
      </c>
      <c r="G416">
        <v>46236</v>
      </c>
      <c r="H416" t="s">
        <v>150</v>
      </c>
      <c r="I416">
        <v>0</v>
      </c>
      <c r="J416">
        <v>0</v>
      </c>
      <c r="K416">
        <v>0.19897641344719214</v>
      </c>
      <c r="L416">
        <v>0.19897641344719214</v>
      </c>
      <c r="M416">
        <v>1.0984429065743953</v>
      </c>
      <c r="N416" t="s">
        <v>120</v>
      </c>
      <c r="Q416">
        <v>0</v>
      </c>
      <c r="R416">
        <v>0</v>
      </c>
      <c r="S416">
        <v>0</v>
      </c>
      <c r="T416">
        <v>0</v>
      </c>
    </row>
    <row r="417" spans="1:20" x14ac:dyDescent="0.25">
      <c r="A417" s="1">
        <v>46236</v>
      </c>
      <c r="B417" t="s">
        <v>13</v>
      </c>
      <c r="C417" t="s">
        <v>11</v>
      </c>
      <c r="D417">
        <v>1.2735376146788993</v>
      </c>
      <c r="E417" t="s">
        <v>161</v>
      </c>
      <c r="G417">
        <v>46236</v>
      </c>
      <c r="H417" t="s">
        <v>150</v>
      </c>
      <c r="I417">
        <v>0</v>
      </c>
      <c r="J417">
        <v>0</v>
      </c>
      <c r="K417">
        <v>0.33236114409066414</v>
      </c>
      <c r="L417">
        <v>0.33236114409066414</v>
      </c>
      <c r="M417">
        <v>0.94117647058823506</v>
      </c>
      <c r="N417" t="s">
        <v>120</v>
      </c>
      <c r="Q417">
        <v>0</v>
      </c>
      <c r="R417">
        <v>0</v>
      </c>
      <c r="S417">
        <v>0</v>
      </c>
      <c r="T417">
        <v>0</v>
      </c>
    </row>
    <row r="418" spans="1:20" x14ac:dyDescent="0.25">
      <c r="A418" s="1">
        <v>46236</v>
      </c>
      <c r="B418" t="s">
        <v>13</v>
      </c>
      <c r="C418" t="s">
        <v>10</v>
      </c>
      <c r="D418">
        <v>3.5818245412844032</v>
      </c>
      <c r="E418" t="s">
        <v>161</v>
      </c>
      <c r="G418">
        <v>46236</v>
      </c>
      <c r="H418" t="s">
        <v>150</v>
      </c>
      <c r="I418">
        <v>0</v>
      </c>
      <c r="J418">
        <v>0</v>
      </c>
      <c r="K418">
        <v>0.64064807069616869</v>
      </c>
      <c r="L418">
        <v>0.64064807069616869</v>
      </c>
      <c r="M418">
        <v>0</v>
      </c>
      <c r="N418" t="s">
        <v>120</v>
      </c>
      <c r="Q418">
        <v>0</v>
      </c>
      <c r="R418">
        <v>0</v>
      </c>
      <c r="S418">
        <v>0</v>
      </c>
      <c r="T418">
        <v>0</v>
      </c>
    </row>
    <row r="419" spans="1:20" x14ac:dyDescent="0.25">
      <c r="A419" s="1">
        <v>46236</v>
      </c>
      <c r="B419" t="s">
        <v>13</v>
      </c>
      <c r="C419" t="s">
        <v>12</v>
      </c>
      <c r="D419">
        <v>2.2486328293736499</v>
      </c>
      <c r="E419" t="s">
        <v>166</v>
      </c>
      <c r="F419">
        <v>1</v>
      </c>
      <c r="G419">
        <v>46236</v>
      </c>
      <c r="H419" t="s">
        <v>150</v>
      </c>
      <c r="I419">
        <v>0</v>
      </c>
      <c r="J419">
        <v>0</v>
      </c>
      <c r="K419">
        <v>0.20018992279925482</v>
      </c>
      <c r="L419">
        <v>0.20018992279925482</v>
      </c>
      <c r="M419">
        <v>1.0984429065743953</v>
      </c>
      <c r="N419" t="s">
        <v>120</v>
      </c>
      <c r="Q419">
        <v>0</v>
      </c>
      <c r="R419">
        <v>0</v>
      </c>
      <c r="S419">
        <v>0</v>
      </c>
      <c r="T419">
        <v>0</v>
      </c>
    </row>
    <row r="420" spans="1:20" x14ac:dyDescent="0.25">
      <c r="A420" s="1">
        <v>46236</v>
      </c>
      <c r="B420" t="s">
        <v>13</v>
      </c>
      <c r="C420" t="s">
        <v>11</v>
      </c>
      <c r="D420">
        <v>1.2742252699784016</v>
      </c>
      <c r="E420" t="s">
        <v>166</v>
      </c>
      <c r="F420">
        <v>1</v>
      </c>
      <c r="G420">
        <v>46236</v>
      </c>
      <c r="H420" t="s">
        <v>150</v>
      </c>
      <c r="I420">
        <v>0</v>
      </c>
      <c r="J420">
        <v>0</v>
      </c>
      <c r="K420">
        <v>0.33304879939016635</v>
      </c>
      <c r="L420">
        <v>0.33304879939016635</v>
      </c>
      <c r="M420">
        <v>0.94117647058823517</v>
      </c>
      <c r="N420" t="s">
        <v>120</v>
      </c>
      <c r="Q420">
        <v>0</v>
      </c>
      <c r="R420">
        <v>0</v>
      </c>
      <c r="S420">
        <v>0</v>
      </c>
      <c r="T420">
        <v>0</v>
      </c>
    </row>
    <row r="421" spans="1:20" x14ac:dyDescent="0.25">
      <c r="A421" s="1">
        <v>46236</v>
      </c>
      <c r="B421" t="s">
        <v>13</v>
      </c>
      <c r="C421" t="s">
        <v>10</v>
      </c>
      <c r="D421">
        <v>3.5134887958963272</v>
      </c>
      <c r="E421" t="s">
        <v>166</v>
      </c>
      <c r="F421">
        <v>1</v>
      </c>
      <c r="G421">
        <v>46236</v>
      </c>
      <c r="H421" t="s">
        <v>150</v>
      </c>
      <c r="I421">
        <v>0</v>
      </c>
      <c r="J421">
        <v>0</v>
      </c>
      <c r="K421">
        <v>0.57231232530809262</v>
      </c>
      <c r="L421">
        <v>0.57231232530809262</v>
      </c>
      <c r="M421">
        <v>0</v>
      </c>
      <c r="N421" t="s">
        <v>120</v>
      </c>
      <c r="Q421">
        <v>0</v>
      </c>
      <c r="R421">
        <v>0</v>
      </c>
      <c r="S421">
        <v>0</v>
      </c>
      <c r="T421">
        <v>0</v>
      </c>
    </row>
    <row r="422" spans="1:20" x14ac:dyDescent="0.25">
      <c r="A422" s="1">
        <v>46237</v>
      </c>
      <c r="B422" t="s">
        <v>13</v>
      </c>
      <c r="C422" t="s">
        <v>10</v>
      </c>
      <c r="D422">
        <v>5.8204648795871554</v>
      </c>
      <c r="E422" t="s">
        <v>161</v>
      </c>
      <c r="G422">
        <v>46237</v>
      </c>
      <c r="H422" t="s">
        <v>150</v>
      </c>
      <c r="I422">
        <v>0</v>
      </c>
      <c r="J422">
        <v>0</v>
      </c>
      <c r="K422">
        <v>1.5318619384106855</v>
      </c>
      <c r="L422">
        <v>1.5318619384106855</v>
      </c>
      <c r="M422">
        <v>4.2886029411764701</v>
      </c>
      <c r="N422" t="s">
        <v>125</v>
      </c>
      <c r="Q422">
        <v>0</v>
      </c>
      <c r="R422">
        <v>0</v>
      </c>
      <c r="S422">
        <v>0</v>
      </c>
      <c r="T422">
        <v>0</v>
      </c>
    </row>
    <row r="423" spans="1:20" x14ac:dyDescent="0.25">
      <c r="A423" s="1">
        <v>46237</v>
      </c>
      <c r="B423" t="s">
        <v>13</v>
      </c>
      <c r="C423" t="s">
        <v>11</v>
      </c>
      <c r="D423">
        <v>1.2735376146788993</v>
      </c>
      <c r="E423" t="s">
        <v>161</v>
      </c>
      <c r="G423">
        <v>46237</v>
      </c>
      <c r="H423" t="s">
        <v>150</v>
      </c>
      <c r="I423">
        <v>0</v>
      </c>
      <c r="J423">
        <v>0</v>
      </c>
      <c r="K423">
        <v>0.33236114409066414</v>
      </c>
      <c r="L423">
        <v>0.33236114409066414</v>
      </c>
      <c r="M423">
        <v>0.94117647058823506</v>
      </c>
      <c r="N423" t="s">
        <v>125</v>
      </c>
      <c r="Q423">
        <v>0</v>
      </c>
      <c r="R423">
        <v>0</v>
      </c>
      <c r="S423">
        <v>0</v>
      </c>
      <c r="T423">
        <v>0</v>
      </c>
    </row>
    <row r="424" spans="1:20" x14ac:dyDescent="0.25">
      <c r="A424" s="1">
        <v>46237</v>
      </c>
      <c r="B424" t="s">
        <v>13</v>
      </c>
      <c r="C424" t="s">
        <v>12</v>
      </c>
      <c r="D424">
        <v>3.3711289800323798</v>
      </c>
      <c r="E424" t="s">
        <v>161</v>
      </c>
      <c r="G424">
        <v>46237</v>
      </c>
      <c r="H424" t="s">
        <v>150</v>
      </c>
      <c r="I424">
        <v>3.4122156167601725E-2</v>
      </c>
      <c r="J424">
        <v>3.4122156167601725E-2</v>
      </c>
      <c r="K424">
        <v>0</v>
      </c>
      <c r="L424">
        <v>0</v>
      </c>
      <c r="M424">
        <v>0</v>
      </c>
      <c r="N424" t="s">
        <v>125</v>
      </c>
      <c r="Q424">
        <v>5.9645528980967812</v>
      </c>
      <c r="R424">
        <v>0</v>
      </c>
      <c r="S424">
        <v>0</v>
      </c>
      <c r="T424">
        <v>5.9645528980967812</v>
      </c>
    </row>
    <row r="425" spans="1:20" x14ac:dyDescent="0.25">
      <c r="A425" s="1">
        <v>46237</v>
      </c>
      <c r="B425" t="s">
        <v>13</v>
      </c>
      <c r="C425" t="s">
        <v>10</v>
      </c>
      <c r="D425">
        <v>5.8323914011879037</v>
      </c>
      <c r="E425" t="s">
        <v>166</v>
      </c>
      <c r="F425">
        <v>1</v>
      </c>
      <c r="G425">
        <v>46237</v>
      </c>
      <c r="H425" t="s">
        <v>150</v>
      </c>
      <c r="I425">
        <v>0</v>
      </c>
      <c r="J425">
        <v>0</v>
      </c>
      <c r="K425">
        <v>1.5437884600114338</v>
      </c>
      <c r="L425">
        <v>1.5437884600114338</v>
      </c>
      <c r="M425">
        <v>4.2886029411764701</v>
      </c>
      <c r="N425" t="s">
        <v>125</v>
      </c>
      <c r="Q425">
        <v>0</v>
      </c>
      <c r="R425">
        <v>0</v>
      </c>
      <c r="S425">
        <v>0</v>
      </c>
      <c r="T425">
        <v>0</v>
      </c>
    </row>
    <row r="426" spans="1:20" x14ac:dyDescent="0.25">
      <c r="A426" s="1">
        <v>46237</v>
      </c>
      <c r="B426" t="s">
        <v>13</v>
      </c>
      <c r="C426" t="s">
        <v>11</v>
      </c>
      <c r="D426">
        <v>1.2742252699784016</v>
      </c>
      <c r="E426" t="s">
        <v>166</v>
      </c>
      <c r="F426">
        <v>1</v>
      </c>
      <c r="G426">
        <v>46237</v>
      </c>
      <c r="H426" t="s">
        <v>150</v>
      </c>
      <c r="I426">
        <v>0</v>
      </c>
      <c r="J426">
        <v>0</v>
      </c>
      <c r="K426">
        <v>0.33304879939016635</v>
      </c>
      <c r="L426">
        <v>0.33304879939016635</v>
      </c>
      <c r="M426">
        <v>0.94117647058823517</v>
      </c>
      <c r="N426" t="s">
        <v>125</v>
      </c>
      <c r="Q426">
        <v>0</v>
      </c>
      <c r="R426">
        <v>0</v>
      </c>
      <c r="S426">
        <v>0</v>
      </c>
      <c r="T426">
        <v>0</v>
      </c>
    </row>
    <row r="427" spans="1:20" x14ac:dyDescent="0.25">
      <c r="A427" s="1">
        <v>46237</v>
      </c>
      <c r="B427" t="s">
        <v>13</v>
      </c>
      <c r="C427" t="s">
        <v>12</v>
      </c>
      <c r="D427">
        <v>3.3729492440604751</v>
      </c>
      <c r="E427" t="s">
        <v>166</v>
      </c>
      <c r="F427">
        <v>1</v>
      </c>
      <c r="G427">
        <v>46237</v>
      </c>
      <c r="H427" t="s">
        <v>150</v>
      </c>
      <c r="I427">
        <v>3.3564076212843075E-2</v>
      </c>
      <c r="J427">
        <v>3.3564076212843075E-2</v>
      </c>
      <c r="K427">
        <v>0</v>
      </c>
      <c r="L427">
        <v>0</v>
      </c>
      <c r="M427">
        <v>0</v>
      </c>
      <c r="N427" t="s">
        <v>125</v>
      </c>
      <c r="Q427">
        <v>5.867000522004969</v>
      </c>
      <c r="R427">
        <v>0</v>
      </c>
      <c r="S427">
        <v>0</v>
      </c>
      <c r="T427">
        <v>5.867000522004969</v>
      </c>
    </row>
    <row r="428" spans="1:20" x14ac:dyDescent="0.25">
      <c r="A428" s="1">
        <v>46238</v>
      </c>
      <c r="B428" t="s">
        <v>13</v>
      </c>
      <c r="C428" t="s">
        <v>12</v>
      </c>
      <c r="D428">
        <v>3.3711289800323798</v>
      </c>
      <c r="E428" t="s">
        <v>161</v>
      </c>
      <c r="G428">
        <v>46238</v>
      </c>
      <c r="H428" t="s">
        <v>150</v>
      </c>
      <c r="I428">
        <v>3.4122156167601725E-2</v>
      </c>
      <c r="J428">
        <v>3.4122156167601725E-2</v>
      </c>
      <c r="K428">
        <v>0</v>
      </c>
      <c r="L428">
        <v>0</v>
      </c>
      <c r="M428">
        <v>0</v>
      </c>
      <c r="N428" t="s">
        <v>126</v>
      </c>
      <c r="Q428">
        <v>5.9645528980967812</v>
      </c>
      <c r="R428">
        <v>0</v>
      </c>
      <c r="S428">
        <v>0</v>
      </c>
      <c r="T428">
        <v>5.9645528980967812</v>
      </c>
    </row>
    <row r="429" spans="1:20" x14ac:dyDescent="0.25">
      <c r="A429" s="1">
        <v>46238</v>
      </c>
      <c r="B429" t="s">
        <v>13</v>
      </c>
      <c r="C429" t="s">
        <v>10</v>
      </c>
      <c r="D429">
        <v>5.8204648795871554</v>
      </c>
      <c r="E429" t="s">
        <v>161</v>
      </c>
      <c r="G429">
        <v>46238</v>
      </c>
      <c r="H429" t="s">
        <v>150</v>
      </c>
      <c r="I429">
        <v>0</v>
      </c>
      <c r="J429">
        <v>0</v>
      </c>
      <c r="K429">
        <v>1.5318619384106855</v>
      </c>
      <c r="L429">
        <v>1.5318619384106855</v>
      </c>
      <c r="M429">
        <v>4.2886029411764701</v>
      </c>
      <c r="N429" t="s">
        <v>126</v>
      </c>
      <c r="Q429">
        <v>0</v>
      </c>
      <c r="R429">
        <v>0</v>
      </c>
      <c r="S429">
        <v>0</v>
      </c>
      <c r="T429">
        <v>0</v>
      </c>
    </row>
    <row r="430" spans="1:20" x14ac:dyDescent="0.25">
      <c r="A430" s="1">
        <v>46238</v>
      </c>
      <c r="B430" t="s">
        <v>13</v>
      </c>
      <c r="C430" t="s">
        <v>11</v>
      </c>
      <c r="D430">
        <v>1.2735376146788993</v>
      </c>
      <c r="E430" t="s">
        <v>161</v>
      </c>
      <c r="G430">
        <v>46238</v>
      </c>
      <c r="H430" t="s">
        <v>150</v>
      </c>
      <c r="I430">
        <v>0</v>
      </c>
      <c r="J430">
        <v>0</v>
      </c>
      <c r="K430">
        <v>0.33236114409066414</v>
      </c>
      <c r="L430">
        <v>0.33236114409066414</v>
      </c>
      <c r="M430">
        <v>0.94117647058823506</v>
      </c>
      <c r="N430" t="s">
        <v>126</v>
      </c>
      <c r="Q430">
        <v>0</v>
      </c>
      <c r="R430">
        <v>0</v>
      </c>
      <c r="S430">
        <v>0</v>
      </c>
      <c r="T430">
        <v>0</v>
      </c>
    </row>
    <row r="431" spans="1:20" x14ac:dyDescent="0.25">
      <c r="A431" s="1">
        <v>46238</v>
      </c>
      <c r="B431" t="s">
        <v>13</v>
      </c>
      <c r="C431" t="s">
        <v>12</v>
      </c>
      <c r="D431">
        <v>3.3729492440604751</v>
      </c>
      <c r="E431" t="s">
        <v>166</v>
      </c>
      <c r="F431">
        <v>1</v>
      </c>
      <c r="G431">
        <v>46238</v>
      </c>
      <c r="H431" t="s">
        <v>150</v>
      </c>
      <c r="I431">
        <v>3.3564076212843075E-2</v>
      </c>
      <c r="J431">
        <v>3.3564076212843075E-2</v>
      </c>
      <c r="K431">
        <v>0</v>
      </c>
      <c r="L431">
        <v>0</v>
      </c>
      <c r="M431">
        <v>0</v>
      </c>
      <c r="N431" t="s">
        <v>126</v>
      </c>
      <c r="Q431">
        <v>5.867000522004969</v>
      </c>
      <c r="R431">
        <v>0</v>
      </c>
      <c r="S431">
        <v>0</v>
      </c>
      <c r="T431">
        <v>5.867000522004969</v>
      </c>
    </row>
    <row r="432" spans="1:20" x14ac:dyDescent="0.25">
      <c r="A432" s="1">
        <v>46238</v>
      </c>
      <c r="B432" t="s">
        <v>13</v>
      </c>
      <c r="C432" t="s">
        <v>10</v>
      </c>
      <c r="D432">
        <v>5.8323914011879046</v>
      </c>
      <c r="E432" t="s">
        <v>166</v>
      </c>
      <c r="F432">
        <v>1</v>
      </c>
      <c r="G432">
        <v>46238</v>
      </c>
      <c r="H432" t="s">
        <v>150</v>
      </c>
      <c r="I432">
        <v>0</v>
      </c>
      <c r="J432">
        <v>0</v>
      </c>
      <c r="K432">
        <v>1.5437884600114347</v>
      </c>
      <c r="L432">
        <v>1.5437884600114347</v>
      </c>
      <c r="M432">
        <v>4.2886029411764701</v>
      </c>
      <c r="N432" t="s">
        <v>126</v>
      </c>
      <c r="Q432">
        <v>0</v>
      </c>
      <c r="R432">
        <v>0</v>
      </c>
      <c r="S432">
        <v>0</v>
      </c>
      <c r="T432">
        <v>0</v>
      </c>
    </row>
    <row r="433" spans="1:20" x14ac:dyDescent="0.25">
      <c r="A433" s="1">
        <v>46238</v>
      </c>
      <c r="B433" t="s">
        <v>13</v>
      </c>
      <c r="C433" t="s">
        <v>11</v>
      </c>
      <c r="D433">
        <v>1.2742252699784016</v>
      </c>
      <c r="E433" t="s">
        <v>166</v>
      </c>
      <c r="F433">
        <v>1</v>
      </c>
      <c r="G433">
        <v>46238</v>
      </c>
      <c r="H433" t="s">
        <v>150</v>
      </c>
      <c r="I433">
        <v>0</v>
      </c>
      <c r="J433">
        <v>0</v>
      </c>
      <c r="K433">
        <v>0.33304879939016635</v>
      </c>
      <c r="L433">
        <v>0.33304879939016635</v>
      </c>
      <c r="M433">
        <v>0.94117647058823517</v>
      </c>
      <c r="N433" t="s">
        <v>126</v>
      </c>
      <c r="Q433">
        <v>0</v>
      </c>
      <c r="R433">
        <v>0</v>
      </c>
      <c r="S433">
        <v>0</v>
      </c>
      <c r="T433">
        <v>0</v>
      </c>
    </row>
    <row r="434" spans="1:20" x14ac:dyDescent="0.25">
      <c r="A434" s="1">
        <v>46239</v>
      </c>
      <c r="B434" t="s">
        <v>13</v>
      </c>
      <c r="C434" t="s">
        <v>11</v>
      </c>
      <c r="D434">
        <v>1.2735376146788993</v>
      </c>
      <c r="E434" t="s">
        <v>161</v>
      </c>
      <c r="G434">
        <v>46239</v>
      </c>
      <c r="H434" t="s">
        <v>150</v>
      </c>
      <c r="I434">
        <v>0</v>
      </c>
      <c r="J434">
        <v>0</v>
      </c>
      <c r="K434">
        <v>0.33236114409066414</v>
      </c>
      <c r="L434">
        <v>0.33236114409066414</v>
      </c>
      <c r="M434">
        <v>0.94117647058823506</v>
      </c>
      <c r="N434" t="s">
        <v>127</v>
      </c>
      <c r="Q434">
        <v>0</v>
      </c>
      <c r="R434">
        <v>0</v>
      </c>
      <c r="S434">
        <v>0</v>
      </c>
      <c r="T434">
        <v>0</v>
      </c>
    </row>
    <row r="435" spans="1:20" x14ac:dyDescent="0.25">
      <c r="A435" s="1">
        <v>46239</v>
      </c>
      <c r="B435" t="s">
        <v>13</v>
      </c>
      <c r="C435" t="s">
        <v>12</v>
      </c>
      <c r="D435">
        <v>3.9329838100377774</v>
      </c>
      <c r="E435" t="s">
        <v>161</v>
      </c>
      <c r="G435">
        <v>46239</v>
      </c>
      <c r="H435" t="s">
        <v>150</v>
      </c>
      <c r="I435">
        <v>0</v>
      </c>
      <c r="J435">
        <v>0</v>
      </c>
      <c r="K435">
        <v>8.6963048792103342E-2</v>
      </c>
      <c r="L435">
        <v>8.6963048792103342E-2</v>
      </c>
      <c r="M435">
        <v>3.8460207612456743</v>
      </c>
      <c r="N435" t="s">
        <v>127</v>
      </c>
      <c r="Q435">
        <v>0</v>
      </c>
      <c r="R435">
        <v>0</v>
      </c>
      <c r="S435">
        <v>0</v>
      </c>
      <c r="T435">
        <v>0</v>
      </c>
    </row>
    <row r="436" spans="1:20" x14ac:dyDescent="0.25">
      <c r="A436" s="1">
        <v>46239</v>
      </c>
      <c r="B436" t="s">
        <v>13</v>
      </c>
      <c r="C436" t="s">
        <v>10</v>
      </c>
      <c r="D436">
        <v>4.6265233658256895</v>
      </c>
      <c r="E436" t="s">
        <v>161</v>
      </c>
      <c r="G436">
        <v>46239</v>
      </c>
      <c r="H436" t="s">
        <v>150</v>
      </c>
      <c r="I436">
        <v>0</v>
      </c>
      <c r="J436">
        <v>0</v>
      </c>
      <c r="K436">
        <v>2.2202733658256895</v>
      </c>
      <c r="L436">
        <v>2.2202733658256895</v>
      </c>
      <c r="M436">
        <v>2.40625</v>
      </c>
      <c r="N436" t="s">
        <v>127</v>
      </c>
      <c r="Q436">
        <v>0</v>
      </c>
      <c r="R436">
        <v>0</v>
      </c>
      <c r="S436">
        <v>0</v>
      </c>
      <c r="T436">
        <v>0</v>
      </c>
    </row>
    <row r="437" spans="1:20" x14ac:dyDescent="0.25">
      <c r="A437" s="1">
        <v>46239</v>
      </c>
      <c r="B437" t="s">
        <v>13</v>
      </c>
      <c r="C437" t="s">
        <v>11</v>
      </c>
      <c r="D437">
        <v>1.2742252699784016</v>
      </c>
      <c r="E437" t="s">
        <v>166</v>
      </c>
      <c r="F437">
        <v>1</v>
      </c>
      <c r="G437">
        <v>46239</v>
      </c>
      <c r="H437" t="s">
        <v>150</v>
      </c>
      <c r="I437">
        <v>0</v>
      </c>
      <c r="J437">
        <v>0</v>
      </c>
      <c r="K437">
        <v>0.33304879939016635</v>
      </c>
      <c r="L437">
        <v>0.33304879939016635</v>
      </c>
      <c r="M437">
        <v>0.94117647058823517</v>
      </c>
      <c r="N437" t="s">
        <v>127</v>
      </c>
      <c r="Q437">
        <v>0</v>
      </c>
      <c r="R437">
        <v>0</v>
      </c>
      <c r="S437">
        <v>0</v>
      </c>
      <c r="T437">
        <v>0</v>
      </c>
    </row>
    <row r="438" spans="1:20" x14ac:dyDescent="0.25">
      <c r="A438" s="1">
        <v>46239</v>
      </c>
      <c r="B438" t="s">
        <v>13</v>
      </c>
      <c r="C438" t="s">
        <v>12</v>
      </c>
      <c r="D438">
        <v>3.902039321560157</v>
      </c>
      <c r="E438" t="s">
        <v>166</v>
      </c>
      <c r="F438">
        <v>1</v>
      </c>
      <c r="G438">
        <v>46239</v>
      </c>
      <c r="H438" t="s">
        <v>150</v>
      </c>
      <c r="I438">
        <v>0</v>
      </c>
      <c r="J438">
        <v>0</v>
      </c>
      <c r="K438">
        <v>5.6018560314482775E-2</v>
      </c>
      <c r="L438">
        <v>5.6018560314482775E-2</v>
      </c>
      <c r="M438">
        <v>3.8460207612456743</v>
      </c>
      <c r="N438" t="s">
        <v>127</v>
      </c>
      <c r="Q438">
        <v>0</v>
      </c>
      <c r="R438">
        <v>0</v>
      </c>
      <c r="S438">
        <v>0</v>
      </c>
      <c r="T438">
        <v>0</v>
      </c>
    </row>
    <row r="439" spans="1:20" x14ac:dyDescent="0.25">
      <c r="A439" s="1">
        <v>46239</v>
      </c>
      <c r="B439" t="s">
        <v>13</v>
      </c>
      <c r="C439" t="s">
        <v>10</v>
      </c>
      <c r="D439">
        <v>4.6378052105831538</v>
      </c>
      <c r="E439" t="s">
        <v>166</v>
      </c>
      <c r="F439">
        <v>1</v>
      </c>
      <c r="G439">
        <v>46239</v>
      </c>
      <c r="H439" t="s">
        <v>150</v>
      </c>
      <c r="I439">
        <v>0</v>
      </c>
      <c r="J439">
        <v>0</v>
      </c>
      <c r="K439">
        <v>2.2315552105831533</v>
      </c>
      <c r="L439">
        <v>2.2315552105831533</v>
      </c>
      <c r="M439">
        <v>2.4062500000000004</v>
      </c>
      <c r="N439" t="s">
        <v>127</v>
      </c>
      <c r="Q439">
        <v>0</v>
      </c>
      <c r="R439">
        <v>0</v>
      </c>
      <c r="S439">
        <v>0</v>
      </c>
      <c r="T439">
        <v>0</v>
      </c>
    </row>
    <row r="440" spans="1:20" x14ac:dyDescent="0.25">
      <c r="A440" s="1">
        <v>46240</v>
      </c>
      <c r="B440" t="s">
        <v>13</v>
      </c>
      <c r="C440" t="s">
        <v>10</v>
      </c>
      <c r="D440">
        <v>5.9697075688073395</v>
      </c>
      <c r="E440" t="s">
        <v>161</v>
      </c>
      <c r="G440">
        <v>46240</v>
      </c>
      <c r="H440" t="s">
        <v>150</v>
      </c>
      <c r="I440">
        <v>0</v>
      </c>
      <c r="J440">
        <v>0</v>
      </c>
      <c r="K440">
        <v>2.0277571044110534</v>
      </c>
      <c r="L440">
        <v>2.0277571044110534</v>
      </c>
      <c r="M440">
        <v>3.9419504643962862</v>
      </c>
      <c r="N440" t="s">
        <v>128</v>
      </c>
      <c r="Q440">
        <v>0</v>
      </c>
      <c r="R440">
        <v>0</v>
      </c>
      <c r="S440">
        <v>0</v>
      </c>
      <c r="T440">
        <v>0</v>
      </c>
    </row>
    <row r="441" spans="1:20" x14ac:dyDescent="0.25">
      <c r="A441" s="1">
        <v>46240</v>
      </c>
      <c r="B441" t="s">
        <v>13</v>
      </c>
      <c r="C441" t="s">
        <v>11</v>
      </c>
      <c r="D441">
        <v>1.2735376146788993</v>
      </c>
      <c r="E441" t="s">
        <v>161</v>
      </c>
      <c r="G441">
        <v>46240</v>
      </c>
      <c r="H441" t="s">
        <v>150</v>
      </c>
      <c r="I441">
        <v>0</v>
      </c>
      <c r="J441">
        <v>0</v>
      </c>
      <c r="K441">
        <v>0.33236114409066414</v>
      </c>
      <c r="L441">
        <v>0.33236114409066414</v>
      </c>
      <c r="M441">
        <v>0.94117647058823506</v>
      </c>
      <c r="N441" t="s">
        <v>128</v>
      </c>
      <c r="Q441">
        <v>0</v>
      </c>
      <c r="R441">
        <v>0</v>
      </c>
      <c r="S441">
        <v>0</v>
      </c>
      <c r="T441">
        <v>0</v>
      </c>
    </row>
    <row r="442" spans="1:20" x14ac:dyDescent="0.25">
      <c r="A442" s="1">
        <v>46240</v>
      </c>
      <c r="B442" t="s">
        <v>13</v>
      </c>
      <c r="C442" t="s">
        <v>12</v>
      </c>
      <c r="D442">
        <v>3.5115926875337284</v>
      </c>
      <c r="E442" t="s">
        <v>161</v>
      </c>
      <c r="G442">
        <v>46240</v>
      </c>
      <c r="H442" t="s">
        <v>150</v>
      </c>
      <c r="I442">
        <v>0</v>
      </c>
      <c r="J442">
        <v>0</v>
      </c>
      <c r="K442">
        <v>0.40505471630808743</v>
      </c>
      <c r="L442">
        <v>0.40505471630808743</v>
      </c>
      <c r="M442">
        <v>3.1065379712256411</v>
      </c>
      <c r="N442" t="s">
        <v>128</v>
      </c>
      <c r="Q442">
        <v>0</v>
      </c>
      <c r="R442">
        <v>0</v>
      </c>
      <c r="S442">
        <v>0</v>
      </c>
      <c r="T442">
        <v>0</v>
      </c>
    </row>
    <row r="443" spans="1:20" x14ac:dyDescent="0.25">
      <c r="A443" s="1">
        <v>46240</v>
      </c>
      <c r="B443" t="s">
        <v>13</v>
      </c>
      <c r="C443" t="s">
        <v>10</v>
      </c>
      <c r="D443">
        <v>5.9729309530237575</v>
      </c>
      <c r="E443" t="s">
        <v>166</v>
      </c>
      <c r="F443">
        <v>1</v>
      </c>
      <c r="G443">
        <v>46240</v>
      </c>
      <c r="H443" t="s">
        <v>150</v>
      </c>
      <c r="I443">
        <v>0</v>
      </c>
      <c r="J443">
        <v>0</v>
      </c>
      <c r="K443">
        <v>2.0309804886274714</v>
      </c>
      <c r="L443">
        <v>2.0309804886274714</v>
      </c>
      <c r="M443">
        <v>3.9419504643962862</v>
      </c>
      <c r="N443" t="s">
        <v>128</v>
      </c>
      <c r="Q443">
        <v>0</v>
      </c>
      <c r="R443">
        <v>0</v>
      </c>
      <c r="S443">
        <v>0</v>
      </c>
      <c r="T443">
        <v>0</v>
      </c>
    </row>
    <row r="444" spans="1:20" x14ac:dyDescent="0.25">
      <c r="A444" s="1">
        <v>46240</v>
      </c>
      <c r="B444" t="s">
        <v>13</v>
      </c>
      <c r="C444" t="s">
        <v>11</v>
      </c>
      <c r="D444">
        <v>1.2742252699784016</v>
      </c>
      <c r="E444" t="s">
        <v>166</v>
      </c>
      <c r="F444">
        <v>1</v>
      </c>
      <c r="G444">
        <v>46240</v>
      </c>
      <c r="H444" t="s">
        <v>150</v>
      </c>
      <c r="I444">
        <v>0</v>
      </c>
      <c r="J444">
        <v>0</v>
      </c>
      <c r="K444">
        <v>0.33304879939016635</v>
      </c>
      <c r="L444">
        <v>0.33304879939016635</v>
      </c>
      <c r="M444">
        <v>0.94117647058823517</v>
      </c>
      <c r="N444" t="s">
        <v>128</v>
      </c>
      <c r="Q444">
        <v>0</v>
      </c>
      <c r="R444">
        <v>0</v>
      </c>
      <c r="S444">
        <v>0</v>
      </c>
      <c r="T444">
        <v>0</v>
      </c>
    </row>
    <row r="445" spans="1:20" x14ac:dyDescent="0.25">
      <c r="A445" s="1">
        <v>46240</v>
      </c>
      <c r="B445" t="s">
        <v>13</v>
      </c>
      <c r="C445" t="s">
        <v>12</v>
      </c>
      <c r="D445">
        <v>3.505221763435395</v>
      </c>
      <c r="E445" t="s">
        <v>166</v>
      </c>
      <c r="F445">
        <v>1</v>
      </c>
      <c r="G445">
        <v>46240</v>
      </c>
      <c r="H445" t="s">
        <v>150</v>
      </c>
      <c r="I445">
        <v>0</v>
      </c>
      <c r="J445">
        <v>0</v>
      </c>
      <c r="K445">
        <v>0.39868379220975408</v>
      </c>
      <c r="L445">
        <v>0.39868379220975408</v>
      </c>
      <c r="M445">
        <v>3.1065379712256411</v>
      </c>
      <c r="N445" t="s">
        <v>128</v>
      </c>
      <c r="Q445">
        <v>0</v>
      </c>
      <c r="R445">
        <v>0</v>
      </c>
      <c r="S445">
        <v>0</v>
      </c>
      <c r="T445">
        <v>0</v>
      </c>
    </row>
    <row r="446" spans="1:20" x14ac:dyDescent="0.25">
      <c r="A446" s="1">
        <v>46241</v>
      </c>
      <c r="B446" t="s">
        <v>13</v>
      </c>
      <c r="C446" t="s">
        <v>12</v>
      </c>
      <c r="D446">
        <v>2.2474193200215873</v>
      </c>
      <c r="E446" t="s">
        <v>161</v>
      </c>
      <c r="G446">
        <v>46241</v>
      </c>
      <c r="H446" t="s">
        <v>150</v>
      </c>
      <c r="I446">
        <v>0</v>
      </c>
      <c r="J446">
        <v>0</v>
      </c>
      <c r="K446">
        <v>0.14361309164788449</v>
      </c>
      <c r="L446">
        <v>0.14361309164788449</v>
      </c>
      <c r="M446">
        <v>2.1038062283737027</v>
      </c>
      <c r="N446" t="s">
        <v>129</v>
      </c>
      <c r="Q446">
        <v>0</v>
      </c>
      <c r="R446">
        <v>0</v>
      </c>
      <c r="S446">
        <v>0</v>
      </c>
      <c r="T446">
        <v>0</v>
      </c>
    </row>
    <row r="447" spans="1:20" x14ac:dyDescent="0.25">
      <c r="A447" s="1">
        <v>46241</v>
      </c>
      <c r="B447" t="s">
        <v>13</v>
      </c>
      <c r="C447" t="s">
        <v>10</v>
      </c>
      <c r="D447">
        <v>4.7757660550458718</v>
      </c>
      <c r="E447" t="s">
        <v>161</v>
      </c>
      <c r="G447">
        <v>46241</v>
      </c>
      <c r="H447" t="s">
        <v>150</v>
      </c>
      <c r="I447">
        <v>0</v>
      </c>
      <c r="J447">
        <v>0</v>
      </c>
      <c r="K447">
        <v>1.8934131138694013</v>
      </c>
      <c r="L447">
        <v>1.8934131138694013</v>
      </c>
      <c r="M447">
        <v>2.8823529411764706</v>
      </c>
      <c r="N447" t="s">
        <v>129</v>
      </c>
      <c r="Q447">
        <v>0</v>
      </c>
      <c r="R447">
        <v>0</v>
      </c>
      <c r="S447">
        <v>0</v>
      </c>
      <c r="T447">
        <v>0</v>
      </c>
    </row>
    <row r="448" spans="1:20" x14ac:dyDescent="0.25">
      <c r="A448" s="1">
        <v>46241</v>
      </c>
      <c r="B448" t="s">
        <v>13</v>
      </c>
      <c r="C448" t="s">
        <v>11</v>
      </c>
      <c r="D448">
        <v>1.2735376146788993</v>
      </c>
      <c r="E448" t="s">
        <v>161</v>
      </c>
      <c r="G448">
        <v>46241</v>
      </c>
      <c r="H448" t="s">
        <v>150</v>
      </c>
      <c r="I448">
        <v>0</v>
      </c>
      <c r="J448">
        <v>0</v>
      </c>
      <c r="K448">
        <v>0.33236114409066414</v>
      </c>
      <c r="L448">
        <v>0.33236114409066414</v>
      </c>
      <c r="M448">
        <v>0.94117647058823506</v>
      </c>
      <c r="N448" t="s">
        <v>129</v>
      </c>
      <c r="Q448">
        <v>0</v>
      </c>
      <c r="R448">
        <v>0</v>
      </c>
      <c r="S448">
        <v>0</v>
      </c>
      <c r="T448">
        <v>0</v>
      </c>
    </row>
    <row r="449" spans="1:20" x14ac:dyDescent="0.25">
      <c r="A449" s="1">
        <v>46241</v>
      </c>
      <c r="B449" t="s">
        <v>13</v>
      </c>
      <c r="C449" t="s">
        <v>12</v>
      </c>
      <c r="D449">
        <v>2.2486328293736499</v>
      </c>
      <c r="E449" t="s">
        <v>166</v>
      </c>
      <c r="F449">
        <v>1</v>
      </c>
      <c r="G449">
        <v>46241</v>
      </c>
      <c r="H449" t="s">
        <v>150</v>
      </c>
      <c r="I449">
        <v>0</v>
      </c>
      <c r="J449">
        <v>0</v>
      </c>
      <c r="K449">
        <v>0.14482660099994715</v>
      </c>
      <c r="L449">
        <v>0.14482660099994715</v>
      </c>
      <c r="M449">
        <v>2.1038062283737027</v>
      </c>
      <c r="N449" t="s">
        <v>129</v>
      </c>
      <c r="Q449">
        <v>0</v>
      </c>
      <c r="R449">
        <v>0</v>
      </c>
      <c r="S449">
        <v>0</v>
      </c>
      <c r="T449">
        <v>0</v>
      </c>
    </row>
    <row r="450" spans="1:20" x14ac:dyDescent="0.25">
      <c r="A450" s="1">
        <v>46241</v>
      </c>
      <c r="B450" t="s">
        <v>13</v>
      </c>
      <c r="C450" t="s">
        <v>10</v>
      </c>
      <c r="D450">
        <v>4.7783447624190067</v>
      </c>
      <c r="E450" t="s">
        <v>166</v>
      </c>
      <c r="F450">
        <v>1</v>
      </c>
      <c r="G450">
        <v>46241</v>
      </c>
      <c r="H450" t="s">
        <v>150</v>
      </c>
      <c r="I450">
        <v>0</v>
      </c>
      <c r="J450">
        <v>0</v>
      </c>
      <c r="K450">
        <v>1.8959918212425364</v>
      </c>
      <c r="L450">
        <v>1.8959918212425364</v>
      </c>
      <c r="M450">
        <v>2.8823529411764706</v>
      </c>
      <c r="N450" t="s">
        <v>129</v>
      </c>
      <c r="Q450">
        <v>0</v>
      </c>
      <c r="R450">
        <v>0</v>
      </c>
      <c r="S450">
        <v>0</v>
      </c>
      <c r="T450">
        <v>0</v>
      </c>
    </row>
    <row r="451" spans="1:20" x14ac:dyDescent="0.25">
      <c r="A451" s="1">
        <v>46241</v>
      </c>
      <c r="B451" t="s">
        <v>13</v>
      </c>
      <c r="C451" t="s">
        <v>11</v>
      </c>
      <c r="D451">
        <v>1.2742252699784016</v>
      </c>
      <c r="E451" t="s">
        <v>166</v>
      </c>
      <c r="F451">
        <v>1</v>
      </c>
      <c r="G451">
        <v>46241</v>
      </c>
      <c r="H451" t="s">
        <v>150</v>
      </c>
      <c r="I451">
        <v>0</v>
      </c>
      <c r="J451">
        <v>0</v>
      </c>
      <c r="K451">
        <v>0.33304879939016635</v>
      </c>
      <c r="L451">
        <v>0.33304879939016635</v>
      </c>
      <c r="M451">
        <v>0.94117647058823517</v>
      </c>
      <c r="N451" t="s">
        <v>129</v>
      </c>
      <c r="Q451">
        <v>0</v>
      </c>
      <c r="R451">
        <v>0</v>
      </c>
      <c r="S451">
        <v>0</v>
      </c>
      <c r="T451">
        <v>0</v>
      </c>
    </row>
    <row r="452" spans="1:20" x14ac:dyDescent="0.25">
      <c r="A452" s="1">
        <v>46242</v>
      </c>
      <c r="B452" t="s">
        <v>13</v>
      </c>
      <c r="C452" t="s">
        <v>12</v>
      </c>
      <c r="D452">
        <v>3.3711289800323798</v>
      </c>
      <c r="E452" t="s">
        <v>161</v>
      </c>
      <c r="G452">
        <v>46242</v>
      </c>
      <c r="H452" t="s">
        <v>150</v>
      </c>
      <c r="I452">
        <v>0</v>
      </c>
      <c r="J452">
        <v>0</v>
      </c>
      <c r="K452">
        <v>0.32614628107044291</v>
      </c>
      <c r="L452">
        <v>0.32614628107044291</v>
      </c>
      <c r="M452">
        <v>3.0449826989619369</v>
      </c>
      <c r="N452" t="s">
        <v>119</v>
      </c>
      <c r="Q452">
        <v>0</v>
      </c>
      <c r="R452">
        <v>0</v>
      </c>
      <c r="S452">
        <v>0</v>
      </c>
      <c r="T452">
        <v>0</v>
      </c>
    </row>
    <row r="453" spans="1:20" x14ac:dyDescent="0.25">
      <c r="A453" s="1">
        <v>46242</v>
      </c>
      <c r="B453" t="s">
        <v>13</v>
      </c>
      <c r="C453" t="s">
        <v>11</v>
      </c>
      <c r="D453">
        <v>1.2735376146788993</v>
      </c>
      <c r="E453" t="s">
        <v>161</v>
      </c>
      <c r="G453">
        <v>46242</v>
      </c>
      <c r="H453" t="s">
        <v>150</v>
      </c>
      <c r="I453">
        <v>0</v>
      </c>
      <c r="J453">
        <v>0</v>
      </c>
      <c r="K453">
        <v>0.33236114409066414</v>
      </c>
      <c r="L453">
        <v>0.33236114409066414</v>
      </c>
      <c r="M453">
        <v>0.94117647058823506</v>
      </c>
      <c r="N453" t="s">
        <v>119</v>
      </c>
      <c r="Q453">
        <v>0</v>
      </c>
      <c r="R453">
        <v>0</v>
      </c>
      <c r="S453">
        <v>0</v>
      </c>
      <c r="T453">
        <v>0</v>
      </c>
    </row>
    <row r="454" spans="1:20" x14ac:dyDescent="0.25">
      <c r="A454" s="1">
        <v>46242</v>
      </c>
      <c r="B454" t="s">
        <v>13</v>
      </c>
      <c r="C454" t="s">
        <v>10</v>
      </c>
      <c r="D454">
        <v>2.3878830275229359</v>
      </c>
      <c r="E454" t="s">
        <v>161</v>
      </c>
      <c r="G454">
        <v>46242</v>
      </c>
      <c r="H454" t="s">
        <v>150</v>
      </c>
      <c r="I454">
        <v>0.20707459618173685</v>
      </c>
      <c r="J454">
        <v>0.20707459618173685</v>
      </c>
      <c r="K454">
        <v>0</v>
      </c>
      <c r="L454">
        <v>0</v>
      </c>
      <c r="M454">
        <v>0</v>
      </c>
      <c r="N454" t="s">
        <v>119</v>
      </c>
      <c r="Q454">
        <v>36.196639412567599</v>
      </c>
      <c r="R454">
        <v>0</v>
      </c>
      <c r="S454">
        <v>0</v>
      </c>
      <c r="T454">
        <v>36.196639412567599</v>
      </c>
    </row>
    <row r="455" spans="1:20" x14ac:dyDescent="0.25">
      <c r="A455" s="1">
        <v>46242</v>
      </c>
      <c r="B455" t="s">
        <v>13</v>
      </c>
      <c r="C455" t="s">
        <v>12</v>
      </c>
      <c r="D455">
        <v>3.3729492440604751</v>
      </c>
      <c r="E455" t="s">
        <v>166</v>
      </c>
      <c r="F455">
        <v>1</v>
      </c>
      <c r="G455">
        <v>46242</v>
      </c>
      <c r="H455" t="s">
        <v>150</v>
      </c>
      <c r="I455">
        <v>0</v>
      </c>
      <c r="J455">
        <v>0</v>
      </c>
      <c r="K455">
        <v>0.32796654509853834</v>
      </c>
      <c r="L455">
        <v>0.32796654509853834</v>
      </c>
      <c r="M455">
        <v>3.0449826989619369</v>
      </c>
      <c r="N455" t="s">
        <v>119</v>
      </c>
      <c r="Q455">
        <v>0</v>
      </c>
      <c r="R455">
        <v>0</v>
      </c>
      <c r="S455">
        <v>0</v>
      </c>
      <c r="T455">
        <v>0</v>
      </c>
    </row>
    <row r="456" spans="1:20" x14ac:dyDescent="0.25">
      <c r="A456" s="1">
        <v>46242</v>
      </c>
      <c r="B456" t="s">
        <v>13</v>
      </c>
      <c r="C456" t="s">
        <v>11</v>
      </c>
      <c r="D456">
        <v>1.2742252699784016</v>
      </c>
      <c r="E456" t="s">
        <v>166</v>
      </c>
      <c r="F456">
        <v>1</v>
      </c>
      <c r="G456">
        <v>46242</v>
      </c>
      <c r="H456" t="s">
        <v>150</v>
      </c>
      <c r="I456">
        <v>0</v>
      </c>
      <c r="J456">
        <v>0</v>
      </c>
      <c r="K456">
        <v>0.33304879939016635</v>
      </c>
      <c r="L456">
        <v>0.33304879939016635</v>
      </c>
      <c r="M456">
        <v>0.94117647058823517</v>
      </c>
      <c r="N456" t="s">
        <v>119</v>
      </c>
      <c r="Q456">
        <v>0</v>
      </c>
      <c r="R456">
        <v>0</v>
      </c>
      <c r="S456">
        <v>0</v>
      </c>
      <c r="T456">
        <v>0</v>
      </c>
    </row>
    <row r="457" spans="1:20" x14ac:dyDescent="0.25">
      <c r="A457" s="1">
        <v>46242</v>
      </c>
      <c r="B457" t="s">
        <v>13</v>
      </c>
      <c r="C457" t="s">
        <v>10</v>
      </c>
      <c r="D457">
        <v>2.3891723812095034</v>
      </c>
      <c r="E457" t="s">
        <v>166</v>
      </c>
      <c r="F457">
        <v>1</v>
      </c>
      <c r="G457">
        <v>46242</v>
      </c>
      <c r="H457" t="s">
        <v>150</v>
      </c>
      <c r="I457">
        <v>0.20642317977796898</v>
      </c>
      <c r="J457">
        <v>0.20642317977796898</v>
      </c>
      <c r="K457">
        <v>0</v>
      </c>
      <c r="L457">
        <v>0</v>
      </c>
      <c r="M457">
        <v>0</v>
      </c>
      <c r="N457" t="s">
        <v>119</v>
      </c>
      <c r="Q457">
        <v>36.082771825188971</v>
      </c>
      <c r="R457">
        <v>0</v>
      </c>
      <c r="S457">
        <v>0</v>
      </c>
      <c r="T457">
        <v>36.082771825188971</v>
      </c>
    </row>
    <row r="458" spans="1:20" x14ac:dyDescent="0.25">
      <c r="A458" s="1">
        <v>46243</v>
      </c>
      <c r="B458" t="s">
        <v>13</v>
      </c>
      <c r="C458" t="s">
        <v>10</v>
      </c>
      <c r="D458">
        <v>3.507203196674312</v>
      </c>
      <c r="E458" t="s">
        <v>161</v>
      </c>
      <c r="G458">
        <v>46243</v>
      </c>
      <c r="H458" t="s">
        <v>150</v>
      </c>
      <c r="I458">
        <v>0</v>
      </c>
      <c r="J458">
        <v>0</v>
      </c>
      <c r="K458">
        <v>0.6248502554978409</v>
      </c>
      <c r="L458">
        <v>0.6248502554978409</v>
      </c>
      <c r="M458">
        <v>2.882352941176471</v>
      </c>
      <c r="N458" t="s">
        <v>120</v>
      </c>
      <c r="Q458">
        <v>0</v>
      </c>
      <c r="R458">
        <v>0</v>
      </c>
      <c r="S458">
        <v>0</v>
      </c>
      <c r="T458">
        <v>0</v>
      </c>
    </row>
    <row r="459" spans="1:20" x14ac:dyDescent="0.25">
      <c r="A459" s="1">
        <v>46243</v>
      </c>
      <c r="B459" t="s">
        <v>13</v>
      </c>
      <c r="C459" t="s">
        <v>11</v>
      </c>
      <c r="D459">
        <v>1.2735376146788993</v>
      </c>
      <c r="E459" t="s">
        <v>161</v>
      </c>
      <c r="G459">
        <v>46243</v>
      </c>
      <c r="H459" t="s">
        <v>150</v>
      </c>
      <c r="I459">
        <v>0</v>
      </c>
      <c r="J459">
        <v>0</v>
      </c>
      <c r="K459">
        <v>0.33236114409066414</v>
      </c>
      <c r="L459">
        <v>0.33236114409066414</v>
      </c>
      <c r="M459">
        <v>0.94117647058823506</v>
      </c>
      <c r="N459" t="s">
        <v>120</v>
      </c>
      <c r="Q459">
        <v>0</v>
      </c>
      <c r="R459">
        <v>0</v>
      </c>
      <c r="S459">
        <v>0</v>
      </c>
      <c r="T459">
        <v>0</v>
      </c>
    </row>
    <row r="460" spans="1:20" x14ac:dyDescent="0.25">
      <c r="A460" s="1">
        <v>46243</v>
      </c>
      <c r="B460" t="s">
        <v>13</v>
      </c>
      <c r="C460" t="s">
        <v>12</v>
      </c>
      <c r="D460">
        <v>3.3711289800323798</v>
      </c>
      <c r="E460" t="s">
        <v>161</v>
      </c>
      <c r="G460">
        <v>46243</v>
      </c>
      <c r="H460" t="s">
        <v>150</v>
      </c>
      <c r="I460">
        <v>0</v>
      </c>
      <c r="J460">
        <v>0</v>
      </c>
      <c r="K460">
        <v>0.32614628107044291</v>
      </c>
      <c r="L460">
        <v>0.32614628107044291</v>
      </c>
      <c r="M460">
        <v>3.0449826989619369</v>
      </c>
      <c r="N460" t="s">
        <v>120</v>
      </c>
      <c r="Q460">
        <v>0</v>
      </c>
      <c r="R460">
        <v>0</v>
      </c>
      <c r="S460">
        <v>0</v>
      </c>
      <c r="T460">
        <v>0</v>
      </c>
    </row>
    <row r="461" spans="1:20" x14ac:dyDescent="0.25">
      <c r="A461" s="1">
        <v>46243</v>
      </c>
      <c r="B461" t="s">
        <v>13</v>
      </c>
      <c r="C461" t="s">
        <v>10</v>
      </c>
      <c r="D461">
        <v>3.5134887958963272</v>
      </c>
      <c r="E461" t="s">
        <v>166</v>
      </c>
      <c r="F461">
        <v>1</v>
      </c>
      <c r="G461">
        <v>46243</v>
      </c>
      <c r="H461" t="s">
        <v>150</v>
      </c>
      <c r="I461">
        <v>0</v>
      </c>
      <c r="J461">
        <v>0</v>
      </c>
      <c r="K461">
        <v>0.63113585471985634</v>
      </c>
      <c r="L461">
        <v>0.63113585471985634</v>
      </c>
      <c r="M461">
        <v>2.882352941176471</v>
      </c>
      <c r="N461" t="s">
        <v>120</v>
      </c>
      <c r="Q461">
        <v>0</v>
      </c>
      <c r="R461">
        <v>0</v>
      </c>
      <c r="S461">
        <v>0</v>
      </c>
      <c r="T461">
        <v>0</v>
      </c>
    </row>
    <row r="462" spans="1:20" x14ac:dyDescent="0.25">
      <c r="A462" s="1">
        <v>46243</v>
      </c>
      <c r="B462" t="s">
        <v>13</v>
      </c>
      <c r="C462" t="s">
        <v>11</v>
      </c>
      <c r="D462">
        <v>1.2742252699784016</v>
      </c>
      <c r="E462" t="s">
        <v>166</v>
      </c>
      <c r="F462">
        <v>1</v>
      </c>
      <c r="G462">
        <v>46243</v>
      </c>
      <c r="H462" t="s">
        <v>150</v>
      </c>
      <c r="I462">
        <v>0</v>
      </c>
      <c r="J462">
        <v>0</v>
      </c>
      <c r="K462">
        <v>0.33304879939016635</v>
      </c>
      <c r="L462">
        <v>0.33304879939016635</v>
      </c>
      <c r="M462">
        <v>0.94117647058823517</v>
      </c>
      <c r="N462" t="s">
        <v>120</v>
      </c>
      <c r="Q462">
        <v>0</v>
      </c>
      <c r="R462">
        <v>0</v>
      </c>
      <c r="S462">
        <v>0</v>
      </c>
      <c r="T462">
        <v>0</v>
      </c>
    </row>
    <row r="463" spans="1:20" x14ac:dyDescent="0.25">
      <c r="A463" s="1">
        <v>46243</v>
      </c>
      <c r="B463" t="s">
        <v>13</v>
      </c>
      <c r="C463" t="s">
        <v>12</v>
      </c>
      <c r="D463">
        <v>3.3729492440604751</v>
      </c>
      <c r="E463" t="s">
        <v>166</v>
      </c>
      <c r="F463">
        <v>1</v>
      </c>
      <c r="G463">
        <v>46243</v>
      </c>
      <c r="H463" t="s">
        <v>150</v>
      </c>
      <c r="I463">
        <v>0</v>
      </c>
      <c r="J463">
        <v>0</v>
      </c>
      <c r="K463">
        <v>0.32796654509853834</v>
      </c>
      <c r="L463">
        <v>0.32796654509853834</v>
      </c>
      <c r="M463">
        <v>3.0449826989619369</v>
      </c>
      <c r="N463" t="s">
        <v>120</v>
      </c>
      <c r="Q463">
        <v>0</v>
      </c>
      <c r="R463">
        <v>0</v>
      </c>
      <c r="S463">
        <v>0</v>
      </c>
      <c r="T463">
        <v>0</v>
      </c>
    </row>
    <row r="464" spans="1:20" x14ac:dyDescent="0.25">
      <c r="A464" s="1">
        <v>46244</v>
      </c>
      <c r="B464" t="s">
        <v>13</v>
      </c>
      <c r="C464" t="s">
        <v>10</v>
      </c>
      <c r="D464">
        <v>3.507203196674312</v>
      </c>
      <c r="E464" t="s">
        <v>161</v>
      </c>
      <c r="G464">
        <v>46244</v>
      </c>
      <c r="H464" t="s">
        <v>150</v>
      </c>
      <c r="I464">
        <v>0</v>
      </c>
      <c r="J464">
        <v>0</v>
      </c>
      <c r="K464">
        <v>0.86290172608607685</v>
      </c>
      <c r="L464">
        <v>0.86290172608607685</v>
      </c>
      <c r="M464">
        <v>2.6443014705882351</v>
      </c>
      <c r="N464" t="s">
        <v>125</v>
      </c>
      <c r="Q464">
        <v>0</v>
      </c>
      <c r="R464">
        <v>0</v>
      </c>
      <c r="S464">
        <v>0</v>
      </c>
      <c r="T464">
        <v>0</v>
      </c>
    </row>
    <row r="465" spans="1:20" x14ac:dyDescent="0.25">
      <c r="A465" s="1">
        <v>46244</v>
      </c>
      <c r="B465" t="s">
        <v>13</v>
      </c>
      <c r="C465" t="s">
        <v>11</v>
      </c>
      <c r="D465">
        <v>1.2735376146788993</v>
      </c>
      <c r="E465" t="s">
        <v>161</v>
      </c>
      <c r="G465">
        <v>46244</v>
      </c>
      <c r="H465" t="s">
        <v>150</v>
      </c>
      <c r="I465">
        <v>0</v>
      </c>
      <c r="J465">
        <v>0</v>
      </c>
      <c r="K465">
        <v>0.33236114409066414</v>
      </c>
      <c r="L465">
        <v>0.33236114409066414</v>
      </c>
      <c r="M465">
        <v>0.94117647058823506</v>
      </c>
      <c r="N465" t="s">
        <v>125</v>
      </c>
      <c r="Q465">
        <v>0</v>
      </c>
      <c r="R465">
        <v>0</v>
      </c>
      <c r="S465">
        <v>0</v>
      </c>
      <c r="T465">
        <v>0</v>
      </c>
    </row>
    <row r="466" spans="1:20" x14ac:dyDescent="0.25">
      <c r="A466" s="1">
        <v>46244</v>
      </c>
      <c r="B466" t="s">
        <v>13</v>
      </c>
      <c r="C466" t="s">
        <v>12</v>
      </c>
      <c r="D466">
        <v>3.3711289800323798</v>
      </c>
      <c r="E466" t="s">
        <v>161</v>
      </c>
      <c r="G466">
        <v>46244</v>
      </c>
      <c r="H466" t="s">
        <v>150</v>
      </c>
      <c r="I466">
        <v>0</v>
      </c>
      <c r="J466">
        <v>0</v>
      </c>
      <c r="K466">
        <v>0.16092136757563394</v>
      </c>
      <c r="L466">
        <v>0.16092136757563394</v>
      </c>
      <c r="M466">
        <v>3.2102076124567458</v>
      </c>
      <c r="N466" t="s">
        <v>125</v>
      </c>
      <c r="Q466">
        <v>0</v>
      </c>
      <c r="R466">
        <v>0</v>
      </c>
      <c r="S466">
        <v>0</v>
      </c>
      <c r="T466">
        <v>0</v>
      </c>
    </row>
    <row r="467" spans="1:20" x14ac:dyDescent="0.25">
      <c r="A467" s="1">
        <v>46244</v>
      </c>
      <c r="B467" t="s">
        <v>13</v>
      </c>
      <c r="C467" t="s">
        <v>10</v>
      </c>
      <c r="D467">
        <v>3.5134887958963272</v>
      </c>
      <c r="E467" t="s">
        <v>166</v>
      </c>
      <c r="F467">
        <v>1</v>
      </c>
      <c r="G467">
        <v>46244</v>
      </c>
      <c r="H467" t="s">
        <v>150</v>
      </c>
      <c r="I467">
        <v>0</v>
      </c>
      <c r="J467">
        <v>0</v>
      </c>
      <c r="K467">
        <v>0.86918732530809228</v>
      </c>
      <c r="L467">
        <v>0.86918732530809228</v>
      </c>
      <c r="M467">
        <v>2.6443014705882351</v>
      </c>
      <c r="N467" t="s">
        <v>125</v>
      </c>
      <c r="Q467">
        <v>0</v>
      </c>
      <c r="R467">
        <v>0</v>
      </c>
      <c r="S467">
        <v>0</v>
      </c>
      <c r="T467">
        <v>0</v>
      </c>
    </row>
    <row r="468" spans="1:20" x14ac:dyDescent="0.25">
      <c r="A468" s="1">
        <v>46244</v>
      </c>
      <c r="B468" t="s">
        <v>13</v>
      </c>
      <c r="C468" t="s">
        <v>11</v>
      </c>
      <c r="D468">
        <v>1.2742252699784016</v>
      </c>
      <c r="E468" t="s">
        <v>166</v>
      </c>
      <c r="F468">
        <v>1</v>
      </c>
      <c r="G468">
        <v>46244</v>
      </c>
      <c r="H468" t="s">
        <v>150</v>
      </c>
      <c r="I468">
        <v>0</v>
      </c>
      <c r="J468">
        <v>0</v>
      </c>
      <c r="K468">
        <v>0.33304879939016635</v>
      </c>
      <c r="L468">
        <v>0.33304879939016635</v>
      </c>
      <c r="M468">
        <v>0.94117647058823517</v>
      </c>
      <c r="N468" t="s">
        <v>125</v>
      </c>
      <c r="Q468">
        <v>0</v>
      </c>
      <c r="R468">
        <v>0</v>
      </c>
      <c r="S468">
        <v>0</v>
      </c>
      <c r="T468">
        <v>0</v>
      </c>
    </row>
    <row r="469" spans="1:20" x14ac:dyDescent="0.25">
      <c r="A469" s="1">
        <v>46244</v>
      </c>
      <c r="B469" t="s">
        <v>13</v>
      </c>
      <c r="C469" t="s">
        <v>12</v>
      </c>
      <c r="D469">
        <v>3.3729492440604751</v>
      </c>
      <c r="E469" t="s">
        <v>166</v>
      </c>
      <c r="F469">
        <v>1</v>
      </c>
      <c r="G469">
        <v>46244</v>
      </c>
      <c r="H469" t="s">
        <v>150</v>
      </c>
      <c r="I469">
        <v>0</v>
      </c>
      <c r="J469">
        <v>0</v>
      </c>
      <c r="K469">
        <v>0.16274163160372918</v>
      </c>
      <c r="L469">
        <v>0.16274163160372918</v>
      </c>
      <c r="M469">
        <v>3.2102076124567458</v>
      </c>
      <c r="N469" t="s">
        <v>125</v>
      </c>
      <c r="Q469">
        <v>0</v>
      </c>
      <c r="R469">
        <v>0</v>
      </c>
      <c r="S469">
        <v>0</v>
      </c>
      <c r="T469">
        <v>0</v>
      </c>
    </row>
    <row r="470" spans="1:20" x14ac:dyDescent="0.25">
      <c r="A470" s="1">
        <v>46245</v>
      </c>
      <c r="B470" t="s">
        <v>13</v>
      </c>
      <c r="C470" t="s">
        <v>12</v>
      </c>
      <c r="D470">
        <v>3.3711289800323798</v>
      </c>
      <c r="E470" t="s">
        <v>161</v>
      </c>
      <c r="G470">
        <v>46245</v>
      </c>
      <c r="H470" t="s">
        <v>150</v>
      </c>
      <c r="I470">
        <v>5.0544939789121779E-2</v>
      </c>
      <c r="J470">
        <v>5.0544939789121779E-2</v>
      </c>
      <c r="K470">
        <v>0</v>
      </c>
      <c r="L470">
        <v>0</v>
      </c>
      <c r="M470">
        <v>0</v>
      </c>
      <c r="N470" t="s">
        <v>126</v>
      </c>
      <c r="Q470">
        <v>8.8352554751384869</v>
      </c>
      <c r="R470">
        <v>0</v>
      </c>
      <c r="S470">
        <v>0</v>
      </c>
      <c r="T470">
        <v>8.8352554751384869</v>
      </c>
    </row>
    <row r="471" spans="1:20" x14ac:dyDescent="0.25">
      <c r="A471" s="1">
        <v>46245</v>
      </c>
      <c r="B471" t="s">
        <v>13</v>
      </c>
      <c r="C471" t="s">
        <v>11</v>
      </c>
      <c r="D471">
        <v>1.2735376146788993</v>
      </c>
      <c r="E471" t="s">
        <v>161</v>
      </c>
      <c r="G471">
        <v>46245</v>
      </c>
      <c r="H471" t="s">
        <v>150</v>
      </c>
      <c r="I471">
        <v>0</v>
      </c>
      <c r="J471">
        <v>0</v>
      </c>
      <c r="K471">
        <v>0.33236114409066414</v>
      </c>
      <c r="L471">
        <v>0.33236114409066414</v>
      </c>
      <c r="M471">
        <v>0.94117647058823506</v>
      </c>
      <c r="N471" t="s">
        <v>126</v>
      </c>
      <c r="Q471">
        <v>0</v>
      </c>
      <c r="R471">
        <v>0</v>
      </c>
      <c r="S471">
        <v>0</v>
      </c>
      <c r="T471">
        <v>0</v>
      </c>
    </row>
    <row r="472" spans="1:20" x14ac:dyDescent="0.25">
      <c r="A472" s="1">
        <v>46245</v>
      </c>
      <c r="B472" t="s">
        <v>13</v>
      </c>
      <c r="C472" t="s">
        <v>10</v>
      </c>
      <c r="D472">
        <v>7.014406393348624</v>
      </c>
      <c r="E472" t="s">
        <v>161</v>
      </c>
      <c r="G472">
        <v>46245</v>
      </c>
      <c r="H472" t="s">
        <v>150</v>
      </c>
      <c r="I472">
        <v>0</v>
      </c>
      <c r="J472">
        <v>0</v>
      </c>
      <c r="K472">
        <v>1.7846269815839184</v>
      </c>
      <c r="L472">
        <v>1.7846269815839184</v>
      </c>
      <c r="M472">
        <v>5.2297794117647056</v>
      </c>
      <c r="N472" t="s">
        <v>126</v>
      </c>
      <c r="Q472">
        <v>0</v>
      </c>
      <c r="R472">
        <v>0</v>
      </c>
      <c r="S472">
        <v>0</v>
      </c>
      <c r="T472">
        <v>0</v>
      </c>
    </row>
    <row r="473" spans="1:20" x14ac:dyDescent="0.25">
      <c r="A473" s="1">
        <v>46245</v>
      </c>
      <c r="B473" t="s">
        <v>13</v>
      </c>
      <c r="C473" t="s">
        <v>12</v>
      </c>
      <c r="D473">
        <v>3.3729492440604751</v>
      </c>
      <c r="E473" t="s">
        <v>166</v>
      </c>
      <c r="F473">
        <v>1</v>
      </c>
      <c r="G473">
        <v>46245</v>
      </c>
      <c r="H473" t="s">
        <v>150</v>
      </c>
      <c r="I473">
        <v>4.9977997026148691E-2</v>
      </c>
      <c r="J473">
        <v>4.9977997026148691E-2</v>
      </c>
      <c r="K473">
        <v>0</v>
      </c>
      <c r="L473">
        <v>0</v>
      </c>
      <c r="M473">
        <v>0</v>
      </c>
      <c r="N473" t="s">
        <v>126</v>
      </c>
      <c r="Q473">
        <v>8.7361538801707912</v>
      </c>
      <c r="R473">
        <v>0</v>
      </c>
      <c r="S473">
        <v>0</v>
      </c>
      <c r="T473">
        <v>8.7361538801707912</v>
      </c>
    </row>
    <row r="474" spans="1:20" x14ac:dyDescent="0.25">
      <c r="A474" s="1">
        <v>46245</v>
      </c>
      <c r="B474" t="s">
        <v>13</v>
      </c>
      <c r="C474" t="s">
        <v>11</v>
      </c>
      <c r="D474">
        <v>1.2742252699784016</v>
      </c>
      <c r="E474" t="s">
        <v>166</v>
      </c>
      <c r="F474">
        <v>1</v>
      </c>
      <c r="G474">
        <v>46245</v>
      </c>
      <c r="H474" t="s">
        <v>150</v>
      </c>
      <c r="I474">
        <v>0</v>
      </c>
      <c r="J474">
        <v>0</v>
      </c>
      <c r="K474">
        <v>0.33304879939016635</v>
      </c>
      <c r="L474">
        <v>0.33304879939016635</v>
      </c>
      <c r="M474">
        <v>0.94117647058823517</v>
      </c>
      <c r="N474" t="s">
        <v>126</v>
      </c>
      <c r="Q474">
        <v>0</v>
      </c>
      <c r="R474">
        <v>0</v>
      </c>
      <c r="S474">
        <v>0</v>
      </c>
      <c r="T474">
        <v>0</v>
      </c>
    </row>
    <row r="475" spans="1:20" x14ac:dyDescent="0.25">
      <c r="A475" s="1">
        <v>46245</v>
      </c>
      <c r="B475" t="s">
        <v>13</v>
      </c>
      <c r="C475" t="s">
        <v>10</v>
      </c>
      <c r="D475">
        <v>7.0269775917926545</v>
      </c>
      <c r="E475" t="s">
        <v>166</v>
      </c>
      <c r="F475">
        <v>1</v>
      </c>
      <c r="G475">
        <v>46245</v>
      </c>
      <c r="H475" t="s">
        <v>150</v>
      </c>
      <c r="I475">
        <v>0</v>
      </c>
      <c r="J475">
        <v>0</v>
      </c>
      <c r="K475">
        <v>1.7971981800279491</v>
      </c>
      <c r="L475">
        <v>1.7971981800279491</v>
      </c>
      <c r="M475">
        <v>5.2297794117647056</v>
      </c>
      <c r="N475" t="s">
        <v>126</v>
      </c>
      <c r="Q475">
        <v>0</v>
      </c>
      <c r="R475">
        <v>0</v>
      </c>
      <c r="S475">
        <v>0</v>
      </c>
      <c r="T475">
        <v>0</v>
      </c>
    </row>
    <row r="476" spans="1:20" x14ac:dyDescent="0.25">
      <c r="A476" s="1">
        <v>46246</v>
      </c>
      <c r="B476" t="s">
        <v>13</v>
      </c>
      <c r="C476" t="s">
        <v>10</v>
      </c>
      <c r="D476">
        <v>5.8204648795871554</v>
      </c>
      <c r="E476" t="s">
        <v>161</v>
      </c>
      <c r="G476">
        <v>46246</v>
      </c>
      <c r="H476" t="s">
        <v>150</v>
      </c>
      <c r="I476">
        <v>0</v>
      </c>
      <c r="J476">
        <v>0</v>
      </c>
      <c r="K476">
        <v>1.5318619384106862</v>
      </c>
      <c r="L476">
        <v>1.5318619384106862</v>
      </c>
      <c r="M476">
        <v>4.2886029411764692</v>
      </c>
      <c r="N476" t="s">
        <v>127</v>
      </c>
      <c r="Q476">
        <v>0</v>
      </c>
      <c r="R476">
        <v>0</v>
      </c>
      <c r="S476">
        <v>0</v>
      </c>
      <c r="T476">
        <v>0</v>
      </c>
    </row>
    <row r="477" spans="1:20" x14ac:dyDescent="0.25">
      <c r="A477" s="1">
        <v>46246</v>
      </c>
      <c r="B477" t="s">
        <v>13</v>
      </c>
      <c r="C477" t="s">
        <v>11</v>
      </c>
      <c r="D477">
        <v>1.2735376146788993</v>
      </c>
      <c r="E477" t="s">
        <v>161</v>
      </c>
      <c r="G477">
        <v>46246</v>
      </c>
      <c r="H477" t="s">
        <v>150</v>
      </c>
      <c r="I477">
        <v>0</v>
      </c>
      <c r="J477">
        <v>0</v>
      </c>
      <c r="K477">
        <v>0.33236114409066414</v>
      </c>
      <c r="L477">
        <v>0.33236114409066414</v>
      </c>
      <c r="M477">
        <v>0.94117647058823506</v>
      </c>
      <c r="N477" t="s">
        <v>127</v>
      </c>
      <c r="Q477">
        <v>0</v>
      </c>
      <c r="R477">
        <v>0</v>
      </c>
      <c r="S477">
        <v>0</v>
      </c>
      <c r="T477">
        <v>0</v>
      </c>
    </row>
    <row r="478" spans="1:20" x14ac:dyDescent="0.25">
      <c r="A478" s="1">
        <v>46246</v>
      </c>
      <c r="B478" t="s">
        <v>13</v>
      </c>
      <c r="C478" t="s">
        <v>12</v>
      </c>
      <c r="D478">
        <v>2.2474193200215873</v>
      </c>
      <c r="E478" t="s">
        <v>161</v>
      </c>
      <c r="G478">
        <v>46246</v>
      </c>
      <c r="H478" t="s">
        <v>150</v>
      </c>
      <c r="I478">
        <v>0.13240225190263644</v>
      </c>
      <c r="J478">
        <v>0.13240225190263644</v>
      </c>
      <c r="K478">
        <v>0</v>
      </c>
      <c r="L478">
        <v>0</v>
      </c>
      <c r="M478">
        <v>0</v>
      </c>
      <c r="N478" t="s">
        <v>127</v>
      </c>
      <c r="Q478">
        <v>23.143913632580848</v>
      </c>
      <c r="R478">
        <v>0</v>
      </c>
      <c r="S478">
        <v>0</v>
      </c>
      <c r="T478">
        <v>23.143913632580848</v>
      </c>
    </row>
    <row r="479" spans="1:20" x14ac:dyDescent="0.25">
      <c r="A479" s="1">
        <v>46246</v>
      </c>
      <c r="B479" t="s">
        <v>13</v>
      </c>
      <c r="C479" t="s">
        <v>10</v>
      </c>
      <c r="D479">
        <v>5.8323914011879037</v>
      </c>
      <c r="E479" t="s">
        <v>166</v>
      </c>
      <c r="F479">
        <v>1</v>
      </c>
      <c r="G479">
        <v>46246</v>
      </c>
      <c r="H479" t="s">
        <v>150</v>
      </c>
      <c r="I479">
        <v>0</v>
      </c>
      <c r="J479">
        <v>0</v>
      </c>
      <c r="K479">
        <v>1.5437884600114344</v>
      </c>
      <c r="L479">
        <v>1.5437884600114344</v>
      </c>
      <c r="M479">
        <v>4.2886029411764692</v>
      </c>
      <c r="N479" t="s">
        <v>127</v>
      </c>
      <c r="Q479">
        <v>0</v>
      </c>
      <c r="R479">
        <v>0</v>
      </c>
      <c r="S479">
        <v>0</v>
      </c>
      <c r="T479">
        <v>0</v>
      </c>
    </row>
    <row r="480" spans="1:20" x14ac:dyDescent="0.25">
      <c r="A480" s="1">
        <v>46246</v>
      </c>
      <c r="B480" t="s">
        <v>13</v>
      </c>
      <c r="C480" t="s">
        <v>11</v>
      </c>
      <c r="D480">
        <v>1.2742252699784016</v>
      </c>
      <c r="E480" t="s">
        <v>166</v>
      </c>
      <c r="F480">
        <v>1</v>
      </c>
      <c r="G480">
        <v>46246</v>
      </c>
      <c r="H480" t="s">
        <v>150</v>
      </c>
      <c r="I480">
        <v>0</v>
      </c>
      <c r="J480">
        <v>0</v>
      </c>
      <c r="K480">
        <v>0.33304879939016635</v>
      </c>
      <c r="L480">
        <v>0.33304879939016635</v>
      </c>
      <c r="M480">
        <v>0.94117647058823517</v>
      </c>
      <c r="N480" t="s">
        <v>127</v>
      </c>
      <c r="Q480">
        <v>0</v>
      </c>
      <c r="R480">
        <v>0</v>
      </c>
      <c r="S480">
        <v>0</v>
      </c>
      <c r="T480">
        <v>0</v>
      </c>
    </row>
    <row r="481" spans="1:20" x14ac:dyDescent="0.25">
      <c r="A481" s="1">
        <v>46246</v>
      </c>
      <c r="B481" t="s">
        <v>13</v>
      </c>
      <c r="C481" t="s">
        <v>12</v>
      </c>
      <c r="D481">
        <v>2.2486328293736499</v>
      </c>
      <c r="E481" t="s">
        <v>166</v>
      </c>
      <c r="F481">
        <v>1</v>
      </c>
      <c r="G481">
        <v>46246</v>
      </c>
      <c r="H481" t="s">
        <v>150</v>
      </c>
      <c r="I481">
        <v>0.13179113357996952</v>
      </c>
      <c r="J481">
        <v>0.13179113357996952</v>
      </c>
      <c r="K481">
        <v>0</v>
      </c>
      <c r="L481">
        <v>0</v>
      </c>
      <c r="M481">
        <v>0</v>
      </c>
      <c r="N481" t="s">
        <v>127</v>
      </c>
      <c r="Q481">
        <v>23.03709014977867</v>
      </c>
      <c r="R481">
        <v>0</v>
      </c>
      <c r="S481">
        <v>0</v>
      </c>
      <c r="T481">
        <v>23.03709014977867</v>
      </c>
    </row>
    <row r="482" spans="1:20" x14ac:dyDescent="0.25">
      <c r="A482" s="1">
        <v>46247</v>
      </c>
      <c r="B482" t="s">
        <v>13</v>
      </c>
      <c r="C482" t="s">
        <v>12</v>
      </c>
      <c r="D482">
        <v>3.3711289800323798</v>
      </c>
      <c r="E482" t="s">
        <v>161</v>
      </c>
      <c r="G482">
        <v>46247</v>
      </c>
      <c r="H482" t="s">
        <v>150</v>
      </c>
      <c r="I482">
        <v>6.6403190223652375E-2</v>
      </c>
      <c r="J482">
        <v>6.6403190223652375E-2</v>
      </c>
      <c r="K482">
        <v>0</v>
      </c>
      <c r="L482">
        <v>0</v>
      </c>
      <c r="M482">
        <v>0</v>
      </c>
      <c r="N482" t="s">
        <v>128</v>
      </c>
      <c r="Q482">
        <v>11.607277651094435</v>
      </c>
      <c r="R482">
        <v>0</v>
      </c>
      <c r="S482">
        <v>0</v>
      </c>
      <c r="T482">
        <v>11.607277651094435</v>
      </c>
    </row>
    <row r="483" spans="1:20" x14ac:dyDescent="0.25">
      <c r="A483" s="1">
        <v>46247</v>
      </c>
      <c r="B483" t="s">
        <v>13</v>
      </c>
      <c r="C483" t="s">
        <v>10</v>
      </c>
      <c r="D483">
        <v>5.7458435349770651</v>
      </c>
      <c r="E483" t="s">
        <v>161</v>
      </c>
      <c r="G483">
        <v>46247</v>
      </c>
      <c r="H483" t="s">
        <v>150</v>
      </c>
      <c r="I483">
        <v>0</v>
      </c>
      <c r="J483">
        <v>0</v>
      </c>
      <c r="K483">
        <v>1.6353655938005938</v>
      </c>
      <c r="L483">
        <v>1.6353655938005938</v>
      </c>
      <c r="M483">
        <v>4.1104779411764714</v>
      </c>
      <c r="N483" t="s">
        <v>128</v>
      </c>
      <c r="Q483">
        <v>0</v>
      </c>
      <c r="R483">
        <v>0</v>
      </c>
      <c r="S483">
        <v>0</v>
      </c>
      <c r="T483">
        <v>0</v>
      </c>
    </row>
    <row r="484" spans="1:20" x14ac:dyDescent="0.25">
      <c r="A484" s="1">
        <v>46247</v>
      </c>
      <c r="B484" t="s">
        <v>13</v>
      </c>
      <c r="C484" t="s">
        <v>11</v>
      </c>
      <c r="D484">
        <v>1.2735376146788993</v>
      </c>
      <c r="E484" t="s">
        <v>161</v>
      </c>
      <c r="G484">
        <v>46247</v>
      </c>
      <c r="H484" t="s">
        <v>150</v>
      </c>
      <c r="I484">
        <v>0</v>
      </c>
      <c r="J484">
        <v>0</v>
      </c>
      <c r="K484">
        <v>0.33236114409066414</v>
      </c>
      <c r="L484">
        <v>0.33236114409066414</v>
      </c>
      <c r="M484">
        <v>0.94117647058823506</v>
      </c>
      <c r="N484" t="s">
        <v>128</v>
      </c>
      <c r="Q484">
        <v>0</v>
      </c>
      <c r="R484">
        <v>0</v>
      </c>
      <c r="S484">
        <v>0</v>
      </c>
      <c r="T484">
        <v>0</v>
      </c>
    </row>
    <row r="485" spans="1:20" x14ac:dyDescent="0.25">
      <c r="A485" s="1">
        <v>46247</v>
      </c>
      <c r="B485" t="s">
        <v>13</v>
      </c>
      <c r="C485" t="s">
        <v>12</v>
      </c>
      <c r="D485">
        <v>3.3729492440604751</v>
      </c>
      <c r="E485" t="s">
        <v>166</v>
      </c>
      <c r="F485">
        <v>1</v>
      </c>
      <c r="G485">
        <v>46247</v>
      </c>
      <c r="H485" t="s">
        <v>150</v>
      </c>
      <c r="I485">
        <v>6.5827689311497073E-2</v>
      </c>
      <c r="J485">
        <v>6.5827689311497073E-2</v>
      </c>
      <c r="K485">
        <v>0</v>
      </c>
      <c r="L485">
        <v>0</v>
      </c>
      <c r="M485">
        <v>0</v>
      </c>
      <c r="N485" t="s">
        <v>128</v>
      </c>
      <c r="Q485">
        <v>11.506680091649688</v>
      </c>
      <c r="R485">
        <v>0</v>
      </c>
      <c r="S485">
        <v>0</v>
      </c>
      <c r="T485">
        <v>11.506680091649688</v>
      </c>
    </row>
    <row r="486" spans="1:20" x14ac:dyDescent="0.25">
      <c r="A486" s="1">
        <v>46247</v>
      </c>
      <c r="B486" t="s">
        <v>13</v>
      </c>
      <c r="C486" t="s">
        <v>10</v>
      </c>
      <c r="D486">
        <v>5.7621216252699776</v>
      </c>
      <c r="E486" t="s">
        <v>166</v>
      </c>
      <c r="F486">
        <v>1</v>
      </c>
      <c r="G486">
        <v>46247</v>
      </c>
      <c r="H486" t="s">
        <v>150</v>
      </c>
      <c r="I486">
        <v>0</v>
      </c>
      <c r="J486">
        <v>0</v>
      </c>
      <c r="K486">
        <v>1.6516436840935063</v>
      </c>
      <c r="L486">
        <v>1.6516436840935063</v>
      </c>
      <c r="M486">
        <v>4.1104779411764714</v>
      </c>
      <c r="N486" t="s">
        <v>128</v>
      </c>
      <c r="Q486">
        <v>0</v>
      </c>
      <c r="R486">
        <v>0</v>
      </c>
      <c r="S486">
        <v>0</v>
      </c>
      <c r="T486">
        <v>0</v>
      </c>
    </row>
    <row r="487" spans="1:20" x14ac:dyDescent="0.25">
      <c r="A487" s="1">
        <v>46247</v>
      </c>
      <c r="B487" t="s">
        <v>13</v>
      </c>
      <c r="C487" t="s">
        <v>11</v>
      </c>
      <c r="D487">
        <v>1.2742252699784016</v>
      </c>
      <c r="E487" t="s">
        <v>166</v>
      </c>
      <c r="F487">
        <v>1</v>
      </c>
      <c r="G487">
        <v>46247</v>
      </c>
      <c r="H487" t="s">
        <v>150</v>
      </c>
      <c r="I487">
        <v>0</v>
      </c>
      <c r="J487">
        <v>0</v>
      </c>
      <c r="K487">
        <v>0.33304879939016635</v>
      </c>
      <c r="L487">
        <v>0.33304879939016635</v>
      </c>
      <c r="M487">
        <v>0.94117647058823517</v>
      </c>
      <c r="N487" t="s">
        <v>128</v>
      </c>
      <c r="Q487">
        <v>0</v>
      </c>
      <c r="R487">
        <v>0</v>
      </c>
      <c r="S487">
        <v>0</v>
      </c>
      <c r="T487">
        <v>0</v>
      </c>
    </row>
    <row r="488" spans="1:20" x14ac:dyDescent="0.25">
      <c r="A488" s="1">
        <v>46248</v>
      </c>
      <c r="B488" t="s">
        <v>13</v>
      </c>
      <c r="C488" t="s">
        <v>12</v>
      </c>
      <c r="D488">
        <v>2.2474193200215873</v>
      </c>
      <c r="E488" t="s">
        <v>161</v>
      </c>
      <c r="G488">
        <v>46248</v>
      </c>
      <c r="H488" t="s">
        <v>150</v>
      </c>
      <c r="I488">
        <v>0.18082380298671241</v>
      </c>
      <c r="J488">
        <v>0.18082380298671241</v>
      </c>
      <c r="K488">
        <v>0</v>
      </c>
      <c r="L488">
        <v>0</v>
      </c>
      <c r="M488">
        <v>0</v>
      </c>
      <c r="N488" t="s">
        <v>129</v>
      </c>
      <c r="Q488">
        <v>31.608000762077332</v>
      </c>
      <c r="R488">
        <v>0</v>
      </c>
      <c r="S488">
        <v>0</v>
      </c>
      <c r="T488">
        <v>31.608000762077332</v>
      </c>
    </row>
    <row r="489" spans="1:20" x14ac:dyDescent="0.25">
      <c r="A489" s="1">
        <v>46248</v>
      </c>
      <c r="B489" t="s">
        <v>13</v>
      </c>
      <c r="C489" t="s">
        <v>10</v>
      </c>
      <c r="D489">
        <v>4.5519020212155956</v>
      </c>
      <c r="E489" t="s">
        <v>161</v>
      </c>
      <c r="G489">
        <v>46248</v>
      </c>
      <c r="H489" t="s">
        <v>150</v>
      </c>
      <c r="I489">
        <v>0</v>
      </c>
      <c r="J489">
        <v>0</v>
      </c>
      <c r="K489">
        <v>1.4414240800391249</v>
      </c>
      <c r="L489">
        <v>1.4414240800391249</v>
      </c>
      <c r="M489">
        <v>3.1104779411764705</v>
      </c>
      <c r="N489" t="s">
        <v>129</v>
      </c>
      <c r="Q489">
        <v>0</v>
      </c>
      <c r="R489">
        <v>0</v>
      </c>
      <c r="S489">
        <v>0</v>
      </c>
      <c r="T489">
        <v>0</v>
      </c>
    </row>
    <row r="490" spans="1:20" x14ac:dyDescent="0.25">
      <c r="A490" s="1">
        <v>46248</v>
      </c>
      <c r="B490" t="s">
        <v>13</v>
      </c>
      <c r="C490" t="s">
        <v>11</v>
      </c>
      <c r="D490">
        <v>1.2735376146788993</v>
      </c>
      <c r="E490" t="s">
        <v>161</v>
      </c>
      <c r="G490">
        <v>46248</v>
      </c>
      <c r="H490" t="s">
        <v>150</v>
      </c>
      <c r="I490">
        <v>0</v>
      </c>
      <c r="J490">
        <v>0</v>
      </c>
      <c r="K490">
        <v>0.33236114409066414</v>
      </c>
      <c r="L490">
        <v>0.33236114409066414</v>
      </c>
      <c r="M490">
        <v>0.94117647058823506</v>
      </c>
      <c r="N490" t="s">
        <v>129</v>
      </c>
      <c r="Q490">
        <v>0</v>
      </c>
      <c r="R490">
        <v>0</v>
      </c>
      <c r="S490">
        <v>0</v>
      </c>
      <c r="T490">
        <v>0</v>
      </c>
    </row>
    <row r="491" spans="1:20" x14ac:dyDescent="0.25">
      <c r="A491" s="1">
        <v>46248</v>
      </c>
      <c r="B491" t="s">
        <v>13</v>
      </c>
      <c r="C491" t="s">
        <v>12</v>
      </c>
      <c r="D491">
        <v>2.2486328293736499</v>
      </c>
      <c r="E491" t="s">
        <v>166</v>
      </c>
      <c r="F491">
        <v>1</v>
      </c>
      <c r="G491">
        <v>46248</v>
      </c>
      <c r="H491" t="s">
        <v>150</v>
      </c>
      <c r="I491">
        <v>0.18018655322795052</v>
      </c>
      <c r="J491">
        <v>0.18018655322795052</v>
      </c>
      <c r="K491">
        <v>0</v>
      </c>
      <c r="L491">
        <v>0</v>
      </c>
      <c r="M491">
        <v>0</v>
      </c>
      <c r="N491" t="s">
        <v>129</v>
      </c>
      <c r="Q491">
        <v>31.49660950424575</v>
      </c>
      <c r="R491">
        <v>0</v>
      </c>
      <c r="S491">
        <v>0</v>
      </c>
      <c r="T491">
        <v>31.49660950424575</v>
      </c>
    </row>
    <row r="492" spans="1:20" x14ac:dyDescent="0.25">
      <c r="A492" s="1">
        <v>46248</v>
      </c>
      <c r="B492" t="s">
        <v>13</v>
      </c>
      <c r="C492" t="s">
        <v>10</v>
      </c>
      <c r="D492">
        <v>4.5675354346652259</v>
      </c>
      <c r="E492" t="s">
        <v>166</v>
      </c>
      <c r="F492">
        <v>1</v>
      </c>
      <c r="G492">
        <v>46248</v>
      </c>
      <c r="H492" t="s">
        <v>150</v>
      </c>
      <c r="I492">
        <v>0</v>
      </c>
      <c r="J492">
        <v>0</v>
      </c>
      <c r="K492">
        <v>1.4570574934887552</v>
      </c>
      <c r="L492">
        <v>1.4570574934887552</v>
      </c>
      <c r="M492">
        <v>3.1104779411764705</v>
      </c>
      <c r="N492" t="s">
        <v>129</v>
      </c>
      <c r="Q492">
        <v>0</v>
      </c>
      <c r="R492">
        <v>0</v>
      </c>
      <c r="S492">
        <v>0</v>
      </c>
      <c r="T492">
        <v>0</v>
      </c>
    </row>
    <row r="493" spans="1:20" x14ac:dyDescent="0.25">
      <c r="A493" s="1">
        <v>46248</v>
      </c>
      <c r="B493" t="s">
        <v>13</v>
      </c>
      <c r="C493" t="s">
        <v>11</v>
      </c>
      <c r="D493">
        <v>1.2742252699784016</v>
      </c>
      <c r="E493" t="s">
        <v>166</v>
      </c>
      <c r="F493">
        <v>1</v>
      </c>
      <c r="G493">
        <v>46248</v>
      </c>
      <c r="H493" t="s">
        <v>150</v>
      </c>
      <c r="I493">
        <v>0</v>
      </c>
      <c r="J493">
        <v>0</v>
      </c>
      <c r="K493">
        <v>0.33304879939016635</v>
      </c>
      <c r="L493">
        <v>0.33304879939016635</v>
      </c>
      <c r="M493">
        <v>0.94117647058823517</v>
      </c>
      <c r="N493" t="s">
        <v>129</v>
      </c>
      <c r="Q493">
        <v>0</v>
      </c>
      <c r="R493">
        <v>0</v>
      </c>
      <c r="S493">
        <v>0</v>
      </c>
      <c r="T493">
        <v>0</v>
      </c>
    </row>
    <row r="494" spans="1:20" x14ac:dyDescent="0.25">
      <c r="A494" s="1">
        <v>46249</v>
      </c>
      <c r="B494" t="s">
        <v>13</v>
      </c>
      <c r="C494" t="s">
        <v>12</v>
      </c>
      <c r="D494">
        <v>2.2474193200215873</v>
      </c>
      <c r="E494" t="s">
        <v>161</v>
      </c>
      <c r="G494">
        <v>46249</v>
      </c>
      <c r="H494" t="s">
        <v>150</v>
      </c>
      <c r="I494">
        <v>0</v>
      </c>
      <c r="J494">
        <v>0</v>
      </c>
      <c r="K494">
        <v>8.824976984857659E-2</v>
      </c>
      <c r="L494">
        <v>8.824976984857659E-2</v>
      </c>
      <c r="M494">
        <v>2.1591695501730106</v>
      </c>
      <c r="N494" t="s">
        <v>119</v>
      </c>
      <c r="Q494">
        <v>0</v>
      </c>
      <c r="R494">
        <v>0</v>
      </c>
      <c r="S494">
        <v>0</v>
      </c>
      <c r="T494">
        <v>0</v>
      </c>
    </row>
    <row r="495" spans="1:20" x14ac:dyDescent="0.25">
      <c r="A495" s="1">
        <v>46249</v>
      </c>
      <c r="B495" t="s">
        <v>13</v>
      </c>
      <c r="C495" t="s">
        <v>11</v>
      </c>
      <c r="D495">
        <v>1.2735376146788993</v>
      </c>
      <c r="E495" t="s">
        <v>161</v>
      </c>
      <c r="G495">
        <v>46249</v>
      </c>
      <c r="H495" t="s">
        <v>150</v>
      </c>
      <c r="I495">
        <v>0</v>
      </c>
      <c r="J495">
        <v>0</v>
      </c>
      <c r="K495">
        <v>0.33236114409066414</v>
      </c>
      <c r="L495">
        <v>0.33236114409066414</v>
      </c>
      <c r="M495">
        <v>0.94117647058823506</v>
      </c>
      <c r="N495" t="s">
        <v>119</v>
      </c>
      <c r="Q495">
        <v>0</v>
      </c>
      <c r="R495">
        <v>0</v>
      </c>
      <c r="S495">
        <v>0</v>
      </c>
      <c r="T495">
        <v>0</v>
      </c>
    </row>
    <row r="496" spans="1:20" x14ac:dyDescent="0.25">
      <c r="A496" s="1">
        <v>46249</v>
      </c>
      <c r="B496" t="s">
        <v>13</v>
      </c>
      <c r="C496" t="s">
        <v>10</v>
      </c>
      <c r="D496">
        <v>5.3727368119266048</v>
      </c>
      <c r="E496" t="s">
        <v>161</v>
      </c>
      <c r="G496">
        <v>46249</v>
      </c>
      <c r="H496" t="s">
        <v>150</v>
      </c>
      <c r="I496">
        <v>0</v>
      </c>
      <c r="J496">
        <v>0</v>
      </c>
      <c r="K496">
        <v>1.0492074001619009</v>
      </c>
      <c r="L496">
        <v>1.0492074001619009</v>
      </c>
      <c r="M496">
        <v>4.3235294117647038</v>
      </c>
      <c r="N496" t="s">
        <v>119</v>
      </c>
      <c r="Q496">
        <v>0</v>
      </c>
      <c r="R496">
        <v>0</v>
      </c>
      <c r="S496">
        <v>0</v>
      </c>
      <c r="T496">
        <v>0</v>
      </c>
    </row>
    <row r="497" spans="1:20" x14ac:dyDescent="0.25">
      <c r="A497" s="1">
        <v>46249</v>
      </c>
      <c r="B497" t="s">
        <v>13</v>
      </c>
      <c r="C497" t="s">
        <v>12</v>
      </c>
      <c r="D497">
        <v>2.2486328293736499</v>
      </c>
      <c r="E497" t="s">
        <v>166</v>
      </c>
      <c r="F497">
        <v>1</v>
      </c>
      <c r="G497">
        <v>46249</v>
      </c>
      <c r="H497" t="s">
        <v>150</v>
      </c>
      <c r="I497">
        <v>0</v>
      </c>
      <c r="J497">
        <v>0</v>
      </c>
      <c r="K497">
        <v>8.9463279200639234E-2</v>
      </c>
      <c r="L497">
        <v>8.9463279200639234E-2</v>
      </c>
      <c r="M497">
        <v>2.1591695501730106</v>
      </c>
      <c r="N497" t="s">
        <v>119</v>
      </c>
      <c r="Q497">
        <v>0</v>
      </c>
      <c r="R497">
        <v>0</v>
      </c>
      <c r="S497">
        <v>0</v>
      </c>
      <c r="T497">
        <v>0</v>
      </c>
    </row>
    <row r="498" spans="1:20" x14ac:dyDescent="0.25">
      <c r="A498" s="1">
        <v>46249</v>
      </c>
      <c r="B498" t="s">
        <v>13</v>
      </c>
      <c r="C498" t="s">
        <v>11</v>
      </c>
      <c r="D498">
        <v>1.2742252699784016</v>
      </c>
      <c r="E498" t="s">
        <v>166</v>
      </c>
      <c r="F498">
        <v>1</v>
      </c>
      <c r="G498">
        <v>46249</v>
      </c>
      <c r="H498" t="s">
        <v>150</v>
      </c>
      <c r="I498">
        <v>0</v>
      </c>
      <c r="J498">
        <v>0</v>
      </c>
      <c r="K498">
        <v>0.33304879939016635</v>
      </c>
      <c r="L498">
        <v>0.33304879939016635</v>
      </c>
      <c r="M498">
        <v>0.94117647058823517</v>
      </c>
      <c r="N498" t="s">
        <v>119</v>
      </c>
      <c r="Q498">
        <v>0</v>
      </c>
      <c r="R498">
        <v>0</v>
      </c>
      <c r="S498">
        <v>0</v>
      </c>
      <c r="T498">
        <v>0</v>
      </c>
    </row>
    <row r="499" spans="1:20" x14ac:dyDescent="0.25">
      <c r="A499" s="1">
        <v>46249</v>
      </c>
      <c r="B499" t="s">
        <v>13</v>
      </c>
      <c r="C499" t="s">
        <v>10</v>
      </c>
      <c r="D499">
        <v>5.3405029697624178</v>
      </c>
      <c r="E499" t="s">
        <v>166</v>
      </c>
      <c r="F499">
        <v>1</v>
      </c>
      <c r="G499">
        <v>46249</v>
      </c>
      <c r="H499" t="s">
        <v>150</v>
      </c>
      <c r="I499">
        <v>0</v>
      </c>
      <c r="J499">
        <v>0</v>
      </c>
      <c r="K499">
        <v>1.0169735579977137</v>
      </c>
      <c r="L499">
        <v>1.0169735579977137</v>
      </c>
      <c r="M499">
        <v>4.3235294117647038</v>
      </c>
      <c r="N499" t="s">
        <v>119</v>
      </c>
      <c r="Q499">
        <v>0</v>
      </c>
      <c r="R499">
        <v>0</v>
      </c>
      <c r="S499">
        <v>0</v>
      </c>
      <c r="T499">
        <v>0</v>
      </c>
    </row>
    <row r="500" spans="1:20" x14ac:dyDescent="0.25">
      <c r="A500" s="1">
        <v>46250</v>
      </c>
      <c r="B500" t="s">
        <v>13</v>
      </c>
      <c r="C500" t="s">
        <v>11</v>
      </c>
      <c r="D500">
        <v>1.2735376146788993</v>
      </c>
      <c r="E500" t="s">
        <v>161</v>
      </c>
      <c r="G500">
        <v>46250</v>
      </c>
      <c r="H500" t="s">
        <v>150</v>
      </c>
      <c r="I500">
        <v>0</v>
      </c>
      <c r="J500">
        <v>0</v>
      </c>
      <c r="K500">
        <v>0.33236114409066414</v>
      </c>
      <c r="L500">
        <v>0.33236114409066414</v>
      </c>
      <c r="M500">
        <v>0.94117647058823506</v>
      </c>
      <c r="N500" t="s">
        <v>120</v>
      </c>
      <c r="Q500">
        <v>0</v>
      </c>
      <c r="R500">
        <v>0</v>
      </c>
      <c r="S500">
        <v>0</v>
      </c>
      <c r="T500">
        <v>0</v>
      </c>
    </row>
    <row r="501" spans="1:20" x14ac:dyDescent="0.25">
      <c r="A501" s="1">
        <v>46250</v>
      </c>
      <c r="B501" t="s">
        <v>13</v>
      </c>
      <c r="C501" t="s">
        <v>12</v>
      </c>
      <c r="D501">
        <v>2.2474193200215873</v>
      </c>
      <c r="E501" t="s">
        <v>161</v>
      </c>
      <c r="G501">
        <v>46250</v>
      </c>
      <c r="H501" t="s">
        <v>150</v>
      </c>
      <c r="I501">
        <v>0</v>
      </c>
      <c r="J501">
        <v>0</v>
      </c>
      <c r="K501">
        <v>0.19897641344719214</v>
      </c>
      <c r="L501">
        <v>0.19897641344719214</v>
      </c>
      <c r="M501">
        <v>2.0484429065743952</v>
      </c>
      <c r="N501" t="s">
        <v>120</v>
      </c>
      <c r="Q501">
        <v>0</v>
      </c>
      <c r="R501">
        <v>0</v>
      </c>
      <c r="S501">
        <v>0</v>
      </c>
      <c r="T501">
        <v>0</v>
      </c>
    </row>
    <row r="502" spans="1:20" x14ac:dyDescent="0.25">
      <c r="A502" s="1">
        <v>46250</v>
      </c>
      <c r="B502" t="s">
        <v>13</v>
      </c>
      <c r="C502" t="s">
        <v>10</v>
      </c>
      <c r="D502">
        <v>3.5818245412844032</v>
      </c>
      <c r="E502" t="s">
        <v>161</v>
      </c>
      <c r="G502">
        <v>46250</v>
      </c>
      <c r="H502" t="s">
        <v>150</v>
      </c>
      <c r="I502">
        <v>0</v>
      </c>
      <c r="J502">
        <v>0</v>
      </c>
      <c r="K502">
        <v>0.64064807069616869</v>
      </c>
      <c r="L502">
        <v>0.64064807069616869</v>
      </c>
      <c r="M502">
        <v>2.9411764705882346</v>
      </c>
      <c r="N502" t="s">
        <v>120</v>
      </c>
      <c r="Q502">
        <v>0</v>
      </c>
      <c r="R502">
        <v>0</v>
      </c>
      <c r="S502">
        <v>0</v>
      </c>
      <c r="T502">
        <v>0</v>
      </c>
    </row>
    <row r="503" spans="1:20" x14ac:dyDescent="0.25">
      <c r="A503" s="1">
        <v>46250</v>
      </c>
      <c r="B503" t="s">
        <v>13</v>
      </c>
      <c r="C503" t="s">
        <v>11</v>
      </c>
      <c r="D503">
        <v>1.2742252699784016</v>
      </c>
      <c r="E503" t="s">
        <v>166</v>
      </c>
      <c r="F503">
        <v>1</v>
      </c>
      <c r="G503">
        <v>46250</v>
      </c>
      <c r="H503" t="s">
        <v>150</v>
      </c>
      <c r="I503">
        <v>0</v>
      </c>
      <c r="J503">
        <v>0</v>
      </c>
      <c r="K503">
        <v>0.33304879939016635</v>
      </c>
      <c r="L503">
        <v>0.33304879939016635</v>
      </c>
      <c r="M503">
        <v>0.94117647058823517</v>
      </c>
      <c r="N503" t="s">
        <v>120</v>
      </c>
      <c r="Q503">
        <v>0</v>
      </c>
      <c r="R503">
        <v>0</v>
      </c>
      <c r="S503">
        <v>0</v>
      </c>
      <c r="T503">
        <v>0</v>
      </c>
    </row>
    <row r="504" spans="1:20" x14ac:dyDescent="0.25">
      <c r="A504" s="1">
        <v>46250</v>
      </c>
      <c r="B504" t="s">
        <v>13</v>
      </c>
      <c r="C504" t="s">
        <v>12</v>
      </c>
      <c r="D504">
        <v>2.2486328293736499</v>
      </c>
      <c r="E504" t="s">
        <v>166</v>
      </c>
      <c r="F504">
        <v>1</v>
      </c>
      <c r="G504">
        <v>46250</v>
      </c>
      <c r="H504" t="s">
        <v>150</v>
      </c>
      <c r="I504">
        <v>0</v>
      </c>
      <c r="J504">
        <v>0</v>
      </c>
      <c r="K504">
        <v>0.20018992279925482</v>
      </c>
      <c r="L504">
        <v>0.20018992279925482</v>
      </c>
      <c r="M504">
        <v>2.0484429065743952</v>
      </c>
      <c r="N504" t="s">
        <v>120</v>
      </c>
      <c r="Q504">
        <v>0</v>
      </c>
      <c r="R504">
        <v>0</v>
      </c>
      <c r="S504">
        <v>0</v>
      </c>
      <c r="T504">
        <v>0</v>
      </c>
    </row>
    <row r="505" spans="1:20" x14ac:dyDescent="0.25">
      <c r="A505" s="1">
        <v>46250</v>
      </c>
      <c r="B505" t="s">
        <v>13</v>
      </c>
      <c r="C505" t="s">
        <v>10</v>
      </c>
      <c r="D505">
        <v>3.5134887958963272</v>
      </c>
      <c r="E505" t="s">
        <v>166</v>
      </c>
      <c r="F505">
        <v>1</v>
      </c>
      <c r="G505">
        <v>46250</v>
      </c>
      <c r="H505" t="s">
        <v>150</v>
      </c>
      <c r="I505">
        <v>0</v>
      </c>
      <c r="J505">
        <v>0</v>
      </c>
      <c r="K505">
        <v>0.57231232530809262</v>
      </c>
      <c r="L505">
        <v>0.57231232530809262</v>
      </c>
      <c r="M505">
        <v>2.9411764705882346</v>
      </c>
      <c r="N505" t="s">
        <v>120</v>
      </c>
      <c r="Q505">
        <v>0</v>
      </c>
      <c r="R505">
        <v>0</v>
      </c>
      <c r="S505">
        <v>0</v>
      </c>
      <c r="T505">
        <v>0</v>
      </c>
    </row>
  </sheetData>
  <phoneticPr fontId="2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6EB5D-AEED-4544-A212-AE83FDC8F042}">
  <dimension ref="A1:D3"/>
  <sheetViews>
    <sheetView workbookViewId="0">
      <selection activeCell="B2" sqref="B2:B3"/>
    </sheetView>
  </sheetViews>
  <sheetFormatPr defaultRowHeight="15" x14ac:dyDescent="0.25"/>
  <cols>
    <col min="1" max="1" width="9.5703125" bestFit="1" customWidth="1"/>
    <col min="2" max="2" width="12" bestFit="1" customWidth="1"/>
    <col min="3" max="3" width="9.5703125" bestFit="1" customWidth="1"/>
    <col min="4" max="4" width="21.5703125" customWidth="1"/>
    <col min="5" max="5" width="9.5703125" bestFit="1" customWidth="1"/>
    <col min="6" max="6" width="10.140625" bestFit="1" customWidth="1"/>
    <col min="7" max="7" width="21.5703125" bestFit="1" customWidth="1"/>
  </cols>
  <sheetData>
    <row r="1" spans="1:4" x14ac:dyDescent="0.25">
      <c r="A1" t="s">
        <v>135</v>
      </c>
      <c r="B1" t="s">
        <v>152</v>
      </c>
      <c r="D1" t="s">
        <v>153</v>
      </c>
    </row>
    <row r="2" spans="1:4" x14ac:dyDescent="0.25">
      <c r="A2" t="s">
        <v>161</v>
      </c>
      <c r="B2">
        <v>7498.3712938348999</v>
      </c>
      <c r="D2">
        <f>Table_CostPerDay[[#This Row],[Count]]/99/14</f>
        <v>5.4100802985821792</v>
      </c>
    </row>
    <row r="3" spans="1:4" x14ac:dyDescent="0.25">
      <c r="A3" t="s">
        <v>166</v>
      </c>
      <c r="B3">
        <v>8220.0740601234302</v>
      </c>
      <c r="D3">
        <f>Table_CostPerDay[[#This Row],[Count]]/114/14</f>
        <v>5.1504223434357339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60A27-B098-4B47-8455-8780C9FCCCB6}">
  <dimension ref="A1:B29"/>
  <sheetViews>
    <sheetView workbookViewId="0">
      <selection activeCell="A7" sqref="A7"/>
    </sheetView>
  </sheetViews>
  <sheetFormatPr defaultRowHeight="15" x14ac:dyDescent="0.25"/>
  <cols>
    <col min="1" max="1" width="10.7109375" bestFit="1" customWidth="1"/>
    <col min="2" max="2" width="12.85546875" bestFit="1" customWidth="1"/>
    <col min="3" max="3" width="12.140625" bestFit="1" customWidth="1"/>
  </cols>
  <sheetData>
    <row r="1" spans="1:2" x14ac:dyDescent="0.25">
      <c r="A1" t="s">
        <v>0</v>
      </c>
      <c r="B1" t="s">
        <v>146</v>
      </c>
    </row>
    <row r="2" spans="1:2" x14ac:dyDescent="0.25">
      <c r="A2" s="1">
        <v>46251</v>
      </c>
      <c r="B2">
        <v>5</v>
      </c>
    </row>
    <row r="3" spans="1:2" x14ac:dyDescent="0.25">
      <c r="A3" s="1">
        <v>46252</v>
      </c>
      <c r="B3">
        <v>5</v>
      </c>
    </row>
    <row r="4" spans="1:2" x14ac:dyDescent="0.25">
      <c r="A4" s="1">
        <v>46253</v>
      </c>
      <c r="B4">
        <v>5</v>
      </c>
    </row>
    <row r="5" spans="1:2" x14ac:dyDescent="0.25">
      <c r="A5" s="1">
        <v>46254</v>
      </c>
      <c r="B5">
        <v>5</v>
      </c>
    </row>
    <row r="6" spans="1:2" x14ac:dyDescent="0.25">
      <c r="A6" s="1">
        <v>46255</v>
      </c>
      <c r="B6">
        <v>5</v>
      </c>
    </row>
    <row r="7" spans="1:2" x14ac:dyDescent="0.25">
      <c r="A7" s="1">
        <v>46256</v>
      </c>
      <c r="B7">
        <v>5</v>
      </c>
    </row>
    <row r="8" spans="1:2" x14ac:dyDescent="0.25">
      <c r="A8" s="1">
        <v>46257</v>
      </c>
      <c r="B8">
        <v>5</v>
      </c>
    </row>
    <row r="9" spans="1:2" x14ac:dyDescent="0.25">
      <c r="A9" s="1">
        <v>46258</v>
      </c>
      <c r="B9">
        <v>5</v>
      </c>
    </row>
    <row r="10" spans="1:2" x14ac:dyDescent="0.25">
      <c r="A10" s="1">
        <v>46259</v>
      </c>
      <c r="B10">
        <v>5</v>
      </c>
    </row>
    <row r="11" spans="1:2" x14ac:dyDescent="0.25">
      <c r="A11" s="1">
        <v>46260</v>
      </c>
      <c r="B11">
        <v>5</v>
      </c>
    </row>
    <row r="12" spans="1:2" x14ac:dyDescent="0.25">
      <c r="A12" s="1">
        <v>46261</v>
      </c>
      <c r="B12">
        <v>5</v>
      </c>
    </row>
    <row r="13" spans="1:2" x14ac:dyDescent="0.25">
      <c r="A13" s="1">
        <v>46262</v>
      </c>
      <c r="B13">
        <v>5</v>
      </c>
    </row>
    <row r="14" spans="1:2" x14ac:dyDescent="0.25">
      <c r="A14" s="1">
        <v>46263</v>
      </c>
      <c r="B14">
        <v>5</v>
      </c>
    </row>
    <row r="15" spans="1:2" x14ac:dyDescent="0.25">
      <c r="A15" s="1">
        <v>46264</v>
      </c>
      <c r="B15">
        <v>5</v>
      </c>
    </row>
    <row r="16" spans="1:2" x14ac:dyDescent="0.25">
      <c r="A16" s="1">
        <v>46265</v>
      </c>
      <c r="B16">
        <v>5</v>
      </c>
    </row>
    <row r="17" spans="1:2" x14ac:dyDescent="0.25">
      <c r="A17" s="1">
        <v>46266</v>
      </c>
      <c r="B17">
        <v>5</v>
      </c>
    </row>
    <row r="18" spans="1:2" x14ac:dyDescent="0.25">
      <c r="A18" s="1">
        <v>46267</v>
      </c>
      <c r="B18">
        <v>5</v>
      </c>
    </row>
    <row r="19" spans="1:2" x14ac:dyDescent="0.25">
      <c r="A19" s="1">
        <v>46268</v>
      </c>
      <c r="B19">
        <v>5</v>
      </c>
    </row>
    <row r="20" spans="1:2" x14ac:dyDescent="0.25">
      <c r="A20" s="1">
        <v>46269</v>
      </c>
      <c r="B20">
        <v>5</v>
      </c>
    </row>
    <row r="21" spans="1:2" x14ac:dyDescent="0.25">
      <c r="A21" s="1">
        <v>46270</v>
      </c>
      <c r="B21">
        <v>5</v>
      </c>
    </row>
    <row r="22" spans="1:2" x14ac:dyDescent="0.25">
      <c r="A22" s="1">
        <v>46271</v>
      </c>
      <c r="B22">
        <v>5</v>
      </c>
    </row>
    <row r="23" spans="1:2" x14ac:dyDescent="0.25">
      <c r="A23" s="1">
        <v>46272</v>
      </c>
      <c r="B23">
        <v>5</v>
      </c>
    </row>
    <row r="24" spans="1:2" x14ac:dyDescent="0.25">
      <c r="A24" s="1">
        <v>46273</v>
      </c>
      <c r="B24">
        <v>5</v>
      </c>
    </row>
    <row r="25" spans="1:2" x14ac:dyDescent="0.25">
      <c r="A25" s="1">
        <v>46274</v>
      </c>
      <c r="B25">
        <v>5</v>
      </c>
    </row>
    <row r="26" spans="1:2" x14ac:dyDescent="0.25">
      <c r="A26" s="1">
        <v>46275</v>
      </c>
      <c r="B26">
        <v>5</v>
      </c>
    </row>
    <row r="27" spans="1:2" x14ac:dyDescent="0.25">
      <c r="A27" s="1">
        <v>46276</v>
      </c>
      <c r="B27">
        <v>5</v>
      </c>
    </row>
    <row r="28" spans="1:2" x14ac:dyDescent="0.25">
      <c r="A28" s="1">
        <v>46277</v>
      </c>
      <c r="B28">
        <v>5</v>
      </c>
    </row>
    <row r="29" spans="1:2" x14ac:dyDescent="0.25">
      <c r="A29" s="1">
        <v>46278</v>
      </c>
      <c r="B29">
        <v>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22B4-E148-444C-8DD7-D5F7FB73CC82}">
  <dimension ref="A1:C29"/>
  <sheetViews>
    <sheetView workbookViewId="0"/>
  </sheetViews>
  <sheetFormatPr defaultRowHeight="15" x14ac:dyDescent="0.25"/>
  <cols>
    <col min="1" max="1" width="10.7109375" bestFit="1" customWidth="1"/>
    <col min="2" max="2" width="9.5703125" bestFit="1" customWidth="1"/>
    <col min="3" max="3" width="12"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63BE-6821-4BA2-BB44-90B2C4F0927B}">
  <dimension ref="A1:C29"/>
  <sheetViews>
    <sheetView workbookViewId="0">
      <selection activeCell="C2" sqref="C2:C29"/>
    </sheetView>
  </sheetViews>
  <sheetFormatPr defaultRowHeight="15" x14ac:dyDescent="0.25"/>
  <cols>
    <col min="1" max="1" width="10.7109375" bestFit="1" customWidth="1"/>
    <col min="2" max="2" width="9.5703125" bestFit="1" customWidth="1"/>
    <col min="3" max="3" width="12" bestFit="1" customWidth="1"/>
    <col min="4" max="4" width="6.7109375" bestFit="1" customWidth="1"/>
    <col min="5" max="6" width="12.7109375"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7BF65-0E0F-47BC-B0FC-20C0125E4221}">
  <dimension ref="A1:G19"/>
  <sheetViews>
    <sheetView workbookViewId="0">
      <selection sqref="A1:G5"/>
    </sheetView>
  </sheetViews>
  <sheetFormatPr defaultRowHeight="15" x14ac:dyDescent="0.25"/>
  <cols>
    <col min="1" max="1" width="10.140625" bestFit="1" customWidth="1"/>
    <col min="2" max="2" width="9.5703125" bestFit="1" customWidth="1"/>
    <col min="3" max="3" width="6.7109375" bestFit="1" customWidth="1"/>
    <col min="4" max="4" width="12" bestFit="1" customWidth="1"/>
    <col min="5" max="5" width="24" bestFit="1" customWidth="1"/>
    <col min="6" max="6" width="23.7109375" bestFit="1" customWidth="1"/>
    <col min="7" max="7" width="5.7109375" customWidth="1"/>
  </cols>
  <sheetData>
    <row r="1" spans="1:7" x14ac:dyDescent="0.25">
      <c r="A1" t="s">
        <v>145</v>
      </c>
      <c r="B1" t="s">
        <v>135</v>
      </c>
      <c r="C1" t="s">
        <v>14</v>
      </c>
      <c r="D1" t="s">
        <v>134</v>
      </c>
      <c r="E1" t="s">
        <v>140</v>
      </c>
      <c r="F1" t="s">
        <v>141</v>
      </c>
      <c r="G1" t="s">
        <v>142</v>
      </c>
    </row>
    <row r="2" spans="1:7" hidden="1" x14ac:dyDescent="0.25">
      <c r="A2" t="s">
        <v>150</v>
      </c>
      <c r="B2" t="s">
        <v>161</v>
      </c>
      <c r="C2" t="s">
        <v>149</v>
      </c>
      <c r="D2">
        <v>3531.6741374805288</v>
      </c>
      <c r="E2">
        <v>710.05180608975922</v>
      </c>
      <c r="F2">
        <v>2821.6223313907694</v>
      </c>
      <c r="G2">
        <v>0</v>
      </c>
    </row>
    <row r="3" spans="1:7" hidden="1" x14ac:dyDescent="0.25">
      <c r="A3" t="s">
        <v>150</v>
      </c>
      <c r="B3" t="s">
        <v>161</v>
      </c>
      <c r="C3" t="s">
        <v>151</v>
      </c>
      <c r="D3">
        <v>3535.4333130937985</v>
      </c>
      <c r="E3">
        <v>3402.2410442073237</v>
      </c>
      <c r="F3">
        <v>133.19226888647475</v>
      </c>
      <c r="G3">
        <v>0</v>
      </c>
    </row>
    <row r="4" spans="1:7" hidden="1" x14ac:dyDescent="0.25">
      <c r="A4" t="s">
        <v>150</v>
      </c>
      <c r="B4" t="s">
        <v>161</v>
      </c>
      <c r="C4" t="s">
        <v>13</v>
      </c>
      <c r="D4">
        <v>431.26384326057558</v>
      </c>
      <c r="E4">
        <v>431.26384326057558</v>
      </c>
      <c r="F4">
        <v>0</v>
      </c>
      <c r="G4">
        <v>0</v>
      </c>
    </row>
    <row r="5" spans="1:7" hidden="1" x14ac:dyDescent="0.25">
      <c r="A5" t="s">
        <v>150</v>
      </c>
      <c r="B5" t="s">
        <v>166</v>
      </c>
      <c r="C5" t="s">
        <v>149</v>
      </c>
      <c r="D5">
        <v>3532.2393154013298</v>
      </c>
      <c r="E5">
        <v>707.83849898907897</v>
      </c>
      <c r="F5">
        <v>2824.4008164122538</v>
      </c>
      <c r="G5">
        <v>0</v>
      </c>
    </row>
    <row r="6" spans="1:7" hidden="1" x14ac:dyDescent="0.25">
      <c r="A6" t="s">
        <v>150</v>
      </c>
      <c r="B6" t="s">
        <v>166</v>
      </c>
      <c r="C6" t="s">
        <v>151</v>
      </c>
      <c r="D6">
        <v>4258.4183149549172</v>
      </c>
      <c r="E6">
        <v>4125.0249277440544</v>
      </c>
      <c r="F6">
        <v>133.39338721086247</v>
      </c>
      <c r="G6">
        <v>0</v>
      </c>
    </row>
    <row r="7" spans="1:7" hidden="1" x14ac:dyDescent="0.25">
      <c r="A7" t="s">
        <v>150</v>
      </c>
      <c r="B7" t="s">
        <v>166</v>
      </c>
      <c r="C7" t="s">
        <v>13</v>
      </c>
      <c r="D7">
        <v>429.41642976718146</v>
      </c>
      <c r="E7">
        <v>429.41642976718146</v>
      </c>
      <c r="F7">
        <v>0</v>
      </c>
      <c r="G7">
        <v>0</v>
      </c>
    </row>
    <row r="8" spans="1:7" x14ac:dyDescent="0.25">
      <c r="D8">
        <f>SUBTOTAL(109,Table_CostAG1_1DayShiftABSummary[RoleCost])</f>
        <v>0</v>
      </c>
    </row>
    <row r="14" spans="1:7" x14ac:dyDescent="0.25">
      <c r="A14" t="s">
        <v>14</v>
      </c>
      <c r="B14" t="s">
        <v>135</v>
      </c>
      <c r="C14" t="s">
        <v>134</v>
      </c>
      <c r="D14" t="s">
        <v>140</v>
      </c>
      <c r="E14" t="s">
        <v>141</v>
      </c>
      <c r="F14" t="s">
        <v>142</v>
      </c>
    </row>
    <row r="15" spans="1:7" x14ac:dyDescent="0.25">
      <c r="A15" t="s">
        <v>48</v>
      </c>
      <c r="B15" t="s">
        <v>136</v>
      </c>
      <c r="C15">
        <v>1847.0049558082053</v>
      </c>
      <c r="D15">
        <v>1005.099999999999</v>
      </c>
      <c r="E15">
        <v>841.90495580820641</v>
      </c>
      <c r="F15">
        <v>0</v>
      </c>
    </row>
    <row r="16" spans="1:7" x14ac:dyDescent="0.25">
      <c r="A16" t="s">
        <v>47</v>
      </c>
      <c r="B16" t="s">
        <v>136</v>
      </c>
      <c r="C16">
        <v>1392.4133411369519</v>
      </c>
      <c r="D16">
        <v>341.92885763108092</v>
      </c>
      <c r="E16">
        <v>1050.4844835058711</v>
      </c>
      <c r="F16">
        <v>0</v>
      </c>
    </row>
    <row r="17" spans="1:6" x14ac:dyDescent="0.25">
      <c r="A17" t="s">
        <v>48</v>
      </c>
      <c r="B17" t="s">
        <v>137</v>
      </c>
      <c r="C17">
        <v>5385.0384614619325</v>
      </c>
      <c r="D17">
        <v>367.6247215785163</v>
      </c>
      <c r="E17">
        <v>5017.4137398834155</v>
      </c>
      <c r="F17">
        <v>0</v>
      </c>
    </row>
    <row r="18" spans="1:6" x14ac:dyDescent="0.25">
      <c r="A18" t="s">
        <v>47</v>
      </c>
      <c r="B18" t="s">
        <v>137</v>
      </c>
      <c r="C18">
        <v>8768.0197043160479</v>
      </c>
      <c r="D18">
        <v>39.967608432665642</v>
      </c>
      <c r="E18">
        <v>8728.0520958833822</v>
      </c>
      <c r="F18">
        <v>0</v>
      </c>
    </row>
    <row r="19" spans="1:6" x14ac:dyDescent="0.25">
      <c r="C19">
        <v>17392.476462723138</v>
      </c>
    </row>
  </sheetData>
  <phoneticPr fontId="24"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1FF9-C632-428B-9906-AAC0EFCBF2D4}">
  <dimension ref="C1:AF71"/>
  <sheetViews>
    <sheetView workbookViewId="0">
      <selection activeCell="N40" sqref="N40"/>
    </sheetView>
  </sheetViews>
  <sheetFormatPr defaultRowHeight="15" outlineLevelCol="1" x14ac:dyDescent="0.25"/>
  <cols>
    <col min="3" max="3" width="23.7109375" customWidth="1"/>
    <col min="4" max="4" width="22.5703125" bestFit="1" customWidth="1"/>
    <col min="5" max="5" width="13.5703125" customWidth="1"/>
    <col min="6" max="6" width="6.5703125" bestFit="1" customWidth="1"/>
    <col min="7" max="7" width="11.42578125" customWidth="1"/>
    <col min="8" max="21" width="8.85546875" customWidth="1"/>
    <col min="23" max="23" width="13.85546875" customWidth="1"/>
    <col min="24" max="24" width="15.42578125" style="9" hidden="1" customWidth="1" outlineLevel="1"/>
    <col min="25" max="25" width="15.140625" style="9" hidden="1" customWidth="1" outlineLevel="1"/>
    <col min="26" max="26" width="23.7109375" style="9" hidden="1" customWidth="1" outlineLevel="1"/>
    <col min="27" max="27" width="44.5703125" style="9" hidden="1" customWidth="1" outlineLevel="1"/>
    <col min="28" max="28" width="21.42578125" style="9" hidden="1" customWidth="1" outlineLevel="1"/>
    <col min="29" max="30" width="9.140625" hidden="1" customWidth="1" outlineLevel="1"/>
    <col min="31" max="31" width="9.140625" collapsed="1"/>
  </cols>
  <sheetData>
    <row r="1" spans="3:31" x14ac:dyDescent="0.25">
      <c r="C1" s="9"/>
      <c r="D1" s="9"/>
      <c r="E1" s="9"/>
      <c r="F1" s="9"/>
      <c r="G1" s="9"/>
      <c r="H1" s="9"/>
      <c r="I1" s="9"/>
      <c r="J1" s="9"/>
      <c r="K1" s="9"/>
      <c r="L1" s="9"/>
      <c r="M1" s="9"/>
      <c r="N1" s="9"/>
      <c r="O1" s="9"/>
      <c r="P1" s="9"/>
      <c r="Q1" s="9"/>
      <c r="R1" s="9"/>
      <c r="S1" s="9"/>
      <c r="T1" s="9"/>
      <c r="U1" s="9"/>
      <c r="V1" s="9"/>
      <c r="W1" s="9"/>
      <c r="AC1" s="9"/>
      <c r="AD1" s="9"/>
      <c r="AE1" s="9"/>
    </row>
    <row r="2" spans="3:31" x14ac:dyDescent="0.25">
      <c r="C2" s="9"/>
      <c r="D2" s="9"/>
      <c r="E2" s="9"/>
      <c r="F2" s="9"/>
      <c r="G2" s="9"/>
      <c r="H2" s="9"/>
      <c r="I2" s="9"/>
      <c r="J2" s="9"/>
      <c r="K2" s="9"/>
      <c r="L2" s="9"/>
      <c r="M2" s="9"/>
      <c r="N2" s="9"/>
      <c r="O2" s="9"/>
      <c r="P2" s="9"/>
      <c r="Q2" s="9"/>
      <c r="R2" s="9"/>
      <c r="S2" s="9"/>
      <c r="T2" s="9"/>
      <c r="U2" s="9"/>
      <c r="V2" s="9"/>
      <c r="W2" s="9"/>
      <c r="AC2" s="9"/>
      <c r="AD2" s="9"/>
      <c r="AE2" s="9"/>
    </row>
    <row r="3" spans="3:31" x14ac:dyDescent="0.25">
      <c r="C3" s="9"/>
      <c r="D3" s="9"/>
      <c r="E3" s="9"/>
      <c r="F3" s="9"/>
      <c r="G3" s="9"/>
      <c r="H3" s="9"/>
      <c r="I3" s="9"/>
      <c r="J3" s="9"/>
      <c r="K3" s="9"/>
      <c r="L3" s="9"/>
      <c r="M3" s="9"/>
      <c r="N3" s="9"/>
      <c r="O3" s="9"/>
      <c r="P3" s="9"/>
      <c r="Q3" s="9"/>
      <c r="R3" s="9"/>
      <c r="S3" s="9"/>
      <c r="T3" s="9"/>
      <c r="U3" s="9"/>
      <c r="V3" s="9"/>
      <c r="W3" s="9"/>
      <c r="AC3" s="9"/>
      <c r="AD3" s="9"/>
      <c r="AE3" s="9"/>
    </row>
    <row r="4" spans="3:31" ht="23.25" x14ac:dyDescent="0.35">
      <c r="C4" s="143" t="s">
        <v>49</v>
      </c>
      <c r="D4" s="143"/>
      <c r="E4" s="143"/>
      <c r="F4" s="143"/>
      <c r="G4" s="143"/>
      <c r="H4" s="143"/>
      <c r="I4" s="143"/>
      <c r="J4" s="143"/>
      <c r="K4" s="143"/>
      <c r="L4" s="143"/>
      <c r="M4" s="143"/>
      <c r="N4" s="143"/>
      <c r="O4" s="143"/>
      <c r="P4" s="143"/>
      <c r="Q4" s="143"/>
      <c r="R4" s="143"/>
      <c r="S4" s="143"/>
      <c r="T4" s="143"/>
      <c r="U4" s="143"/>
      <c r="V4" s="9"/>
      <c r="W4" s="9"/>
      <c r="AC4" s="9"/>
      <c r="AD4" s="9"/>
      <c r="AE4" s="9"/>
    </row>
    <row r="5" spans="3:31" x14ac:dyDescent="0.25">
      <c r="C5" s="9"/>
      <c r="D5" s="9"/>
      <c r="E5" s="9"/>
      <c r="F5" s="9"/>
      <c r="G5" s="9"/>
      <c r="H5" s="9"/>
      <c r="I5" s="9"/>
      <c r="J5" s="9"/>
      <c r="K5" s="9"/>
      <c r="L5" s="9"/>
      <c r="M5" s="9"/>
      <c r="N5" s="9"/>
      <c r="O5" s="9"/>
      <c r="P5" s="9"/>
      <c r="Q5" s="9"/>
      <c r="R5" s="9"/>
      <c r="S5" s="9"/>
      <c r="T5" s="9"/>
      <c r="U5" s="9"/>
      <c r="V5" s="9"/>
      <c r="W5" s="9"/>
      <c r="AC5" s="9"/>
      <c r="AD5" s="9"/>
      <c r="AE5" s="9"/>
    </row>
    <row r="6" spans="3:31" ht="18.75" x14ac:dyDescent="0.3">
      <c r="C6" s="10" t="s">
        <v>50</v>
      </c>
      <c r="D6" s="11" t="s">
        <v>51</v>
      </c>
      <c r="E6" s="12"/>
      <c r="F6" s="13"/>
      <c r="G6" s="13"/>
      <c r="H6" s="9"/>
      <c r="I6" s="9"/>
      <c r="J6" s="9"/>
      <c r="K6" s="9"/>
      <c r="L6" s="9"/>
      <c r="M6" s="9"/>
      <c r="N6" s="9"/>
      <c r="O6" s="9"/>
      <c r="P6" s="9"/>
      <c r="Q6" s="9"/>
      <c r="R6" s="9"/>
      <c r="S6" s="9"/>
      <c r="T6" s="9"/>
      <c r="U6" s="9"/>
      <c r="V6" s="9"/>
      <c r="W6" s="13"/>
      <c r="Z6" s="14" t="s">
        <v>52</v>
      </c>
      <c r="AC6" s="9"/>
      <c r="AD6" s="9"/>
      <c r="AE6" s="9"/>
    </row>
    <row r="7" spans="3:31" ht="21" x14ac:dyDescent="0.35">
      <c r="C7" s="15" t="s">
        <v>53</v>
      </c>
      <c r="D7" s="16" t="s">
        <v>54</v>
      </c>
      <c r="E7" s="17" t="s">
        <v>55</v>
      </c>
      <c r="F7" s="18"/>
      <c r="G7" s="18"/>
      <c r="H7" s="9"/>
      <c r="I7" s="9"/>
      <c r="J7" s="9"/>
      <c r="K7" s="9"/>
      <c r="L7" s="9"/>
      <c r="M7" s="9"/>
      <c r="N7" s="9"/>
      <c r="O7" s="9"/>
      <c r="P7" s="9"/>
      <c r="Q7" s="9"/>
      <c r="R7" s="9"/>
      <c r="S7" s="9"/>
      <c r="T7" s="9"/>
      <c r="U7" s="9"/>
      <c r="V7" s="9"/>
      <c r="W7" s="18"/>
      <c r="Z7" s="14" t="s">
        <v>56</v>
      </c>
      <c r="AC7" s="9"/>
      <c r="AD7" s="9"/>
      <c r="AE7" s="9"/>
    </row>
    <row r="8" spans="3:31" ht="15.75" x14ac:dyDescent="0.25">
      <c r="C8" s="19"/>
      <c r="D8" s="9"/>
      <c r="E8" s="9"/>
      <c r="F8" s="9"/>
      <c r="G8" s="9"/>
      <c r="H8" t="s">
        <v>57</v>
      </c>
      <c r="I8" t="s">
        <v>58</v>
      </c>
      <c r="J8" t="s">
        <v>59</v>
      </c>
      <c r="K8" t="s">
        <v>60</v>
      </c>
      <c r="L8" t="s">
        <v>61</v>
      </c>
      <c r="M8" t="s">
        <v>62</v>
      </c>
      <c r="N8" t="s">
        <v>63</v>
      </c>
      <c r="O8" t="s">
        <v>64</v>
      </c>
      <c r="P8" t="s">
        <v>65</v>
      </c>
      <c r="Q8" t="s">
        <v>66</v>
      </c>
      <c r="R8" t="s">
        <v>67</v>
      </c>
      <c r="S8" t="s">
        <v>68</v>
      </c>
      <c r="T8" t="s">
        <v>69</v>
      </c>
      <c r="U8" t="s">
        <v>70</v>
      </c>
      <c r="V8" s="9"/>
      <c r="W8" s="9"/>
      <c r="Z8" s="20" t="s">
        <v>71</v>
      </c>
    </row>
    <row r="9" spans="3:31" ht="47.25" x14ac:dyDescent="0.25">
      <c r="C9" s="21" t="s">
        <v>72</v>
      </c>
      <c r="D9" s="21" t="s">
        <v>73</v>
      </c>
      <c r="E9" s="21" t="s">
        <v>74</v>
      </c>
      <c r="F9" s="21" t="s">
        <v>75</v>
      </c>
      <c r="G9" s="22" t="s">
        <v>76</v>
      </c>
      <c r="H9" s="23" t="s">
        <v>77</v>
      </c>
      <c r="I9" s="24" t="s">
        <v>78</v>
      </c>
      <c r="J9" s="24" t="s">
        <v>79</v>
      </c>
      <c r="K9" s="24" t="s">
        <v>80</v>
      </c>
      <c r="L9" s="24" t="s">
        <v>81</v>
      </c>
      <c r="M9" s="24" t="s">
        <v>82</v>
      </c>
      <c r="N9" s="24" t="s">
        <v>83</v>
      </c>
      <c r="O9" s="24" t="s">
        <v>77</v>
      </c>
      <c r="P9" s="24" t="s">
        <v>78</v>
      </c>
      <c r="Q9" s="24" t="s">
        <v>79</v>
      </c>
      <c r="R9" s="24" t="s">
        <v>80</v>
      </c>
      <c r="S9" s="24" t="s">
        <v>81</v>
      </c>
      <c r="T9" s="24" t="s">
        <v>82</v>
      </c>
      <c r="U9" s="25" t="s">
        <v>83</v>
      </c>
      <c r="V9" s="26" t="s">
        <v>84</v>
      </c>
      <c r="W9" s="21" t="s">
        <v>85</v>
      </c>
      <c r="X9" s="21" t="s">
        <v>86</v>
      </c>
      <c r="Y9" s="21" t="s">
        <v>87</v>
      </c>
      <c r="Z9" s="21" t="s">
        <v>88</v>
      </c>
      <c r="AA9" s="21" t="s">
        <v>89</v>
      </c>
      <c r="AB9" s="27"/>
      <c r="AC9" s="28"/>
      <c r="AD9" s="28"/>
      <c r="AE9" s="28"/>
    </row>
    <row r="10" spans="3:31" ht="15.75" x14ac:dyDescent="0.25">
      <c r="C10" s="29" t="s">
        <v>90</v>
      </c>
      <c r="D10" s="30" t="s">
        <v>91</v>
      </c>
      <c r="E10" s="29" t="s">
        <v>47</v>
      </c>
      <c r="F10" s="29" t="s">
        <v>12</v>
      </c>
      <c r="G10" s="31">
        <v>55.75</v>
      </c>
      <c r="H10" s="32"/>
      <c r="I10" s="32"/>
      <c r="J10" s="32">
        <v>8</v>
      </c>
      <c r="K10" s="32"/>
      <c r="L10" s="32"/>
      <c r="M10" s="32"/>
      <c r="N10" s="32"/>
      <c r="O10" s="32"/>
      <c r="P10" s="32"/>
      <c r="Q10" s="32"/>
      <c r="R10" s="32"/>
      <c r="S10" s="32"/>
      <c r="T10" s="32"/>
      <c r="U10" s="33"/>
      <c r="V10" s="34">
        <f>SUM(H10:U10)</f>
        <v>8</v>
      </c>
      <c r="W10" s="35">
        <f>ROUND(V10*G10,2)</f>
        <v>446</v>
      </c>
      <c r="X10" s="35">
        <f>W10*1.1</f>
        <v>490.6</v>
      </c>
      <c r="Y10" s="36">
        <v>3360</v>
      </c>
      <c r="Z10" s="37">
        <f>IF($Z$8="Variance to GST Excl. Inv",W10,X10)-Y10</f>
        <v>-2914</v>
      </c>
      <c r="AA10" s="38" t="s">
        <v>92</v>
      </c>
      <c r="AC10" t="s">
        <v>10</v>
      </c>
      <c r="AD10" t="s">
        <v>13</v>
      </c>
      <c r="AE10" t="s">
        <v>93</v>
      </c>
    </row>
    <row r="11" spans="3:31" ht="15.75" x14ac:dyDescent="0.25">
      <c r="C11" s="29" t="s">
        <v>94</v>
      </c>
      <c r="D11" s="30" t="s">
        <v>95</v>
      </c>
      <c r="E11" s="29" t="s">
        <v>13</v>
      </c>
      <c r="F11" s="29" t="s">
        <v>96</v>
      </c>
      <c r="G11" s="31">
        <v>95.02</v>
      </c>
      <c r="H11" s="32"/>
      <c r="I11" s="32"/>
      <c r="J11" s="32">
        <v>7.75</v>
      </c>
      <c r="K11" s="32"/>
      <c r="L11" s="32"/>
      <c r="M11" s="32"/>
      <c r="N11" s="32"/>
      <c r="O11" s="32"/>
      <c r="P11" s="32"/>
      <c r="Q11" s="32"/>
      <c r="R11" s="32"/>
      <c r="S11" s="32"/>
      <c r="T11" s="32"/>
      <c r="U11" s="33"/>
      <c r="V11" s="39">
        <f>SUM(H11:U11)</f>
        <v>7.75</v>
      </c>
      <c r="W11" s="35">
        <f t="shared" ref="W11:W29" si="0">ROUND(V11*G11,2)</f>
        <v>736.41</v>
      </c>
      <c r="X11" s="35">
        <f t="shared" ref="X11:Y29" si="1">W11*1.1</f>
        <v>810.05100000000004</v>
      </c>
      <c r="Y11" s="40">
        <v>2520</v>
      </c>
      <c r="Z11" s="37">
        <f t="shared" ref="Z11:Z29" si="2">IF($Z$8="Variance to GST Excl. Inv",W11,X11)-Y11</f>
        <v>-1783.5900000000001</v>
      </c>
      <c r="AA11" s="41"/>
      <c r="AC11" t="s">
        <v>12</v>
      </c>
      <c r="AD11" t="s">
        <v>47</v>
      </c>
      <c r="AE11" t="s">
        <v>93</v>
      </c>
    </row>
    <row r="12" spans="3:31" ht="15.75" x14ac:dyDescent="0.25">
      <c r="C12" s="29" t="s">
        <v>94</v>
      </c>
      <c r="D12" s="30" t="s">
        <v>95</v>
      </c>
      <c r="E12" s="29" t="s">
        <v>13</v>
      </c>
      <c r="F12" s="29" t="s">
        <v>96</v>
      </c>
      <c r="G12" s="31">
        <v>95.02</v>
      </c>
      <c r="H12" s="32"/>
      <c r="I12" s="32"/>
      <c r="J12" s="32"/>
      <c r="K12" s="32">
        <v>7.75</v>
      </c>
      <c r="L12" s="32"/>
      <c r="M12" s="32"/>
      <c r="N12" s="32"/>
      <c r="O12" s="32"/>
      <c r="P12" s="32"/>
      <c r="Q12" s="32"/>
      <c r="R12" s="32"/>
      <c r="S12" s="32"/>
      <c r="T12" s="32"/>
      <c r="U12" s="33"/>
      <c r="V12" s="39">
        <f t="shared" ref="V12:V29" si="3">SUM(H12:U12)</f>
        <v>7.75</v>
      </c>
      <c r="W12" s="35">
        <f t="shared" si="0"/>
        <v>736.41</v>
      </c>
      <c r="X12" s="35">
        <f t="shared" si="1"/>
        <v>810.05100000000004</v>
      </c>
      <c r="Y12" s="40">
        <v>420</v>
      </c>
      <c r="Z12" s="37">
        <f t="shared" si="2"/>
        <v>316.40999999999997</v>
      </c>
      <c r="AA12" s="41"/>
      <c r="AC12" t="s">
        <v>96</v>
      </c>
      <c r="AD12" t="s">
        <v>97</v>
      </c>
      <c r="AE12" t="s">
        <v>93</v>
      </c>
    </row>
    <row r="13" spans="3:31" ht="15.75" x14ac:dyDescent="0.25">
      <c r="C13" s="29" t="s">
        <v>90</v>
      </c>
      <c r="D13" s="30" t="s">
        <v>98</v>
      </c>
      <c r="E13" s="29" t="s">
        <v>47</v>
      </c>
      <c r="F13" s="42" t="s">
        <v>82</v>
      </c>
      <c r="G13" s="43">
        <v>73.12</v>
      </c>
      <c r="H13" s="44"/>
      <c r="I13" s="45"/>
      <c r="J13" s="45"/>
      <c r="K13" s="45"/>
      <c r="L13" s="45"/>
      <c r="M13" s="45">
        <v>7.5</v>
      </c>
      <c r="N13" s="45"/>
      <c r="O13" s="45"/>
      <c r="P13" s="45"/>
      <c r="Q13" s="45"/>
      <c r="R13" s="45"/>
      <c r="S13" s="45"/>
      <c r="T13" s="45"/>
      <c r="U13" s="46"/>
      <c r="V13" s="39">
        <f t="shared" si="3"/>
        <v>7.5</v>
      </c>
      <c r="W13" s="35">
        <f t="shared" si="0"/>
        <v>548.4</v>
      </c>
      <c r="X13" s="35">
        <f t="shared" si="1"/>
        <v>603.24</v>
      </c>
      <c r="Y13" s="40">
        <v>550</v>
      </c>
      <c r="Z13" s="37">
        <f t="shared" si="2"/>
        <v>-1.6000000000000227</v>
      </c>
      <c r="AA13" s="41" t="s">
        <v>99</v>
      </c>
      <c r="AC13" t="s">
        <v>82</v>
      </c>
      <c r="AD13" t="s">
        <v>100</v>
      </c>
      <c r="AE13" t="s">
        <v>93</v>
      </c>
    </row>
    <row r="14" spans="3:31" ht="15.75" x14ac:dyDescent="0.25">
      <c r="C14" s="29" t="s">
        <v>90</v>
      </c>
      <c r="D14" s="30" t="s">
        <v>101</v>
      </c>
      <c r="E14" s="29" t="s">
        <v>47</v>
      </c>
      <c r="F14" s="29" t="s">
        <v>10</v>
      </c>
      <c r="G14" s="43">
        <v>51.25</v>
      </c>
      <c r="H14" s="44"/>
      <c r="I14" s="45"/>
      <c r="J14" s="45"/>
      <c r="K14" s="45"/>
      <c r="L14" s="45"/>
      <c r="M14" s="45"/>
      <c r="N14" s="45"/>
      <c r="O14" s="45">
        <v>7.5</v>
      </c>
      <c r="P14" s="45"/>
      <c r="Q14" s="45"/>
      <c r="R14" s="45"/>
      <c r="S14" s="45"/>
      <c r="T14" s="45"/>
      <c r="U14" s="46"/>
      <c r="V14" s="47">
        <f t="shared" si="3"/>
        <v>7.5</v>
      </c>
      <c r="W14" s="48">
        <f t="shared" si="0"/>
        <v>384.38</v>
      </c>
      <c r="X14" s="48">
        <f t="shared" si="1"/>
        <v>422.81800000000004</v>
      </c>
      <c r="Y14" s="49">
        <f t="shared" si="1"/>
        <v>465.09980000000007</v>
      </c>
      <c r="Z14" s="50">
        <f t="shared" si="2"/>
        <v>-80.719800000000077</v>
      </c>
      <c r="AA14" s="51"/>
      <c r="AC14" t="s">
        <v>83</v>
      </c>
      <c r="AE14" t="s">
        <v>93</v>
      </c>
    </row>
    <row r="15" spans="3:31" ht="15.75" x14ac:dyDescent="0.25">
      <c r="C15" s="29" t="s">
        <v>94</v>
      </c>
      <c r="D15" s="30" t="s">
        <v>102</v>
      </c>
      <c r="E15" s="29" t="s">
        <v>13</v>
      </c>
      <c r="F15" s="29" t="s">
        <v>12</v>
      </c>
      <c r="G15" s="43">
        <v>66.48</v>
      </c>
      <c r="H15" s="44"/>
      <c r="I15" s="45"/>
      <c r="J15" s="45"/>
      <c r="K15" s="45"/>
      <c r="L15" s="45"/>
      <c r="M15" s="45"/>
      <c r="N15" s="45"/>
      <c r="O15" s="45"/>
      <c r="P15" s="45"/>
      <c r="Q15" s="45">
        <v>8</v>
      </c>
      <c r="R15" s="45"/>
      <c r="S15" s="45"/>
      <c r="T15" s="45"/>
      <c r="U15" s="46"/>
      <c r="V15" s="39">
        <f t="shared" si="3"/>
        <v>8</v>
      </c>
      <c r="W15" s="35">
        <f t="shared" si="0"/>
        <v>531.84</v>
      </c>
      <c r="X15" s="35">
        <f t="shared" si="1"/>
        <v>585.02400000000011</v>
      </c>
      <c r="Y15" s="40">
        <f t="shared" si="1"/>
        <v>643.52640000000019</v>
      </c>
      <c r="Z15" s="37">
        <f t="shared" si="2"/>
        <v>-111.68640000000016</v>
      </c>
      <c r="AA15" s="41"/>
      <c r="AC15" t="s">
        <v>103</v>
      </c>
      <c r="AE15" t="s">
        <v>93</v>
      </c>
    </row>
    <row r="16" spans="3:31" ht="15.75" x14ac:dyDescent="0.25">
      <c r="C16" s="29" t="s">
        <v>94</v>
      </c>
      <c r="D16" s="30" t="s">
        <v>104</v>
      </c>
      <c r="E16" s="29" t="s">
        <v>13</v>
      </c>
      <c r="F16" s="29" t="s">
        <v>96</v>
      </c>
      <c r="G16" s="43">
        <v>95.02</v>
      </c>
      <c r="H16" s="44"/>
      <c r="I16" s="45"/>
      <c r="J16" s="45"/>
      <c r="K16" s="45"/>
      <c r="L16" s="45"/>
      <c r="M16" s="45"/>
      <c r="N16" s="45"/>
      <c r="O16" s="45"/>
      <c r="P16" s="45"/>
      <c r="Q16" s="45">
        <v>7.75</v>
      </c>
      <c r="R16" s="45"/>
      <c r="S16" s="45"/>
      <c r="T16" s="45"/>
      <c r="U16" s="46"/>
      <c r="V16" s="39">
        <f t="shared" si="3"/>
        <v>7.75</v>
      </c>
      <c r="W16" s="35">
        <f t="shared" si="0"/>
        <v>736.41</v>
      </c>
      <c r="X16" s="35">
        <f t="shared" si="1"/>
        <v>810.05100000000004</v>
      </c>
      <c r="Y16" s="40">
        <f t="shared" si="1"/>
        <v>891.05610000000013</v>
      </c>
      <c r="Z16" s="37">
        <f t="shared" si="2"/>
        <v>-154.64610000000016</v>
      </c>
      <c r="AA16" s="41"/>
      <c r="AE16" t="s">
        <v>93</v>
      </c>
    </row>
    <row r="17" spans="3:31" ht="15.75" x14ac:dyDescent="0.25">
      <c r="C17" s="29" t="s">
        <v>94</v>
      </c>
      <c r="D17" s="30" t="s">
        <v>104</v>
      </c>
      <c r="E17" s="29" t="s">
        <v>13</v>
      </c>
      <c r="F17" s="29" t="s">
        <v>12</v>
      </c>
      <c r="G17" s="43">
        <v>93.32</v>
      </c>
      <c r="H17" s="44"/>
      <c r="I17" s="45"/>
      <c r="J17" s="45"/>
      <c r="K17" s="45"/>
      <c r="L17" s="45"/>
      <c r="M17" s="45"/>
      <c r="N17" s="45"/>
      <c r="O17" s="45"/>
      <c r="P17" s="45"/>
      <c r="Q17" s="45"/>
      <c r="R17" s="45">
        <v>8</v>
      </c>
      <c r="S17" s="45"/>
      <c r="T17" s="45"/>
      <c r="U17" s="46"/>
      <c r="V17" s="39">
        <f t="shared" si="3"/>
        <v>8</v>
      </c>
      <c r="W17" s="35">
        <f t="shared" si="0"/>
        <v>746.56</v>
      </c>
      <c r="X17" s="35">
        <f t="shared" si="1"/>
        <v>821.21600000000001</v>
      </c>
      <c r="Y17" s="40">
        <f t="shared" si="1"/>
        <v>903.33760000000007</v>
      </c>
      <c r="Z17" s="37">
        <f t="shared" si="2"/>
        <v>-156.77760000000012</v>
      </c>
      <c r="AA17" s="41"/>
      <c r="AE17" t="s">
        <v>93</v>
      </c>
    </row>
    <row r="18" spans="3:31" ht="15.75" x14ac:dyDescent="0.25">
      <c r="C18" s="29" t="s">
        <v>90</v>
      </c>
      <c r="D18" s="30" t="s">
        <v>105</v>
      </c>
      <c r="E18" s="29" t="s">
        <v>47</v>
      </c>
      <c r="F18" s="29" t="s">
        <v>96</v>
      </c>
      <c r="G18" s="43">
        <v>56.65</v>
      </c>
      <c r="H18" s="44"/>
      <c r="I18" s="45"/>
      <c r="J18" s="45"/>
      <c r="K18" s="45"/>
      <c r="L18" s="45"/>
      <c r="M18" s="45"/>
      <c r="N18" s="45"/>
      <c r="O18" s="45"/>
      <c r="P18" s="45"/>
      <c r="Q18" s="45"/>
      <c r="R18" s="45"/>
      <c r="S18" s="45">
        <v>7.5</v>
      </c>
      <c r="T18" s="45"/>
      <c r="U18" s="46"/>
      <c r="V18" s="39">
        <v>7.5</v>
      </c>
      <c r="W18" s="35">
        <f t="shared" si="0"/>
        <v>424.88</v>
      </c>
      <c r="X18" s="35"/>
      <c r="Y18" s="40"/>
      <c r="Z18" s="37"/>
      <c r="AA18" s="41"/>
      <c r="AE18" t="s">
        <v>93</v>
      </c>
    </row>
    <row r="19" spans="3:31" ht="15.75" x14ac:dyDescent="0.25">
      <c r="C19" s="29" t="s">
        <v>90</v>
      </c>
      <c r="D19" s="30" t="s">
        <v>106</v>
      </c>
      <c r="E19" s="29" t="s">
        <v>47</v>
      </c>
      <c r="F19" s="29" t="s">
        <v>96</v>
      </c>
      <c r="G19" s="43">
        <v>56.65</v>
      </c>
      <c r="H19" s="44"/>
      <c r="I19" s="45"/>
      <c r="J19" s="45"/>
      <c r="K19" s="45"/>
      <c r="L19" s="45"/>
      <c r="M19" s="45"/>
      <c r="N19" s="45"/>
      <c r="O19" s="45"/>
      <c r="P19" s="45"/>
      <c r="Q19" s="45"/>
      <c r="R19" s="45"/>
      <c r="S19" s="45">
        <v>7.5</v>
      </c>
      <c r="T19" s="45"/>
      <c r="U19" s="46"/>
      <c r="V19" s="39">
        <f t="shared" si="3"/>
        <v>7.5</v>
      </c>
      <c r="W19" s="35">
        <f t="shared" si="0"/>
        <v>424.88</v>
      </c>
      <c r="X19" s="35">
        <f t="shared" si="1"/>
        <v>467.36800000000005</v>
      </c>
      <c r="Y19" s="40">
        <f t="shared" si="1"/>
        <v>514.10480000000007</v>
      </c>
      <c r="Z19" s="37">
        <f t="shared" si="2"/>
        <v>-89.224800000000073</v>
      </c>
      <c r="AA19" s="41"/>
      <c r="AE19" t="s">
        <v>93</v>
      </c>
    </row>
    <row r="20" spans="3:31" ht="15.75" x14ac:dyDescent="0.25">
      <c r="C20" s="29" t="s">
        <v>94</v>
      </c>
      <c r="D20" s="30" t="s">
        <v>107</v>
      </c>
      <c r="E20" s="29" t="s">
        <v>13</v>
      </c>
      <c r="F20" s="29" t="s">
        <v>96</v>
      </c>
      <c r="G20" s="43">
        <v>95.02</v>
      </c>
      <c r="H20" s="44"/>
      <c r="I20" s="45"/>
      <c r="J20" s="45"/>
      <c r="K20" s="45"/>
      <c r="L20" s="45"/>
      <c r="M20" s="45"/>
      <c r="N20" s="45"/>
      <c r="O20" s="45"/>
      <c r="P20" s="45"/>
      <c r="Q20" s="45"/>
      <c r="R20" s="45"/>
      <c r="S20" s="45">
        <v>7.75</v>
      </c>
      <c r="T20" s="45"/>
      <c r="U20" s="46"/>
      <c r="V20" s="39">
        <f t="shared" si="3"/>
        <v>7.75</v>
      </c>
      <c r="W20" s="35">
        <f t="shared" si="0"/>
        <v>736.41</v>
      </c>
      <c r="X20" s="35">
        <f t="shared" si="1"/>
        <v>810.05100000000004</v>
      </c>
      <c r="Y20" s="40">
        <f t="shared" si="1"/>
        <v>891.05610000000013</v>
      </c>
      <c r="Z20" s="37">
        <f t="shared" si="2"/>
        <v>-154.64610000000016</v>
      </c>
      <c r="AA20" s="41"/>
      <c r="AE20" t="s">
        <v>93</v>
      </c>
    </row>
    <row r="21" spans="3:31" ht="15.75" x14ac:dyDescent="0.25">
      <c r="C21" s="29" t="s">
        <v>94</v>
      </c>
      <c r="D21" s="30" t="s">
        <v>104</v>
      </c>
      <c r="E21" s="29" t="s">
        <v>13</v>
      </c>
      <c r="F21" s="29" t="s">
        <v>82</v>
      </c>
      <c r="G21" s="43">
        <v>122.16</v>
      </c>
      <c r="H21" s="44"/>
      <c r="I21" s="45"/>
      <c r="J21" s="45"/>
      <c r="K21" s="45"/>
      <c r="L21" s="45"/>
      <c r="M21" s="45"/>
      <c r="N21" s="45"/>
      <c r="O21" s="45"/>
      <c r="P21" s="45"/>
      <c r="Q21" s="45"/>
      <c r="R21" s="45"/>
      <c r="S21" s="45"/>
      <c r="T21" s="45">
        <v>8</v>
      </c>
      <c r="U21" s="46"/>
      <c r="V21" s="39">
        <f t="shared" si="3"/>
        <v>8</v>
      </c>
      <c r="W21" s="35">
        <f t="shared" si="0"/>
        <v>977.28</v>
      </c>
      <c r="X21" s="35">
        <f t="shared" si="1"/>
        <v>1075.008</v>
      </c>
      <c r="Y21" s="40">
        <f t="shared" si="1"/>
        <v>1182.5088000000001</v>
      </c>
      <c r="Z21" s="37">
        <f t="shared" si="2"/>
        <v>-205.22880000000009</v>
      </c>
      <c r="AA21" s="41"/>
      <c r="AE21" t="s">
        <v>93</v>
      </c>
    </row>
    <row r="22" spans="3:31" ht="15.75" x14ac:dyDescent="0.25">
      <c r="C22" s="29" t="s">
        <v>90</v>
      </c>
      <c r="D22" s="30" t="s">
        <v>108</v>
      </c>
      <c r="E22" s="29" t="s">
        <v>47</v>
      </c>
      <c r="F22" s="29" t="s">
        <v>82</v>
      </c>
      <c r="G22" s="43">
        <v>73.12</v>
      </c>
      <c r="H22" s="44"/>
      <c r="I22" s="45"/>
      <c r="J22" s="45"/>
      <c r="K22" s="45"/>
      <c r="L22" s="45"/>
      <c r="M22" s="45"/>
      <c r="N22" s="45"/>
      <c r="O22" s="45"/>
      <c r="P22" s="45"/>
      <c r="Q22" s="45"/>
      <c r="R22" s="45"/>
      <c r="S22" s="45"/>
      <c r="T22" s="45">
        <v>7.5</v>
      </c>
      <c r="U22" s="46"/>
      <c r="V22" s="39">
        <f t="shared" si="3"/>
        <v>7.5</v>
      </c>
      <c r="W22" s="35">
        <f t="shared" si="0"/>
        <v>548.4</v>
      </c>
      <c r="X22" s="35">
        <f t="shared" si="1"/>
        <v>603.24</v>
      </c>
      <c r="Y22" s="40">
        <f t="shared" si="1"/>
        <v>663.56400000000008</v>
      </c>
      <c r="Z22" s="37">
        <f t="shared" si="2"/>
        <v>-115.1640000000001</v>
      </c>
      <c r="AA22" s="41"/>
      <c r="AE22" t="s">
        <v>93</v>
      </c>
    </row>
    <row r="23" spans="3:31" ht="15.75" x14ac:dyDescent="0.25">
      <c r="C23" s="29" t="s">
        <v>94</v>
      </c>
      <c r="D23" s="30" t="s">
        <v>95</v>
      </c>
      <c r="E23" s="29" t="s">
        <v>13</v>
      </c>
      <c r="F23" s="29" t="s">
        <v>82</v>
      </c>
      <c r="G23" s="43">
        <v>122.16</v>
      </c>
      <c r="H23" s="44"/>
      <c r="I23" s="45"/>
      <c r="J23" s="45"/>
      <c r="K23" s="45"/>
      <c r="L23" s="45"/>
      <c r="M23" s="45"/>
      <c r="N23" s="45"/>
      <c r="O23" s="45"/>
      <c r="P23" s="45"/>
      <c r="Q23" s="45"/>
      <c r="R23" s="45"/>
      <c r="S23" s="45"/>
      <c r="T23" s="45">
        <v>7.75</v>
      </c>
      <c r="U23" s="46"/>
      <c r="V23" s="39">
        <f t="shared" si="3"/>
        <v>7.75</v>
      </c>
      <c r="W23" s="35">
        <f t="shared" si="0"/>
        <v>946.74</v>
      </c>
      <c r="X23" s="35">
        <f t="shared" si="1"/>
        <v>1041.414</v>
      </c>
      <c r="Y23" s="40">
        <f t="shared" si="1"/>
        <v>1145.5554000000002</v>
      </c>
      <c r="Z23" s="37">
        <f t="shared" si="2"/>
        <v>-198.81540000000018</v>
      </c>
      <c r="AA23" s="41"/>
      <c r="AE23" t="s">
        <v>93</v>
      </c>
    </row>
    <row r="24" spans="3:31" ht="15.75" x14ac:dyDescent="0.25">
      <c r="C24" s="29" t="s">
        <v>94</v>
      </c>
      <c r="D24" s="30" t="s">
        <v>104</v>
      </c>
      <c r="E24" s="29" t="s">
        <v>13</v>
      </c>
      <c r="F24" s="29" t="s">
        <v>83</v>
      </c>
      <c r="G24" s="43">
        <v>142.53</v>
      </c>
      <c r="H24" s="44"/>
      <c r="I24" s="45"/>
      <c r="J24" s="45"/>
      <c r="K24" s="45"/>
      <c r="L24" s="45"/>
      <c r="M24" s="45"/>
      <c r="N24" s="45"/>
      <c r="O24" s="45"/>
      <c r="P24" s="45"/>
      <c r="Q24" s="45"/>
      <c r="R24" s="45"/>
      <c r="S24" s="45"/>
      <c r="T24" s="45"/>
      <c r="U24" s="46">
        <v>8</v>
      </c>
      <c r="V24" s="39">
        <f t="shared" si="3"/>
        <v>8</v>
      </c>
      <c r="W24" s="35">
        <f t="shared" si="0"/>
        <v>1140.24</v>
      </c>
      <c r="X24" s="35">
        <f t="shared" si="1"/>
        <v>1254.2640000000001</v>
      </c>
      <c r="Y24" s="40">
        <f t="shared" si="1"/>
        <v>1379.6904000000002</v>
      </c>
      <c r="Z24" s="37">
        <f t="shared" si="2"/>
        <v>-239.45040000000017</v>
      </c>
      <c r="AA24" s="41"/>
      <c r="AE24" t="s">
        <v>93</v>
      </c>
    </row>
    <row r="25" spans="3:31" ht="15.75" x14ac:dyDescent="0.25">
      <c r="C25" s="29" t="s">
        <v>90</v>
      </c>
      <c r="D25" s="30" t="s">
        <v>109</v>
      </c>
      <c r="E25" s="29" t="s">
        <v>47</v>
      </c>
      <c r="F25" s="29" t="s">
        <v>83</v>
      </c>
      <c r="G25" s="52">
        <v>84.23</v>
      </c>
      <c r="H25" s="44"/>
      <c r="I25" s="45"/>
      <c r="J25" s="45"/>
      <c r="K25" s="45"/>
      <c r="L25" s="45"/>
      <c r="M25" s="45"/>
      <c r="N25" s="45"/>
      <c r="O25" s="45"/>
      <c r="P25" s="45"/>
      <c r="Q25" s="45"/>
      <c r="R25" s="45"/>
      <c r="S25" s="45"/>
      <c r="T25" s="45"/>
      <c r="U25" s="46">
        <v>7.5</v>
      </c>
      <c r="V25" s="39">
        <f t="shared" si="3"/>
        <v>7.5</v>
      </c>
      <c r="W25" s="35">
        <f t="shared" si="0"/>
        <v>631.73</v>
      </c>
      <c r="X25" s="35">
        <f t="shared" si="1"/>
        <v>694.90300000000002</v>
      </c>
      <c r="Y25" s="40">
        <f t="shared" si="1"/>
        <v>764.39330000000007</v>
      </c>
      <c r="Z25" s="37">
        <f t="shared" si="2"/>
        <v>-132.66330000000005</v>
      </c>
      <c r="AA25" s="41"/>
      <c r="AE25" t="s">
        <v>93</v>
      </c>
    </row>
    <row r="26" spans="3:31" ht="15.75" x14ac:dyDescent="0.25">
      <c r="C26" s="29" t="s">
        <v>94</v>
      </c>
      <c r="D26" s="30" t="s">
        <v>107</v>
      </c>
      <c r="E26" s="53" t="s">
        <v>13</v>
      </c>
      <c r="F26" s="53" t="s">
        <v>83</v>
      </c>
      <c r="G26" s="31">
        <v>142.53</v>
      </c>
      <c r="H26" s="54"/>
      <c r="I26" s="32"/>
      <c r="J26" s="32"/>
      <c r="K26" s="32"/>
      <c r="L26" s="32"/>
      <c r="M26" s="32"/>
      <c r="N26" s="32"/>
      <c r="O26" s="32"/>
      <c r="P26" s="32"/>
      <c r="Q26" s="32"/>
      <c r="R26" s="32"/>
      <c r="S26" s="32"/>
      <c r="T26" s="32"/>
      <c r="U26" s="33">
        <v>7.75</v>
      </c>
      <c r="V26" s="39">
        <f t="shared" ref="V26:V28" si="4">SUM(H26:U26)</f>
        <v>7.75</v>
      </c>
      <c r="W26" s="35">
        <f t="shared" si="0"/>
        <v>1104.6099999999999</v>
      </c>
      <c r="X26" s="55"/>
      <c r="Y26" s="56"/>
      <c r="Z26" s="57"/>
      <c r="AA26" s="58"/>
    </row>
    <row r="27" spans="3:31" ht="15.75" x14ac:dyDescent="0.25">
      <c r="C27" s="29"/>
      <c r="D27" s="30"/>
      <c r="E27" s="53"/>
      <c r="F27" s="53"/>
      <c r="G27" s="31"/>
      <c r="H27" s="54"/>
      <c r="I27" s="32"/>
      <c r="J27" s="32"/>
      <c r="K27" s="32"/>
      <c r="L27" s="32"/>
      <c r="M27" s="32"/>
      <c r="N27" s="32"/>
      <c r="O27" s="32"/>
      <c r="P27" s="32"/>
      <c r="Q27" s="32"/>
      <c r="R27" s="32"/>
      <c r="S27" s="32"/>
      <c r="T27" s="32"/>
      <c r="U27" s="33"/>
      <c r="V27" s="39">
        <f t="shared" si="4"/>
        <v>0</v>
      </c>
      <c r="W27" s="35">
        <f t="shared" si="0"/>
        <v>0</v>
      </c>
      <c r="X27" s="55"/>
      <c r="Y27" s="56"/>
      <c r="Z27" s="57"/>
      <c r="AA27" s="58"/>
    </row>
    <row r="28" spans="3:31" ht="15.75" x14ac:dyDescent="0.25">
      <c r="C28" s="29"/>
      <c r="D28" s="30"/>
      <c r="E28" s="53"/>
      <c r="F28" s="53"/>
      <c r="G28" s="31"/>
      <c r="H28" s="54"/>
      <c r="I28" s="32"/>
      <c r="J28" s="32"/>
      <c r="K28" s="32"/>
      <c r="L28" s="32"/>
      <c r="M28" s="32"/>
      <c r="N28" s="32"/>
      <c r="O28" s="32"/>
      <c r="P28" s="32"/>
      <c r="Q28" s="32"/>
      <c r="R28" s="32"/>
      <c r="S28" s="32"/>
      <c r="T28" s="32"/>
      <c r="U28" s="33"/>
      <c r="V28" s="39">
        <f t="shared" si="4"/>
        <v>0</v>
      </c>
      <c r="W28" s="35">
        <f t="shared" si="0"/>
        <v>0</v>
      </c>
      <c r="X28" s="55"/>
      <c r="Y28" s="56"/>
      <c r="Z28" s="57"/>
      <c r="AA28" s="58"/>
    </row>
    <row r="29" spans="3:31" ht="15.75" x14ac:dyDescent="0.25">
      <c r="C29" s="29"/>
      <c r="D29" s="30"/>
      <c r="E29" s="59"/>
      <c r="F29" s="59"/>
      <c r="G29" s="60"/>
      <c r="H29" s="61"/>
      <c r="I29" s="62"/>
      <c r="J29" s="62"/>
      <c r="K29" s="62"/>
      <c r="L29" s="62"/>
      <c r="M29" s="62"/>
      <c r="N29" s="62"/>
      <c r="O29" s="62"/>
      <c r="P29" s="62"/>
      <c r="Q29" s="62"/>
      <c r="R29" s="62"/>
      <c r="S29" s="62"/>
      <c r="T29" s="62"/>
      <c r="U29" s="63"/>
      <c r="V29" s="64">
        <f t="shared" si="3"/>
        <v>0</v>
      </c>
      <c r="W29" s="65">
        <f t="shared" si="0"/>
        <v>0</v>
      </c>
      <c r="X29" s="65">
        <f t="shared" si="1"/>
        <v>0</v>
      </c>
      <c r="Y29" s="66">
        <f t="shared" si="1"/>
        <v>0</v>
      </c>
      <c r="Z29" s="67">
        <f t="shared" si="2"/>
        <v>0</v>
      </c>
      <c r="AA29" s="68"/>
    </row>
    <row r="30" spans="3:31" ht="16.5" thickBot="1" x14ac:dyDescent="0.3">
      <c r="C30" s="69"/>
      <c r="D30" s="70"/>
      <c r="E30" s="69"/>
      <c r="F30" s="69"/>
      <c r="G30" s="71"/>
      <c r="H30" s="72">
        <f t="shared" ref="H30:U30" si="5">SUM(H10:H29)</f>
        <v>0</v>
      </c>
      <c r="I30" s="73">
        <f t="shared" si="5"/>
        <v>0</v>
      </c>
      <c r="J30" s="73">
        <f t="shared" si="5"/>
        <v>15.75</v>
      </c>
      <c r="K30" s="73">
        <f t="shared" si="5"/>
        <v>7.75</v>
      </c>
      <c r="L30" s="73">
        <f t="shared" si="5"/>
        <v>0</v>
      </c>
      <c r="M30" s="73">
        <f t="shared" si="5"/>
        <v>7.5</v>
      </c>
      <c r="N30" s="73">
        <f t="shared" si="5"/>
        <v>0</v>
      </c>
      <c r="O30" s="73">
        <f t="shared" si="5"/>
        <v>7.5</v>
      </c>
      <c r="P30" s="73">
        <f t="shared" si="5"/>
        <v>0</v>
      </c>
      <c r="Q30" s="73">
        <f t="shared" si="5"/>
        <v>15.75</v>
      </c>
      <c r="R30" s="73">
        <f t="shared" si="5"/>
        <v>8</v>
      </c>
      <c r="S30" s="73">
        <f t="shared" si="5"/>
        <v>22.75</v>
      </c>
      <c r="T30" s="73">
        <f t="shared" si="5"/>
        <v>23.25</v>
      </c>
      <c r="U30" s="74">
        <f t="shared" si="5"/>
        <v>23.25</v>
      </c>
      <c r="V30" s="75">
        <f t="shared" ref="V30" si="6">SUM(H30:U30)</f>
        <v>131.5</v>
      </c>
      <c r="W30" s="76">
        <f>SUM(W10:W29)</f>
        <v>11801.58</v>
      </c>
      <c r="X30" s="76">
        <f>SUM(X10:X29)</f>
        <v>11299.299000000005</v>
      </c>
      <c r="Y30" s="76">
        <f>SUM(Y10:Y29)</f>
        <v>16293.8927</v>
      </c>
      <c r="Z30" s="77">
        <f>SUM(Z10:Z29)</f>
        <v>-6021.802700000002</v>
      </c>
    </row>
    <row r="31" spans="3:31" ht="16.5" thickTop="1" x14ac:dyDescent="0.25">
      <c r="C31" s="78"/>
      <c r="D31" s="79"/>
      <c r="E31" s="80"/>
      <c r="F31" s="78"/>
      <c r="G31" s="81"/>
      <c r="H31" s="82">
        <f t="shared" ref="H31:W34" si="7">SUMIFS(H$10:H$29,$E$10:$E$29,$E31)</f>
        <v>0</v>
      </c>
      <c r="I31" s="83">
        <f t="shared" si="7"/>
        <v>0</v>
      </c>
      <c r="J31" s="83">
        <f t="shared" si="7"/>
        <v>0</v>
      </c>
      <c r="K31" s="83">
        <f t="shared" si="7"/>
        <v>0</v>
      </c>
      <c r="L31" s="83">
        <f t="shared" si="7"/>
        <v>0</v>
      </c>
      <c r="M31" s="83">
        <f t="shared" si="7"/>
        <v>0</v>
      </c>
      <c r="N31" s="83">
        <f t="shared" si="7"/>
        <v>0</v>
      </c>
      <c r="O31" s="83">
        <f t="shared" si="7"/>
        <v>0</v>
      </c>
      <c r="P31" s="83">
        <f t="shared" si="7"/>
        <v>0</v>
      </c>
      <c r="Q31" s="83">
        <f t="shared" si="7"/>
        <v>0</v>
      </c>
      <c r="R31" s="83">
        <f t="shared" si="7"/>
        <v>0</v>
      </c>
      <c r="S31" s="83">
        <f t="shared" si="7"/>
        <v>0</v>
      </c>
      <c r="T31" s="83">
        <f t="shared" si="7"/>
        <v>0</v>
      </c>
      <c r="U31" s="84">
        <f t="shared" si="7"/>
        <v>0</v>
      </c>
      <c r="V31" s="85">
        <f t="shared" si="7"/>
        <v>0</v>
      </c>
      <c r="W31" s="86">
        <f t="shared" si="7"/>
        <v>0</v>
      </c>
      <c r="X31" s="86">
        <f t="shared" ref="R31:Z34" si="8">SUMIFS(X$10:X$29,$E$10:$E$29,$E31)</f>
        <v>0</v>
      </c>
      <c r="Y31" s="86">
        <f t="shared" si="8"/>
        <v>0</v>
      </c>
      <c r="Z31" s="87">
        <f t="shared" si="8"/>
        <v>0</v>
      </c>
    </row>
    <row r="32" spans="3:31" ht="15.75" x14ac:dyDescent="0.25">
      <c r="C32" s="88"/>
      <c r="D32" s="89" t="s">
        <v>110</v>
      </c>
      <c r="E32" s="90" t="s">
        <v>97</v>
      </c>
      <c r="F32" s="88"/>
      <c r="G32" s="91" t="e">
        <f t="shared" ref="G32:G34" si="9">W32/V32</f>
        <v>#DIV/0!</v>
      </c>
      <c r="H32" s="92">
        <f t="shared" si="7"/>
        <v>0</v>
      </c>
      <c r="I32" s="93">
        <f t="shared" si="7"/>
        <v>0</v>
      </c>
      <c r="J32" s="93">
        <f t="shared" si="7"/>
        <v>0</v>
      </c>
      <c r="K32" s="93">
        <f t="shared" si="7"/>
        <v>0</v>
      </c>
      <c r="L32" s="93">
        <f t="shared" si="7"/>
        <v>0</v>
      </c>
      <c r="M32" s="93">
        <f t="shared" si="7"/>
        <v>0</v>
      </c>
      <c r="N32" s="93">
        <f t="shared" si="7"/>
        <v>0</v>
      </c>
      <c r="O32" s="93">
        <f t="shared" si="7"/>
        <v>0</v>
      </c>
      <c r="P32" s="93">
        <f t="shared" si="7"/>
        <v>0</v>
      </c>
      <c r="Q32" s="93">
        <f t="shared" si="7"/>
        <v>0</v>
      </c>
      <c r="R32" s="93">
        <f t="shared" si="8"/>
        <v>0</v>
      </c>
      <c r="S32" s="93">
        <f t="shared" si="8"/>
        <v>0</v>
      </c>
      <c r="T32" s="93">
        <f t="shared" si="8"/>
        <v>0</v>
      </c>
      <c r="U32" s="94">
        <f t="shared" si="8"/>
        <v>0</v>
      </c>
      <c r="V32" s="95">
        <f t="shared" si="8"/>
        <v>0</v>
      </c>
      <c r="W32" s="96">
        <f t="shared" si="8"/>
        <v>0</v>
      </c>
      <c r="X32" s="96">
        <f t="shared" si="8"/>
        <v>0</v>
      </c>
      <c r="Y32" s="96">
        <f t="shared" si="8"/>
        <v>0</v>
      </c>
      <c r="Z32" s="97">
        <f t="shared" si="8"/>
        <v>0</v>
      </c>
    </row>
    <row r="33" spans="3:32" ht="15.75" x14ac:dyDescent="0.25">
      <c r="C33" s="88"/>
      <c r="D33" s="89" t="s">
        <v>110</v>
      </c>
      <c r="E33" s="90" t="s">
        <v>47</v>
      </c>
      <c r="F33" s="88"/>
      <c r="G33" s="91">
        <f t="shared" si="9"/>
        <v>64.314528301886796</v>
      </c>
      <c r="H33" s="92">
        <f t="shared" si="7"/>
        <v>0</v>
      </c>
      <c r="I33" s="93">
        <f t="shared" si="7"/>
        <v>0</v>
      </c>
      <c r="J33" s="93">
        <f t="shared" si="7"/>
        <v>8</v>
      </c>
      <c r="K33" s="93">
        <f t="shared" si="7"/>
        <v>0</v>
      </c>
      <c r="L33" s="93">
        <f t="shared" si="7"/>
        <v>0</v>
      </c>
      <c r="M33" s="93">
        <f t="shared" si="7"/>
        <v>7.5</v>
      </c>
      <c r="N33" s="93">
        <f t="shared" si="7"/>
        <v>0</v>
      </c>
      <c r="O33" s="93">
        <f t="shared" si="7"/>
        <v>7.5</v>
      </c>
      <c r="P33" s="93">
        <f t="shared" si="7"/>
        <v>0</v>
      </c>
      <c r="Q33" s="93">
        <f t="shared" si="7"/>
        <v>0</v>
      </c>
      <c r="R33" s="93">
        <f t="shared" si="8"/>
        <v>0</v>
      </c>
      <c r="S33" s="93">
        <f t="shared" si="8"/>
        <v>15</v>
      </c>
      <c r="T33" s="93">
        <f t="shared" si="8"/>
        <v>7.5</v>
      </c>
      <c r="U33" s="94">
        <f t="shared" si="8"/>
        <v>7.5</v>
      </c>
      <c r="V33" s="95">
        <f t="shared" si="8"/>
        <v>53</v>
      </c>
      <c r="W33" s="96">
        <f t="shared" si="8"/>
        <v>3408.67</v>
      </c>
      <c r="X33" s="96">
        <f t="shared" si="8"/>
        <v>3282.1690000000008</v>
      </c>
      <c r="Y33" s="96">
        <f t="shared" si="8"/>
        <v>6317.1619000000001</v>
      </c>
      <c r="Z33" s="97">
        <f t="shared" si="8"/>
        <v>-3333.3719000000006</v>
      </c>
    </row>
    <row r="34" spans="3:32" ht="15.75" x14ac:dyDescent="0.25">
      <c r="C34" s="98"/>
      <c r="D34" s="99" t="s">
        <v>110</v>
      </c>
      <c r="E34" s="100" t="s">
        <v>100</v>
      </c>
      <c r="F34" s="98"/>
      <c r="G34" s="101" t="e">
        <f t="shared" si="9"/>
        <v>#DIV/0!</v>
      </c>
      <c r="H34" s="102">
        <f t="shared" si="7"/>
        <v>0</v>
      </c>
      <c r="I34" s="103">
        <f t="shared" si="7"/>
        <v>0</v>
      </c>
      <c r="J34" s="103">
        <f t="shared" si="7"/>
        <v>0</v>
      </c>
      <c r="K34" s="103">
        <f t="shared" si="7"/>
        <v>0</v>
      </c>
      <c r="L34" s="103">
        <f t="shared" si="7"/>
        <v>0</v>
      </c>
      <c r="M34" s="103">
        <f t="shared" si="7"/>
        <v>0</v>
      </c>
      <c r="N34" s="103">
        <f t="shared" si="7"/>
        <v>0</v>
      </c>
      <c r="O34" s="103">
        <f t="shared" si="7"/>
        <v>0</v>
      </c>
      <c r="P34" s="103">
        <f t="shared" si="7"/>
        <v>0</v>
      </c>
      <c r="Q34" s="103">
        <f t="shared" si="7"/>
        <v>0</v>
      </c>
      <c r="R34" s="103">
        <f t="shared" si="8"/>
        <v>0</v>
      </c>
      <c r="S34" s="103">
        <f t="shared" si="8"/>
        <v>0</v>
      </c>
      <c r="T34" s="103">
        <f t="shared" si="8"/>
        <v>0</v>
      </c>
      <c r="U34" s="104">
        <f t="shared" si="8"/>
        <v>0</v>
      </c>
      <c r="V34" s="105">
        <f t="shared" si="8"/>
        <v>0</v>
      </c>
      <c r="W34" s="106">
        <f t="shared" si="8"/>
        <v>0</v>
      </c>
      <c r="X34" s="106">
        <f t="shared" si="8"/>
        <v>0</v>
      </c>
      <c r="Y34" s="106">
        <f t="shared" si="8"/>
        <v>0</v>
      </c>
      <c r="Z34" s="107">
        <f t="shared" si="8"/>
        <v>0</v>
      </c>
    </row>
    <row r="35" spans="3:32" ht="16.5" thickBot="1" x14ac:dyDescent="0.3">
      <c r="C35" s="108"/>
      <c r="D35" s="109" t="s">
        <v>110</v>
      </c>
      <c r="E35" s="108"/>
      <c r="F35" s="108"/>
      <c r="G35" s="110"/>
      <c r="H35" s="111">
        <f>SUM(H31:H34)</f>
        <v>0</v>
      </c>
      <c r="I35" s="112">
        <f t="shared" ref="I35:Z35" si="10">SUM(I31:I34)</f>
        <v>0</v>
      </c>
      <c r="J35" s="112">
        <f t="shared" si="10"/>
        <v>8</v>
      </c>
      <c r="K35" s="112">
        <f t="shared" si="10"/>
        <v>0</v>
      </c>
      <c r="L35" s="112">
        <f t="shared" si="10"/>
        <v>0</v>
      </c>
      <c r="M35" s="112">
        <f t="shared" si="10"/>
        <v>7.5</v>
      </c>
      <c r="N35" s="112">
        <f t="shared" si="10"/>
        <v>0</v>
      </c>
      <c r="O35" s="112">
        <f t="shared" si="10"/>
        <v>7.5</v>
      </c>
      <c r="P35" s="112">
        <f t="shared" si="10"/>
        <v>0</v>
      </c>
      <c r="Q35" s="112">
        <f t="shared" si="10"/>
        <v>0</v>
      </c>
      <c r="R35" s="112">
        <f t="shared" si="10"/>
        <v>0</v>
      </c>
      <c r="S35" s="112">
        <f t="shared" si="10"/>
        <v>15</v>
      </c>
      <c r="T35" s="112">
        <f t="shared" si="10"/>
        <v>7.5</v>
      </c>
      <c r="U35" s="113">
        <f t="shared" si="10"/>
        <v>7.5</v>
      </c>
      <c r="V35" s="114">
        <f t="shared" si="10"/>
        <v>53</v>
      </c>
      <c r="W35" s="115">
        <f t="shared" si="10"/>
        <v>3408.67</v>
      </c>
      <c r="X35" s="115">
        <f t="shared" si="10"/>
        <v>3282.1690000000008</v>
      </c>
      <c r="Y35" s="115">
        <f t="shared" si="10"/>
        <v>6317.1619000000001</v>
      </c>
      <c r="Z35" s="116">
        <f t="shared" si="10"/>
        <v>-3333.3719000000006</v>
      </c>
      <c r="AA35" s="117"/>
      <c r="AB35" s="117"/>
      <c r="AC35" s="118"/>
      <c r="AD35" s="118"/>
      <c r="AE35" s="118"/>
      <c r="AF35" s="118"/>
    </row>
    <row r="36" spans="3:32" ht="15.75" thickTop="1" x14ac:dyDescent="0.25">
      <c r="C36" s="9"/>
      <c r="D36" s="9"/>
      <c r="E36" s="9"/>
      <c r="F36" s="9"/>
      <c r="G36" s="9"/>
      <c r="H36" s="9"/>
      <c r="I36" s="9"/>
      <c r="J36" s="9"/>
      <c r="K36" s="9"/>
      <c r="L36" s="9"/>
      <c r="M36" s="9"/>
      <c r="N36" s="9"/>
      <c r="O36" s="9"/>
      <c r="P36" s="9"/>
      <c r="Q36" s="9"/>
      <c r="R36" s="9"/>
      <c r="S36" s="9"/>
      <c r="T36" s="9"/>
      <c r="U36" s="9"/>
      <c r="V36" s="9"/>
      <c r="W36" s="9"/>
      <c r="AC36" s="9"/>
      <c r="AD36" s="9"/>
      <c r="AE36" s="9"/>
      <c r="AF36" s="9"/>
    </row>
    <row r="37" spans="3:32" ht="15.75" x14ac:dyDescent="0.25">
      <c r="C37" s="119" t="s">
        <v>111</v>
      </c>
      <c r="D37" s="120" t="s">
        <v>112</v>
      </c>
      <c r="E37" s="121" t="s">
        <v>113</v>
      </c>
      <c r="F37" s="122" t="s">
        <v>114</v>
      </c>
      <c r="G37" s="123"/>
      <c r="H37" s="9"/>
      <c r="I37" s="9"/>
      <c r="J37" s="9"/>
      <c r="K37" s="9"/>
      <c r="L37" s="9"/>
      <c r="M37" s="9"/>
      <c r="N37" s="9"/>
      <c r="O37" s="9"/>
      <c r="P37" s="9"/>
      <c r="Q37" s="9"/>
      <c r="R37" s="9"/>
      <c r="S37" s="9"/>
      <c r="T37" s="9"/>
      <c r="U37" s="9"/>
      <c r="V37" s="9"/>
      <c r="W37" s="9"/>
      <c r="AC37" s="9"/>
      <c r="AD37" s="9"/>
      <c r="AE37" s="9"/>
      <c r="AF37" s="9"/>
    </row>
    <row r="38" spans="3:32" ht="15.75" x14ac:dyDescent="0.25">
      <c r="C38" s="124" t="s">
        <v>115</v>
      </c>
      <c r="D38" s="125"/>
      <c r="E38" s="126"/>
      <c r="F38" s="127"/>
      <c r="G38" s="128"/>
      <c r="H38" s="9"/>
      <c r="I38" s="9"/>
      <c r="J38" s="9"/>
      <c r="K38" s="9"/>
      <c r="L38" s="9"/>
      <c r="M38" s="9"/>
      <c r="N38" s="9"/>
      <c r="O38" s="9"/>
      <c r="P38" s="9"/>
      <c r="Q38" s="9"/>
      <c r="R38" s="9"/>
      <c r="S38" s="9"/>
      <c r="T38" s="9"/>
      <c r="U38" s="9"/>
      <c r="V38" s="9"/>
      <c r="W38" s="9"/>
      <c r="AC38" s="9"/>
      <c r="AD38" s="9"/>
      <c r="AE38" s="9"/>
      <c r="AF38" s="9"/>
    </row>
    <row r="39" spans="3:32" ht="15.75" x14ac:dyDescent="0.25">
      <c r="C39" s="129" t="s">
        <v>116</v>
      </c>
      <c r="D39" s="130"/>
      <c r="E39" s="131" t="s">
        <v>113</v>
      </c>
      <c r="F39" s="9"/>
      <c r="G39" s="132"/>
      <c r="H39" s="9"/>
      <c r="I39" s="9"/>
      <c r="J39" s="9"/>
      <c r="K39" s="9"/>
      <c r="L39" s="9"/>
      <c r="M39" s="9"/>
      <c r="N39" s="9"/>
      <c r="O39" s="9"/>
      <c r="P39" s="9"/>
      <c r="Q39" s="9"/>
      <c r="R39" s="9"/>
      <c r="S39" s="9"/>
      <c r="T39" s="9"/>
      <c r="U39" s="9"/>
      <c r="V39" s="9"/>
      <c r="W39" s="9"/>
      <c r="AC39" s="9"/>
      <c r="AD39" s="9"/>
      <c r="AE39" s="9"/>
      <c r="AF39" s="9"/>
    </row>
    <row r="40" spans="3:32" ht="15.75" x14ac:dyDescent="0.25">
      <c r="C40" s="133" t="s">
        <v>117</v>
      </c>
      <c r="D40" s="9"/>
      <c r="E40" s="9"/>
      <c r="F40" s="9"/>
      <c r="G40" s="132"/>
      <c r="H40" s="9"/>
      <c r="I40" s="9"/>
      <c r="J40" s="9"/>
      <c r="K40" s="9"/>
      <c r="L40" s="9"/>
      <c r="M40" s="9"/>
      <c r="N40" s="9"/>
      <c r="O40" s="9"/>
      <c r="P40" s="9"/>
      <c r="Q40" s="9"/>
      <c r="R40" s="9"/>
      <c r="S40" s="9"/>
      <c r="T40" s="9"/>
      <c r="U40" s="9"/>
      <c r="V40" s="9"/>
      <c r="W40" s="9"/>
      <c r="AC40" s="9"/>
      <c r="AD40" s="9"/>
      <c r="AE40" s="9"/>
      <c r="AF40" s="9"/>
    </row>
    <row r="41" spans="3:32" x14ac:dyDescent="0.25">
      <c r="C41" s="9"/>
      <c r="D41" s="9"/>
      <c r="E41" s="9"/>
      <c r="F41" s="9"/>
      <c r="G41" s="9"/>
      <c r="H41" s="9"/>
      <c r="I41" s="9"/>
      <c r="J41" s="9"/>
      <c r="K41" s="9"/>
      <c r="L41" s="9"/>
      <c r="M41" s="9"/>
      <c r="N41" s="9"/>
      <c r="O41" s="9"/>
      <c r="P41" s="9"/>
      <c r="Q41" s="9"/>
      <c r="R41" s="9"/>
      <c r="S41" s="9"/>
      <c r="T41" s="9"/>
      <c r="U41" s="9"/>
      <c r="V41" s="9"/>
      <c r="W41" s="9"/>
      <c r="AC41" s="9"/>
      <c r="AD41" s="9"/>
      <c r="AE41" s="9"/>
    </row>
    <row r="42" spans="3:32" x14ac:dyDescent="0.25">
      <c r="C42" s="9"/>
      <c r="D42" s="9"/>
      <c r="E42" s="9"/>
      <c r="F42" s="9"/>
      <c r="G42" s="9"/>
      <c r="H42" s="9"/>
      <c r="I42" s="9"/>
      <c r="J42" s="9"/>
      <c r="K42" s="9"/>
      <c r="L42" s="9"/>
      <c r="M42" s="9"/>
      <c r="N42" s="9"/>
      <c r="O42" s="9"/>
      <c r="P42" s="9"/>
      <c r="Q42" s="9"/>
      <c r="R42" s="9"/>
      <c r="S42" s="9"/>
      <c r="T42" s="9"/>
      <c r="U42" s="9"/>
      <c r="V42" s="9"/>
      <c r="W42" s="9"/>
      <c r="AC42" s="9"/>
      <c r="AD42" s="9"/>
      <c r="AE42" s="9"/>
    </row>
    <row r="43" spans="3:32" x14ac:dyDescent="0.25">
      <c r="C43" s="9"/>
      <c r="D43" s="9"/>
      <c r="E43" s="9"/>
      <c r="F43" s="9"/>
      <c r="G43" s="9"/>
      <c r="H43" s="9"/>
      <c r="I43" s="9"/>
      <c r="J43" s="9"/>
      <c r="K43" s="9"/>
      <c r="L43" s="9"/>
      <c r="M43" s="9"/>
      <c r="N43" s="9"/>
      <c r="O43" s="9"/>
      <c r="P43" s="9"/>
      <c r="Q43" s="9"/>
      <c r="R43" s="9"/>
      <c r="S43" s="9"/>
      <c r="T43" s="9"/>
      <c r="U43" s="9"/>
      <c r="V43" s="9"/>
      <c r="W43" s="9"/>
      <c r="AC43" s="9"/>
      <c r="AD43" s="9"/>
      <c r="AE43" s="9"/>
    </row>
    <row r="44" spans="3:32" x14ac:dyDescent="0.25">
      <c r="C44" s="9"/>
      <c r="D44" s="9"/>
      <c r="E44" s="9"/>
      <c r="F44" s="9"/>
      <c r="G44" s="9"/>
      <c r="H44" s="9"/>
      <c r="I44" s="9"/>
      <c r="J44" s="9"/>
      <c r="K44" s="9"/>
      <c r="L44" s="9"/>
      <c r="M44" s="9"/>
      <c r="N44" s="9"/>
      <c r="O44" s="9"/>
      <c r="P44" s="9"/>
      <c r="Q44" s="9"/>
      <c r="R44" s="9"/>
      <c r="S44" s="9"/>
      <c r="T44" s="9"/>
      <c r="U44" s="9"/>
      <c r="V44" s="9"/>
      <c r="W44" s="9"/>
      <c r="AC44" s="9"/>
      <c r="AD44" s="9"/>
      <c r="AE44" s="9"/>
    </row>
    <row r="45" spans="3:32" x14ac:dyDescent="0.25">
      <c r="C45" s="9"/>
      <c r="D45" s="9"/>
      <c r="E45" s="9"/>
      <c r="F45" s="9"/>
      <c r="G45" s="9"/>
      <c r="H45" s="9"/>
      <c r="I45" s="9"/>
      <c r="J45" s="9"/>
      <c r="K45" s="9"/>
      <c r="L45" s="9"/>
      <c r="M45" s="9"/>
      <c r="N45" s="9"/>
      <c r="O45" s="9"/>
      <c r="P45" s="9"/>
      <c r="Q45" s="9"/>
      <c r="R45" s="9"/>
      <c r="S45" s="9"/>
      <c r="T45" s="9"/>
      <c r="U45" s="9"/>
      <c r="V45" s="9"/>
      <c r="W45" s="9"/>
      <c r="AC45" s="9"/>
      <c r="AD45" s="9"/>
      <c r="AE45" s="9"/>
    </row>
    <row r="46" spans="3:32" x14ac:dyDescent="0.25">
      <c r="C46" s="9"/>
      <c r="D46" s="9"/>
      <c r="E46" s="9"/>
      <c r="F46" s="9"/>
      <c r="G46" s="9"/>
      <c r="H46" s="9"/>
      <c r="I46" s="9"/>
      <c r="J46" s="9"/>
      <c r="K46" s="9"/>
      <c r="L46" s="9"/>
      <c r="M46" s="9"/>
      <c r="N46" s="9"/>
      <c r="O46" s="9"/>
      <c r="P46" s="9"/>
      <c r="Q46" s="9"/>
      <c r="R46" s="9"/>
      <c r="S46" s="9"/>
      <c r="T46" s="9"/>
      <c r="U46" s="9"/>
      <c r="V46" s="9"/>
      <c r="W46" s="9"/>
      <c r="AC46" s="9"/>
      <c r="AD46" s="9"/>
      <c r="AE46" s="9"/>
    </row>
    <row r="47" spans="3:32" x14ac:dyDescent="0.25">
      <c r="C47" s="9"/>
      <c r="D47" s="9"/>
      <c r="E47" s="9"/>
      <c r="F47" s="9"/>
      <c r="G47" s="9"/>
      <c r="H47" s="9"/>
      <c r="I47" s="9"/>
      <c r="J47" s="9"/>
      <c r="K47" s="9"/>
      <c r="L47" s="9"/>
      <c r="M47" s="9"/>
      <c r="N47" s="9"/>
      <c r="O47" s="9"/>
      <c r="P47" s="9"/>
      <c r="Q47" s="9"/>
      <c r="R47" s="9"/>
      <c r="S47" s="9"/>
      <c r="T47" s="9"/>
      <c r="U47" s="9"/>
      <c r="V47" s="9"/>
      <c r="W47" s="9"/>
      <c r="AC47" s="9"/>
      <c r="AD47" s="9"/>
      <c r="AE47" s="9"/>
    </row>
    <row r="48" spans="3:32" x14ac:dyDescent="0.25">
      <c r="C48" s="9"/>
      <c r="D48" s="9"/>
      <c r="E48" s="9"/>
      <c r="F48" s="9"/>
      <c r="G48" s="9"/>
      <c r="H48" s="9"/>
      <c r="I48" s="9"/>
      <c r="J48" s="9"/>
      <c r="K48" s="9"/>
      <c r="L48" s="9"/>
      <c r="M48" s="9"/>
      <c r="N48" s="9"/>
      <c r="O48" s="9"/>
      <c r="P48" s="9"/>
      <c r="Q48" s="9"/>
      <c r="R48" s="9"/>
      <c r="S48" s="9"/>
      <c r="T48" s="9"/>
      <c r="U48" s="9"/>
      <c r="V48" s="9"/>
      <c r="W48" s="9"/>
      <c r="AC48" s="9"/>
      <c r="AD48" s="9"/>
      <c r="AE48" s="9"/>
    </row>
    <row r="49" spans="3:31" x14ac:dyDescent="0.25">
      <c r="C49" s="9"/>
      <c r="D49" s="9"/>
      <c r="E49" s="9"/>
      <c r="F49" s="9"/>
      <c r="G49" s="9"/>
      <c r="H49" s="9"/>
      <c r="I49" s="9"/>
      <c r="J49" s="9"/>
      <c r="K49" s="9"/>
      <c r="L49" s="9"/>
      <c r="M49" s="9"/>
      <c r="N49" s="9"/>
      <c r="O49" s="9"/>
      <c r="P49" s="9"/>
      <c r="Q49" s="9"/>
      <c r="R49" s="9"/>
      <c r="S49" s="9"/>
      <c r="T49" s="9"/>
      <c r="U49" s="9"/>
      <c r="V49" s="9"/>
      <c r="W49" s="9"/>
      <c r="AC49" s="9"/>
      <c r="AD49" s="9"/>
      <c r="AE49" s="9"/>
    </row>
    <row r="50" spans="3:31" x14ac:dyDescent="0.25">
      <c r="C50" s="9"/>
      <c r="D50" s="9"/>
      <c r="E50" s="9"/>
      <c r="F50" s="9"/>
      <c r="G50" s="9"/>
      <c r="H50" s="9"/>
      <c r="I50" s="9"/>
      <c r="J50" s="9"/>
      <c r="K50" s="9"/>
      <c r="L50" s="9"/>
      <c r="M50" s="9"/>
      <c r="N50" s="9"/>
      <c r="O50" s="9"/>
      <c r="P50" s="9"/>
      <c r="Q50" s="9"/>
      <c r="R50" s="9"/>
      <c r="S50" s="9"/>
      <c r="T50" s="9"/>
      <c r="U50" s="9"/>
      <c r="V50" s="9"/>
      <c r="W50" s="9"/>
      <c r="AC50" s="9"/>
      <c r="AD50" s="9"/>
      <c r="AE50" s="9"/>
    </row>
    <row r="51" spans="3:31" x14ac:dyDescent="0.25">
      <c r="C51" s="9"/>
      <c r="D51" s="9"/>
      <c r="E51" s="9"/>
      <c r="F51" s="9"/>
      <c r="G51" s="9"/>
      <c r="H51" s="9"/>
      <c r="I51" s="9"/>
      <c r="J51" s="9"/>
      <c r="K51" s="9"/>
      <c r="L51" s="9"/>
      <c r="M51" s="9"/>
      <c r="N51" s="9"/>
      <c r="O51" s="9"/>
      <c r="P51" s="9"/>
      <c r="Q51" s="9"/>
      <c r="R51" s="9"/>
      <c r="S51" s="9"/>
      <c r="T51" s="9"/>
      <c r="U51" s="9"/>
      <c r="V51" s="9"/>
      <c r="W51" s="9"/>
      <c r="AC51" s="9"/>
      <c r="AD51" s="9"/>
      <c r="AE51" s="9"/>
    </row>
    <row r="52" spans="3:31" x14ac:dyDescent="0.25">
      <c r="C52" s="9"/>
      <c r="D52" s="9"/>
      <c r="E52" s="9"/>
      <c r="F52" s="9"/>
      <c r="G52" s="9"/>
      <c r="H52" s="9"/>
      <c r="I52" s="9"/>
      <c r="J52" s="9"/>
      <c r="K52" s="9"/>
      <c r="L52" s="9"/>
      <c r="M52" s="9"/>
      <c r="N52" s="9"/>
      <c r="O52" s="9"/>
      <c r="P52" s="9"/>
      <c r="Q52" s="9"/>
      <c r="R52" s="9"/>
      <c r="S52" s="9"/>
      <c r="T52" s="9"/>
      <c r="U52" s="9"/>
      <c r="V52" s="9"/>
      <c r="W52" s="9"/>
      <c r="AC52" s="9"/>
      <c r="AD52" s="9"/>
      <c r="AE52" s="9"/>
    </row>
    <row r="53" spans="3:31" x14ac:dyDescent="0.25">
      <c r="C53" s="9"/>
      <c r="D53" s="9"/>
      <c r="E53" s="9"/>
      <c r="F53" s="9"/>
      <c r="G53" s="9"/>
      <c r="H53" s="9"/>
      <c r="I53" s="9"/>
      <c r="J53" s="9"/>
      <c r="K53" s="9"/>
      <c r="L53" s="9"/>
      <c r="M53" s="9"/>
      <c r="N53" s="9"/>
      <c r="O53" s="9"/>
      <c r="P53" s="9"/>
      <c r="Q53" s="9"/>
      <c r="R53" s="9"/>
      <c r="S53" s="9"/>
      <c r="T53" s="9"/>
      <c r="U53" s="9"/>
      <c r="V53" s="9"/>
      <c r="W53" s="9"/>
      <c r="AC53" s="9"/>
      <c r="AD53" s="9"/>
      <c r="AE53" s="9"/>
    </row>
    <row r="54" spans="3:31" x14ac:dyDescent="0.25">
      <c r="C54" s="9"/>
      <c r="D54" s="9"/>
      <c r="E54" s="9"/>
      <c r="F54" s="9"/>
      <c r="G54" s="9"/>
      <c r="H54" s="9"/>
      <c r="I54" s="9"/>
      <c r="J54" s="9"/>
      <c r="K54" s="9"/>
      <c r="L54" s="9"/>
      <c r="M54" s="9"/>
      <c r="N54" s="9"/>
      <c r="O54" s="9"/>
      <c r="P54" s="9"/>
      <c r="Q54" s="9"/>
      <c r="R54" s="9"/>
      <c r="S54" s="9"/>
      <c r="T54" s="9"/>
      <c r="U54" s="9"/>
      <c r="V54" s="9"/>
      <c r="W54" s="9"/>
      <c r="AC54" s="9"/>
      <c r="AD54" s="9"/>
      <c r="AE54" s="9"/>
    </row>
    <row r="55" spans="3:31" x14ac:dyDescent="0.25">
      <c r="C55" s="9"/>
      <c r="D55" s="9"/>
      <c r="E55" s="9"/>
      <c r="F55" s="9"/>
      <c r="G55" s="9"/>
      <c r="H55" s="9"/>
      <c r="I55" s="9"/>
      <c r="J55" s="9"/>
      <c r="K55" s="9"/>
      <c r="L55" s="9"/>
      <c r="M55" s="9"/>
      <c r="N55" s="9"/>
      <c r="O55" s="9"/>
      <c r="P55" s="9"/>
      <c r="Q55" s="9"/>
      <c r="R55" s="9"/>
      <c r="S55" s="9"/>
      <c r="T55" s="9"/>
      <c r="U55" s="9"/>
      <c r="V55" s="9"/>
      <c r="W55" s="9"/>
      <c r="AC55" s="9"/>
      <c r="AD55" s="9"/>
      <c r="AE55" s="9"/>
    </row>
    <row r="56" spans="3:31" x14ac:dyDescent="0.25">
      <c r="C56" s="9"/>
      <c r="D56" s="9"/>
      <c r="E56" s="9"/>
      <c r="F56" s="9"/>
      <c r="G56" s="9"/>
      <c r="H56" s="9"/>
      <c r="I56" s="9"/>
      <c r="J56" s="9"/>
      <c r="K56" s="9"/>
      <c r="L56" s="9"/>
      <c r="M56" s="9"/>
      <c r="N56" s="9"/>
      <c r="O56" s="9"/>
      <c r="P56" s="9"/>
      <c r="Q56" s="9"/>
      <c r="R56" s="9"/>
      <c r="S56" s="9"/>
      <c r="T56" s="9"/>
      <c r="U56" s="9"/>
      <c r="V56" s="9"/>
      <c r="W56" s="9"/>
      <c r="AC56" s="9"/>
      <c r="AD56" s="9"/>
      <c r="AE56" s="9"/>
    </row>
    <row r="57" spans="3:31" x14ac:dyDescent="0.25">
      <c r="C57" s="9"/>
      <c r="D57" s="9"/>
      <c r="E57" s="9"/>
      <c r="F57" s="9"/>
      <c r="G57" s="9"/>
      <c r="H57" s="9"/>
      <c r="I57" s="9"/>
      <c r="J57" s="9"/>
      <c r="K57" s="9"/>
      <c r="L57" s="9"/>
      <c r="M57" s="9"/>
      <c r="N57" s="9"/>
      <c r="O57" s="9"/>
      <c r="P57" s="9"/>
      <c r="Q57" s="9"/>
      <c r="R57" s="9"/>
      <c r="S57" s="9"/>
      <c r="T57" s="9"/>
      <c r="U57" s="9"/>
      <c r="V57" s="9"/>
      <c r="W57" s="9"/>
      <c r="AC57" s="9"/>
      <c r="AD57" s="9"/>
      <c r="AE57" s="9"/>
    </row>
    <row r="58" spans="3:31" x14ac:dyDescent="0.25">
      <c r="C58" s="9"/>
      <c r="D58" s="9"/>
      <c r="E58" s="9"/>
      <c r="F58" s="9"/>
      <c r="G58" s="9"/>
      <c r="H58" s="9"/>
      <c r="I58" s="9"/>
      <c r="J58" s="9"/>
      <c r="K58" s="9"/>
      <c r="L58" s="9"/>
      <c r="M58" s="9"/>
      <c r="N58" s="9"/>
      <c r="O58" s="9"/>
      <c r="P58" s="9"/>
      <c r="Q58" s="9"/>
      <c r="R58" s="9"/>
      <c r="S58" s="9"/>
      <c r="T58" s="9"/>
      <c r="U58" s="9"/>
      <c r="V58" s="9"/>
      <c r="W58" s="9"/>
      <c r="AC58" s="9"/>
      <c r="AD58" s="9"/>
      <c r="AE58" s="9"/>
    </row>
    <row r="59" spans="3:31" x14ac:dyDescent="0.25">
      <c r="C59" s="9"/>
      <c r="D59" s="9"/>
      <c r="E59" s="9"/>
      <c r="F59" s="9"/>
      <c r="G59" s="9"/>
      <c r="H59" s="9"/>
      <c r="I59" s="9"/>
      <c r="J59" s="9"/>
      <c r="K59" s="9"/>
      <c r="L59" s="9"/>
      <c r="M59" s="9"/>
      <c r="N59" s="9"/>
      <c r="O59" s="9"/>
      <c r="P59" s="9"/>
      <c r="Q59" s="9"/>
      <c r="R59" s="9"/>
      <c r="S59" s="9"/>
      <c r="T59" s="9"/>
      <c r="U59" s="9"/>
      <c r="V59" s="9"/>
      <c r="W59" s="9"/>
      <c r="AC59" s="9"/>
      <c r="AD59" s="9"/>
      <c r="AE59" s="9"/>
    </row>
    <row r="60" spans="3:31" x14ac:dyDescent="0.25">
      <c r="C60" s="9"/>
      <c r="D60" s="9"/>
      <c r="E60" s="9"/>
      <c r="F60" s="9"/>
      <c r="G60" s="9"/>
      <c r="H60" s="9"/>
      <c r="I60" s="9"/>
      <c r="J60" s="9"/>
      <c r="K60" s="9"/>
      <c r="L60" s="9"/>
      <c r="M60" s="9"/>
      <c r="N60" s="9"/>
      <c r="O60" s="9"/>
      <c r="P60" s="9"/>
      <c r="Q60" s="9"/>
      <c r="R60" s="9"/>
      <c r="S60" s="9"/>
      <c r="T60" s="9"/>
      <c r="U60" s="9"/>
      <c r="V60" s="9"/>
      <c r="W60" s="9"/>
      <c r="AC60" s="9"/>
      <c r="AD60" s="9"/>
      <c r="AE60" s="9"/>
    </row>
    <row r="61" spans="3:31" x14ac:dyDescent="0.25">
      <c r="C61" s="9"/>
      <c r="D61" s="9"/>
      <c r="E61" s="9"/>
      <c r="F61" s="9"/>
      <c r="G61" s="9"/>
      <c r="H61" s="9"/>
      <c r="I61" s="9"/>
      <c r="J61" s="9"/>
      <c r="K61" s="9"/>
      <c r="L61" s="9"/>
      <c r="M61" s="9"/>
      <c r="N61" s="9"/>
      <c r="O61" s="9"/>
      <c r="P61" s="9"/>
      <c r="Q61" s="9"/>
      <c r="R61" s="9"/>
      <c r="S61" s="9"/>
      <c r="T61" s="9"/>
      <c r="U61" s="9"/>
      <c r="V61" s="9"/>
      <c r="W61" s="9"/>
      <c r="AC61" s="9"/>
      <c r="AD61" s="9"/>
      <c r="AE61" s="9"/>
    </row>
    <row r="62" spans="3:31" x14ac:dyDescent="0.25">
      <c r="C62" s="9"/>
      <c r="D62" s="9"/>
      <c r="E62" s="9"/>
      <c r="F62" s="9"/>
      <c r="G62" s="9"/>
      <c r="H62" s="9"/>
      <c r="I62" s="9"/>
      <c r="J62" s="9"/>
      <c r="K62" s="9"/>
      <c r="L62" s="9"/>
      <c r="M62" s="9"/>
      <c r="N62" s="9"/>
      <c r="O62" s="9"/>
      <c r="P62" s="9"/>
      <c r="Q62" s="9"/>
      <c r="R62" s="9"/>
      <c r="S62" s="9"/>
      <c r="T62" s="9"/>
      <c r="U62" s="9"/>
      <c r="V62" s="9"/>
      <c r="W62" s="9"/>
      <c r="AC62" s="9"/>
      <c r="AD62" s="9"/>
      <c r="AE62" s="9"/>
    </row>
    <row r="63" spans="3:31" x14ac:dyDescent="0.25">
      <c r="C63" s="9"/>
      <c r="D63" s="9"/>
      <c r="E63" s="9"/>
      <c r="F63" s="9"/>
      <c r="G63" s="9"/>
      <c r="H63" s="9"/>
      <c r="I63" s="9"/>
      <c r="J63" s="9"/>
      <c r="K63" s="9"/>
      <c r="L63" s="9"/>
      <c r="M63" s="9"/>
      <c r="N63" s="9"/>
      <c r="O63" s="9"/>
      <c r="P63" s="9"/>
      <c r="Q63" s="9"/>
      <c r="R63" s="9"/>
      <c r="S63" s="9"/>
      <c r="T63" s="9"/>
      <c r="U63" s="9"/>
      <c r="V63" s="9"/>
      <c r="W63" s="9"/>
      <c r="AC63" s="9"/>
      <c r="AD63" s="9"/>
      <c r="AE63" s="9"/>
    </row>
    <row r="64" spans="3:31" x14ac:dyDescent="0.25">
      <c r="C64" s="9"/>
      <c r="D64" s="9"/>
      <c r="E64" s="9"/>
      <c r="F64" s="9"/>
      <c r="G64" s="9"/>
      <c r="H64" s="9"/>
      <c r="I64" s="9"/>
      <c r="J64" s="9"/>
      <c r="K64" s="9"/>
      <c r="L64" s="9"/>
      <c r="M64" s="9"/>
      <c r="N64" s="9"/>
      <c r="O64" s="9"/>
      <c r="P64" s="9"/>
      <c r="Q64" s="9"/>
      <c r="R64" s="9"/>
      <c r="S64" s="9"/>
      <c r="T64" s="9"/>
      <c r="U64" s="9"/>
      <c r="V64" s="9"/>
      <c r="W64" s="9"/>
      <c r="AC64" s="9"/>
      <c r="AD64" s="9"/>
      <c r="AE64" s="9"/>
    </row>
    <row r="65" spans="3:31" x14ac:dyDescent="0.25">
      <c r="C65" s="9"/>
      <c r="D65" s="9"/>
      <c r="E65" s="9"/>
      <c r="F65" s="9"/>
      <c r="G65" s="9"/>
      <c r="H65" s="9"/>
      <c r="I65" s="9"/>
      <c r="J65" s="9"/>
      <c r="K65" s="9"/>
      <c r="L65" s="9"/>
      <c r="M65" s="9"/>
      <c r="N65" s="9"/>
      <c r="O65" s="9"/>
      <c r="P65" s="9"/>
      <c r="Q65" s="9"/>
      <c r="R65" s="9"/>
      <c r="S65" s="9"/>
      <c r="T65" s="9"/>
      <c r="U65" s="9"/>
      <c r="V65" s="9"/>
      <c r="W65" s="9"/>
      <c r="AC65" s="9"/>
      <c r="AD65" s="9"/>
      <c r="AE65" s="9"/>
    </row>
    <row r="66" spans="3:31" x14ac:dyDescent="0.25">
      <c r="C66" s="9"/>
      <c r="D66" s="9"/>
      <c r="E66" s="9"/>
      <c r="F66" s="9"/>
      <c r="G66" s="9"/>
      <c r="H66" s="9"/>
      <c r="I66" s="9"/>
      <c r="J66" s="9"/>
      <c r="K66" s="9"/>
      <c r="L66" s="9"/>
      <c r="M66" s="9"/>
      <c r="N66" s="9"/>
      <c r="O66" s="9"/>
      <c r="P66" s="9"/>
      <c r="Q66" s="9"/>
      <c r="R66" s="9"/>
      <c r="S66" s="9"/>
      <c r="T66" s="9"/>
      <c r="U66" s="9"/>
      <c r="V66" s="9"/>
      <c r="W66" s="9"/>
      <c r="AC66" s="9"/>
      <c r="AD66" s="9"/>
      <c r="AE66" s="9"/>
    </row>
    <row r="67" spans="3:31" x14ac:dyDescent="0.25">
      <c r="C67" s="9"/>
      <c r="D67" s="9"/>
      <c r="E67" s="9"/>
      <c r="F67" s="9"/>
      <c r="G67" s="9"/>
      <c r="H67" s="9"/>
      <c r="I67" s="9"/>
      <c r="J67" s="9"/>
      <c r="K67" s="9"/>
      <c r="L67" s="9"/>
      <c r="M67" s="9"/>
      <c r="N67" s="9"/>
      <c r="O67" s="9"/>
      <c r="P67" s="9"/>
      <c r="Q67" s="9"/>
      <c r="R67" s="9"/>
      <c r="S67" s="9"/>
      <c r="T67" s="9"/>
      <c r="U67" s="9"/>
      <c r="V67" s="9"/>
      <c r="W67" s="9"/>
      <c r="AC67" s="9"/>
      <c r="AD67" s="9"/>
      <c r="AE67" s="9"/>
    </row>
    <row r="68" spans="3:31" x14ac:dyDescent="0.25">
      <c r="C68" s="9"/>
      <c r="D68" s="9"/>
      <c r="E68" s="9"/>
      <c r="F68" s="9"/>
      <c r="G68" s="9"/>
      <c r="H68" s="9"/>
      <c r="I68" s="9"/>
      <c r="J68" s="9"/>
      <c r="K68" s="9"/>
      <c r="L68" s="9"/>
      <c r="M68" s="9"/>
      <c r="N68" s="9"/>
      <c r="O68" s="9"/>
      <c r="P68" s="9"/>
      <c r="Q68" s="9"/>
      <c r="R68" s="9"/>
      <c r="S68" s="9"/>
      <c r="T68" s="9"/>
      <c r="U68" s="9"/>
      <c r="V68" s="9"/>
      <c r="W68" s="9"/>
      <c r="AC68" s="9"/>
      <c r="AD68" s="9"/>
      <c r="AE68" s="9"/>
    </row>
    <row r="69" spans="3:31" x14ac:dyDescent="0.25">
      <c r="C69" s="9"/>
      <c r="D69" s="9"/>
      <c r="E69" s="9"/>
      <c r="F69" s="9"/>
      <c r="G69" s="9"/>
      <c r="H69" s="9"/>
      <c r="I69" s="9"/>
      <c r="J69" s="9"/>
      <c r="K69" s="9"/>
      <c r="L69" s="9"/>
      <c r="M69" s="9"/>
      <c r="N69" s="9"/>
      <c r="O69" s="9"/>
      <c r="P69" s="9"/>
      <c r="Q69" s="9"/>
      <c r="R69" s="9"/>
      <c r="S69" s="9"/>
      <c r="T69" s="9"/>
      <c r="U69" s="9"/>
      <c r="V69" s="9"/>
      <c r="W69" s="9"/>
      <c r="AC69" s="9"/>
      <c r="AD69" s="9"/>
      <c r="AE69" s="9"/>
    </row>
    <row r="70" spans="3:31" x14ac:dyDescent="0.25">
      <c r="C70" s="9"/>
      <c r="D70" s="9"/>
      <c r="E70" s="9"/>
      <c r="F70" s="9"/>
      <c r="G70" s="9"/>
      <c r="H70" s="9"/>
      <c r="I70" s="9"/>
      <c r="J70" s="9"/>
      <c r="K70" s="9"/>
      <c r="L70" s="9"/>
      <c r="M70" s="9"/>
      <c r="N70" s="9"/>
      <c r="O70" s="9"/>
      <c r="P70" s="9"/>
      <c r="Q70" s="9"/>
      <c r="R70" s="9"/>
      <c r="S70" s="9"/>
      <c r="T70" s="9"/>
      <c r="U70" s="9"/>
      <c r="V70" s="9"/>
      <c r="W70" s="9"/>
      <c r="AC70" s="9"/>
      <c r="AD70" s="9"/>
      <c r="AE70" s="9"/>
    </row>
    <row r="71" spans="3:31" x14ac:dyDescent="0.25">
      <c r="C71" s="9"/>
      <c r="D71" s="9"/>
      <c r="E71" s="9"/>
      <c r="F71" s="9"/>
      <c r="G71" s="9"/>
      <c r="H71" s="9"/>
      <c r="I71" s="9"/>
      <c r="J71" s="9"/>
      <c r="K71" s="9"/>
      <c r="L71" s="9"/>
      <c r="M71" s="9"/>
      <c r="N71" s="9"/>
      <c r="O71" s="9"/>
      <c r="P71" s="9"/>
      <c r="Q71" s="9"/>
      <c r="R71" s="9"/>
      <c r="S71" s="9"/>
      <c r="T71" s="9"/>
      <c r="U71" s="9"/>
      <c r="V71" s="9"/>
      <c r="W71" s="9"/>
      <c r="AC71" s="9"/>
      <c r="AD71" s="9"/>
      <c r="AE71" s="9"/>
    </row>
  </sheetData>
  <mergeCells count="1">
    <mergeCell ref="C4:U4"/>
  </mergeCells>
  <dataValidations count="3">
    <dataValidation type="list" allowBlank="1" showInputMessage="1" showErrorMessage="1" sqref="E10:E35" xr:uid="{E69867B2-50EB-443F-ABF7-72F4B25FF5D3}">
      <formula1>$AD$10:$AD$13</formula1>
    </dataValidation>
    <dataValidation type="list" allowBlank="1" showInputMessage="1" showErrorMessage="1" sqref="F10:F35" xr:uid="{87FECA7C-7D76-4B66-B482-9EECF02B5133}">
      <formula1>$AC$10:$AC$15</formula1>
    </dataValidation>
    <dataValidation type="list" allowBlank="1" showInputMessage="1" showErrorMessage="1" sqref="Z8" xr:uid="{1B1CE6EE-98E0-4503-8A9E-75F240485656}">
      <formula1>"Variance to GST Excl. Inv,Variance to GST Incl. Inv"</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be0b85a-8471-4f10-b038-505fde09e598" xsi:nil="true"/>
    <lcf76f155ced4ddcb4097134ff3c332f xmlns="f82d1b6b-c0e6-44b0-99a2-d357b2d5089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BBE42521EE0684FB91080D193FD289B" ma:contentTypeVersion="12" ma:contentTypeDescription="Create a new document." ma:contentTypeScope="" ma:versionID="47cccb59cbe8c704ee7bf746635a25e0">
  <xsd:schema xmlns:xsd="http://www.w3.org/2001/XMLSchema" xmlns:xs="http://www.w3.org/2001/XMLSchema" xmlns:p="http://schemas.microsoft.com/office/2006/metadata/properties" xmlns:ns2="f82d1b6b-c0e6-44b0-99a2-d357b2d50896" xmlns:ns3="3be0b85a-8471-4f10-b038-505fde09e598" targetNamespace="http://schemas.microsoft.com/office/2006/metadata/properties" ma:root="true" ma:fieldsID="5bc806a59855b1e4bcc59406b6445b2a" ns2:_="" ns3:_="">
    <xsd:import namespace="f82d1b6b-c0e6-44b0-99a2-d357b2d50896"/>
    <xsd:import namespace="3be0b85a-8471-4f10-b038-505fde09e59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82d1b6b-c0e6-44b0-99a2-d357b2d508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e0b85a-8471-4f10-b038-505fde09e598"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9f462d04-e98a-404c-8b3f-11055a86a13c}" ma:internalName="TaxCatchAll" ma:showField="CatchAllData" ma:web="3be0b85a-8471-4f10-b038-505fde09e59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FD1A020-9F24-443A-B62B-7DCC75682929}">
  <ds:schemaRefs>
    <ds:schemaRef ds:uri="http://schemas.microsoft.com/sharepoint/v3/contenttype/forms"/>
  </ds:schemaRefs>
</ds:datastoreItem>
</file>

<file path=customXml/itemProps2.xml><?xml version="1.0" encoding="utf-8"?>
<ds:datastoreItem xmlns:ds="http://schemas.openxmlformats.org/officeDocument/2006/customXml" ds:itemID="{A47E6FDA-CE96-45DC-8DF8-10A01794B5D5}">
  <ds:schemaRefs>
    <ds:schemaRef ds:uri="http://schemas.openxmlformats.org/package/2006/metadata/core-properties"/>
    <ds:schemaRef ds:uri="http://purl.org/dc/elements/1.1/"/>
    <ds:schemaRef ds:uri="http://www.w3.org/XML/1998/namespace"/>
    <ds:schemaRef ds:uri="cb0fa578-f870-47d6-b0d9-5a423e2a9cfb"/>
    <ds:schemaRef ds:uri="http://schemas.microsoft.com/office/2006/documentManagement/types"/>
    <ds:schemaRef ds:uri="http://purl.org/dc/terms/"/>
    <ds:schemaRef ds:uri="http://schemas.microsoft.com/office/2006/metadata/properties"/>
    <ds:schemaRef ds:uri="http://purl.org/dc/dcmitype/"/>
    <ds:schemaRef ds:uri="b568fc2f-4d2a-4f1a-a92d-be6ea9d479bf"/>
    <ds:schemaRef ds:uri="http://schemas.microsoft.com/office/infopath/2007/PartnerControls"/>
    <ds:schemaRef ds:uri="a6ef9c2c-1ad1-4c09-9d1c-8c71a768c11f"/>
    <ds:schemaRef ds:uri="f574b478-68e4-495d-9b17-0f93d51a8ef7"/>
    <ds:schemaRef ds:uri="3be0b85a-8471-4f10-b038-505fde09e598"/>
    <ds:schemaRef ds:uri="f82d1b6b-c0e6-44b0-99a2-d357b2d50896"/>
  </ds:schemaRefs>
</ds:datastoreItem>
</file>

<file path=customXml/itemProps3.xml><?xml version="1.0" encoding="utf-8"?>
<ds:datastoreItem xmlns:ds="http://schemas.openxmlformats.org/officeDocument/2006/customXml" ds:itemID="{FBB114AD-B8C5-41C1-B9DF-2A3F938424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82d1b6b-c0e6-44b0-99a2-d357b2d50896"/>
    <ds:schemaRef ds:uri="3be0b85a-8471-4f10-b038-505fde09e59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BE49EB0-7765-42B8-91E0-F7F791B557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Unit1Path</vt:lpstr>
      <vt:lpstr>Rates</vt:lpstr>
      <vt:lpstr>EffortOutcomesAG1_1DayShiftAB</vt:lpstr>
      <vt:lpstr>CostAG1_1DayShiftAB</vt:lpstr>
      <vt:lpstr>CostPerDay</vt:lpstr>
      <vt:lpstr>TargetRatebyDate</vt:lpstr>
      <vt:lpstr>SavingFacilityDay</vt:lpstr>
      <vt:lpstr>Saving</vt:lpstr>
      <vt:lpstr>Summary</vt:lpstr>
      <vt:lpstr>Benhome Actuals Last fn</vt:lpstr>
      <vt:lpstr>Unit1Path!Client</vt:lpstr>
      <vt:lpstr>FilePathUrl</vt:lpstr>
      <vt:lpstr>Unit1Path!Role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 James</cp:lastModifiedBy>
  <dcterms:created xsi:type="dcterms:W3CDTF">2023-01-08T20:26:19Z</dcterms:created>
  <dcterms:modified xsi:type="dcterms:W3CDTF">2026-09-17T23:45:05Z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0x0101008BBE42521EE0684FB91080D193FD289B</vt:lpwstr>
  </property>
  <property fmtid="{D5CDD505-2E9C-101B-9397-08002B2CF9AE}" pid="3" name="MediaServiceImageTags">
    <vt:lpwstr/>
  </property>
</Properties>
</file>