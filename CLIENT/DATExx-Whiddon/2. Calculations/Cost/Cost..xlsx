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drawings/drawing1.xml" ContentType="application/vnd.openxmlformats-officedocument.drawing+xml"/>
  <Override PartName="/xl/tables/table10.xml" ContentType="application/vnd.openxmlformats-officedocument.spreadsheetml.table+xml"/>
  <Override PartName="/xl/queryTables/queryTable8.xml" ContentType="application/vnd.openxmlformats-officedocument.spreadsheetml.query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Alex\CentriNOTSYNC\ResidentialCare\CLIENT\DATExx-Whiddon\2. Calculations\Cost\"/>
    </mc:Choice>
  </mc:AlternateContent>
  <xr:revisionPtr revIDLastSave="0" documentId="13_ncr:1_{85BDBA9A-B851-46F6-8214-5EBAD60C8577}" xr6:coauthVersionLast="47" xr6:coauthVersionMax="47" xr10:uidLastSave="{00000000-0000-0000-0000-000000000000}"/>
  <bookViews>
    <workbookView xWindow="-120" yWindow="-120" windowWidth="38640" windowHeight="21120" tabRatio="770" xr2:uid="{B7D79E9A-E966-4872-9B1C-2D8EC0687B6D}"/>
  </bookViews>
  <sheets>
    <sheet name="Unit1Path" sheetId="14" r:id="rId1"/>
    <sheet name="Rates" sheetId="1" r:id="rId2"/>
    <sheet name="EffortOutcomesAG1_1DayShiftAB" sheetId="4" r:id="rId3"/>
    <sheet name="CostAG1_1DayShiftAB" sheetId="5" r:id="rId4"/>
    <sheet name="CostPerDay" sheetId="12" r:id="rId5"/>
    <sheet name="TargetRatebyDate" sheetId="10" r:id="rId6"/>
    <sheet name="SavingFacilityDay" sheetId="13" r:id="rId7"/>
    <sheet name="Saving" sheetId="11" r:id="rId8"/>
    <sheet name="Summary" sheetId="8" r:id="rId9"/>
    <sheet name="Benhome Actuals Last fn" sheetId="7" r:id="rId10"/>
  </sheets>
  <externalReferences>
    <externalReference r:id="rId11"/>
    <externalReference r:id="rId12"/>
  </externalReferences>
  <definedNames>
    <definedName name="a">#REF!</definedName>
    <definedName name="ABCap" localSheetId="0">#REF!</definedName>
    <definedName name="ABCap">[1]Factors!$B$6</definedName>
    <definedName name="ABGoal" localSheetId="0">#REF!</definedName>
    <definedName name="ABGoal">[1]Factors!$B$10</definedName>
    <definedName name="b">#REF!</definedName>
    <definedName name="c_">#REF!</definedName>
    <definedName name="Client" localSheetId="0">Unit1Path!$B$19</definedName>
    <definedName name="Client">#REF!</definedName>
    <definedName name="Contractor_Margin" localSheetId="0">#REF!</definedName>
    <definedName name="Contractor_Margin">[1]Factors!$B$35</definedName>
    <definedName name="Date">#REF!</definedName>
    <definedName name="Directory">#REF!</definedName>
    <definedName name="EFCap" localSheetId="0">#REF!</definedName>
    <definedName name="EFCap">[1]Factors!$B$7</definedName>
    <definedName name="EFGoal" localSheetId="0">#REF!</definedName>
    <definedName name="EFGoal">[1]Factors!$B$11</definedName>
    <definedName name="ExternalData_1" localSheetId="3" hidden="1">'CostAG1_1DayShiftAB'!$A$1:$S$717</definedName>
    <definedName name="ExternalData_1" localSheetId="2" hidden="1">EffortOutcomesAG1_1DayShiftAB!$A$1:$AI$717</definedName>
    <definedName name="ExternalData_1" localSheetId="8" hidden="1">Summary!$A$1:$G$10</definedName>
    <definedName name="ExternalData_1" localSheetId="0" hidden="1">Unit1Path!$A$3:$B$10</definedName>
    <definedName name="ExternalData_2" localSheetId="4" hidden="1">CostPerDay!$A$1:$B$4</definedName>
    <definedName name="ExternalData_2" localSheetId="7" hidden="1">Saving!$A$1:$C$29</definedName>
    <definedName name="ExternalData_2" localSheetId="5" hidden="1">TargetRatebyDate!$A$1:$B$29</definedName>
    <definedName name="ExternalData_3" localSheetId="6" hidden="1">SavingFacilityDay!$A$1:$C$29</definedName>
    <definedName name="Facility">#REF!</definedName>
    <definedName name="FilePathUrl">Unit1Path!$B$1</definedName>
    <definedName name="FTE">#REF!</definedName>
    <definedName name="HeadFolder">#REF!</definedName>
    <definedName name="HRS">#REF!</definedName>
    <definedName name="INCap" localSheetId="0">#REF!</definedName>
    <definedName name="INCap">[1]Factors!$B$8</definedName>
    <definedName name="INGoal" localSheetId="0">#REF!</definedName>
    <definedName name="INGoal">[1]Factors!$B$12</definedName>
    <definedName name="KSa">#REF!</definedName>
    <definedName name="KSb">#REF!</definedName>
    <definedName name="KSc">#REF!</definedName>
    <definedName name="Ksmag">#REF!</definedName>
    <definedName name="KTa">#REF!</definedName>
    <definedName name="KTb">#REF!</definedName>
    <definedName name="KTc">#REF!</definedName>
    <definedName name="KTmag">#REF!</definedName>
    <definedName name="Kx">#REF!</definedName>
    <definedName name="Ky">#REF!</definedName>
    <definedName name="Kz">#REF!</definedName>
    <definedName name="LabourCost" localSheetId="0">#REF!</definedName>
    <definedName name="LabourCost">[1]Factors!$B$21</definedName>
    <definedName name="LabourStretchCost" localSheetId="0">#REF!</definedName>
    <definedName name="LabourStretchCost">[1]Factors!$B$22</definedName>
    <definedName name="Location" localSheetId="0">Unit1Path!#REF!</definedName>
    <definedName name="Location">#REF!</definedName>
    <definedName name="MAIT_date_adjusted_for_example">#REF!</definedName>
    <definedName name="Max_HRS">#REF!</definedName>
    <definedName name="MaxCapacityFactor">[2]MaxCapacity!$A$2</definedName>
    <definedName name="Overtime" localSheetId="0">#REF!</definedName>
    <definedName name="Overtime">[1]Factors!$B$4</definedName>
    <definedName name="Revenue_per_labour_factor" localSheetId="0">#REF!</definedName>
    <definedName name="Revenue_per_labour_factor">[1]Factors!$B$19</definedName>
    <definedName name="RevenueRate" localSheetId="0">#REF!</definedName>
    <definedName name="RevenueRate">[1]Factors!$B$23</definedName>
    <definedName name="RevPerWorker" localSheetId="0">#REF!</definedName>
    <definedName name="RevPerWorker">[1]Factors!$E$23</definedName>
    <definedName name="Role" localSheetId="0">Unit1Path!$B$40</definedName>
    <definedName name="Role">#REF!</definedName>
    <definedName name="ROLE_TITLE">#REF!</definedName>
    <definedName name="Scale">#REF!</definedName>
    <definedName name="Slicer_Facility">#N/A</definedName>
    <definedName name="Slicer_Version">#N/A</definedName>
    <definedName name="Type">#REF!</definedName>
    <definedName name="UNIT">#REF!</definedName>
    <definedName name="xxxxRange">#REF!</definedName>
  </definedNames>
  <calcPr calcId="191029" iterateDelta="0"/>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8" l="1"/>
  <c r="B1" i="14" a="1"/>
  <c r="B1" i="14" s="1"/>
  <c r="D3" i="12"/>
  <c r="D2" i="12"/>
  <c r="J18" i="1"/>
  <c r="J19" i="1"/>
  <c r="J20" i="1"/>
  <c r="J21" i="1"/>
  <c r="J24" i="1" s="1"/>
  <c r="J22" i="1"/>
  <c r="J25" i="1" s="1"/>
  <c r="J23" i="1"/>
  <c r="J26" i="1" s="1"/>
  <c r="P14" i="1"/>
  <c r="P16" i="1" s="1"/>
  <c r="O14" i="1"/>
  <c r="P11" i="1"/>
  <c r="P12" i="1" s="1"/>
  <c r="O11" i="1"/>
  <c r="O12" i="1" s="1"/>
  <c r="K12" i="1"/>
  <c r="L12" i="1"/>
  <c r="M12" i="1"/>
  <c r="N12" i="1"/>
  <c r="K13" i="1"/>
  <c r="L13" i="1"/>
  <c r="M13" i="1"/>
  <c r="N13" i="1"/>
  <c r="J13" i="1"/>
  <c r="J12" i="1"/>
  <c r="K15" i="1"/>
  <c r="L15" i="1"/>
  <c r="M15" i="1"/>
  <c r="N15" i="1"/>
  <c r="K16" i="1"/>
  <c r="L16" i="1"/>
  <c r="M16" i="1"/>
  <c r="N16" i="1"/>
  <c r="J16" i="1"/>
  <c r="J15" i="1"/>
  <c r="O15" i="1" l="1"/>
  <c r="O16" i="1"/>
  <c r="P13" i="1"/>
  <c r="P15" i="1"/>
  <c r="O13" i="1"/>
  <c r="K18" i="1" l="1"/>
  <c r="L18" i="1"/>
  <c r="M18" i="1"/>
  <c r="N18" i="1"/>
  <c r="O18" i="1"/>
  <c r="P18" i="1"/>
  <c r="K19" i="1"/>
  <c r="L19" i="1"/>
  <c r="M19" i="1"/>
  <c r="N19" i="1"/>
  <c r="O19" i="1"/>
  <c r="P19" i="1"/>
  <c r="K20" i="1"/>
  <c r="L20" i="1"/>
  <c r="M20" i="1"/>
  <c r="N20" i="1"/>
  <c r="O20" i="1"/>
  <c r="P20" i="1"/>
  <c r="K21" i="1"/>
  <c r="K24" i="1" s="1"/>
  <c r="L21" i="1"/>
  <c r="L24" i="1" s="1"/>
  <c r="M21" i="1"/>
  <c r="M24" i="1" s="1"/>
  <c r="N21" i="1"/>
  <c r="N24" i="1" s="1"/>
  <c r="O21" i="1"/>
  <c r="O24" i="1" s="1"/>
  <c r="P21" i="1"/>
  <c r="P24" i="1" s="1"/>
  <c r="K22" i="1"/>
  <c r="K25" i="1" s="1"/>
  <c r="L22" i="1"/>
  <c r="L25" i="1" s="1"/>
  <c r="M22" i="1"/>
  <c r="M25" i="1" s="1"/>
  <c r="N22" i="1"/>
  <c r="N25" i="1" s="1"/>
  <c r="O22" i="1"/>
  <c r="O25" i="1" s="1"/>
  <c r="P22" i="1"/>
  <c r="P25" i="1" s="1"/>
  <c r="K23" i="1"/>
  <c r="K26" i="1" s="1"/>
  <c r="L23" i="1"/>
  <c r="L26" i="1" s="1"/>
  <c r="M23" i="1"/>
  <c r="M26" i="1" s="1"/>
  <c r="N23" i="1"/>
  <c r="N26" i="1" s="1"/>
  <c r="O23" i="1"/>
  <c r="O26" i="1" s="1"/>
  <c r="P23" i="1"/>
  <c r="P26" i="1" s="1"/>
  <c r="Z34" i="7"/>
  <c r="Y34" i="7"/>
  <c r="X34" i="7"/>
  <c r="W34" i="7"/>
  <c r="G34" i="7" s="1"/>
  <c r="V34" i="7"/>
  <c r="U34" i="7"/>
  <c r="T34" i="7"/>
  <c r="S34" i="7"/>
  <c r="R34" i="7"/>
  <c r="Q34" i="7"/>
  <c r="P34" i="7"/>
  <c r="O34" i="7"/>
  <c r="N34" i="7"/>
  <c r="M34" i="7"/>
  <c r="L34" i="7"/>
  <c r="K34" i="7"/>
  <c r="J34" i="7"/>
  <c r="I34" i="7"/>
  <c r="H34" i="7"/>
  <c r="U33" i="7"/>
  <c r="T33" i="7"/>
  <c r="S33" i="7"/>
  <c r="R33" i="7"/>
  <c r="Q33" i="7"/>
  <c r="P33" i="7"/>
  <c r="O33" i="7"/>
  <c r="N33" i="7"/>
  <c r="M33" i="7"/>
  <c r="L33" i="7"/>
  <c r="K33" i="7"/>
  <c r="J33" i="7"/>
  <c r="I33" i="7"/>
  <c r="H33" i="7"/>
  <c r="Z32" i="7"/>
  <c r="Y32" i="7"/>
  <c r="X32" i="7"/>
  <c r="W32" i="7"/>
  <c r="V32" i="7"/>
  <c r="U32" i="7"/>
  <c r="T32" i="7"/>
  <c r="S32" i="7"/>
  <c r="R32" i="7"/>
  <c r="Q32" i="7"/>
  <c r="P32" i="7"/>
  <c r="O32" i="7"/>
  <c r="N32" i="7"/>
  <c r="M32" i="7"/>
  <c r="L32" i="7"/>
  <c r="K32" i="7"/>
  <c r="J32" i="7"/>
  <c r="I32" i="7"/>
  <c r="H32" i="7"/>
  <c r="G32" i="7"/>
  <c r="Z31" i="7"/>
  <c r="Y31" i="7"/>
  <c r="X31" i="7"/>
  <c r="W31" i="7"/>
  <c r="V31" i="7"/>
  <c r="U31" i="7"/>
  <c r="T31" i="7"/>
  <c r="S31" i="7"/>
  <c r="R31" i="7"/>
  <c r="Q31" i="7"/>
  <c r="P31" i="7"/>
  <c r="O31" i="7"/>
  <c r="N31" i="7"/>
  <c r="M31" i="7"/>
  <c r="L31" i="7"/>
  <c r="K31" i="7"/>
  <c r="J31" i="7"/>
  <c r="I31" i="7"/>
  <c r="H31" i="7"/>
  <c r="U30" i="7"/>
  <c r="T30" i="7"/>
  <c r="S30" i="7"/>
  <c r="R30" i="7"/>
  <c r="Q30" i="7"/>
  <c r="P30" i="7"/>
  <c r="O30" i="7"/>
  <c r="N30" i="7"/>
  <c r="M30" i="7"/>
  <c r="L30" i="7"/>
  <c r="K30" i="7"/>
  <c r="J30" i="7"/>
  <c r="I30" i="7"/>
  <c r="H30" i="7"/>
  <c r="V29" i="7"/>
  <c r="W29" i="7" s="1"/>
  <c r="X29" i="7" s="1"/>
  <c r="Y29" i="7" s="1"/>
  <c r="Z29" i="7" s="1"/>
  <c r="V28" i="7"/>
  <c r="W28" i="7" s="1"/>
  <c r="V27" i="7"/>
  <c r="W27" i="7" s="1"/>
  <c r="V26" i="7"/>
  <c r="W26" i="7" s="1"/>
  <c r="V25" i="7"/>
  <c r="W25" i="7" s="1"/>
  <c r="X25" i="7" s="1"/>
  <c r="Y25" i="7" s="1"/>
  <c r="Z25" i="7" s="1"/>
  <c r="V24" i="7"/>
  <c r="W24" i="7" s="1"/>
  <c r="X24" i="7" s="1"/>
  <c r="Y24" i="7" s="1"/>
  <c r="Z24" i="7" s="1"/>
  <c r="V23" i="7"/>
  <c r="W23" i="7" s="1"/>
  <c r="X23" i="7" s="1"/>
  <c r="Y23" i="7" s="1"/>
  <c r="Z23" i="7" s="1"/>
  <c r="V22" i="7"/>
  <c r="W22" i="7" s="1"/>
  <c r="X22" i="7" s="1"/>
  <c r="Y22" i="7" s="1"/>
  <c r="Z22" i="7" s="1"/>
  <c r="V21" i="7"/>
  <c r="W21" i="7" s="1"/>
  <c r="X21" i="7" s="1"/>
  <c r="Y21" i="7" s="1"/>
  <c r="Z21" i="7" s="1"/>
  <c r="V20" i="7"/>
  <c r="W20" i="7" s="1"/>
  <c r="X20" i="7" s="1"/>
  <c r="Y20" i="7" s="1"/>
  <c r="Z20" i="7" s="1"/>
  <c r="V19" i="7"/>
  <c r="W19" i="7" s="1"/>
  <c r="X19" i="7" s="1"/>
  <c r="Y19" i="7" s="1"/>
  <c r="Z19" i="7" s="1"/>
  <c r="W18" i="7"/>
  <c r="V17" i="7"/>
  <c r="W17" i="7" s="1"/>
  <c r="X17" i="7" s="1"/>
  <c r="Y17" i="7" s="1"/>
  <c r="Z17" i="7" s="1"/>
  <c r="V16" i="7"/>
  <c r="W16" i="7" s="1"/>
  <c r="X16" i="7" s="1"/>
  <c r="Y16" i="7" s="1"/>
  <c r="Z16" i="7" s="1"/>
  <c r="V15" i="7"/>
  <c r="W15" i="7" s="1"/>
  <c r="X15" i="7" s="1"/>
  <c r="Y15" i="7" s="1"/>
  <c r="Z15" i="7" s="1"/>
  <c r="V14" i="7"/>
  <c r="W14" i="7" s="1"/>
  <c r="X14" i="7" s="1"/>
  <c r="Y14" i="7" s="1"/>
  <c r="V13" i="7"/>
  <c r="W13" i="7" s="1"/>
  <c r="V12" i="7"/>
  <c r="W12" i="7" s="1"/>
  <c r="V11" i="7"/>
  <c r="W11" i="7" s="1"/>
  <c r="V10" i="7"/>
  <c r="W10" i="7" s="1"/>
  <c r="H35" i="7" l="1"/>
  <c r="K35" i="7"/>
  <c r="N35" i="7"/>
  <c r="O35" i="7"/>
  <c r="T35" i="7"/>
  <c r="U35" i="7"/>
  <c r="V30" i="7"/>
  <c r="J35" i="7"/>
  <c r="M35" i="7"/>
  <c r="P35" i="7"/>
  <c r="Q35" i="7"/>
  <c r="R35" i="7"/>
  <c r="I35" i="7"/>
  <c r="L35" i="7"/>
  <c r="S35" i="7"/>
  <c r="Y30" i="7"/>
  <c r="Y33" i="7"/>
  <c r="Y35" i="7" s="1"/>
  <c r="Z14" i="7"/>
  <c r="X13" i="7"/>
  <c r="Z13" i="7"/>
  <c r="Z12" i="7"/>
  <c r="X12" i="7"/>
  <c r="X10" i="7"/>
  <c r="Z10" i="7"/>
  <c r="W30" i="7"/>
  <c r="W33" i="7"/>
  <c r="G33" i="7" s="1"/>
  <c r="X11" i="7"/>
  <c r="Z11" i="7"/>
  <c r="V33" i="7"/>
  <c r="V35" i="7" s="1"/>
  <c r="X33" i="7" l="1"/>
  <c r="X35" i="7" s="1"/>
  <c r="X30" i="7"/>
  <c r="W35" i="7"/>
  <c r="Z30" i="7"/>
  <c r="Z33" i="7"/>
  <c r="Z3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E99F23F-7172-4AB1-852F-0239D57AF1B9}" keepAlive="1" name="Query - CostAG1_1DayShiftAB" description="Connection to the 'CostAG1_1DayShiftAB' query in the workbook." type="5" refreshedVersion="8" background="1" saveData="1">
    <dbPr connection="Provider=Microsoft.Mashup.OleDb.1;Data Source=$Workbook$;Location=CostAG1_1DayShiftAB;Extended Properties=&quot;&quot;" command="SELECT * FROM [CostAG1_1DayShiftAB]"/>
  </connection>
  <connection id="2" xr16:uid="{1E224CE4-F2D0-458C-868F-78AE15BE2593}" keepAlive="1" name="Query - CostAG1_1DayShiftABSummary" description="Connection to the 'CostAG1_1DayShiftABSummary' query in the workbook." type="5" refreshedVersion="8" background="1" saveData="1">
    <dbPr connection="Provider=Microsoft.Mashup.OleDb.1;Data Source=$Workbook$;Location=CostAG1_1DayShiftABSummary;Extended Properties=&quot;&quot;" command="SELECT * FROM [CostAG1_1DayShiftABSummary]"/>
  </connection>
  <connection id="3" xr16:uid="{4F9158E3-E150-4E76-AE67-F811C6BB12CF}" keepAlive="1" name="Query - CostPerDay" description="Connection to the 'CostPerDay' query in the workbook." type="5" refreshedVersion="8" background="1" saveData="1">
    <dbPr connection="Provider=Microsoft.Mashup.OleDb.1;Data Source=$Workbook$;Location=CostPerDay;Extended Properties=&quot;&quot;" command="SELECT * FROM [CostPerDay]"/>
  </connection>
  <connection id="4" xr16:uid="{7C7DD9F5-2C84-4A2E-9004-2CE2DC0395D7}" keepAlive="1" name="Query - EffortOutcomesAG1_1DayShiftAB" description="Connection to the 'EffortOutcomesAG1_1DayShiftAB' query in the workbook." type="5" refreshedVersion="8" background="1" saveData="1">
    <dbPr connection="Provider=Microsoft.Mashup.OleDb.1;Data Source=$Workbook$;Location=EffortOutcomesAG1_1DayShiftAB;Extended Properties=&quot;&quot;" command="SELECT * FROM [EffortOutcomesAG1_1DayShiftAB]"/>
  </connection>
  <connection id="5" xr16:uid="{C4D1A26F-25A3-41E9-AD72-66A401EF7212}" keepAlive="1" name="Query - PermutationDimensions" description="Connection to the 'PermutationDimensions' query in the workbook." type="5" refreshedVersion="0" background="1">
    <dbPr connection="Provider=Microsoft.Mashup.OleDb.1;Data Source=$Workbook$;Location=PermutationDimensions;Extended Properties=&quot;&quot;" command="SELECT * FROM [PermutationDimensions]"/>
  </connection>
  <connection id="6" xr16:uid="{1C1776CB-B819-473A-8FF3-14A4463C74E1}" keepAlive="1" name="Query - Rates" description="Connection to the 'Rates' query in the workbook." type="5" refreshedVersion="0" background="1">
    <dbPr connection="Provider=Microsoft.Mashup.OleDb.1;Data Source=$Workbook$;Location=Rates;Extended Properties=&quot;&quot;" command="SELECT * FROM [Rates]"/>
  </connection>
  <connection id="7" xr16:uid="{468E6618-46A5-44BA-8DDE-8522C6640A98}" keepAlive="1" name="Query - RatesDelta" description="Connection to the 'RatesDelta' query in the workbook." type="5" refreshedVersion="0" background="1">
    <dbPr connection="Provider=Microsoft.Mashup.OleDb.1;Data Source=$Workbook$;Location=RatesDelta;Extended Properties=&quot;&quot;" command="SELECT * FROM [RatesDelta]"/>
  </connection>
  <connection id="8" xr16:uid="{E5C010AB-6A87-4A7F-9860-56A32126BD0B}" keepAlive="1" name="Query - Saving" description="Connection to the 'Saving' query in the workbook." type="5" refreshedVersion="8" background="1" saveData="1">
    <dbPr connection="Provider=Microsoft.Mashup.OleDb.1;Data Source=$Workbook$;Location=Saving;Extended Properties=&quot;&quot;" command="SELECT * FROM [Saving]"/>
  </connection>
  <connection id="9" xr16:uid="{E01485BC-F39A-4B1E-9C7D-CFA878F2B9D4}" keepAlive="1" name="Query - SavingFacilityDay" description="Connection to the 'SavingFacilityDay' query in the workbook." type="5" refreshedVersion="8" background="1" saveData="1">
    <dbPr connection="Provider=Microsoft.Mashup.OleDb.1;Data Source=$Workbook$;Location=SavingFacilityDay;Extended Properties=&quot;&quot;" command="SELECT * FROM [SavingFacilityDay]"/>
  </connection>
  <connection id="10" xr16:uid="{7A26F0C0-E53B-475D-93E1-4F732E8420AF}" keepAlive="1" name="Query - ShiftHrs" description="Connection to the 'ShiftHrs' query in the workbook." type="5" refreshedVersion="0" background="1">
    <dbPr connection="Provider=Microsoft.Mashup.OleDb.1;Data Source=$Workbook$;Location=ShiftHrs;Extended Properties=&quot;&quot;" command="SELECT * FROM [ShiftHrs]"/>
  </connection>
  <connection id="11" xr16:uid="{4DF768C6-540A-42F7-A7E5-BE742E1C5FBB}" keepAlive="1" name="Query - TargetDailyRate" description="Connection to the 'TargetDailyRate' query in the workbook." type="5" refreshedVersion="0" background="1">
    <dbPr connection="Provider=Microsoft.Mashup.OleDb.1;Data Source=$Workbook$;Location=TargetDailyRate;Extended Properties=&quot;&quot;" command="SELECT * FROM [TargetDailyRate]"/>
  </connection>
  <connection id="12" xr16:uid="{B39ACE7F-62E7-4A03-B8E3-991D45780D4C}" keepAlive="1" name="Query - TargetRatebyDate" description="Connection to the 'TargetRatebyDate' query in the workbook." type="5" refreshedVersion="8" background="1" saveData="1">
    <dbPr connection="Provider=Microsoft.Mashup.OleDb.1;Data Source=$Workbook$;Location=TargetRatebyDate;Extended Properties=&quot;&quot;" command="SELECT * FROM [TargetRatebyDate]"/>
  </connection>
  <connection id="13" xr16:uid="{BEFAF6F0-05A7-4F41-B388-0E5925AAA7E0}" keepAlive="1" name="Query - UnitL1PathTABLE" description="Connection to the 'UnitL1PathTABLE' query in the workbook." type="5" refreshedVersion="8" background="1" saveData="1">
    <dbPr connection="Provider=Microsoft.Mashup.OleDb.1;Data Source=$Workbook$;Location=UnitL1PathTABLE;Extended Properties=&quot;&quot;" command="SELECT * FROM [UnitL1PathTABL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<sst xmlns="http://schemas.openxmlformats.org/spreadsheetml/2006/main" count="7801" uniqueCount="250">
  <si>
    <t>Date</t>
  </si>
  <si>
    <t>Role</t>
  </si>
  <si>
    <t>D</t>
  </si>
  <si>
    <t>Cs</t>
  </si>
  <si>
    <t>CX</t>
  </si>
  <si>
    <t>A</t>
  </si>
  <si>
    <t>Apn</t>
  </si>
  <si>
    <t>Apx</t>
  </si>
  <si>
    <t>Ai</t>
  </si>
  <si>
    <t>AB Potential</t>
  </si>
  <si>
    <t>AM</t>
  </si>
  <si>
    <t>NIGHT</t>
  </si>
  <si>
    <t>PM</t>
  </si>
  <si>
    <t>RN</t>
  </si>
  <si>
    <t>L1.1</t>
  </si>
  <si>
    <t>L1.2</t>
  </si>
  <si>
    <t>EXCESS OVER-ALLOCATION</t>
  </si>
  <si>
    <t>SPARE STRETCH</t>
  </si>
  <si>
    <t>SPARE SLACK</t>
  </si>
  <si>
    <t>SPARE STRETCH ALLOCATED</t>
  </si>
  <si>
    <t>SPARE SLACK ALLOCATED</t>
  </si>
  <si>
    <t>EXCESS STRETCH (ALLOCATED)</t>
  </si>
  <si>
    <t>EXCESS ALLOCATED SLACK</t>
  </si>
  <si>
    <t>EXCESS STRETCH</t>
  </si>
  <si>
    <t>EXCESS SLACK</t>
  </si>
  <si>
    <t>POTENTIAL SHORTFALL (OVER-ALLOCATED)</t>
  </si>
  <si>
    <t>POTENTIAL SHORTFALL</t>
  </si>
  <si>
    <t>WASTED STRETCH</t>
  </si>
  <si>
    <t>WASTED SLACK</t>
  </si>
  <si>
    <t>ALLOCATED STRETCH</t>
  </si>
  <si>
    <t>ALLOCATED SLACK</t>
  </si>
  <si>
    <t>UNALLOCATED SLACK</t>
  </si>
  <si>
    <t>LATENT</t>
  </si>
  <si>
    <t>LATENT.ALLOCATED</t>
  </si>
  <si>
    <t>LATENT.OVERALLOCATED</t>
  </si>
  <si>
    <t>Rate</t>
  </si>
  <si>
    <t>OTLoading</t>
  </si>
  <si>
    <t>AgencyPremium</t>
  </si>
  <si>
    <t>ExcessAllocation</t>
  </si>
  <si>
    <t>Shortage</t>
  </si>
  <si>
    <t>PlannedOvertime</t>
  </si>
  <si>
    <t>UnnecessaryAllocation$</t>
  </si>
  <si>
    <t>ShortageReplacement$</t>
  </si>
  <si>
    <t>Overtime$</t>
  </si>
  <si>
    <t>InefficiencyCost</t>
  </si>
  <si>
    <t>CapacityMaxHC</t>
  </si>
  <si>
    <t>DATESHIFT</t>
  </si>
  <si>
    <t>Carer</t>
  </si>
  <si>
    <t>Registered Nurse</t>
  </si>
  <si>
    <t>Use of Agency Labour</t>
  </si>
  <si>
    <t>Village:</t>
  </si>
  <si>
    <t>BENHOME</t>
  </si>
  <si>
    <t>Variance to GST</t>
  </si>
  <si>
    <t>For the fortnight ending:</t>
  </si>
  <si>
    <t>4.6.2023</t>
  </si>
  <si>
    <t>Must complete all shaded cells</t>
  </si>
  <si>
    <t>Incl / Excl Invoice?</t>
  </si>
  <si>
    <t>22.5.23</t>
  </si>
  <si>
    <t>23.5.23</t>
  </si>
  <si>
    <t>24.5.23</t>
  </si>
  <si>
    <t>25.5.23</t>
  </si>
  <si>
    <t>26.5.23</t>
  </si>
  <si>
    <t>27.5.23</t>
  </si>
  <si>
    <t>28.5.23</t>
  </si>
  <si>
    <t>29.5.23</t>
  </si>
  <si>
    <t>30.5.23</t>
  </si>
  <si>
    <t>31.5.23</t>
  </si>
  <si>
    <t>1.6.23</t>
  </si>
  <si>
    <t>2.6.23</t>
  </si>
  <si>
    <t>3.6.23</t>
  </si>
  <si>
    <t>4.6.23</t>
  </si>
  <si>
    <t>Variance to GST Excl. Inv</t>
  </si>
  <si>
    <t>Name of Agency Company</t>
  </si>
  <si>
    <t>Agency staff name</t>
  </si>
  <si>
    <t>Classication</t>
  </si>
  <si>
    <t>Shift</t>
  </si>
  <si>
    <t>Billable Hourly Rate</t>
  </si>
  <si>
    <t>Mon</t>
  </si>
  <si>
    <t>Tue</t>
  </si>
  <si>
    <t>Wed</t>
  </si>
  <si>
    <t>Thu</t>
  </si>
  <si>
    <t>Fri</t>
  </si>
  <si>
    <t>Sat</t>
  </si>
  <si>
    <t>Sun</t>
  </si>
  <si>
    <t>Total Hours</t>
  </si>
  <si>
    <t>Total Cost Excl. GST</t>
  </si>
  <si>
    <r>
      <t xml:space="preserve">Total Cost </t>
    </r>
    <r>
      <rPr>
        <b/>
        <sz val="13"/>
        <color rgb="FF0000FF"/>
        <rFont val="Calibri"/>
        <family val="2"/>
        <scheme val="minor"/>
      </rPr>
      <t>Incl. GST</t>
    </r>
  </si>
  <si>
    <t>Cost per Invoice</t>
  </si>
  <si>
    <t>Variance</t>
  </si>
  <si>
    <t>Explanation</t>
  </si>
  <si>
    <t>NN</t>
  </si>
  <si>
    <t>Sarah Hamilton</t>
  </si>
  <si>
    <t>Rate should have been $80/hr</t>
  </si>
  <si>
    <t>Vacant Shift</t>
  </si>
  <si>
    <t>HCA</t>
  </si>
  <si>
    <t>Suzanne Asquith</t>
  </si>
  <si>
    <t>Night</t>
  </si>
  <si>
    <t>EN</t>
  </si>
  <si>
    <t>Raj Tung</t>
  </si>
  <si>
    <t>Extra hour worked due to buddy shifts</t>
  </si>
  <si>
    <t>Other</t>
  </si>
  <si>
    <t>Anna Sithole</t>
  </si>
  <si>
    <t>Kathryn Bevan</t>
  </si>
  <si>
    <t>PH</t>
  </si>
  <si>
    <t>Brenda Karmi</t>
  </si>
  <si>
    <t>Divia Sitoula</t>
  </si>
  <si>
    <t>Terry Surjan</t>
  </si>
  <si>
    <t>Megala Devi</t>
  </si>
  <si>
    <t>Hardeep Kaur</t>
  </si>
  <si>
    <t>Raman Kaur</t>
  </si>
  <si>
    <t>Total</t>
  </si>
  <si>
    <t>Completed By:</t>
  </si>
  <si>
    <t>Kristin Smith</t>
  </si>
  <si>
    <t>Date:</t>
  </si>
  <si>
    <t>5.6.23</t>
  </si>
  <si>
    <t>General Manager</t>
  </si>
  <si>
    <t>Approved By:</t>
  </si>
  <si>
    <t>Regional General Manager</t>
  </si>
  <si>
    <t>Weekday</t>
  </si>
  <si>
    <t>Saturday</t>
  </si>
  <si>
    <t>Sunday</t>
  </si>
  <si>
    <t>Agency</t>
  </si>
  <si>
    <t>Workers</t>
  </si>
  <si>
    <t>Period</t>
  </si>
  <si>
    <t>Day Name</t>
  </si>
  <si>
    <t>Monday</t>
  </si>
  <si>
    <t>Tuesday</t>
  </si>
  <si>
    <t>Wednesday</t>
  </si>
  <si>
    <t>Thursday</t>
  </si>
  <si>
    <t>Friday</t>
  </si>
  <si>
    <t xml:space="preserve">Saturday </t>
  </si>
  <si>
    <t xml:space="preserve">Sunday </t>
  </si>
  <si>
    <t>Rates.Attribute</t>
  </si>
  <si>
    <t>Rates.Value</t>
  </si>
  <si>
    <t>RoleCost</t>
  </si>
  <si>
    <t>Facility</t>
  </si>
  <si>
    <t>Berry</t>
  </si>
  <si>
    <t>MAIT</t>
  </si>
  <si>
    <t>ExcessAllocation-Reaslistic</t>
  </si>
  <si>
    <t>Shortage-Realistic</t>
  </si>
  <si>
    <t>UnnecessaryAllocation</t>
  </si>
  <si>
    <t>Shortage Replacement</t>
  </si>
  <si>
    <t>OT</t>
  </si>
  <si>
    <t>SharedPath</t>
  </si>
  <si>
    <t>Client</t>
  </si>
  <si>
    <t>Version</t>
  </si>
  <si>
    <t>TargetRate</t>
  </si>
  <si>
    <t>Savings</t>
  </si>
  <si>
    <t>AIN</t>
  </si>
  <si>
    <t>X</t>
  </si>
  <si>
    <t>AINC4</t>
  </si>
  <si>
    <t>Count</t>
  </si>
  <si>
    <t>Cost per Resident</t>
  </si>
  <si>
    <t>DateX</t>
  </si>
  <si>
    <t>Variable Name</t>
  </si>
  <si>
    <t>Value</t>
  </si>
  <si>
    <t>UserName</t>
  </si>
  <si>
    <t>Root Path</t>
  </si>
  <si>
    <t>FilePathUrl</t>
  </si>
  <si>
    <t>Unit</t>
  </si>
  <si>
    <t>FileName</t>
  </si>
  <si>
    <t>20/07/2026NIGHT</t>
  </si>
  <si>
    <t>20/07/2026PM</t>
  </si>
  <si>
    <t>20/07/2026AM</t>
  </si>
  <si>
    <t>21/07/2026NIGHT</t>
  </si>
  <si>
    <t>21/07/2026AM</t>
  </si>
  <si>
    <t>21/07/2026PM</t>
  </si>
  <si>
    <t>22/07/2026AM</t>
  </si>
  <si>
    <t>22/07/2026PM</t>
  </si>
  <si>
    <t>22/07/2026NIGHT</t>
  </si>
  <si>
    <t>23/07/2026PM</t>
  </si>
  <si>
    <t>23/07/2026AM</t>
  </si>
  <si>
    <t>23/07/2026NIGHT</t>
  </si>
  <si>
    <t>24/07/2026AM</t>
  </si>
  <si>
    <t>24/07/2026NIGHT</t>
  </si>
  <si>
    <t>24/07/2026PM</t>
  </si>
  <si>
    <t>25/07/2026AM</t>
  </si>
  <si>
    <t>25/07/2026NIGHT</t>
  </si>
  <si>
    <t>25/07/2026PM</t>
  </si>
  <si>
    <t>26/07/2026NIGHT</t>
  </si>
  <si>
    <t>26/07/2026PM</t>
  </si>
  <si>
    <t>26/07/2026AM</t>
  </si>
  <si>
    <t>27/07/2026PM</t>
  </si>
  <si>
    <t>27/07/2026AM</t>
  </si>
  <si>
    <t>27/07/2026NIGHT</t>
  </si>
  <si>
    <t>28/07/2026PM</t>
  </si>
  <si>
    <t>28/07/2026NIGHT</t>
  </si>
  <si>
    <t>28/07/2026AM</t>
  </si>
  <si>
    <t>29/07/2026NIGHT</t>
  </si>
  <si>
    <t>29/07/2026PM</t>
  </si>
  <si>
    <t>29/07/2026AM</t>
  </si>
  <si>
    <t>30/07/2026PM</t>
  </si>
  <si>
    <t>30/07/2026AM</t>
  </si>
  <si>
    <t>30/07/2026NIGHT</t>
  </si>
  <si>
    <t>31/07/2026AM</t>
  </si>
  <si>
    <t>31/07/2026NIGHT</t>
  </si>
  <si>
    <t>31/07/2026PM</t>
  </si>
  <si>
    <t>1/08/2026AM</t>
  </si>
  <si>
    <t>1/08/2026PM</t>
  </si>
  <si>
    <t>1/08/2026NIGHT</t>
  </si>
  <si>
    <t>2/08/2026PM</t>
  </si>
  <si>
    <t>2/08/2026NIGHT</t>
  </si>
  <si>
    <t>2/08/2026AM</t>
  </si>
  <si>
    <t>3/08/2026AM</t>
  </si>
  <si>
    <t>3/08/2026NIGHT</t>
  </si>
  <si>
    <t>3/08/2026PM</t>
  </si>
  <si>
    <t>4/08/2026PM</t>
  </si>
  <si>
    <t>4/08/2026NIGHT</t>
  </si>
  <si>
    <t>4/08/2026AM</t>
  </si>
  <si>
    <t>5/08/2026NIGHT</t>
  </si>
  <si>
    <t>5/08/2026PM</t>
  </si>
  <si>
    <t>5/08/2026AM</t>
  </si>
  <si>
    <t>6/08/2026NIGHT</t>
  </si>
  <si>
    <t>6/08/2026AM</t>
  </si>
  <si>
    <t>6/08/2026PM</t>
  </si>
  <si>
    <t>7/08/2026PM</t>
  </si>
  <si>
    <t>7/08/2026NIGHT</t>
  </si>
  <si>
    <t>7/08/2026AM</t>
  </si>
  <si>
    <t>8/08/2026PM</t>
  </si>
  <si>
    <t>8/08/2026AM</t>
  </si>
  <si>
    <t>8/08/2026NIGHT</t>
  </si>
  <si>
    <t>9/08/2026PM</t>
  </si>
  <si>
    <t>9/08/2026AM</t>
  </si>
  <si>
    <t>9/08/2026NIGHT</t>
  </si>
  <si>
    <t>10/08/2026AM</t>
  </si>
  <si>
    <t>10/08/2026NIGHT</t>
  </si>
  <si>
    <t>10/08/2026PM</t>
  </si>
  <si>
    <t>11/08/2026PM</t>
  </si>
  <si>
    <t>11/08/2026AM</t>
  </si>
  <si>
    <t>11/08/2026NIGHT</t>
  </si>
  <si>
    <t>12/08/2026AM</t>
  </si>
  <si>
    <t>12/08/2026NIGHT</t>
  </si>
  <si>
    <t>12/08/2026PM</t>
  </si>
  <si>
    <t>13/08/2026PM</t>
  </si>
  <si>
    <t>13/08/2026NIGHT</t>
  </si>
  <si>
    <t>13/08/2026AM</t>
  </si>
  <si>
    <t>14/08/2026PM</t>
  </si>
  <si>
    <t>14/08/2026NIGHT</t>
  </si>
  <si>
    <t>14/08/2026AM</t>
  </si>
  <si>
    <t>15/08/2026PM</t>
  </si>
  <si>
    <t>15/08/2026NIGHT</t>
  </si>
  <si>
    <t>15/08/2026AM</t>
  </si>
  <si>
    <t>16/08/2026AM</t>
  </si>
  <si>
    <t>16/08/2026NIGHT</t>
  </si>
  <si>
    <t>16/08/2026PM</t>
  </si>
  <si>
    <t>BD</t>
  </si>
  <si>
    <t>JH-RY</t>
  </si>
  <si>
    <t>15/08/2026</t>
  </si>
  <si>
    <t>16/08/2026</t>
  </si>
  <si>
    <t>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</si>
</sst>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Red]\-&quot;$&quot;#,##0"/>
    <numFmt numFmtId="8" formatCode="&quot;$&quot;#,##0.00;[Red]\-&quot;$&quot;#,##0.00"/>
    <numFmt numFmtId="44" formatCode="_-&quot;$&quot;* #,##0.00_-;\-&quot;$&quot;* #,##0.00_-;_-&quot;$&quot;* &quot;-&quot;??_-;_-@_-"/>
    <numFmt numFmtId="43" formatCode="_-* #,##0.00_-;\-* #,##0.00_-;_-* &quot;-&quot;??_-;_-@_-"/>
    <numFmt numFmtId="164" formatCode="_-* #,##0.0_-;\-* #,##0.0_-;_-* &quot;-&quot;??_-;_-@_-"/>
    <numFmt numFmtId="165" formatCode="_-&quot;$&quot;* #,##0_-;\-&quot;$&quot;* #,##0_-;_-&quot;$&quot;* &quot;-&quot;??_-;_-@_-"/>
    <numFmt numFmtId="166" formatCode="0.0%"/>
  </numFmts>
  <fonts count="27" x14ac:knownFonts="1">
    <font>
      <sz val="11"/>
      <color theme="1"/>
      <name val="Calibri"/>
      <family val="2"/>
      <scheme val="minor"/>
    </font>
    <font>
      <sz val="10"/>
      <color rgb="FF000000"/>
      <name val="Times New Roman"/>
      <family val="1"/>
    </font>
    <font>
      <sz val="10"/>
      <color rgb="FFFF0000"/>
      <name val="Times New Roman"/>
      <family val="1"/>
    </font>
    <font>
      <sz val="10"/>
      <color theme="4"/>
      <name val="Times New Roman"/>
      <family val="1"/>
    </font>
    <font>
      <sz val="10"/>
      <color theme="0" tint="-0.499984740745262"/>
      <name val="Times New Roman"/>
      <family val="1"/>
    </font>
    <font>
      <sz val="10"/>
      <color theme="8"/>
      <name val="Times New Roman"/>
      <family val="1"/>
    </font>
    <font>
      <sz val="11"/>
      <color theme="1"/>
      <name val="Calibri"/>
      <family val="2"/>
      <scheme val="minor"/>
    </font>
    <font>
      <b/>
      <sz val="11"/>
      <color theme="1"/>
      <name val="Calibri"/>
      <family val="2"/>
      <scheme val="minor"/>
    </font>
    <font>
      <b/>
      <sz val="18"/>
      <color theme="1"/>
      <name val="Arial"/>
      <family val="2"/>
    </font>
    <font>
      <b/>
      <sz val="13"/>
      <color theme="1"/>
      <name val="Arial"/>
      <family val="2"/>
    </font>
    <font>
      <b/>
      <sz val="14"/>
      <color theme="1"/>
      <name val="Arial"/>
      <family val="2"/>
    </font>
    <font>
      <b/>
      <sz val="14"/>
      <color rgb="FF0000FF"/>
      <name val="Calibri"/>
      <family val="2"/>
      <scheme val="minor"/>
    </font>
    <font>
      <sz val="11"/>
      <color rgb="FF0000FF"/>
      <name val="Calibri"/>
      <family val="2"/>
      <scheme val="minor"/>
    </font>
    <font>
      <b/>
      <sz val="16"/>
      <color rgb="FF0000FF"/>
      <name val="Calibri"/>
      <family val="2"/>
      <scheme val="minor"/>
    </font>
    <font>
      <b/>
      <sz val="12"/>
      <color theme="1"/>
      <name val="Calibri"/>
      <family val="2"/>
      <scheme val="minor"/>
    </font>
    <font>
      <b/>
      <sz val="13"/>
      <color theme="1"/>
      <name val="Calibri"/>
      <family val="2"/>
      <scheme val="minor"/>
    </font>
    <font>
      <b/>
      <sz val="13"/>
      <color rgb="FF0000FF"/>
      <name val="Calibri"/>
      <family val="2"/>
      <scheme val="minor"/>
    </font>
    <font>
      <sz val="12"/>
      <color theme="1"/>
      <name val="Arial"/>
      <family val="2"/>
    </font>
    <font>
      <sz val="11"/>
      <color theme="1"/>
      <name val="Arial"/>
      <family val="2"/>
    </font>
    <font>
      <b/>
      <sz val="12"/>
      <color theme="1"/>
      <name val="Arial"/>
      <family val="2"/>
    </font>
    <font>
      <b/>
      <sz val="11"/>
      <color theme="1"/>
      <name val="Arial"/>
      <family val="2"/>
    </font>
    <font>
      <sz val="12"/>
      <color rgb="FF0000FF"/>
      <name val="Arial"/>
      <family val="2"/>
    </font>
    <font>
      <b/>
      <sz val="12"/>
      <color rgb="FF0000FF"/>
      <name val="Arial"/>
      <family val="2"/>
    </font>
    <font>
      <b/>
      <sz val="11"/>
      <color rgb="FF0000FF"/>
      <name val="Arial"/>
      <family val="2"/>
    </font>
    <font>
      <sz val="8"/>
      <name val="Calibri"/>
      <family val="2"/>
      <scheme val="minor"/>
    </font>
    <font>
      <sz val="11"/>
      <color theme="8"/>
      <name val="Calibri"/>
      <family val="2"/>
      <scheme val="minor"/>
    </font>
    <font>
      <sz val="5"/>
      <color theme="4"/>
      <name val="Muli"/>
    </font>
  </fonts>
  <fills count="6">
    <fill>
      <patternFill patternType="none"/>
    </fill>
    <fill>
      <patternFill patternType="gray125"/>
    </fill>
    <fill>
      <patternFill patternType="solid">
        <fgColor theme="4" tint="0.79998168889431442"/>
        <bgColor theme="4" tint="0.79998168889431442"/>
      </patternFill>
    </fill>
    <fill>
      <patternFill patternType="solid">
        <fgColor theme="0"/>
        <bgColor indexed="64"/>
      </patternFill>
    </fill>
    <fill>
      <patternFill patternType="solid">
        <fgColor theme="7" tint="0.79998168889431442"/>
        <bgColor indexed="64"/>
      </patternFill>
    </fill>
    <fill>
      <patternFill patternType="solid">
        <fgColor rgb="FFFFFF00"/>
        <bgColor indexed="64"/>
      </patternFill>
    </fill>
  </fills>
  <borders count="32">
    <border>
      <left/>
      <right/>
      <top/>
      <bottom/>
      <diagonal/>
    </border>
    <border>
      <left/>
      <right/>
      <top style="thin">
        <color theme="4" tint="0.39997558519241921"/>
      </top>
      <bottom style="thin">
        <color theme="4" tint="0.3999755851924192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double">
        <color indexed="64"/>
      </right>
      <top style="hair">
        <color indexed="64"/>
      </top>
      <bottom/>
      <diagonal/>
    </border>
    <border>
      <left style="thin">
        <color indexed="64"/>
      </left>
      <right style="thin">
        <color indexed="64"/>
      </right>
      <top style="hair">
        <color indexed="64"/>
      </top>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double">
        <color indexed="64"/>
      </right>
      <top style="hair">
        <color indexed="64"/>
      </top>
      <bottom style="hair">
        <color indexed="64"/>
      </bottom>
      <diagonal/>
    </border>
    <border>
      <left/>
      <right style="thin">
        <color indexed="64"/>
      </right>
      <top/>
      <bottom style="hair">
        <color indexed="64"/>
      </bottom>
      <diagonal/>
    </border>
    <border>
      <left/>
      <right style="thin">
        <color indexed="64"/>
      </right>
      <top style="hair">
        <color indexed="64"/>
      </top>
      <bottom/>
      <diagonal/>
    </border>
    <border>
      <left style="thin">
        <color indexed="64"/>
      </left>
      <right style="thin">
        <color indexed="64"/>
      </right>
      <top style="hair">
        <color indexed="64"/>
      </top>
      <bottom style="thin">
        <color indexed="64"/>
      </bottom>
      <diagonal/>
    </border>
    <border>
      <left style="thin">
        <color indexed="64"/>
      </left>
      <right style="double">
        <color indexed="64"/>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right style="thin">
        <color indexed="64"/>
      </right>
      <top/>
      <bottom style="double">
        <color indexed="64"/>
      </bottom>
      <diagonal/>
    </border>
    <border>
      <left style="thin">
        <color indexed="64"/>
      </left>
      <right style="double">
        <color indexed="64"/>
      </right>
      <top/>
      <bottom style="hair">
        <color indexed="64"/>
      </bottom>
      <diagonal/>
    </border>
    <border>
      <left style="double">
        <color indexed="64"/>
      </left>
      <right style="thin">
        <color indexed="64"/>
      </right>
      <top style="hair">
        <color indexed="64"/>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s>
  <cellStyleXfs count="5">
    <xf numFmtId="0" fontId="0" fillId="0" borderId="0"/>
    <xf numFmtId="0" fontId="1" fillId="0" borderId="0"/>
    <xf numFmtId="43" fontId="6" fillId="0" borderId="0" applyFont="0" applyFill="0" applyBorder="0" applyAlignment="0" applyProtection="0"/>
    <xf numFmtId="44" fontId="6" fillId="0" borderId="0" applyFont="0" applyFill="0" applyBorder="0" applyAlignment="0" applyProtection="0"/>
    <xf numFmtId="9" fontId="6" fillId="0" borderId="0" applyFont="0" applyFill="0" applyBorder="0" applyAlignment="0" applyProtection="0"/>
  </cellStyleXfs>
  <cellXfs count="144">
    <xf numFmtId="0" fontId="0" fillId="0" borderId="0" xfId="0"/>
    <xf numFmtId="14" fontId="0" fillId="0" borderId="0" xfId="0" applyNumberFormat="1"/>
    <xf numFmtId="0" fontId="2" fillId="0" borderId="0" xfId="1" applyFont="1" applyAlignment="1">
      <alignment horizontal="left" vertical="top"/>
    </xf>
    <xf numFmtId="0" fontId="1" fillId="0" borderId="0" xfId="1" applyAlignment="1">
      <alignment horizontal="left" vertical="top"/>
    </xf>
    <xf numFmtId="0" fontId="3" fillId="0" borderId="0" xfId="1" applyFont="1" applyAlignment="1">
      <alignment horizontal="left" vertical="top"/>
    </xf>
    <xf numFmtId="0" fontId="4" fillId="0" borderId="0" xfId="1" applyFont="1" applyAlignment="1">
      <alignment horizontal="left" vertical="top"/>
    </xf>
    <xf numFmtId="0" fontId="5" fillId="0" borderId="0" xfId="1" applyFont="1" applyAlignment="1">
      <alignment horizontal="left" vertical="top"/>
    </xf>
    <xf numFmtId="0" fontId="0" fillId="2" borderId="1" xfId="0" applyFill="1" applyBorder="1"/>
    <xf numFmtId="0" fontId="0" fillId="0" borderId="1" xfId="0" applyBorder="1"/>
    <xf numFmtId="0" fontId="0" fillId="3" borderId="0" xfId="0" applyFill="1"/>
    <xf numFmtId="0" fontId="9" fillId="3" borderId="2" xfId="0" applyFont="1" applyFill="1" applyBorder="1" applyAlignment="1">
      <alignment horizontal="left" indent="1"/>
    </xf>
    <xf numFmtId="0" fontId="10" fillId="4" borderId="3" xfId="0" applyFont="1" applyFill="1" applyBorder="1" applyAlignment="1" applyProtection="1">
      <alignment horizontal="center"/>
      <protection locked="0"/>
    </xf>
    <xf numFmtId="0" fontId="11" fillId="3" borderId="0" xfId="0" applyFont="1" applyFill="1" applyAlignment="1">
      <alignment horizontal="left"/>
    </xf>
    <xf numFmtId="0" fontId="0" fillId="3" borderId="0" xfId="0" applyFill="1" applyAlignment="1">
      <alignment horizontal="center"/>
    </xf>
    <xf numFmtId="0" fontId="12" fillId="3" borderId="0" xfId="0" applyFont="1" applyFill="1" applyAlignment="1">
      <alignment horizontal="center"/>
    </xf>
    <xf numFmtId="0" fontId="9" fillId="3" borderId="4" xfId="0" applyFont="1" applyFill="1" applyBorder="1" applyAlignment="1">
      <alignment horizontal="left" indent="1"/>
    </xf>
    <xf numFmtId="14" fontId="10" fillId="4" borderId="5" xfId="0" applyNumberFormat="1" applyFont="1" applyFill="1" applyBorder="1" applyAlignment="1" applyProtection="1">
      <alignment horizontal="center"/>
      <protection locked="0"/>
    </xf>
    <xf numFmtId="0" fontId="13" fillId="3" borderId="0" xfId="0" applyFont="1" applyFill="1" applyAlignment="1">
      <alignment horizontal="left"/>
    </xf>
    <xf numFmtId="14" fontId="0" fillId="3" borderId="0" xfId="0" applyNumberFormat="1" applyFill="1" applyAlignment="1">
      <alignment horizontal="center"/>
    </xf>
    <xf numFmtId="0" fontId="14" fillId="3" borderId="0" xfId="0" applyFont="1" applyFill="1"/>
    <xf numFmtId="0" fontId="0" fillId="5" borderId="0" xfId="0" applyFill="1" applyAlignment="1" applyProtection="1">
      <alignment horizontal="center"/>
      <protection locked="0"/>
    </xf>
    <xf numFmtId="0" fontId="15" fillId="0" borderId="6" xfId="0" applyFont="1" applyBorder="1" applyAlignment="1">
      <alignment horizontal="center" vertical="center" wrapText="1"/>
    </xf>
    <xf numFmtId="0" fontId="14" fillId="0" borderId="7" xfId="0" applyFont="1" applyBorder="1" applyAlignment="1">
      <alignment horizontal="center" vertical="center" wrapText="1"/>
    </xf>
    <xf numFmtId="0" fontId="15" fillId="0" borderId="8" xfId="0" applyFont="1" applyBorder="1" applyAlignment="1">
      <alignment horizontal="center" vertical="center"/>
    </xf>
    <xf numFmtId="0" fontId="15" fillId="0" borderId="6" xfId="0" applyFont="1" applyBorder="1" applyAlignment="1">
      <alignment horizontal="center" vertical="center"/>
    </xf>
    <xf numFmtId="0" fontId="15" fillId="0" borderId="7" xfId="0" applyFont="1" applyBorder="1" applyAlignment="1">
      <alignment horizontal="center" vertical="center"/>
    </xf>
    <xf numFmtId="0" fontId="15" fillId="0" borderId="8" xfId="0" applyFont="1" applyBorder="1" applyAlignment="1">
      <alignment horizontal="center" vertical="center" wrapText="1"/>
    </xf>
    <xf numFmtId="0" fontId="14" fillId="3" borderId="0" xfId="0" applyFont="1" applyFill="1" applyAlignment="1">
      <alignment vertical="center"/>
    </xf>
    <xf numFmtId="0" fontId="14" fillId="0" borderId="0" xfId="0" applyFont="1" applyAlignment="1">
      <alignment vertical="center"/>
    </xf>
    <xf numFmtId="0" fontId="17" fillId="4" borderId="9" xfId="0" applyFont="1" applyFill="1" applyBorder="1" applyAlignment="1" applyProtection="1">
      <alignment horizontal="left" indent="1"/>
      <protection locked="0"/>
    </xf>
    <xf numFmtId="0" fontId="18" fillId="4" borderId="9" xfId="0" applyFont="1" applyFill="1" applyBorder="1" applyAlignment="1" applyProtection="1">
      <alignment horizontal="left" indent="1"/>
      <protection locked="0"/>
    </xf>
    <xf numFmtId="44" fontId="19" fillId="4" borderId="10" xfId="3" applyFont="1" applyFill="1" applyBorder="1" applyProtection="1">
      <protection locked="0"/>
    </xf>
    <xf numFmtId="164" fontId="17" fillId="4" borderId="11" xfId="2" applyNumberFormat="1" applyFont="1" applyFill="1" applyBorder="1" applyProtection="1">
      <protection locked="0"/>
    </xf>
    <xf numFmtId="164" fontId="17" fillId="4" borderId="10" xfId="2" applyNumberFormat="1" applyFont="1" applyFill="1" applyBorder="1" applyProtection="1">
      <protection locked="0"/>
    </xf>
    <xf numFmtId="164" fontId="17" fillId="0" borderId="12" xfId="0" applyNumberFormat="1" applyFont="1" applyBorder="1"/>
    <xf numFmtId="165" fontId="17" fillId="0" borderId="9" xfId="3" applyNumberFormat="1" applyFont="1" applyBorder="1" applyProtection="1"/>
    <xf numFmtId="165" fontId="19" fillId="4" borderId="13" xfId="3" applyNumberFormat="1" applyFont="1" applyFill="1" applyBorder="1" applyProtection="1">
      <protection locked="0"/>
    </xf>
    <xf numFmtId="6" fontId="19" fillId="3" borderId="9" xfId="3" applyNumberFormat="1" applyFont="1" applyFill="1" applyBorder="1" applyProtection="1"/>
    <xf numFmtId="164" fontId="17" fillId="4" borderId="12" xfId="2" applyNumberFormat="1" applyFont="1" applyFill="1" applyBorder="1" applyAlignment="1" applyProtection="1">
      <alignment horizontal="left" wrapText="1"/>
      <protection locked="0"/>
    </xf>
    <xf numFmtId="164" fontId="17" fillId="0" borderId="14" xfId="0" applyNumberFormat="1" applyFont="1" applyBorder="1"/>
    <xf numFmtId="165" fontId="19" fillId="4" borderId="9" xfId="3" applyNumberFormat="1" applyFont="1" applyFill="1" applyBorder="1" applyProtection="1">
      <protection locked="0"/>
    </xf>
    <xf numFmtId="164" fontId="17" fillId="4" borderId="14" xfId="2" applyNumberFormat="1" applyFont="1" applyFill="1" applyBorder="1" applyAlignment="1" applyProtection="1">
      <alignment horizontal="left" wrapText="1"/>
      <protection locked="0"/>
    </xf>
    <xf numFmtId="0" fontId="17" fillId="4" borderId="15" xfId="0" applyFont="1" applyFill="1" applyBorder="1" applyAlignment="1" applyProtection="1">
      <alignment horizontal="left" indent="1"/>
      <protection locked="0"/>
    </xf>
    <xf numFmtId="44" fontId="19" fillId="4" borderId="16" xfId="3" applyFont="1" applyFill="1" applyBorder="1" applyProtection="1">
      <protection locked="0"/>
    </xf>
    <xf numFmtId="164" fontId="17" fillId="4" borderId="14" xfId="2" applyNumberFormat="1" applyFont="1" applyFill="1" applyBorder="1" applyProtection="1">
      <protection locked="0"/>
    </xf>
    <xf numFmtId="164" fontId="17" fillId="4" borderId="9" xfId="2" applyNumberFormat="1" applyFont="1" applyFill="1" applyBorder="1" applyProtection="1">
      <protection locked="0"/>
    </xf>
    <xf numFmtId="164" fontId="17" fillId="4" borderId="16" xfId="2" applyNumberFormat="1" applyFont="1" applyFill="1" applyBorder="1" applyProtection="1">
      <protection locked="0"/>
    </xf>
    <xf numFmtId="164" fontId="17" fillId="0" borderId="17" xfId="0" applyNumberFormat="1" applyFont="1" applyBorder="1"/>
    <xf numFmtId="165" fontId="17" fillId="0" borderId="15" xfId="3" applyNumberFormat="1" applyFont="1" applyBorder="1" applyProtection="1"/>
    <xf numFmtId="165" fontId="19" fillId="4" borderId="15" xfId="3" applyNumberFormat="1" applyFont="1" applyFill="1" applyBorder="1" applyProtection="1">
      <protection locked="0"/>
    </xf>
    <xf numFmtId="6" fontId="19" fillId="3" borderId="15" xfId="3" applyNumberFormat="1" applyFont="1" applyFill="1" applyBorder="1" applyProtection="1"/>
    <xf numFmtId="164" fontId="17" fillId="4" borderId="17" xfId="2" applyNumberFormat="1" applyFont="1" applyFill="1" applyBorder="1" applyAlignment="1" applyProtection="1">
      <alignment horizontal="left" wrapText="1"/>
      <protection locked="0"/>
    </xf>
    <xf numFmtId="8" fontId="19" fillId="4" borderId="16" xfId="3" applyNumberFormat="1" applyFont="1" applyFill="1" applyBorder="1" applyProtection="1">
      <protection locked="0"/>
    </xf>
    <xf numFmtId="0" fontId="17" fillId="4" borderId="11" xfId="0" applyFont="1" applyFill="1" applyBorder="1" applyAlignment="1" applyProtection="1">
      <alignment horizontal="left" indent="1"/>
      <protection locked="0"/>
    </xf>
    <xf numFmtId="164" fontId="17" fillId="4" borderId="18" xfId="2" applyNumberFormat="1" applyFont="1" applyFill="1" applyBorder="1" applyProtection="1">
      <protection locked="0"/>
    </xf>
    <xf numFmtId="165" fontId="17" fillId="0" borderId="11" xfId="3" applyNumberFormat="1" applyFont="1" applyBorder="1" applyProtection="1"/>
    <xf numFmtId="165" fontId="19" fillId="4" borderId="11" xfId="3" applyNumberFormat="1" applyFont="1" applyFill="1" applyBorder="1" applyProtection="1">
      <protection locked="0"/>
    </xf>
    <xf numFmtId="6" fontId="19" fillId="3" borderId="11" xfId="3" applyNumberFormat="1" applyFont="1" applyFill="1" applyBorder="1" applyProtection="1"/>
    <xf numFmtId="164" fontId="17" fillId="4" borderId="18" xfId="2" applyNumberFormat="1" applyFont="1" applyFill="1" applyBorder="1" applyAlignment="1" applyProtection="1">
      <alignment horizontal="left" wrapText="1"/>
      <protection locked="0"/>
    </xf>
    <xf numFmtId="0" fontId="17" fillId="4" borderId="19" xfId="0" applyFont="1" applyFill="1" applyBorder="1" applyAlignment="1" applyProtection="1">
      <alignment horizontal="left" indent="1"/>
      <protection locked="0"/>
    </xf>
    <xf numFmtId="44" fontId="19" fillId="4" borderId="20" xfId="3" applyFont="1" applyFill="1" applyBorder="1" applyProtection="1">
      <protection locked="0"/>
    </xf>
    <xf numFmtId="164" fontId="17" fillId="4" borderId="21" xfId="2" applyNumberFormat="1" applyFont="1" applyFill="1" applyBorder="1" applyProtection="1">
      <protection locked="0"/>
    </xf>
    <xf numFmtId="164" fontId="17" fillId="4" borderId="19" xfId="2" applyNumberFormat="1" applyFont="1" applyFill="1" applyBorder="1" applyProtection="1">
      <protection locked="0"/>
    </xf>
    <xf numFmtId="164" fontId="17" fillId="4" borderId="20" xfId="2" applyNumberFormat="1" applyFont="1" applyFill="1" applyBorder="1" applyProtection="1">
      <protection locked="0"/>
    </xf>
    <xf numFmtId="164" fontId="17" fillId="0" borderId="21" xfId="0" applyNumberFormat="1" applyFont="1" applyBorder="1"/>
    <xf numFmtId="165" fontId="17" fillId="0" borderId="19" xfId="3" applyNumberFormat="1" applyFont="1" applyBorder="1" applyProtection="1"/>
    <xf numFmtId="165" fontId="19" fillId="4" borderId="19" xfId="3" applyNumberFormat="1" applyFont="1" applyFill="1" applyBorder="1" applyProtection="1">
      <protection locked="0"/>
    </xf>
    <xf numFmtId="6" fontId="19" fillId="3" borderId="19" xfId="3" applyNumberFormat="1" applyFont="1" applyFill="1" applyBorder="1" applyProtection="1"/>
    <xf numFmtId="164" fontId="17" fillId="4" borderId="21" xfId="2" applyNumberFormat="1" applyFont="1" applyFill="1" applyBorder="1" applyAlignment="1" applyProtection="1">
      <alignment horizontal="left" wrapText="1"/>
      <protection locked="0"/>
    </xf>
    <xf numFmtId="0" fontId="20" fillId="0" borderId="22" xfId="0" applyFont="1" applyBorder="1"/>
    <xf numFmtId="0" fontId="19" fillId="0" borderId="22" xfId="0" applyFont="1" applyBorder="1" applyAlignment="1">
      <alignment horizontal="right" indent="1"/>
    </xf>
    <xf numFmtId="44" fontId="20" fillId="0" borderId="23" xfId="3" applyFont="1" applyBorder="1" applyProtection="1"/>
    <xf numFmtId="164" fontId="19" fillId="0" borderId="24" xfId="2" applyNumberFormat="1" applyFont="1" applyBorder="1" applyProtection="1"/>
    <xf numFmtId="164" fontId="19" fillId="0" borderId="22" xfId="2" applyNumberFormat="1" applyFont="1" applyBorder="1" applyProtection="1"/>
    <xf numFmtId="164" fontId="19" fillId="0" borderId="23" xfId="2" applyNumberFormat="1" applyFont="1" applyBorder="1" applyProtection="1"/>
    <xf numFmtId="164" fontId="19" fillId="0" borderId="24" xfId="0" applyNumberFormat="1" applyFont="1" applyBorder="1"/>
    <xf numFmtId="165" fontId="19" fillId="0" borderId="22" xfId="3" applyNumberFormat="1" applyFont="1" applyBorder="1" applyProtection="1"/>
    <xf numFmtId="6" fontId="19" fillId="0" borderId="22" xfId="3" applyNumberFormat="1" applyFont="1" applyBorder="1" applyProtection="1"/>
    <xf numFmtId="0" fontId="21" fillId="3" borderId="15" xfId="0" applyFont="1" applyFill="1" applyBorder="1" applyAlignment="1">
      <alignment horizontal="left" indent="1"/>
    </xf>
    <xf numFmtId="0" fontId="22" fillId="3" borderId="15" xfId="0" applyFont="1" applyFill="1" applyBorder="1" applyAlignment="1">
      <alignment horizontal="right" indent="1"/>
    </xf>
    <xf numFmtId="0" fontId="22" fillId="3" borderId="15" xfId="0" applyFont="1" applyFill="1" applyBorder="1" applyAlignment="1">
      <alignment horizontal="left" indent="1"/>
    </xf>
    <xf numFmtId="44" fontId="22" fillId="3" borderId="25" xfId="3" applyFont="1" applyFill="1" applyBorder="1" applyProtection="1"/>
    <xf numFmtId="164" fontId="22" fillId="3" borderId="17" xfId="2" applyNumberFormat="1" applyFont="1" applyFill="1" applyBorder="1" applyProtection="1"/>
    <xf numFmtId="164" fontId="22" fillId="3" borderId="15" xfId="2" applyNumberFormat="1" applyFont="1" applyFill="1" applyBorder="1" applyProtection="1"/>
    <xf numFmtId="164" fontId="22" fillId="3" borderId="25" xfId="2" applyNumberFormat="1" applyFont="1" applyFill="1" applyBorder="1" applyProtection="1"/>
    <xf numFmtId="164" fontId="22" fillId="0" borderId="17" xfId="0" applyNumberFormat="1" applyFont="1" applyBorder="1"/>
    <xf numFmtId="165" fontId="22" fillId="0" borderId="15" xfId="3" applyNumberFormat="1" applyFont="1" applyBorder="1" applyProtection="1"/>
    <xf numFmtId="6" fontId="22" fillId="0" borderId="15" xfId="3" applyNumberFormat="1" applyFont="1" applyBorder="1" applyProtection="1"/>
    <xf numFmtId="0" fontId="21" fillId="3" borderId="9" xfId="0" applyFont="1" applyFill="1" applyBorder="1" applyAlignment="1">
      <alignment horizontal="left" indent="1"/>
    </xf>
    <xf numFmtId="0" fontId="22" fillId="3" borderId="9" xfId="0" applyFont="1" applyFill="1" applyBorder="1" applyAlignment="1">
      <alignment horizontal="right" indent="1"/>
    </xf>
    <xf numFmtId="0" fontId="22" fillId="3" borderId="9" xfId="0" applyFont="1" applyFill="1" applyBorder="1" applyAlignment="1">
      <alignment horizontal="left" indent="1"/>
    </xf>
    <xf numFmtId="44" fontId="22" fillId="3" borderId="16" xfId="3" applyFont="1" applyFill="1" applyBorder="1" applyProtection="1"/>
    <xf numFmtId="164" fontId="22" fillId="3" borderId="14" xfId="2" applyNumberFormat="1" applyFont="1" applyFill="1" applyBorder="1" applyProtection="1"/>
    <xf numFmtId="164" fontId="22" fillId="3" borderId="9" xfId="2" applyNumberFormat="1" applyFont="1" applyFill="1" applyBorder="1" applyProtection="1"/>
    <xf numFmtId="164" fontId="22" fillId="3" borderId="16" xfId="2" applyNumberFormat="1" applyFont="1" applyFill="1" applyBorder="1" applyProtection="1"/>
    <xf numFmtId="164" fontId="22" fillId="0" borderId="14" xfId="0" applyNumberFormat="1" applyFont="1" applyBorder="1"/>
    <xf numFmtId="165" fontId="22" fillId="0" borderId="9" xfId="3" applyNumberFormat="1" applyFont="1" applyBorder="1" applyProtection="1"/>
    <xf numFmtId="6" fontId="22" fillId="0" borderId="9" xfId="3" applyNumberFormat="1" applyFont="1" applyBorder="1" applyProtection="1"/>
    <xf numFmtId="0" fontId="21" fillId="3" borderId="19" xfId="0" applyFont="1" applyFill="1" applyBorder="1" applyAlignment="1">
      <alignment horizontal="left" indent="1"/>
    </xf>
    <xf numFmtId="0" fontId="22" fillId="3" borderId="19" xfId="0" applyFont="1" applyFill="1" applyBorder="1" applyAlignment="1">
      <alignment horizontal="right" indent="1"/>
    </xf>
    <xf numFmtId="0" fontId="22" fillId="3" borderId="19" xfId="0" applyFont="1" applyFill="1" applyBorder="1" applyAlignment="1">
      <alignment horizontal="left" indent="1"/>
    </xf>
    <xf numFmtId="44" fontId="22" fillId="3" borderId="20" xfId="3" applyFont="1" applyFill="1" applyBorder="1" applyProtection="1"/>
    <xf numFmtId="164" fontId="22" fillId="3" borderId="21" xfId="2" applyNumberFormat="1" applyFont="1" applyFill="1" applyBorder="1" applyProtection="1"/>
    <xf numFmtId="164" fontId="22" fillId="3" borderId="19" xfId="2" applyNumberFormat="1" applyFont="1" applyFill="1" applyBorder="1" applyProtection="1"/>
    <xf numFmtId="164" fontId="22" fillId="3" borderId="20" xfId="2" applyNumberFormat="1" applyFont="1" applyFill="1" applyBorder="1" applyProtection="1"/>
    <xf numFmtId="164" fontId="22" fillId="0" borderId="26" xfId="0" applyNumberFormat="1" applyFont="1" applyBorder="1"/>
    <xf numFmtId="165" fontId="22" fillId="0" borderId="19" xfId="3" applyNumberFormat="1" applyFont="1" applyBorder="1" applyProtection="1"/>
    <xf numFmtId="6" fontId="22" fillId="0" borderId="19" xfId="3" applyNumberFormat="1" applyFont="1" applyBorder="1" applyProtection="1"/>
    <xf numFmtId="0" fontId="23" fillId="0" borderId="22" xfId="0" applyFont="1" applyBorder="1"/>
    <xf numFmtId="0" fontId="22" fillId="0" borderId="22" xfId="0" applyFont="1" applyBorder="1" applyAlignment="1">
      <alignment horizontal="right" indent="1"/>
    </xf>
    <xf numFmtId="44" fontId="23" fillId="0" borderId="23" xfId="3" applyFont="1" applyBorder="1" applyProtection="1"/>
    <xf numFmtId="164" fontId="22" fillId="0" borderId="24" xfId="2" applyNumberFormat="1" applyFont="1" applyBorder="1" applyProtection="1"/>
    <xf numFmtId="164" fontId="22" fillId="0" borderId="22" xfId="2" applyNumberFormat="1" applyFont="1" applyBorder="1" applyProtection="1"/>
    <xf numFmtId="164" fontId="22" fillId="0" borderId="23" xfId="2" applyNumberFormat="1" applyFont="1" applyBorder="1" applyProtection="1"/>
    <xf numFmtId="164" fontId="22" fillId="0" borderId="24" xfId="0" applyNumberFormat="1" applyFont="1" applyBorder="1"/>
    <xf numFmtId="165" fontId="22" fillId="0" borderId="22" xfId="3" applyNumberFormat="1" applyFont="1" applyBorder="1" applyProtection="1"/>
    <xf numFmtId="6" fontId="22" fillId="0" borderId="22" xfId="3" applyNumberFormat="1" applyFont="1" applyBorder="1" applyProtection="1"/>
    <xf numFmtId="0" fontId="7" fillId="3" borderId="0" xfId="0" applyFont="1" applyFill="1"/>
    <xf numFmtId="0" fontId="7" fillId="0" borderId="0" xfId="0" applyFont="1"/>
    <xf numFmtId="0" fontId="19" fillId="3" borderId="2" xfId="0" applyFont="1" applyFill="1" applyBorder="1" applyAlignment="1">
      <alignment horizontal="left" indent="1"/>
    </xf>
    <xf numFmtId="0" fontId="19" fillId="3" borderId="27" xfId="0" applyFont="1" applyFill="1" applyBorder="1"/>
    <xf numFmtId="0" fontId="19" fillId="3" borderId="27" xfId="0" applyFont="1" applyFill="1" applyBorder="1" applyAlignment="1">
      <alignment horizontal="right"/>
    </xf>
    <xf numFmtId="0" fontId="0" fillId="3" borderId="27" xfId="0" applyFill="1" applyBorder="1"/>
    <xf numFmtId="0" fontId="0" fillId="3" borderId="3" xfId="0" applyFill="1" applyBorder="1"/>
    <xf numFmtId="0" fontId="19" fillId="3" borderId="4" xfId="0" applyFont="1" applyFill="1" applyBorder="1" applyAlignment="1">
      <alignment horizontal="left" vertical="top" indent="1"/>
    </xf>
    <xf numFmtId="0" fontId="19" fillId="3" borderId="28" xfId="0" applyFont="1" applyFill="1" applyBorder="1"/>
    <xf numFmtId="0" fontId="19" fillId="3" borderId="28" xfId="0" applyFont="1" applyFill="1" applyBorder="1" applyAlignment="1">
      <alignment horizontal="right"/>
    </xf>
    <xf numFmtId="0" fontId="0" fillId="3" borderId="28" xfId="0" applyFill="1" applyBorder="1"/>
    <xf numFmtId="0" fontId="0" fillId="3" borderId="5" xfId="0" applyFill="1" applyBorder="1"/>
    <xf numFmtId="0" fontId="19" fillId="3" borderId="29" xfId="0" applyFont="1" applyFill="1" applyBorder="1" applyAlignment="1">
      <alignment horizontal="left" indent="1"/>
    </xf>
    <xf numFmtId="0" fontId="19" fillId="3" borderId="0" xfId="0" applyFont="1" applyFill="1"/>
    <xf numFmtId="0" fontId="19" fillId="3" borderId="0" xfId="0" applyFont="1" applyFill="1" applyAlignment="1">
      <alignment horizontal="right"/>
    </xf>
    <xf numFmtId="0" fontId="0" fillId="3" borderId="30" xfId="0" applyFill="1" applyBorder="1"/>
    <xf numFmtId="0" fontId="19" fillId="3" borderId="29" xfId="0" applyFont="1" applyFill="1" applyBorder="1" applyAlignment="1">
      <alignment horizontal="left" vertical="top" indent="1"/>
    </xf>
    <xf numFmtId="9" fontId="0" fillId="0" borderId="0" xfId="4" applyFont="1"/>
    <xf numFmtId="0" fontId="0" fillId="5" borderId="0" xfId="0" applyFill="1"/>
    <xf numFmtId="2" fontId="0" fillId="0" borderId="0" xfId="0" applyNumberFormat="1"/>
    <xf numFmtId="2" fontId="0" fillId="5" borderId="0" xfId="0" applyNumberFormat="1" applyFill="1"/>
    <xf numFmtId="166" fontId="0" fillId="0" borderId="0" xfId="4" applyNumberFormat="1" applyFont="1"/>
    <xf numFmtId="0" fontId="25" fillId="0" borderId="31" xfId="0" applyFont="1" applyBorder="1"/>
    <xf numFmtId="0" fontId="26" fillId="0" borderId="0" xfId="1" applyFont="1" applyAlignment="1">
      <alignment horizontal="left" vertical="top"/>
    </xf>
    <xf numFmtId="0" fontId="1" fillId="0" borderId="0" xfId="1" applyAlignment="1">
      <alignment horizontal="right" vertical="top"/>
    </xf>
    <xf numFmtId="0" fontId="1" fillId="0" borderId="28" xfId="1" applyBorder="1" applyAlignment="1">
      <alignment horizontal="right" vertical="top"/>
    </xf>
    <xf numFmtId="0" fontId="8" fillId="3" borderId="0" xfId="0" applyFont="1" applyFill="1" applyAlignment="1">
      <alignment horizontal="center"/>
    </xf>
  </cellXfs>
  <cellStyles count="5">
    <cellStyle name="Comma" xfId="2" builtinId="3"/>
    <cellStyle name="Currency" xfId="3" builtinId="4"/>
    <cellStyle name="Normal" xfId="0" builtinId="0"/>
    <cellStyle name="Normal 2" xfId="1" xr:uid="{0914B392-064C-476E-9A9E-06F3640EF578}"/>
    <cellStyle name="Percent" xfId="4" builtinId="5"/>
  </cellStyles>
  <dxfs count="23">
    <dxf>
      <numFmt numFmtId="19" formatCode="d/mm/yyyy"/>
    </dxf>
    <dxf>
      <numFmt numFmtId="19" formatCode="d/mm/yyyy"/>
    </dxf>
    <dxf>
      <numFmt numFmtId="19" formatCode="d/mm/yyyy"/>
    </dxf>
    <dxf>
      <numFmt numFmtId="0" formatCode="General"/>
    </dxf>
    <dxf>
      <numFmt numFmtId="19" formatCode="d/mm/yyyy"/>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absolute">
    <xdr:from>
      <xdr:col>11</xdr:col>
      <xdr:colOff>66675</xdr:colOff>
      <xdr:row>10</xdr:row>
      <xdr:rowOff>142875</xdr:rowOff>
    </xdr:from>
    <xdr:to>
      <xdr:col>14</xdr:col>
      <xdr:colOff>66675</xdr:colOff>
      <xdr:row>24</xdr:row>
      <xdr:rowOff>0</xdr:rowOff>
    </xdr:to>
    <mc:AlternateContent xmlns:mc="http://schemas.openxmlformats.org/markup-compatibility/2006" xmlns:sle15="http://schemas.microsoft.com/office/drawing/2012/slicer">
      <mc:Choice Requires="sle15">
        <xdr:graphicFrame macro="">
          <xdr:nvGraphicFramePr>
            <xdr:cNvPr id="2" name="Version">
              <a:extLst>
                <a:ext uri="{FF2B5EF4-FFF2-40B4-BE49-F238E27FC236}">
                  <a16:creationId xmlns:a16="http://schemas.microsoft.com/office/drawing/2014/main" id="{5135AEF9-DD6A-C278-DF4B-3DDD0092D9E6}"/>
                </a:ext>
              </a:extLst>
            </xdr:cNvPr>
            <xdr:cNvGraphicFramePr/>
          </xdr:nvGraphicFramePr>
          <xdr:xfrm>
            <a:off x="0" y="0"/>
            <a:ext cx="0" cy="0"/>
          </xdr:xfrm>
          <a:graphic>
            <a:graphicData uri="http://schemas.microsoft.com/office/drawing/2010/slicer">
              <sle:slicer xmlns:sle="http://schemas.microsoft.com/office/drawing/2010/slicer" name="Version"/>
            </a:graphicData>
          </a:graphic>
        </xdr:graphicFrame>
      </mc:Choice>
      <mc:Fallback xmlns="">
        <xdr:sp macro="" textlink="">
          <xdr:nvSpPr>
            <xdr:cNvPr id="0" name=""/>
            <xdr:cNvSpPr>
              <a:spLocks noTextEdit="1"/>
            </xdr:cNvSpPr>
          </xdr:nvSpPr>
          <xdr:spPr>
            <a:xfrm>
              <a:off x="8629650" y="3333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14</xdr:col>
      <xdr:colOff>400050</xdr:colOff>
      <xdr:row>10</xdr:row>
      <xdr:rowOff>104775</xdr:rowOff>
    </xdr:from>
    <xdr:to>
      <xdr:col>17</xdr:col>
      <xdr:colOff>400050</xdr:colOff>
      <xdr:row>23</xdr:row>
      <xdr:rowOff>152400</xdr:rowOff>
    </xdr:to>
    <mc:AlternateContent xmlns:mc="http://schemas.openxmlformats.org/markup-compatibility/2006" xmlns:sle15="http://schemas.microsoft.com/office/drawing/2012/slicer">
      <mc:Choice Requires="sle15">
        <xdr:graphicFrame macro="">
          <xdr:nvGraphicFramePr>
            <xdr:cNvPr id="4" name="Facility">
              <a:extLst>
                <a:ext uri="{FF2B5EF4-FFF2-40B4-BE49-F238E27FC236}">
                  <a16:creationId xmlns:a16="http://schemas.microsoft.com/office/drawing/2014/main" id="{90597407-53FA-75E9-95CA-A8B8B4C71785}"/>
                </a:ext>
              </a:extLst>
            </xdr:cNvPr>
            <xdr:cNvGraphicFramePr/>
          </xdr:nvGraphicFramePr>
          <xdr:xfrm>
            <a:off x="0" y="0"/>
            <a:ext cx="0" cy="0"/>
          </xdr:xfrm>
          <a:graphic>
            <a:graphicData uri="http://schemas.microsoft.com/office/drawing/2010/slicer">
              <sle:slicer xmlns:sle="http://schemas.microsoft.com/office/drawing/2010/slicer" name="Facility"/>
            </a:graphicData>
          </a:graphic>
        </xdr:graphicFrame>
      </mc:Choice>
      <mc:Fallback xmlns="">
        <xdr:sp macro="" textlink="">
          <xdr:nvSpPr>
            <xdr:cNvPr id="0" name=""/>
            <xdr:cNvSpPr>
              <a:spLocks noTextEdit="1"/>
            </xdr:cNvSpPr>
          </xdr:nvSpPr>
          <xdr:spPr>
            <a:xfrm>
              <a:off x="10791825" y="2952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centri001.sharepoint.com/sites/2.0Accounts/Shared%20Documents/IndoChinese%20Aged%20Care/4.%20Analysis/221223/2.%20Calculations/P6%20AEM-InefficiencyCheck.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entri001.sharepoint.com/sites/4.Production/Shared%20Documents/WFEffectiveness/4.1.1%20AGED%20CARE/01%20Christadelphian%20Aged%20Care/240715/FACILITIES/ASHB/2.%20Calculations/Settings%20Data.xlsx" TargetMode="External"/><Relationship Id="rId1" Type="http://schemas.openxmlformats.org/officeDocument/2006/relationships/externalLinkPath" Target="https://centri001.sharepoint.com/sites/4.Production/Shared%20Documents/WFEffectiveness/4.1.1%20AGED%20CARE/01%20Christadelphian%20Aged%20Care/240715/FACILITIES/ASHB/2.%20Calculations/Setting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ENSITY"/>
      <sheetName val="Months Days"/>
      <sheetName val="Input"/>
      <sheetName val="Factors"/>
      <sheetName val="Role Consol"/>
      <sheetName val="Names"/>
      <sheetName val="Transpose"/>
      <sheetName val="Demand"/>
      <sheetName val="NamesXPeriod"/>
      <sheetName val="NamesByDate+Leave"/>
      <sheetName val="Capacity"/>
      <sheetName val="Allocation"/>
      <sheetName val="Effort+Outcomes"/>
      <sheetName val="Pivot Check"/>
      <sheetName val="1Pool-AB-Op"/>
      <sheetName val="1Pool-EF-Op"/>
      <sheetName val="1Pool-IN-Op"/>
      <sheetName val="2Pond-Unit-AB"/>
      <sheetName val="2Pond-Unit-EF"/>
      <sheetName val="2Pond-Unit-IN"/>
      <sheetName val="2Pond-Role-AB"/>
      <sheetName val="2Pond-Role-EF"/>
      <sheetName val="2Pond-Role-IN"/>
      <sheetName val="3LakeAB"/>
      <sheetName val="3LakeEF"/>
      <sheetName val="3LakeIN"/>
      <sheetName val="SDTX PoolREG.ROLE"/>
      <sheetName val="SD PondROLE+IMP"/>
      <sheetName val="SD PondROLEBase"/>
      <sheetName val="SD PondROLES1"/>
      <sheetName val="IMP PondROLE"/>
      <sheetName val="WGT PondROLESBaseLake"/>
      <sheetName val="WGT PondROLES1Lake"/>
      <sheetName val="SD LakeBase"/>
      <sheetName val="SD LakeS1"/>
      <sheetName val="IMP Lake"/>
      <sheetName val="INTERVENTIONS"/>
      <sheetName val="Value"/>
      <sheetName val="$PoolMPACT"/>
      <sheetName val="$PoolIMPACTTranspose"/>
      <sheetName val="Sheet1"/>
      <sheetName val="Check"/>
    </sheetNames>
    <sheetDataSet>
      <sheetData sheetId="0" refreshError="1"/>
      <sheetData sheetId="1" refreshError="1"/>
      <sheetData sheetId="2" refreshError="1"/>
      <sheetData sheetId="3" refreshError="1">
        <row r="4">
          <cell r="B4">
            <v>1.25</v>
          </cell>
        </row>
        <row r="6">
          <cell r="B6">
            <v>1.25</v>
          </cell>
        </row>
        <row r="7">
          <cell r="B7">
            <v>1.5</v>
          </cell>
        </row>
        <row r="8">
          <cell r="B8">
            <v>1.5</v>
          </cell>
        </row>
        <row r="10">
          <cell r="B10">
            <v>1</v>
          </cell>
        </row>
        <row r="11">
          <cell r="B11">
            <v>1</v>
          </cell>
        </row>
        <row r="12">
          <cell r="B12">
            <v>1</v>
          </cell>
        </row>
        <row r="19">
          <cell r="B19">
            <v>2.5</v>
          </cell>
        </row>
        <row r="21">
          <cell r="B21">
            <v>12500</v>
          </cell>
        </row>
        <row r="22">
          <cell r="B22">
            <v>18750</v>
          </cell>
        </row>
        <row r="23">
          <cell r="B23">
            <v>31250</v>
          </cell>
          <cell r="E23">
            <v>3000000</v>
          </cell>
        </row>
        <row r="35">
          <cell r="B35">
            <v>0.02</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LEPATH-Facility"/>
      <sheetName val="MaxCapacity"/>
      <sheetName val="ShiftHours"/>
      <sheetName val="PermutationDimensions (2)"/>
      <sheetName val="DimensionPermutations"/>
      <sheetName val="Metadata"/>
      <sheetName val="AllocationExtracted"/>
    </sheetNames>
    <sheetDataSet>
      <sheetData sheetId="0" refreshError="1"/>
      <sheetData sheetId="1">
        <row r="2">
          <cell r="A2">
            <v>1</v>
          </cell>
        </row>
      </sheetData>
      <sheetData sheetId="2" refreshError="1"/>
      <sheetData sheetId="3" refreshError="1"/>
      <sheetData sheetId="4" refreshError="1"/>
      <sheetData sheetId="5" refreshError="1"/>
      <sheetData sheetId="6" refreshError="1"/>
    </sheetDataSet>
  </externalBook>
</externalLink>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3" xr16:uid="{BA0970F7-F3D3-4EA1-A31E-4F3417AD4500}" autoFormatId="16" applyNumberFormats="0" applyBorderFormats="0" applyFontFormats="0" applyPatternFormats="0" applyAlignmentFormats="0" applyWidthHeightFormats="0">
  <queryTableRefresh nextId="3">
    <queryTableFields count="2">
      <queryTableField id="1" name="Variable Name" tableColumnId="1"/>
      <queryTableField id="2" name="Val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292CFF5-EC16-459B-A3C4-6FA6BF6283F5}" autoFormatId="16" applyNumberFormats="0" applyBorderFormats="0" applyFontFormats="0" applyPatternFormats="0" applyAlignmentFormats="0" applyWidthHeightFormats="0">
  <queryTableRefresh nextId="63">
    <queryTableFields count="35">
      <queryTableField id="1" name="Date" tableColumnId="1"/>
      <queryTableField id="2" name="L1.1" tableColumnId="2"/>
      <queryTableField id="3" name="L1.2" tableColumnId="3"/>
      <queryTableField id="4" name="D" tableColumnId="4"/>
      <queryTableField id="5" name="Cs" tableColumnId="5"/>
      <queryTableField id="6" name="CX" tableColumnId="6"/>
      <queryTableField id="7" name="A" tableColumnId="7"/>
      <queryTableField id="8" name="Apn" tableColumnId="8"/>
      <queryTableField id="9" name="Apx" tableColumnId="9"/>
      <queryTableField id="10" name="Ai" tableColumnId="10"/>
      <queryTableField id="11" name="EXCESS OVER-ALLOCATION" tableColumnId="11"/>
      <queryTableField id="12" name="SPARE STRETCH" tableColumnId="12"/>
      <queryTableField id="13" name="SPARE SLACK" tableColumnId="13"/>
      <queryTableField id="14" name="SPARE STRETCH ALLOCATED" tableColumnId="14"/>
      <queryTableField id="15" name="SPARE SLACK ALLOCATED" tableColumnId="15"/>
      <queryTableField id="16" name="EXCESS STRETCH (ALLOCATED)" tableColumnId="16"/>
      <queryTableField id="17" name="EXCESS ALLOCATED SLACK" tableColumnId="17"/>
      <queryTableField id="18" name="EXCESS STRETCH" tableColumnId="18"/>
      <queryTableField id="19" name="EXCESS SLACK" tableColumnId="19"/>
      <queryTableField id="20" name="POTENTIAL SHORTFALL (OVER-ALLOCATED)" tableColumnId="20"/>
      <queryTableField id="21" name="POTENTIAL SHORTFALL" tableColumnId="21"/>
      <queryTableField id="22" name="WASTED STRETCH" tableColumnId="22"/>
      <queryTableField id="23" name="WASTED SLACK" tableColumnId="23"/>
      <queryTableField id="24" name="ALLOCATED STRETCH" tableColumnId="24"/>
      <queryTableField id="25" name="ALLOCATED SLACK" tableColumnId="25"/>
      <queryTableField id="26" name="UNALLOCATED SLACK" tableColumnId="26"/>
      <queryTableField id="27" name="LATENT" tableColumnId="27"/>
      <queryTableField id="28" name="LATENT.ALLOCATED" tableColumnId="28"/>
      <queryTableField id="29" name="LATENT.OVERALLOCATED" tableColumnId="29"/>
      <queryTableField id="30" name="AB Potential" tableColumnId="30"/>
      <queryTableField id="56" name="Facility" tableColumnId="33"/>
      <queryTableField id="54" name="CapacityMaxHC" tableColumnId="31"/>
      <queryTableField id="55" name="DATESHIFT" tableColumnId="32"/>
      <queryTableField id="61" name="DateX" tableColumnId="36"/>
      <queryTableField id="58" name="Version" tableColumnId="3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CC18ABC4-C46F-4174-8C25-7541C6CE0519}" autoFormatId="16" applyNumberFormats="0" applyBorderFormats="0" applyFontFormats="0" applyPatternFormats="0" applyAlignmentFormats="0" applyWidthHeightFormats="0">
  <queryTableRefresh nextId="37">
    <queryTableFields count="19">
      <queryTableField id="1" name="Date" tableColumnId="1"/>
      <queryTableField id="2" name="L1.1" tableColumnId="2"/>
      <queryTableField id="3" name="L1.2" tableColumnId="3"/>
      <queryTableField id="4" name="D" tableColumnId="4"/>
      <queryTableField id="25" name="Facility" tableColumnId="8"/>
      <queryTableField id="35" name="DateX" tableColumnId="20"/>
      <queryTableField id="31" name="Version" tableColumnId="15"/>
      <queryTableField id="5" name="ExcessAllocation" tableColumnId="5"/>
      <queryTableField id="26" name="ExcessAllocation-Reaslistic" tableColumnId="9"/>
      <queryTableField id="6" name="Shortage" tableColumnId="6"/>
      <queryTableField id="27" name="Shortage-Realistic" tableColumnId="10"/>
      <queryTableField id="7" name="PlannedOvertime" tableColumnId="7"/>
      <queryTableField id="19" name="Day Name" tableColumnId="17"/>
      <queryTableField id="21" name="Rates.Attribute" tableColumnId="18"/>
      <queryTableField id="22" name="Rates.Value" tableColumnId="19"/>
      <queryTableField id="11" name="UnnecessaryAllocation$" tableColumnId="11"/>
      <queryTableField id="12" name="ShortageReplacement$" tableColumnId="12"/>
      <queryTableField id="13" name="Overtime$" tableColumnId="13"/>
      <queryTableField id="14" name="InefficiencyCost" tableColumnId="1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3" xr16:uid="{35FC7701-A5DC-47E2-8BB3-49AA480CC22A}" autoFormatId="16" applyNumberFormats="0" applyBorderFormats="0" applyFontFormats="0" applyPatternFormats="0" applyAlignmentFormats="0" applyWidthHeightFormats="0">
  <queryTableRefresh nextId="9">
    <queryTableFields count="2">
      <queryTableField id="6" name="Facility" tableColumnId="2"/>
      <queryTableField id="8" name="Count" tableColumnId="1"/>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2" connectionId="12" xr16:uid="{335401E7-88DC-44AE-909F-D0610D4A51F2}" autoFormatId="16" applyNumberFormats="0" applyBorderFormats="0" applyFontFormats="0" applyPatternFormats="0" applyAlignmentFormats="0" applyWidthHeightFormats="0">
  <queryTableRefresh nextId="4">
    <queryTableFields count="2">
      <queryTableField id="1" name="Date" tableColumnId="1"/>
      <queryTableField id="3" name="TargetRate" tableColumnId="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3" connectionId="9" xr16:uid="{757BBF4D-674E-43ED-ADA2-473ECD86D717}" autoFormatId="16" applyNumberFormats="0" applyBorderFormats="0" applyFontFormats="0" applyPatternFormats="0" applyAlignmentFormats="0" applyWidthHeightFormats="0">
  <queryTableRefresh nextId="4">
    <queryTableFields count="3">
      <queryTableField id="1" name="Date" tableColumnId="1"/>
      <queryTableField id="2" name="Facility" tableColumnId="2"/>
      <queryTableField id="3" name="Savings" tableColumnId="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2" connectionId="8" xr16:uid="{B07D0A94-5249-415B-9D1C-07DE963795CD}" autoFormatId="16" applyNumberFormats="0" applyBorderFormats="0" applyFontFormats="0" applyPatternFormats="0" applyAlignmentFormats="0" applyWidthHeightFormats="0">
  <queryTableRefresh nextId="10">
    <queryTableFields count="3">
      <queryTableField id="3" name="Date" tableColumnId="3"/>
      <queryTableField id="8" name="Facility" tableColumnId="1"/>
      <queryTableField id="5" name="Savings" tableColumnId="4"/>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2" xr16:uid="{9015033E-780C-46B0-A0C1-FD28BC5A5D63}" autoFormatId="16" applyNumberFormats="0" applyBorderFormats="0" applyFontFormats="0" applyPatternFormats="0" applyAlignmentFormats="0" applyWidthHeightFormats="0">
  <queryTableRefresh nextId="12">
    <queryTableFields count="7">
      <queryTableField id="8" name="Version" tableColumnId="7"/>
      <queryTableField id="3" name="Facility" tableColumnId="3"/>
      <queryTableField id="1" name="L1.1" tableColumnId="1"/>
      <queryTableField id="2" name="RoleCost" tableColumnId="2"/>
      <queryTableField id="4" name="UnnecessaryAllocation" tableColumnId="4"/>
      <queryTableField id="5" name="Shortage Replacement" tableColumnId="5"/>
      <queryTableField id="6" name="OT"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rsion" xr10:uid="{F1A2611F-78AC-4B3A-9614-AB40398F26AC}" sourceName="Version">
  <extLst>
    <x:ext xmlns:x15="http://schemas.microsoft.com/office/spreadsheetml/2010/11/main" uri="{2F2917AC-EB37-4324-AD4E-5DD8C200BD13}">
      <x15:tableSlicerCache tableId="6" column="7"/>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 xr10:uid="{2E61C122-84A6-4381-9CFE-981C3EABAC5C}" sourceName="Facility">
  <extLst>
    <x:ext xmlns:x15="http://schemas.microsoft.com/office/spreadsheetml/2010/11/main" uri="{2F2917AC-EB37-4324-AD4E-5DD8C200BD13}">
      <x15:tableSlicerCache tableId="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rsion" xr10:uid="{683CBF66-8254-4A7C-B5B5-02415849F6F2}" cache="Slicer_Version" caption="Version" rowHeight="241300"/>
  <slicer name="Facility" xr10:uid="{7144B479-9DCA-4BCD-918B-1C0E9679EF23}" cache="Slicer_Facility" caption="Facility"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5160228-5AEF-46C1-9B0B-70F1102021D4}" name="UnitL1PathTABLE" displayName="UnitL1PathTABLE" ref="A3:B10" tableType="queryTable" totalsRowShown="0" headerRowDxfId="22" dataDxfId="21" headerRowCellStyle="Normal 2" dataCellStyle="Normal 2">
  <autoFilter ref="A3:B10" xr:uid="{4DEC0CF8-226F-4A41-80C6-7A1A66A55922}"/>
  <tableColumns count="2">
    <tableColumn id="1" xr3:uid="{28E8BD38-852E-477E-9290-C12CB72A8FC8}" uniqueName="1" name="Variable Name" queryTableFieldId="1" dataDxfId="20" dataCellStyle="Normal 2"/>
    <tableColumn id="2" xr3:uid="{2EAEF9C6-9000-40DA-B6EE-5D40B44F8B59}" uniqueName="2" name="Value" queryTableFieldId="2" dataDxfId="19" dataCellStyle="Normal 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692DBF6-3ECD-4F63-AEE1-C82BCE687309}" name="Rates" displayName="Rates" ref="A1:D3" totalsRowShown="0">
  <autoFilter ref="A1:D3" xr:uid="{C692DBF6-3ECD-4F63-AEE1-C82BCE687309}"/>
  <tableColumns count="4">
    <tableColumn id="1" xr3:uid="{39D88134-2B37-41F0-9262-5665D235DAB7}" name="Role"/>
    <tableColumn id="2" xr3:uid="{D3392DC6-62F7-4C41-AC65-10D4F6A01223}" name="Rate"/>
    <tableColumn id="3" xr3:uid="{A436EC23-10C2-4E83-9612-A3D799F5A5A0}" name="OTLoading"/>
    <tableColumn id="4" xr3:uid="{C90CAEC0-F0AF-4992-9FB9-D83CE55A06F3}" name="AgencyPremium"/>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98B0CBE-73A2-4F8B-A2EF-F58A37A724C7}" name="RatesDelta" displayName="RatesDelta" ref="H17:P26" totalsRowShown="0">
  <autoFilter ref="H17:P26" xr:uid="{B98B0CBE-73A2-4F8B-A2EF-F58A37A724C7}"/>
  <tableColumns count="9">
    <tableColumn id="1" xr3:uid="{0219450F-0F42-4906-8CB2-537BA17757A7}" name="Role"/>
    <tableColumn id="2" xr3:uid="{1A5B7ECF-0047-4BF8-AD72-CC836C44713D}" name="Period"/>
    <tableColumn id="3" xr3:uid="{84D5F6B9-C429-464C-BBB5-5FF39FBD6D25}" name="Monday" dataDxfId="18">
      <calculatedColumnFormula>J5-J11</calculatedColumnFormula>
    </tableColumn>
    <tableColumn id="11" xr3:uid="{80B48055-AB60-450A-A7A9-0C72040BD618}" name="Tuesday" dataDxfId="17">
      <calculatedColumnFormula>K5-K11</calculatedColumnFormula>
    </tableColumn>
    <tableColumn id="8" xr3:uid="{B19E5108-AB19-4C8B-BE0B-A75C5BA72773}" name="Wednesday" dataDxfId="16">
      <calculatedColumnFormula>L5-L11</calculatedColumnFormula>
    </tableColumn>
    <tableColumn id="7" xr3:uid="{095DCEC0-46D8-4C5D-ABDA-DE63455512A6}" name="Thursday" dataDxfId="15">
      <calculatedColumnFormula>M5-M11</calculatedColumnFormula>
    </tableColumn>
    <tableColumn id="6" xr3:uid="{E12B68C0-6919-4030-A3DF-D8DCB6C47C74}" name="Friday" dataDxfId="14">
      <calculatedColumnFormula>N5-N11</calculatedColumnFormula>
    </tableColumn>
    <tableColumn id="4" xr3:uid="{508E353A-32EF-4061-AEAA-51798F465D5E}" name="Saturday" dataDxfId="13">
      <calculatedColumnFormula>O5-O11</calculatedColumnFormula>
    </tableColumn>
    <tableColumn id="5" xr3:uid="{AC78659E-4681-4498-85DA-614053AD52F5}" name="Sunday" dataDxfId="12">
      <calculatedColumnFormula>P5-P11</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952DAD-7A59-4980-B6A4-7A4ADC63A1EA}" name="EffortOutcomesAG1_1DayShiftAB" displayName="EffortOutcomesAG1_1DayShiftAB" ref="A1:AI717" tableType="queryTable" totalsRowShown="0">
  <autoFilter ref="A1:AI717" xr:uid="{5F952DAD-7A59-4980-B6A4-7A4ADC63A1EA}"/>
  <tableColumns count="35">
    <tableColumn id="1" xr3:uid="{49A5B1F7-F483-4249-88FD-2EC30066A0AD}" uniqueName="1" name="Date" queryTableFieldId="1" dataDxfId="2"/>
    <tableColumn id="2" xr3:uid="{12A61FDC-7E6E-4D9C-8A09-0038AAD2B190}" uniqueName="2" name="L1.1" queryTableFieldId="2" dataDxfId="11"/>
    <tableColumn id="3" xr3:uid="{C71D5555-DC4E-48D7-BF46-7B8564840DC5}" uniqueName="3" name="L1.2" queryTableFieldId="3" dataDxfId="10"/>
    <tableColumn id="4" xr3:uid="{287A5614-D3DF-43ED-B4EE-45B4417136BA}" uniqueName="4" name="D" queryTableFieldId="4"/>
    <tableColumn id="5" xr3:uid="{BA218B9B-CF5E-4372-9589-29749DE4D0BE}" uniqueName="5" name="Cs" queryTableFieldId="5"/>
    <tableColumn id="6" xr3:uid="{C34D28BB-B978-4C45-9172-7C6189522DCB}" uniqueName="6" name="CX" queryTableFieldId="6"/>
    <tableColumn id="7" xr3:uid="{2A8B4AEB-E1CA-4014-8EC0-38A2F19FEB1C}" uniqueName="7" name="A" queryTableFieldId="7"/>
    <tableColumn id="8" xr3:uid="{8DC059DC-5B2D-477C-ABAE-2C0F05F383A6}" uniqueName="8" name="Apn" queryTableFieldId="8"/>
    <tableColumn id="9" xr3:uid="{5EB29CD2-9798-4C81-93CA-EAB2610809A6}" uniqueName="9" name="Apx" queryTableFieldId="9"/>
    <tableColumn id="10" xr3:uid="{F58C45E2-16C5-4D76-B8BD-FB0F5E9C06E4}" uniqueName="10" name="Ai" queryTableFieldId="10"/>
    <tableColumn id="11" xr3:uid="{5F4E18AA-B61D-4AA8-B22B-77D8970FC75E}" uniqueName="11" name="EXCESS OVER-ALLOCATION" queryTableFieldId="11"/>
    <tableColumn id="12" xr3:uid="{540436A0-1BDE-4875-977E-9987A9912907}" uniqueName="12" name="SPARE STRETCH" queryTableFieldId="12"/>
    <tableColumn id="13" xr3:uid="{FE733059-C24F-430B-9D0C-A3E21E6C3A76}" uniqueName="13" name="SPARE SLACK" queryTableFieldId="13"/>
    <tableColumn id="14" xr3:uid="{BB39C41D-0531-4428-AADE-7160EB14E9E5}" uniqueName="14" name="SPARE STRETCH ALLOCATED" queryTableFieldId="14"/>
    <tableColumn id="15" xr3:uid="{2D7BD112-D4D1-46EE-A643-6F03CA4ABCAD}" uniqueName="15" name="SPARE SLACK ALLOCATED" queryTableFieldId="15"/>
    <tableColumn id="16" xr3:uid="{6D2BCC02-4BE7-4304-A3FD-615287857D7B}" uniqueName="16" name="EXCESS STRETCH (ALLOCATED)" queryTableFieldId="16"/>
    <tableColumn id="17" xr3:uid="{5A146505-B454-4B05-BC58-05170D185FE3}" uniqueName="17" name="EXCESS ALLOCATED SLACK" queryTableFieldId="17"/>
    <tableColumn id="18" xr3:uid="{E8694FA9-38BC-4A85-9233-875D6F48DF9B}" uniqueName="18" name="EXCESS STRETCH" queryTableFieldId="18"/>
    <tableColumn id="19" xr3:uid="{7D893BF1-A76A-4874-B8A1-3AAA4F06B98D}" uniqueName="19" name="EXCESS SLACK" queryTableFieldId="19"/>
    <tableColumn id="20" xr3:uid="{6A6ED00A-B39F-49A9-B523-8166C2474C5B}" uniqueName="20" name="POTENTIAL SHORTFALL (OVER-ALLOCATED)" queryTableFieldId="20"/>
    <tableColumn id="21" xr3:uid="{2376D8DD-52DF-46D4-BB13-896EEDBD94AC}" uniqueName="21" name="POTENTIAL SHORTFALL" queryTableFieldId="21"/>
    <tableColumn id="22" xr3:uid="{8CDEDD44-2773-466C-8463-2E0BD9F51B70}" uniqueName="22" name="WASTED STRETCH" queryTableFieldId="22"/>
    <tableColumn id="23" xr3:uid="{DC63AB13-95EF-4073-9BA8-6FB384E29762}" uniqueName="23" name="WASTED SLACK" queryTableFieldId="23"/>
    <tableColumn id="24" xr3:uid="{5DD0D563-994E-4D3C-91A4-E631AFC1BED2}" uniqueName="24" name="ALLOCATED STRETCH" queryTableFieldId="24"/>
    <tableColumn id="25" xr3:uid="{2567B960-8524-4D6B-98A7-6DD2DD832138}" uniqueName="25" name="ALLOCATED SLACK" queryTableFieldId="25"/>
    <tableColumn id="26" xr3:uid="{CF4E13B1-8EE4-4E78-8F52-F442A4B0CA15}" uniqueName="26" name="UNALLOCATED SLACK" queryTableFieldId="26"/>
    <tableColumn id="27" xr3:uid="{9A0204B0-ED78-43EC-A5AF-0E92FDCAB64C}" uniqueName="27" name="LATENT" queryTableFieldId="27"/>
    <tableColumn id="28" xr3:uid="{806BBAC1-3EB2-4342-81EF-5520B75FA09E}" uniqueName="28" name="LATENT.ALLOCATED" queryTableFieldId="28"/>
    <tableColumn id="29" xr3:uid="{7B96071A-C004-4C2A-BE50-F199223CAEAB}" uniqueName="29" name="LATENT.OVERALLOCATED" queryTableFieldId="29"/>
    <tableColumn id="30" xr3:uid="{42F671FF-00B8-43E2-9402-A8B7970656FC}" uniqueName="30" name="AB Potential" queryTableFieldId="30"/>
    <tableColumn id="33" xr3:uid="{3DBA7D14-D8C9-451F-9E8E-8C1E62B25B76}" uniqueName="33" name="Facility" queryTableFieldId="56"/>
    <tableColumn id="31" xr3:uid="{6B39F351-E660-442C-86FC-3382E9A79FFE}" uniqueName="31" name="CapacityMaxHC" queryTableFieldId="54"/>
    <tableColumn id="32" xr3:uid="{5CDC34E0-1BEB-4E8D-A470-6C811D92539D}" uniqueName="32" name="DATESHIFT" queryTableFieldId="55"/>
    <tableColumn id="36" xr3:uid="{78C539ED-2202-4C8B-8550-B39007897D8C}" uniqueName="36" name="DateX" queryTableFieldId="61"/>
    <tableColumn id="34" xr3:uid="{4674B705-81A1-4620-B5E4-82928626AE7A}" uniqueName="34" name="Version" queryTableFieldId="5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DD4E535-FE73-48B5-A524-EDB13EC0802C}" name="CostAG1_1DayShiftAB" displayName="CostAG1_1DayShiftAB" ref="A1:S717" tableType="queryTable" totalsRowShown="0">
  <autoFilter ref="A1:S717" xr:uid="{1DD4E535-FE73-48B5-A524-EDB13EC0802C}"/>
  <tableColumns count="19">
    <tableColumn id="1" xr3:uid="{23163B4F-FCD7-431E-8586-92A042DDF304}" uniqueName="1" name="Date" queryTableFieldId="1" dataDxfId="1"/>
    <tableColumn id="2" xr3:uid="{E7B49204-66DD-4FCE-AAB1-EB4A6AE61421}" uniqueName="2" name="L1.1" queryTableFieldId="2" dataDxfId="9"/>
    <tableColumn id="3" xr3:uid="{9E4432ED-375C-41C7-9071-8C6D62D8E7C7}" uniqueName="3" name="L1.2" queryTableFieldId="3" dataDxfId="8"/>
    <tableColumn id="4" xr3:uid="{ED3545DB-E0D4-4634-A01A-83077F64CEAA}" uniqueName="4" name="D" queryTableFieldId="4"/>
    <tableColumn id="8" xr3:uid="{59A202F4-7EE1-4968-9F4B-75E19CE9BE40}" uniqueName="8" name="Facility" queryTableFieldId="25"/>
    <tableColumn id="20" xr3:uid="{9337E68A-067F-4497-9E47-757E335D764D}" uniqueName="20" name="DateX" queryTableFieldId="35"/>
    <tableColumn id="15" xr3:uid="{4DD5C1E9-5F02-4127-BBD9-C2C2DB00B57A}" uniqueName="15" name="Version" queryTableFieldId="31"/>
    <tableColumn id="5" xr3:uid="{9C8F0DB2-5A63-4593-BF86-EC04265AF34B}" uniqueName="5" name="ExcessAllocation" queryTableFieldId="5"/>
    <tableColumn id="9" xr3:uid="{666FA46F-20D0-4ADC-B768-BBC0C0BB3375}" uniqueName="9" name="ExcessAllocation-Reaslistic" queryTableFieldId="26"/>
    <tableColumn id="6" xr3:uid="{4C43B9EF-CBE7-482C-BDDC-8AF4EB02279E}" uniqueName="6" name="Shortage" queryTableFieldId="6"/>
    <tableColumn id="10" xr3:uid="{6DE5B5E2-B413-482B-B931-37473E42A784}" uniqueName="10" name="Shortage-Realistic" queryTableFieldId="27"/>
    <tableColumn id="7" xr3:uid="{0C4145FC-E490-4C03-8DE9-B698552F3FA9}" uniqueName="7" name="PlannedOvertime" queryTableFieldId="7"/>
    <tableColumn id="17" xr3:uid="{DCFF978F-3CB3-4005-95A0-3A48D033E208}" uniqueName="17" name="Day Name" queryTableFieldId="19" dataDxfId="7"/>
    <tableColumn id="18" xr3:uid="{3F81B64B-10B4-466C-B2A1-2E56C2C8C9D9}" uniqueName="18" name="Rates.Attribute" queryTableFieldId="21" dataDxfId="6"/>
    <tableColumn id="19" xr3:uid="{B7E605B9-3E9C-46CC-96EC-FA1B7380A5B2}" uniqueName="19" name="Rates.Value" queryTableFieldId="22"/>
    <tableColumn id="11" xr3:uid="{CBA09C3F-F159-4B66-95A0-4FBD70A4A4D1}" uniqueName="11" name="UnnecessaryAllocation$" queryTableFieldId="11"/>
    <tableColumn id="12" xr3:uid="{D77CD316-16F0-45CA-ADA1-8603AA8ACC36}" uniqueName="12" name="ShortageReplacement$" queryTableFieldId="12"/>
    <tableColumn id="13" xr3:uid="{01313F32-A6F9-456C-82B9-E69F1C4675C7}" uniqueName="13" name="Overtime$" queryTableFieldId="13"/>
    <tableColumn id="14" xr3:uid="{45C24500-F627-40A2-978D-D478DDEAFBEC}" uniqueName="14" name="InefficiencyCost" queryTableFieldId="1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7402B85-4613-4B85-A0D4-F82D42BF8A53}" name="Table_CostPerDay" displayName="Table_CostPerDay" ref="A1:B4" tableType="queryTable" totalsRowShown="0">
  <autoFilter ref="A1:B4" xr:uid="{67402B85-4613-4B85-A0D4-F82D42BF8A53}"/>
  <tableColumns count="2">
    <tableColumn id="2" xr3:uid="{A234161E-48A1-47A4-8282-5F7D53ADA238}" uniqueName="2" name="Facility" queryTableFieldId="6"/>
    <tableColumn id="1" xr3:uid="{B1426501-2716-4211-908F-F1474325A794}" uniqueName="1" name="Count" queryTableFieldId="8"/>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F3F85F4-17DF-4EA1-8A77-E4A2D558D89B}" name="Table_TargetRatebyDate" displayName="Table_TargetRatebyDate" ref="A1:B29" tableType="queryTable" totalsRowShown="0">
  <autoFilter ref="A1:B29" xr:uid="{2F3F85F4-17DF-4EA1-8A77-E4A2D558D89B}"/>
  <tableColumns count="2">
    <tableColumn id="1" xr3:uid="{737168CC-969B-46C5-A74D-2E8EF1A40EFD}" uniqueName="1" name="Date" queryTableFieldId="1" dataDxfId="0"/>
    <tableColumn id="3" xr3:uid="{34255EEE-188C-426A-9281-1B104FB09B8C}" uniqueName="3" name="TargetRate" queryTableFieldId="3"/>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42040AB-78F7-4A03-B25E-38D984DE46AF}" name="Table_SavingFacilityDay" displayName="Table_SavingFacilityDay" ref="A1:C29" tableType="queryTable" totalsRowShown="0">
  <autoFilter ref="A1:C29" xr:uid="{042040AB-78F7-4A03-B25E-38D984DE46AF}"/>
  <tableColumns count="3">
    <tableColumn id="1" xr3:uid="{92D367CC-525A-43C0-9E65-164C2ED8C263}" uniqueName="1" name="Date" queryTableFieldId="1" dataDxfId="5"/>
    <tableColumn id="2" xr3:uid="{CFAFBDD9-1E00-432F-8377-7FC875753DD0}" uniqueName="2" name="Facility" queryTableFieldId="2"/>
    <tableColumn id="3" xr3:uid="{2F2D5019-67EE-4016-8595-EDE3BA3F58D5}" uniqueName="3" name="Savings" queryTableFieldId="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9C4BC0F-78F6-4F98-81C8-0EBCED377C79}" name="Table_Saving" displayName="Table_Saving" ref="A1:C29" tableType="queryTable" totalsRowShown="0">
  <autoFilter ref="A1:C29" xr:uid="{E9C4BC0F-78F6-4F98-81C8-0EBCED377C79}"/>
  <tableColumns count="3">
    <tableColumn id="3" xr3:uid="{29C97FFD-C884-44ED-BBF6-05EDDA059EDE}" uniqueName="3" name="Date" queryTableFieldId="3" dataDxfId="4"/>
    <tableColumn id="1" xr3:uid="{0FEEE663-0DE4-45AC-B514-A26AC81F3322}" uniqueName="1" name="Facility" queryTableFieldId="8"/>
    <tableColumn id="4" xr3:uid="{4C9BA048-1FA5-4EA1-988B-ADD0E7F905BF}" uniqueName="4" name="Savings" queryTableFieldId="5"/>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3D50C43-EB2A-4D16-8B49-70207D1F2643}" name="Table_CostAG1_1DayShiftABSummary" displayName="Table_CostAG1_1DayShiftABSummary" ref="A1:G11" tableType="queryTable" totalsRowCount="1">
  <autoFilter ref="A1:G10" xr:uid="{C3D50C43-EB2A-4D16-8B49-70207D1F2643}">
    <filterColumn colId="0">
      <filters>
        <filter val="Base"/>
      </filters>
    </filterColumn>
  </autoFilter>
  <tableColumns count="7">
    <tableColumn id="7" xr3:uid="{9243356B-F7B2-4457-8F6F-B48A184BABFC}" uniqueName="7" name="Version" queryTableFieldId="8"/>
    <tableColumn id="3" xr3:uid="{A1B82DA1-D94B-49AA-9B3F-E7363FF51344}" uniqueName="3" name="Facility" queryTableFieldId="3"/>
    <tableColumn id="1" xr3:uid="{842AD35A-1AD4-4788-B4E8-F5D7C7214194}" uniqueName="1" name="L1.1" queryTableFieldId="1" dataDxfId="3"/>
    <tableColumn id="2" xr3:uid="{879E251D-6825-40AE-A010-7147A11B88F0}" uniqueName="2" name="RoleCost" totalsRowFunction="sum" queryTableFieldId="2"/>
    <tableColumn id="4" xr3:uid="{77229F25-B5EE-47C7-AAA7-434AF0D41E02}" uniqueName="4" name="UnnecessaryAllocation" queryTableFieldId="4"/>
    <tableColumn id="5" xr3:uid="{BC5E91B1-5EB6-4BB8-B25C-0427AA4B1623}" uniqueName="5" name="Shortage Replacement" queryTableFieldId="5"/>
    <tableColumn id="6" xr3:uid="{E96F41E8-8E6E-455B-B27B-36BD9670AF07}" uniqueName="6" name="OT" queryTableFieldId="6"/>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0.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3AA5F-719C-4DF3-A49D-5709DC886B4E}">
  <sheetPr>
    <tabColor rgb="FFFFFF00"/>
  </sheetPr>
  <dimension ref="A1:C31"/>
  <sheetViews>
    <sheetView tabSelected="1" workbookViewId="0">
      <selection activeCell="G7" sqref="G7"/>
    </sheetView>
  </sheetViews>
  <sheetFormatPr defaultColWidth="8" defaultRowHeight="12.75" x14ac:dyDescent="0.25"/>
  <cols>
    <col min="1" max="1" width="14.85546875" style="3" bestFit="1" customWidth="1"/>
    <col min="2" max="2" width="7.85546875" style="3" bestFit="1" customWidth="1"/>
    <col min="3" max="3" width="14.85546875" style="3" customWidth="1"/>
    <col min="4" max="16384" width="8" style="3"/>
  </cols>
  <sheetData>
    <row r="1" spans="1:2" ht="15" x14ac:dyDescent="0.25">
      <c r="A1" s="139" t="s">
        <v>143</v>
      </c>
      <c r="B1" s="139" t="str" cm="1">
        <f t="array" aca="1" ref="B1" ca="1">CELL("filename")</f>
        <v>C:\Users\Alex\CentriNOTSYNC\ResidentialCare\CLIENT\DATExx-Whiddon\2. Calculations\Cost\[Cost..xlsx]Unit1Path</v>
      </c>
    </row>
    <row r="2" spans="1:2" x14ac:dyDescent="0.25">
      <c r="A2" s="4"/>
      <c r="B2" s="4"/>
    </row>
    <row r="3" spans="1:2" x14ac:dyDescent="0.25">
      <c r="A3" s="4" t="s">
        <v>154</v>
      </c>
      <c r="B3" s="4" t="s">
        <v>155</v>
      </c>
    </row>
    <row r="4" spans="1:2" ht="15" x14ac:dyDescent="0.25">
      <c r="A4" t="s">
        <v>156</v>
      </c>
      <c r="B4"/>
    </row>
    <row r="5" spans="1:2" ht="15" x14ac:dyDescent="0.25">
      <c r="A5" t="s">
        <v>157</v>
      </c>
      <c r="B5"/>
    </row>
    <row r="6" spans="1:2" ht="15" x14ac:dyDescent="0.25">
      <c r="A6" t="s">
        <v>158</v>
      </c>
      <c r="B6"/>
    </row>
    <row r="7" spans="1:2" ht="15" x14ac:dyDescent="0.25">
      <c r="A7" t="s">
        <v>144</v>
      </c>
      <c r="B7"/>
    </row>
    <row r="8" spans="1:2" ht="15" x14ac:dyDescent="0.25">
      <c r="A8" t="s">
        <v>0</v>
      </c>
      <c r="B8"/>
    </row>
    <row r="9" spans="1:2" ht="15" x14ac:dyDescent="0.25">
      <c r="A9" t="s">
        <v>159</v>
      </c>
      <c r="B9"/>
    </row>
    <row r="10" spans="1:2" ht="15" x14ac:dyDescent="0.25">
      <c r="A10" t="s">
        <v>160</v>
      </c>
      <c r="B10"/>
    </row>
    <row r="11" spans="1:2" x14ac:dyDescent="0.25">
      <c r="A11" s="4"/>
      <c r="B11" s="4"/>
    </row>
    <row r="12" spans="1:2" x14ac:dyDescent="0.25">
      <c r="A12" s="4"/>
      <c r="B12" s="4"/>
    </row>
    <row r="15" spans="1:2" x14ac:dyDescent="0.25">
      <c r="A15" s="4"/>
      <c r="B15" s="4"/>
    </row>
    <row r="16" spans="1:2" x14ac:dyDescent="0.25">
      <c r="A16" s="140"/>
      <c r="B16" s="4"/>
    </row>
    <row r="17" spans="1:3" x14ac:dyDescent="0.25">
      <c r="A17" s="4"/>
      <c r="B17" s="4"/>
    </row>
    <row r="18" spans="1:3" x14ac:dyDescent="0.25">
      <c r="A18" s="4"/>
      <c r="B18" s="4"/>
    </row>
    <row r="19" spans="1:3" ht="15" x14ac:dyDescent="0.25">
      <c r="A19" s="5"/>
      <c r="B19"/>
    </row>
    <row r="20" spans="1:3" x14ac:dyDescent="0.25">
      <c r="A20" s="4"/>
      <c r="B20" s="4"/>
      <c r="C20" s="141"/>
    </row>
    <row r="21" spans="1:3" x14ac:dyDescent="0.25">
      <c r="C21" s="141"/>
    </row>
    <row r="22" spans="1:3" x14ac:dyDescent="0.25">
      <c r="C22" s="141"/>
    </row>
    <row r="23" spans="1:3" x14ac:dyDescent="0.25">
      <c r="C23" s="141"/>
    </row>
    <row r="24" spans="1:3" x14ac:dyDescent="0.25">
      <c r="A24" s="2"/>
      <c r="B24" s="2"/>
      <c r="C24" s="142"/>
    </row>
    <row r="25" spans="1:3" x14ac:dyDescent="0.25">
      <c r="C25" s="141"/>
    </row>
    <row r="26" spans="1:3" x14ac:dyDescent="0.25">
      <c r="A26" s="141"/>
      <c r="B26" s="141"/>
      <c r="C26" s="141"/>
    </row>
    <row r="27" spans="1:3" x14ac:dyDescent="0.25">
      <c r="A27" s="141"/>
      <c r="B27" s="141"/>
      <c r="C27" s="141"/>
    </row>
    <row r="31" spans="1:3" x14ac:dyDescent="0.25">
      <c r="B31" s="6"/>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12BBE-902F-4251-A7D7-D522F85D3658}">
  <dimension ref="A1:R26"/>
  <sheetViews>
    <sheetView topLeftCell="D4" zoomScale="205" zoomScaleNormal="205" workbookViewId="0">
      <selection activeCell="J18" sqref="J18"/>
    </sheetView>
  </sheetViews>
  <sheetFormatPr defaultRowHeight="15" x14ac:dyDescent="0.25"/>
  <cols>
    <col min="1" max="1" width="16" customWidth="1"/>
    <col min="3" max="3" width="12.42578125" customWidth="1"/>
    <col min="4" max="4" width="17.7109375" customWidth="1"/>
    <col min="8" max="8" width="17.28515625" customWidth="1"/>
    <col min="10" max="16" width="9.5703125" customWidth="1"/>
    <col min="17" max="17" width="14.42578125" customWidth="1"/>
    <col min="18" max="18" width="13" customWidth="1"/>
  </cols>
  <sheetData>
    <row r="1" spans="1:18" x14ac:dyDescent="0.25">
      <c r="A1" t="s">
        <v>1</v>
      </c>
      <c r="B1" t="s">
        <v>35</v>
      </c>
      <c r="C1" t="s">
        <v>36</v>
      </c>
      <c r="D1" t="s">
        <v>37</v>
      </c>
    </row>
    <row r="2" spans="1:18" x14ac:dyDescent="0.25">
      <c r="A2" t="s">
        <v>47</v>
      </c>
      <c r="B2">
        <v>23</v>
      </c>
      <c r="C2">
        <v>0.5</v>
      </c>
      <c r="D2">
        <v>0.85</v>
      </c>
    </row>
    <row r="3" spans="1:18" x14ac:dyDescent="0.25">
      <c r="A3" t="s">
        <v>48</v>
      </c>
      <c r="B3">
        <v>44</v>
      </c>
      <c r="C3">
        <v>0.5</v>
      </c>
      <c r="D3">
        <v>0.75</v>
      </c>
      <c r="O3" s="134">
        <v>1.5</v>
      </c>
      <c r="P3" s="134">
        <v>1.75</v>
      </c>
    </row>
    <row r="4" spans="1:18" x14ac:dyDescent="0.25">
      <c r="J4" t="s">
        <v>118</v>
      </c>
      <c r="O4" t="s">
        <v>130</v>
      </c>
      <c r="P4" t="s">
        <v>131</v>
      </c>
    </row>
    <row r="5" spans="1:18" x14ac:dyDescent="0.25">
      <c r="G5" t="s">
        <v>121</v>
      </c>
      <c r="H5" t="s">
        <v>13</v>
      </c>
      <c r="I5" s="7" t="s">
        <v>10</v>
      </c>
      <c r="J5">
        <v>66</v>
      </c>
      <c r="K5">
        <v>66</v>
      </c>
      <c r="L5">
        <v>66</v>
      </c>
      <c r="M5">
        <v>66</v>
      </c>
      <c r="N5">
        <v>66</v>
      </c>
      <c r="O5">
        <v>122.16</v>
      </c>
      <c r="P5">
        <v>142.53</v>
      </c>
    </row>
    <row r="6" spans="1:18" x14ac:dyDescent="0.25">
      <c r="G6" t="s">
        <v>121</v>
      </c>
      <c r="H6" t="s">
        <v>13</v>
      </c>
      <c r="I6" s="8" t="s">
        <v>12</v>
      </c>
      <c r="J6">
        <v>93</v>
      </c>
      <c r="K6">
        <v>93</v>
      </c>
      <c r="L6">
        <v>93</v>
      </c>
      <c r="M6">
        <v>93</v>
      </c>
      <c r="N6">
        <v>93</v>
      </c>
      <c r="O6">
        <v>122.16</v>
      </c>
      <c r="P6">
        <v>142.53</v>
      </c>
    </row>
    <row r="7" spans="1:18" x14ac:dyDescent="0.25">
      <c r="G7" t="s">
        <v>121</v>
      </c>
      <c r="H7" t="s">
        <v>13</v>
      </c>
      <c r="I7" s="7" t="s">
        <v>96</v>
      </c>
      <c r="J7">
        <v>95.02</v>
      </c>
      <c r="K7">
        <v>95.02</v>
      </c>
      <c r="L7">
        <v>95.02</v>
      </c>
      <c r="M7">
        <v>95.02</v>
      </c>
      <c r="N7">
        <v>95.02</v>
      </c>
      <c r="O7">
        <v>122.16</v>
      </c>
      <c r="P7">
        <v>142.53</v>
      </c>
    </row>
    <row r="8" spans="1:18" x14ac:dyDescent="0.25">
      <c r="G8" t="s">
        <v>121</v>
      </c>
      <c r="H8" t="s">
        <v>148</v>
      </c>
      <c r="I8" s="7" t="s">
        <v>10</v>
      </c>
      <c r="J8">
        <v>51.25</v>
      </c>
      <c r="K8">
        <v>51.25</v>
      </c>
      <c r="L8">
        <v>51.25</v>
      </c>
      <c r="M8">
        <v>51.25</v>
      </c>
      <c r="N8">
        <v>51.25</v>
      </c>
      <c r="O8">
        <v>73.12</v>
      </c>
      <c r="P8">
        <v>84.23</v>
      </c>
    </row>
    <row r="9" spans="1:18" x14ac:dyDescent="0.25">
      <c r="G9" t="s">
        <v>121</v>
      </c>
      <c r="H9" t="s">
        <v>148</v>
      </c>
      <c r="I9" s="8" t="s">
        <v>12</v>
      </c>
      <c r="J9">
        <v>55</v>
      </c>
      <c r="K9">
        <v>55</v>
      </c>
      <c r="L9">
        <v>55</v>
      </c>
      <c r="M9">
        <v>55</v>
      </c>
      <c r="N9">
        <v>55</v>
      </c>
      <c r="O9">
        <v>73.12</v>
      </c>
      <c r="P9">
        <v>84.23</v>
      </c>
    </row>
    <row r="10" spans="1:18" x14ac:dyDescent="0.25">
      <c r="G10" t="s">
        <v>121</v>
      </c>
      <c r="H10" t="s">
        <v>148</v>
      </c>
      <c r="I10" s="7" t="s">
        <v>96</v>
      </c>
      <c r="J10">
        <v>56.65</v>
      </c>
      <c r="K10">
        <v>56.65</v>
      </c>
      <c r="L10">
        <v>56.65</v>
      </c>
      <c r="M10">
        <v>56.65</v>
      </c>
      <c r="N10">
        <v>56.65</v>
      </c>
      <c r="O10">
        <v>73.12</v>
      </c>
      <c r="P10">
        <v>84.23</v>
      </c>
    </row>
    <row r="11" spans="1:18" x14ac:dyDescent="0.25">
      <c r="G11" t="s">
        <v>122</v>
      </c>
      <c r="H11" t="s">
        <v>13</v>
      </c>
      <c r="I11" s="7" t="s">
        <v>10</v>
      </c>
      <c r="J11">
        <v>42.88</v>
      </c>
      <c r="K11">
        <v>42.88</v>
      </c>
      <c r="L11">
        <v>42.88</v>
      </c>
      <c r="M11">
        <v>42.88</v>
      </c>
      <c r="N11">
        <v>42.88</v>
      </c>
      <c r="O11" s="135">
        <f>$O$3*J11</f>
        <v>64.320000000000007</v>
      </c>
      <c r="P11" s="135">
        <f>J11*$P$3</f>
        <v>75.040000000000006</v>
      </c>
    </row>
    <row r="12" spans="1:18" x14ac:dyDescent="0.25">
      <c r="G12" t="s">
        <v>122</v>
      </c>
      <c r="H12" t="s">
        <v>13</v>
      </c>
      <c r="I12" s="8" t="s">
        <v>12</v>
      </c>
      <c r="J12">
        <f>J11*$Q$15</f>
        <v>48.24</v>
      </c>
      <c r="K12">
        <f t="shared" ref="K12:P12" si="0">K11*$Q$15</f>
        <v>48.24</v>
      </c>
      <c r="L12">
        <f t="shared" si="0"/>
        <v>48.24</v>
      </c>
      <c r="M12">
        <f t="shared" si="0"/>
        <v>48.24</v>
      </c>
      <c r="N12">
        <f t="shared" si="0"/>
        <v>48.24</v>
      </c>
      <c r="O12">
        <f t="shared" si="0"/>
        <v>72.360000000000014</v>
      </c>
      <c r="P12">
        <f t="shared" si="0"/>
        <v>84.42</v>
      </c>
    </row>
    <row r="13" spans="1:18" x14ac:dyDescent="0.25">
      <c r="G13" t="s">
        <v>122</v>
      </c>
      <c r="H13" t="s">
        <v>13</v>
      </c>
      <c r="I13" s="7" t="s">
        <v>96</v>
      </c>
      <c r="J13">
        <f>J11*$Q$16</f>
        <v>49.311999999999998</v>
      </c>
      <c r="K13">
        <f t="shared" ref="K13:P13" si="1">K11*$Q$16</f>
        <v>49.311999999999998</v>
      </c>
      <c r="L13">
        <f t="shared" si="1"/>
        <v>49.311999999999998</v>
      </c>
      <c r="M13">
        <f t="shared" si="1"/>
        <v>49.311999999999998</v>
      </c>
      <c r="N13">
        <f t="shared" si="1"/>
        <v>49.311999999999998</v>
      </c>
      <c r="O13">
        <f t="shared" si="1"/>
        <v>73.968000000000004</v>
      </c>
      <c r="P13">
        <f t="shared" si="1"/>
        <v>86.296000000000006</v>
      </c>
    </row>
    <row r="14" spans="1:18" x14ac:dyDescent="0.25">
      <c r="G14" t="s">
        <v>122</v>
      </c>
      <c r="H14" t="s">
        <v>148</v>
      </c>
      <c r="I14" s="7" t="s">
        <v>10</v>
      </c>
      <c r="J14">
        <v>23.68</v>
      </c>
      <c r="K14">
        <v>23.68</v>
      </c>
      <c r="L14">
        <v>23.68</v>
      </c>
      <c r="M14">
        <v>23.68</v>
      </c>
      <c r="N14">
        <v>23.68</v>
      </c>
      <c r="O14" s="135">
        <f>$O$3*J14</f>
        <v>35.519999999999996</v>
      </c>
      <c r="P14" s="135">
        <f>J14*$P$3</f>
        <v>41.44</v>
      </c>
    </row>
    <row r="15" spans="1:18" x14ac:dyDescent="0.25">
      <c r="G15" t="s">
        <v>122</v>
      </c>
      <c r="H15" t="s">
        <v>148</v>
      </c>
      <c r="I15" s="8" t="s">
        <v>12</v>
      </c>
      <c r="J15" s="136">
        <f>J14*$Q$15</f>
        <v>26.64</v>
      </c>
      <c r="K15" s="136">
        <f t="shared" ref="K15:P15" si="2">K14*$Q$15</f>
        <v>26.64</v>
      </c>
      <c r="L15" s="136">
        <f t="shared" si="2"/>
        <v>26.64</v>
      </c>
      <c r="M15" s="136">
        <f t="shared" si="2"/>
        <v>26.64</v>
      </c>
      <c r="N15" s="136">
        <f t="shared" si="2"/>
        <v>26.64</v>
      </c>
      <c r="O15" s="136">
        <f t="shared" si="2"/>
        <v>39.959999999999994</v>
      </c>
      <c r="P15" s="136">
        <f t="shared" si="2"/>
        <v>46.62</v>
      </c>
      <c r="Q15" s="138">
        <v>1.125</v>
      </c>
      <c r="R15" t="s">
        <v>12</v>
      </c>
    </row>
    <row r="16" spans="1:18" x14ac:dyDescent="0.25">
      <c r="G16" t="s">
        <v>122</v>
      </c>
      <c r="H16" t="s">
        <v>148</v>
      </c>
      <c r="I16" s="7" t="s">
        <v>96</v>
      </c>
      <c r="J16" s="136">
        <f>J14*$Q$16</f>
        <v>27.231999999999999</v>
      </c>
      <c r="K16" s="136">
        <f t="shared" ref="K16:P16" si="3">K14*$Q$16</f>
        <v>27.231999999999999</v>
      </c>
      <c r="L16" s="136">
        <f t="shared" si="3"/>
        <v>27.231999999999999</v>
      </c>
      <c r="M16" s="136">
        <f t="shared" si="3"/>
        <v>27.231999999999999</v>
      </c>
      <c r="N16" s="136">
        <f t="shared" si="3"/>
        <v>27.231999999999999</v>
      </c>
      <c r="O16" s="136">
        <f t="shared" si="3"/>
        <v>40.847999999999992</v>
      </c>
      <c r="P16" s="136">
        <f t="shared" si="3"/>
        <v>47.655999999999992</v>
      </c>
      <c r="Q16" s="138">
        <v>1.1499999999999999</v>
      </c>
      <c r="R16" t="s">
        <v>96</v>
      </c>
    </row>
    <row r="17" spans="8:16" x14ac:dyDescent="0.25">
      <c r="H17" t="s">
        <v>1</v>
      </c>
      <c r="I17" t="s">
        <v>123</v>
      </c>
      <c r="J17" t="s">
        <v>125</v>
      </c>
      <c r="K17" t="s">
        <v>126</v>
      </c>
      <c r="L17" t="s">
        <v>127</v>
      </c>
      <c r="M17" t="s">
        <v>128</v>
      </c>
      <c r="N17" t="s">
        <v>129</v>
      </c>
      <c r="O17" t="s">
        <v>119</v>
      </c>
      <c r="P17" t="s">
        <v>120</v>
      </c>
    </row>
    <row r="18" spans="8:16" x14ac:dyDescent="0.25">
      <c r="H18" t="s">
        <v>48</v>
      </c>
      <c r="I18" t="s">
        <v>10</v>
      </c>
      <c r="J18" s="136">
        <f>J5-J11</f>
        <v>23.119999999999997</v>
      </c>
      <c r="K18" s="136">
        <f t="shared" ref="K18:P18" si="4">K5-K11</f>
        <v>23.119999999999997</v>
      </c>
      <c r="L18" s="136">
        <f t="shared" si="4"/>
        <v>23.119999999999997</v>
      </c>
      <c r="M18" s="136">
        <f t="shared" si="4"/>
        <v>23.119999999999997</v>
      </c>
      <c r="N18" s="136">
        <f t="shared" si="4"/>
        <v>23.119999999999997</v>
      </c>
      <c r="O18" s="136">
        <f t="shared" si="4"/>
        <v>57.839999999999989</v>
      </c>
      <c r="P18" s="136">
        <f t="shared" si="4"/>
        <v>67.489999999999995</v>
      </c>
    </row>
    <row r="19" spans="8:16" x14ac:dyDescent="0.25">
      <c r="H19" t="s">
        <v>48</v>
      </c>
      <c r="I19" t="s">
        <v>12</v>
      </c>
      <c r="J19" s="136">
        <f t="shared" ref="J19:P23" si="5">J6-J12</f>
        <v>44.76</v>
      </c>
      <c r="K19" s="136">
        <f t="shared" si="5"/>
        <v>44.76</v>
      </c>
      <c r="L19" s="136">
        <f t="shared" si="5"/>
        <v>44.76</v>
      </c>
      <c r="M19" s="136">
        <f t="shared" si="5"/>
        <v>44.76</v>
      </c>
      <c r="N19" s="136">
        <f t="shared" si="5"/>
        <v>44.76</v>
      </c>
      <c r="O19" s="136">
        <f t="shared" si="5"/>
        <v>49.799999999999983</v>
      </c>
      <c r="P19" s="136">
        <f t="shared" si="5"/>
        <v>58.11</v>
      </c>
    </row>
    <row r="20" spans="8:16" x14ac:dyDescent="0.25">
      <c r="H20" t="s">
        <v>48</v>
      </c>
      <c r="I20" t="s">
        <v>11</v>
      </c>
      <c r="J20" s="136">
        <f>J7-J13</f>
        <v>45.707999999999998</v>
      </c>
      <c r="K20" s="136">
        <f t="shared" si="5"/>
        <v>45.707999999999998</v>
      </c>
      <c r="L20" s="136">
        <f t="shared" si="5"/>
        <v>45.707999999999998</v>
      </c>
      <c r="M20" s="136">
        <f t="shared" si="5"/>
        <v>45.707999999999998</v>
      </c>
      <c r="N20" s="136">
        <f t="shared" si="5"/>
        <v>45.707999999999998</v>
      </c>
      <c r="O20" s="136">
        <f t="shared" si="5"/>
        <v>48.191999999999993</v>
      </c>
      <c r="P20" s="136">
        <f t="shared" si="5"/>
        <v>56.233999999999995</v>
      </c>
    </row>
    <row r="21" spans="8:16" x14ac:dyDescent="0.25">
      <c r="H21" t="s">
        <v>148</v>
      </c>
      <c r="I21" t="s">
        <v>10</v>
      </c>
      <c r="J21" s="136">
        <f t="shared" si="5"/>
        <v>27.57</v>
      </c>
      <c r="K21" s="136">
        <f t="shared" si="5"/>
        <v>27.57</v>
      </c>
      <c r="L21" s="136">
        <f t="shared" si="5"/>
        <v>27.57</v>
      </c>
      <c r="M21" s="136">
        <f t="shared" si="5"/>
        <v>27.57</v>
      </c>
      <c r="N21" s="136">
        <f t="shared" si="5"/>
        <v>27.57</v>
      </c>
      <c r="O21" s="136">
        <f t="shared" si="5"/>
        <v>37.600000000000009</v>
      </c>
      <c r="P21" s="136">
        <f t="shared" si="5"/>
        <v>42.790000000000006</v>
      </c>
    </row>
    <row r="22" spans="8:16" x14ac:dyDescent="0.25">
      <c r="H22" t="s">
        <v>148</v>
      </c>
      <c r="I22" t="s">
        <v>12</v>
      </c>
      <c r="J22" s="136">
        <f t="shared" si="5"/>
        <v>28.36</v>
      </c>
      <c r="K22" s="136">
        <f t="shared" si="5"/>
        <v>28.36</v>
      </c>
      <c r="L22" s="136">
        <f t="shared" si="5"/>
        <v>28.36</v>
      </c>
      <c r="M22" s="136">
        <f t="shared" si="5"/>
        <v>28.36</v>
      </c>
      <c r="N22" s="136">
        <f t="shared" si="5"/>
        <v>28.36</v>
      </c>
      <c r="O22" s="136">
        <f t="shared" si="5"/>
        <v>33.160000000000011</v>
      </c>
      <c r="P22" s="136">
        <f t="shared" si="5"/>
        <v>37.610000000000007</v>
      </c>
    </row>
    <row r="23" spans="8:16" x14ac:dyDescent="0.25">
      <c r="H23" t="s">
        <v>148</v>
      </c>
      <c r="I23" t="s">
        <v>11</v>
      </c>
      <c r="J23" s="136">
        <f t="shared" si="5"/>
        <v>29.417999999999999</v>
      </c>
      <c r="K23" s="136">
        <f t="shared" si="5"/>
        <v>29.417999999999999</v>
      </c>
      <c r="L23" s="136">
        <f t="shared" si="5"/>
        <v>29.417999999999999</v>
      </c>
      <c r="M23" s="136">
        <f t="shared" si="5"/>
        <v>29.417999999999999</v>
      </c>
      <c r="N23" s="136">
        <f t="shared" si="5"/>
        <v>29.417999999999999</v>
      </c>
      <c r="O23" s="136">
        <f t="shared" si="5"/>
        <v>32.272000000000013</v>
      </c>
      <c r="P23" s="136">
        <f t="shared" si="5"/>
        <v>36.574000000000012</v>
      </c>
    </row>
    <row r="24" spans="8:16" x14ac:dyDescent="0.25">
      <c r="H24" t="s">
        <v>150</v>
      </c>
      <c r="I24" t="s">
        <v>10</v>
      </c>
      <c r="J24" s="137">
        <f>J21</f>
        <v>27.57</v>
      </c>
      <c r="K24" s="137">
        <f t="shared" ref="K24:P24" si="6">K21</f>
        <v>27.57</v>
      </c>
      <c r="L24" s="137">
        <f t="shared" si="6"/>
        <v>27.57</v>
      </c>
      <c r="M24" s="137">
        <f t="shared" si="6"/>
        <v>27.57</v>
      </c>
      <c r="N24" s="137">
        <f t="shared" si="6"/>
        <v>27.57</v>
      </c>
      <c r="O24" s="137">
        <f t="shared" si="6"/>
        <v>37.600000000000009</v>
      </c>
      <c r="P24" s="137">
        <f t="shared" si="6"/>
        <v>42.790000000000006</v>
      </c>
    </row>
    <row r="25" spans="8:16" x14ac:dyDescent="0.25">
      <c r="H25" t="s">
        <v>150</v>
      </c>
      <c r="I25" t="s">
        <v>12</v>
      </c>
      <c r="J25" s="137">
        <f t="shared" ref="J25:P26" si="7">J22</f>
        <v>28.36</v>
      </c>
      <c r="K25" s="137">
        <f t="shared" si="7"/>
        <v>28.36</v>
      </c>
      <c r="L25" s="137">
        <f t="shared" si="7"/>
        <v>28.36</v>
      </c>
      <c r="M25" s="137">
        <f t="shared" si="7"/>
        <v>28.36</v>
      </c>
      <c r="N25" s="137">
        <f t="shared" si="7"/>
        <v>28.36</v>
      </c>
      <c r="O25" s="137">
        <f t="shared" si="7"/>
        <v>33.160000000000011</v>
      </c>
      <c r="P25" s="137">
        <f t="shared" si="7"/>
        <v>37.610000000000007</v>
      </c>
    </row>
    <row r="26" spans="8:16" x14ac:dyDescent="0.25">
      <c r="H26" t="s">
        <v>150</v>
      </c>
      <c r="I26" t="s">
        <v>11</v>
      </c>
      <c r="J26" s="137">
        <f t="shared" si="7"/>
        <v>29.417999999999999</v>
      </c>
      <c r="K26" s="137">
        <f t="shared" si="7"/>
        <v>29.417999999999999</v>
      </c>
      <c r="L26" s="137">
        <f t="shared" si="7"/>
        <v>29.417999999999999</v>
      </c>
      <c r="M26" s="137">
        <f t="shared" si="7"/>
        <v>29.417999999999999</v>
      </c>
      <c r="N26" s="137">
        <f t="shared" si="7"/>
        <v>29.417999999999999</v>
      </c>
      <c r="O26" s="137">
        <f t="shared" si="7"/>
        <v>32.272000000000013</v>
      </c>
      <c r="P26" s="137">
        <f t="shared" si="7"/>
        <v>36.574000000000012</v>
      </c>
    </row>
  </sheetData>
  <phoneticPr fontId="24" type="noConversion"/>
  <pageMargins left="0.7" right="0.7" top="0.75" bottom="0.75" header="0.3" footer="0.3"/>
  <pageSetup orientation="portrait"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03C76-498B-44E8-9E14-E59FE46B3892}">
  <dimension ref="A1:AI717"/>
  <sheetViews>
    <sheetView topLeftCell="D1" workbookViewId="0">
      <selection activeCell="V26" sqref="V26"/>
    </sheetView>
  </sheetViews>
  <sheetFormatPr defaultRowHeight="15" x14ac:dyDescent="0.25"/>
  <cols>
    <col min="1" max="1" width="10.7109375" bestFit="1" customWidth="1"/>
    <col min="2" max="3" width="6.7109375" bestFit="1" customWidth="1"/>
    <col min="4" max="4" width="12" bestFit="1" customWidth="1"/>
    <col min="5" max="6" width="6" bestFit="1" customWidth="1"/>
    <col min="7" max="10" width="12" bestFit="1" customWidth="1"/>
    <col min="11" max="11" width="27.28515625" bestFit="1" customWidth="1"/>
    <col min="12" max="12" width="17" bestFit="1" customWidth="1"/>
    <col min="13" max="13" width="14.7109375" bestFit="1" customWidth="1"/>
    <col min="14" max="14" width="28" bestFit="1" customWidth="1"/>
    <col min="15" max="15" width="25.7109375" bestFit="1" customWidth="1"/>
    <col min="16" max="16" width="30.140625" bestFit="1" customWidth="1"/>
    <col min="17" max="17" width="26.42578125" bestFit="1" customWidth="1"/>
    <col min="18" max="18" width="17.7109375" bestFit="1" customWidth="1"/>
    <col min="19" max="19" width="15.5703125" bestFit="1" customWidth="1"/>
    <col min="20" max="20" width="41.85546875" bestFit="1" customWidth="1"/>
    <col min="21" max="21" width="23.7109375" bestFit="1" customWidth="1"/>
    <col min="22" max="22" width="19" bestFit="1" customWidth="1"/>
    <col min="23" max="23" width="16.85546875" bestFit="1" customWidth="1"/>
    <col min="24" max="24" width="21.7109375" bestFit="1" customWidth="1"/>
    <col min="25" max="25" width="19.5703125" bestFit="1" customWidth="1"/>
    <col min="26" max="26" width="22.42578125" bestFit="1" customWidth="1"/>
    <col min="27" max="27" width="9.85546875" bestFit="1" customWidth="1"/>
    <col min="28" max="28" width="20.85546875" bestFit="1" customWidth="1"/>
    <col min="29" max="29" width="25.85546875" bestFit="1" customWidth="1"/>
    <col min="30" max="30" width="14.28515625" bestFit="1" customWidth="1"/>
    <col min="31" max="31" width="9.5703125" bestFit="1" customWidth="1"/>
    <col min="32" max="32" width="17.140625" bestFit="1" customWidth="1"/>
    <col min="33" max="33" width="16.42578125" customWidth="1"/>
    <col min="34" max="34" width="8.5703125" bestFit="1" customWidth="1"/>
    <col min="35" max="35" width="10.140625" bestFit="1" customWidth="1"/>
    <col min="36" max="36" width="10.140625" customWidth="1"/>
    <col min="37" max="37" width="8.5703125" bestFit="1" customWidth="1"/>
    <col min="38" max="38" width="32" bestFit="1" customWidth="1"/>
    <col min="39" max="39" width="21.5703125" bestFit="1" customWidth="1"/>
    <col min="40" max="40" width="19.28515625" bestFit="1" customWidth="1"/>
    <col min="41" max="41" width="32.5703125" bestFit="1" customWidth="1"/>
    <col min="42" max="42" width="30.28515625" bestFit="1" customWidth="1"/>
    <col min="43" max="43" width="34.7109375" bestFit="1" customWidth="1"/>
    <col min="44" max="44" width="31" bestFit="1" customWidth="1"/>
    <col min="45" max="45" width="22.28515625" bestFit="1" customWidth="1"/>
    <col min="46" max="46" width="20.140625" bestFit="1" customWidth="1"/>
    <col min="47" max="47" width="46.42578125" bestFit="1" customWidth="1"/>
    <col min="48" max="48" width="28.28515625" bestFit="1" customWidth="1"/>
    <col min="49" max="49" width="23.7109375" bestFit="1" customWidth="1"/>
    <col min="50" max="50" width="21.42578125" bestFit="1" customWidth="1"/>
    <col min="51" max="51" width="26.28515625" bestFit="1" customWidth="1"/>
    <col min="52" max="52" width="24.140625" bestFit="1" customWidth="1"/>
    <col min="53" max="53" width="26.42578125" bestFit="1" customWidth="1"/>
    <col min="54" max="54" width="14.28515625" bestFit="1" customWidth="1"/>
    <col min="55" max="55" width="25.42578125" bestFit="1" customWidth="1"/>
    <col min="56" max="56" width="30.42578125" bestFit="1" customWidth="1"/>
    <col min="57" max="57" width="13" bestFit="1" customWidth="1"/>
    <col min="58" max="59" width="11.140625" bestFit="1" customWidth="1"/>
  </cols>
  <sheetData>
    <row r="1" spans="1:35" x14ac:dyDescent="0.25">
      <c r="A1" t="s">
        <v>0</v>
      </c>
      <c r="B1" t="s">
        <v>14</v>
      </c>
      <c r="C1" t="s">
        <v>15</v>
      </c>
      <c r="D1" t="s">
        <v>2</v>
      </c>
      <c r="E1" t="s">
        <v>3</v>
      </c>
      <c r="F1" t="s">
        <v>4</v>
      </c>
      <c r="G1" t="s">
        <v>5</v>
      </c>
      <c r="H1" t="s">
        <v>6</v>
      </c>
      <c r="I1" t="s">
        <v>7</v>
      </c>
      <c r="J1" t="s">
        <v>8</v>
      </c>
      <c r="K1" t="s">
        <v>16</v>
      </c>
      <c r="L1" t="s">
        <v>17</v>
      </c>
      <c r="M1" t="s">
        <v>18</v>
      </c>
      <c r="N1" t="s">
        <v>19</v>
      </c>
      <c r="O1" t="s">
        <v>20</v>
      </c>
      <c r="P1" t="s">
        <v>21</v>
      </c>
      <c r="Q1" t="s">
        <v>22</v>
      </c>
      <c r="R1" t="s">
        <v>23</v>
      </c>
      <c r="S1" t="s">
        <v>24</v>
      </c>
      <c r="T1" t="s">
        <v>25</v>
      </c>
      <c r="U1" t="s">
        <v>26</v>
      </c>
      <c r="V1" t="s">
        <v>27</v>
      </c>
      <c r="W1" t="s">
        <v>28</v>
      </c>
      <c r="X1" t="s">
        <v>29</v>
      </c>
      <c r="Y1" t="s">
        <v>30</v>
      </c>
      <c r="Z1" t="s">
        <v>31</v>
      </c>
      <c r="AA1" t="s">
        <v>32</v>
      </c>
      <c r="AB1" t="s">
        <v>33</v>
      </c>
      <c r="AC1" t="s">
        <v>34</v>
      </c>
      <c r="AD1" t="s">
        <v>9</v>
      </c>
      <c r="AE1" t="s">
        <v>135</v>
      </c>
      <c r="AF1" t="s">
        <v>45</v>
      </c>
      <c r="AG1" t="s">
        <v>46</v>
      </c>
      <c r="AH1" t="s">
        <v>153</v>
      </c>
      <c r="AI1" t="s">
        <v>145</v>
      </c>
    </row>
    <row r="2" spans="1:35" x14ac:dyDescent="0.25">
      <c r="A2" s="1">
        <v>46223</v>
      </c>
      <c r="B2" t="s">
        <v>148</v>
      </c>
      <c r="C2" t="s">
        <v>10</v>
      </c>
      <c r="D2">
        <v>11.872563775972576</v>
      </c>
      <c r="E2">
        <v>15.2</v>
      </c>
      <c r="F2">
        <v>15.2</v>
      </c>
      <c r="G2">
        <v>10.316176470588236</v>
      </c>
      <c r="H2">
        <v>1.2802626531904939</v>
      </c>
      <c r="I2">
        <v>1.2802626531904939</v>
      </c>
      <c r="J2">
        <v>0.86890891177741059</v>
      </c>
      <c r="K2">
        <v>0</v>
      </c>
      <c r="L2">
        <v>0</v>
      </c>
      <c r="M2">
        <v>3.0262653190493927E-2</v>
      </c>
      <c r="N2">
        <v>0</v>
      </c>
      <c r="O2">
        <v>0</v>
      </c>
      <c r="P2">
        <v>0</v>
      </c>
      <c r="Q2">
        <v>0</v>
      </c>
      <c r="R2">
        <v>0</v>
      </c>
      <c r="S2">
        <v>0.25</v>
      </c>
      <c r="T2">
        <v>0</v>
      </c>
      <c r="U2">
        <v>0</v>
      </c>
      <c r="V2">
        <v>0</v>
      </c>
      <c r="W2">
        <v>0.13109108822258941</v>
      </c>
      <c r="X2">
        <v>0</v>
      </c>
      <c r="Y2">
        <v>0.86890891177741059</v>
      </c>
      <c r="Z2">
        <v>0</v>
      </c>
      <c r="AA2">
        <v>0</v>
      </c>
      <c r="AB2">
        <v>0</v>
      </c>
      <c r="AC2">
        <v>0</v>
      </c>
      <c r="AD2">
        <v>0</v>
      </c>
      <c r="AE2" t="s">
        <v>245</v>
      </c>
      <c r="AF2">
        <v>20</v>
      </c>
      <c r="AG2" t="s">
        <v>163</v>
      </c>
      <c r="AH2">
        <v>46223</v>
      </c>
      <c r="AI2" t="s">
        <v>149</v>
      </c>
    </row>
    <row r="3" spans="1:35" x14ac:dyDescent="0.25">
      <c r="A3" s="1">
        <v>46223</v>
      </c>
      <c r="B3" t="s">
        <v>148</v>
      </c>
      <c r="C3" t="s">
        <v>12</v>
      </c>
      <c r="D3">
        <v>18.990475234079359</v>
      </c>
      <c r="E3">
        <v>19.95</v>
      </c>
      <c r="F3">
        <v>19.95</v>
      </c>
      <c r="G3">
        <v>10.407781862745098</v>
      </c>
      <c r="H3">
        <v>1.0505266326457552</v>
      </c>
      <c r="I3">
        <v>1.0505266326457552</v>
      </c>
      <c r="J3">
        <v>0.54805273351284078</v>
      </c>
      <c r="K3">
        <v>0</v>
      </c>
      <c r="L3">
        <v>0</v>
      </c>
      <c r="M3">
        <v>0</v>
      </c>
      <c r="N3">
        <v>0</v>
      </c>
      <c r="O3">
        <v>0</v>
      </c>
      <c r="P3">
        <v>0</v>
      </c>
      <c r="Q3">
        <v>0</v>
      </c>
      <c r="R3">
        <v>0</v>
      </c>
      <c r="S3">
        <v>5.0526632645755187E-2</v>
      </c>
      <c r="T3">
        <v>0</v>
      </c>
      <c r="U3">
        <v>0</v>
      </c>
      <c r="V3">
        <v>0</v>
      </c>
      <c r="W3">
        <v>0.45194726648715922</v>
      </c>
      <c r="X3">
        <v>0</v>
      </c>
      <c r="Y3">
        <v>0.54805273351284078</v>
      </c>
      <c r="Z3">
        <v>0</v>
      </c>
      <c r="AA3">
        <v>0</v>
      </c>
      <c r="AB3">
        <v>0</v>
      </c>
      <c r="AC3">
        <v>0</v>
      </c>
      <c r="AD3">
        <v>0</v>
      </c>
      <c r="AE3" t="s">
        <v>245</v>
      </c>
      <c r="AF3">
        <v>20</v>
      </c>
      <c r="AG3" t="s">
        <v>162</v>
      </c>
      <c r="AH3">
        <v>46223</v>
      </c>
      <c r="AI3" t="s">
        <v>149</v>
      </c>
    </row>
    <row r="4" spans="1:35" x14ac:dyDescent="0.25">
      <c r="A4" s="1">
        <v>46224</v>
      </c>
      <c r="B4" t="s">
        <v>148</v>
      </c>
      <c r="C4" t="s">
        <v>10</v>
      </c>
      <c r="D4">
        <v>9.6459556744530079</v>
      </c>
      <c r="E4">
        <v>15.2</v>
      </c>
      <c r="F4">
        <v>15.2</v>
      </c>
      <c r="G4">
        <v>13.041666666666664</v>
      </c>
      <c r="H4">
        <v>1.5757899489686329</v>
      </c>
      <c r="I4">
        <v>1.5757899489686329</v>
      </c>
      <c r="J4">
        <v>1.352034687574512</v>
      </c>
      <c r="K4">
        <v>0</v>
      </c>
      <c r="L4">
        <v>0</v>
      </c>
      <c r="M4">
        <v>0.22375526139412094</v>
      </c>
      <c r="N4">
        <v>0</v>
      </c>
      <c r="O4">
        <v>0.10203468757451195</v>
      </c>
      <c r="P4">
        <v>0</v>
      </c>
      <c r="Q4">
        <v>0.25</v>
      </c>
      <c r="R4">
        <v>0</v>
      </c>
      <c r="S4">
        <v>0</v>
      </c>
      <c r="T4">
        <v>0</v>
      </c>
      <c r="U4">
        <v>0</v>
      </c>
      <c r="V4">
        <v>0</v>
      </c>
      <c r="W4">
        <v>0</v>
      </c>
      <c r="X4">
        <v>0</v>
      </c>
      <c r="Y4">
        <v>1</v>
      </c>
      <c r="Z4">
        <v>0</v>
      </c>
      <c r="AA4">
        <v>0</v>
      </c>
      <c r="AB4">
        <v>0</v>
      </c>
      <c r="AC4">
        <v>0</v>
      </c>
      <c r="AD4">
        <v>0</v>
      </c>
      <c r="AE4" t="s">
        <v>245</v>
      </c>
      <c r="AF4">
        <v>20</v>
      </c>
      <c r="AG4" t="s">
        <v>165</v>
      </c>
      <c r="AH4">
        <v>46224</v>
      </c>
      <c r="AI4" t="s">
        <v>149</v>
      </c>
    </row>
    <row r="5" spans="1:35" x14ac:dyDescent="0.25">
      <c r="A5" s="1">
        <v>46224</v>
      </c>
      <c r="B5" t="s">
        <v>148</v>
      </c>
      <c r="C5" t="s">
        <v>11</v>
      </c>
      <c r="D5">
        <v>104.20847446967396</v>
      </c>
      <c r="E5">
        <v>28.5</v>
      </c>
      <c r="F5">
        <v>28.5</v>
      </c>
      <c r="G5">
        <v>5.6041666666666661</v>
      </c>
      <c r="H5">
        <v>0.27349023335231604</v>
      </c>
      <c r="I5">
        <v>0.27349023335231604</v>
      </c>
      <c r="J5">
        <v>5.3778415768839918E-2</v>
      </c>
      <c r="K5">
        <v>0</v>
      </c>
      <c r="L5">
        <v>0</v>
      </c>
      <c r="M5">
        <v>0</v>
      </c>
      <c r="N5">
        <v>0</v>
      </c>
      <c r="O5">
        <v>0</v>
      </c>
      <c r="P5">
        <v>0</v>
      </c>
      <c r="Q5">
        <v>0</v>
      </c>
      <c r="R5">
        <v>0</v>
      </c>
      <c r="S5">
        <v>0</v>
      </c>
      <c r="T5">
        <v>0</v>
      </c>
      <c r="U5">
        <v>0.72650976664768396</v>
      </c>
      <c r="V5">
        <v>0</v>
      </c>
      <c r="W5">
        <v>0.21971181758347613</v>
      </c>
      <c r="X5">
        <v>0</v>
      </c>
      <c r="Y5">
        <v>5.3778415768839918E-2</v>
      </c>
      <c r="Z5">
        <v>0</v>
      </c>
      <c r="AA5">
        <v>0</v>
      </c>
      <c r="AB5">
        <v>0</v>
      </c>
      <c r="AC5">
        <v>0</v>
      </c>
      <c r="AD5">
        <v>0</v>
      </c>
      <c r="AE5" t="s">
        <v>245</v>
      </c>
      <c r="AF5">
        <v>20</v>
      </c>
      <c r="AG5" t="s">
        <v>164</v>
      </c>
      <c r="AH5">
        <v>46224</v>
      </c>
      <c r="AI5" t="s">
        <v>149</v>
      </c>
    </row>
    <row r="6" spans="1:35" x14ac:dyDescent="0.25">
      <c r="A6" s="1">
        <v>46224</v>
      </c>
      <c r="B6" t="s">
        <v>148</v>
      </c>
      <c r="C6" t="s">
        <v>12</v>
      </c>
      <c r="D6">
        <v>1.5839463047091378</v>
      </c>
      <c r="E6">
        <v>1.9</v>
      </c>
      <c r="F6">
        <v>1.9</v>
      </c>
      <c r="G6">
        <v>13.104166666666664</v>
      </c>
      <c r="H6">
        <v>1.1995356120035265</v>
      </c>
      <c r="I6">
        <v>1.1995356120035265</v>
      </c>
      <c r="J6">
        <v>8.2731129380506374</v>
      </c>
      <c r="K6">
        <v>7.0735773260471113</v>
      </c>
      <c r="L6">
        <v>0</v>
      </c>
      <c r="M6">
        <v>0</v>
      </c>
      <c r="N6">
        <v>0</v>
      </c>
      <c r="O6">
        <v>0</v>
      </c>
      <c r="P6">
        <v>5.0464387996473459E-2</v>
      </c>
      <c r="Q6">
        <v>0.19953561200352654</v>
      </c>
      <c r="R6">
        <v>0</v>
      </c>
      <c r="S6">
        <v>0</v>
      </c>
      <c r="T6">
        <v>0</v>
      </c>
      <c r="U6">
        <v>0</v>
      </c>
      <c r="V6">
        <v>0</v>
      </c>
      <c r="W6">
        <v>0</v>
      </c>
      <c r="X6">
        <v>0</v>
      </c>
      <c r="Y6">
        <v>0</v>
      </c>
      <c r="Z6">
        <v>0</v>
      </c>
      <c r="AA6">
        <v>0</v>
      </c>
      <c r="AB6">
        <v>0</v>
      </c>
      <c r="AC6">
        <v>0</v>
      </c>
      <c r="AD6">
        <v>0</v>
      </c>
      <c r="AE6" t="s">
        <v>245</v>
      </c>
      <c r="AF6">
        <v>20</v>
      </c>
      <c r="AG6" t="s">
        <v>166</v>
      </c>
      <c r="AH6">
        <v>46224</v>
      </c>
      <c r="AI6" t="s">
        <v>149</v>
      </c>
    </row>
    <row r="7" spans="1:35" x14ac:dyDescent="0.25">
      <c r="A7" s="1">
        <v>46225</v>
      </c>
      <c r="B7" t="s">
        <v>148</v>
      </c>
      <c r="C7" t="s">
        <v>10</v>
      </c>
      <c r="D7">
        <v>4.8165472001102021</v>
      </c>
      <c r="E7">
        <v>4.75</v>
      </c>
      <c r="F7">
        <v>4.75</v>
      </c>
      <c r="G7">
        <v>12.225490196078432</v>
      </c>
      <c r="H7">
        <v>0.98618362961154427</v>
      </c>
      <c r="I7">
        <v>0.98618362961154427</v>
      </c>
      <c r="J7">
        <v>2.5382270095471533</v>
      </c>
      <c r="K7">
        <v>1.5382270095471533</v>
      </c>
      <c r="L7">
        <v>0</v>
      </c>
      <c r="M7">
        <v>0</v>
      </c>
      <c r="N7">
        <v>0</v>
      </c>
      <c r="O7">
        <v>0</v>
      </c>
      <c r="P7">
        <v>0</v>
      </c>
      <c r="Q7">
        <v>0</v>
      </c>
      <c r="R7">
        <v>0</v>
      </c>
      <c r="S7">
        <v>0</v>
      </c>
      <c r="T7">
        <v>1.3816370388455734E-2</v>
      </c>
      <c r="U7">
        <v>0</v>
      </c>
      <c r="V7">
        <v>0</v>
      </c>
      <c r="W7">
        <v>0</v>
      </c>
      <c r="X7">
        <v>0</v>
      </c>
      <c r="Y7">
        <v>0.98618362961154427</v>
      </c>
      <c r="Z7">
        <v>0</v>
      </c>
      <c r="AA7">
        <v>0</v>
      </c>
      <c r="AB7">
        <v>0</v>
      </c>
      <c r="AC7">
        <v>0</v>
      </c>
      <c r="AD7">
        <v>0</v>
      </c>
      <c r="AE7" t="s">
        <v>245</v>
      </c>
      <c r="AF7">
        <v>20</v>
      </c>
      <c r="AG7" t="s">
        <v>167</v>
      </c>
      <c r="AH7">
        <v>46225</v>
      </c>
      <c r="AI7" t="s">
        <v>149</v>
      </c>
    </row>
    <row r="8" spans="1:35" x14ac:dyDescent="0.25">
      <c r="A8" s="1">
        <v>46225</v>
      </c>
      <c r="B8" t="s">
        <v>148</v>
      </c>
      <c r="C8" t="s">
        <v>11</v>
      </c>
      <c r="D8">
        <v>14.404627140516496</v>
      </c>
      <c r="E8">
        <v>18.05</v>
      </c>
      <c r="F8">
        <v>18.05</v>
      </c>
      <c r="G8">
        <v>5.6532738095238084</v>
      </c>
      <c r="H8">
        <v>1.2530695743751681</v>
      </c>
      <c r="I8">
        <v>1.2530695743751681</v>
      </c>
      <c r="J8">
        <v>0.39246234938095753</v>
      </c>
      <c r="K8">
        <v>0</v>
      </c>
      <c r="L8">
        <v>0</v>
      </c>
      <c r="M8">
        <v>3.0695743751680826E-3</v>
      </c>
      <c r="N8">
        <v>0</v>
      </c>
      <c r="O8">
        <v>0</v>
      </c>
      <c r="P8">
        <v>0</v>
      </c>
      <c r="Q8">
        <v>0</v>
      </c>
      <c r="R8">
        <v>0</v>
      </c>
      <c r="S8">
        <v>0.25</v>
      </c>
      <c r="T8">
        <v>0</v>
      </c>
      <c r="U8">
        <v>0</v>
      </c>
      <c r="V8">
        <v>0</v>
      </c>
      <c r="W8">
        <v>0.60753765061904241</v>
      </c>
      <c r="X8">
        <v>0</v>
      </c>
      <c r="Y8">
        <v>0.39246234938095753</v>
      </c>
      <c r="Z8">
        <v>0</v>
      </c>
      <c r="AA8">
        <v>0</v>
      </c>
      <c r="AB8">
        <v>0</v>
      </c>
      <c r="AC8">
        <v>0</v>
      </c>
      <c r="AD8">
        <v>0</v>
      </c>
      <c r="AE8" t="s">
        <v>245</v>
      </c>
      <c r="AF8">
        <v>20</v>
      </c>
      <c r="AG8" t="s">
        <v>169</v>
      </c>
      <c r="AH8">
        <v>46225</v>
      </c>
      <c r="AI8" t="s">
        <v>149</v>
      </c>
    </row>
    <row r="9" spans="1:35" x14ac:dyDescent="0.25">
      <c r="A9" s="1">
        <v>46225</v>
      </c>
      <c r="B9" t="s">
        <v>148</v>
      </c>
      <c r="C9" t="s">
        <v>12</v>
      </c>
      <c r="D9">
        <v>10.479928925473422</v>
      </c>
      <c r="E9">
        <v>10.45</v>
      </c>
      <c r="F9">
        <v>10.45</v>
      </c>
      <c r="G9">
        <v>13.09891456582633</v>
      </c>
      <c r="H9">
        <v>0.99714416713259624</v>
      </c>
      <c r="I9">
        <v>0.99714416713259624</v>
      </c>
      <c r="J9">
        <v>1.2499049047925292</v>
      </c>
      <c r="K9">
        <v>0.24990490479252925</v>
      </c>
      <c r="L9">
        <v>0</v>
      </c>
      <c r="M9">
        <v>0</v>
      </c>
      <c r="N9">
        <v>0</v>
      </c>
      <c r="O9">
        <v>0</v>
      </c>
      <c r="P9">
        <v>0</v>
      </c>
      <c r="Q9">
        <v>0</v>
      </c>
      <c r="R9">
        <v>0</v>
      </c>
      <c r="S9">
        <v>0</v>
      </c>
      <c r="T9">
        <v>2.8558328674037625E-3</v>
      </c>
      <c r="U9">
        <v>0</v>
      </c>
      <c r="V9">
        <v>0</v>
      </c>
      <c r="W9">
        <v>0</v>
      </c>
      <c r="X9">
        <v>0</v>
      </c>
      <c r="Y9">
        <v>0.99714416713259624</v>
      </c>
      <c r="Z9">
        <v>0</v>
      </c>
      <c r="AA9">
        <v>0</v>
      </c>
      <c r="AB9">
        <v>0</v>
      </c>
      <c r="AC9">
        <v>0</v>
      </c>
      <c r="AD9">
        <v>0</v>
      </c>
      <c r="AE9" t="s">
        <v>245</v>
      </c>
      <c r="AF9">
        <v>20</v>
      </c>
      <c r="AG9" t="s">
        <v>168</v>
      </c>
      <c r="AH9">
        <v>46225</v>
      </c>
      <c r="AI9" t="s">
        <v>149</v>
      </c>
    </row>
    <row r="10" spans="1:35" x14ac:dyDescent="0.25">
      <c r="A10" s="1">
        <v>46226</v>
      </c>
      <c r="B10" t="s">
        <v>148</v>
      </c>
      <c r="C10" t="s">
        <v>12</v>
      </c>
      <c r="D10">
        <v>17.26023193497435</v>
      </c>
      <c r="E10">
        <v>38</v>
      </c>
      <c r="F10">
        <v>38</v>
      </c>
      <c r="G10">
        <v>12.225260416666666</v>
      </c>
      <c r="H10">
        <v>2.201592663595715</v>
      </c>
      <c r="I10">
        <v>2.201592663595715</v>
      </c>
      <c r="J10">
        <v>0.70829062220737959</v>
      </c>
      <c r="K10">
        <v>0</v>
      </c>
      <c r="L10">
        <v>0</v>
      </c>
      <c r="M10">
        <v>0.95159266359571504</v>
      </c>
      <c r="N10">
        <v>0</v>
      </c>
      <c r="O10">
        <v>0</v>
      </c>
      <c r="P10">
        <v>0</v>
      </c>
      <c r="Q10">
        <v>0</v>
      </c>
      <c r="R10">
        <v>0</v>
      </c>
      <c r="S10">
        <v>0.25</v>
      </c>
      <c r="T10">
        <v>0</v>
      </c>
      <c r="U10">
        <v>0</v>
      </c>
      <c r="V10">
        <v>0</v>
      </c>
      <c r="W10">
        <v>0.29170937779262041</v>
      </c>
      <c r="X10">
        <v>0</v>
      </c>
      <c r="Y10">
        <v>0.70829062220737959</v>
      </c>
      <c r="Z10">
        <v>0</v>
      </c>
      <c r="AA10">
        <v>0</v>
      </c>
      <c r="AB10">
        <v>0</v>
      </c>
      <c r="AC10">
        <v>0</v>
      </c>
      <c r="AD10">
        <v>0</v>
      </c>
      <c r="AE10" t="s">
        <v>245</v>
      </c>
      <c r="AF10">
        <v>20</v>
      </c>
      <c r="AG10" t="s">
        <v>170</v>
      </c>
      <c r="AH10">
        <v>46226</v>
      </c>
      <c r="AI10" t="s">
        <v>149</v>
      </c>
    </row>
    <row r="11" spans="1:35" x14ac:dyDescent="0.25">
      <c r="A11" s="1">
        <v>46226</v>
      </c>
      <c r="B11" t="s">
        <v>148</v>
      </c>
      <c r="C11" t="s">
        <v>11</v>
      </c>
      <c r="D11">
        <v>2.1100528037865955</v>
      </c>
      <c r="E11">
        <v>1.9</v>
      </c>
      <c r="F11">
        <v>1.9</v>
      </c>
      <c r="G11">
        <v>3.7291666666666665</v>
      </c>
      <c r="H11">
        <v>0.90045139941064734</v>
      </c>
      <c r="I11">
        <v>0.90045139941064734</v>
      </c>
      <c r="J11">
        <v>1.7673333387555468</v>
      </c>
      <c r="K11">
        <v>0.76733333875554677</v>
      </c>
      <c r="L11">
        <v>0</v>
      </c>
      <c r="M11">
        <v>0</v>
      </c>
      <c r="N11">
        <v>0</v>
      </c>
      <c r="O11">
        <v>0</v>
      </c>
      <c r="P11">
        <v>0</v>
      </c>
      <c r="Q11">
        <v>0</v>
      </c>
      <c r="R11">
        <v>0</v>
      </c>
      <c r="S11">
        <v>0</v>
      </c>
      <c r="T11">
        <v>9.9548600589352665E-2</v>
      </c>
      <c r="U11">
        <v>0</v>
      </c>
      <c r="V11">
        <v>0</v>
      </c>
      <c r="W11">
        <v>0</v>
      </c>
      <c r="X11">
        <v>0</v>
      </c>
      <c r="Y11">
        <v>0.90045139941064734</v>
      </c>
      <c r="Z11">
        <v>0</v>
      </c>
      <c r="AA11">
        <v>0</v>
      </c>
      <c r="AB11">
        <v>0</v>
      </c>
      <c r="AC11">
        <v>0</v>
      </c>
      <c r="AD11">
        <v>0</v>
      </c>
      <c r="AE11" t="s">
        <v>245</v>
      </c>
      <c r="AF11">
        <v>20</v>
      </c>
      <c r="AG11" t="s">
        <v>172</v>
      </c>
      <c r="AH11">
        <v>46226</v>
      </c>
      <c r="AI11" t="s">
        <v>149</v>
      </c>
    </row>
    <row r="12" spans="1:35" x14ac:dyDescent="0.25">
      <c r="A12" s="1">
        <v>46226</v>
      </c>
      <c r="B12" t="s">
        <v>148</v>
      </c>
      <c r="C12" t="s">
        <v>10</v>
      </c>
      <c r="D12">
        <v>3.3519695968724199</v>
      </c>
      <c r="E12">
        <v>2.8499999999999996</v>
      </c>
      <c r="F12">
        <v>2.8499999999999996</v>
      </c>
      <c r="G12">
        <v>11.220238095238097</v>
      </c>
      <c r="H12">
        <v>0.85024637534278746</v>
      </c>
      <c r="I12">
        <v>0.85024637534278746</v>
      </c>
      <c r="J12">
        <v>3.3473567617400897</v>
      </c>
      <c r="K12">
        <v>2.3473567617400897</v>
      </c>
      <c r="L12">
        <v>0</v>
      </c>
      <c r="M12">
        <v>0</v>
      </c>
      <c r="N12">
        <v>0</v>
      </c>
      <c r="O12">
        <v>0</v>
      </c>
      <c r="P12">
        <v>0</v>
      </c>
      <c r="Q12">
        <v>0</v>
      </c>
      <c r="R12">
        <v>0</v>
      </c>
      <c r="S12">
        <v>0</v>
      </c>
      <c r="T12">
        <v>0.14975362465721254</v>
      </c>
      <c r="U12">
        <v>0</v>
      </c>
      <c r="V12">
        <v>0</v>
      </c>
      <c r="W12">
        <v>0</v>
      </c>
      <c r="X12">
        <v>0</v>
      </c>
      <c r="Y12">
        <v>0.85024637534278746</v>
      </c>
      <c r="Z12">
        <v>0</v>
      </c>
      <c r="AA12">
        <v>0</v>
      </c>
      <c r="AB12">
        <v>0</v>
      </c>
      <c r="AC12">
        <v>0</v>
      </c>
      <c r="AD12">
        <v>0</v>
      </c>
      <c r="AE12" t="s">
        <v>245</v>
      </c>
      <c r="AF12">
        <v>20</v>
      </c>
      <c r="AG12" t="s">
        <v>171</v>
      </c>
      <c r="AH12">
        <v>46226</v>
      </c>
      <c r="AI12" t="s">
        <v>149</v>
      </c>
    </row>
    <row r="13" spans="1:35" x14ac:dyDescent="0.25">
      <c r="A13" s="1">
        <v>46227</v>
      </c>
      <c r="B13" t="s">
        <v>148</v>
      </c>
      <c r="C13" t="s">
        <v>10</v>
      </c>
      <c r="D13">
        <v>9.6861471564298931</v>
      </c>
      <c r="E13">
        <v>12.35</v>
      </c>
      <c r="F13">
        <v>12.35</v>
      </c>
      <c r="G13">
        <v>11.229166666666668</v>
      </c>
      <c r="H13">
        <v>1.2750167636883132</v>
      </c>
      <c r="I13">
        <v>1.2750167636883132</v>
      </c>
      <c r="J13">
        <v>1.1593016795344144</v>
      </c>
      <c r="K13">
        <v>0</v>
      </c>
      <c r="L13">
        <v>0</v>
      </c>
      <c r="M13">
        <v>2.5016763688313182E-2</v>
      </c>
      <c r="N13">
        <v>0</v>
      </c>
      <c r="O13">
        <v>0</v>
      </c>
      <c r="P13">
        <v>0</v>
      </c>
      <c r="Q13">
        <v>0.15930167953441443</v>
      </c>
      <c r="R13">
        <v>0</v>
      </c>
      <c r="S13">
        <v>9.0698320465585569E-2</v>
      </c>
      <c r="T13">
        <v>0</v>
      </c>
      <c r="U13">
        <v>0</v>
      </c>
      <c r="V13">
        <v>0</v>
      </c>
      <c r="W13">
        <v>0</v>
      </c>
      <c r="X13">
        <v>0</v>
      </c>
      <c r="Y13">
        <v>1</v>
      </c>
      <c r="Z13">
        <v>0</v>
      </c>
      <c r="AA13">
        <v>0</v>
      </c>
      <c r="AB13">
        <v>0</v>
      </c>
      <c r="AC13">
        <v>0</v>
      </c>
      <c r="AD13">
        <v>0</v>
      </c>
      <c r="AE13" t="s">
        <v>245</v>
      </c>
      <c r="AF13">
        <v>20</v>
      </c>
      <c r="AG13" t="s">
        <v>173</v>
      </c>
      <c r="AH13">
        <v>46227</v>
      </c>
      <c r="AI13" t="s">
        <v>149</v>
      </c>
    </row>
    <row r="14" spans="1:35" x14ac:dyDescent="0.25">
      <c r="A14" s="1">
        <v>46227</v>
      </c>
      <c r="B14" t="s">
        <v>148</v>
      </c>
      <c r="C14" t="s">
        <v>11</v>
      </c>
      <c r="D14">
        <v>82.29205934767721</v>
      </c>
      <c r="E14">
        <v>29.45</v>
      </c>
      <c r="F14">
        <v>29.45</v>
      </c>
      <c r="G14">
        <v>6.532738095238094</v>
      </c>
      <c r="H14">
        <v>0.35787171002218043</v>
      </c>
      <c r="I14">
        <v>0.35787171002218043</v>
      </c>
      <c r="J14">
        <v>7.9384792980302155E-2</v>
      </c>
      <c r="K14">
        <v>0</v>
      </c>
      <c r="L14">
        <v>0</v>
      </c>
      <c r="M14">
        <v>0</v>
      </c>
      <c r="N14">
        <v>0</v>
      </c>
      <c r="O14">
        <v>0</v>
      </c>
      <c r="P14">
        <v>0</v>
      </c>
      <c r="Q14">
        <v>0</v>
      </c>
      <c r="R14">
        <v>0</v>
      </c>
      <c r="S14">
        <v>0</v>
      </c>
      <c r="T14">
        <v>0</v>
      </c>
      <c r="U14">
        <v>0.64212828997781957</v>
      </c>
      <c r="V14">
        <v>0</v>
      </c>
      <c r="W14">
        <v>0.27848691704187828</v>
      </c>
      <c r="X14">
        <v>0</v>
      </c>
      <c r="Y14">
        <v>7.9384792980302155E-2</v>
      </c>
      <c r="Z14">
        <v>0</v>
      </c>
      <c r="AA14">
        <v>0</v>
      </c>
      <c r="AB14">
        <v>0</v>
      </c>
      <c r="AC14">
        <v>0</v>
      </c>
      <c r="AD14">
        <v>0</v>
      </c>
      <c r="AE14" t="s">
        <v>245</v>
      </c>
      <c r="AF14">
        <v>20</v>
      </c>
      <c r="AG14" t="s">
        <v>174</v>
      </c>
      <c r="AH14">
        <v>46227</v>
      </c>
      <c r="AI14" t="s">
        <v>149</v>
      </c>
    </row>
    <row r="15" spans="1:35" x14ac:dyDescent="0.25">
      <c r="A15" s="1">
        <v>46227</v>
      </c>
      <c r="B15" t="s">
        <v>148</v>
      </c>
      <c r="C15" t="s">
        <v>12</v>
      </c>
      <c r="D15">
        <v>0.33760844860585532</v>
      </c>
      <c r="E15">
        <v>0.95</v>
      </c>
      <c r="F15">
        <v>0.95</v>
      </c>
      <c r="G15">
        <v>12.157738095238097</v>
      </c>
      <c r="H15">
        <v>2.8139106231582725</v>
      </c>
      <c r="I15">
        <v>2.8139106231582725</v>
      </c>
      <c r="J15">
        <v>36.011356189227897</v>
      </c>
      <c r="K15">
        <v>33.197445566069625</v>
      </c>
      <c r="L15">
        <v>0</v>
      </c>
      <c r="M15">
        <v>0</v>
      </c>
      <c r="N15">
        <v>0</v>
      </c>
      <c r="O15">
        <v>1.5639106231582725</v>
      </c>
      <c r="P15">
        <v>0</v>
      </c>
      <c r="Q15">
        <v>0.25</v>
      </c>
      <c r="R15">
        <v>0</v>
      </c>
      <c r="S15">
        <v>0</v>
      </c>
      <c r="T15">
        <v>0</v>
      </c>
      <c r="U15">
        <v>0</v>
      </c>
      <c r="V15">
        <v>0</v>
      </c>
      <c r="W15">
        <v>0</v>
      </c>
      <c r="X15">
        <v>0</v>
      </c>
      <c r="Y15">
        <v>1</v>
      </c>
      <c r="Z15">
        <v>0</v>
      </c>
      <c r="AA15">
        <v>0</v>
      </c>
      <c r="AB15">
        <v>0</v>
      </c>
      <c r="AC15">
        <v>0</v>
      </c>
      <c r="AD15">
        <v>0</v>
      </c>
      <c r="AE15" t="s">
        <v>245</v>
      </c>
      <c r="AF15">
        <v>20</v>
      </c>
      <c r="AG15" t="s">
        <v>175</v>
      </c>
      <c r="AH15">
        <v>46227</v>
      </c>
      <c r="AI15" t="s">
        <v>149</v>
      </c>
    </row>
    <row r="16" spans="1:35" x14ac:dyDescent="0.25">
      <c r="A16" s="1">
        <v>46228</v>
      </c>
      <c r="B16" t="s">
        <v>148</v>
      </c>
      <c r="C16" t="s">
        <v>11</v>
      </c>
      <c r="D16">
        <v>4.2201056075731902</v>
      </c>
      <c r="E16">
        <v>3.8</v>
      </c>
      <c r="F16">
        <v>3.8</v>
      </c>
      <c r="G16">
        <v>4.6874999999999991</v>
      </c>
      <c r="H16">
        <v>0.90045139941064745</v>
      </c>
      <c r="I16">
        <v>0.90045139941064745</v>
      </c>
      <c r="J16">
        <v>1.1107541933519498</v>
      </c>
      <c r="K16">
        <v>0.1107541933519498</v>
      </c>
      <c r="L16">
        <v>0</v>
      </c>
      <c r="M16">
        <v>0</v>
      </c>
      <c r="N16">
        <v>0</v>
      </c>
      <c r="O16">
        <v>0</v>
      </c>
      <c r="P16">
        <v>0</v>
      </c>
      <c r="Q16">
        <v>0</v>
      </c>
      <c r="R16">
        <v>0</v>
      </c>
      <c r="S16">
        <v>0</v>
      </c>
      <c r="T16">
        <v>9.9548600589352554E-2</v>
      </c>
      <c r="U16">
        <v>0</v>
      </c>
      <c r="V16">
        <v>0</v>
      </c>
      <c r="W16">
        <v>0</v>
      </c>
      <c r="X16">
        <v>0</v>
      </c>
      <c r="Y16">
        <v>0.90045139941064745</v>
      </c>
      <c r="Z16">
        <v>0</v>
      </c>
      <c r="AA16">
        <v>0</v>
      </c>
      <c r="AB16">
        <v>0</v>
      </c>
      <c r="AC16">
        <v>0</v>
      </c>
      <c r="AD16">
        <v>0</v>
      </c>
      <c r="AE16" t="s">
        <v>245</v>
      </c>
      <c r="AF16">
        <v>20</v>
      </c>
      <c r="AG16" t="s">
        <v>177</v>
      </c>
      <c r="AH16">
        <v>46228</v>
      </c>
      <c r="AI16" t="s">
        <v>149</v>
      </c>
    </row>
    <row r="17" spans="1:35" x14ac:dyDescent="0.25">
      <c r="A17" s="1">
        <v>46228</v>
      </c>
      <c r="B17" t="s">
        <v>148</v>
      </c>
      <c r="C17" t="s">
        <v>12</v>
      </c>
      <c r="D17">
        <v>14.982653726765909</v>
      </c>
      <c r="E17">
        <v>13.3</v>
      </c>
      <c r="F17">
        <v>13.3</v>
      </c>
      <c r="G17">
        <v>12.304917279411764</v>
      </c>
      <c r="H17">
        <v>0.8876932112660445</v>
      </c>
      <c r="I17">
        <v>0.8876932112660445</v>
      </c>
      <c r="J17">
        <v>0.82127755895669696</v>
      </c>
      <c r="K17">
        <v>0</v>
      </c>
      <c r="L17">
        <v>0</v>
      </c>
      <c r="M17">
        <v>0</v>
      </c>
      <c r="N17">
        <v>0</v>
      </c>
      <c r="O17">
        <v>0</v>
      </c>
      <c r="P17">
        <v>0</v>
      </c>
      <c r="Q17">
        <v>0</v>
      </c>
      <c r="R17">
        <v>0</v>
      </c>
      <c r="S17">
        <v>0</v>
      </c>
      <c r="T17">
        <v>0</v>
      </c>
      <c r="U17">
        <v>0.1123067887339555</v>
      </c>
      <c r="V17">
        <v>0</v>
      </c>
      <c r="W17">
        <v>6.6415652309347539E-2</v>
      </c>
      <c r="X17">
        <v>0</v>
      </c>
      <c r="Y17">
        <v>0.82127755895669696</v>
      </c>
      <c r="Z17">
        <v>0</v>
      </c>
      <c r="AA17">
        <v>0</v>
      </c>
      <c r="AB17">
        <v>0</v>
      </c>
      <c r="AC17">
        <v>0</v>
      </c>
      <c r="AD17">
        <v>0</v>
      </c>
      <c r="AE17" t="s">
        <v>245</v>
      </c>
      <c r="AF17">
        <v>20</v>
      </c>
      <c r="AG17" t="s">
        <v>178</v>
      </c>
      <c r="AH17">
        <v>46228</v>
      </c>
      <c r="AI17" t="s">
        <v>149</v>
      </c>
    </row>
    <row r="18" spans="1:35" x14ac:dyDescent="0.25">
      <c r="A18" s="1">
        <v>46229</v>
      </c>
      <c r="B18" t="s">
        <v>148</v>
      </c>
      <c r="C18" t="s">
        <v>10</v>
      </c>
      <c r="D18">
        <v>10.99709873032308</v>
      </c>
      <c r="E18">
        <v>12.35</v>
      </c>
      <c r="F18">
        <v>12.35</v>
      </c>
      <c r="G18">
        <v>11.25</v>
      </c>
      <c r="H18">
        <v>1.1230234721769361</v>
      </c>
      <c r="I18">
        <v>1.1230234721769361</v>
      </c>
      <c r="J18">
        <v>1.0229970900397192</v>
      </c>
      <c r="K18">
        <v>0</v>
      </c>
      <c r="L18">
        <v>0</v>
      </c>
      <c r="M18">
        <v>0</v>
      </c>
      <c r="N18">
        <v>0</v>
      </c>
      <c r="O18">
        <v>0</v>
      </c>
      <c r="P18">
        <v>0</v>
      </c>
      <c r="Q18">
        <v>2.299709003971917E-2</v>
      </c>
      <c r="R18">
        <v>0</v>
      </c>
      <c r="S18">
        <v>0.10002638213721693</v>
      </c>
      <c r="T18">
        <v>0</v>
      </c>
      <c r="U18">
        <v>0</v>
      </c>
      <c r="V18">
        <v>0</v>
      </c>
      <c r="W18">
        <v>0</v>
      </c>
      <c r="X18">
        <v>0</v>
      </c>
      <c r="Y18">
        <v>1</v>
      </c>
      <c r="Z18">
        <v>0</v>
      </c>
      <c r="AA18">
        <v>0</v>
      </c>
      <c r="AB18">
        <v>0</v>
      </c>
      <c r="AC18">
        <v>0</v>
      </c>
      <c r="AD18">
        <v>0</v>
      </c>
      <c r="AE18" t="s">
        <v>245</v>
      </c>
      <c r="AF18">
        <v>20</v>
      </c>
      <c r="AG18" t="s">
        <v>181</v>
      </c>
      <c r="AH18">
        <v>46229</v>
      </c>
      <c r="AI18" t="s">
        <v>149</v>
      </c>
    </row>
    <row r="19" spans="1:35" x14ac:dyDescent="0.25">
      <c r="A19" s="1">
        <v>46229</v>
      </c>
      <c r="B19" t="s">
        <v>148</v>
      </c>
      <c r="C19" t="s">
        <v>11</v>
      </c>
      <c r="D19">
        <v>79.548990702754637</v>
      </c>
      <c r="E19">
        <v>31.35</v>
      </c>
      <c r="F19">
        <v>31.35</v>
      </c>
      <c r="G19">
        <v>4.6874999999999991</v>
      </c>
      <c r="H19">
        <v>0.39409676632030988</v>
      </c>
      <c r="I19">
        <v>0.39409676632030988</v>
      </c>
      <c r="J19">
        <v>5.8925951901960205E-2</v>
      </c>
      <c r="K19">
        <v>0</v>
      </c>
      <c r="L19">
        <v>0</v>
      </c>
      <c r="M19">
        <v>0</v>
      </c>
      <c r="N19">
        <v>0</v>
      </c>
      <c r="O19">
        <v>0</v>
      </c>
      <c r="P19">
        <v>0</v>
      </c>
      <c r="Q19">
        <v>0</v>
      </c>
      <c r="R19">
        <v>0</v>
      </c>
      <c r="S19">
        <v>0</v>
      </c>
      <c r="T19">
        <v>0</v>
      </c>
      <c r="U19">
        <v>0.60590323367969012</v>
      </c>
      <c r="V19">
        <v>0</v>
      </c>
      <c r="W19">
        <v>0.33517081441834967</v>
      </c>
      <c r="X19">
        <v>0</v>
      </c>
      <c r="Y19">
        <v>5.8925951901960205E-2</v>
      </c>
      <c r="Z19">
        <v>0</v>
      </c>
      <c r="AA19">
        <v>0</v>
      </c>
      <c r="AB19">
        <v>0</v>
      </c>
      <c r="AC19">
        <v>0</v>
      </c>
      <c r="AD19">
        <v>0</v>
      </c>
      <c r="AE19" t="s">
        <v>245</v>
      </c>
      <c r="AF19">
        <v>20</v>
      </c>
      <c r="AG19" t="s">
        <v>179</v>
      </c>
      <c r="AH19">
        <v>46229</v>
      </c>
      <c r="AI19" t="s">
        <v>149</v>
      </c>
    </row>
    <row r="20" spans="1:35" x14ac:dyDescent="0.25">
      <c r="A20" s="1">
        <v>46229</v>
      </c>
      <c r="B20" t="s">
        <v>148</v>
      </c>
      <c r="C20" t="s">
        <v>12</v>
      </c>
      <c r="D20">
        <v>1.3970004769897464</v>
      </c>
      <c r="E20">
        <v>1.9</v>
      </c>
      <c r="F20">
        <v>1.9</v>
      </c>
      <c r="G20">
        <v>12.932291666666668</v>
      </c>
      <c r="H20">
        <v>1.3600568011931649</v>
      </c>
      <c r="I20">
        <v>1.3600568011931649</v>
      </c>
      <c r="J20">
        <v>9.2571848611914156</v>
      </c>
      <c r="K20">
        <v>7.8971280599982503</v>
      </c>
      <c r="L20">
        <v>0</v>
      </c>
      <c r="M20">
        <v>0</v>
      </c>
      <c r="N20">
        <v>0</v>
      </c>
      <c r="O20">
        <v>0.11005680119316485</v>
      </c>
      <c r="P20">
        <v>0</v>
      </c>
      <c r="Q20">
        <v>0.25</v>
      </c>
      <c r="R20">
        <v>0</v>
      </c>
      <c r="S20">
        <v>0</v>
      </c>
      <c r="T20">
        <v>0</v>
      </c>
      <c r="U20">
        <v>0</v>
      </c>
      <c r="V20">
        <v>0</v>
      </c>
      <c r="W20">
        <v>0</v>
      </c>
      <c r="X20">
        <v>0</v>
      </c>
      <c r="Y20">
        <v>1</v>
      </c>
      <c r="Z20">
        <v>0</v>
      </c>
      <c r="AA20">
        <v>0</v>
      </c>
      <c r="AB20">
        <v>0</v>
      </c>
      <c r="AC20">
        <v>0</v>
      </c>
      <c r="AD20">
        <v>0</v>
      </c>
      <c r="AE20" t="s">
        <v>245</v>
      </c>
      <c r="AF20">
        <v>20</v>
      </c>
      <c r="AG20" t="s">
        <v>180</v>
      </c>
      <c r="AH20">
        <v>46229</v>
      </c>
      <c r="AI20" t="s">
        <v>149</v>
      </c>
    </row>
    <row r="21" spans="1:35" x14ac:dyDescent="0.25">
      <c r="A21" s="1">
        <v>46230</v>
      </c>
      <c r="B21" t="s">
        <v>148</v>
      </c>
      <c r="C21" t="s">
        <v>12</v>
      </c>
      <c r="D21">
        <v>9.0790193580966765</v>
      </c>
      <c r="E21">
        <v>10.45</v>
      </c>
      <c r="F21">
        <v>10.45</v>
      </c>
      <c r="G21">
        <v>10.348958333333332</v>
      </c>
      <c r="H21">
        <v>1.1510053660895305</v>
      </c>
      <c r="I21">
        <v>1.1510053660895305</v>
      </c>
      <c r="J21">
        <v>1.1398762272826439</v>
      </c>
      <c r="K21">
        <v>0</v>
      </c>
      <c r="L21">
        <v>0</v>
      </c>
      <c r="M21">
        <v>0</v>
      </c>
      <c r="N21">
        <v>0</v>
      </c>
      <c r="O21">
        <v>0</v>
      </c>
      <c r="P21">
        <v>0</v>
      </c>
      <c r="Q21">
        <v>0.13987622728264393</v>
      </c>
      <c r="R21">
        <v>0</v>
      </c>
      <c r="S21">
        <v>1.1129138806886596E-2</v>
      </c>
      <c r="T21">
        <v>0</v>
      </c>
      <c r="U21">
        <v>0</v>
      </c>
      <c r="V21">
        <v>0</v>
      </c>
      <c r="W21">
        <v>0</v>
      </c>
      <c r="X21">
        <v>0</v>
      </c>
      <c r="Y21">
        <v>1</v>
      </c>
      <c r="Z21">
        <v>0</v>
      </c>
      <c r="AA21">
        <v>0</v>
      </c>
      <c r="AB21">
        <v>0</v>
      </c>
      <c r="AC21">
        <v>0</v>
      </c>
      <c r="AD21">
        <v>0</v>
      </c>
      <c r="AE21" t="s">
        <v>245</v>
      </c>
      <c r="AF21">
        <v>20</v>
      </c>
      <c r="AG21" t="s">
        <v>182</v>
      </c>
      <c r="AH21">
        <v>46230</v>
      </c>
      <c r="AI21" t="s">
        <v>149</v>
      </c>
    </row>
    <row r="22" spans="1:35" x14ac:dyDescent="0.25">
      <c r="A22" s="1">
        <v>46230</v>
      </c>
      <c r="B22" t="s">
        <v>148</v>
      </c>
      <c r="C22" t="s">
        <v>11</v>
      </c>
      <c r="D22">
        <v>17.645668247132704</v>
      </c>
      <c r="E22">
        <v>20.9</v>
      </c>
      <c r="F22">
        <v>20.9</v>
      </c>
      <c r="G22">
        <v>5.6041666666666661</v>
      </c>
      <c r="H22">
        <v>1.1844266653599871</v>
      </c>
      <c r="I22">
        <v>1.1844266653599871</v>
      </c>
      <c r="J22">
        <v>0.31759447067567437</v>
      </c>
      <c r="K22">
        <v>0</v>
      </c>
      <c r="L22">
        <v>0</v>
      </c>
      <c r="M22">
        <v>0</v>
      </c>
      <c r="N22">
        <v>0</v>
      </c>
      <c r="O22">
        <v>0</v>
      </c>
      <c r="P22">
        <v>0</v>
      </c>
      <c r="Q22">
        <v>0</v>
      </c>
      <c r="R22">
        <v>0</v>
      </c>
      <c r="S22">
        <v>0.18442666535998709</v>
      </c>
      <c r="T22">
        <v>0</v>
      </c>
      <c r="U22">
        <v>0</v>
      </c>
      <c r="V22">
        <v>0</v>
      </c>
      <c r="W22">
        <v>0.68240552932432563</v>
      </c>
      <c r="X22">
        <v>0</v>
      </c>
      <c r="Y22">
        <v>0.31759447067567437</v>
      </c>
      <c r="Z22">
        <v>0</v>
      </c>
      <c r="AA22">
        <v>0</v>
      </c>
      <c r="AB22">
        <v>0</v>
      </c>
      <c r="AC22">
        <v>0</v>
      </c>
      <c r="AD22">
        <v>0</v>
      </c>
      <c r="AE22" t="s">
        <v>245</v>
      </c>
      <c r="AF22">
        <v>20</v>
      </c>
      <c r="AG22" t="s">
        <v>184</v>
      </c>
      <c r="AH22">
        <v>46230</v>
      </c>
      <c r="AI22" t="s">
        <v>149</v>
      </c>
    </row>
    <row r="23" spans="1:35" x14ac:dyDescent="0.25">
      <c r="A23" s="1">
        <v>46230</v>
      </c>
      <c r="B23" t="s">
        <v>148</v>
      </c>
      <c r="C23" t="s">
        <v>10</v>
      </c>
      <c r="D23">
        <v>4.5818289453651788</v>
      </c>
      <c r="E23">
        <v>4.75</v>
      </c>
      <c r="F23">
        <v>4.75</v>
      </c>
      <c r="G23">
        <v>11.229166666666666</v>
      </c>
      <c r="H23">
        <v>1.0367039137951533</v>
      </c>
      <c r="I23">
        <v>1.0367039137951533</v>
      </c>
      <c r="J23">
        <v>2.4508044277876646</v>
      </c>
      <c r="K23">
        <v>1.4141005139925114</v>
      </c>
      <c r="L23">
        <v>0</v>
      </c>
      <c r="M23">
        <v>0</v>
      </c>
      <c r="N23">
        <v>0</v>
      </c>
      <c r="O23">
        <v>0</v>
      </c>
      <c r="P23">
        <v>0.21329608620484675</v>
      </c>
      <c r="Q23">
        <v>3.6703913795153253E-2</v>
      </c>
      <c r="R23">
        <v>0</v>
      </c>
      <c r="S23">
        <v>0</v>
      </c>
      <c r="T23">
        <v>0</v>
      </c>
      <c r="U23">
        <v>0</v>
      </c>
      <c r="V23">
        <v>0</v>
      </c>
      <c r="W23">
        <v>0</v>
      </c>
      <c r="X23">
        <v>0</v>
      </c>
      <c r="Y23">
        <v>0</v>
      </c>
      <c r="Z23">
        <v>0</v>
      </c>
      <c r="AA23">
        <v>0</v>
      </c>
      <c r="AB23">
        <v>0</v>
      </c>
      <c r="AC23">
        <v>0</v>
      </c>
      <c r="AD23">
        <v>0</v>
      </c>
      <c r="AE23" t="s">
        <v>245</v>
      </c>
      <c r="AF23">
        <v>20</v>
      </c>
      <c r="AG23" t="s">
        <v>183</v>
      </c>
      <c r="AH23">
        <v>46230</v>
      </c>
      <c r="AI23" t="s">
        <v>149</v>
      </c>
    </row>
    <row r="24" spans="1:35" x14ac:dyDescent="0.25">
      <c r="A24" s="1">
        <v>46231</v>
      </c>
      <c r="B24" t="s">
        <v>148</v>
      </c>
      <c r="C24" t="s">
        <v>10</v>
      </c>
      <c r="D24">
        <v>6.7039391937448398</v>
      </c>
      <c r="E24">
        <v>9.5</v>
      </c>
      <c r="F24">
        <v>9.5</v>
      </c>
      <c r="G24">
        <v>8.5546875</v>
      </c>
      <c r="H24">
        <v>1.4170772922379793</v>
      </c>
      <c r="I24">
        <v>1.4170772922379793</v>
      </c>
      <c r="J24">
        <v>1.2760687787833778</v>
      </c>
      <c r="K24">
        <v>0</v>
      </c>
      <c r="L24">
        <v>0</v>
      </c>
      <c r="M24">
        <v>0.14100851345460153</v>
      </c>
      <c r="N24">
        <v>0</v>
      </c>
      <c r="O24">
        <v>2.6068778783377766E-2</v>
      </c>
      <c r="P24">
        <v>0</v>
      </c>
      <c r="Q24">
        <v>0.25</v>
      </c>
      <c r="R24">
        <v>0</v>
      </c>
      <c r="S24">
        <v>0</v>
      </c>
      <c r="T24">
        <v>0</v>
      </c>
      <c r="U24">
        <v>0</v>
      </c>
      <c r="V24">
        <v>0</v>
      </c>
      <c r="W24">
        <v>0</v>
      </c>
      <c r="X24">
        <v>0</v>
      </c>
      <c r="Y24">
        <v>1</v>
      </c>
      <c r="Z24">
        <v>0</v>
      </c>
      <c r="AA24">
        <v>0</v>
      </c>
      <c r="AB24">
        <v>0</v>
      </c>
      <c r="AC24">
        <v>0</v>
      </c>
      <c r="AD24">
        <v>0</v>
      </c>
      <c r="AE24" t="s">
        <v>245</v>
      </c>
      <c r="AF24">
        <v>20</v>
      </c>
      <c r="AG24" t="s">
        <v>187</v>
      </c>
      <c r="AH24">
        <v>46231</v>
      </c>
      <c r="AI24" t="s">
        <v>149</v>
      </c>
    </row>
    <row r="25" spans="1:35" x14ac:dyDescent="0.25">
      <c r="A25" s="1">
        <v>46231</v>
      </c>
      <c r="B25" t="s">
        <v>148</v>
      </c>
      <c r="C25" t="s">
        <v>12</v>
      </c>
      <c r="D25">
        <v>14.58321711695292</v>
      </c>
      <c r="E25">
        <v>21.85</v>
      </c>
      <c r="F25">
        <v>21.85</v>
      </c>
      <c r="G25">
        <v>11.25</v>
      </c>
      <c r="H25">
        <v>1.4982976544043549</v>
      </c>
      <c r="I25">
        <v>1.4982976544043549</v>
      </c>
      <c r="J25">
        <v>0.77143471908691053</v>
      </c>
      <c r="K25">
        <v>0</v>
      </c>
      <c r="L25">
        <v>0</v>
      </c>
      <c r="M25">
        <v>0.24829765440435492</v>
      </c>
      <c r="N25">
        <v>0</v>
      </c>
      <c r="O25">
        <v>0</v>
      </c>
      <c r="P25">
        <v>0</v>
      </c>
      <c r="Q25">
        <v>0</v>
      </c>
      <c r="R25">
        <v>0</v>
      </c>
      <c r="S25">
        <v>0.25</v>
      </c>
      <c r="T25">
        <v>0</v>
      </c>
      <c r="U25">
        <v>0</v>
      </c>
      <c r="V25">
        <v>0</v>
      </c>
      <c r="W25">
        <v>0.22856528091308947</v>
      </c>
      <c r="X25">
        <v>0</v>
      </c>
      <c r="Y25">
        <v>0.77143471908691053</v>
      </c>
      <c r="Z25">
        <v>0</v>
      </c>
      <c r="AA25">
        <v>0</v>
      </c>
      <c r="AB25">
        <v>0</v>
      </c>
      <c r="AC25">
        <v>0</v>
      </c>
      <c r="AD25">
        <v>0</v>
      </c>
      <c r="AE25" t="s">
        <v>245</v>
      </c>
      <c r="AF25">
        <v>20</v>
      </c>
      <c r="AG25" t="s">
        <v>185</v>
      </c>
      <c r="AH25">
        <v>46231</v>
      </c>
      <c r="AI25" t="s">
        <v>149</v>
      </c>
    </row>
    <row r="26" spans="1:35" x14ac:dyDescent="0.25">
      <c r="A26" s="1">
        <v>46232</v>
      </c>
      <c r="B26" t="s">
        <v>148</v>
      </c>
      <c r="C26" t="s">
        <v>12</v>
      </c>
      <c r="D26">
        <v>6.4145605235112502</v>
      </c>
      <c r="E26">
        <v>5.6999999999999993</v>
      </c>
      <c r="F26">
        <v>5.6999999999999993</v>
      </c>
      <c r="G26">
        <v>12.191176470588236</v>
      </c>
      <c r="H26">
        <v>0.88860335468155982</v>
      </c>
      <c r="I26">
        <v>0.88860335468155982</v>
      </c>
      <c r="J26">
        <v>1.9005474226806325</v>
      </c>
      <c r="K26">
        <v>0.90054742268063248</v>
      </c>
      <c r="L26">
        <v>0</v>
      </c>
      <c r="M26">
        <v>0</v>
      </c>
      <c r="N26">
        <v>0</v>
      </c>
      <c r="O26">
        <v>0</v>
      </c>
      <c r="P26">
        <v>0</v>
      </c>
      <c r="Q26">
        <v>0</v>
      </c>
      <c r="R26">
        <v>0</v>
      </c>
      <c r="S26">
        <v>0</v>
      </c>
      <c r="T26">
        <v>0.11139664531844018</v>
      </c>
      <c r="U26">
        <v>0</v>
      </c>
      <c r="V26">
        <v>0</v>
      </c>
      <c r="W26">
        <v>0</v>
      </c>
      <c r="X26">
        <v>0</v>
      </c>
      <c r="Y26">
        <v>0.88860335468155982</v>
      </c>
      <c r="Z26">
        <v>0</v>
      </c>
      <c r="AA26">
        <v>0</v>
      </c>
      <c r="AB26">
        <v>0</v>
      </c>
      <c r="AC26">
        <v>0</v>
      </c>
      <c r="AD26">
        <v>0</v>
      </c>
      <c r="AE26" t="s">
        <v>245</v>
      </c>
      <c r="AF26">
        <v>20</v>
      </c>
      <c r="AG26" t="s">
        <v>189</v>
      </c>
      <c r="AH26">
        <v>46232</v>
      </c>
      <c r="AI26" t="s">
        <v>149</v>
      </c>
    </row>
    <row r="27" spans="1:35" x14ac:dyDescent="0.25">
      <c r="A27" s="1">
        <v>46232</v>
      </c>
      <c r="B27" t="s">
        <v>148</v>
      </c>
      <c r="C27" t="s">
        <v>10</v>
      </c>
      <c r="D27">
        <v>6.5889915552909413</v>
      </c>
      <c r="E27">
        <v>6.6499999999999995</v>
      </c>
      <c r="F27">
        <v>6.6499999999999995</v>
      </c>
      <c r="G27">
        <v>12.246323529411764</v>
      </c>
      <c r="H27">
        <v>1.0092591475033943</v>
      </c>
      <c r="I27">
        <v>1.0092591475033943</v>
      </c>
      <c r="J27">
        <v>1.8586036158413348</v>
      </c>
      <c r="K27">
        <v>0.84934446833794053</v>
      </c>
      <c r="L27">
        <v>0</v>
      </c>
      <c r="M27">
        <v>0</v>
      </c>
      <c r="N27">
        <v>0</v>
      </c>
      <c r="O27">
        <v>0</v>
      </c>
      <c r="P27">
        <v>0.24074085249660571</v>
      </c>
      <c r="Q27">
        <v>9.2591475033942938E-3</v>
      </c>
      <c r="R27">
        <v>0</v>
      </c>
      <c r="S27">
        <v>0</v>
      </c>
      <c r="T27">
        <v>0</v>
      </c>
      <c r="U27">
        <v>0</v>
      </c>
      <c r="V27">
        <v>0</v>
      </c>
      <c r="W27">
        <v>0</v>
      </c>
      <c r="X27">
        <v>0</v>
      </c>
      <c r="Y27">
        <v>0</v>
      </c>
      <c r="Z27">
        <v>0</v>
      </c>
      <c r="AA27">
        <v>0</v>
      </c>
      <c r="AB27">
        <v>0</v>
      </c>
      <c r="AC27">
        <v>0</v>
      </c>
      <c r="AD27">
        <v>0</v>
      </c>
      <c r="AE27" t="s">
        <v>245</v>
      </c>
      <c r="AF27">
        <v>20</v>
      </c>
      <c r="AG27" t="s">
        <v>190</v>
      </c>
      <c r="AH27">
        <v>46232</v>
      </c>
      <c r="AI27" t="s">
        <v>149</v>
      </c>
    </row>
    <row r="28" spans="1:35" x14ac:dyDescent="0.25">
      <c r="A28" s="1">
        <v>46232</v>
      </c>
      <c r="B28" t="s">
        <v>148</v>
      </c>
      <c r="C28" t="s">
        <v>11</v>
      </c>
      <c r="D28">
        <v>100.60731768454488</v>
      </c>
      <c r="E28">
        <v>30.4</v>
      </c>
      <c r="F28">
        <v>30.4</v>
      </c>
      <c r="G28">
        <v>4.6874999999999991</v>
      </c>
      <c r="H28">
        <v>0.30216489913108968</v>
      </c>
      <c r="I28">
        <v>0.30216489913108968</v>
      </c>
      <c r="J28">
        <v>4.6592038311742849E-2</v>
      </c>
      <c r="K28">
        <v>0</v>
      </c>
      <c r="L28">
        <v>0</v>
      </c>
      <c r="M28">
        <v>0</v>
      </c>
      <c r="N28">
        <v>0</v>
      </c>
      <c r="O28">
        <v>0</v>
      </c>
      <c r="P28">
        <v>0</v>
      </c>
      <c r="Q28">
        <v>0</v>
      </c>
      <c r="R28">
        <v>0</v>
      </c>
      <c r="S28">
        <v>0</v>
      </c>
      <c r="T28">
        <v>0</v>
      </c>
      <c r="U28">
        <v>0.69783510086891032</v>
      </c>
      <c r="V28">
        <v>0</v>
      </c>
      <c r="W28">
        <v>0.25557286081934683</v>
      </c>
      <c r="X28">
        <v>0</v>
      </c>
      <c r="Y28">
        <v>4.6592038311742849E-2</v>
      </c>
      <c r="Z28">
        <v>0</v>
      </c>
      <c r="AA28">
        <v>0</v>
      </c>
      <c r="AB28">
        <v>0</v>
      </c>
      <c r="AC28">
        <v>0</v>
      </c>
      <c r="AD28">
        <v>0</v>
      </c>
      <c r="AE28" t="s">
        <v>245</v>
      </c>
      <c r="AF28">
        <v>20</v>
      </c>
      <c r="AG28" t="s">
        <v>188</v>
      </c>
      <c r="AH28">
        <v>46232</v>
      </c>
      <c r="AI28" t="s">
        <v>149</v>
      </c>
    </row>
    <row r="29" spans="1:35" x14ac:dyDescent="0.25">
      <c r="A29" s="1">
        <v>46233</v>
      </c>
      <c r="B29" t="s">
        <v>148</v>
      </c>
      <c r="C29" t="s">
        <v>12</v>
      </c>
      <c r="D29">
        <v>8.3260201222355779</v>
      </c>
      <c r="E29">
        <v>7.6</v>
      </c>
      <c r="F29">
        <v>7.6</v>
      </c>
      <c r="G29">
        <v>12.1875</v>
      </c>
      <c r="H29">
        <v>0.91280106082176538</v>
      </c>
      <c r="I29">
        <v>0.91280106082176538</v>
      </c>
      <c r="J29">
        <v>1.4637845958901665</v>
      </c>
      <c r="K29">
        <v>0.46378459589016652</v>
      </c>
      <c r="L29">
        <v>0</v>
      </c>
      <c r="M29">
        <v>0</v>
      </c>
      <c r="N29">
        <v>0</v>
      </c>
      <c r="O29">
        <v>0</v>
      </c>
      <c r="P29">
        <v>0</v>
      </c>
      <c r="Q29">
        <v>0</v>
      </c>
      <c r="R29">
        <v>0</v>
      </c>
      <c r="S29">
        <v>0</v>
      </c>
      <c r="T29">
        <v>8.7198939178234625E-2</v>
      </c>
      <c r="U29">
        <v>0</v>
      </c>
      <c r="V29">
        <v>0</v>
      </c>
      <c r="W29">
        <v>0</v>
      </c>
      <c r="X29">
        <v>0</v>
      </c>
      <c r="Y29">
        <v>0.91280106082176538</v>
      </c>
      <c r="Z29">
        <v>0</v>
      </c>
      <c r="AA29">
        <v>0</v>
      </c>
      <c r="AB29">
        <v>0</v>
      </c>
      <c r="AC29">
        <v>0</v>
      </c>
      <c r="AD29">
        <v>0</v>
      </c>
      <c r="AE29" t="s">
        <v>245</v>
      </c>
      <c r="AF29">
        <v>20</v>
      </c>
      <c r="AG29" t="s">
        <v>191</v>
      </c>
      <c r="AH29">
        <v>46233</v>
      </c>
      <c r="AI29" t="s">
        <v>149</v>
      </c>
    </row>
    <row r="30" spans="1:35" x14ac:dyDescent="0.25">
      <c r="A30" s="1">
        <v>46233</v>
      </c>
      <c r="B30" t="s">
        <v>148</v>
      </c>
      <c r="C30" t="s">
        <v>11</v>
      </c>
      <c r="D30">
        <v>14.622665930241103</v>
      </c>
      <c r="E30">
        <v>19.95</v>
      </c>
      <c r="F30">
        <v>19.95</v>
      </c>
      <c r="G30">
        <v>4.6874999999999991</v>
      </c>
      <c r="H30">
        <v>1.3643203021373447</v>
      </c>
      <c r="I30">
        <v>1.3643203021373447</v>
      </c>
      <c r="J30">
        <v>0.32056398076535353</v>
      </c>
      <c r="K30">
        <v>0</v>
      </c>
      <c r="L30">
        <v>0</v>
      </c>
      <c r="M30">
        <v>0.11432030213734468</v>
      </c>
      <c r="N30">
        <v>0</v>
      </c>
      <c r="O30">
        <v>0</v>
      </c>
      <c r="P30">
        <v>0</v>
      </c>
      <c r="Q30">
        <v>0</v>
      </c>
      <c r="R30">
        <v>0</v>
      </c>
      <c r="S30">
        <v>0.25</v>
      </c>
      <c r="T30">
        <v>0</v>
      </c>
      <c r="U30">
        <v>0</v>
      </c>
      <c r="V30">
        <v>0</v>
      </c>
      <c r="W30">
        <v>0.67943601923464647</v>
      </c>
      <c r="X30">
        <v>0</v>
      </c>
      <c r="Y30">
        <v>0.32056398076535353</v>
      </c>
      <c r="Z30">
        <v>0</v>
      </c>
      <c r="AA30">
        <v>0</v>
      </c>
      <c r="AB30">
        <v>0</v>
      </c>
      <c r="AC30">
        <v>0</v>
      </c>
      <c r="AD30">
        <v>0</v>
      </c>
      <c r="AE30" t="s">
        <v>245</v>
      </c>
      <c r="AF30">
        <v>20</v>
      </c>
      <c r="AG30" t="s">
        <v>193</v>
      </c>
      <c r="AH30">
        <v>46233</v>
      </c>
      <c r="AI30" t="s">
        <v>149</v>
      </c>
    </row>
    <row r="31" spans="1:35" x14ac:dyDescent="0.25">
      <c r="A31" s="1">
        <v>46233</v>
      </c>
      <c r="B31" t="s">
        <v>148</v>
      </c>
      <c r="C31" t="s">
        <v>10</v>
      </c>
      <c r="D31">
        <v>5.1847011750184917</v>
      </c>
      <c r="E31">
        <v>7.6</v>
      </c>
      <c r="F31">
        <v>7.6</v>
      </c>
      <c r="G31">
        <v>11.25</v>
      </c>
      <c r="H31">
        <v>1.4658511153196585</v>
      </c>
      <c r="I31">
        <v>1.4658511153196585</v>
      </c>
      <c r="J31">
        <v>2.1698454009665999</v>
      </c>
      <c r="K31">
        <v>0.70399428564694144</v>
      </c>
      <c r="L31">
        <v>0</v>
      </c>
      <c r="M31">
        <v>0</v>
      </c>
      <c r="N31">
        <v>0</v>
      </c>
      <c r="O31">
        <v>0.2158511153196585</v>
      </c>
      <c r="P31">
        <v>0</v>
      </c>
      <c r="Q31">
        <v>0.25</v>
      </c>
      <c r="R31">
        <v>0</v>
      </c>
      <c r="S31">
        <v>0</v>
      </c>
      <c r="T31">
        <v>0</v>
      </c>
      <c r="U31">
        <v>0</v>
      </c>
      <c r="V31">
        <v>0</v>
      </c>
      <c r="W31">
        <v>0</v>
      </c>
      <c r="X31">
        <v>0</v>
      </c>
      <c r="Y31">
        <v>1</v>
      </c>
      <c r="Z31">
        <v>0</v>
      </c>
      <c r="AA31">
        <v>0</v>
      </c>
      <c r="AB31">
        <v>0</v>
      </c>
      <c r="AC31">
        <v>0</v>
      </c>
      <c r="AD31">
        <v>0</v>
      </c>
      <c r="AE31" t="s">
        <v>245</v>
      </c>
      <c r="AF31">
        <v>20</v>
      </c>
      <c r="AG31" t="s">
        <v>192</v>
      </c>
      <c r="AH31">
        <v>46233</v>
      </c>
      <c r="AI31" t="s">
        <v>149</v>
      </c>
    </row>
    <row r="32" spans="1:35" x14ac:dyDescent="0.25">
      <c r="A32" s="1">
        <v>46234</v>
      </c>
      <c r="B32" t="s">
        <v>148</v>
      </c>
      <c r="C32" t="s">
        <v>10</v>
      </c>
      <c r="D32">
        <v>5.4470622379231743</v>
      </c>
      <c r="E32">
        <v>4.75</v>
      </c>
      <c r="F32">
        <v>4.75</v>
      </c>
      <c r="G32">
        <v>12.246323529411764</v>
      </c>
      <c r="H32">
        <v>0.87202969096440019</v>
      </c>
      <c r="I32">
        <v>0.87202969096440019</v>
      </c>
      <c r="J32">
        <v>2.2482437311164221</v>
      </c>
      <c r="K32">
        <v>1.2482437311164221</v>
      </c>
      <c r="L32">
        <v>0</v>
      </c>
      <c r="M32">
        <v>0</v>
      </c>
      <c r="N32">
        <v>0</v>
      </c>
      <c r="O32">
        <v>0</v>
      </c>
      <c r="P32">
        <v>0</v>
      </c>
      <c r="Q32">
        <v>0</v>
      </c>
      <c r="R32">
        <v>0</v>
      </c>
      <c r="S32">
        <v>0</v>
      </c>
      <c r="T32">
        <v>0.12797030903559981</v>
      </c>
      <c r="U32">
        <v>0</v>
      </c>
      <c r="V32">
        <v>0</v>
      </c>
      <c r="W32">
        <v>0</v>
      </c>
      <c r="X32">
        <v>0</v>
      </c>
      <c r="Y32">
        <v>0.87202969096440019</v>
      </c>
      <c r="Z32">
        <v>0</v>
      </c>
      <c r="AA32">
        <v>0</v>
      </c>
      <c r="AB32">
        <v>0</v>
      </c>
      <c r="AC32">
        <v>0</v>
      </c>
      <c r="AD32">
        <v>0</v>
      </c>
      <c r="AE32" t="s">
        <v>245</v>
      </c>
      <c r="AF32">
        <v>20</v>
      </c>
      <c r="AG32" t="s">
        <v>194</v>
      </c>
      <c r="AH32">
        <v>46234</v>
      </c>
      <c r="AI32" t="s">
        <v>149</v>
      </c>
    </row>
    <row r="33" spans="1:35" x14ac:dyDescent="0.25">
      <c r="A33" s="1">
        <v>46234</v>
      </c>
      <c r="B33" t="s">
        <v>148</v>
      </c>
      <c r="C33" t="s">
        <v>11</v>
      </c>
      <c r="D33">
        <v>15.344059345332782</v>
      </c>
      <c r="E33">
        <v>19.95</v>
      </c>
      <c r="F33">
        <v>19.95</v>
      </c>
      <c r="G33">
        <v>5.6160714285714279</v>
      </c>
      <c r="H33">
        <v>1.3001774531110772</v>
      </c>
      <c r="I33">
        <v>1.3001774531110772</v>
      </c>
      <c r="J33">
        <v>0.36600949606465605</v>
      </c>
      <c r="K33">
        <v>0</v>
      </c>
      <c r="L33">
        <v>0</v>
      </c>
      <c r="M33">
        <v>5.0177453111077241E-2</v>
      </c>
      <c r="N33">
        <v>0</v>
      </c>
      <c r="O33">
        <v>0</v>
      </c>
      <c r="P33">
        <v>0</v>
      </c>
      <c r="Q33">
        <v>0</v>
      </c>
      <c r="R33">
        <v>0</v>
      </c>
      <c r="S33">
        <v>0.25</v>
      </c>
      <c r="T33">
        <v>0</v>
      </c>
      <c r="U33">
        <v>0</v>
      </c>
      <c r="V33">
        <v>0</v>
      </c>
      <c r="W33">
        <v>0.63399050393534395</v>
      </c>
      <c r="X33">
        <v>0</v>
      </c>
      <c r="Y33">
        <v>0.36600949606465605</v>
      </c>
      <c r="Z33">
        <v>0</v>
      </c>
      <c r="AA33">
        <v>0</v>
      </c>
      <c r="AB33">
        <v>0</v>
      </c>
      <c r="AC33">
        <v>0</v>
      </c>
      <c r="AD33">
        <v>0</v>
      </c>
      <c r="AE33" t="s">
        <v>245</v>
      </c>
      <c r="AF33">
        <v>20</v>
      </c>
      <c r="AG33" t="s">
        <v>195</v>
      </c>
      <c r="AH33">
        <v>46234</v>
      </c>
      <c r="AI33" t="s">
        <v>149</v>
      </c>
    </row>
    <row r="34" spans="1:35" x14ac:dyDescent="0.25">
      <c r="A34" s="1">
        <v>46234</v>
      </c>
      <c r="B34" t="s">
        <v>148</v>
      </c>
      <c r="C34" t="s">
        <v>12</v>
      </c>
      <c r="D34">
        <v>9.4895347716240384</v>
      </c>
      <c r="E34">
        <v>8.5499999999999989</v>
      </c>
      <c r="F34">
        <v>8.5499999999999989</v>
      </c>
      <c r="G34">
        <v>12.182247899159664</v>
      </c>
      <c r="H34">
        <v>0.90099253606894714</v>
      </c>
      <c r="I34">
        <v>0.90099253606894714</v>
      </c>
      <c r="J34">
        <v>1.2837560736473064</v>
      </c>
      <c r="K34">
        <v>0.28375607364730637</v>
      </c>
      <c r="L34">
        <v>0</v>
      </c>
      <c r="M34">
        <v>0</v>
      </c>
      <c r="N34">
        <v>0</v>
      </c>
      <c r="O34">
        <v>0</v>
      </c>
      <c r="P34">
        <v>0</v>
      </c>
      <c r="Q34">
        <v>0</v>
      </c>
      <c r="R34">
        <v>0</v>
      </c>
      <c r="S34">
        <v>0</v>
      </c>
      <c r="T34">
        <v>9.9007463931052864E-2</v>
      </c>
      <c r="U34">
        <v>0</v>
      </c>
      <c r="V34">
        <v>0</v>
      </c>
      <c r="W34">
        <v>0</v>
      </c>
      <c r="X34">
        <v>0</v>
      </c>
      <c r="Y34">
        <v>0.90099253606894714</v>
      </c>
      <c r="Z34">
        <v>0</v>
      </c>
      <c r="AA34">
        <v>0</v>
      </c>
      <c r="AB34">
        <v>0</v>
      </c>
      <c r="AC34">
        <v>0</v>
      </c>
      <c r="AD34">
        <v>0</v>
      </c>
      <c r="AE34" t="s">
        <v>245</v>
      </c>
      <c r="AF34">
        <v>20</v>
      </c>
      <c r="AG34" t="s">
        <v>196</v>
      </c>
      <c r="AH34">
        <v>46234</v>
      </c>
      <c r="AI34" t="s">
        <v>149</v>
      </c>
    </row>
    <row r="35" spans="1:35" x14ac:dyDescent="0.25">
      <c r="A35" s="1">
        <v>46235</v>
      </c>
      <c r="B35" t="s">
        <v>148</v>
      </c>
      <c r="C35" t="s">
        <v>10</v>
      </c>
      <c r="D35">
        <v>5.5142713272289683</v>
      </c>
      <c r="E35">
        <v>5.6999999999999993</v>
      </c>
      <c r="F35">
        <v>5.6999999999999993</v>
      </c>
      <c r="G35">
        <v>12.21126575630252</v>
      </c>
      <c r="H35">
        <v>1.03368145340508</v>
      </c>
      <c r="I35">
        <v>1.03368145340508</v>
      </c>
      <c r="J35">
        <v>2.2144840236649954</v>
      </c>
      <c r="K35">
        <v>1.1808025702599154</v>
      </c>
      <c r="L35">
        <v>0</v>
      </c>
      <c r="M35">
        <v>0</v>
      </c>
      <c r="N35">
        <v>0</v>
      </c>
      <c r="O35">
        <v>0</v>
      </c>
      <c r="P35">
        <v>0.21631854659492</v>
      </c>
      <c r="Q35">
        <v>3.3681453405079997E-2</v>
      </c>
      <c r="R35">
        <v>0</v>
      </c>
      <c r="S35">
        <v>0</v>
      </c>
      <c r="T35">
        <v>0</v>
      </c>
      <c r="U35">
        <v>0</v>
      </c>
      <c r="V35">
        <v>0</v>
      </c>
      <c r="W35">
        <v>0</v>
      </c>
      <c r="X35">
        <v>0</v>
      </c>
      <c r="Y35">
        <v>0</v>
      </c>
      <c r="Z35">
        <v>0</v>
      </c>
      <c r="AA35">
        <v>0</v>
      </c>
      <c r="AB35">
        <v>0</v>
      </c>
      <c r="AC35">
        <v>0</v>
      </c>
      <c r="AD35">
        <v>0</v>
      </c>
      <c r="AE35" t="s">
        <v>245</v>
      </c>
      <c r="AF35">
        <v>20</v>
      </c>
      <c r="AG35" t="s">
        <v>197</v>
      </c>
      <c r="AH35">
        <v>46235</v>
      </c>
      <c r="AI35" t="s">
        <v>149</v>
      </c>
    </row>
    <row r="36" spans="1:35" x14ac:dyDescent="0.25">
      <c r="A36" s="1">
        <v>46235</v>
      </c>
      <c r="B36" t="s">
        <v>148</v>
      </c>
      <c r="C36" t="s">
        <v>12</v>
      </c>
      <c r="D36">
        <v>32.391655041239552</v>
      </c>
      <c r="E36">
        <v>24.7</v>
      </c>
      <c r="F36">
        <v>24.7</v>
      </c>
      <c r="G36">
        <v>11.308823529411764</v>
      </c>
      <c r="H36">
        <v>0.76254207969778343</v>
      </c>
      <c r="I36">
        <v>0.76254207969778343</v>
      </c>
      <c r="J36">
        <v>0.34912768473898276</v>
      </c>
      <c r="K36">
        <v>0</v>
      </c>
      <c r="L36">
        <v>0</v>
      </c>
      <c r="M36">
        <v>0</v>
      </c>
      <c r="N36">
        <v>0</v>
      </c>
      <c r="O36">
        <v>0</v>
      </c>
      <c r="P36">
        <v>0</v>
      </c>
      <c r="Q36">
        <v>0</v>
      </c>
      <c r="R36">
        <v>0</v>
      </c>
      <c r="S36">
        <v>0</v>
      </c>
      <c r="T36">
        <v>0</v>
      </c>
      <c r="U36">
        <v>0.23745792030221657</v>
      </c>
      <c r="V36">
        <v>0</v>
      </c>
      <c r="W36">
        <v>0.41341439495880067</v>
      </c>
      <c r="X36">
        <v>0</v>
      </c>
      <c r="Y36">
        <v>0.34912768473898276</v>
      </c>
      <c r="Z36">
        <v>0</v>
      </c>
      <c r="AA36">
        <v>0</v>
      </c>
      <c r="AB36">
        <v>0</v>
      </c>
      <c r="AC36">
        <v>0</v>
      </c>
      <c r="AD36">
        <v>0</v>
      </c>
      <c r="AE36" t="s">
        <v>245</v>
      </c>
      <c r="AF36">
        <v>20</v>
      </c>
      <c r="AG36" t="s">
        <v>198</v>
      </c>
      <c r="AH36">
        <v>46235</v>
      </c>
      <c r="AI36" t="s">
        <v>149</v>
      </c>
    </row>
    <row r="37" spans="1:35" x14ac:dyDescent="0.25">
      <c r="A37" s="1">
        <v>46236</v>
      </c>
      <c r="B37" t="s">
        <v>148</v>
      </c>
      <c r="C37" t="s">
        <v>12</v>
      </c>
      <c r="D37">
        <v>0.68576716123064352</v>
      </c>
      <c r="E37">
        <v>0.95</v>
      </c>
      <c r="F37">
        <v>0.95</v>
      </c>
      <c r="G37">
        <v>11.25</v>
      </c>
      <c r="H37">
        <v>1.3853098452471497</v>
      </c>
      <c r="I37">
        <v>1.3853098452471497</v>
      </c>
      <c r="J37">
        <v>16.404985009505722</v>
      </c>
      <c r="K37">
        <v>15.019675164258572</v>
      </c>
      <c r="L37">
        <v>0</v>
      </c>
      <c r="M37">
        <v>0</v>
      </c>
      <c r="N37">
        <v>0</v>
      </c>
      <c r="O37">
        <v>0.13530984524714973</v>
      </c>
      <c r="P37">
        <v>0</v>
      </c>
      <c r="Q37">
        <v>0.25</v>
      </c>
      <c r="R37">
        <v>0</v>
      </c>
      <c r="S37">
        <v>0</v>
      </c>
      <c r="T37">
        <v>0</v>
      </c>
      <c r="U37">
        <v>0</v>
      </c>
      <c r="V37">
        <v>0</v>
      </c>
      <c r="W37">
        <v>0</v>
      </c>
      <c r="X37">
        <v>0</v>
      </c>
      <c r="Y37">
        <v>1</v>
      </c>
      <c r="Z37">
        <v>0</v>
      </c>
      <c r="AA37">
        <v>0</v>
      </c>
      <c r="AB37">
        <v>0</v>
      </c>
      <c r="AC37">
        <v>0</v>
      </c>
      <c r="AD37">
        <v>0</v>
      </c>
      <c r="AE37" t="s">
        <v>245</v>
      </c>
      <c r="AF37">
        <v>20</v>
      </c>
      <c r="AG37" t="s">
        <v>200</v>
      </c>
      <c r="AH37">
        <v>46236</v>
      </c>
      <c r="AI37" t="s">
        <v>149</v>
      </c>
    </row>
    <row r="38" spans="1:35" x14ac:dyDescent="0.25">
      <c r="A38" s="1">
        <v>46236</v>
      </c>
      <c r="B38" t="s">
        <v>148</v>
      </c>
      <c r="C38" t="s">
        <v>11</v>
      </c>
      <c r="D38">
        <v>14.629699439587061</v>
      </c>
      <c r="E38">
        <v>19</v>
      </c>
      <c r="F38">
        <v>19</v>
      </c>
      <c r="G38">
        <v>4.6874999999999991</v>
      </c>
      <c r="H38">
        <v>1.2987279799192031</v>
      </c>
      <c r="I38">
        <v>1.2987279799192031</v>
      </c>
      <c r="J38">
        <v>0.32040986346690858</v>
      </c>
      <c r="K38">
        <v>0</v>
      </c>
      <c r="L38">
        <v>0</v>
      </c>
      <c r="M38">
        <v>4.8727979919203079E-2</v>
      </c>
      <c r="N38">
        <v>0</v>
      </c>
      <c r="O38">
        <v>0</v>
      </c>
      <c r="P38">
        <v>0</v>
      </c>
      <c r="Q38">
        <v>0</v>
      </c>
      <c r="R38">
        <v>0</v>
      </c>
      <c r="S38">
        <v>0.25</v>
      </c>
      <c r="T38">
        <v>0</v>
      </c>
      <c r="U38">
        <v>0</v>
      </c>
      <c r="V38">
        <v>0</v>
      </c>
      <c r="W38">
        <v>0.67959013653309142</v>
      </c>
      <c r="X38">
        <v>0</v>
      </c>
      <c r="Y38">
        <v>0.32040986346690858</v>
      </c>
      <c r="Z38">
        <v>0</v>
      </c>
      <c r="AA38">
        <v>0</v>
      </c>
      <c r="AB38">
        <v>0</v>
      </c>
      <c r="AC38">
        <v>0</v>
      </c>
      <c r="AD38">
        <v>0</v>
      </c>
      <c r="AE38" t="s">
        <v>245</v>
      </c>
      <c r="AF38">
        <v>20</v>
      </c>
      <c r="AG38" t="s">
        <v>201</v>
      </c>
      <c r="AH38">
        <v>46236</v>
      </c>
      <c r="AI38" t="s">
        <v>149</v>
      </c>
    </row>
    <row r="39" spans="1:35" x14ac:dyDescent="0.25">
      <c r="A39" s="1">
        <v>46236</v>
      </c>
      <c r="B39" t="s">
        <v>148</v>
      </c>
      <c r="C39" t="s">
        <v>10</v>
      </c>
      <c r="D39">
        <v>24.195272150086296</v>
      </c>
      <c r="E39">
        <v>24.7</v>
      </c>
      <c r="F39">
        <v>24.7</v>
      </c>
      <c r="G39">
        <v>12.1875</v>
      </c>
      <c r="H39">
        <v>1.0208605981690477</v>
      </c>
      <c r="I39">
        <v>1.0208605981690477</v>
      </c>
      <c r="J39">
        <v>0.50371411093867491</v>
      </c>
      <c r="K39">
        <v>0</v>
      </c>
      <c r="L39">
        <v>0</v>
      </c>
      <c r="M39">
        <v>0</v>
      </c>
      <c r="N39">
        <v>0</v>
      </c>
      <c r="O39">
        <v>0</v>
      </c>
      <c r="P39">
        <v>0</v>
      </c>
      <c r="Q39">
        <v>0</v>
      </c>
      <c r="R39">
        <v>0</v>
      </c>
      <c r="S39">
        <v>2.0860598169047728E-2</v>
      </c>
      <c r="T39">
        <v>0</v>
      </c>
      <c r="U39">
        <v>0</v>
      </c>
      <c r="V39">
        <v>0</v>
      </c>
      <c r="W39">
        <v>0.49628588906132509</v>
      </c>
      <c r="X39">
        <v>0</v>
      </c>
      <c r="Y39">
        <v>0.50371411093867491</v>
      </c>
      <c r="Z39">
        <v>0</v>
      </c>
      <c r="AA39">
        <v>0</v>
      </c>
      <c r="AB39">
        <v>0</v>
      </c>
      <c r="AC39">
        <v>0</v>
      </c>
      <c r="AD39">
        <v>0</v>
      </c>
      <c r="AE39" t="s">
        <v>245</v>
      </c>
      <c r="AF39">
        <v>20</v>
      </c>
      <c r="AG39" t="s">
        <v>202</v>
      </c>
      <c r="AH39">
        <v>46236</v>
      </c>
      <c r="AI39" t="s">
        <v>149</v>
      </c>
    </row>
    <row r="40" spans="1:35" x14ac:dyDescent="0.25">
      <c r="A40" s="1">
        <v>46237</v>
      </c>
      <c r="B40" t="s">
        <v>148</v>
      </c>
      <c r="C40" t="s">
        <v>12</v>
      </c>
      <c r="D40">
        <v>12.732661490277971</v>
      </c>
      <c r="E40">
        <v>15.2</v>
      </c>
      <c r="F40">
        <v>15.2</v>
      </c>
      <c r="G40">
        <v>11.308823529411764</v>
      </c>
      <c r="H40">
        <v>1.1937802643701763</v>
      </c>
      <c r="I40">
        <v>1.1937802643701763</v>
      </c>
      <c r="J40">
        <v>0.88817436464847677</v>
      </c>
      <c r="K40">
        <v>0</v>
      </c>
      <c r="L40">
        <v>0</v>
      </c>
      <c r="M40">
        <v>0</v>
      </c>
      <c r="N40">
        <v>0</v>
      </c>
      <c r="O40">
        <v>0</v>
      </c>
      <c r="P40">
        <v>0</v>
      </c>
      <c r="Q40">
        <v>0</v>
      </c>
      <c r="R40">
        <v>0</v>
      </c>
      <c r="S40">
        <v>0.19378026437017626</v>
      </c>
      <c r="T40">
        <v>0</v>
      </c>
      <c r="U40">
        <v>0</v>
      </c>
      <c r="V40">
        <v>0</v>
      </c>
      <c r="W40">
        <v>0.11182563535152323</v>
      </c>
      <c r="X40">
        <v>0</v>
      </c>
      <c r="Y40">
        <v>0.88817436464847677</v>
      </c>
      <c r="Z40">
        <v>0</v>
      </c>
      <c r="AA40">
        <v>0</v>
      </c>
      <c r="AB40">
        <v>0</v>
      </c>
      <c r="AC40">
        <v>0</v>
      </c>
      <c r="AD40">
        <v>0</v>
      </c>
      <c r="AE40" t="s">
        <v>245</v>
      </c>
      <c r="AF40">
        <v>20</v>
      </c>
      <c r="AG40" t="s">
        <v>205</v>
      </c>
      <c r="AH40">
        <v>46237</v>
      </c>
      <c r="AI40" t="s">
        <v>149</v>
      </c>
    </row>
    <row r="41" spans="1:35" x14ac:dyDescent="0.25">
      <c r="A41" s="1">
        <v>46237</v>
      </c>
      <c r="B41" t="s">
        <v>148</v>
      </c>
      <c r="C41" t="s">
        <v>11</v>
      </c>
      <c r="D41">
        <v>15.192380187263488</v>
      </c>
      <c r="E41">
        <v>20.9</v>
      </c>
      <c r="F41">
        <v>20.9</v>
      </c>
      <c r="G41">
        <v>4.6874999999999991</v>
      </c>
      <c r="H41">
        <v>1.3756896379884889</v>
      </c>
      <c r="I41">
        <v>1.3756896379884889</v>
      </c>
      <c r="J41">
        <v>0.30854283148665268</v>
      </c>
      <c r="K41">
        <v>0</v>
      </c>
      <c r="L41">
        <v>0</v>
      </c>
      <c r="M41">
        <v>0.12568963798848887</v>
      </c>
      <c r="N41">
        <v>0</v>
      </c>
      <c r="O41">
        <v>0</v>
      </c>
      <c r="P41">
        <v>0</v>
      </c>
      <c r="Q41">
        <v>0</v>
      </c>
      <c r="R41">
        <v>0</v>
      </c>
      <c r="S41">
        <v>0.25</v>
      </c>
      <c r="T41">
        <v>0</v>
      </c>
      <c r="U41">
        <v>0</v>
      </c>
      <c r="V41">
        <v>0</v>
      </c>
      <c r="W41">
        <v>0.69145716851334726</v>
      </c>
      <c r="X41">
        <v>0</v>
      </c>
      <c r="Y41">
        <v>0.30854283148665268</v>
      </c>
      <c r="Z41">
        <v>0</v>
      </c>
      <c r="AA41">
        <v>0</v>
      </c>
      <c r="AB41">
        <v>0</v>
      </c>
      <c r="AC41">
        <v>0</v>
      </c>
      <c r="AD41">
        <v>0</v>
      </c>
      <c r="AE41" t="s">
        <v>245</v>
      </c>
      <c r="AF41">
        <v>20</v>
      </c>
      <c r="AG41" t="s">
        <v>204</v>
      </c>
      <c r="AH41">
        <v>46237</v>
      </c>
      <c r="AI41" t="s">
        <v>149</v>
      </c>
    </row>
    <row r="42" spans="1:35" x14ac:dyDescent="0.25">
      <c r="A42" s="1">
        <v>46237</v>
      </c>
      <c r="B42" t="s">
        <v>148</v>
      </c>
      <c r="C42" t="s">
        <v>10</v>
      </c>
      <c r="D42">
        <v>4.7490255103890311</v>
      </c>
      <c r="E42">
        <v>4.75</v>
      </c>
      <c r="F42">
        <v>4.75</v>
      </c>
      <c r="G42">
        <v>12.191176470588236</v>
      </c>
      <c r="H42">
        <v>1.0002051978050732</v>
      </c>
      <c r="I42">
        <v>1.0002051978050732</v>
      </c>
      <c r="J42">
        <v>2.5670901206823706</v>
      </c>
      <c r="K42">
        <v>1.5668849228772974</v>
      </c>
      <c r="L42">
        <v>0</v>
      </c>
      <c r="M42">
        <v>0</v>
      </c>
      <c r="N42">
        <v>0</v>
      </c>
      <c r="O42">
        <v>0</v>
      </c>
      <c r="P42">
        <v>0.24979480219492678</v>
      </c>
      <c r="Q42">
        <v>2.0519780507322061E-4</v>
      </c>
      <c r="R42">
        <v>0</v>
      </c>
      <c r="S42">
        <v>0</v>
      </c>
      <c r="T42">
        <v>0</v>
      </c>
      <c r="U42">
        <v>0</v>
      </c>
      <c r="V42">
        <v>0</v>
      </c>
      <c r="W42">
        <v>0</v>
      </c>
      <c r="X42">
        <v>0</v>
      </c>
      <c r="Y42">
        <v>0</v>
      </c>
      <c r="Z42">
        <v>0</v>
      </c>
      <c r="AA42">
        <v>0</v>
      </c>
      <c r="AB42">
        <v>0</v>
      </c>
      <c r="AC42">
        <v>0</v>
      </c>
      <c r="AD42">
        <v>0</v>
      </c>
      <c r="AE42" t="s">
        <v>245</v>
      </c>
      <c r="AF42">
        <v>20</v>
      </c>
      <c r="AG42" t="s">
        <v>203</v>
      </c>
      <c r="AH42">
        <v>46237</v>
      </c>
      <c r="AI42" t="s">
        <v>149</v>
      </c>
    </row>
    <row r="43" spans="1:35" x14ac:dyDescent="0.25">
      <c r="A43" s="1">
        <v>46238</v>
      </c>
      <c r="B43" t="s">
        <v>148</v>
      </c>
      <c r="C43" t="s">
        <v>12</v>
      </c>
      <c r="D43">
        <v>12.406068484880596</v>
      </c>
      <c r="E43">
        <v>24.7</v>
      </c>
      <c r="F43">
        <v>24.7</v>
      </c>
      <c r="G43">
        <v>12.1875</v>
      </c>
      <c r="H43">
        <v>1.9909611195603301</v>
      </c>
      <c r="I43">
        <v>1.9909611195603301</v>
      </c>
      <c r="J43">
        <v>0.98238213136200503</v>
      </c>
      <c r="K43">
        <v>0</v>
      </c>
      <c r="L43">
        <v>0</v>
      </c>
      <c r="M43">
        <v>0.74096111956033006</v>
      </c>
      <c r="N43">
        <v>0</v>
      </c>
      <c r="O43">
        <v>0</v>
      </c>
      <c r="P43">
        <v>0</v>
      </c>
      <c r="Q43">
        <v>0</v>
      </c>
      <c r="R43">
        <v>0</v>
      </c>
      <c r="S43">
        <v>0.25</v>
      </c>
      <c r="T43">
        <v>0</v>
      </c>
      <c r="U43">
        <v>0</v>
      </c>
      <c r="V43">
        <v>0</v>
      </c>
      <c r="W43">
        <v>1.7617868637994971E-2</v>
      </c>
      <c r="X43">
        <v>0</v>
      </c>
      <c r="Y43">
        <v>0.98238213136200503</v>
      </c>
      <c r="Z43">
        <v>0</v>
      </c>
      <c r="AA43">
        <v>0</v>
      </c>
      <c r="AB43">
        <v>0</v>
      </c>
      <c r="AC43">
        <v>0</v>
      </c>
      <c r="AD43">
        <v>0</v>
      </c>
      <c r="AE43" t="s">
        <v>245</v>
      </c>
      <c r="AF43">
        <v>20</v>
      </c>
      <c r="AG43" t="s">
        <v>206</v>
      </c>
      <c r="AH43">
        <v>46238</v>
      </c>
      <c r="AI43" t="s">
        <v>149</v>
      </c>
    </row>
    <row r="44" spans="1:35" x14ac:dyDescent="0.25">
      <c r="A44" s="1">
        <v>46238</v>
      </c>
      <c r="B44" t="s">
        <v>148</v>
      </c>
      <c r="C44" t="s">
        <v>11</v>
      </c>
      <c r="D44">
        <v>121.57655354795295</v>
      </c>
      <c r="E44">
        <v>30.4</v>
      </c>
      <c r="F44">
        <v>30.4</v>
      </c>
      <c r="G44">
        <v>4.6874999999999991</v>
      </c>
      <c r="H44">
        <v>0.25004821335068894</v>
      </c>
      <c r="I44">
        <v>0.25004821335068894</v>
      </c>
      <c r="J44">
        <v>3.8555953950044547E-2</v>
      </c>
      <c r="K44">
        <v>0</v>
      </c>
      <c r="L44">
        <v>0</v>
      </c>
      <c r="M44">
        <v>0</v>
      </c>
      <c r="N44">
        <v>0</v>
      </c>
      <c r="O44">
        <v>0</v>
      </c>
      <c r="P44">
        <v>0</v>
      </c>
      <c r="Q44">
        <v>0</v>
      </c>
      <c r="R44">
        <v>0</v>
      </c>
      <c r="S44">
        <v>0</v>
      </c>
      <c r="T44">
        <v>0</v>
      </c>
      <c r="U44">
        <v>0.74995178664931106</v>
      </c>
      <c r="V44">
        <v>0</v>
      </c>
      <c r="W44">
        <v>0.21149225940064439</v>
      </c>
      <c r="X44">
        <v>0</v>
      </c>
      <c r="Y44">
        <v>3.8555953950044547E-2</v>
      </c>
      <c r="Z44">
        <v>0</v>
      </c>
      <c r="AA44">
        <v>0</v>
      </c>
      <c r="AB44">
        <v>0</v>
      </c>
      <c r="AC44">
        <v>0</v>
      </c>
      <c r="AD44">
        <v>0</v>
      </c>
      <c r="AE44" t="s">
        <v>245</v>
      </c>
      <c r="AF44">
        <v>20</v>
      </c>
      <c r="AG44" t="s">
        <v>207</v>
      </c>
      <c r="AH44">
        <v>46238</v>
      </c>
      <c r="AI44" t="s">
        <v>149</v>
      </c>
    </row>
    <row r="45" spans="1:35" x14ac:dyDescent="0.25">
      <c r="A45" s="1">
        <v>46238</v>
      </c>
      <c r="B45" t="s">
        <v>148</v>
      </c>
      <c r="C45" t="s">
        <v>10</v>
      </c>
      <c r="D45">
        <v>6.7231273851402555</v>
      </c>
      <c r="E45">
        <v>9.5</v>
      </c>
      <c r="F45">
        <v>9.5</v>
      </c>
      <c r="G45">
        <v>13.125</v>
      </c>
      <c r="H45">
        <v>1.4130328723202996</v>
      </c>
      <c r="I45">
        <v>1.4130328723202996</v>
      </c>
      <c r="J45">
        <v>1.952216468337256</v>
      </c>
      <c r="K45">
        <v>0.53918359601695642</v>
      </c>
      <c r="L45">
        <v>0</v>
      </c>
      <c r="M45">
        <v>0</v>
      </c>
      <c r="N45">
        <v>0</v>
      </c>
      <c r="O45">
        <v>0.16303287232029962</v>
      </c>
      <c r="P45">
        <v>0</v>
      </c>
      <c r="Q45">
        <v>0.25</v>
      </c>
      <c r="R45">
        <v>0</v>
      </c>
      <c r="S45">
        <v>0</v>
      </c>
      <c r="T45">
        <v>0</v>
      </c>
      <c r="U45">
        <v>0</v>
      </c>
      <c r="V45">
        <v>0</v>
      </c>
      <c r="W45">
        <v>0</v>
      </c>
      <c r="X45">
        <v>0</v>
      </c>
      <c r="Y45">
        <v>1</v>
      </c>
      <c r="Z45">
        <v>0</v>
      </c>
      <c r="AA45">
        <v>0</v>
      </c>
      <c r="AB45">
        <v>0</v>
      </c>
      <c r="AC45">
        <v>0</v>
      </c>
      <c r="AD45">
        <v>0</v>
      </c>
      <c r="AE45" t="s">
        <v>245</v>
      </c>
      <c r="AF45">
        <v>20</v>
      </c>
      <c r="AG45" t="s">
        <v>208</v>
      </c>
      <c r="AH45">
        <v>46238</v>
      </c>
      <c r="AI45" t="s">
        <v>149</v>
      </c>
    </row>
    <row r="46" spans="1:35" x14ac:dyDescent="0.25">
      <c r="A46" s="1">
        <v>46239</v>
      </c>
      <c r="B46" t="s">
        <v>148</v>
      </c>
      <c r="C46" t="s">
        <v>10</v>
      </c>
      <c r="D46">
        <v>9.5830614364405253</v>
      </c>
      <c r="E46">
        <v>12.35</v>
      </c>
      <c r="F46">
        <v>12.35</v>
      </c>
      <c r="G46">
        <v>12.715073529411764</v>
      </c>
      <c r="H46">
        <v>1.2887322158906256</v>
      </c>
      <c r="I46">
        <v>1.2887322158906256</v>
      </c>
      <c r="J46">
        <v>1.3268279258923936</v>
      </c>
      <c r="K46">
        <v>3.8095710001768035E-2</v>
      </c>
      <c r="L46">
        <v>0</v>
      </c>
      <c r="M46">
        <v>0</v>
      </c>
      <c r="N46">
        <v>0</v>
      </c>
      <c r="O46">
        <v>3.8732215890625588E-2</v>
      </c>
      <c r="P46">
        <v>0</v>
      </c>
      <c r="Q46">
        <v>0.25</v>
      </c>
      <c r="R46">
        <v>0</v>
      </c>
      <c r="S46">
        <v>0</v>
      </c>
      <c r="T46">
        <v>0</v>
      </c>
      <c r="U46">
        <v>0</v>
      </c>
      <c r="V46">
        <v>0</v>
      </c>
      <c r="W46">
        <v>0</v>
      </c>
      <c r="X46">
        <v>0</v>
      </c>
      <c r="Y46">
        <v>1</v>
      </c>
      <c r="Z46">
        <v>0</v>
      </c>
      <c r="AA46">
        <v>0</v>
      </c>
      <c r="AB46">
        <v>0</v>
      </c>
      <c r="AC46">
        <v>0</v>
      </c>
      <c r="AD46">
        <v>0</v>
      </c>
      <c r="AE46" t="s">
        <v>245</v>
      </c>
      <c r="AF46">
        <v>20</v>
      </c>
      <c r="AG46" t="s">
        <v>211</v>
      </c>
      <c r="AH46">
        <v>46239</v>
      </c>
      <c r="AI46" t="s">
        <v>149</v>
      </c>
    </row>
    <row r="47" spans="1:35" x14ac:dyDescent="0.25">
      <c r="A47" s="1">
        <v>46239</v>
      </c>
      <c r="B47" t="s">
        <v>148</v>
      </c>
      <c r="C47" t="s">
        <v>12</v>
      </c>
      <c r="D47">
        <v>4.5219070995087289</v>
      </c>
      <c r="E47">
        <v>4.75</v>
      </c>
      <c r="F47">
        <v>4.75</v>
      </c>
      <c r="G47">
        <v>12.055759803921568</v>
      </c>
      <c r="H47">
        <v>1.0504417484640611</v>
      </c>
      <c r="I47">
        <v>1.0504417484640611</v>
      </c>
      <c r="J47">
        <v>2.6660786121040245</v>
      </c>
      <c r="K47">
        <v>1.6156368636399634</v>
      </c>
      <c r="L47">
        <v>0</v>
      </c>
      <c r="M47">
        <v>0</v>
      </c>
      <c r="N47">
        <v>0</v>
      </c>
      <c r="O47">
        <v>0</v>
      </c>
      <c r="P47">
        <v>0.19955825153593887</v>
      </c>
      <c r="Q47">
        <v>5.0441748464061131E-2</v>
      </c>
      <c r="R47">
        <v>0</v>
      </c>
      <c r="S47">
        <v>0</v>
      </c>
      <c r="T47">
        <v>0</v>
      </c>
      <c r="U47">
        <v>0</v>
      </c>
      <c r="V47">
        <v>0</v>
      </c>
      <c r="W47">
        <v>0</v>
      </c>
      <c r="X47">
        <v>0</v>
      </c>
      <c r="Y47">
        <v>0</v>
      </c>
      <c r="Z47">
        <v>0</v>
      </c>
      <c r="AA47">
        <v>0</v>
      </c>
      <c r="AB47">
        <v>0</v>
      </c>
      <c r="AC47">
        <v>0</v>
      </c>
      <c r="AD47">
        <v>0</v>
      </c>
      <c r="AE47" t="s">
        <v>245</v>
      </c>
      <c r="AF47">
        <v>20</v>
      </c>
      <c r="AG47" t="s">
        <v>210</v>
      </c>
      <c r="AH47">
        <v>46239</v>
      </c>
      <c r="AI47" t="s">
        <v>149</v>
      </c>
    </row>
    <row r="48" spans="1:35" x14ac:dyDescent="0.25">
      <c r="A48" s="1">
        <v>46239</v>
      </c>
      <c r="B48" t="s">
        <v>148</v>
      </c>
      <c r="C48" t="s">
        <v>11</v>
      </c>
      <c r="D48">
        <v>20.121463536908973</v>
      </c>
      <c r="E48">
        <v>19</v>
      </c>
      <c r="F48">
        <v>19</v>
      </c>
      <c r="G48">
        <v>5.6041666666666661</v>
      </c>
      <c r="H48">
        <v>0.94426530978465539</v>
      </c>
      <c r="I48">
        <v>0.94426530978465539</v>
      </c>
      <c r="J48">
        <v>0.27851685124130732</v>
      </c>
      <c r="K48">
        <v>0</v>
      </c>
      <c r="L48">
        <v>0</v>
      </c>
      <c r="M48">
        <v>0</v>
      </c>
      <c r="N48">
        <v>0</v>
      </c>
      <c r="O48">
        <v>0</v>
      </c>
      <c r="P48">
        <v>0</v>
      </c>
      <c r="Q48">
        <v>0</v>
      </c>
      <c r="R48">
        <v>0</v>
      </c>
      <c r="S48">
        <v>0</v>
      </c>
      <c r="T48">
        <v>0</v>
      </c>
      <c r="U48">
        <v>5.5734690215344607E-2</v>
      </c>
      <c r="V48">
        <v>0</v>
      </c>
      <c r="W48">
        <v>0.66574845854334808</v>
      </c>
      <c r="X48">
        <v>0</v>
      </c>
      <c r="Y48">
        <v>0.27851685124130732</v>
      </c>
      <c r="Z48">
        <v>0</v>
      </c>
      <c r="AA48">
        <v>0</v>
      </c>
      <c r="AB48">
        <v>0</v>
      </c>
      <c r="AC48">
        <v>0</v>
      </c>
      <c r="AD48">
        <v>0</v>
      </c>
      <c r="AE48" t="s">
        <v>245</v>
      </c>
      <c r="AF48">
        <v>20</v>
      </c>
      <c r="AG48" t="s">
        <v>209</v>
      </c>
      <c r="AH48">
        <v>46239</v>
      </c>
      <c r="AI48" t="s">
        <v>149</v>
      </c>
    </row>
    <row r="49" spans="1:35" x14ac:dyDescent="0.25">
      <c r="A49" s="1">
        <v>46240</v>
      </c>
      <c r="B49" t="s">
        <v>148</v>
      </c>
      <c r="C49" t="s">
        <v>10</v>
      </c>
      <c r="D49">
        <v>15.192380187263486</v>
      </c>
      <c r="E49">
        <v>20.9</v>
      </c>
      <c r="F49">
        <v>20.9</v>
      </c>
      <c r="G49">
        <v>12.166666666666666</v>
      </c>
      <c r="H49">
        <v>1.3756896379884891</v>
      </c>
      <c r="I49">
        <v>1.3756896379884891</v>
      </c>
      <c r="J49">
        <v>0.80084006039202316</v>
      </c>
      <c r="K49">
        <v>0</v>
      </c>
      <c r="L49">
        <v>0</v>
      </c>
      <c r="M49">
        <v>0.12568963798848909</v>
      </c>
      <c r="N49">
        <v>0</v>
      </c>
      <c r="O49">
        <v>0</v>
      </c>
      <c r="P49">
        <v>0</v>
      </c>
      <c r="Q49">
        <v>0</v>
      </c>
      <c r="R49">
        <v>0</v>
      </c>
      <c r="S49">
        <v>0.25</v>
      </c>
      <c r="T49">
        <v>0</v>
      </c>
      <c r="U49">
        <v>0</v>
      </c>
      <c r="V49">
        <v>0</v>
      </c>
      <c r="W49">
        <v>0.19915993960797684</v>
      </c>
      <c r="X49">
        <v>0</v>
      </c>
      <c r="Y49">
        <v>0.80084006039202316</v>
      </c>
      <c r="Z49">
        <v>0</v>
      </c>
      <c r="AA49">
        <v>0</v>
      </c>
      <c r="AB49">
        <v>0</v>
      </c>
      <c r="AC49">
        <v>0</v>
      </c>
      <c r="AD49">
        <v>0</v>
      </c>
      <c r="AE49" t="s">
        <v>245</v>
      </c>
      <c r="AF49">
        <v>20</v>
      </c>
      <c r="AG49" t="s">
        <v>213</v>
      </c>
      <c r="AH49">
        <v>46240</v>
      </c>
      <c r="AI49" t="s">
        <v>149</v>
      </c>
    </row>
    <row r="50" spans="1:35" x14ac:dyDescent="0.25">
      <c r="A50" s="1">
        <v>46240</v>
      </c>
      <c r="B50" t="s">
        <v>148</v>
      </c>
      <c r="C50" t="s">
        <v>11</v>
      </c>
      <c r="D50">
        <v>16.063256526280863</v>
      </c>
      <c r="E50">
        <v>19.95</v>
      </c>
      <c r="F50">
        <v>19.95</v>
      </c>
      <c r="G50">
        <v>5.6041666666666661</v>
      </c>
      <c r="H50">
        <v>1.2419648511097416</v>
      </c>
      <c r="I50">
        <v>1.2419648511097416</v>
      </c>
      <c r="J50">
        <v>0.34888110374741071</v>
      </c>
      <c r="K50">
        <v>0</v>
      </c>
      <c r="L50">
        <v>0</v>
      </c>
      <c r="M50">
        <v>0</v>
      </c>
      <c r="N50">
        <v>0</v>
      </c>
      <c r="O50">
        <v>0</v>
      </c>
      <c r="P50">
        <v>0</v>
      </c>
      <c r="Q50">
        <v>0</v>
      </c>
      <c r="R50">
        <v>0</v>
      </c>
      <c r="S50">
        <v>0.24196485110974164</v>
      </c>
      <c r="T50">
        <v>0</v>
      </c>
      <c r="U50">
        <v>0</v>
      </c>
      <c r="V50">
        <v>0</v>
      </c>
      <c r="W50">
        <v>0.65111889625258934</v>
      </c>
      <c r="X50">
        <v>0</v>
      </c>
      <c r="Y50">
        <v>0.34888110374741071</v>
      </c>
      <c r="Z50">
        <v>0</v>
      </c>
      <c r="AA50">
        <v>0</v>
      </c>
      <c r="AB50">
        <v>0</v>
      </c>
      <c r="AC50">
        <v>0</v>
      </c>
      <c r="AD50">
        <v>0</v>
      </c>
      <c r="AE50" t="s">
        <v>245</v>
      </c>
      <c r="AF50">
        <v>20</v>
      </c>
      <c r="AG50" t="s">
        <v>212</v>
      </c>
      <c r="AH50">
        <v>46240</v>
      </c>
      <c r="AI50" t="s">
        <v>149</v>
      </c>
    </row>
    <row r="51" spans="1:35" x14ac:dyDescent="0.25">
      <c r="A51" s="1">
        <v>46240</v>
      </c>
      <c r="B51" t="s">
        <v>148</v>
      </c>
      <c r="C51" t="s">
        <v>12</v>
      </c>
      <c r="D51">
        <v>2.1330715616460858</v>
      </c>
      <c r="E51">
        <v>1.9</v>
      </c>
      <c r="F51">
        <v>1.9</v>
      </c>
      <c r="G51">
        <v>13.104166666666666</v>
      </c>
      <c r="H51">
        <v>0.89073429797815828</v>
      </c>
      <c r="I51">
        <v>0.89073429797815828</v>
      </c>
      <c r="J51">
        <v>6.1433319454853237</v>
      </c>
      <c r="K51">
        <v>5.1433319454853237</v>
      </c>
      <c r="L51">
        <v>0</v>
      </c>
      <c r="M51">
        <v>0</v>
      </c>
      <c r="N51">
        <v>0</v>
      </c>
      <c r="O51">
        <v>0</v>
      </c>
      <c r="P51">
        <v>0</v>
      </c>
      <c r="Q51">
        <v>0</v>
      </c>
      <c r="R51">
        <v>0</v>
      </c>
      <c r="S51">
        <v>0</v>
      </c>
      <c r="T51">
        <v>0.10926570202184172</v>
      </c>
      <c r="U51">
        <v>0</v>
      </c>
      <c r="V51">
        <v>0</v>
      </c>
      <c r="W51">
        <v>0</v>
      </c>
      <c r="X51">
        <v>0</v>
      </c>
      <c r="Y51">
        <v>0.89073429797815828</v>
      </c>
      <c r="Z51">
        <v>0</v>
      </c>
      <c r="AA51">
        <v>0</v>
      </c>
      <c r="AB51">
        <v>0</v>
      </c>
      <c r="AC51">
        <v>0</v>
      </c>
      <c r="AD51">
        <v>0</v>
      </c>
      <c r="AE51" t="s">
        <v>245</v>
      </c>
      <c r="AF51">
        <v>20</v>
      </c>
      <c r="AG51" t="s">
        <v>214</v>
      </c>
      <c r="AH51">
        <v>46240</v>
      </c>
      <c r="AI51" t="s">
        <v>149</v>
      </c>
    </row>
    <row r="52" spans="1:35" x14ac:dyDescent="0.25">
      <c r="A52" s="1">
        <v>46241</v>
      </c>
      <c r="B52" t="s">
        <v>148</v>
      </c>
      <c r="C52" t="s">
        <v>12</v>
      </c>
      <c r="D52">
        <v>37.404202701790382</v>
      </c>
      <c r="E52">
        <v>23.75</v>
      </c>
      <c r="F52">
        <v>23.75</v>
      </c>
      <c r="G52">
        <v>13.107843137254903</v>
      </c>
      <c r="H52">
        <v>0.63495538694808717</v>
      </c>
      <c r="I52">
        <v>0.63495538694808717</v>
      </c>
      <c r="J52">
        <v>0.35043770994823226</v>
      </c>
      <c r="K52">
        <v>0</v>
      </c>
      <c r="L52">
        <v>0</v>
      </c>
      <c r="M52">
        <v>0</v>
      </c>
      <c r="N52">
        <v>0</v>
      </c>
      <c r="O52">
        <v>0</v>
      </c>
      <c r="P52">
        <v>0</v>
      </c>
      <c r="Q52">
        <v>0</v>
      </c>
      <c r="R52">
        <v>0</v>
      </c>
      <c r="S52">
        <v>0</v>
      </c>
      <c r="T52">
        <v>0</v>
      </c>
      <c r="U52">
        <v>0.36504461305191283</v>
      </c>
      <c r="V52">
        <v>0</v>
      </c>
      <c r="W52">
        <v>0.28451767699985492</v>
      </c>
      <c r="X52">
        <v>0</v>
      </c>
      <c r="Y52">
        <v>0.35043770994823226</v>
      </c>
      <c r="Z52">
        <v>0</v>
      </c>
      <c r="AA52">
        <v>0</v>
      </c>
      <c r="AB52">
        <v>0</v>
      </c>
      <c r="AC52">
        <v>0</v>
      </c>
      <c r="AD52">
        <v>0</v>
      </c>
      <c r="AE52" t="s">
        <v>245</v>
      </c>
      <c r="AF52">
        <v>20</v>
      </c>
      <c r="AG52" t="s">
        <v>215</v>
      </c>
      <c r="AH52">
        <v>46241</v>
      </c>
      <c r="AI52" t="s">
        <v>149</v>
      </c>
    </row>
    <row r="53" spans="1:35" x14ac:dyDescent="0.25">
      <c r="A53" s="1">
        <v>46241</v>
      </c>
      <c r="B53" t="s">
        <v>148</v>
      </c>
      <c r="C53" t="s">
        <v>10</v>
      </c>
      <c r="D53">
        <v>10.972274579690296</v>
      </c>
      <c r="E53">
        <v>11.4</v>
      </c>
      <c r="F53">
        <v>11.4</v>
      </c>
      <c r="G53">
        <v>13.162990196078432</v>
      </c>
      <c r="H53">
        <v>1.0389823839353622</v>
      </c>
      <c r="I53">
        <v>1.0389823839353622</v>
      </c>
      <c r="J53">
        <v>1.1996592047052081</v>
      </c>
      <c r="K53">
        <v>0.16067682076984591</v>
      </c>
      <c r="L53">
        <v>0</v>
      </c>
      <c r="M53">
        <v>0</v>
      </c>
      <c r="N53">
        <v>0</v>
      </c>
      <c r="O53">
        <v>0</v>
      </c>
      <c r="P53">
        <v>0</v>
      </c>
      <c r="Q53">
        <v>3.8982383935362241E-2</v>
      </c>
      <c r="R53">
        <v>0</v>
      </c>
      <c r="S53">
        <v>0</v>
      </c>
      <c r="T53">
        <v>0</v>
      </c>
      <c r="U53">
        <v>0</v>
      </c>
      <c r="V53">
        <v>0</v>
      </c>
      <c r="W53">
        <v>0</v>
      </c>
      <c r="X53">
        <v>0</v>
      </c>
      <c r="Y53">
        <v>1</v>
      </c>
      <c r="Z53">
        <v>0</v>
      </c>
      <c r="AA53">
        <v>0</v>
      </c>
      <c r="AB53">
        <v>0</v>
      </c>
      <c r="AC53">
        <v>0</v>
      </c>
      <c r="AD53">
        <v>0</v>
      </c>
      <c r="AE53" t="s">
        <v>245</v>
      </c>
      <c r="AF53">
        <v>20</v>
      </c>
      <c r="AG53" t="s">
        <v>217</v>
      </c>
      <c r="AH53">
        <v>46241</v>
      </c>
      <c r="AI53" t="s">
        <v>149</v>
      </c>
    </row>
    <row r="54" spans="1:35" x14ac:dyDescent="0.25">
      <c r="A54" s="1">
        <v>46242</v>
      </c>
      <c r="B54" t="s">
        <v>148</v>
      </c>
      <c r="C54" t="s">
        <v>11</v>
      </c>
      <c r="D54">
        <v>5.3551684951273595</v>
      </c>
      <c r="E54">
        <v>4.75</v>
      </c>
      <c r="F54">
        <v>4.75</v>
      </c>
      <c r="G54">
        <v>5.6041666666666661</v>
      </c>
      <c r="H54">
        <v>0.88699356599554258</v>
      </c>
      <c r="I54">
        <v>0.88699356599554258</v>
      </c>
      <c r="J54">
        <v>1.0464967949684252</v>
      </c>
      <c r="K54">
        <v>4.6496794968425181E-2</v>
      </c>
      <c r="L54">
        <v>0</v>
      </c>
      <c r="M54">
        <v>0</v>
      </c>
      <c r="N54">
        <v>0</v>
      </c>
      <c r="O54">
        <v>0</v>
      </c>
      <c r="P54">
        <v>0</v>
      </c>
      <c r="Q54">
        <v>0</v>
      </c>
      <c r="R54">
        <v>0</v>
      </c>
      <c r="S54">
        <v>0</v>
      </c>
      <c r="T54">
        <v>0.11300643400445742</v>
      </c>
      <c r="U54">
        <v>0</v>
      </c>
      <c r="V54">
        <v>0</v>
      </c>
      <c r="W54">
        <v>0</v>
      </c>
      <c r="X54">
        <v>0</v>
      </c>
      <c r="Y54">
        <v>0.88699356599554258</v>
      </c>
      <c r="Z54">
        <v>0</v>
      </c>
      <c r="AA54">
        <v>0</v>
      </c>
      <c r="AB54">
        <v>0</v>
      </c>
      <c r="AC54">
        <v>0</v>
      </c>
      <c r="AD54">
        <v>0</v>
      </c>
      <c r="AE54" t="s">
        <v>245</v>
      </c>
      <c r="AF54">
        <v>20</v>
      </c>
      <c r="AG54" t="s">
        <v>220</v>
      </c>
      <c r="AH54">
        <v>46242</v>
      </c>
      <c r="AI54" t="s">
        <v>149</v>
      </c>
    </row>
    <row r="55" spans="1:35" x14ac:dyDescent="0.25">
      <c r="A55" s="1">
        <v>46242</v>
      </c>
      <c r="B55" t="s">
        <v>148</v>
      </c>
      <c r="C55" t="s">
        <v>12</v>
      </c>
      <c r="D55">
        <v>11.028542654457937</v>
      </c>
      <c r="E55">
        <v>11.4</v>
      </c>
      <c r="F55">
        <v>11.4</v>
      </c>
      <c r="G55">
        <v>13.162990196078432</v>
      </c>
      <c r="H55">
        <v>1.03368145340508</v>
      </c>
      <c r="I55">
        <v>1.03368145340508</v>
      </c>
      <c r="J55">
        <v>1.1935384944771206</v>
      </c>
      <c r="K55">
        <v>0.15985704107204057</v>
      </c>
      <c r="L55">
        <v>0</v>
      </c>
      <c r="M55">
        <v>0</v>
      </c>
      <c r="N55">
        <v>0</v>
      </c>
      <c r="O55">
        <v>0</v>
      </c>
      <c r="P55">
        <v>0</v>
      </c>
      <c r="Q55">
        <v>3.3681453405079997E-2</v>
      </c>
      <c r="R55">
        <v>0</v>
      </c>
      <c r="S55">
        <v>0</v>
      </c>
      <c r="T55">
        <v>0</v>
      </c>
      <c r="U55">
        <v>0</v>
      </c>
      <c r="V55">
        <v>0</v>
      </c>
      <c r="W55">
        <v>0</v>
      </c>
      <c r="X55">
        <v>0</v>
      </c>
      <c r="Y55">
        <v>1</v>
      </c>
      <c r="Z55">
        <v>0</v>
      </c>
      <c r="AA55">
        <v>0</v>
      </c>
      <c r="AB55">
        <v>0</v>
      </c>
      <c r="AC55">
        <v>0</v>
      </c>
      <c r="AD55">
        <v>0</v>
      </c>
      <c r="AE55" t="s">
        <v>245</v>
      </c>
      <c r="AF55">
        <v>20</v>
      </c>
      <c r="AG55" t="s">
        <v>218</v>
      </c>
      <c r="AH55">
        <v>46242</v>
      </c>
      <c r="AI55" t="s">
        <v>149</v>
      </c>
    </row>
    <row r="56" spans="1:35" x14ac:dyDescent="0.25">
      <c r="A56" s="1">
        <v>46243</v>
      </c>
      <c r="B56" t="s">
        <v>148</v>
      </c>
      <c r="C56" t="s">
        <v>10</v>
      </c>
      <c r="D56">
        <v>68.70331929129155</v>
      </c>
      <c r="E56">
        <v>15.2</v>
      </c>
      <c r="F56">
        <v>15.2</v>
      </c>
      <c r="G56">
        <v>13.104166666666666</v>
      </c>
      <c r="H56">
        <v>0.22124113007632612</v>
      </c>
      <c r="I56">
        <v>0.22124113007632612</v>
      </c>
      <c r="J56">
        <v>0.19073556855538532</v>
      </c>
      <c r="K56">
        <v>0</v>
      </c>
      <c r="L56">
        <v>0</v>
      </c>
      <c r="M56">
        <v>0</v>
      </c>
      <c r="N56">
        <v>0</v>
      </c>
      <c r="O56">
        <v>0</v>
      </c>
      <c r="P56">
        <v>0</v>
      </c>
      <c r="Q56">
        <v>0</v>
      </c>
      <c r="R56">
        <v>0</v>
      </c>
      <c r="S56">
        <v>0</v>
      </c>
      <c r="T56">
        <v>0</v>
      </c>
      <c r="U56">
        <v>0.77875886992367382</v>
      </c>
      <c r="V56">
        <v>0</v>
      </c>
      <c r="W56">
        <v>3.0505561520940805E-2</v>
      </c>
      <c r="X56">
        <v>0</v>
      </c>
      <c r="Y56">
        <v>0.19073556855538532</v>
      </c>
      <c r="Z56">
        <v>0</v>
      </c>
      <c r="AA56">
        <v>0</v>
      </c>
      <c r="AB56">
        <v>0</v>
      </c>
      <c r="AC56">
        <v>0</v>
      </c>
      <c r="AD56">
        <v>0</v>
      </c>
      <c r="AE56" t="s">
        <v>245</v>
      </c>
      <c r="AF56">
        <v>20</v>
      </c>
      <c r="AG56" t="s">
        <v>222</v>
      </c>
      <c r="AH56">
        <v>46243</v>
      </c>
      <c r="AI56" t="s">
        <v>149</v>
      </c>
    </row>
    <row r="57" spans="1:35" x14ac:dyDescent="0.25">
      <c r="A57" s="1">
        <v>46244</v>
      </c>
      <c r="B57" t="s">
        <v>148</v>
      </c>
      <c r="C57" t="s">
        <v>12</v>
      </c>
      <c r="D57">
        <v>15.004819938038011</v>
      </c>
      <c r="E57">
        <v>16.149999999999999</v>
      </c>
      <c r="F57">
        <v>16.149999999999999</v>
      </c>
      <c r="G57">
        <v>12.246323529411764</v>
      </c>
      <c r="H57">
        <v>1.0763208133580393</v>
      </c>
      <c r="I57">
        <v>1.0763208133580393</v>
      </c>
      <c r="J57">
        <v>0.81615931280632614</v>
      </c>
      <c r="K57">
        <v>0</v>
      </c>
      <c r="L57">
        <v>0</v>
      </c>
      <c r="M57">
        <v>0</v>
      </c>
      <c r="N57">
        <v>0</v>
      </c>
      <c r="O57">
        <v>0</v>
      </c>
      <c r="P57">
        <v>0</v>
      </c>
      <c r="Q57">
        <v>0</v>
      </c>
      <c r="R57">
        <v>0</v>
      </c>
      <c r="S57">
        <v>7.6320813358039308E-2</v>
      </c>
      <c r="T57">
        <v>0</v>
      </c>
      <c r="U57">
        <v>0</v>
      </c>
      <c r="V57">
        <v>0</v>
      </c>
      <c r="W57">
        <v>0.18384068719367386</v>
      </c>
      <c r="X57">
        <v>0</v>
      </c>
      <c r="Y57">
        <v>0.81615931280632614</v>
      </c>
      <c r="Z57">
        <v>0</v>
      </c>
      <c r="AA57">
        <v>0</v>
      </c>
      <c r="AB57">
        <v>0</v>
      </c>
      <c r="AC57">
        <v>0</v>
      </c>
      <c r="AD57">
        <v>0</v>
      </c>
      <c r="AE57" t="s">
        <v>245</v>
      </c>
      <c r="AF57">
        <v>20</v>
      </c>
      <c r="AG57" t="s">
        <v>226</v>
      </c>
      <c r="AH57">
        <v>46244</v>
      </c>
      <c r="AI57" t="s">
        <v>149</v>
      </c>
    </row>
    <row r="58" spans="1:35" x14ac:dyDescent="0.25">
      <c r="A58" s="1">
        <v>46244</v>
      </c>
      <c r="B58" t="s">
        <v>148</v>
      </c>
      <c r="C58" t="s">
        <v>11</v>
      </c>
      <c r="D58">
        <v>15.192380187263488</v>
      </c>
      <c r="E58">
        <v>12.35</v>
      </c>
      <c r="F58">
        <v>12.35</v>
      </c>
      <c r="G58">
        <v>4.6874999999999991</v>
      </c>
      <c r="H58">
        <v>0.81290751335683431</v>
      </c>
      <c r="I58">
        <v>0.81290751335683431</v>
      </c>
      <c r="J58">
        <v>0.30854283148665268</v>
      </c>
      <c r="K58">
        <v>0</v>
      </c>
      <c r="L58">
        <v>0</v>
      </c>
      <c r="M58">
        <v>0</v>
      </c>
      <c r="N58">
        <v>0</v>
      </c>
      <c r="O58">
        <v>0</v>
      </c>
      <c r="P58">
        <v>0</v>
      </c>
      <c r="Q58">
        <v>0</v>
      </c>
      <c r="R58">
        <v>0</v>
      </c>
      <c r="S58">
        <v>0</v>
      </c>
      <c r="T58">
        <v>0</v>
      </c>
      <c r="U58">
        <v>0.18709248664316569</v>
      </c>
      <c r="V58">
        <v>0</v>
      </c>
      <c r="W58">
        <v>0.50436468187018169</v>
      </c>
      <c r="X58">
        <v>0</v>
      </c>
      <c r="Y58">
        <v>0.30854283148665268</v>
      </c>
      <c r="Z58">
        <v>0</v>
      </c>
      <c r="AA58">
        <v>0</v>
      </c>
      <c r="AB58">
        <v>0</v>
      </c>
      <c r="AC58">
        <v>0</v>
      </c>
      <c r="AD58">
        <v>0</v>
      </c>
      <c r="AE58" t="s">
        <v>245</v>
      </c>
      <c r="AF58">
        <v>20</v>
      </c>
      <c r="AG58" t="s">
        <v>225</v>
      </c>
      <c r="AH58">
        <v>46244</v>
      </c>
      <c r="AI58" t="s">
        <v>149</v>
      </c>
    </row>
    <row r="59" spans="1:35" x14ac:dyDescent="0.25">
      <c r="A59" s="1">
        <v>46245</v>
      </c>
      <c r="B59" t="s">
        <v>148</v>
      </c>
      <c r="C59" t="s">
        <v>12</v>
      </c>
      <c r="D59">
        <v>10.550264018932976</v>
      </c>
      <c r="E59">
        <v>10.45</v>
      </c>
      <c r="F59">
        <v>10.45</v>
      </c>
      <c r="G59">
        <v>12.1875</v>
      </c>
      <c r="H59">
        <v>0.99049653935171211</v>
      </c>
      <c r="I59">
        <v>0.99049653935171211</v>
      </c>
      <c r="J59">
        <v>1.155184361086028</v>
      </c>
      <c r="K59">
        <v>0.15518436108602796</v>
      </c>
      <c r="L59">
        <v>0</v>
      </c>
      <c r="M59">
        <v>0</v>
      </c>
      <c r="N59">
        <v>0</v>
      </c>
      <c r="O59">
        <v>0</v>
      </c>
      <c r="P59">
        <v>0</v>
      </c>
      <c r="Q59">
        <v>0</v>
      </c>
      <c r="R59">
        <v>0</v>
      </c>
      <c r="S59">
        <v>0</v>
      </c>
      <c r="T59">
        <v>9.5034606482878869E-3</v>
      </c>
      <c r="U59">
        <v>0</v>
      </c>
      <c r="V59">
        <v>0</v>
      </c>
      <c r="W59">
        <v>0</v>
      </c>
      <c r="X59">
        <v>0</v>
      </c>
      <c r="Y59">
        <v>0.99049653935171211</v>
      </c>
      <c r="Z59">
        <v>0</v>
      </c>
      <c r="AA59">
        <v>0</v>
      </c>
      <c r="AB59">
        <v>0</v>
      </c>
      <c r="AC59">
        <v>0</v>
      </c>
      <c r="AD59">
        <v>0</v>
      </c>
      <c r="AE59" t="s">
        <v>245</v>
      </c>
      <c r="AF59">
        <v>20</v>
      </c>
      <c r="AG59" t="s">
        <v>227</v>
      </c>
      <c r="AH59">
        <v>46245</v>
      </c>
      <c r="AI59" t="s">
        <v>149</v>
      </c>
    </row>
    <row r="60" spans="1:35" x14ac:dyDescent="0.25">
      <c r="A60" s="1">
        <v>46245</v>
      </c>
      <c r="B60" t="s">
        <v>148</v>
      </c>
      <c r="C60" t="s">
        <v>10</v>
      </c>
      <c r="D60">
        <v>6.4465751177755974</v>
      </c>
      <c r="E60">
        <v>5.6999999999999993</v>
      </c>
      <c r="F60">
        <v>5.6999999999999993</v>
      </c>
      <c r="G60">
        <v>11.25</v>
      </c>
      <c r="H60">
        <v>0.88419042605785914</v>
      </c>
      <c r="I60">
        <v>0.88419042605785914</v>
      </c>
      <c r="J60">
        <v>1.7451126830089327</v>
      </c>
      <c r="K60">
        <v>0.74511268300893274</v>
      </c>
      <c r="L60">
        <v>0</v>
      </c>
      <c r="M60">
        <v>0</v>
      </c>
      <c r="N60">
        <v>0</v>
      </c>
      <c r="O60">
        <v>0</v>
      </c>
      <c r="P60">
        <v>0</v>
      </c>
      <c r="Q60">
        <v>0</v>
      </c>
      <c r="R60">
        <v>0</v>
      </c>
      <c r="S60">
        <v>0</v>
      </c>
      <c r="T60">
        <v>0.11580957394214086</v>
      </c>
      <c r="U60">
        <v>0</v>
      </c>
      <c r="V60">
        <v>0</v>
      </c>
      <c r="W60">
        <v>0</v>
      </c>
      <c r="X60">
        <v>0</v>
      </c>
      <c r="Y60">
        <v>0.88419042605785914</v>
      </c>
      <c r="Z60">
        <v>0</v>
      </c>
      <c r="AA60">
        <v>0</v>
      </c>
      <c r="AB60">
        <v>0</v>
      </c>
      <c r="AC60">
        <v>0</v>
      </c>
      <c r="AD60">
        <v>0</v>
      </c>
      <c r="AE60" t="s">
        <v>245</v>
      </c>
      <c r="AF60">
        <v>20</v>
      </c>
      <c r="AG60" t="s">
        <v>228</v>
      </c>
      <c r="AH60">
        <v>46245</v>
      </c>
      <c r="AI60" t="s">
        <v>149</v>
      </c>
    </row>
    <row r="61" spans="1:35" x14ac:dyDescent="0.25">
      <c r="A61" s="1">
        <v>46245</v>
      </c>
      <c r="B61" t="s">
        <v>148</v>
      </c>
      <c r="C61" t="s">
        <v>11</v>
      </c>
      <c r="D61">
        <v>84.233307927160865</v>
      </c>
      <c r="E61">
        <v>31.35</v>
      </c>
      <c r="F61">
        <v>31.35</v>
      </c>
      <c r="G61">
        <v>4.6874999999999991</v>
      </c>
      <c r="H61">
        <v>0.37218056338365946</v>
      </c>
      <c r="I61">
        <v>0.37218056338365946</v>
      </c>
      <c r="J61">
        <v>5.5649007682963429E-2</v>
      </c>
      <c r="K61">
        <v>0</v>
      </c>
      <c r="L61">
        <v>0</v>
      </c>
      <c r="M61">
        <v>0</v>
      </c>
      <c r="N61">
        <v>0</v>
      </c>
      <c r="O61">
        <v>0</v>
      </c>
      <c r="P61">
        <v>0</v>
      </c>
      <c r="Q61">
        <v>0</v>
      </c>
      <c r="R61">
        <v>0</v>
      </c>
      <c r="S61">
        <v>0</v>
      </c>
      <c r="T61">
        <v>0</v>
      </c>
      <c r="U61">
        <v>0.62781943661634054</v>
      </c>
      <c r="V61">
        <v>0</v>
      </c>
      <c r="W61">
        <v>0.31653155570069602</v>
      </c>
      <c r="X61">
        <v>0</v>
      </c>
      <c r="Y61">
        <v>5.5649007682963429E-2</v>
      </c>
      <c r="Z61">
        <v>0</v>
      </c>
      <c r="AA61">
        <v>0</v>
      </c>
      <c r="AB61">
        <v>0</v>
      </c>
      <c r="AC61">
        <v>0</v>
      </c>
      <c r="AD61">
        <v>0</v>
      </c>
      <c r="AE61" t="s">
        <v>245</v>
      </c>
      <c r="AF61">
        <v>20</v>
      </c>
      <c r="AG61" t="s">
        <v>229</v>
      </c>
      <c r="AH61">
        <v>46245</v>
      </c>
      <c r="AI61" t="s">
        <v>149</v>
      </c>
    </row>
    <row r="62" spans="1:35" x14ac:dyDescent="0.25">
      <c r="A62" s="1">
        <v>46246</v>
      </c>
      <c r="B62" t="s">
        <v>148</v>
      </c>
      <c r="C62" t="s">
        <v>10</v>
      </c>
      <c r="D62">
        <v>6.6480730337969662</v>
      </c>
      <c r="E62">
        <v>10.45</v>
      </c>
      <c r="F62">
        <v>10.45</v>
      </c>
      <c r="G62">
        <v>11.308823529411764</v>
      </c>
      <c r="H62">
        <v>1.5718840552555735</v>
      </c>
      <c r="I62">
        <v>1.5718840552555735</v>
      </c>
      <c r="J62">
        <v>1.7010678841704703</v>
      </c>
      <c r="K62">
        <v>0.12918382891489677</v>
      </c>
      <c r="L62">
        <v>0</v>
      </c>
      <c r="M62">
        <v>0</v>
      </c>
      <c r="N62">
        <v>0</v>
      </c>
      <c r="O62">
        <v>0.32188405525557351</v>
      </c>
      <c r="P62">
        <v>0</v>
      </c>
      <c r="Q62">
        <v>0.25</v>
      </c>
      <c r="R62">
        <v>0</v>
      </c>
      <c r="S62">
        <v>0</v>
      </c>
      <c r="T62">
        <v>0</v>
      </c>
      <c r="U62">
        <v>0</v>
      </c>
      <c r="V62">
        <v>0</v>
      </c>
      <c r="W62">
        <v>0</v>
      </c>
      <c r="X62">
        <v>0</v>
      </c>
      <c r="Y62">
        <v>1</v>
      </c>
      <c r="Z62">
        <v>0</v>
      </c>
      <c r="AA62">
        <v>0</v>
      </c>
      <c r="AB62">
        <v>0</v>
      </c>
      <c r="AC62">
        <v>0</v>
      </c>
      <c r="AD62">
        <v>0</v>
      </c>
      <c r="AE62" t="s">
        <v>245</v>
      </c>
      <c r="AF62">
        <v>20</v>
      </c>
      <c r="AG62" t="s">
        <v>230</v>
      </c>
      <c r="AH62">
        <v>46246</v>
      </c>
      <c r="AI62" t="s">
        <v>149</v>
      </c>
    </row>
    <row r="63" spans="1:35" x14ac:dyDescent="0.25">
      <c r="A63" s="1">
        <v>46246</v>
      </c>
      <c r="B63" t="s">
        <v>148</v>
      </c>
      <c r="C63" t="s">
        <v>11</v>
      </c>
      <c r="D63">
        <v>129.97925271325423</v>
      </c>
      <c r="E63">
        <v>30.4</v>
      </c>
      <c r="F63">
        <v>30.4</v>
      </c>
      <c r="G63">
        <v>5.6041666666666661</v>
      </c>
      <c r="H63">
        <v>0.233883480366402</v>
      </c>
      <c r="I63">
        <v>0.233883480366402</v>
      </c>
      <c r="J63">
        <v>4.3115855412940059E-2</v>
      </c>
      <c r="K63">
        <v>0</v>
      </c>
      <c r="L63">
        <v>0</v>
      </c>
      <c r="M63">
        <v>0</v>
      </c>
      <c r="N63">
        <v>0</v>
      </c>
      <c r="O63">
        <v>0</v>
      </c>
      <c r="P63">
        <v>0</v>
      </c>
      <c r="Q63">
        <v>0</v>
      </c>
      <c r="R63">
        <v>0</v>
      </c>
      <c r="S63">
        <v>0</v>
      </c>
      <c r="T63">
        <v>0</v>
      </c>
      <c r="U63">
        <v>0.76611651963359795</v>
      </c>
      <c r="V63">
        <v>0</v>
      </c>
      <c r="W63">
        <v>0.19076762495346195</v>
      </c>
      <c r="X63">
        <v>0</v>
      </c>
      <c r="Y63">
        <v>4.3115855412940059E-2</v>
      </c>
      <c r="Z63">
        <v>0</v>
      </c>
      <c r="AA63">
        <v>0</v>
      </c>
      <c r="AB63">
        <v>0</v>
      </c>
      <c r="AC63">
        <v>0</v>
      </c>
      <c r="AD63">
        <v>0</v>
      </c>
      <c r="AE63" t="s">
        <v>245</v>
      </c>
      <c r="AF63">
        <v>20</v>
      </c>
      <c r="AG63" t="s">
        <v>231</v>
      </c>
      <c r="AH63">
        <v>46246</v>
      </c>
      <c r="AI63" t="s">
        <v>149</v>
      </c>
    </row>
    <row r="64" spans="1:35" x14ac:dyDescent="0.25">
      <c r="A64" s="1">
        <v>46246</v>
      </c>
      <c r="B64" t="s">
        <v>148</v>
      </c>
      <c r="C64" t="s">
        <v>12</v>
      </c>
      <c r="D64">
        <v>10.167972099188113</v>
      </c>
      <c r="E64">
        <v>9.5</v>
      </c>
      <c r="F64">
        <v>9.5</v>
      </c>
      <c r="G64">
        <v>12.055759803921568</v>
      </c>
      <c r="H64">
        <v>0.93430626159552022</v>
      </c>
      <c r="I64">
        <v>0.93430626159552022</v>
      </c>
      <c r="J64">
        <v>1.1856601971679477</v>
      </c>
      <c r="K64">
        <v>0.18566019716794768</v>
      </c>
      <c r="L64">
        <v>0</v>
      </c>
      <c r="M64">
        <v>0</v>
      </c>
      <c r="N64">
        <v>0</v>
      </c>
      <c r="O64">
        <v>0</v>
      </c>
      <c r="P64">
        <v>0</v>
      </c>
      <c r="Q64">
        <v>0</v>
      </c>
      <c r="R64">
        <v>0</v>
      </c>
      <c r="S64">
        <v>0</v>
      </c>
      <c r="T64">
        <v>6.5693738404479785E-2</v>
      </c>
      <c r="U64">
        <v>0</v>
      </c>
      <c r="V64">
        <v>0</v>
      </c>
      <c r="W64">
        <v>0</v>
      </c>
      <c r="X64">
        <v>0</v>
      </c>
      <c r="Y64">
        <v>0.93430626159552022</v>
      </c>
      <c r="Z64">
        <v>0</v>
      </c>
      <c r="AA64">
        <v>0</v>
      </c>
      <c r="AB64">
        <v>0</v>
      </c>
      <c r="AC64">
        <v>0</v>
      </c>
      <c r="AD64">
        <v>0</v>
      </c>
      <c r="AE64" t="s">
        <v>245</v>
      </c>
      <c r="AF64">
        <v>20</v>
      </c>
      <c r="AG64" t="s">
        <v>232</v>
      </c>
      <c r="AH64">
        <v>46246</v>
      </c>
      <c r="AI64" t="s">
        <v>149</v>
      </c>
    </row>
    <row r="65" spans="1:35" x14ac:dyDescent="0.25">
      <c r="A65" s="1">
        <v>46247</v>
      </c>
      <c r="B65" t="s">
        <v>148</v>
      </c>
      <c r="C65" t="s">
        <v>12</v>
      </c>
      <c r="D65">
        <v>1.7647714358942432</v>
      </c>
      <c r="E65">
        <v>1.9</v>
      </c>
      <c r="F65">
        <v>1.9</v>
      </c>
      <c r="G65">
        <v>12.24609375</v>
      </c>
      <c r="H65">
        <v>1.0766266732083829</v>
      </c>
      <c r="I65">
        <v>1.0766266732083829</v>
      </c>
      <c r="J65">
        <v>6.9391953546634051</v>
      </c>
      <c r="K65">
        <v>5.8625686814550217</v>
      </c>
      <c r="L65">
        <v>0</v>
      </c>
      <c r="M65">
        <v>0</v>
      </c>
      <c r="N65">
        <v>0</v>
      </c>
      <c r="O65">
        <v>0</v>
      </c>
      <c r="P65">
        <v>0.1733733267916171</v>
      </c>
      <c r="Q65">
        <v>7.6626673208382901E-2</v>
      </c>
      <c r="R65">
        <v>0</v>
      </c>
      <c r="S65">
        <v>0</v>
      </c>
      <c r="T65">
        <v>0</v>
      </c>
      <c r="U65">
        <v>0</v>
      </c>
      <c r="V65">
        <v>0</v>
      </c>
      <c r="W65">
        <v>0</v>
      </c>
      <c r="X65">
        <v>0</v>
      </c>
      <c r="Y65">
        <v>0</v>
      </c>
      <c r="Z65">
        <v>0</v>
      </c>
      <c r="AA65">
        <v>0</v>
      </c>
      <c r="AB65">
        <v>0</v>
      </c>
      <c r="AC65">
        <v>0</v>
      </c>
      <c r="AD65">
        <v>0</v>
      </c>
      <c r="AE65" t="s">
        <v>245</v>
      </c>
      <c r="AF65">
        <v>20</v>
      </c>
      <c r="AG65" t="s">
        <v>233</v>
      </c>
      <c r="AH65">
        <v>46247</v>
      </c>
      <c r="AI65" t="s">
        <v>149</v>
      </c>
    </row>
    <row r="66" spans="1:35" x14ac:dyDescent="0.25">
      <c r="A66" s="1">
        <v>46247</v>
      </c>
      <c r="B66" t="s">
        <v>148</v>
      </c>
      <c r="C66" t="s">
        <v>11</v>
      </c>
      <c r="D66">
        <v>78.937075389656528</v>
      </c>
      <c r="E66">
        <v>30.4</v>
      </c>
      <c r="F66">
        <v>30.4</v>
      </c>
      <c r="G66">
        <v>4.6874999999999991</v>
      </c>
      <c r="H66">
        <v>0.38511687758808766</v>
      </c>
      <c r="I66">
        <v>0.38511687758808766</v>
      </c>
      <c r="J66">
        <v>5.9382742226781596E-2</v>
      </c>
      <c r="K66">
        <v>0</v>
      </c>
      <c r="L66">
        <v>0</v>
      </c>
      <c r="M66">
        <v>0</v>
      </c>
      <c r="N66">
        <v>0</v>
      </c>
      <c r="O66">
        <v>0</v>
      </c>
      <c r="P66">
        <v>0</v>
      </c>
      <c r="Q66">
        <v>0</v>
      </c>
      <c r="R66">
        <v>0</v>
      </c>
      <c r="S66">
        <v>0</v>
      </c>
      <c r="T66">
        <v>0</v>
      </c>
      <c r="U66">
        <v>0.61488312241191234</v>
      </c>
      <c r="V66">
        <v>0</v>
      </c>
      <c r="W66">
        <v>0.32573413536130608</v>
      </c>
      <c r="X66">
        <v>0</v>
      </c>
      <c r="Y66">
        <v>5.9382742226781596E-2</v>
      </c>
      <c r="Z66">
        <v>0</v>
      </c>
      <c r="AA66">
        <v>0</v>
      </c>
      <c r="AB66">
        <v>0</v>
      </c>
      <c r="AC66">
        <v>0</v>
      </c>
      <c r="AD66">
        <v>0</v>
      </c>
      <c r="AE66" t="s">
        <v>245</v>
      </c>
      <c r="AF66">
        <v>20</v>
      </c>
      <c r="AG66" t="s">
        <v>234</v>
      </c>
      <c r="AH66">
        <v>46247</v>
      </c>
      <c r="AI66" t="s">
        <v>149</v>
      </c>
    </row>
    <row r="67" spans="1:35" x14ac:dyDescent="0.25">
      <c r="A67" s="1">
        <v>46247</v>
      </c>
      <c r="B67" t="s">
        <v>148</v>
      </c>
      <c r="C67" t="s">
        <v>10</v>
      </c>
      <c r="D67">
        <v>8.5390234440066308</v>
      </c>
      <c r="E67">
        <v>15.2</v>
      </c>
      <c r="F67">
        <v>15.2</v>
      </c>
      <c r="G67">
        <v>12.166666666666668</v>
      </c>
      <c r="H67">
        <v>1.7800630364434207</v>
      </c>
      <c r="I67">
        <v>1.7800630364434207</v>
      </c>
      <c r="J67">
        <v>1.4248311585566857</v>
      </c>
      <c r="K67">
        <v>0</v>
      </c>
      <c r="L67">
        <v>0</v>
      </c>
      <c r="M67">
        <v>0.35523187788673494</v>
      </c>
      <c r="N67">
        <v>0</v>
      </c>
      <c r="O67">
        <v>0.17483115855668574</v>
      </c>
      <c r="P67">
        <v>0</v>
      </c>
      <c r="Q67">
        <v>0.25</v>
      </c>
      <c r="R67">
        <v>0</v>
      </c>
      <c r="S67">
        <v>0</v>
      </c>
      <c r="T67">
        <v>0</v>
      </c>
      <c r="U67">
        <v>0</v>
      </c>
      <c r="V67">
        <v>0</v>
      </c>
      <c r="W67">
        <v>0</v>
      </c>
      <c r="X67">
        <v>0</v>
      </c>
      <c r="Y67">
        <v>1</v>
      </c>
      <c r="Z67">
        <v>0</v>
      </c>
      <c r="AA67">
        <v>0</v>
      </c>
      <c r="AB67">
        <v>0</v>
      </c>
      <c r="AC67">
        <v>0</v>
      </c>
      <c r="AD67">
        <v>0</v>
      </c>
      <c r="AE67" t="s">
        <v>245</v>
      </c>
      <c r="AF67">
        <v>20</v>
      </c>
      <c r="AG67" t="s">
        <v>235</v>
      </c>
      <c r="AH67">
        <v>46247</v>
      </c>
      <c r="AI67" t="s">
        <v>149</v>
      </c>
    </row>
    <row r="68" spans="1:35" x14ac:dyDescent="0.25">
      <c r="A68" s="1">
        <v>46248</v>
      </c>
      <c r="B68" t="s">
        <v>148</v>
      </c>
      <c r="C68" t="s">
        <v>12</v>
      </c>
      <c r="D68">
        <v>5.0048971767008359</v>
      </c>
      <c r="E68">
        <v>4.75</v>
      </c>
      <c r="F68">
        <v>4.75</v>
      </c>
      <c r="G68">
        <v>12.191176470588236</v>
      </c>
      <c r="H68">
        <v>0.94907044686403308</v>
      </c>
      <c r="I68">
        <v>0.94907044686403308</v>
      </c>
      <c r="J68">
        <v>2.4358495369977815</v>
      </c>
      <c r="K68">
        <v>1.4358495369977815</v>
      </c>
      <c r="L68">
        <v>0</v>
      </c>
      <c r="M68">
        <v>0</v>
      </c>
      <c r="N68">
        <v>0</v>
      </c>
      <c r="O68">
        <v>0</v>
      </c>
      <c r="P68">
        <v>0</v>
      </c>
      <c r="Q68">
        <v>0</v>
      </c>
      <c r="R68">
        <v>0</v>
      </c>
      <c r="S68">
        <v>0</v>
      </c>
      <c r="T68">
        <v>5.0929553135966921E-2</v>
      </c>
      <c r="U68">
        <v>0</v>
      </c>
      <c r="V68">
        <v>0</v>
      </c>
      <c r="W68">
        <v>0</v>
      </c>
      <c r="X68">
        <v>0</v>
      </c>
      <c r="Y68">
        <v>0.94907044686403308</v>
      </c>
      <c r="Z68">
        <v>0</v>
      </c>
      <c r="AA68">
        <v>0</v>
      </c>
      <c r="AB68">
        <v>0</v>
      </c>
      <c r="AC68">
        <v>0</v>
      </c>
      <c r="AD68">
        <v>0</v>
      </c>
      <c r="AE68" t="s">
        <v>245</v>
      </c>
      <c r="AF68">
        <v>20</v>
      </c>
      <c r="AG68" t="s">
        <v>236</v>
      </c>
      <c r="AH68">
        <v>46248</v>
      </c>
      <c r="AI68" t="s">
        <v>149</v>
      </c>
    </row>
    <row r="69" spans="1:35" x14ac:dyDescent="0.25">
      <c r="A69" s="1">
        <v>46248</v>
      </c>
      <c r="B69" t="s">
        <v>148</v>
      </c>
      <c r="C69" t="s">
        <v>10</v>
      </c>
      <c r="D69">
        <v>11.230331612245342</v>
      </c>
      <c r="E69">
        <v>22.799999999999997</v>
      </c>
      <c r="F69">
        <v>22.799999999999997</v>
      </c>
      <c r="G69">
        <v>10.371323529411764</v>
      </c>
      <c r="H69">
        <v>2.030216095768651</v>
      </c>
      <c r="I69">
        <v>2.030216095768651</v>
      </c>
      <c r="J69">
        <v>0.92350999841385528</v>
      </c>
      <c r="K69">
        <v>0</v>
      </c>
      <c r="L69">
        <v>0</v>
      </c>
      <c r="M69">
        <v>0.78021609576865103</v>
      </c>
      <c r="N69">
        <v>0</v>
      </c>
      <c r="O69">
        <v>0</v>
      </c>
      <c r="P69">
        <v>0</v>
      </c>
      <c r="Q69">
        <v>0</v>
      </c>
      <c r="R69">
        <v>0</v>
      </c>
      <c r="S69">
        <v>0.25</v>
      </c>
      <c r="T69">
        <v>0</v>
      </c>
      <c r="U69">
        <v>0</v>
      </c>
      <c r="V69">
        <v>0</v>
      </c>
      <c r="W69">
        <v>7.6490001586144718E-2</v>
      </c>
      <c r="X69">
        <v>0</v>
      </c>
      <c r="Y69">
        <v>0.92350999841385528</v>
      </c>
      <c r="Z69">
        <v>0</v>
      </c>
      <c r="AA69">
        <v>0</v>
      </c>
      <c r="AB69">
        <v>0</v>
      </c>
      <c r="AC69">
        <v>0</v>
      </c>
      <c r="AD69">
        <v>0</v>
      </c>
      <c r="AE69" t="s">
        <v>245</v>
      </c>
      <c r="AF69">
        <v>20</v>
      </c>
      <c r="AG69" t="s">
        <v>238</v>
      </c>
      <c r="AH69">
        <v>46248</v>
      </c>
      <c r="AI69" t="s">
        <v>149</v>
      </c>
    </row>
    <row r="70" spans="1:35" x14ac:dyDescent="0.25">
      <c r="A70" s="1">
        <v>46248</v>
      </c>
      <c r="B70" t="s">
        <v>148</v>
      </c>
      <c r="C70" t="s">
        <v>11</v>
      </c>
      <c r="D70">
        <v>88.186140179587767</v>
      </c>
      <c r="E70">
        <v>30.4</v>
      </c>
      <c r="F70">
        <v>30.4</v>
      </c>
      <c r="G70">
        <v>3.7499999999999991</v>
      </c>
      <c r="H70">
        <v>0.34472537224207273</v>
      </c>
      <c r="I70">
        <v>0.34472537224207273</v>
      </c>
      <c r="J70">
        <v>4.2523689010124092E-2</v>
      </c>
      <c r="K70">
        <v>0</v>
      </c>
      <c r="L70">
        <v>0</v>
      </c>
      <c r="M70">
        <v>0</v>
      </c>
      <c r="N70">
        <v>0</v>
      </c>
      <c r="O70">
        <v>0</v>
      </c>
      <c r="P70">
        <v>0</v>
      </c>
      <c r="Q70">
        <v>0</v>
      </c>
      <c r="R70">
        <v>0</v>
      </c>
      <c r="S70">
        <v>0</v>
      </c>
      <c r="T70">
        <v>0</v>
      </c>
      <c r="U70">
        <v>0.65527462775792733</v>
      </c>
      <c r="V70">
        <v>0</v>
      </c>
      <c r="W70">
        <v>0.30220168323194863</v>
      </c>
      <c r="X70">
        <v>0</v>
      </c>
      <c r="Y70">
        <v>4.2523689010124092E-2</v>
      </c>
      <c r="Z70">
        <v>0</v>
      </c>
      <c r="AA70">
        <v>0</v>
      </c>
      <c r="AB70">
        <v>0</v>
      </c>
      <c r="AC70">
        <v>0</v>
      </c>
      <c r="AD70">
        <v>0</v>
      </c>
      <c r="AE70" t="s">
        <v>245</v>
      </c>
      <c r="AF70">
        <v>20</v>
      </c>
      <c r="AG70" t="s">
        <v>237</v>
      </c>
      <c r="AH70">
        <v>46248</v>
      </c>
      <c r="AI70" t="s">
        <v>149</v>
      </c>
    </row>
    <row r="71" spans="1:35" x14ac:dyDescent="0.25">
      <c r="A71" s="1">
        <v>46249</v>
      </c>
      <c r="B71" t="s">
        <v>148</v>
      </c>
      <c r="C71" t="s">
        <v>12</v>
      </c>
      <c r="D71">
        <v>88.200207198279671</v>
      </c>
      <c r="E71">
        <v>17.099999999999998</v>
      </c>
      <c r="F71">
        <v>17.099999999999998</v>
      </c>
      <c r="G71">
        <v>12.246323529411764</v>
      </c>
      <c r="H71">
        <v>0.19387709556688582</v>
      </c>
      <c r="I71">
        <v>0.19387709556688582</v>
      </c>
      <c r="J71">
        <v>0.13884687937162382</v>
      </c>
      <c r="K71">
        <v>0</v>
      </c>
      <c r="L71">
        <v>0</v>
      </c>
      <c r="M71">
        <v>0</v>
      </c>
      <c r="N71">
        <v>0</v>
      </c>
      <c r="O71">
        <v>0</v>
      </c>
      <c r="P71">
        <v>0</v>
      </c>
      <c r="Q71">
        <v>0</v>
      </c>
      <c r="R71">
        <v>0</v>
      </c>
      <c r="S71">
        <v>0</v>
      </c>
      <c r="T71">
        <v>0</v>
      </c>
      <c r="U71">
        <v>0.80612290443311418</v>
      </c>
      <c r="V71">
        <v>0</v>
      </c>
      <c r="W71">
        <v>5.5030216195261994E-2</v>
      </c>
      <c r="X71">
        <v>0</v>
      </c>
      <c r="Y71">
        <v>0.13884687937162382</v>
      </c>
      <c r="Z71">
        <v>0</v>
      </c>
      <c r="AA71">
        <v>0</v>
      </c>
      <c r="AB71">
        <v>0</v>
      </c>
      <c r="AC71">
        <v>0</v>
      </c>
      <c r="AD71">
        <v>0</v>
      </c>
      <c r="AE71" t="s">
        <v>245</v>
      </c>
      <c r="AF71">
        <v>20</v>
      </c>
      <c r="AG71" t="s">
        <v>239</v>
      </c>
      <c r="AH71">
        <v>46249</v>
      </c>
      <c r="AI71" t="s">
        <v>149</v>
      </c>
    </row>
    <row r="72" spans="1:35" x14ac:dyDescent="0.25">
      <c r="A72" s="1">
        <v>46249</v>
      </c>
      <c r="B72" t="s">
        <v>148</v>
      </c>
      <c r="C72" t="s">
        <v>11</v>
      </c>
      <c r="D72">
        <v>15.192380187263488</v>
      </c>
      <c r="E72">
        <v>7.6</v>
      </c>
      <c r="F72">
        <v>7.6</v>
      </c>
      <c r="G72">
        <v>4.7460937499999991</v>
      </c>
      <c r="H72">
        <v>0.50025077745035962</v>
      </c>
      <c r="I72">
        <v>0.50025077745035962</v>
      </c>
      <c r="J72">
        <v>0.31239961688023582</v>
      </c>
      <c r="K72">
        <v>0</v>
      </c>
      <c r="L72">
        <v>0</v>
      </c>
      <c r="M72">
        <v>0</v>
      </c>
      <c r="N72">
        <v>0</v>
      </c>
      <c r="O72">
        <v>0</v>
      </c>
      <c r="P72">
        <v>0</v>
      </c>
      <c r="Q72">
        <v>0</v>
      </c>
      <c r="R72">
        <v>0</v>
      </c>
      <c r="S72">
        <v>0</v>
      </c>
      <c r="T72">
        <v>0</v>
      </c>
      <c r="U72">
        <v>0.49974922254964038</v>
      </c>
      <c r="V72">
        <v>0</v>
      </c>
      <c r="W72">
        <v>0.1878511605701238</v>
      </c>
      <c r="X72">
        <v>0</v>
      </c>
      <c r="Y72">
        <v>0.31239961688023582</v>
      </c>
      <c r="Z72">
        <v>0</v>
      </c>
      <c r="AA72">
        <v>0</v>
      </c>
      <c r="AB72">
        <v>0</v>
      </c>
      <c r="AC72">
        <v>0</v>
      </c>
      <c r="AD72">
        <v>0</v>
      </c>
      <c r="AE72" t="s">
        <v>245</v>
      </c>
      <c r="AF72">
        <v>20</v>
      </c>
      <c r="AG72" t="s">
        <v>240</v>
      </c>
      <c r="AH72">
        <v>46249</v>
      </c>
      <c r="AI72" t="s">
        <v>149</v>
      </c>
    </row>
    <row r="73" spans="1:35" x14ac:dyDescent="0.25">
      <c r="A73" s="1">
        <v>46250</v>
      </c>
      <c r="B73" t="s">
        <v>148</v>
      </c>
      <c r="C73" t="s">
        <v>10</v>
      </c>
      <c r="D73">
        <v>9.8213366867157887</v>
      </c>
      <c r="E73">
        <v>9.5</v>
      </c>
      <c r="F73">
        <v>9.5</v>
      </c>
      <c r="G73">
        <v>12.1875</v>
      </c>
      <c r="H73">
        <v>0.9672817767106564</v>
      </c>
      <c r="I73">
        <v>0.9672817767106564</v>
      </c>
      <c r="J73">
        <v>1.2409207003853817</v>
      </c>
      <c r="K73">
        <v>0.24092070038538171</v>
      </c>
      <c r="L73">
        <v>0</v>
      </c>
      <c r="M73">
        <v>0</v>
      </c>
      <c r="N73">
        <v>0</v>
      </c>
      <c r="O73">
        <v>0</v>
      </c>
      <c r="P73">
        <v>0</v>
      </c>
      <c r="Q73">
        <v>0</v>
      </c>
      <c r="R73">
        <v>0</v>
      </c>
      <c r="S73">
        <v>0</v>
      </c>
      <c r="T73">
        <v>3.2718223289343595E-2</v>
      </c>
      <c r="U73">
        <v>0</v>
      </c>
      <c r="V73">
        <v>0</v>
      </c>
      <c r="W73">
        <v>0</v>
      </c>
      <c r="X73">
        <v>0</v>
      </c>
      <c r="Y73">
        <v>0.9672817767106564</v>
      </c>
      <c r="Z73">
        <v>0</v>
      </c>
      <c r="AA73">
        <v>0</v>
      </c>
      <c r="AB73">
        <v>0</v>
      </c>
      <c r="AC73">
        <v>0</v>
      </c>
      <c r="AD73">
        <v>0</v>
      </c>
      <c r="AE73" t="s">
        <v>245</v>
      </c>
      <c r="AF73">
        <v>20</v>
      </c>
      <c r="AG73" t="s">
        <v>242</v>
      </c>
      <c r="AH73">
        <v>46250</v>
      </c>
      <c r="AI73" t="s">
        <v>149</v>
      </c>
    </row>
    <row r="74" spans="1:35" x14ac:dyDescent="0.25">
      <c r="A74" s="1">
        <v>46250</v>
      </c>
      <c r="B74" t="s">
        <v>148</v>
      </c>
      <c r="C74" t="s">
        <v>11</v>
      </c>
      <c r="D74">
        <v>76.805922057832063</v>
      </c>
      <c r="E74">
        <v>8.5499999999999989</v>
      </c>
      <c r="F74">
        <v>8.5499999999999989</v>
      </c>
      <c r="G74">
        <v>4.7460937499999991</v>
      </c>
      <c r="H74">
        <v>0.11131954113593168</v>
      </c>
      <c r="I74">
        <v>0.11131954113593168</v>
      </c>
      <c r="J74">
        <v>6.1793330811475228E-2</v>
      </c>
      <c r="K74">
        <v>0</v>
      </c>
      <c r="L74">
        <v>0</v>
      </c>
      <c r="M74">
        <v>0</v>
      </c>
      <c r="N74">
        <v>0</v>
      </c>
      <c r="O74">
        <v>0</v>
      </c>
      <c r="P74">
        <v>0</v>
      </c>
      <c r="Q74">
        <v>0</v>
      </c>
      <c r="R74">
        <v>0</v>
      </c>
      <c r="S74">
        <v>0</v>
      </c>
      <c r="T74">
        <v>0</v>
      </c>
      <c r="U74">
        <v>0.88868045886406832</v>
      </c>
      <c r="V74">
        <v>0</v>
      </c>
      <c r="W74">
        <v>4.9526210324456449E-2</v>
      </c>
      <c r="X74">
        <v>0</v>
      </c>
      <c r="Y74">
        <v>6.1793330811475228E-2</v>
      </c>
      <c r="Z74">
        <v>0</v>
      </c>
      <c r="AA74">
        <v>0</v>
      </c>
      <c r="AB74">
        <v>0</v>
      </c>
      <c r="AC74">
        <v>0</v>
      </c>
      <c r="AD74">
        <v>0</v>
      </c>
      <c r="AE74" t="s">
        <v>245</v>
      </c>
      <c r="AF74">
        <v>20</v>
      </c>
      <c r="AG74" t="s">
        <v>243</v>
      </c>
      <c r="AH74">
        <v>46250</v>
      </c>
      <c r="AI74" t="s">
        <v>149</v>
      </c>
    </row>
    <row r="75" spans="1:35" x14ac:dyDescent="0.25">
      <c r="A75" s="1">
        <v>46223</v>
      </c>
      <c r="B75" t="s">
        <v>148</v>
      </c>
      <c r="C75" t="s">
        <v>10</v>
      </c>
      <c r="D75">
        <v>9.4468105946884986</v>
      </c>
      <c r="E75">
        <v>34.199999999999996</v>
      </c>
      <c r="F75">
        <v>34.199999999999996</v>
      </c>
      <c r="G75">
        <v>3.3244791666666664</v>
      </c>
      <c r="H75">
        <v>3.62026947160654</v>
      </c>
      <c r="I75">
        <v>3.62026947160654</v>
      </c>
      <c r="J75">
        <v>0.35191550982676273</v>
      </c>
      <c r="K75">
        <v>0</v>
      </c>
      <c r="L75">
        <v>0</v>
      </c>
      <c r="M75">
        <v>2.37026947160654</v>
      </c>
      <c r="N75">
        <v>0</v>
      </c>
      <c r="O75">
        <v>0</v>
      </c>
      <c r="P75">
        <v>0</v>
      </c>
      <c r="Q75">
        <v>0</v>
      </c>
      <c r="R75">
        <v>0</v>
      </c>
      <c r="S75">
        <v>0.25</v>
      </c>
      <c r="T75">
        <v>0</v>
      </c>
      <c r="U75">
        <v>0</v>
      </c>
      <c r="V75">
        <v>0</v>
      </c>
      <c r="W75">
        <v>0.64808449017323722</v>
      </c>
      <c r="X75">
        <v>0</v>
      </c>
      <c r="Y75">
        <v>0.35191550982676273</v>
      </c>
      <c r="Z75">
        <v>0</v>
      </c>
      <c r="AA75">
        <v>0</v>
      </c>
      <c r="AB75">
        <v>0</v>
      </c>
      <c r="AC75">
        <v>0</v>
      </c>
      <c r="AD75">
        <v>0</v>
      </c>
      <c r="AE75" t="s">
        <v>246</v>
      </c>
      <c r="AF75">
        <v>20</v>
      </c>
      <c r="AG75" t="s">
        <v>163</v>
      </c>
      <c r="AH75">
        <v>46223</v>
      </c>
      <c r="AI75" t="s">
        <v>149</v>
      </c>
    </row>
    <row r="76" spans="1:35" x14ac:dyDescent="0.25">
      <c r="A76" s="1">
        <v>46223</v>
      </c>
      <c r="B76" t="s">
        <v>148</v>
      </c>
      <c r="C76" t="s">
        <v>12</v>
      </c>
      <c r="D76">
        <v>8.9053233069929512</v>
      </c>
      <c r="E76">
        <v>6.6499999999999995</v>
      </c>
      <c r="F76">
        <v>6.6499999999999995</v>
      </c>
      <c r="G76">
        <v>6.975779398297778</v>
      </c>
      <c r="H76">
        <v>0.74674436522456766</v>
      </c>
      <c r="I76">
        <v>0.74674436522456766</v>
      </c>
      <c r="J76">
        <v>0.78332691108699126</v>
      </c>
      <c r="K76">
        <v>0</v>
      </c>
      <c r="L76">
        <v>0</v>
      </c>
      <c r="M76">
        <v>0</v>
      </c>
      <c r="N76">
        <v>0</v>
      </c>
      <c r="O76">
        <v>0</v>
      </c>
      <c r="P76">
        <v>0</v>
      </c>
      <c r="Q76">
        <v>0</v>
      </c>
      <c r="R76">
        <v>0</v>
      </c>
      <c r="S76">
        <v>0</v>
      </c>
      <c r="T76">
        <v>3.6582545862423599E-2</v>
      </c>
      <c r="U76">
        <v>0.21667308891300874</v>
      </c>
      <c r="V76">
        <v>0</v>
      </c>
      <c r="W76">
        <v>0</v>
      </c>
      <c r="X76">
        <v>0</v>
      </c>
      <c r="Y76">
        <v>0.74674436522456766</v>
      </c>
      <c r="Z76">
        <v>0</v>
      </c>
      <c r="AA76">
        <v>0</v>
      </c>
      <c r="AB76">
        <v>0</v>
      </c>
      <c r="AC76">
        <v>0</v>
      </c>
      <c r="AD76">
        <v>0</v>
      </c>
      <c r="AE76" t="s">
        <v>246</v>
      </c>
      <c r="AF76">
        <v>20</v>
      </c>
      <c r="AG76" t="s">
        <v>162</v>
      </c>
      <c r="AH76">
        <v>46223</v>
      </c>
      <c r="AI76" t="s">
        <v>149</v>
      </c>
    </row>
    <row r="77" spans="1:35" x14ac:dyDescent="0.25">
      <c r="A77" s="1">
        <v>46223</v>
      </c>
      <c r="B77" t="s">
        <v>148</v>
      </c>
      <c r="C77" t="s">
        <v>11</v>
      </c>
      <c r="D77">
        <v>4.2706818558845079</v>
      </c>
      <c r="E77">
        <v>4.75</v>
      </c>
      <c r="F77">
        <v>4.75</v>
      </c>
      <c r="G77">
        <v>7.5522129524886878</v>
      </c>
      <c r="H77">
        <v>1.1122345705651304</v>
      </c>
      <c r="I77">
        <v>1.1122345705651304</v>
      </c>
      <c r="J77">
        <v>1.7683857536900363</v>
      </c>
      <c r="K77">
        <v>0.65615118312490583</v>
      </c>
      <c r="L77">
        <v>0</v>
      </c>
      <c r="M77">
        <v>0</v>
      </c>
      <c r="N77">
        <v>0</v>
      </c>
      <c r="O77">
        <v>0</v>
      </c>
      <c r="P77">
        <v>0.13776542943486958</v>
      </c>
      <c r="Q77">
        <v>0.11223457056513042</v>
      </c>
      <c r="R77">
        <v>0</v>
      </c>
      <c r="S77">
        <v>0</v>
      </c>
      <c r="T77">
        <v>0</v>
      </c>
      <c r="U77">
        <v>0</v>
      </c>
      <c r="V77">
        <v>0</v>
      </c>
      <c r="W77">
        <v>0</v>
      </c>
      <c r="X77">
        <v>0</v>
      </c>
      <c r="Y77">
        <v>0</v>
      </c>
      <c r="Z77">
        <v>0</v>
      </c>
      <c r="AA77">
        <v>0</v>
      </c>
      <c r="AB77">
        <v>0</v>
      </c>
      <c r="AC77">
        <v>0</v>
      </c>
      <c r="AD77">
        <v>0</v>
      </c>
      <c r="AE77" t="s">
        <v>246</v>
      </c>
      <c r="AF77">
        <v>20</v>
      </c>
      <c r="AG77" t="s">
        <v>161</v>
      </c>
      <c r="AH77">
        <v>46223</v>
      </c>
      <c r="AI77" t="s">
        <v>149</v>
      </c>
    </row>
    <row r="78" spans="1:35" x14ac:dyDescent="0.25">
      <c r="A78" s="1">
        <v>46224</v>
      </c>
      <c r="B78" t="s">
        <v>148</v>
      </c>
      <c r="C78" t="s">
        <v>10</v>
      </c>
      <c r="D78">
        <v>9.2250131793293342</v>
      </c>
      <c r="E78">
        <v>36.1</v>
      </c>
      <c r="F78">
        <v>36.1</v>
      </c>
      <c r="G78">
        <v>8.2912141779788833</v>
      </c>
      <c r="H78">
        <v>3.9132735420790477</v>
      </c>
      <c r="I78">
        <v>3.9132735420790477</v>
      </c>
      <c r="J78">
        <v>0.89877532062037235</v>
      </c>
      <c r="K78">
        <v>0</v>
      </c>
      <c r="L78">
        <v>0</v>
      </c>
      <c r="M78">
        <v>2.6632735420790477</v>
      </c>
      <c r="N78">
        <v>0</v>
      </c>
      <c r="O78">
        <v>0</v>
      </c>
      <c r="P78">
        <v>0</v>
      </c>
      <c r="Q78">
        <v>0</v>
      </c>
      <c r="R78">
        <v>0</v>
      </c>
      <c r="S78">
        <v>0.25</v>
      </c>
      <c r="T78">
        <v>0</v>
      </c>
      <c r="U78">
        <v>0</v>
      </c>
      <c r="V78">
        <v>0</v>
      </c>
      <c r="W78">
        <v>0.10122467937962765</v>
      </c>
      <c r="X78">
        <v>0</v>
      </c>
      <c r="Y78">
        <v>0.89877532062037235</v>
      </c>
      <c r="Z78">
        <v>0</v>
      </c>
      <c r="AA78">
        <v>0</v>
      </c>
      <c r="AB78">
        <v>0</v>
      </c>
      <c r="AC78">
        <v>0</v>
      </c>
      <c r="AD78">
        <v>0</v>
      </c>
      <c r="AE78" t="s">
        <v>246</v>
      </c>
      <c r="AF78">
        <v>20</v>
      </c>
      <c r="AG78" t="s">
        <v>165</v>
      </c>
      <c r="AH78">
        <v>46224</v>
      </c>
      <c r="AI78" t="s">
        <v>149</v>
      </c>
    </row>
    <row r="79" spans="1:35" x14ac:dyDescent="0.25">
      <c r="A79" s="1">
        <v>46224</v>
      </c>
      <c r="B79" t="s">
        <v>148</v>
      </c>
      <c r="C79" t="s">
        <v>12</v>
      </c>
      <c r="D79">
        <v>9.4829839489538728</v>
      </c>
      <c r="E79">
        <v>6.6499999999999995</v>
      </c>
      <c r="F79">
        <v>6.6499999999999995</v>
      </c>
      <c r="G79">
        <v>10.080191836349917</v>
      </c>
      <c r="H79">
        <v>0.70125606410349373</v>
      </c>
      <c r="I79">
        <v>0.70125606410349373</v>
      </c>
      <c r="J79">
        <v>1.062976789859686</v>
      </c>
      <c r="K79">
        <v>6.2976789859686022E-2</v>
      </c>
      <c r="L79">
        <v>0</v>
      </c>
      <c r="M79">
        <v>0</v>
      </c>
      <c r="N79">
        <v>0</v>
      </c>
      <c r="O79">
        <v>0</v>
      </c>
      <c r="P79">
        <v>0</v>
      </c>
      <c r="Q79">
        <v>0</v>
      </c>
      <c r="R79">
        <v>0</v>
      </c>
      <c r="S79">
        <v>0</v>
      </c>
      <c r="T79">
        <v>0.29874393589650627</v>
      </c>
      <c r="U79">
        <v>0</v>
      </c>
      <c r="V79">
        <v>0</v>
      </c>
      <c r="W79">
        <v>0</v>
      </c>
      <c r="X79">
        <v>0</v>
      </c>
      <c r="Y79">
        <v>0.70125606410349373</v>
      </c>
      <c r="Z79">
        <v>0</v>
      </c>
      <c r="AA79">
        <v>0</v>
      </c>
      <c r="AB79">
        <v>0</v>
      </c>
      <c r="AC79">
        <v>0</v>
      </c>
      <c r="AD79">
        <v>0</v>
      </c>
      <c r="AE79" t="s">
        <v>246</v>
      </c>
      <c r="AF79">
        <v>20</v>
      </c>
      <c r="AG79" t="s">
        <v>166</v>
      </c>
      <c r="AH79">
        <v>46224</v>
      </c>
      <c r="AI79" t="s">
        <v>149</v>
      </c>
    </row>
    <row r="80" spans="1:35" x14ac:dyDescent="0.25">
      <c r="A80" s="1">
        <v>46224</v>
      </c>
      <c r="B80" t="s">
        <v>148</v>
      </c>
      <c r="C80" t="s">
        <v>11</v>
      </c>
      <c r="D80">
        <v>3.947533224447151</v>
      </c>
      <c r="E80">
        <v>3.8</v>
      </c>
      <c r="F80">
        <v>3.8</v>
      </c>
      <c r="G80">
        <v>10.308623208898943</v>
      </c>
      <c r="H80">
        <v>0.96262647682520441</v>
      </c>
      <c r="I80">
        <v>0.96262647682520441</v>
      </c>
      <c r="J80">
        <v>2.6114088527634007</v>
      </c>
      <c r="K80">
        <v>1.6114088527634007</v>
      </c>
      <c r="L80">
        <v>0</v>
      </c>
      <c r="M80">
        <v>0</v>
      </c>
      <c r="N80">
        <v>0</v>
      </c>
      <c r="O80">
        <v>0</v>
      </c>
      <c r="P80">
        <v>0</v>
      </c>
      <c r="Q80">
        <v>0</v>
      </c>
      <c r="R80">
        <v>0</v>
      </c>
      <c r="S80">
        <v>0</v>
      </c>
      <c r="T80">
        <v>3.7373523174795586E-2</v>
      </c>
      <c r="U80">
        <v>0</v>
      </c>
      <c r="V80">
        <v>0</v>
      </c>
      <c r="W80">
        <v>0</v>
      </c>
      <c r="X80">
        <v>0</v>
      </c>
      <c r="Y80">
        <v>0.96262647682520441</v>
      </c>
      <c r="Z80">
        <v>0</v>
      </c>
      <c r="AA80">
        <v>0</v>
      </c>
      <c r="AB80">
        <v>0</v>
      </c>
      <c r="AC80">
        <v>0</v>
      </c>
      <c r="AD80">
        <v>0</v>
      </c>
      <c r="AE80" t="s">
        <v>246</v>
      </c>
      <c r="AF80">
        <v>20</v>
      </c>
      <c r="AG80" t="s">
        <v>164</v>
      </c>
      <c r="AH80">
        <v>46224</v>
      </c>
      <c r="AI80" t="s">
        <v>149</v>
      </c>
    </row>
    <row r="81" spans="1:35" x14ac:dyDescent="0.25">
      <c r="A81" s="1">
        <v>46225</v>
      </c>
      <c r="B81" t="s">
        <v>148</v>
      </c>
      <c r="C81" t="s">
        <v>10</v>
      </c>
      <c r="D81">
        <v>12.022770803240158</v>
      </c>
      <c r="E81">
        <v>47.5</v>
      </c>
      <c r="F81">
        <v>47.5</v>
      </c>
      <c r="G81">
        <v>11.047624434389142</v>
      </c>
      <c r="H81">
        <v>3.9508363568902656</v>
      </c>
      <c r="I81">
        <v>3.9508363568902656</v>
      </c>
      <c r="J81">
        <v>0.91889171100323963</v>
      </c>
      <c r="K81">
        <v>0</v>
      </c>
      <c r="L81">
        <v>0</v>
      </c>
      <c r="M81">
        <v>2.7008363568902656</v>
      </c>
      <c r="N81">
        <v>0</v>
      </c>
      <c r="O81">
        <v>0</v>
      </c>
      <c r="P81">
        <v>0</v>
      </c>
      <c r="Q81">
        <v>0</v>
      </c>
      <c r="R81">
        <v>0</v>
      </c>
      <c r="S81">
        <v>0.25</v>
      </c>
      <c r="T81">
        <v>0</v>
      </c>
      <c r="U81">
        <v>0</v>
      </c>
      <c r="V81">
        <v>0</v>
      </c>
      <c r="W81">
        <v>8.1108288996760369E-2</v>
      </c>
      <c r="X81">
        <v>0</v>
      </c>
      <c r="Y81">
        <v>0.91889171100323963</v>
      </c>
      <c r="Z81">
        <v>0</v>
      </c>
      <c r="AA81">
        <v>0</v>
      </c>
      <c r="AB81">
        <v>0</v>
      </c>
      <c r="AC81">
        <v>0</v>
      </c>
      <c r="AD81">
        <v>0</v>
      </c>
      <c r="AE81" t="s">
        <v>246</v>
      </c>
      <c r="AF81">
        <v>20</v>
      </c>
      <c r="AG81" t="s">
        <v>167</v>
      </c>
      <c r="AH81">
        <v>46225</v>
      </c>
      <c r="AI81" t="s">
        <v>149</v>
      </c>
    </row>
    <row r="82" spans="1:35" x14ac:dyDescent="0.25">
      <c r="A82" s="1">
        <v>46225</v>
      </c>
      <c r="B82" t="s">
        <v>148</v>
      </c>
      <c r="C82" t="s">
        <v>11</v>
      </c>
      <c r="D82">
        <v>2.8864131651695564</v>
      </c>
      <c r="E82">
        <v>4.75</v>
      </c>
      <c r="F82">
        <v>4.75</v>
      </c>
      <c r="G82">
        <v>11.42887443438914</v>
      </c>
      <c r="H82">
        <v>1.6456410528189132</v>
      </c>
      <c r="I82">
        <v>1.6456410528189132</v>
      </c>
      <c r="J82">
        <v>3.9595420961564853</v>
      </c>
      <c r="K82">
        <v>2.3139010433375722</v>
      </c>
      <c r="L82">
        <v>0</v>
      </c>
      <c r="M82">
        <v>0</v>
      </c>
      <c r="N82">
        <v>0</v>
      </c>
      <c r="O82">
        <v>0.39564105281891315</v>
      </c>
      <c r="P82">
        <v>0</v>
      </c>
      <c r="Q82">
        <v>0.25</v>
      </c>
      <c r="R82">
        <v>0</v>
      </c>
      <c r="S82">
        <v>0</v>
      </c>
      <c r="T82">
        <v>0</v>
      </c>
      <c r="U82">
        <v>0</v>
      </c>
      <c r="V82">
        <v>0</v>
      </c>
      <c r="W82">
        <v>0</v>
      </c>
      <c r="X82">
        <v>0</v>
      </c>
      <c r="Y82">
        <v>1</v>
      </c>
      <c r="Z82">
        <v>0</v>
      </c>
      <c r="AA82">
        <v>0</v>
      </c>
      <c r="AB82">
        <v>0</v>
      </c>
      <c r="AC82">
        <v>0</v>
      </c>
      <c r="AD82">
        <v>0</v>
      </c>
      <c r="AE82" t="s">
        <v>246</v>
      </c>
      <c r="AF82">
        <v>20</v>
      </c>
      <c r="AG82" t="s">
        <v>169</v>
      </c>
      <c r="AH82">
        <v>46225</v>
      </c>
      <c r="AI82" t="s">
        <v>149</v>
      </c>
    </row>
    <row r="83" spans="1:35" x14ac:dyDescent="0.25">
      <c r="A83" s="1">
        <v>46225</v>
      </c>
      <c r="B83" t="s">
        <v>148</v>
      </c>
      <c r="C83" t="s">
        <v>12</v>
      </c>
      <c r="D83">
        <v>8.5652758248615619</v>
      </c>
      <c r="E83">
        <v>7.6</v>
      </c>
      <c r="F83">
        <v>7.6</v>
      </c>
      <c r="G83">
        <v>12.910862085218705</v>
      </c>
      <c r="H83">
        <v>0.88730359131462488</v>
      </c>
      <c r="I83">
        <v>0.88730359131462488</v>
      </c>
      <c r="J83">
        <v>1.5073492493661031</v>
      </c>
      <c r="K83">
        <v>0.50734924936610315</v>
      </c>
      <c r="L83">
        <v>0</v>
      </c>
      <c r="M83">
        <v>0</v>
      </c>
      <c r="N83">
        <v>0</v>
      </c>
      <c r="O83">
        <v>0</v>
      </c>
      <c r="P83">
        <v>0</v>
      </c>
      <c r="Q83">
        <v>0</v>
      </c>
      <c r="R83">
        <v>0</v>
      </c>
      <c r="S83">
        <v>0</v>
      </c>
      <c r="T83">
        <v>0.11269640868537512</v>
      </c>
      <c r="U83">
        <v>0</v>
      </c>
      <c r="V83">
        <v>0</v>
      </c>
      <c r="W83">
        <v>0</v>
      </c>
      <c r="X83">
        <v>0</v>
      </c>
      <c r="Y83">
        <v>0.88730359131462488</v>
      </c>
      <c r="Z83">
        <v>0</v>
      </c>
      <c r="AA83">
        <v>0</v>
      </c>
      <c r="AB83">
        <v>0</v>
      </c>
      <c r="AC83">
        <v>0</v>
      </c>
      <c r="AD83">
        <v>0</v>
      </c>
      <c r="AE83" t="s">
        <v>246</v>
      </c>
      <c r="AF83">
        <v>20</v>
      </c>
      <c r="AG83" t="s">
        <v>168</v>
      </c>
      <c r="AH83">
        <v>46225</v>
      </c>
      <c r="AI83" t="s">
        <v>149</v>
      </c>
    </row>
    <row r="84" spans="1:35" x14ac:dyDescent="0.25">
      <c r="A84" s="1">
        <v>46226</v>
      </c>
      <c r="B84" t="s">
        <v>148</v>
      </c>
      <c r="C84" t="s">
        <v>12</v>
      </c>
      <c r="D84">
        <v>4.616276517404482</v>
      </c>
      <c r="E84">
        <v>6.6499999999999995</v>
      </c>
      <c r="F84">
        <v>6.6499999999999995</v>
      </c>
      <c r="G84">
        <v>12.06515172939806</v>
      </c>
      <c r="H84">
        <v>1.440554952661065</v>
      </c>
      <c r="I84">
        <v>1.440554952661065</v>
      </c>
      <c r="J84">
        <v>2.6136111396077579</v>
      </c>
      <c r="K84">
        <v>1.1730561869466929</v>
      </c>
      <c r="L84">
        <v>0</v>
      </c>
      <c r="M84">
        <v>0</v>
      </c>
      <c r="N84">
        <v>0</v>
      </c>
      <c r="O84">
        <v>0.19055495266106504</v>
      </c>
      <c r="P84">
        <v>0</v>
      </c>
      <c r="Q84">
        <v>0.25</v>
      </c>
      <c r="R84">
        <v>0</v>
      </c>
      <c r="S84">
        <v>0</v>
      </c>
      <c r="T84">
        <v>0</v>
      </c>
      <c r="U84">
        <v>0</v>
      </c>
      <c r="V84">
        <v>0</v>
      </c>
      <c r="W84">
        <v>0</v>
      </c>
      <c r="X84">
        <v>0</v>
      </c>
      <c r="Y84">
        <v>1</v>
      </c>
      <c r="Z84">
        <v>0</v>
      </c>
      <c r="AA84">
        <v>0</v>
      </c>
      <c r="AB84">
        <v>0</v>
      </c>
      <c r="AC84">
        <v>0</v>
      </c>
      <c r="AD84">
        <v>0</v>
      </c>
      <c r="AE84" t="s">
        <v>246</v>
      </c>
      <c r="AF84">
        <v>20</v>
      </c>
      <c r="AG84" t="s">
        <v>170</v>
      </c>
      <c r="AH84">
        <v>46226</v>
      </c>
      <c r="AI84" t="s">
        <v>149</v>
      </c>
    </row>
    <row r="85" spans="1:35" x14ac:dyDescent="0.25">
      <c r="A85" s="1">
        <v>46226</v>
      </c>
      <c r="B85" t="s">
        <v>148</v>
      </c>
      <c r="C85" t="s">
        <v>10</v>
      </c>
      <c r="D85">
        <v>15.827233773958223</v>
      </c>
      <c r="E85">
        <v>23.75</v>
      </c>
      <c r="F85">
        <v>23.75</v>
      </c>
      <c r="G85">
        <v>11.15179110105581</v>
      </c>
      <c r="H85">
        <v>1.5005780756886096</v>
      </c>
      <c r="I85">
        <v>1.5005780756886096</v>
      </c>
      <c r="J85">
        <v>0.70459508340647103</v>
      </c>
      <c r="K85">
        <v>0</v>
      </c>
      <c r="L85">
        <v>0</v>
      </c>
      <c r="M85">
        <v>0.25057807568860957</v>
      </c>
      <c r="N85">
        <v>0</v>
      </c>
      <c r="O85">
        <v>0</v>
      </c>
      <c r="P85">
        <v>0</v>
      </c>
      <c r="Q85">
        <v>0</v>
      </c>
      <c r="R85">
        <v>0</v>
      </c>
      <c r="S85">
        <v>0.25</v>
      </c>
      <c r="T85">
        <v>0</v>
      </c>
      <c r="U85">
        <v>0</v>
      </c>
      <c r="V85">
        <v>0</v>
      </c>
      <c r="W85">
        <v>0.29540491659352897</v>
      </c>
      <c r="X85">
        <v>0</v>
      </c>
      <c r="Y85">
        <v>0.70459508340647103</v>
      </c>
      <c r="Z85">
        <v>0</v>
      </c>
      <c r="AA85">
        <v>0</v>
      </c>
      <c r="AB85">
        <v>0</v>
      </c>
      <c r="AC85">
        <v>0</v>
      </c>
      <c r="AD85">
        <v>0</v>
      </c>
      <c r="AE85" t="s">
        <v>246</v>
      </c>
      <c r="AF85">
        <v>20</v>
      </c>
      <c r="AG85" t="s">
        <v>171</v>
      </c>
      <c r="AH85">
        <v>46226</v>
      </c>
      <c r="AI85" t="s">
        <v>149</v>
      </c>
    </row>
    <row r="86" spans="1:35" x14ac:dyDescent="0.25">
      <c r="A86" s="1">
        <v>46226</v>
      </c>
      <c r="B86" t="s">
        <v>148</v>
      </c>
      <c r="C86" t="s">
        <v>11</v>
      </c>
      <c r="D86">
        <v>8.0054415554989138</v>
      </c>
      <c r="E86">
        <v>2.8499999999999996</v>
      </c>
      <c r="F86">
        <v>2.8499999999999996</v>
      </c>
      <c r="G86">
        <v>12.054594302756067</v>
      </c>
      <c r="H86">
        <v>0.35600784544387098</v>
      </c>
      <c r="I86">
        <v>0.35600784544387098</v>
      </c>
      <c r="J86">
        <v>1.5058000510260177</v>
      </c>
      <c r="K86">
        <v>0.50580005102601766</v>
      </c>
      <c r="L86">
        <v>0</v>
      </c>
      <c r="M86">
        <v>0</v>
      </c>
      <c r="N86">
        <v>0</v>
      </c>
      <c r="O86">
        <v>0</v>
      </c>
      <c r="P86">
        <v>0</v>
      </c>
      <c r="Q86">
        <v>0</v>
      </c>
      <c r="R86">
        <v>0</v>
      </c>
      <c r="S86">
        <v>0</v>
      </c>
      <c r="T86">
        <v>0.64399215455612902</v>
      </c>
      <c r="U86">
        <v>0</v>
      </c>
      <c r="V86">
        <v>0</v>
      </c>
      <c r="W86">
        <v>0</v>
      </c>
      <c r="X86">
        <v>0</v>
      </c>
      <c r="Y86">
        <v>0.35600784544387098</v>
      </c>
      <c r="Z86">
        <v>0</v>
      </c>
      <c r="AA86">
        <v>0</v>
      </c>
      <c r="AB86">
        <v>0</v>
      </c>
      <c r="AC86">
        <v>0</v>
      </c>
      <c r="AD86">
        <v>0</v>
      </c>
      <c r="AE86" t="s">
        <v>246</v>
      </c>
      <c r="AF86">
        <v>20</v>
      </c>
      <c r="AG86" t="s">
        <v>172</v>
      </c>
      <c r="AH86">
        <v>46226</v>
      </c>
      <c r="AI86" t="s">
        <v>149</v>
      </c>
    </row>
    <row r="87" spans="1:35" x14ac:dyDescent="0.25">
      <c r="A87" s="1">
        <v>46227</v>
      </c>
      <c r="B87" t="s">
        <v>148</v>
      </c>
      <c r="C87" t="s">
        <v>12</v>
      </c>
      <c r="D87">
        <v>9.7501102573751055</v>
      </c>
      <c r="E87">
        <v>6.6499999999999995</v>
      </c>
      <c r="F87">
        <v>6.6499999999999995</v>
      </c>
      <c r="G87">
        <v>16.244212339103296</v>
      </c>
      <c r="H87">
        <v>0.68204356919654896</v>
      </c>
      <c r="I87">
        <v>0.68204356919654896</v>
      </c>
      <c r="J87">
        <v>1.6660542199321253</v>
      </c>
      <c r="K87">
        <v>0.66605421993212532</v>
      </c>
      <c r="L87">
        <v>0</v>
      </c>
      <c r="M87">
        <v>0</v>
      </c>
      <c r="N87">
        <v>0</v>
      </c>
      <c r="O87">
        <v>0</v>
      </c>
      <c r="P87">
        <v>0</v>
      </c>
      <c r="Q87">
        <v>0</v>
      </c>
      <c r="R87">
        <v>0</v>
      </c>
      <c r="S87">
        <v>0</v>
      </c>
      <c r="T87">
        <v>0.31795643080345104</v>
      </c>
      <c r="U87">
        <v>0</v>
      </c>
      <c r="V87">
        <v>0</v>
      </c>
      <c r="W87">
        <v>0</v>
      </c>
      <c r="X87">
        <v>0</v>
      </c>
      <c r="Y87">
        <v>0.68204356919654896</v>
      </c>
      <c r="Z87">
        <v>0</v>
      </c>
      <c r="AA87">
        <v>0</v>
      </c>
      <c r="AB87">
        <v>0</v>
      </c>
      <c r="AC87">
        <v>0</v>
      </c>
      <c r="AD87">
        <v>0</v>
      </c>
      <c r="AE87" t="s">
        <v>246</v>
      </c>
      <c r="AF87">
        <v>20</v>
      </c>
      <c r="AG87" t="s">
        <v>175</v>
      </c>
      <c r="AH87">
        <v>46227</v>
      </c>
      <c r="AI87" t="s">
        <v>149</v>
      </c>
    </row>
    <row r="88" spans="1:35" x14ac:dyDescent="0.25">
      <c r="A88" s="1">
        <v>46227</v>
      </c>
      <c r="B88" t="s">
        <v>148</v>
      </c>
      <c r="C88" t="s">
        <v>11</v>
      </c>
      <c r="D88">
        <v>2.70004824675775</v>
      </c>
      <c r="E88">
        <v>3.8</v>
      </c>
      <c r="F88">
        <v>3.8</v>
      </c>
      <c r="G88">
        <v>14.947830768580642</v>
      </c>
      <c r="H88">
        <v>1.407382258655224</v>
      </c>
      <c r="I88">
        <v>1.407382258655224</v>
      </c>
      <c r="J88">
        <v>5.5361346918634418</v>
      </c>
      <c r="K88">
        <v>4.1287524332082182</v>
      </c>
      <c r="L88">
        <v>0</v>
      </c>
      <c r="M88">
        <v>0</v>
      </c>
      <c r="N88">
        <v>0</v>
      </c>
      <c r="O88">
        <v>0.15738225865522404</v>
      </c>
      <c r="P88">
        <v>0</v>
      </c>
      <c r="Q88">
        <v>0.25</v>
      </c>
      <c r="R88">
        <v>0</v>
      </c>
      <c r="S88">
        <v>0</v>
      </c>
      <c r="T88">
        <v>0</v>
      </c>
      <c r="U88">
        <v>0</v>
      </c>
      <c r="V88">
        <v>0</v>
      </c>
      <c r="W88">
        <v>0</v>
      </c>
      <c r="X88">
        <v>0</v>
      </c>
      <c r="Y88">
        <v>1</v>
      </c>
      <c r="Z88">
        <v>0</v>
      </c>
      <c r="AA88">
        <v>0</v>
      </c>
      <c r="AB88">
        <v>0</v>
      </c>
      <c r="AC88">
        <v>0</v>
      </c>
      <c r="AD88">
        <v>0</v>
      </c>
      <c r="AE88" t="s">
        <v>246</v>
      </c>
      <c r="AF88">
        <v>20</v>
      </c>
      <c r="AG88" t="s">
        <v>174</v>
      </c>
      <c r="AH88">
        <v>46227</v>
      </c>
      <c r="AI88" t="s">
        <v>149</v>
      </c>
    </row>
    <row r="89" spans="1:35" x14ac:dyDescent="0.25">
      <c r="A89" s="1">
        <v>46227</v>
      </c>
      <c r="B89" t="s">
        <v>148</v>
      </c>
      <c r="C89" t="s">
        <v>10</v>
      </c>
      <c r="D89">
        <v>16.653655790636421</v>
      </c>
      <c r="E89">
        <v>8.5499999999999989</v>
      </c>
      <c r="F89">
        <v>8.5499999999999989</v>
      </c>
      <c r="G89">
        <v>12.144228698180909</v>
      </c>
      <c r="H89">
        <v>0.51340078764010888</v>
      </c>
      <c r="I89">
        <v>0.51340078764010888</v>
      </c>
      <c r="J89">
        <v>0.72922299168744953</v>
      </c>
      <c r="K89">
        <v>0</v>
      </c>
      <c r="L89">
        <v>0</v>
      </c>
      <c r="M89">
        <v>0</v>
      </c>
      <c r="N89">
        <v>0</v>
      </c>
      <c r="O89">
        <v>0</v>
      </c>
      <c r="P89">
        <v>0</v>
      </c>
      <c r="Q89">
        <v>0</v>
      </c>
      <c r="R89">
        <v>0</v>
      </c>
      <c r="S89">
        <v>0</v>
      </c>
      <c r="T89">
        <v>0.21582220404734065</v>
      </c>
      <c r="U89">
        <v>0.27077700831255047</v>
      </c>
      <c r="V89">
        <v>0</v>
      </c>
      <c r="W89">
        <v>0</v>
      </c>
      <c r="X89">
        <v>0</v>
      </c>
      <c r="Y89">
        <v>0.51340078764010888</v>
      </c>
      <c r="Z89">
        <v>0</v>
      </c>
      <c r="AA89">
        <v>0</v>
      </c>
      <c r="AB89">
        <v>0</v>
      </c>
      <c r="AC89">
        <v>0</v>
      </c>
      <c r="AD89">
        <v>0</v>
      </c>
      <c r="AE89" t="s">
        <v>246</v>
      </c>
      <c r="AF89">
        <v>20</v>
      </c>
      <c r="AG89" t="s">
        <v>173</v>
      </c>
      <c r="AH89">
        <v>46227</v>
      </c>
      <c r="AI89" t="s">
        <v>149</v>
      </c>
    </row>
    <row r="90" spans="1:35" x14ac:dyDescent="0.25">
      <c r="A90" s="1">
        <v>46228</v>
      </c>
      <c r="B90" t="s">
        <v>148</v>
      </c>
      <c r="C90" t="s">
        <v>12</v>
      </c>
      <c r="D90">
        <v>10.414715375682748</v>
      </c>
      <c r="E90">
        <v>6.6499999999999995</v>
      </c>
      <c r="F90">
        <v>6.6499999999999995</v>
      </c>
      <c r="G90">
        <v>14.246687641402699</v>
      </c>
      <c r="H90">
        <v>0.63851961000557367</v>
      </c>
      <c r="I90">
        <v>0.63851961000557367</v>
      </c>
      <c r="J90">
        <v>1.3679382611518311</v>
      </c>
      <c r="K90">
        <v>0.36793826115183115</v>
      </c>
      <c r="L90">
        <v>0</v>
      </c>
      <c r="M90">
        <v>0</v>
      </c>
      <c r="N90">
        <v>0</v>
      </c>
      <c r="O90">
        <v>0</v>
      </c>
      <c r="P90">
        <v>0</v>
      </c>
      <c r="Q90">
        <v>0</v>
      </c>
      <c r="R90">
        <v>0</v>
      </c>
      <c r="S90">
        <v>0</v>
      </c>
      <c r="T90">
        <v>0.36148038999442633</v>
      </c>
      <c r="U90">
        <v>0</v>
      </c>
      <c r="V90">
        <v>0</v>
      </c>
      <c r="W90">
        <v>0</v>
      </c>
      <c r="X90">
        <v>0</v>
      </c>
      <c r="Y90">
        <v>0.63851961000557367</v>
      </c>
      <c r="Z90">
        <v>0</v>
      </c>
      <c r="AA90">
        <v>0</v>
      </c>
      <c r="AB90">
        <v>0</v>
      </c>
      <c r="AC90">
        <v>0</v>
      </c>
      <c r="AD90">
        <v>0</v>
      </c>
      <c r="AE90" t="s">
        <v>246</v>
      </c>
      <c r="AF90">
        <v>20</v>
      </c>
      <c r="AG90" t="s">
        <v>178</v>
      </c>
      <c r="AH90">
        <v>46228</v>
      </c>
      <c r="AI90" t="s">
        <v>149</v>
      </c>
    </row>
    <row r="91" spans="1:35" x14ac:dyDescent="0.25">
      <c r="A91" s="1">
        <v>46228</v>
      </c>
      <c r="B91" t="s">
        <v>148</v>
      </c>
      <c r="C91" t="s">
        <v>10</v>
      </c>
      <c r="D91">
        <v>4.7039273373552</v>
      </c>
      <c r="E91">
        <v>8.5499999999999989</v>
      </c>
      <c r="F91">
        <v>8.5499999999999989</v>
      </c>
      <c r="G91">
        <v>14.025719386312222</v>
      </c>
      <c r="H91">
        <v>1.8176301177320624</v>
      </c>
      <c r="I91">
        <v>1.8176301177320624</v>
      </c>
      <c r="J91">
        <v>2.9817040911601822</v>
      </c>
      <c r="K91">
        <v>1.1640739734281198</v>
      </c>
      <c r="L91">
        <v>0</v>
      </c>
      <c r="M91">
        <v>0</v>
      </c>
      <c r="N91">
        <v>0</v>
      </c>
      <c r="O91">
        <v>0.5676301177320624</v>
      </c>
      <c r="P91">
        <v>0</v>
      </c>
      <c r="Q91">
        <v>0.25</v>
      </c>
      <c r="R91">
        <v>0</v>
      </c>
      <c r="S91">
        <v>0</v>
      </c>
      <c r="T91">
        <v>0</v>
      </c>
      <c r="U91">
        <v>0</v>
      </c>
      <c r="V91">
        <v>0</v>
      </c>
      <c r="W91">
        <v>0</v>
      </c>
      <c r="X91">
        <v>0</v>
      </c>
      <c r="Y91">
        <v>1</v>
      </c>
      <c r="Z91">
        <v>0</v>
      </c>
      <c r="AA91">
        <v>0</v>
      </c>
      <c r="AB91">
        <v>0</v>
      </c>
      <c r="AC91">
        <v>0</v>
      </c>
      <c r="AD91">
        <v>0</v>
      </c>
      <c r="AE91" t="s">
        <v>246</v>
      </c>
      <c r="AF91">
        <v>20</v>
      </c>
      <c r="AG91" t="s">
        <v>176</v>
      </c>
      <c r="AH91">
        <v>46228</v>
      </c>
      <c r="AI91" t="s">
        <v>149</v>
      </c>
    </row>
    <row r="92" spans="1:35" x14ac:dyDescent="0.25">
      <c r="A92" s="1">
        <v>46228</v>
      </c>
      <c r="B92" t="s">
        <v>148</v>
      </c>
      <c r="C92" t="s">
        <v>11</v>
      </c>
      <c r="D92">
        <v>3.947533224447151</v>
      </c>
      <c r="E92">
        <v>1.9</v>
      </c>
      <c r="F92">
        <v>1.9</v>
      </c>
      <c r="G92">
        <v>13.178414875565611</v>
      </c>
      <c r="H92">
        <v>0.48131323841260221</v>
      </c>
      <c r="I92">
        <v>0.48131323841260221</v>
      </c>
      <c r="J92">
        <v>3.3383923899491026</v>
      </c>
      <c r="K92">
        <v>2.3383923899491026</v>
      </c>
      <c r="L92">
        <v>0</v>
      </c>
      <c r="M92">
        <v>0</v>
      </c>
      <c r="N92">
        <v>0</v>
      </c>
      <c r="O92">
        <v>0</v>
      </c>
      <c r="P92">
        <v>0</v>
      </c>
      <c r="Q92">
        <v>0</v>
      </c>
      <c r="R92">
        <v>0</v>
      </c>
      <c r="S92">
        <v>0</v>
      </c>
      <c r="T92">
        <v>0.51868676158739779</v>
      </c>
      <c r="U92">
        <v>0</v>
      </c>
      <c r="V92">
        <v>0</v>
      </c>
      <c r="W92">
        <v>0</v>
      </c>
      <c r="X92">
        <v>0</v>
      </c>
      <c r="Y92">
        <v>0.48131323841260221</v>
      </c>
      <c r="Z92">
        <v>0</v>
      </c>
      <c r="AA92">
        <v>0</v>
      </c>
      <c r="AB92">
        <v>0</v>
      </c>
      <c r="AC92">
        <v>0</v>
      </c>
      <c r="AD92">
        <v>0</v>
      </c>
      <c r="AE92" t="s">
        <v>246</v>
      </c>
      <c r="AF92">
        <v>20</v>
      </c>
      <c r="AG92" t="s">
        <v>177</v>
      </c>
      <c r="AH92">
        <v>46228</v>
      </c>
      <c r="AI92" t="s">
        <v>149</v>
      </c>
    </row>
    <row r="93" spans="1:35" x14ac:dyDescent="0.25">
      <c r="A93" s="1">
        <v>46229</v>
      </c>
      <c r="B93" t="s">
        <v>148</v>
      </c>
      <c r="C93" t="s">
        <v>10</v>
      </c>
      <c r="D93">
        <v>9.9337595944147097</v>
      </c>
      <c r="E93">
        <v>18.05</v>
      </c>
      <c r="F93">
        <v>18.05</v>
      </c>
      <c r="G93">
        <v>12.967936934389144</v>
      </c>
      <c r="H93">
        <v>1.8170361209615618</v>
      </c>
      <c r="I93">
        <v>1.8170361209615618</v>
      </c>
      <c r="J93">
        <v>1.3054409874867932</v>
      </c>
      <c r="K93">
        <v>0</v>
      </c>
      <c r="L93">
        <v>0</v>
      </c>
      <c r="M93">
        <v>0.51159513347476859</v>
      </c>
      <c r="N93">
        <v>0</v>
      </c>
      <c r="O93">
        <v>5.5440987486793158E-2</v>
      </c>
      <c r="P93">
        <v>0</v>
      </c>
      <c r="Q93">
        <v>0.25</v>
      </c>
      <c r="R93">
        <v>0</v>
      </c>
      <c r="S93">
        <v>0</v>
      </c>
      <c r="T93">
        <v>0</v>
      </c>
      <c r="U93">
        <v>0</v>
      </c>
      <c r="V93">
        <v>0</v>
      </c>
      <c r="W93">
        <v>0</v>
      </c>
      <c r="X93">
        <v>0</v>
      </c>
      <c r="Y93">
        <v>1</v>
      </c>
      <c r="Z93">
        <v>0</v>
      </c>
      <c r="AA93">
        <v>0</v>
      </c>
      <c r="AB93">
        <v>0</v>
      </c>
      <c r="AC93">
        <v>0</v>
      </c>
      <c r="AD93">
        <v>0</v>
      </c>
      <c r="AE93" t="s">
        <v>246</v>
      </c>
      <c r="AF93">
        <v>20</v>
      </c>
      <c r="AG93" t="s">
        <v>181</v>
      </c>
      <c r="AH93">
        <v>46229</v>
      </c>
      <c r="AI93" t="s">
        <v>149</v>
      </c>
    </row>
    <row r="94" spans="1:35" x14ac:dyDescent="0.25">
      <c r="A94" s="1">
        <v>46229</v>
      </c>
      <c r="B94" t="s">
        <v>148</v>
      </c>
      <c r="C94" t="s">
        <v>12</v>
      </c>
      <c r="D94">
        <v>9.6026342746008826</v>
      </c>
      <c r="E94">
        <v>7.6</v>
      </c>
      <c r="F94">
        <v>7.6</v>
      </c>
      <c r="G94">
        <v>14.013925810708892</v>
      </c>
      <c r="H94">
        <v>0.79144949007400167</v>
      </c>
      <c r="I94">
        <v>0.79144949007400167</v>
      </c>
      <c r="J94">
        <v>1.4593834785290059</v>
      </c>
      <c r="K94">
        <v>0.45938347852900585</v>
      </c>
      <c r="L94">
        <v>0</v>
      </c>
      <c r="M94">
        <v>0</v>
      </c>
      <c r="N94">
        <v>0</v>
      </c>
      <c r="O94">
        <v>0</v>
      </c>
      <c r="P94">
        <v>0</v>
      </c>
      <c r="Q94">
        <v>0</v>
      </c>
      <c r="R94">
        <v>0</v>
      </c>
      <c r="S94">
        <v>0</v>
      </c>
      <c r="T94">
        <v>0.20855050992599833</v>
      </c>
      <c r="U94">
        <v>0</v>
      </c>
      <c r="V94">
        <v>0</v>
      </c>
      <c r="W94">
        <v>0</v>
      </c>
      <c r="X94">
        <v>0</v>
      </c>
      <c r="Y94">
        <v>0.79144949007400167</v>
      </c>
      <c r="Z94">
        <v>0</v>
      </c>
      <c r="AA94">
        <v>0</v>
      </c>
      <c r="AB94">
        <v>0</v>
      </c>
      <c r="AC94">
        <v>0</v>
      </c>
      <c r="AD94">
        <v>0</v>
      </c>
      <c r="AE94" t="s">
        <v>246</v>
      </c>
      <c r="AF94">
        <v>20</v>
      </c>
      <c r="AG94" t="s">
        <v>180</v>
      </c>
      <c r="AH94">
        <v>46229</v>
      </c>
      <c r="AI94" t="s">
        <v>149</v>
      </c>
    </row>
    <row r="95" spans="1:35" x14ac:dyDescent="0.25">
      <c r="A95" s="1">
        <v>46229</v>
      </c>
      <c r="B95" t="s">
        <v>148</v>
      </c>
      <c r="C95" t="s">
        <v>11</v>
      </c>
      <c r="D95">
        <v>1.4803249591676819</v>
      </c>
      <c r="E95">
        <v>3.8</v>
      </c>
      <c r="F95">
        <v>3.8</v>
      </c>
      <c r="G95">
        <v>14.023727375565608</v>
      </c>
      <c r="H95">
        <v>2.5670039382005445</v>
      </c>
      <c r="I95">
        <v>2.5670039382005445</v>
      </c>
      <c r="J95">
        <v>9.4734114214020284</v>
      </c>
      <c r="K95">
        <v>6.9064074832014839</v>
      </c>
      <c r="L95">
        <v>0</v>
      </c>
      <c r="M95">
        <v>0</v>
      </c>
      <c r="N95">
        <v>0</v>
      </c>
      <c r="O95">
        <v>1.3170039382005445</v>
      </c>
      <c r="P95">
        <v>0</v>
      </c>
      <c r="Q95">
        <v>0.25</v>
      </c>
      <c r="R95">
        <v>0</v>
      </c>
      <c r="S95">
        <v>0</v>
      </c>
      <c r="T95">
        <v>0</v>
      </c>
      <c r="U95">
        <v>0</v>
      </c>
      <c r="V95">
        <v>0</v>
      </c>
      <c r="W95">
        <v>0</v>
      </c>
      <c r="X95">
        <v>0</v>
      </c>
      <c r="Y95">
        <v>1</v>
      </c>
      <c r="Z95">
        <v>0</v>
      </c>
      <c r="AA95">
        <v>0</v>
      </c>
      <c r="AB95">
        <v>0</v>
      </c>
      <c r="AC95">
        <v>0</v>
      </c>
      <c r="AD95">
        <v>0</v>
      </c>
      <c r="AE95" t="s">
        <v>246</v>
      </c>
      <c r="AF95">
        <v>20</v>
      </c>
      <c r="AG95" t="s">
        <v>179</v>
      </c>
      <c r="AH95">
        <v>46229</v>
      </c>
      <c r="AI95" t="s">
        <v>149</v>
      </c>
    </row>
    <row r="96" spans="1:35" x14ac:dyDescent="0.25">
      <c r="A96" s="1">
        <v>46230</v>
      </c>
      <c r="B96" t="s">
        <v>148</v>
      </c>
      <c r="C96" t="s">
        <v>10</v>
      </c>
      <c r="D96">
        <v>5.5512185968788081</v>
      </c>
      <c r="E96">
        <v>43.7</v>
      </c>
      <c r="F96">
        <v>43.7</v>
      </c>
      <c r="G96">
        <v>13.149317142722481</v>
      </c>
      <c r="H96">
        <v>7.8721454104816679</v>
      </c>
      <c r="I96">
        <v>7.8721454104816679</v>
      </c>
      <c r="J96">
        <v>2.3687262378958973</v>
      </c>
      <c r="K96">
        <v>0</v>
      </c>
      <c r="L96">
        <v>0</v>
      </c>
      <c r="M96">
        <v>5.5034191725857706</v>
      </c>
      <c r="N96">
        <v>0</v>
      </c>
      <c r="O96">
        <v>1.1187262378958973</v>
      </c>
      <c r="P96">
        <v>0</v>
      </c>
      <c r="Q96">
        <v>0.25</v>
      </c>
      <c r="R96">
        <v>0</v>
      </c>
      <c r="S96">
        <v>0</v>
      </c>
      <c r="T96">
        <v>0</v>
      </c>
      <c r="U96">
        <v>0</v>
      </c>
      <c r="V96">
        <v>0</v>
      </c>
      <c r="W96">
        <v>0</v>
      </c>
      <c r="X96">
        <v>0</v>
      </c>
      <c r="Y96">
        <v>1</v>
      </c>
      <c r="Z96">
        <v>0</v>
      </c>
      <c r="AA96">
        <v>0</v>
      </c>
      <c r="AB96">
        <v>0</v>
      </c>
      <c r="AC96">
        <v>0</v>
      </c>
      <c r="AD96">
        <v>0</v>
      </c>
      <c r="AE96" t="s">
        <v>246</v>
      </c>
      <c r="AF96">
        <v>20</v>
      </c>
      <c r="AG96" t="s">
        <v>183</v>
      </c>
      <c r="AH96">
        <v>46230</v>
      </c>
      <c r="AI96" t="s">
        <v>149</v>
      </c>
    </row>
    <row r="97" spans="1:35" x14ac:dyDescent="0.25">
      <c r="A97" s="1">
        <v>46230</v>
      </c>
      <c r="B97" t="s">
        <v>148</v>
      </c>
      <c r="C97" t="s">
        <v>11</v>
      </c>
      <c r="D97">
        <v>12.360484256579683</v>
      </c>
      <c r="E97">
        <v>4.75</v>
      </c>
      <c r="F97">
        <v>4.75</v>
      </c>
      <c r="G97">
        <v>12.987129996229257</v>
      </c>
      <c r="H97">
        <v>0.3842891509263886</v>
      </c>
      <c r="I97">
        <v>0.3842891509263886</v>
      </c>
      <c r="J97">
        <v>1.0506975072045417</v>
      </c>
      <c r="K97">
        <v>5.0697507204541692E-2</v>
      </c>
      <c r="L97">
        <v>0</v>
      </c>
      <c r="M97">
        <v>0</v>
      </c>
      <c r="N97">
        <v>0</v>
      </c>
      <c r="O97">
        <v>0</v>
      </c>
      <c r="P97">
        <v>0</v>
      </c>
      <c r="Q97">
        <v>0</v>
      </c>
      <c r="R97">
        <v>0</v>
      </c>
      <c r="S97">
        <v>0</v>
      </c>
      <c r="T97">
        <v>0.6157108490736114</v>
      </c>
      <c r="U97">
        <v>0</v>
      </c>
      <c r="V97">
        <v>0</v>
      </c>
      <c r="W97">
        <v>0</v>
      </c>
      <c r="X97">
        <v>0</v>
      </c>
      <c r="Y97">
        <v>0.3842891509263886</v>
      </c>
      <c r="Z97">
        <v>0</v>
      </c>
      <c r="AA97">
        <v>0</v>
      </c>
      <c r="AB97">
        <v>0</v>
      </c>
      <c r="AC97">
        <v>0</v>
      </c>
      <c r="AD97">
        <v>0</v>
      </c>
      <c r="AE97" t="s">
        <v>246</v>
      </c>
      <c r="AF97">
        <v>20</v>
      </c>
      <c r="AG97" t="s">
        <v>184</v>
      </c>
      <c r="AH97">
        <v>46230</v>
      </c>
      <c r="AI97" t="s">
        <v>149</v>
      </c>
    </row>
    <row r="98" spans="1:35" x14ac:dyDescent="0.25">
      <c r="A98" s="1">
        <v>46230</v>
      </c>
      <c r="B98" t="s">
        <v>148</v>
      </c>
      <c r="C98" t="s">
        <v>12</v>
      </c>
      <c r="D98">
        <v>7.4795366357946031</v>
      </c>
      <c r="E98">
        <v>6.6499999999999995</v>
      </c>
      <c r="F98">
        <v>6.6499999999999995</v>
      </c>
      <c r="G98">
        <v>12.399842100301662</v>
      </c>
      <c r="H98">
        <v>0.88909250984550114</v>
      </c>
      <c r="I98">
        <v>0.88909250984550114</v>
      </c>
      <c r="J98">
        <v>1.6578355991947542</v>
      </c>
      <c r="K98">
        <v>0.65783559919475421</v>
      </c>
      <c r="L98">
        <v>0</v>
      </c>
      <c r="M98">
        <v>0</v>
      </c>
      <c r="N98">
        <v>0</v>
      </c>
      <c r="O98">
        <v>0</v>
      </c>
      <c r="P98">
        <v>0</v>
      </c>
      <c r="Q98">
        <v>0</v>
      </c>
      <c r="R98">
        <v>0</v>
      </c>
      <c r="S98">
        <v>0</v>
      </c>
      <c r="T98">
        <v>0.11090749015449886</v>
      </c>
      <c r="U98">
        <v>0</v>
      </c>
      <c r="V98">
        <v>0</v>
      </c>
      <c r="W98">
        <v>0</v>
      </c>
      <c r="X98">
        <v>0</v>
      </c>
      <c r="Y98">
        <v>0.88909250984550114</v>
      </c>
      <c r="Z98">
        <v>0</v>
      </c>
      <c r="AA98">
        <v>0</v>
      </c>
      <c r="AB98">
        <v>0</v>
      </c>
      <c r="AC98">
        <v>0</v>
      </c>
      <c r="AD98">
        <v>0</v>
      </c>
      <c r="AE98" t="s">
        <v>246</v>
      </c>
      <c r="AF98">
        <v>20</v>
      </c>
      <c r="AG98" t="s">
        <v>182</v>
      </c>
      <c r="AH98">
        <v>46230</v>
      </c>
      <c r="AI98" t="s">
        <v>149</v>
      </c>
    </row>
    <row r="99" spans="1:35" x14ac:dyDescent="0.25">
      <c r="A99" s="1">
        <v>46231</v>
      </c>
      <c r="B99" t="s">
        <v>148</v>
      </c>
      <c r="C99" t="s">
        <v>12</v>
      </c>
      <c r="D99">
        <v>16.454980598748126</v>
      </c>
      <c r="E99">
        <v>6.6499999999999995</v>
      </c>
      <c r="F99">
        <v>6.6499999999999995</v>
      </c>
      <c r="G99">
        <v>12.357263386123677</v>
      </c>
      <c r="H99">
        <v>0.40413295902068236</v>
      </c>
      <c r="I99">
        <v>0.40413295902068236</v>
      </c>
      <c r="J99">
        <v>0.75097404776422538</v>
      </c>
      <c r="K99">
        <v>0</v>
      </c>
      <c r="L99">
        <v>0</v>
      </c>
      <c r="M99">
        <v>0</v>
      </c>
      <c r="N99">
        <v>0</v>
      </c>
      <c r="O99">
        <v>0</v>
      </c>
      <c r="P99">
        <v>0</v>
      </c>
      <c r="Q99">
        <v>0</v>
      </c>
      <c r="R99">
        <v>0</v>
      </c>
      <c r="S99">
        <v>0</v>
      </c>
      <c r="T99">
        <v>0.34684108874354302</v>
      </c>
      <c r="U99">
        <v>0.24902595223577462</v>
      </c>
      <c r="V99">
        <v>0</v>
      </c>
      <c r="W99">
        <v>0</v>
      </c>
      <c r="X99">
        <v>0</v>
      </c>
      <c r="Y99">
        <v>0.40413295902068236</v>
      </c>
      <c r="Z99">
        <v>0</v>
      </c>
      <c r="AA99">
        <v>0</v>
      </c>
      <c r="AB99">
        <v>0</v>
      </c>
      <c r="AC99">
        <v>0</v>
      </c>
      <c r="AD99">
        <v>0</v>
      </c>
      <c r="AE99" t="s">
        <v>246</v>
      </c>
      <c r="AF99">
        <v>20</v>
      </c>
      <c r="AG99" t="s">
        <v>185</v>
      </c>
      <c r="AH99">
        <v>46231</v>
      </c>
      <c r="AI99" t="s">
        <v>149</v>
      </c>
    </row>
    <row r="100" spans="1:35" x14ac:dyDescent="0.25">
      <c r="A100" s="1">
        <v>46231</v>
      </c>
      <c r="B100" t="s">
        <v>148</v>
      </c>
      <c r="C100" t="s">
        <v>11</v>
      </c>
      <c r="D100">
        <v>0.31721249125021761</v>
      </c>
      <c r="E100">
        <v>4.75</v>
      </c>
      <c r="F100">
        <v>4.75</v>
      </c>
      <c r="G100">
        <v>11.283208427601808</v>
      </c>
      <c r="H100">
        <v>14.974189639503175</v>
      </c>
      <c r="I100">
        <v>14.974189639503175</v>
      </c>
      <c r="J100">
        <v>35.569874260410508</v>
      </c>
      <c r="K100">
        <v>20.595684620907335</v>
      </c>
      <c r="L100">
        <v>0</v>
      </c>
      <c r="M100">
        <v>0</v>
      </c>
      <c r="N100">
        <v>0</v>
      </c>
      <c r="O100">
        <v>13.724189639503175</v>
      </c>
      <c r="P100">
        <v>0</v>
      </c>
      <c r="Q100">
        <v>0.25</v>
      </c>
      <c r="R100">
        <v>0</v>
      </c>
      <c r="S100">
        <v>0</v>
      </c>
      <c r="T100">
        <v>0</v>
      </c>
      <c r="U100">
        <v>0</v>
      </c>
      <c r="V100">
        <v>0</v>
      </c>
      <c r="W100">
        <v>0</v>
      </c>
      <c r="X100">
        <v>0</v>
      </c>
      <c r="Y100">
        <v>1</v>
      </c>
      <c r="Z100">
        <v>0</v>
      </c>
      <c r="AA100">
        <v>0</v>
      </c>
      <c r="AB100">
        <v>0</v>
      </c>
      <c r="AC100">
        <v>0</v>
      </c>
      <c r="AD100">
        <v>0</v>
      </c>
      <c r="AE100" t="s">
        <v>246</v>
      </c>
      <c r="AF100">
        <v>20</v>
      </c>
      <c r="AG100" t="s">
        <v>186</v>
      </c>
      <c r="AH100">
        <v>46231</v>
      </c>
      <c r="AI100" t="s">
        <v>149</v>
      </c>
    </row>
    <row r="101" spans="1:35" x14ac:dyDescent="0.25">
      <c r="A101" s="1">
        <v>46231</v>
      </c>
      <c r="B101" t="s">
        <v>148</v>
      </c>
      <c r="C101" t="s">
        <v>10</v>
      </c>
      <c r="D101">
        <v>11.102437193757616</v>
      </c>
      <c r="E101">
        <v>28.5</v>
      </c>
      <c r="F101">
        <v>28.5</v>
      </c>
      <c r="G101">
        <v>13.914090780542988</v>
      </c>
      <c r="H101">
        <v>2.5670039382005441</v>
      </c>
      <c r="I101">
        <v>2.5670039382005441</v>
      </c>
      <c r="J101">
        <v>1.2532465203555696</v>
      </c>
      <c r="K101">
        <v>0</v>
      </c>
      <c r="L101">
        <v>0</v>
      </c>
      <c r="M101">
        <v>1.3137574178449745</v>
      </c>
      <c r="N101">
        <v>0</v>
      </c>
      <c r="O101">
        <v>3.2465203555696043E-3</v>
      </c>
      <c r="P101">
        <v>0</v>
      </c>
      <c r="Q101">
        <v>0.25</v>
      </c>
      <c r="R101">
        <v>0</v>
      </c>
      <c r="S101">
        <v>0</v>
      </c>
      <c r="T101">
        <v>0</v>
      </c>
      <c r="U101">
        <v>0</v>
      </c>
      <c r="V101">
        <v>0</v>
      </c>
      <c r="W101">
        <v>0</v>
      </c>
      <c r="X101">
        <v>0</v>
      </c>
      <c r="Y101">
        <v>1</v>
      </c>
      <c r="Z101">
        <v>0</v>
      </c>
      <c r="AA101">
        <v>0</v>
      </c>
      <c r="AB101">
        <v>0</v>
      </c>
      <c r="AC101">
        <v>0</v>
      </c>
      <c r="AD101">
        <v>0</v>
      </c>
      <c r="AE101" t="s">
        <v>246</v>
      </c>
      <c r="AF101">
        <v>20</v>
      </c>
      <c r="AG101" t="s">
        <v>187</v>
      </c>
      <c r="AH101">
        <v>46231</v>
      </c>
      <c r="AI101" t="s">
        <v>149</v>
      </c>
    </row>
    <row r="102" spans="1:35" x14ac:dyDescent="0.25">
      <c r="A102" s="1">
        <v>46232</v>
      </c>
      <c r="B102" t="s">
        <v>148</v>
      </c>
      <c r="C102" t="s">
        <v>12</v>
      </c>
      <c r="D102">
        <v>5.0667828823124736</v>
      </c>
      <c r="E102">
        <v>4.75</v>
      </c>
      <c r="F102">
        <v>4.75</v>
      </c>
      <c r="G102">
        <v>14.536392345399705</v>
      </c>
      <c r="H102">
        <v>0.93747849677586848</v>
      </c>
      <c r="I102">
        <v>0.93747849677586848</v>
      </c>
      <c r="J102">
        <v>2.8689589988441173</v>
      </c>
      <c r="K102">
        <v>1.8689589988441173</v>
      </c>
      <c r="L102">
        <v>0</v>
      </c>
      <c r="M102">
        <v>0</v>
      </c>
      <c r="N102">
        <v>0</v>
      </c>
      <c r="O102">
        <v>0</v>
      </c>
      <c r="P102">
        <v>0</v>
      </c>
      <c r="Q102">
        <v>0</v>
      </c>
      <c r="R102">
        <v>0</v>
      </c>
      <c r="S102">
        <v>0</v>
      </c>
      <c r="T102">
        <v>6.2521503224131525E-2</v>
      </c>
      <c r="U102">
        <v>0</v>
      </c>
      <c r="V102">
        <v>0</v>
      </c>
      <c r="W102">
        <v>0</v>
      </c>
      <c r="X102">
        <v>0</v>
      </c>
      <c r="Y102">
        <v>0.93747849677586848</v>
      </c>
      <c r="Z102">
        <v>0</v>
      </c>
      <c r="AA102">
        <v>0</v>
      </c>
      <c r="AB102">
        <v>0</v>
      </c>
      <c r="AC102">
        <v>0</v>
      </c>
      <c r="AD102">
        <v>0</v>
      </c>
      <c r="AE102" t="s">
        <v>246</v>
      </c>
      <c r="AF102">
        <v>20</v>
      </c>
      <c r="AG102" t="s">
        <v>189</v>
      </c>
      <c r="AH102">
        <v>46232</v>
      </c>
      <c r="AI102" t="s">
        <v>149</v>
      </c>
    </row>
    <row r="103" spans="1:35" x14ac:dyDescent="0.25">
      <c r="A103" s="1">
        <v>46232</v>
      </c>
      <c r="B103" t="s">
        <v>148</v>
      </c>
      <c r="C103" t="s">
        <v>11</v>
      </c>
      <c r="D103">
        <v>10.643313851158617</v>
      </c>
      <c r="E103">
        <v>2.8499999999999996</v>
      </c>
      <c r="F103">
        <v>2.8499999999999996</v>
      </c>
      <c r="G103">
        <v>13.21769419306184</v>
      </c>
      <c r="H103">
        <v>0.2677737441417038</v>
      </c>
      <c r="I103">
        <v>0.2677737441417038</v>
      </c>
      <c r="J103">
        <v>1.2418777063144653</v>
      </c>
      <c r="K103">
        <v>0.24187770631446526</v>
      </c>
      <c r="L103">
        <v>0</v>
      </c>
      <c r="M103">
        <v>0</v>
      </c>
      <c r="N103">
        <v>0</v>
      </c>
      <c r="O103">
        <v>0</v>
      </c>
      <c r="P103">
        <v>0</v>
      </c>
      <c r="Q103">
        <v>0</v>
      </c>
      <c r="R103">
        <v>0</v>
      </c>
      <c r="S103">
        <v>0</v>
      </c>
      <c r="T103">
        <v>0.73222625585829615</v>
      </c>
      <c r="U103">
        <v>0</v>
      </c>
      <c r="V103">
        <v>0</v>
      </c>
      <c r="W103">
        <v>0</v>
      </c>
      <c r="X103">
        <v>0</v>
      </c>
      <c r="Y103">
        <v>0.2677737441417038</v>
      </c>
      <c r="Z103">
        <v>0</v>
      </c>
      <c r="AA103">
        <v>0</v>
      </c>
      <c r="AB103">
        <v>0</v>
      </c>
      <c r="AC103">
        <v>0</v>
      </c>
      <c r="AD103">
        <v>0</v>
      </c>
      <c r="AE103" t="s">
        <v>246</v>
      </c>
      <c r="AF103">
        <v>20</v>
      </c>
      <c r="AG103" t="s">
        <v>188</v>
      </c>
      <c r="AH103">
        <v>46232</v>
      </c>
      <c r="AI103" t="s">
        <v>149</v>
      </c>
    </row>
    <row r="104" spans="1:35" x14ac:dyDescent="0.25">
      <c r="A104" s="1">
        <v>46232</v>
      </c>
      <c r="B104" t="s">
        <v>148</v>
      </c>
      <c r="C104" t="s">
        <v>10</v>
      </c>
      <c r="D104">
        <v>7.7299675499395102</v>
      </c>
      <c r="E104">
        <v>9.5</v>
      </c>
      <c r="F104">
        <v>9.5</v>
      </c>
      <c r="G104">
        <v>12.181278280542983</v>
      </c>
      <c r="H104">
        <v>1.2289831669570646</v>
      </c>
      <c r="I104">
        <v>1.2289831669570646</v>
      </c>
      <c r="J104">
        <v>1.5758511535586337</v>
      </c>
      <c r="K104">
        <v>0.34686798660156914</v>
      </c>
      <c r="L104">
        <v>0</v>
      </c>
      <c r="M104">
        <v>0</v>
      </c>
      <c r="N104">
        <v>0</v>
      </c>
      <c r="O104">
        <v>0</v>
      </c>
      <c r="P104">
        <v>2.1016833042935446E-2</v>
      </c>
      <c r="Q104">
        <v>0.22898316695706455</v>
      </c>
      <c r="R104">
        <v>0</v>
      </c>
      <c r="S104">
        <v>0</v>
      </c>
      <c r="T104">
        <v>0</v>
      </c>
      <c r="U104">
        <v>0</v>
      </c>
      <c r="V104">
        <v>0</v>
      </c>
      <c r="W104">
        <v>0</v>
      </c>
      <c r="X104">
        <v>0</v>
      </c>
      <c r="Y104">
        <v>0</v>
      </c>
      <c r="Z104">
        <v>0</v>
      </c>
      <c r="AA104">
        <v>0</v>
      </c>
      <c r="AB104">
        <v>0</v>
      </c>
      <c r="AC104">
        <v>0</v>
      </c>
      <c r="AD104">
        <v>0</v>
      </c>
      <c r="AE104" t="s">
        <v>246</v>
      </c>
      <c r="AF104">
        <v>20</v>
      </c>
      <c r="AG104" t="s">
        <v>190</v>
      </c>
      <c r="AH104">
        <v>46232</v>
      </c>
      <c r="AI104" t="s">
        <v>149</v>
      </c>
    </row>
    <row r="105" spans="1:35" x14ac:dyDescent="0.25">
      <c r="A105" s="1">
        <v>46233</v>
      </c>
      <c r="B105" t="s">
        <v>148</v>
      </c>
      <c r="C105" t="s">
        <v>10</v>
      </c>
      <c r="D105">
        <v>7.421102755827456</v>
      </c>
      <c r="E105">
        <v>34.199999999999996</v>
      </c>
      <c r="F105">
        <v>34.199999999999996</v>
      </c>
      <c r="G105">
        <v>13.842967571644042</v>
      </c>
      <c r="H105">
        <v>4.6084795111001915</v>
      </c>
      <c r="I105">
        <v>4.6084795111001915</v>
      </c>
      <c r="J105">
        <v>1.8653518253434487</v>
      </c>
      <c r="K105">
        <v>0</v>
      </c>
      <c r="L105">
        <v>0</v>
      </c>
      <c r="M105">
        <v>2.7431276857567428</v>
      </c>
      <c r="N105">
        <v>0</v>
      </c>
      <c r="O105">
        <v>0.61535182534344868</v>
      </c>
      <c r="P105">
        <v>0</v>
      </c>
      <c r="Q105">
        <v>0.25</v>
      </c>
      <c r="R105">
        <v>0</v>
      </c>
      <c r="S105">
        <v>0</v>
      </c>
      <c r="T105">
        <v>0</v>
      </c>
      <c r="U105">
        <v>0</v>
      </c>
      <c r="V105">
        <v>0</v>
      </c>
      <c r="W105">
        <v>0</v>
      </c>
      <c r="X105">
        <v>0</v>
      </c>
      <c r="Y105">
        <v>1</v>
      </c>
      <c r="Z105">
        <v>0</v>
      </c>
      <c r="AA105">
        <v>0</v>
      </c>
      <c r="AB105">
        <v>0</v>
      </c>
      <c r="AC105">
        <v>0</v>
      </c>
      <c r="AD105">
        <v>0</v>
      </c>
      <c r="AE105" t="s">
        <v>246</v>
      </c>
      <c r="AF105">
        <v>20</v>
      </c>
      <c r="AG105" t="s">
        <v>192</v>
      </c>
      <c r="AH105">
        <v>46233</v>
      </c>
      <c r="AI105" t="s">
        <v>149</v>
      </c>
    </row>
    <row r="106" spans="1:35" x14ac:dyDescent="0.25">
      <c r="A106" s="1">
        <v>46233</v>
      </c>
      <c r="B106" t="s">
        <v>148</v>
      </c>
      <c r="C106" t="s">
        <v>12</v>
      </c>
      <c r="D106">
        <v>4.8293883149317187</v>
      </c>
      <c r="E106">
        <v>6.6499999999999995</v>
      </c>
      <c r="F106">
        <v>6.6499999999999995</v>
      </c>
      <c r="G106">
        <v>14.730962481146298</v>
      </c>
      <c r="H106">
        <v>1.3769859796610746</v>
      </c>
      <c r="I106">
        <v>1.3769859796610746</v>
      </c>
      <c r="J106">
        <v>3.0502750080378607</v>
      </c>
      <c r="K106">
        <v>1.6732890283767861</v>
      </c>
      <c r="L106">
        <v>0</v>
      </c>
      <c r="M106">
        <v>0</v>
      </c>
      <c r="N106">
        <v>0</v>
      </c>
      <c r="O106">
        <v>0.12698597966107461</v>
      </c>
      <c r="P106">
        <v>0</v>
      </c>
      <c r="Q106">
        <v>0.25</v>
      </c>
      <c r="R106">
        <v>0</v>
      </c>
      <c r="S106">
        <v>0</v>
      </c>
      <c r="T106">
        <v>0</v>
      </c>
      <c r="U106">
        <v>0</v>
      </c>
      <c r="V106">
        <v>0</v>
      </c>
      <c r="W106">
        <v>0</v>
      </c>
      <c r="X106">
        <v>0</v>
      </c>
      <c r="Y106">
        <v>1</v>
      </c>
      <c r="Z106">
        <v>0</v>
      </c>
      <c r="AA106">
        <v>0</v>
      </c>
      <c r="AB106">
        <v>0</v>
      </c>
      <c r="AC106">
        <v>0</v>
      </c>
      <c r="AD106">
        <v>0</v>
      </c>
      <c r="AE106" t="s">
        <v>246</v>
      </c>
      <c r="AF106">
        <v>20</v>
      </c>
      <c r="AG106" t="s">
        <v>191</v>
      </c>
      <c r="AH106">
        <v>46233</v>
      </c>
      <c r="AI106" t="s">
        <v>149</v>
      </c>
    </row>
    <row r="107" spans="1:35" x14ac:dyDescent="0.25">
      <c r="A107" s="1">
        <v>46233</v>
      </c>
      <c r="B107" t="s">
        <v>148</v>
      </c>
      <c r="C107" t="s">
        <v>11</v>
      </c>
      <c r="D107">
        <v>11.670080599152742</v>
      </c>
      <c r="E107">
        <v>1.9</v>
      </c>
      <c r="F107">
        <v>1.9</v>
      </c>
      <c r="G107">
        <v>13.236908465309201</v>
      </c>
      <c r="H107">
        <v>0.16280950108758815</v>
      </c>
      <c r="I107">
        <v>0.16280950108758815</v>
      </c>
      <c r="J107">
        <v>1.1342602437784544</v>
      </c>
      <c r="K107">
        <v>0.13426024377845436</v>
      </c>
      <c r="L107">
        <v>0</v>
      </c>
      <c r="M107">
        <v>0</v>
      </c>
      <c r="N107">
        <v>0</v>
      </c>
      <c r="O107">
        <v>0</v>
      </c>
      <c r="P107">
        <v>0</v>
      </c>
      <c r="Q107">
        <v>0</v>
      </c>
      <c r="R107">
        <v>0</v>
      </c>
      <c r="S107">
        <v>0</v>
      </c>
      <c r="T107">
        <v>0.83719049891241182</v>
      </c>
      <c r="U107">
        <v>0</v>
      </c>
      <c r="V107">
        <v>0</v>
      </c>
      <c r="W107">
        <v>0</v>
      </c>
      <c r="X107">
        <v>0</v>
      </c>
      <c r="Y107">
        <v>0.16280950108758815</v>
      </c>
      <c r="Z107">
        <v>0</v>
      </c>
      <c r="AA107">
        <v>0</v>
      </c>
      <c r="AB107">
        <v>0</v>
      </c>
      <c r="AC107">
        <v>0</v>
      </c>
      <c r="AD107">
        <v>0</v>
      </c>
      <c r="AE107" t="s">
        <v>246</v>
      </c>
      <c r="AF107">
        <v>20</v>
      </c>
      <c r="AG107" t="s">
        <v>193</v>
      </c>
      <c r="AH107">
        <v>46233</v>
      </c>
      <c r="AI107" t="s">
        <v>149</v>
      </c>
    </row>
    <row r="108" spans="1:35" x14ac:dyDescent="0.25">
      <c r="A108" s="1">
        <v>46234</v>
      </c>
      <c r="B108" t="s">
        <v>148</v>
      </c>
      <c r="C108" t="s">
        <v>10</v>
      </c>
      <c r="D108">
        <v>7.6398124208473428</v>
      </c>
      <c r="E108">
        <v>30.4</v>
      </c>
      <c r="F108">
        <v>30.4</v>
      </c>
      <c r="G108">
        <v>12.303129713423832</v>
      </c>
      <c r="H108">
        <v>3.9791552888190269</v>
      </c>
      <c r="I108">
        <v>3.9791552888190269</v>
      </c>
      <c r="J108">
        <v>1.6103968311906895</v>
      </c>
      <c r="K108">
        <v>0</v>
      </c>
      <c r="L108">
        <v>0</v>
      </c>
      <c r="M108">
        <v>2.3687584576283376</v>
      </c>
      <c r="N108">
        <v>0</v>
      </c>
      <c r="O108">
        <v>0.36039683119068955</v>
      </c>
      <c r="P108">
        <v>0</v>
      </c>
      <c r="Q108">
        <v>0.25</v>
      </c>
      <c r="R108">
        <v>0</v>
      </c>
      <c r="S108">
        <v>0</v>
      </c>
      <c r="T108">
        <v>0</v>
      </c>
      <c r="U108">
        <v>0</v>
      </c>
      <c r="V108">
        <v>0</v>
      </c>
      <c r="W108">
        <v>0</v>
      </c>
      <c r="X108">
        <v>0</v>
      </c>
      <c r="Y108">
        <v>1</v>
      </c>
      <c r="Z108">
        <v>0</v>
      </c>
      <c r="AA108">
        <v>0</v>
      </c>
      <c r="AB108">
        <v>0</v>
      </c>
      <c r="AC108">
        <v>0</v>
      </c>
      <c r="AD108">
        <v>0</v>
      </c>
      <c r="AE108" t="s">
        <v>246</v>
      </c>
      <c r="AF108">
        <v>20</v>
      </c>
      <c r="AG108" t="s">
        <v>194</v>
      </c>
      <c r="AH108">
        <v>46234</v>
      </c>
      <c r="AI108" t="s">
        <v>149</v>
      </c>
    </row>
    <row r="109" spans="1:35" x14ac:dyDescent="0.25">
      <c r="A109" s="1">
        <v>46234</v>
      </c>
      <c r="B109" t="s">
        <v>148</v>
      </c>
      <c r="C109" t="s">
        <v>11</v>
      </c>
      <c r="D109">
        <v>11.46203030124774</v>
      </c>
      <c r="E109">
        <v>4.75</v>
      </c>
      <c r="F109">
        <v>4.75</v>
      </c>
      <c r="G109">
        <v>12.965033465309196</v>
      </c>
      <c r="H109">
        <v>0.41441174688597027</v>
      </c>
      <c r="I109">
        <v>0.41441174688597027</v>
      </c>
      <c r="J109">
        <v>1.1311288772197576</v>
      </c>
      <c r="K109">
        <v>0.13112887721975763</v>
      </c>
      <c r="L109">
        <v>0</v>
      </c>
      <c r="M109">
        <v>0</v>
      </c>
      <c r="N109">
        <v>0</v>
      </c>
      <c r="O109">
        <v>0</v>
      </c>
      <c r="P109">
        <v>0</v>
      </c>
      <c r="Q109">
        <v>0</v>
      </c>
      <c r="R109">
        <v>0</v>
      </c>
      <c r="S109">
        <v>0</v>
      </c>
      <c r="T109">
        <v>0.58558825311402973</v>
      </c>
      <c r="U109">
        <v>0</v>
      </c>
      <c r="V109">
        <v>0</v>
      </c>
      <c r="W109">
        <v>0</v>
      </c>
      <c r="X109">
        <v>0</v>
      </c>
      <c r="Y109">
        <v>0.41441174688597027</v>
      </c>
      <c r="Z109">
        <v>0</v>
      </c>
      <c r="AA109">
        <v>0</v>
      </c>
      <c r="AB109">
        <v>0</v>
      </c>
      <c r="AC109">
        <v>0</v>
      </c>
      <c r="AD109">
        <v>0</v>
      </c>
      <c r="AE109" t="s">
        <v>246</v>
      </c>
      <c r="AF109">
        <v>20</v>
      </c>
      <c r="AG109" t="s">
        <v>195</v>
      </c>
      <c r="AH109">
        <v>46234</v>
      </c>
      <c r="AI109" t="s">
        <v>149</v>
      </c>
    </row>
    <row r="110" spans="1:35" x14ac:dyDescent="0.25">
      <c r="A110" s="1">
        <v>46234</v>
      </c>
      <c r="B110" t="s">
        <v>148</v>
      </c>
      <c r="C110" t="s">
        <v>12</v>
      </c>
      <c r="D110">
        <v>4.7651886631272067</v>
      </c>
      <c r="E110">
        <v>6.6499999999999995</v>
      </c>
      <c r="F110">
        <v>6.6499999999999995</v>
      </c>
      <c r="G110">
        <v>12.2105887066365</v>
      </c>
      <c r="H110">
        <v>1.3955376103904069</v>
      </c>
      <c r="I110">
        <v>1.3955376103904069</v>
      </c>
      <c r="J110">
        <v>2.56245650904054</v>
      </c>
      <c r="K110">
        <v>1.1669188986501331</v>
      </c>
      <c r="L110">
        <v>0</v>
      </c>
      <c r="M110">
        <v>0</v>
      </c>
      <c r="N110">
        <v>0</v>
      </c>
      <c r="O110">
        <v>0.14553761039040691</v>
      </c>
      <c r="P110">
        <v>0</v>
      </c>
      <c r="Q110">
        <v>0.25</v>
      </c>
      <c r="R110">
        <v>0</v>
      </c>
      <c r="S110">
        <v>0</v>
      </c>
      <c r="T110">
        <v>0</v>
      </c>
      <c r="U110">
        <v>0</v>
      </c>
      <c r="V110">
        <v>0</v>
      </c>
      <c r="W110">
        <v>0</v>
      </c>
      <c r="X110">
        <v>0</v>
      </c>
      <c r="Y110">
        <v>1</v>
      </c>
      <c r="Z110">
        <v>0</v>
      </c>
      <c r="AA110">
        <v>0</v>
      </c>
      <c r="AB110">
        <v>0</v>
      </c>
      <c r="AC110">
        <v>0</v>
      </c>
      <c r="AD110">
        <v>0</v>
      </c>
      <c r="AE110" t="s">
        <v>246</v>
      </c>
      <c r="AF110">
        <v>20</v>
      </c>
      <c r="AG110" t="s">
        <v>196</v>
      </c>
      <c r="AH110">
        <v>46234</v>
      </c>
      <c r="AI110" t="s">
        <v>149</v>
      </c>
    </row>
    <row r="111" spans="1:35" x14ac:dyDescent="0.25">
      <c r="A111" s="1">
        <v>46235</v>
      </c>
      <c r="B111" t="s">
        <v>148</v>
      </c>
      <c r="C111" t="s">
        <v>10</v>
      </c>
      <c r="D111">
        <v>7.4211027558274596</v>
      </c>
      <c r="E111">
        <v>35.15</v>
      </c>
      <c r="F111">
        <v>35.15</v>
      </c>
      <c r="G111">
        <v>13.820701357466072</v>
      </c>
      <c r="H111">
        <v>4.7364928308529723</v>
      </c>
      <c r="I111">
        <v>4.7364928308529723</v>
      </c>
      <c r="J111">
        <v>1.862351433769502</v>
      </c>
      <c r="K111">
        <v>0</v>
      </c>
      <c r="L111">
        <v>0</v>
      </c>
      <c r="M111">
        <v>2.8741413970834704</v>
      </c>
      <c r="N111">
        <v>0</v>
      </c>
      <c r="O111">
        <v>0.61235143376950196</v>
      </c>
      <c r="P111">
        <v>0</v>
      </c>
      <c r="Q111">
        <v>0.25</v>
      </c>
      <c r="R111">
        <v>0</v>
      </c>
      <c r="S111">
        <v>0</v>
      </c>
      <c r="T111">
        <v>0</v>
      </c>
      <c r="U111">
        <v>0</v>
      </c>
      <c r="V111">
        <v>0</v>
      </c>
      <c r="W111">
        <v>0</v>
      </c>
      <c r="X111">
        <v>0</v>
      </c>
      <c r="Y111">
        <v>1</v>
      </c>
      <c r="Z111">
        <v>0</v>
      </c>
      <c r="AA111">
        <v>0</v>
      </c>
      <c r="AB111">
        <v>0</v>
      </c>
      <c r="AC111">
        <v>0</v>
      </c>
      <c r="AD111">
        <v>0</v>
      </c>
      <c r="AE111" t="s">
        <v>246</v>
      </c>
      <c r="AF111">
        <v>20</v>
      </c>
      <c r="AG111" t="s">
        <v>197</v>
      </c>
      <c r="AH111">
        <v>46235</v>
      </c>
      <c r="AI111" t="s">
        <v>149</v>
      </c>
    </row>
    <row r="112" spans="1:35" x14ac:dyDescent="0.25">
      <c r="A112" s="1">
        <v>46235</v>
      </c>
      <c r="B112" t="s">
        <v>148</v>
      </c>
      <c r="C112" t="s">
        <v>12</v>
      </c>
      <c r="D112">
        <v>4.8422208532774444</v>
      </c>
      <c r="E112">
        <v>6.6499999999999995</v>
      </c>
      <c r="F112">
        <v>6.6499999999999995</v>
      </c>
      <c r="G112">
        <v>13.98854402337858</v>
      </c>
      <c r="H112">
        <v>1.3733367810968318</v>
      </c>
      <c r="I112">
        <v>1.3733367810968318</v>
      </c>
      <c r="J112">
        <v>2.888869476886927</v>
      </c>
      <c r="K112">
        <v>1.5155326957900952</v>
      </c>
      <c r="L112">
        <v>0</v>
      </c>
      <c r="M112">
        <v>0</v>
      </c>
      <c r="N112">
        <v>0</v>
      </c>
      <c r="O112">
        <v>0.12333678109683177</v>
      </c>
      <c r="P112">
        <v>0</v>
      </c>
      <c r="Q112">
        <v>0.25</v>
      </c>
      <c r="R112">
        <v>0</v>
      </c>
      <c r="S112">
        <v>0</v>
      </c>
      <c r="T112">
        <v>0</v>
      </c>
      <c r="U112">
        <v>0</v>
      </c>
      <c r="V112">
        <v>0</v>
      </c>
      <c r="W112">
        <v>0</v>
      </c>
      <c r="X112">
        <v>0</v>
      </c>
      <c r="Y112">
        <v>1</v>
      </c>
      <c r="Z112">
        <v>0</v>
      </c>
      <c r="AA112">
        <v>0</v>
      </c>
      <c r="AB112">
        <v>0</v>
      </c>
      <c r="AC112">
        <v>0</v>
      </c>
      <c r="AD112">
        <v>0</v>
      </c>
      <c r="AE112" t="s">
        <v>246</v>
      </c>
      <c r="AF112">
        <v>20</v>
      </c>
      <c r="AG112" t="s">
        <v>198</v>
      </c>
      <c r="AH112">
        <v>46235</v>
      </c>
      <c r="AI112" t="s">
        <v>149</v>
      </c>
    </row>
    <row r="113" spans="1:35" x14ac:dyDescent="0.25">
      <c r="A113" s="1">
        <v>46235</v>
      </c>
      <c r="B113" t="s">
        <v>148</v>
      </c>
      <c r="C113" t="s">
        <v>11</v>
      </c>
      <c r="D113">
        <v>10.254203452299052</v>
      </c>
      <c r="E113">
        <v>2.8499999999999996</v>
      </c>
      <c r="F113">
        <v>2.8499999999999996</v>
      </c>
      <c r="G113">
        <v>13.950556184012065</v>
      </c>
      <c r="H113">
        <v>0.27793480139708104</v>
      </c>
      <c r="I113">
        <v>0.27793480139708104</v>
      </c>
      <c r="J113">
        <v>1.3604719517130577</v>
      </c>
      <c r="K113">
        <v>0.36047195171305768</v>
      </c>
      <c r="L113">
        <v>0</v>
      </c>
      <c r="M113">
        <v>0</v>
      </c>
      <c r="N113">
        <v>0</v>
      </c>
      <c r="O113">
        <v>0</v>
      </c>
      <c r="P113">
        <v>0</v>
      </c>
      <c r="Q113">
        <v>0</v>
      </c>
      <c r="R113">
        <v>0</v>
      </c>
      <c r="S113">
        <v>0</v>
      </c>
      <c r="T113">
        <v>0.72206519860291896</v>
      </c>
      <c r="U113">
        <v>0</v>
      </c>
      <c r="V113">
        <v>0</v>
      </c>
      <c r="W113">
        <v>0</v>
      </c>
      <c r="X113">
        <v>0</v>
      </c>
      <c r="Y113">
        <v>0.27793480139708104</v>
      </c>
      <c r="Z113">
        <v>0</v>
      </c>
      <c r="AA113">
        <v>0</v>
      </c>
      <c r="AB113">
        <v>0</v>
      </c>
      <c r="AC113">
        <v>0</v>
      </c>
      <c r="AD113">
        <v>0</v>
      </c>
      <c r="AE113" t="s">
        <v>246</v>
      </c>
      <c r="AF113">
        <v>20</v>
      </c>
      <c r="AG113" t="s">
        <v>199</v>
      </c>
      <c r="AH113">
        <v>46235</v>
      </c>
      <c r="AI113" t="s">
        <v>149</v>
      </c>
    </row>
    <row r="114" spans="1:35" x14ac:dyDescent="0.25">
      <c r="A114" s="1">
        <v>46236</v>
      </c>
      <c r="B114" t="s">
        <v>148</v>
      </c>
      <c r="C114" t="s">
        <v>12</v>
      </c>
      <c r="D114">
        <v>2.4211104266387213</v>
      </c>
      <c r="E114">
        <v>6.6499999999999995</v>
      </c>
      <c r="F114">
        <v>6.6499999999999995</v>
      </c>
      <c r="G114">
        <v>14.110338895173454</v>
      </c>
      <c r="H114">
        <v>2.7466735621936644</v>
      </c>
      <c r="I114">
        <v>2.7466735621936644</v>
      </c>
      <c r="J114">
        <v>5.8280443303708109</v>
      </c>
      <c r="K114">
        <v>3.0813707681771465</v>
      </c>
      <c r="L114">
        <v>0</v>
      </c>
      <c r="M114">
        <v>0</v>
      </c>
      <c r="N114">
        <v>0</v>
      </c>
      <c r="O114">
        <v>1.4966735621936644</v>
      </c>
      <c r="P114">
        <v>0</v>
      </c>
      <c r="Q114">
        <v>0.25</v>
      </c>
      <c r="R114">
        <v>0</v>
      </c>
      <c r="S114">
        <v>0</v>
      </c>
      <c r="T114">
        <v>0</v>
      </c>
      <c r="U114">
        <v>0</v>
      </c>
      <c r="V114">
        <v>0</v>
      </c>
      <c r="W114">
        <v>0</v>
      </c>
      <c r="X114">
        <v>0</v>
      </c>
      <c r="Y114">
        <v>1</v>
      </c>
      <c r="Z114">
        <v>0</v>
      </c>
      <c r="AA114">
        <v>0</v>
      </c>
      <c r="AB114">
        <v>0</v>
      </c>
      <c r="AC114">
        <v>0</v>
      </c>
      <c r="AD114">
        <v>0</v>
      </c>
      <c r="AE114" t="s">
        <v>246</v>
      </c>
      <c r="AF114">
        <v>20</v>
      </c>
      <c r="AG114" t="s">
        <v>200</v>
      </c>
      <c r="AH114">
        <v>46236</v>
      </c>
      <c r="AI114" t="s">
        <v>149</v>
      </c>
    </row>
    <row r="115" spans="1:35" x14ac:dyDescent="0.25">
      <c r="A115" s="1">
        <v>46236</v>
      </c>
      <c r="B115" t="s">
        <v>148</v>
      </c>
      <c r="C115" t="s">
        <v>11</v>
      </c>
      <c r="D115">
        <v>10.275373046530325</v>
      </c>
      <c r="E115">
        <v>3.8</v>
      </c>
      <c r="F115">
        <v>3.8</v>
      </c>
      <c r="G115">
        <v>15.633283842383102</v>
      </c>
      <c r="H115">
        <v>0.36981625706359561</v>
      </c>
      <c r="I115">
        <v>0.36981625706359561</v>
      </c>
      <c r="J115">
        <v>1.5214322411060277</v>
      </c>
      <c r="K115">
        <v>0.52143224110602771</v>
      </c>
      <c r="L115">
        <v>0</v>
      </c>
      <c r="M115">
        <v>0</v>
      </c>
      <c r="N115">
        <v>0</v>
      </c>
      <c r="O115">
        <v>0</v>
      </c>
      <c r="P115">
        <v>0</v>
      </c>
      <c r="Q115">
        <v>0</v>
      </c>
      <c r="R115">
        <v>0</v>
      </c>
      <c r="S115">
        <v>0</v>
      </c>
      <c r="T115">
        <v>0.63018374293640433</v>
      </c>
      <c r="U115">
        <v>0</v>
      </c>
      <c r="V115">
        <v>0</v>
      </c>
      <c r="W115">
        <v>0</v>
      </c>
      <c r="X115">
        <v>0</v>
      </c>
      <c r="Y115">
        <v>0.36981625706359561</v>
      </c>
      <c r="Z115">
        <v>0</v>
      </c>
      <c r="AA115">
        <v>0</v>
      </c>
      <c r="AB115">
        <v>0</v>
      </c>
      <c r="AC115">
        <v>0</v>
      </c>
      <c r="AD115">
        <v>0</v>
      </c>
      <c r="AE115" t="s">
        <v>246</v>
      </c>
      <c r="AF115">
        <v>20</v>
      </c>
      <c r="AG115" t="s">
        <v>201</v>
      </c>
      <c r="AH115">
        <v>46236</v>
      </c>
      <c r="AI115" t="s">
        <v>149</v>
      </c>
    </row>
    <row r="116" spans="1:35" x14ac:dyDescent="0.25">
      <c r="A116" s="1">
        <v>46236</v>
      </c>
      <c r="B116" t="s">
        <v>148</v>
      </c>
      <c r="C116" t="s">
        <v>10</v>
      </c>
      <c r="D116">
        <v>37.130556870551786</v>
      </c>
      <c r="E116">
        <v>33.25</v>
      </c>
      <c r="F116">
        <v>33.25</v>
      </c>
      <c r="G116">
        <v>14.750188536953251</v>
      </c>
      <c r="H116">
        <v>0.89548885883719531</v>
      </c>
      <c r="I116">
        <v>0.89548885883719531</v>
      </c>
      <c r="J116">
        <v>0.3972520150553307</v>
      </c>
      <c r="K116">
        <v>0</v>
      </c>
      <c r="L116">
        <v>0</v>
      </c>
      <c r="M116">
        <v>0</v>
      </c>
      <c r="N116">
        <v>0</v>
      </c>
      <c r="O116">
        <v>0</v>
      </c>
      <c r="P116">
        <v>0</v>
      </c>
      <c r="Q116">
        <v>0</v>
      </c>
      <c r="R116">
        <v>0</v>
      </c>
      <c r="S116">
        <v>0</v>
      </c>
      <c r="T116">
        <v>0</v>
      </c>
      <c r="U116">
        <v>0.10451114116280469</v>
      </c>
      <c r="V116">
        <v>0</v>
      </c>
      <c r="W116">
        <v>0.49823684378186461</v>
      </c>
      <c r="X116">
        <v>0</v>
      </c>
      <c r="Y116">
        <v>0.3972520150553307</v>
      </c>
      <c r="Z116">
        <v>0</v>
      </c>
      <c r="AA116">
        <v>0</v>
      </c>
      <c r="AB116">
        <v>0</v>
      </c>
      <c r="AC116">
        <v>0</v>
      </c>
      <c r="AD116">
        <v>0</v>
      </c>
      <c r="AE116" t="s">
        <v>246</v>
      </c>
      <c r="AF116">
        <v>20</v>
      </c>
      <c r="AG116" t="s">
        <v>202</v>
      </c>
      <c r="AH116">
        <v>46236</v>
      </c>
      <c r="AI116" t="s">
        <v>149</v>
      </c>
    </row>
    <row r="117" spans="1:35" x14ac:dyDescent="0.25">
      <c r="A117" s="1">
        <v>46237</v>
      </c>
      <c r="B117" t="s">
        <v>148</v>
      </c>
      <c r="C117" t="s">
        <v>10</v>
      </c>
      <c r="D117">
        <v>6.8398394235226956</v>
      </c>
      <c r="E117">
        <v>34.199999999999996</v>
      </c>
      <c r="F117">
        <v>34.199999999999996</v>
      </c>
      <c r="G117">
        <v>15.628193344645547</v>
      </c>
      <c r="H117">
        <v>5.0001173832215642</v>
      </c>
      <c r="I117">
        <v>5.0001173832215642</v>
      </c>
      <c r="J117">
        <v>2.2848772283891745</v>
      </c>
      <c r="K117">
        <v>0</v>
      </c>
      <c r="L117">
        <v>0</v>
      </c>
      <c r="M117">
        <v>2.7152401548323897</v>
      </c>
      <c r="N117">
        <v>0</v>
      </c>
      <c r="O117">
        <v>1.0348772283891745</v>
      </c>
      <c r="P117">
        <v>0</v>
      </c>
      <c r="Q117">
        <v>0.25</v>
      </c>
      <c r="R117">
        <v>0</v>
      </c>
      <c r="S117">
        <v>0</v>
      </c>
      <c r="T117">
        <v>0</v>
      </c>
      <c r="U117">
        <v>0</v>
      </c>
      <c r="V117">
        <v>0</v>
      </c>
      <c r="W117">
        <v>0</v>
      </c>
      <c r="X117">
        <v>0</v>
      </c>
      <c r="Y117">
        <v>1</v>
      </c>
      <c r="Z117">
        <v>0</v>
      </c>
      <c r="AA117">
        <v>0</v>
      </c>
      <c r="AB117">
        <v>0</v>
      </c>
      <c r="AC117">
        <v>0</v>
      </c>
      <c r="AD117">
        <v>0</v>
      </c>
      <c r="AE117" t="s">
        <v>246</v>
      </c>
      <c r="AF117">
        <v>20</v>
      </c>
      <c r="AG117" t="s">
        <v>203</v>
      </c>
      <c r="AH117">
        <v>46237</v>
      </c>
      <c r="AI117" t="s">
        <v>149</v>
      </c>
    </row>
    <row r="118" spans="1:35" x14ac:dyDescent="0.25">
      <c r="A118" s="1">
        <v>46237</v>
      </c>
      <c r="B118" t="s">
        <v>148</v>
      </c>
      <c r="C118" t="s">
        <v>11</v>
      </c>
      <c r="D118">
        <v>10.036461565266054</v>
      </c>
      <c r="E118">
        <v>3.8</v>
      </c>
      <c r="F118">
        <v>3.8</v>
      </c>
      <c r="G118">
        <v>16.704237368024128</v>
      </c>
      <c r="H118">
        <v>0.37861949406063078</v>
      </c>
      <c r="I118">
        <v>0.37861949406063078</v>
      </c>
      <c r="J118">
        <v>1.6643552370920995</v>
      </c>
      <c r="K118">
        <v>0.66435523709209954</v>
      </c>
      <c r="L118">
        <v>0</v>
      </c>
      <c r="M118">
        <v>0</v>
      </c>
      <c r="N118">
        <v>0</v>
      </c>
      <c r="O118">
        <v>0</v>
      </c>
      <c r="P118">
        <v>0</v>
      </c>
      <c r="Q118">
        <v>0</v>
      </c>
      <c r="R118">
        <v>0</v>
      </c>
      <c r="S118">
        <v>0</v>
      </c>
      <c r="T118">
        <v>0.62138050593936922</v>
      </c>
      <c r="U118">
        <v>0</v>
      </c>
      <c r="V118">
        <v>0</v>
      </c>
      <c r="W118">
        <v>0</v>
      </c>
      <c r="X118">
        <v>0</v>
      </c>
      <c r="Y118">
        <v>0.37861949406063078</v>
      </c>
      <c r="Z118">
        <v>0</v>
      </c>
      <c r="AA118">
        <v>0</v>
      </c>
      <c r="AB118">
        <v>0</v>
      </c>
      <c r="AC118">
        <v>0</v>
      </c>
      <c r="AD118">
        <v>0</v>
      </c>
      <c r="AE118" t="s">
        <v>246</v>
      </c>
      <c r="AF118">
        <v>20</v>
      </c>
      <c r="AG118" t="s">
        <v>204</v>
      </c>
      <c r="AH118">
        <v>46237</v>
      </c>
      <c r="AI118" t="s">
        <v>149</v>
      </c>
    </row>
    <row r="119" spans="1:35" x14ac:dyDescent="0.25">
      <c r="A119" s="1">
        <v>46237</v>
      </c>
      <c r="B119" t="s">
        <v>148</v>
      </c>
      <c r="C119" t="s">
        <v>12</v>
      </c>
      <c r="D119">
        <v>6.1493065447778257</v>
      </c>
      <c r="E119">
        <v>4.75</v>
      </c>
      <c r="F119">
        <v>4.75</v>
      </c>
      <c r="G119">
        <v>15.636651583710409</v>
      </c>
      <c r="H119">
        <v>0.77244482209686582</v>
      </c>
      <c r="I119">
        <v>0.77244482209686582</v>
      </c>
      <c r="J119">
        <v>2.542831694898918</v>
      </c>
      <c r="K119">
        <v>1.542831694898918</v>
      </c>
      <c r="L119">
        <v>0</v>
      </c>
      <c r="M119">
        <v>0</v>
      </c>
      <c r="N119">
        <v>0</v>
      </c>
      <c r="O119">
        <v>0</v>
      </c>
      <c r="P119">
        <v>0</v>
      </c>
      <c r="Q119">
        <v>0</v>
      </c>
      <c r="R119">
        <v>0</v>
      </c>
      <c r="S119">
        <v>0</v>
      </c>
      <c r="T119">
        <v>0.22755517790313418</v>
      </c>
      <c r="U119">
        <v>0</v>
      </c>
      <c r="V119">
        <v>0</v>
      </c>
      <c r="W119">
        <v>0</v>
      </c>
      <c r="X119">
        <v>0</v>
      </c>
      <c r="Y119">
        <v>0.77244482209686582</v>
      </c>
      <c r="Z119">
        <v>0</v>
      </c>
      <c r="AA119">
        <v>0</v>
      </c>
      <c r="AB119">
        <v>0</v>
      </c>
      <c r="AC119">
        <v>0</v>
      </c>
      <c r="AD119">
        <v>0</v>
      </c>
      <c r="AE119" t="s">
        <v>246</v>
      </c>
      <c r="AF119">
        <v>20</v>
      </c>
      <c r="AG119" t="s">
        <v>205</v>
      </c>
      <c r="AH119">
        <v>46237</v>
      </c>
      <c r="AI119" t="s">
        <v>149</v>
      </c>
    </row>
    <row r="120" spans="1:35" x14ac:dyDescent="0.25">
      <c r="A120" s="1">
        <v>46238</v>
      </c>
      <c r="B120" t="s">
        <v>148</v>
      </c>
      <c r="C120" t="s">
        <v>10</v>
      </c>
      <c r="D120">
        <v>7.8645127861663822</v>
      </c>
      <c r="E120">
        <v>37.049999999999997</v>
      </c>
      <c r="F120">
        <v>37.049999999999997</v>
      </c>
      <c r="G120">
        <v>15.904485411953241</v>
      </c>
      <c r="H120">
        <v>4.7110356365839552</v>
      </c>
      <c r="I120">
        <v>4.7110356365839552</v>
      </c>
      <c r="J120">
        <v>2.0223103254316159</v>
      </c>
      <c r="K120">
        <v>0</v>
      </c>
      <c r="L120">
        <v>0</v>
      </c>
      <c r="M120">
        <v>2.6887253111523393</v>
      </c>
      <c r="N120">
        <v>0</v>
      </c>
      <c r="O120">
        <v>0.77231032543161593</v>
      </c>
      <c r="P120">
        <v>0</v>
      </c>
      <c r="Q120">
        <v>0.25</v>
      </c>
      <c r="R120">
        <v>0</v>
      </c>
      <c r="S120">
        <v>0</v>
      </c>
      <c r="T120">
        <v>0</v>
      </c>
      <c r="U120">
        <v>0</v>
      </c>
      <c r="V120">
        <v>0</v>
      </c>
      <c r="W120">
        <v>0</v>
      </c>
      <c r="X120">
        <v>0</v>
      </c>
      <c r="Y120">
        <v>1</v>
      </c>
      <c r="Z120">
        <v>0</v>
      </c>
      <c r="AA120">
        <v>0</v>
      </c>
      <c r="AB120">
        <v>0</v>
      </c>
      <c r="AC120">
        <v>0</v>
      </c>
      <c r="AD120">
        <v>0</v>
      </c>
      <c r="AE120" t="s">
        <v>246</v>
      </c>
      <c r="AF120">
        <v>20</v>
      </c>
      <c r="AG120" t="s">
        <v>208</v>
      </c>
      <c r="AH120">
        <v>46238</v>
      </c>
      <c r="AI120" t="s">
        <v>149</v>
      </c>
    </row>
    <row r="121" spans="1:35" x14ac:dyDescent="0.25">
      <c r="A121" s="1">
        <v>46238</v>
      </c>
      <c r="B121" t="s">
        <v>148</v>
      </c>
      <c r="C121" t="s">
        <v>11</v>
      </c>
      <c r="D121">
        <v>12.65265365641541</v>
      </c>
      <c r="E121">
        <v>4.75</v>
      </c>
      <c r="F121">
        <v>4.75</v>
      </c>
      <c r="G121">
        <v>14.697362839366512</v>
      </c>
      <c r="H121">
        <v>0.37541531831874309</v>
      </c>
      <c r="I121">
        <v>0.37541531831874309</v>
      </c>
      <c r="J121">
        <v>1.1616031892182832</v>
      </c>
      <c r="K121">
        <v>0.16160318921828321</v>
      </c>
      <c r="L121">
        <v>0</v>
      </c>
      <c r="M121">
        <v>0</v>
      </c>
      <c r="N121">
        <v>0</v>
      </c>
      <c r="O121">
        <v>0</v>
      </c>
      <c r="P121">
        <v>0</v>
      </c>
      <c r="Q121">
        <v>0</v>
      </c>
      <c r="R121">
        <v>0</v>
      </c>
      <c r="S121">
        <v>0</v>
      </c>
      <c r="T121">
        <v>0.62458468168125691</v>
      </c>
      <c r="U121">
        <v>0</v>
      </c>
      <c r="V121">
        <v>0</v>
      </c>
      <c r="W121">
        <v>0</v>
      </c>
      <c r="X121">
        <v>0</v>
      </c>
      <c r="Y121">
        <v>0.37541531831874309</v>
      </c>
      <c r="Z121">
        <v>0</v>
      </c>
      <c r="AA121">
        <v>0</v>
      </c>
      <c r="AB121">
        <v>0</v>
      </c>
      <c r="AC121">
        <v>0</v>
      </c>
      <c r="AD121">
        <v>0</v>
      </c>
      <c r="AE121" t="s">
        <v>246</v>
      </c>
      <c r="AF121">
        <v>20</v>
      </c>
      <c r="AG121" t="s">
        <v>207</v>
      </c>
      <c r="AH121">
        <v>46238</v>
      </c>
      <c r="AI121" t="s">
        <v>149</v>
      </c>
    </row>
    <row r="122" spans="1:35" x14ac:dyDescent="0.25">
      <c r="A122" s="1">
        <v>46238</v>
      </c>
      <c r="B122" t="s">
        <v>148</v>
      </c>
      <c r="C122" t="s">
        <v>12</v>
      </c>
      <c r="D122">
        <v>4.3999686459471556</v>
      </c>
      <c r="E122">
        <v>5.6999999999999993</v>
      </c>
      <c r="F122">
        <v>5.6999999999999993</v>
      </c>
      <c r="G122">
        <v>13.413765554298646</v>
      </c>
      <c r="H122">
        <v>1.2954637768272081</v>
      </c>
      <c r="I122">
        <v>1.2954637768272081</v>
      </c>
      <c r="J122">
        <v>3.0486048046397256</v>
      </c>
      <c r="K122">
        <v>1.7531410278125175</v>
      </c>
      <c r="L122">
        <v>0</v>
      </c>
      <c r="M122">
        <v>0</v>
      </c>
      <c r="N122">
        <v>0</v>
      </c>
      <c r="O122">
        <v>4.5463776827208147E-2</v>
      </c>
      <c r="P122">
        <v>0</v>
      </c>
      <c r="Q122">
        <v>0.25</v>
      </c>
      <c r="R122">
        <v>0</v>
      </c>
      <c r="S122">
        <v>0</v>
      </c>
      <c r="T122">
        <v>0</v>
      </c>
      <c r="U122">
        <v>0</v>
      </c>
      <c r="V122">
        <v>0</v>
      </c>
      <c r="W122">
        <v>0</v>
      </c>
      <c r="X122">
        <v>0</v>
      </c>
      <c r="Y122">
        <v>1</v>
      </c>
      <c r="Z122">
        <v>0</v>
      </c>
      <c r="AA122">
        <v>0</v>
      </c>
      <c r="AB122">
        <v>0</v>
      </c>
      <c r="AC122">
        <v>0</v>
      </c>
      <c r="AD122">
        <v>0</v>
      </c>
      <c r="AE122" t="s">
        <v>246</v>
      </c>
      <c r="AF122">
        <v>20</v>
      </c>
      <c r="AG122" t="s">
        <v>206</v>
      </c>
      <c r="AH122">
        <v>46238</v>
      </c>
      <c r="AI122" t="s">
        <v>149</v>
      </c>
    </row>
    <row r="123" spans="1:35" x14ac:dyDescent="0.25">
      <c r="A123" s="1">
        <v>46239</v>
      </c>
      <c r="B123" t="s">
        <v>148</v>
      </c>
      <c r="C123" t="s">
        <v>11</v>
      </c>
      <c r="D123">
        <v>4.1797410611793371</v>
      </c>
      <c r="E123">
        <v>2.8499999999999996</v>
      </c>
      <c r="F123">
        <v>2.8499999999999996</v>
      </c>
      <c r="G123">
        <v>16.663198372297632</v>
      </c>
      <c r="H123">
        <v>0.68186042108451961</v>
      </c>
      <c r="I123">
        <v>0.68186042108451961</v>
      </c>
      <c r="J123">
        <v>3.9866580557016658</v>
      </c>
      <c r="K123">
        <v>2.9866580557016658</v>
      </c>
      <c r="L123">
        <v>0</v>
      </c>
      <c r="M123">
        <v>0</v>
      </c>
      <c r="N123">
        <v>0</v>
      </c>
      <c r="O123">
        <v>0</v>
      </c>
      <c r="P123">
        <v>0</v>
      </c>
      <c r="Q123">
        <v>0</v>
      </c>
      <c r="R123">
        <v>0</v>
      </c>
      <c r="S123">
        <v>0</v>
      </c>
      <c r="T123">
        <v>0.31813957891548039</v>
      </c>
      <c r="U123">
        <v>0</v>
      </c>
      <c r="V123">
        <v>0</v>
      </c>
      <c r="W123">
        <v>0</v>
      </c>
      <c r="X123">
        <v>0</v>
      </c>
      <c r="Y123">
        <v>0.68186042108451961</v>
      </c>
      <c r="Z123">
        <v>0</v>
      </c>
      <c r="AA123">
        <v>0</v>
      </c>
      <c r="AB123">
        <v>0</v>
      </c>
      <c r="AC123">
        <v>0</v>
      </c>
      <c r="AD123">
        <v>0</v>
      </c>
      <c r="AE123" t="s">
        <v>246</v>
      </c>
      <c r="AF123">
        <v>20</v>
      </c>
      <c r="AG123" t="s">
        <v>209</v>
      </c>
      <c r="AH123">
        <v>46239</v>
      </c>
      <c r="AI123" t="s">
        <v>149</v>
      </c>
    </row>
    <row r="124" spans="1:35" x14ac:dyDescent="0.25">
      <c r="A124" s="1">
        <v>46239</v>
      </c>
      <c r="B124" t="s">
        <v>148</v>
      </c>
      <c r="C124" t="s">
        <v>12</v>
      </c>
      <c r="D124">
        <v>7.3764180240878749</v>
      </c>
      <c r="E124">
        <v>5.6999999999999993</v>
      </c>
      <c r="F124">
        <v>5.6999999999999993</v>
      </c>
      <c r="G124">
        <v>15.087403374811467</v>
      </c>
      <c r="H124">
        <v>0.77273277916008942</v>
      </c>
      <c r="I124">
        <v>0.77273277916008942</v>
      </c>
      <c r="J124">
        <v>2.0453563403732247</v>
      </c>
      <c r="K124">
        <v>1.0453563403732247</v>
      </c>
      <c r="L124">
        <v>0</v>
      </c>
      <c r="M124">
        <v>0</v>
      </c>
      <c r="N124">
        <v>0</v>
      </c>
      <c r="O124">
        <v>0</v>
      </c>
      <c r="P124">
        <v>0</v>
      </c>
      <c r="Q124">
        <v>0</v>
      </c>
      <c r="R124">
        <v>0</v>
      </c>
      <c r="S124">
        <v>0</v>
      </c>
      <c r="T124">
        <v>0.22726722083991058</v>
      </c>
      <c r="U124">
        <v>0</v>
      </c>
      <c r="V124">
        <v>0</v>
      </c>
      <c r="W124">
        <v>0</v>
      </c>
      <c r="X124">
        <v>0</v>
      </c>
      <c r="Y124">
        <v>0.77273277916008942</v>
      </c>
      <c r="Z124">
        <v>0</v>
      </c>
      <c r="AA124">
        <v>0</v>
      </c>
      <c r="AB124">
        <v>0</v>
      </c>
      <c r="AC124">
        <v>0</v>
      </c>
      <c r="AD124">
        <v>0</v>
      </c>
      <c r="AE124" t="s">
        <v>246</v>
      </c>
      <c r="AF124">
        <v>20</v>
      </c>
      <c r="AG124" t="s">
        <v>210</v>
      </c>
      <c r="AH124">
        <v>46239</v>
      </c>
      <c r="AI124" t="s">
        <v>149</v>
      </c>
    </row>
    <row r="125" spans="1:35" x14ac:dyDescent="0.25">
      <c r="A125" s="1">
        <v>46239</v>
      </c>
      <c r="B125" t="s">
        <v>148</v>
      </c>
      <c r="C125" t="s">
        <v>10</v>
      </c>
      <c r="D125">
        <v>11.085741799481289</v>
      </c>
      <c r="E125">
        <v>8.5499999999999989</v>
      </c>
      <c r="F125">
        <v>8.5499999999999989</v>
      </c>
      <c r="G125">
        <v>14.030410224987424</v>
      </c>
      <c r="H125">
        <v>0.77126097239609714</v>
      </c>
      <c r="I125">
        <v>0.77126097239609714</v>
      </c>
      <c r="J125">
        <v>1.2656266471625668</v>
      </c>
      <c r="K125">
        <v>0.26562664716256679</v>
      </c>
      <c r="L125">
        <v>0</v>
      </c>
      <c r="M125">
        <v>0</v>
      </c>
      <c r="N125">
        <v>0</v>
      </c>
      <c r="O125">
        <v>0</v>
      </c>
      <c r="P125">
        <v>0</v>
      </c>
      <c r="Q125">
        <v>0</v>
      </c>
      <c r="R125">
        <v>0</v>
      </c>
      <c r="S125">
        <v>0</v>
      </c>
      <c r="T125">
        <v>0.22873902760390286</v>
      </c>
      <c r="U125">
        <v>0</v>
      </c>
      <c r="V125">
        <v>0</v>
      </c>
      <c r="W125">
        <v>0</v>
      </c>
      <c r="X125">
        <v>0</v>
      </c>
      <c r="Y125">
        <v>0.77126097239609714</v>
      </c>
      <c r="Z125">
        <v>0</v>
      </c>
      <c r="AA125">
        <v>0</v>
      </c>
      <c r="AB125">
        <v>0</v>
      </c>
      <c r="AC125">
        <v>0</v>
      </c>
      <c r="AD125">
        <v>0</v>
      </c>
      <c r="AE125" t="s">
        <v>246</v>
      </c>
      <c r="AF125">
        <v>20</v>
      </c>
      <c r="AG125" t="s">
        <v>211</v>
      </c>
      <c r="AH125">
        <v>46239</v>
      </c>
      <c r="AI125" t="s">
        <v>149</v>
      </c>
    </row>
    <row r="126" spans="1:35" x14ac:dyDescent="0.25">
      <c r="A126" s="1">
        <v>46240</v>
      </c>
      <c r="B126" t="s">
        <v>148</v>
      </c>
      <c r="C126" t="s">
        <v>10</v>
      </c>
      <c r="D126">
        <v>11.05958568178171</v>
      </c>
      <c r="E126">
        <v>24.7</v>
      </c>
      <c r="F126">
        <v>24.7</v>
      </c>
      <c r="G126">
        <v>14.412468184389139</v>
      </c>
      <c r="H126">
        <v>2.2333567197447493</v>
      </c>
      <c r="I126">
        <v>2.2333567197447493</v>
      </c>
      <c r="J126">
        <v>1.3031652901908055</v>
      </c>
      <c r="K126">
        <v>0</v>
      </c>
      <c r="L126">
        <v>0</v>
      </c>
      <c r="M126">
        <v>0.93019142955394374</v>
      </c>
      <c r="N126">
        <v>0</v>
      </c>
      <c r="O126">
        <v>5.3165290190805514E-2</v>
      </c>
      <c r="P126">
        <v>0</v>
      </c>
      <c r="Q126">
        <v>0.25</v>
      </c>
      <c r="R126">
        <v>0</v>
      </c>
      <c r="S126">
        <v>0</v>
      </c>
      <c r="T126">
        <v>0</v>
      </c>
      <c r="U126">
        <v>0</v>
      </c>
      <c r="V126">
        <v>0</v>
      </c>
      <c r="W126">
        <v>0</v>
      </c>
      <c r="X126">
        <v>0</v>
      </c>
      <c r="Y126">
        <v>1</v>
      </c>
      <c r="Z126">
        <v>0</v>
      </c>
      <c r="AA126">
        <v>0</v>
      </c>
      <c r="AB126">
        <v>0</v>
      </c>
      <c r="AC126">
        <v>0</v>
      </c>
      <c r="AD126">
        <v>0</v>
      </c>
      <c r="AE126" t="s">
        <v>246</v>
      </c>
      <c r="AF126">
        <v>20</v>
      </c>
      <c r="AG126" t="s">
        <v>213</v>
      </c>
      <c r="AH126">
        <v>46240</v>
      </c>
      <c r="AI126" t="s">
        <v>149</v>
      </c>
    </row>
    <row r="127" spans="1:35" x14ac:dyDescent="0.25">
      <c r="A127" s="1">
        <v>46240</v>
      </c>
      <c r="B127" t="s">
        <v>148</v>
      </c>
      <c r="C127" t="s">
        <v>11</v>
      </c>
      <c r="D127">
        <v>3.947533224447151</v>
      </c>
      <c r="E127">
        <v>2.8499999999999996</v>
      </c>
      <c r="F127">
        <v>2.8499999999999996</v>
      </c>
      <c r="G127">
        <v>15.745997517596781</v>
      </c>
      <c r="H127">
        <v>0.7219698576189032</v>
      </c>
      <c r="I127">
        <v>0.7219698576189032</v>
      </c>
      <c r="J127">
        <v>3.9888195038059484</v>
      </c>
      <c r="K127">
        <v>2.9888195038059484</v>
      </c>
      <c r="L127">
        <v>0</v>
      </c>
      <c r="M127">
        <v>0</v>
      </c>
      <c r="N127">
        <v>0</v>
      </c>
      <c r="O127">
        <v>0</v>
      </c>
      <c r="P127">
        <v>0</v>
      </c>
      <c r="Q127">
        <v>0</v>
      </c>
      <c r="R127">
        <v>0</v>
      </c>
      <c r="S127">
        <v>0</v>
      </c>
      <c r="T127">
        <v>0.2780301423810968</v>
      </c>
      <c r="U127">
        <v>0</v>
      </c>
      <c r="V127">
        <v>0</v>
      </c>
      <c r="W127">
        <v>0</v>
      </c>
      <c r="X127">
        <v>0</v>
      </c>
      <c r="Y127">
        <v>0.7219698576189032</v>
      </c>
      <c r="Z127">
        <v>0</v>
      </c>
      <c r="AA127">
        <v>0</v>
      </c>
      <c r="AB127">
        <v>0</v>
      </c>
      <c r="AC127">
        <v>0</v>
      </c>
      <c r="AD127">
        <v>0</v>
      </c>
      <c r="AE127" t="s">
        <v>246</v>
      </c>
      <c r="AF127">
        <v>20</v>
      </c>
      <c r="AG127" t="s">
        <v>212</v>
      </c>
      <c r="AH127">
        <v>46240</v>
      </c>
      <c r="AI127" t="s">
        <v>149</v>
      </c>
    </row>
    <row r="128" spans="1:35" x14ac:dyDescent="0.25">
      <c r="A128" s="1">
        <v>46240</v>
      </c>
      <c r="B128" t="s">
        <v>148</v>
      </c>
      <c r="C128" t="s">
        <v>12</v>
      </c>
      <c r="D128">
        <v>7.5345332287048574</v>
      </c>
      <c r="E128">
        <v>4.75</v>
      </c>
      <c r="F128">
        <v>4.75</v>
      </c>
      <c r="G128">
        <v>14.166951043237813</v>
      </c>
      <c r="H128">
        <v>0.63043055964018857</v>
      </c>
      <c r="I128">
        <v>0.63043055964018857</v>
      </c>
      <c r="J128">
        <v>1.8802692367544351</v>
      </c>
      <c r="K128">
        <v>0.88026923675443514</v>
      </c>
      <c r="L128">
        <v>0</v>
      </c>
      <c r="M128">
        <v>0</v>
      </c>
      <c r="N128">
        <v>0</v>
      </c>
      <c r="O128">
        <v>0</v>
      </c>
      <c r="P128">
        <v>0</v>
      </c>
      <c r="Q128">
        <v>0</v>
      </c>
      <c r="R128">
        <v>0</v>
      </c>
      <c r="S128">
        <v>0</v>
      </c>
      <c r="T128">
        <v>0.36956944035981143</v>
      </c>
      <c r="U128">
        <v>0</v>
      </c>
      <c r="V128">
        <v>0</v>
      </c>
      <c r="W128">
        <v>0</v>
      </c>
      <c r="X128">
        <v>0</v>
      </c>
      <c r="Y128">
        <v>0.63043055964018857</v>
      </c>
      <c r="Z128">
        <v>0</v>
      </c>
      <c r="AA128">
        <v>0</v>
      </c>
      <c r="AB128">
        <v>0</v>
      </c>
      <c r="AC128">
        <v>0</v>
      </c>
      <c r="AD128">
        <v>0</v>
      </c>
      <c r="AE128" t="s">
        <v>246</v>
      </c>
      <c r="AF128">
        <v>20</v>
      </c>
      <c r="AG128" t="s">
        <v>214</v>
      </c>
      <c r="AH128">
        <v>46240</v>
      </c>
      <c r="AI128" t="s">
        <v>149</v>
      </c>
    </row>
    <row r="129" spans="1:35" x14ac:dyDescent="0.25">
      <c r="A129" s="1">
        <v>46241</v>
      </c>
      <c r="B129" t="s">
        <v>148</v>
      </c>
      <c r="C129" t="s">
        <v>11</v>
      </c>
      <c r="D129">
        <v>3.947533224447151</v>
      </c>
      <c r="E129">
        <v>3.8</v>
      </c>
      <c r="F129">
        <v>3.8</v>
      </c>
      <c r="G129">
        <v>13.83473950477627</v>
      </c>
      <c r="H129">
        <v>0.96262647682520441</v>
      </c>
      <c r="I129">
        <v>0.96262647682520441</v>
      </c>
      <c r="J129">
        <v>3.5046543545466458</v>
      </c>
      <c r="K129">
        <v>2.5046543545466458</v>
      </c>
      <c r="L129">
        <v>0</v>
      </c>
      <c r="M129">
        <v>0</v>
      </c>
      <c r="N129">
        <v>0</v>
      </c>
      <c r="O129">
        <v>0</v>
      </c>
      <c r="P129">
        <v>0</v>
      </c>
      <c r="Q129">
        <v>0</v>
      </c>
      <c r="R129">
        <v>0</v>
      </c>
      <c r="S129">
        <v>0</v>
      </c>
      <c r="T129">
        <v>3.7373523174795586E-2</v>
      </c>
      <c r="U129">
        <v>0</v>
      </c>
      <c r="V129">
        <v>0</v>
      </c>
      <c r="W129">
        <v>0</v>
      </c>
      <c r="X129">
        <v>0</v>
      </c>
      <c r="Y129">
        <v>0.96262647682520441</v>
      </c>
      <c r="Z129">
        <v>0</v>
      </c>
      <c r="AA129">
        <v>0</v>
      </c>
      <c r="AB129">
        <v>0</v>
      </c>
      <c r="AC129">
        <v>0</v>
      </c>
      <c r="AD129">
        <v>0</v>
      </c>
      <c r="AE129" t="s">
        <v>246</v>
      </c>
      <c r="AF129">
        <v>20</v>
      </c>
      <c r="AG129" t="s">
        <v>216</v>
      </c>
      <c r="AH129">
        <v>46241</v>
      </c>
      <c r="AI129" t="s">
        <v>149</v>
      </c>
    </row>
    <row r="130" spans="1:35" x14ac:dyDescent="0.25">
      <c r="A130" s="1">
        <v>46241</v>
      </c>
      <c r="B130" t="s">
        <v>148</v>
      </c>
      <c r="C130" t="s">
        <v>12</v>
      </c>
      <c r="D130">
        <v>8.0638754354660573</v>
      </c>
      <c r="E130">
        <v>5.6999999999999993</v>
      </c>
      <c r="F130">
        <v>5.6999999999999993</v>
      </c>
      <c r="G130">
        <v>12.182257887129213</v>
      </c>
      <c r="H130">
        <v>0.70685615689580206</v>
      </c>
      <c r="I130">
        <v>0.70685615689580206</v>
      </c>
      <c r="J130">
        <v>1.5107199986683737</v>
      </c>
      <c r="K130">
        <v>0.5107199986683737</v>
      </c>
      <c r="L130">
        <v>0</v>
      </c>
      <c r="M130">
        <v>0</v>
      </c>
      <c r="N130">
        <v>0</v>
      </c>
      <c r="O130">
        <v>0</v>
      </c>
      <c r="P130">
        <v>0</v>
      </c>
      <c r="Q130">
        <v>0</v>
      </c>
      <c r="R130">
        <v>0</v>
      </c>
      <c r="S130">
        <v>0</v>
      </c>
      <c r="T130">
        <v>0.29314384310419794</v>
      </c>
      <c r="U130">
        <v>0</v>
      </c>
      <c r="V130">
        <v>0</v>
      </c>
      <c r="W130">
        <v>0</v>
      </c>
      <c r="X130">
        <v>0</v>
      </c>
      <c r="Y130">
        <v>0.70685615689580206</v>
      </c>
      <c r="Z130">
        <v>0</v>
      </c>
      <c r="AA130">
        <v>0</v>
      </c>
      <c r="AB130">
        <v>0</v>
      </c>
      <c r="AC130">
        <v>0</v>
      </c>
      <c r="AD130">
        <v>0</v>
      </c>
      <c r="AE130" t="s">
        <v>246</v>
      </c>
      <c r="AF130">
        <v>20</v>
      </c>
      <c r="AG130" t="s">
        <v>215</v>
      </c>
      <c r="AH130">
        <v>46241</v>
      </c>
      <c r="AI130" t="s">
        <v>149</v>
      </c>
    </row>
    <row r="131" spans="1:35" x14ac:dyDescent="0.25">
      <c r="A131" s="1">
        <v>46241</v>
      </c>
      <c r="B131" t="s">
        <v>148</v>
      </c>
      <c r="C131" t="s">
        <v>10</v>
      </c>
      <c r="D131">
        <v>10.568184576915144</v>
      </c>
      <c r="E131">
        <v>8.5499999999999989</v>
      </c>
      <c r="F131">
        <v>8.5499999999999989</v>
      </c>
      <c r="G131">
        <v>13.489513024761193</v>
      </c>
      <c r="H131">
        <v>0.80903204687363117</v>
      </c>
      <c r="I131">
        <v>0.80903204687363117</v>
      </c>
      <c r="J131">
        <v>1.2764267057018781</v>
      </c>
      <c r="K131">
        <v>0.27642670570187811</v>
      </c>
      <c r="L131">
        <v>0</v>
      </c>
      <c r="M131">
        <v>0</v>
      </c>
      <c r="N131">
        <v>0</v>
      </c>
      <c r="O131">
        <v>0</v>
      </c>
      <c r="P131">
        <v>0</v>
      </c>
      <c r="Q131">
        <v>0</v>
      </c>
      <c r="R131">
        <v>0</v>
      </c>
      <c r="S131">
        <v>0</v>
      </c>
      <c r="T131">
        <v>0.19096795312636883</v>
      </c>
      <c r="U131">
        <v>0</v>
      </c>
      <c r="V131">
        <v>0</v>
      </c>
      <c r="W131">
        <v>0</v>
      </c>
      <c r="X131">
        <v>0</v>
      </c>
      <c r="Y131">
        <v>0.80903204687363117</v>
      </c>
      <c r="Z131">
        <v>0</v>
      </c>
      <c r="AA131">
        <v>0</v>
      </c>
      <c r="AB131">
        <v>0</v>
      </c>
      <c r="AC131">
        <v>0</v>
      </c>
      <c r="AD131">
        <v>0</v>
      </c>
      <c r="AE131" t="s">
        <v>246</v>
      </c>
      <c r="AF131">
        <v>20</v>
      </c>
      <c r="AG131" t="s">
        <v>217</v>
      </c>
      <c r="AH131">
        <v>46241</v>
      </c>
      <c r="AI131" t="s">
        <v>149</v>
      </c>
    </row>
    <row r="132" spans="1:35" x14ac:dyDescent="0.25">
      <c r="A132" s="1">
        <v>46242</v>
      </c>
      <c r="B132" t="s">
        <v>148</v>
      </c>
      <c r="C132" t="s">
        <v>12</v>
      </c>
      <c r="D132">
        <v>8.3487406003058897</v>
      </c>
      <c r="E132">
        <v>6.6499999999999995</v>
      </c>
      <c r="F132">
        <v>6.6499999999999995</v>
      </c>
      <c r="G132">
        <v>12.363614949184802</v>
      </c>
      <c r="H132">
        <v>0.79652732290620576</v>
      </c>
      <c r="I132">
        <v>0.79652732290620576</v>
      </c>
      <c r="J132">
        <v>1.4808958070552356</v>
      </c>
      <c r="K132">
        <v>0.4808958070552356</v>
      </c>
      <c r="L132">
        <v>0</v>
      </c>
      <c r="M132">
        <v>0</v>
      </c>
      <c r="N132">
        <v>0</v>
      </c>
      <c r="O132">
        <v>0</v>
      </c>
      <c r="P132">
        <v>0</v>
      </c>
      <c r="Q132">
        <v>0</v>
      </c>
      <c r="R132">
        <v>0</v>
      </c>
      <c r="S132">
        <v>0</v>
      </c>
      <c r="T132">
        <v>0.20347267709379424</v>
      </c>
      <c r="U132">
        <v>0</v>
      </c>
      <c r="V132">
        <v>0</v>
      </c>
      <c r="W132">
        <v>0</v>
      </c>
      <c r="X132">
        <v>0</v>
      </c>
      <c r="Y132">
        <v>0.79652732290620576</v>
      </c>
      <c r="Z132">
        <v>0</v>
      </c>
      <c r="AA132">
        <v>0</v>
      </c>
      <c r="AB132">
        <v>0</v>
      </c>
      <c r="AC132">
        <v>0</v>
      </c>
      <c r="AD132">
        <v>0</v>
      </c>
      <c r="AE132" t="s">
        <v>246</v>
      </c>
      <c r="AF132">
        <v>20</v>
      </c>
      <c r="AG132" t="s">
        <v>218</v>
      </c>
      <c r="AH132">
        <v>46242</v>
      </c>
      <c r="AI132" t="s">
        <v>149</v>
      </c>
    </row>
    <row r="133" spans="1:35" x14ac:dyDescent="0.25">
      <c r="A133" s="1">
        <v>46242</v>
      </c>
      <c r="B133" t="s">
        <v>148</v>
      </c>
      <c r="C133" t="s">
        <v>11</v>
      </c>
      <c r="D133">
        <v>2.704078169514105</v>
      </c>
      <c r="E133">
        <v>3.8</v>
      </c>
      <c r="F133">
        <v>3.8</v>
      </c>
      <c r="G133">
        <v>13.825681314192339</v>
      </c>
      <c r="H133">
        <v>1.4052848186274218</v>
      </c>
      <c r="I133">
        <v>1.4052848186274218</v>
      </c>
      <c r="J133">
        <v>5.1129000152671891</v>
      </c>
      <c r="K133">
        <v>3.7076151966397672</v>
      </c>
      <c r="L133">
        <v>0</v>
      </c>
      <c r="M133">
        <v>0</v>
      </c>
      <c r="N133">
        <v>0</v>
      </c>
      <c r="O133">
        <v>0.15528481862742183</v>
      </c>
      <c r="P133">
        <v>0</v>
      </c>
      <c r="Q133">
        <v>0.25</v>
      </c>
      <c r="R133">
        <v>0</v>
      </c>
      <c r="S133">
        <v>0</v>
      </c>
      <c r="T133">
        <v>0</v>
      </c>
      <c r="U133">
        <v>0</v>
      </c>
      <c r="V133">
        <v>0</v>
      </c>
      <c r="W133">
        <v>0</v>
      </c>
      <c r="X133">
        <v>0</v>
      </c>
      <c r="Y133">
        <v>1</v>
      </c>
      <c r="Z133">
        <v>0</v>
      </c>
      <c r="AA133">
        <v>0</v>
      </c>
      <c r="AB133">
        <v>0</v>
      </c>
      <c r="AC133">
        <v>0</v>
      </c>
      <c r="AD133">
        <v>0</v>
      </c>
      <c r="AE133" t="s">
        <v>246</v>
      </c>
      <c r="AF133">
        <v>20</v>
      </c>
      <c r="AG133" t="s">
        <v>220</v>
      </c>
      <c r="AH133">
        <v>46242</v>
      </c>
      <c r="AI133" t="s">
        <v>149</v>
      </c>
    </row>
    <row r="134" spans="1:35" x14ac:dyDescent="0.25">
      <c r="A134" s="1">
        <v>46242</v>
      </c>
      <c r="B134" t="s">
        <v>148</v>
      </c>
      <c r="C134" t="s">
        <v>10</v>
      </c>
      <c r="D134">
        <v>12.855453592771978</v>
      </c>
      <c r="E134">
        <v>30.4</v>
      </c>
      <c r="F134">
        <v>30.4</v>
      </c>
      <c r="G134">
        <v>13.231808175994754</v>
      </c>
      <c r="H134">
        <v>2.3647551430695919</v>
      </c>
      <c r="I134">
        <v>2.3647551430695919</v>
      </c>
      <c r="J134">
        <v>1.02927586961493</v>
      </c>
      <c r="K134">
        <v>0</v>
      </c>
      <c r="L134">
        <v>0</v>
      </c>
      <c r="M134">
        <v>1.1147551430695919</v>
      </c>
      <c r="N134">
        <v>0</v>
      </c>
      <c r="O134">
        <v>0</v>
      </c>
      <c r="P134">
        <v>0</v>
      </c>
      <c r="Q134">
        <v>2.9275869614930006E-2</v>
      </c>
      <c r="R134">
        <v>0</v>
      </c>
      <c r="S134">
        <v>0.22072413038506999</v>
      </c>
      <c r="T134">
        <v>0</v>
      </c>
      <c r="U134">
        <v>0</v>
      </c>
      <c r="V134">
        <v>0</v>
      </c>
      <c r="W134">
        <v>0</v>
      </c>
      <c r="X134">
        <v>0</v>
      </c>
      <c r="Y134">
        <v>1</v>
      </c>
      <c r="Z134">
        <v>0</v>
      </c>
      <c r="AA134">
        <v>0</v>
      </c>
      <c r="AB134">
        <v>0</v>
      </c>
      <c r="AC134">
        <v>0</v>
      </c>
      <c r="AD134">
        <v>0</v>
      </c>
      <c r="AE134" t="s">
        <v>246</v>
      </c>
      <c r="AF134">
        <v>20</v>
      </c>
      <c r="AG134" t="s">
        <v>219</v>
      </c>
      <c r="AH134">
        <v>46242</v>
      </c>
      <c r="AI134" t="s">
        <v>149</v>
      </c>
    </row>
    <row r="135" spans="1:35" x14ac:dyDescent="0.25">
      <c r="A135" s="1">
        <v>46243</v>
      </c>
      <c r="B135" t="s">
        <v>148</v>
      </c>
      <c r="C135" t="s">
        <v>10</v>
      </c>
      <c r="D135">
        <v>22.088006627580935</v>
      </c>
      <c r="E135">
        <v>27.549999999999997</v>
      </c>
      <c r="F135">
        <v>27.549999999999997</v>
      </c>
      <c r="G135">
        <v>13.97985564017274</v>
      </c>
      <c r="H135">
        <v>1.2472832186494711</v>
      </c>
      <c r="I135">
        <v>1.2472832186494711</v>
      </c>
      <c r="J135">
        <v>0.63291612846205514</v>
      </c>
      <c r="K135">
        <v>0</v>
      </c>
      <c r="L135">
        <v>0</v>
      </c>
      <c r="M135">
        <v>0</v>
      </c>
      <c r="N135">
        <v>0</v>
      </c>
      <c r="O135">
        <v>0</v>
      </c>
      <c r="P135">
        <v>0</v>
      </c>
      <c r="Q135">
        <v>0</v>
      </c>
      <c r="R135">
        <v>0</v>
      </c>
      <c r="S135">
        <v>0.24728321864947111</v>
      </c>
      <c r="T135">
        <v>0</v>
      </c>
      <c r="U135">
        <v>0</v>
      </c>
      <c r="V135">
        <v>0</v>
      </c>
      <c r="W135">
        <v>0.36708387153794486</v>
      </c>
      <c r="X135">
        <v>0</v>
      </c>
      <c r="Y135">
        <v>0.63291612846205514</v>
      </c>
      <c r="Z135">
        <v>0</v>
      </c>
      <c r="AA135">
        <v>0</v>
      </c>
      <c r="AB135">
        <v>0</v>
      </c>
      <c r="AC135">
        <v>0</v>
      </c>
      <c r="AD135">
        <v>0</v>
      </c>
      <c r="AE135" t="s">
        <v>246</v>
      </c>
      <c r="AF135">
        <v>20</v>
      </c>
      <c r="AG135" t="s">
        <v>222</v>
      </c>
      <c r="AH135">
        <v>46243</v>
      </c>
      <c r="AI135" t="s">
        <v>149</v>
      </c>
    </row>
    <row r="136" spans="1:35" x14ac:dyDescent="0.25">
      <c r="A136" s="1">
        <v>46243</v>
      </c>
      <c r="B136" t="s">
        <v>148</v>
      </c>
      <c r="C136" t="s">
        <v>11</v>
      </c>
      <c r="D136">
        <v>8.1223093154332027</v>
      </c>
      <c r="E136">
        <v>4.75</v>
      </c>
      <c r="F136">
        <v>4.75</v>
      </c>
      <c r="G136">
        <v>13.813776552287578</v>
      </c>
      <c r="H136">
        <v>0.58480905066918876</v>
      </c>
      <c r="I136">
        <v>0.58480905066918876</v>
      </c>
      <c r="J136">
        <v>1.7007203266735997</v>
      </c>
      <c r="K136">
        <v>0.70072032667359974</v>
      </c>
      <c r="L136">
        <v>0</v>
      </c>
      <c r="M136">
        <v>0</v>
      </c>
      <c r="N136">
        <v>0</v>
      </c>
      <c r="O136">
        <v>0</v>
      </c>
      <c r="P136">
        <v>0</v>
      </c>
      <c r="Q136">
        <v>0</v>
      </c>
      <c r="R136">
        <v>0</v>
      </c>
      <c r="S136">
        <v>0</v>
      </c>
      <c r="T136">
        <v>0.41519094933081124</v>
      </c>
      <c r="U136">
        <v>0</v>
      </c>
      <c r="V136">
        <v>0</v>
      </c>
      <c r="W136">
        <v>0</v>
      </c>
      <c r="X136">
        <v>0</v>
      </c>
      <c r="Y136">
        <v>0.58480905066918876</v>
      </c>
      <c r="Z136">
        <v>0</v>
      </c>
      <c r="AA136">
        <v>0</v>
      </c>
      <c r="AB136">
        <v>0</v>
      </c>
      <c r="AC136">
        <v>0</v>
      </c>
      <c r="AD136">
        <v>0</v>
      </c>
      <c r="AE136" t="s">
        <v>246</v>
      </c>
      <c r="AF136">
        <v>20</v>
      </c>
      <c r="AG136" t="s">
        <v>223</v>
      </c>
      <c r="AH136">
        <v>46243</v>
      </c>
      <c r="AI136" t="s">
        <v>149</v>
      </c>
    </row>
    <row r="137" spans="1:35" x14ac:dyDescent="0.25">
      <c r="A137" s="1">
        <v>46243</v>
      </c>
      <c r="B137" t="s">
        <v>148</v>
      </c>
      <c r="C137" t="s">
        <v>12</v>
      </c>
      <c r="D137">
        <v>4.6539757948026406</v>
      </c>
      <c r="E137">
        <v>6.6499999999999995</v>
      </c>
      <c r="F137">
        <v>6.6499999999999995</v>
      </c>
      <c r="G137">
        <v>12.353644374416428</v>
      </c>
      <c r="H137">
        <v>1.4288858157419797</v>
      </c>
      <c r="I137">
        <v>1.4288858157419797</v>
      </c>
      <c r="J137">
        <v>2.6544281532818554</v>
      </c>
      <c r="K137">
        <v>1.2255423375398757</v>
      </c>
      <c r="L137">
        <v>0</v>
      </c>
      <c r="M137">
        <v>0</v>
      </c>
      <c r="N137">
        <v>0</v>
      </c>
      <c r="O137">
        <v>0.1788858157419797</v>
      </c>
      <c r="P137">
        <v>0</v>
      </c>
      <c r="Q137">
        <v>0.25</v>
      </c>
      <c r="R137">
        <v>0</v>
      </c>
      <c r="S137">
        <v>0</v>
      </c>
      <c r="T137">
        <v>0</v>
      </c>
      <c r="U137">
        <v>0</v>
      </c>
      <c r="V137">
        <v>0</v>
      </c>
      <c r="W137">
        <v>0</v>
      </c>
      <c r="X137">
        <v>0</v>
      </c>
      <c r="Y137">
        <v>1</v>
      </c>
      <c r="Z137">
        <v>0</v>
      </c>
      <c r="AA137">
        <v>0</v>
      </c>
      <c r="AB137">
        <v>0</v>
      </c>
      <c r="AC137">
        <v>0</v>
      </c>
      <c r="AD137">
        <v>0</v>
      </c>
      <c r="AE137" t="s">
        <v>246</v>
      </c>
      <c r="AF137">
        <v>20</v>
      </c>
      <c r="AG137" t="s">
        <v>221</v>
      </c>
      <c r="AH137">
        <v>46243</v>
      </c>
      <c r="AI137" t="s">
        <v>149</v>
      </c>
    </row>
    <row r="138" spans="1:35" x14ac:dyDescent="0.25">
      <c r="A138" s="1">
        <v>46244</v>
      </c>
      <c r="B138" t="s">
        <v>148</v>
      </c>
      <c r="C138" t="s">
        <v>10</v>
      </c>
      <c r="D138">
        <v>8.7261260750937026</v>
      </c>
      <c r="E138">
        <v>33.25</v>
      </c>
      <c r="F138">
        <v>33.25</v>
      </c>
      <c r="G138">
        <v>13.92407066993464</v>
      </c>
      <c r="H138">
        <v>3.8103964707664342</v>
      </c>
      <c r="I138">
        <v>3.8103964707664342</v>
      </c>
      <c r="J138">
        <v>1.5956760823886127</v>
      </c>
      <c r="K138">
        <v>0</v>
      </c>
      <c r="L138">
        <v>0</v>
      </c>
      <c r="M138">
        <v>2.2147203883778213</v>
      </c>
      <c r="N138">
        <v>0</v>
      </c>
      <c r="O138">
        <v>0.34567608238861269</v>
      </c>
      <c r="P138">
        <v>0</v>
      </c>
      <c r="Q138">
        <v>0.25</v>
      </c>
      <c r="R138">
        <v>0</v>
      </c>
      <c r="S138">
        <v>0</v>
      </c>
      <c r="T138">
        <v>0</v>
      </c>
      <c r="U138">
        <v>0</v>
      </c>
      <c r="V138">
        <v>0</v>
      </c>
      <c r="W138">
        <v>0</v>
      </c>
      <c r="X138">
        <v>0</v>
      </c>
      <c r="Y138">
        <v>1</v>
      </c>
      <c r="Z138">
        <v>0</v>
      </c>
      <c r="AA138">
        <v>0</v>
      </c>
      <c r="AB138">
        <v>0</v>
      </c>
      <c r="AC138">
        <v>0</v>
      </c>
      <c r="AD138">
        <v>0</v>
      </c>
      <c r="AE138" t="s">
        <v>246</v>
      </c>
      <c r="AF138">
        <v>20</v>
      </c>
      <c r="AG138" t="s">
        <v>224</v>
      </c>
      <c r="AH138">
        <v>46244</v>
      </c>
      <c r="AI138" t="s">
        <v>149</v>
      </c>
    </row>
    <row r="139" spans="1:35" x14ac:dyDescent="0.25">
      <c r="A139" s="1">
        <v>46244</v>
      </c>
      <c r="B139" t="s">
        <v>148</v>
      </c>
      <c r="C139" t="s">
        <v>12</v>
      </c>
      <c r="D139">
        <v>6.7783300761888601</v>
      </c>
      <c r="E139">
        <v>6.6499999999999995</v>
      </c>
      <c r="F139">
        <v>6.6499999999999995</v>
      </c>
      <c r="G139">
        <v>15.707439353946713</v>
      </c>
      <c r="H139">
        <v>0.98106759707089763</v>
      </c>
      <c r="I139">
        <v>0.98106759707089763</v>
      </c>
      <c r="J139">
        <v>2.3173022230245648</v>
      </c>
      <c r="K139">
        <v>1.3173022230245648</v>
      </c>
      <c r="L139">
        <v>0</v>
      </c>
      <c r="M139">
        <v>0</v>
      </c>
      <c r="N139">
        <v>0</v>
      </c>
      <c r="O139">
        <v>0</v>
      </c>
      <c r="P139">
        <v>0</v>
      </c>
      <c r="Q139">
        <v>0</v>
      </c>
      <c r="R139">
        <v>0</v>
      </c>
      <c r="S139">
        <v>0</v>
      </c>
      <c r="T139">
        <v>1.8932402929102365E-2</v>
      </c>
      <c r="U139">
        <v>0</v>
      </c>
      <c r="V139">
        <v>0</v>
      </c>
      <c r="W139">
        <v>0</v>
      </c>
      <c r="X139">
        <v>0</v>
      </c>
      <c r="Y139">
        <v>0.98106759707089763</v>
      </c>
      <c r="Z139">
        <v>0</v>
      </c>
      <c r="AA139">
        <v>0</v>
      </c>
      <c r="AB139">
        <v>0</v>
      </c>
      <c r="AC139">
        <v>0</v>
      </c>
      <c r="AD139">
        <v>0</v>
      </c>
      <c r="AE139" t="s">
        <v>246</v>
      </c>
      <c r="AF139">
        <v>20</v>
      </c>
      <c r="AG139" t="s">
        <v>226</v>
      </c>
      <c r="AH139">
        <v>46244</v>
      </c>
      <c r="AI139" t="s">
        <v>149</v>
      </c>
    </row>
    <row r="140" spans="1:35" x14ac:dyDescent="0.25">
      <c r="A140" s="1">
        <v>46244</v>
      </c>
      <c r="B140" t="s">
        <v>148</v>
      </c>
      <c r="C140" t="s">
        <v>11</v>
      </c>
      <c r="D140">
        <v>7.9603639909528257</v>
      </c>
      <c r="E140">
        <v>4.75</v>
      </c>
      <c r="F140">
        <v>4.75</v>
      </c>
      <c r="G140">
        <v>14.947637789089994</v>
      </c>
      <c r="H140">
        <v>0.5967063824466452</v>
      </c>
      <c r="I140">
        <v>0.5967063824466452</v>
      </c>
      <c r="J140">
        <v>1.8777580781580339</v>
      </c>
      <c r="K140">
        <v>0.87775807815803386</v>
      </c>
      <c r="L140">
        <v>0</v>
      </c>
      <c r="M140">
        <v>0</v>
      </c>
      <c r="N140">
        <v>0</v>
      </c>
      <c r="O140">
        <v>0</v>
      </c>
      <c r="P140">
        <v>0</v>
      </c>
      <c r="Q140">
        <v>0</v>
      </c>
      <c r="R140">
        <v>0</v>
      </c>
      <c r="S140">
        <v>0</v>
      </c>
      <c r="T140">
        <v>0.4032936175533548</v>
      </c>
      <c r="U140">
        <v>0</v>
      </c>
      <c r="V140">
        <v>0</v>
      </c>
      <c r="W140">
        <v>0</v>
      </c>
      <c r="X140">
        <v>0</v>
      </c>
      <c r="Y140">
        <v>0.5967063824466452</v>
      </c>
      <c r="Z140">
        <v>0</v>
      </c>
      <c r="AA140">
        <v>0</v>
      </c>
      <c r="AB140">
        <v>0</v>
      </c>
      <c r="AC140">
        <v>0</v>
      </c>
      <c r="AD140">
        <v>0</v>
      </c>
      <c r="AE140" t="s">
        <v>246</v>
      </c>
      <c r="AF140">
        <v>20</v>
      </c>
      <c r="AG140" t="s">
        <v>225</v>
      </c>
      <c r="AH140">
        <v>46244</v>
      </c>
      <c r="AI140" t="s">
        <v>149</v>
      </c>
    </row>
    <row r="141" spans="1:35" x14ac:dyDescent="0.25">
      <c r="A141" s="1">
        <v>46245</v>
      </c>
      <c r="B141" t="s">
        <v>148</v>
      </c>
      <c r="C141" t="s">
        <v>11</v>
      </c>
      <c r="D141">
        <v>11.949728453281219</v>
      </c>
      <c r="E141">
        <v>4.75</v>
      </c>
      <c r="F141">
        <v>4.75</v>
      </c>
      <c r="G141">
        <v>15.885012097787827</v>
      </c>
      <c r="H141">
        <v>0.39749857233749275</v>
      </c>
      <c r="I141">
        <v>0.39749857233749275</v>
      </c>
      <c r="J141">
        <v>1.3293199221967289</v>
      </c>
      <c r="K141">
        <v>0.3293199221967289</v>
      </c>
      <c r="L141">
        <v>0</v>
      </c>
      <c r="M141">
        <v>0</v>
      </c>
      <c r="N141">
        <v>0</v>
      </c>
      <c r="O141">
        <v>0</v>
      </c>
      <c r="P141">
        <v>0</v>
      </c>
      <c r="Q141">
        <v>0</v>
      </c>
      <c r="R141">
        <v>0</v>
      </c>
      <c r="S141">
        <v>0</v>
      </c>
      <c r="T141">
        <v>0.60250142766250725</v>
      </c>
      <c r="U141">
        <v>0</v>
      </c>
      <c r="V141">
        <v>0</v>
      </c>
      <c r="W141">
        <v>0</v>
      </c>
      <c r="X141">
        <v>0</v>
      </c>
      <c r="Y141">
        <v>0.39749857233749275</v>
      </c>
      <c r="Z141">
        <v>0</v>
      </c>
      <c r="AA141">
        <v>0</v>
      </c>
      <c r="AB141">
        <v>0</v>
      </c>
      <c r="AC141">
        <v>0</v>
      </c>
      <c r="AD141">
        <v>0</v>
      </c>
      <c r="AE141" t="s">
        <v>246</v>
      </c>
      <c r="AF141">
        <v>20</v>
      </c>
      <c r="AG141" t="s">
        <v>229</v>
      </c>
      <c r="AH141">
        <v>46245</v>
      </c>
      <c r="AI141" t="s">
        <v>149</v>
      </c>
    </row>
    <row r="142" spans="1:35" x14ac:dyDescent="0.25">
      <c r="A142" s="1">
        <v>46245</v>
      </c>
      <c r="B142" t="s">
        <v>148</v>
      </c>
      <c r="C142" t="s">
        <v>12</v>
      </c>
      <c r="D142">
        <v>4.4370132585222226</v>
      </c>
      <c r="E142">
        <v>5.6999999999999993</v>
      </c>
      <c r="F142">
        <v>5.6999999999999993</v>
      </c>
      <c r="G142">
        <v>15.890631284565108</v>
      </c>
      <c r="H142">
        <v>1.2846479530012545</v>
      </c>
      <c r="I142">
        <v>1.2846479530012545</v>
      </c>
      <c r="J142">
        <v>3.581380166949871</v>
      </c>
      <c r="K142">
        <v>2.2967322139486166</v>
      </c>
      <c r="L142">
        <v>0</v>
      </c>
      <c r="M142">
        <v>0</v>
      </c>
      <c r="N142">
        <v>0</v>
      </c>
      <c r="O142">
        <v>3.464795300125445E-2</v>
      </c>
      <c r="P142">
        <v>0</v>
      </c>
      <c r="Q142">
        <v>0.25</v>
      </c>
      <c r="R142">
        <v>0</v>
      </c>
      <c r="S142">
        <v>0</v>
      </c>
      <c r="T142">
        <v>0</v>
      </c>
      <c r="U142">
        <v>0</v>
      </c>
      <c r="V142">
        <v>0</v>
      </c>
      <c r="W142">
        <v>0</v>
      </c>
      <c r="X142">
        <v>0</v>
      </c>
      <c r="Y142">
        <v>1</v>
      </c>
      <c r="Z142">
        <v>0</v>
      </c>
      <c r="AA142">
        <v>0</v>
      </c>
      <c r="AB142">
        <v>0</v>
      </c>
      <c r="AC142">
        <v>0</v>
      </c>
      <c r="AD142">
        <v>0</v>
      </c>
      <c r="AE142" t="s">
        <v>246</v>
      </c>
      <c r="AF142">
        <v>20</v>
      </c>
      <c r="AG142" t="s">
        <v>227</v>
      </c>
      <c r="AH142">
        <v>46245</v>
      </c>
      <c r="AI142" t="s">
        <v>149</v>
      </c>
    </row>
    <row r="143" spans="1:35" x14ac:dyDescent="0.25">
      <c r="A143" s="1">
        <v>46245</v>
      </c>
      <c r="B143" t="s">
        <v>148</v>
      </c>
      <c r="C143" t="s">
        <v>10</v>
      </c>
      <c r="D143">
        <v>8.479787169349855</v>
      </c>
      <c r="E143">
        <v>31.35</v>
      </c>
      <c r="F143">
        <v>31.35</v>
      </c>
      <c r="G143">
        <v>14.935658622423333</v>
      </c>
      <c r="H143">
        <v>3.6970267500715588</v>
      </c>
      <c r="I143">
        <v>3.6970267500715588</v>
      </c>
      <c r="J143">
        <v>1.7613247035737158</v>
      </c>
      <c r="K143">
        <v>0</v>
      </c>
      <c r="L143">
        <v>0</v>
      </c>
      <c r="M143">
        <v>1.9357020464978429</v>
      </c>
      <c r="N143">
        <v>0</v>
      </c>
      <c r="O143">
        <v>0.51132470357371584</v>
      </c>
      <c r="P143">
        <v>0</v>
      </c>
      <c r="Q143">
        <v>0.25</v>
      </c>
      <c r="R143">
        <v>0</v>
      </c>
      <c r="S143">
        <v>0</v>
      </c>
      <c r="T143">
        <v>0</v>
      </c>
      <c r="U143">
        <v>0</v>
      </c>
      <c r="V143">
        <v>0</v>
      </c>
      <c r="W143">
        <v>0</v>
      </c>
      <c r="X143">
        <v>0</v>
      </c>
      <c r="Y143">
        <v>1</v>
      </c>
      <c r="Z143">
        <v>0</v>
      </c>
      <c r="AA143">
        <v>0</v>
      </c>
      <c r="AB143">
        <v>0</v>
      </c>
      <c r="AC143">
        <v>0</v>
      </c>
      <c r="AD143">
        <v>0</v>
      </c>
      <c r="AE143" t="s">
        <v>246</v>
      </c>
      <c r="AF143">
        <v>20</v>
      </c>
      <c r="AG143" t="s">
        <v>228</v>
      </c>
      <c r="AH143">
        <v>46245</v>
      </c>
      <c r="AI143" t="s">
        <v>149</v>
      </c>
    </row>
    <row r="144" spans="1:35" x14ac:dyDescent="0.25">
      <c r="A144" s="1">
        <v>46246</v>
      </c>
      <c r="B144" t="s">
        <v>148</v>
      </c>
      <c r="C144" t="s">
        <v>12</v>
      </c>
      <c r="D144">
        <v>7.8026416191423458</v>
      </c>
      <c r="E144">
        <v>4.75</v>
      </c>
      <c r="F144">
        <v>4.75</v>
      </c>
      <c r="G144">
        <v>15.827889328808451</v>
      </c>
      <c r="H144">
        <v>0.60876818798735399</v>
      </c>
      <c r="I144">
        <v>0.60876818798735399</v>
      </c>
      <c r="J144">
        <v>2.0285295802869681</v>
      </c>
      <c r="K144">
        <v>1.0285295802869681</v>
      </c>
      <c r="L144">
        <v>0</v>
      </c>
      <c r="M144">
        <v>0</v>
      </c>
      <c r="N144">
        <v>0</v>
      </c>
      <c r="O144">
        <v>0</v>
      </c>
      <c r="P144">
        <v>0</v>
      </c>
      <c r="Q144">
        <v>0</v>
      </c>
      <c r="R144">
        <v>0</v>
      </c>
      <c r="S144">
        <v>0</v>
      </c>
      <c r="T144">
        <v>0.39123181201264601</v>
      </c>
      <c r="U144">
        <v>0</v>
      </c>
      <c r="V144">
        <v>0</v>
      </c>
      <c r="W144">
        <v>0</v>
      </c>
      <c r="X144">
        <v>0</v>
      </c>
      <c r="Y144">
        <v>0.60876818798735399</v>
      </c>
      <c r="Z144">
        <v>0</v>
      </c>
      <c r="AA144">
        <v>0</v>
      </c>
      <c r="AB144">
        <v>0</v>
      </c>
      <c r="AC144">
        <v>0</v>
      </c>
      <c r="AD144">
        <v>0</v>
      </c>
      <c r="AE144" t="s">
        <v>246</v>
      </c>
      <c r="AF144">
        <v>20</v>
      </c>
      <c r="AG144" t="s">
        <v>232</v>
      </c>
      <c r="AH144">
        <v>46246</v>
      </c>
      <c r="AI144" t="s">
        <v>149</v>
      </c>
    </row>
    <row r="145" spans="1:35" x14ac:dyDescent="0.25">
      <c r="A145" s="1">
        <v>46246</v>
      </c>
      <c r="B145" t="s">
        <v>148</v>
      </c>
      <c r="C145" t="s">
        <v>11</v>
      </c>
      <c r="D145">
        <v>2.8048262384229763</v>
      </c>
      <c r="E145">
        <v>2.8499999999999996</v>
      </c>
      <c r="F145">
        <v>2.8499999999999996</v>
      </c>
      <c r="G145">
        <v>15.038053827300146</v>
      </c>
      <c r="H145">
        <v>1.0161057255377155</v>
      </c>
      <c r="I145">
        <v>1.0161057255377155</v>
      </c>
      <c r="J145">
        <v>5.3614921385487841</v>
      </c>
      <c r="K145">
        <v>4.3453864130110684</v>
      </c>
      <c r="L145">
        <v>0</v>
      </c>
      <c r="M145">
        <v>0</v>
      </c>
      <c r="N145">
        <v>0</v>
      </c>
      <c r="O145">
        <v>0</v>
      </c>
      <c r="P145">
        <v>0.2338942744622845</v>
      </c>
      <c r="Q145">
        <v>1.6105725537715498E-2</v>
      </c>
      <c r="R145">
        <v>0</v>
      </c>
      <c r="S145">
        <v>0</v>
      </c>
      <c r="T145">
        <v>0</v>
      </c>
      <c r="U145">
        <v>0</v>
      </c>
      <c r="V145">
        <v>0</v>
      </c>
      <c r="W145">
        <v>0</v>
      </c>
      <c r="X145">
        <v>0</v>
      </c>
      <c r="Y145">
        <v>0</v>
      </c>
      <c r="Z145">
        <v>0</v>
      </c>
      <c r="AA145">
        <v>0</v>
      </c>
      <c r="AB145">
        <v>0</v>
      </c>
      <c r="AC145">
        <v>0</v>
      </c>
      <c r="AD145">
        <v>0</v>
      </c>
      <c r="AE145" t="s">
        <v>246</v>
      </c>
      <c r="AF145">
        <v>20</v>
      </c>
      <c r="AG145" t="s">
        <v>231</v>
      </c>
      <c r="AH145">
        <v>46246</v>
      </c>
      <c r="AI145" t="s">
        <v>149</v>
      </c>
    </row>
    <row r="146" spans="1:35" x14ac:dyDescent="0.25">
      <c r="A146" s="1">
        <v>46246</v>
      </c>
      <c r="B146" t="s">
        <v>148</v>
      </c>
      <c r="C146" t="s">
        <v>10</v>
      </c>
      <c r="D146">
        <v>13.416418840456574</v>
      </c>
      <c r="E146">
        <v>49.4</v>
      </c>
      <c r="F146">
        <v>49.4</v>
      </c>
      <c r="G146">
        <v>13.917936934389145</v>
      </c>
      <c r="H146">
        <v>3.6820555907986896</v>
      </c>
      <c r="I146">
        <v>3.6820555907986896</v>
      </c>
      <c r="J146">
        <v>1.0373809210860552</v>
      </c>
      <c r="K146">
        <v>0</v>
      </c>
      <c r="L146">
        <v>0</v>
      </c>
      <c r="M146">
        <v>2.4320555907986896</v>
      </c>
      <c r="N146">
        <v>0</v>
      </c>
      <c r="O146">
        <v>0</v>
      </c>
      <c r="P146">
        <v>0</v>
      </c>
      <c r="Q146">
        <v>3.7380921086055174E-2</v>
      </c>
      <c r="R146">
        <v>0</v>
      </c>
      <c r="S146">
        <v>0.21261907891394483</v>
      </c>
      <c r="T146">
        <v>0</v>
      </c>
      <c r="U146">
        <v>0</v>
      </c>
      <c r="V146">
        <v>0</v>
      </c>
      <c r="W146">
        <v>0</v>
      </c>
      <c r="X146">
        <v>0</v>
      </c>
      <c r="Y146">
        <v>1</v>
      </c>
      <c r="Z146">
        <v>0</v>
      </c>
      <c r="AA146">
        <v>0</v>
      </c>
      <c r="AB146">
        <v>0</v>
      </c>
      <c r="AC146">
        <v>0</v>
      </c>
      <c r="AD146">
        <v>0</v>
      </c>
      <c r="AE146" t="s">
        <v>246</v>
      </c>
      <c r="AF146">
        <v>20</v>
      </c>
      <c r="AG146" t="s">
        <v>230</v>
      </c>
      <c r="AH146">
        <v>46246</v>
      </c>
      <c r="AI146" t="s">
        <v>149</v>
      </c>
    </row>
    <row r="147" spans="1:35" x14ac:dyDescent="0.25">
      <c r="A147" s="1">
        <v>46247</v>
      </c>
      <c r="B147" t="s">
        <v>148</v>
      </c>
      <c r="C147" t="s">
        <v>12</v>
      </c>
      <c r="D147">
        <v>8.6180548132189827</v>
      </c>
      <c r="E147">
        <v>5.6999999999999993</v>
      </c>
      <c r="F147">
        <v>5.6999999999999993</v>
      </c>
      <c r="G147">
        <v>12.070343137254902</v>
      </c>
      <c r="H147">
        <v>0.6614021520560458</v>
      </c>
      <c r="I147">
        <v>0.6614021520560458</v>
      </c>
      <c r="J147">
        <v>1.4005878819360205</v>
      </c>
      <c r="K147">
        <v>0.40058788193602046</v>
      </c>
      <c r="L147">
        <v>0</v>
      </c>
      <c r="M147">
        <v>0</v>
      </c>
      <c r="N147">
        <v>0</v>
      </c>
      <c r="O147">
        <v>0</v>
      </c>
      <c r="P147">
        <v>0</v>
      </c>
      <c r="Q147">
        <v>0</v>
      </c>
      <c r="R147">
        <v>0</v>
      </c>
      <c r="S147">
        <v>0</v>
      </c>
      <c r="T147">
        <v>0.3385978479439542</v>
      </c>
      <c r="U147">
        <v>0</v>
      </c>
      <c r="V147">
        <v>0</v>
      </c>
      <c r="W147">
        <v>0</v>
      </c>
      <c r="X147">
        <v>0</v>
      </c>
      <c r="Y147">
        <v>0.6614021520560458</v>
      </c>
      <c r="Z147">
        <v>0</v>
      </c>
      <c r="AA147">
        <v>0</v>
      </c>
      <c r="AB147">
        <v>0</v>
      </c>
      <c r="AC147">
        <v>0</v>
      </c>
      <c r="AD147">
        <v>0</v>
      </c>
      <c r="AE147" t="s">
        <v>246</v>
      </c>
      <c r="AF147">
        <v>20</v>
      </c>
      <c r="AG147" t="s">
        <v>233</v>
      </c>
      <c r="AH147">
        <v>46247</v>
      </c>
      <c r="AI147" t="s">
        <v>149</v>
      </c>
    </row>
    <row r="148" spans="1:35" x14ac:dyDescent="0.25">
      <c r="A148" s="1">
        <v>46247</v>
      </c>
      <c r="B148" t="s">
        <v>148</v>
      </c>
      <c r="C148" t="s">
        <v>11</v>
      </c>
      <c r="D148">
        <v>2.686933322699788</v>
      </c>
      <c r="E148">
        <v>4.75</v>
      </c>
      <c r="F148">
        <v>4.75</v>
      </c>
      <c r="G148">
        <v>13.770465686274507</v>
      </c>
      <c r="H148">
        <v>1.7678146159679449</v>
      </c>
      <c r="I148">
        <v>1.7678146159679449</v>
      </c>
      <c r="J148">
        <v>5.1249748439749752</v>
      </c>
      <c r="K148">
        <v>3.3571602280070305</v>
      </c>
      <c r="L148">
        <v>0</v>
      </c>
      <c r="M148">
        <v>0</v>
      </c>
      <c r="N148">
        <v>0</v>
      </c>
      <c r="O148">
        <v>0.51781461596794487</v>
      </c>
      <c r="P148">
        <v>0</v>
      </c>
      <c r="Q148">
        <v>0.25</v>
      </c>
      <c r="R148">
        <v>0</v>
      </c>
      <c r="S148">
        <v>0</v>
      </c>
      <c r="T148">
        <v>0</v>
      </c>
      <c r="U148">
        <v>0</v>
      </c>
      <c r="V148">
        <v>0</v>
      </c>
      <c r="W148">
        <v>0</v>
      </c>
      <c r="X148">
        <v>0</v>
      </c>
      <c r="Y148">
        <v>1</v>
      </c>
      <c r="Z148">
        <v>0</v>
      </c>
      <c r="AA148">
        <v>0</v>
      </c>
      <c r="AB148">
        <v>0</v>
      </c>
      <c r="AC148">
        <v>0</v>
      </c>
      <c r="AD148">
        <v>0</v>
      </c>
      <c r="AE148" t="s">
        <v>246</v>
      </c>
      <c r="AF148">
        <v>20</v>
      </c>
      <c r="AG148" t="s">
        <v>234</v>
      </c>
      <c r="AH148">
        <v>46247</v>
      </c>
      <c r="AI148" t="s">
        <v>149</v>
      </c>
    </row>
    <row r="149" spans="1:35" x14ac:dyDescent="0.25">
      <c r="A149" s="1">
        <v>46247</v>
      </c>
      <c r="B149" t="s">
        <v>148</v>
      </c>
      <c r="C149" t="s">
        <v>10</v>
      </c>
      <c r="D149">
        <v>20.510291868468016</v>
      </c>
      <c r="E149">
        <v>27.549999999999997</v>
      </c>
      <c r="F149">
        <v>27.549999999999997</v>
      </c>
      <c r="G149">
        <v>14.177251838235303</v>
      </c>
      <c r="H149">
        <v>1.3432280816225071</v>
      </c>
      <c r="I149">
        <v>1.3432280816225071</v>
      </c>
      <c r="J149">
        <v>0.69122623554816587</v>
      </c>
      <c r="K149">
        <v>0</v>
      </c>
      <c r="L149">
        <v>0</v>
      </c>
      <c r="M149">
        <v>9.3228081622507064E-2</v>
      </c>
      <c r="N149">
        <v>0</v>
      </c>
      <c r="O149">
        <v>0</v>
      </c>
      <c r="P149">
        <v>0</v>
      </c>
      <c r="Q149">
        <v>0</v>
      </c>
      <c r="R149">
        <v>0</v>
      </c>
      <c r="S149">
        <v>0.25</v>
      </c>
      <c r="T149">
        <v>0</v>
      </c>
      <c r="U149">
        <v>0</v>
      </c>
      <c r="V149">
        <v>0</v>
      </c>
      <c r="W149">
        <v>0.30877376445183413</v>
      </c>
      <c r="X149">
        <v>0</v>
      </c>
      <c r="Y149">
        <v>0.69122623554816587</v>
      </c>
      <c r="Z149">
        <v>0</v>
      </c>
      <c r="AA149">
        <v>0</v>
      </c>
      <c r="AB149">
        <v>0</v>
      </c>
      <c r="AC149">
        <v>0</v>
      </c>
      <c r="AD149">
        <v>0</v>
      </c>
      <c r="AE149" t="s">
        <v>246</v>
      </c>
      <c r="AF149">
        <v>20</v>
      </c>
      <c r="AG149" t="s">
        <v>235</v>
      </c>
      <c r="AH149">
        <v>46247</v>
      </c>
      <c r="AI149" t="s">
        <v>149</v>
      </c>
    </row>
    <row r="150" spans="1:35" x14ac:dyDescent="0.25">
      <c r="A150" s="1">
        <v>46248</v>
      </c>
      <c r="B150" t="s">
        <v>148</v>
      </c>
      <c r="C150" t="s">
        <v>10</v>
      </c>
      <c r="D150">
        <v>21.620535587843779</v>
      </c>
      <c r="E150">
        <v>32.299999999999997</v>
      </c>
      <c r="F150">
        <v>32.299999999999997</v>
      </c>
      <c r="G150">
        <v>10.510845588235297</v>
      </c>
      <c r="H150">
        <v>1.4939500397095058</v>
      </c>
      <c r="I150">
        <v>1.4939500397095058</v>
      </c>
      <c r="J150">
        <v>0.4861510273660869</v>
      </c>
      <c r="K150">
        <v>0</v>
      </c>
      <c r="L150">
        <v>0</v>
      </c>
      <c r="M150">
        <v>0.24395003970950579</v>
      </c>
      <c r="N150">
        <v>0</v>
      </c>
      <c r="O150">
        <v>0</v>
      </c>
      <c r="P150">
        <v>0</v>
      </c>
      <c r="Q150">
        <v>0</v>
      </c>
      <c r="R150">
        <v>0</v>
      </c>
      <c r="S150">
        <v>0.25</v>
      </c>
      <c r="T150">
        <v>0</v>
      </c>
      <c r="U150">
        <v>0</v>
      </c>
      <c r="V150">
        <v>0</v>
      </c>
      <c r="W150">
        <v>0.51384897263391305</v>
      </c>
      <c r="X150">
        <v>0</v>
      </c>
      <c r="Y150">
        <v>0.4861510273660869</v>
      </c>
      <c r="Z150">
        <v>0</v>
      </c>
      <c r="AA150">
        <v>0</v>
      </c>
      <c r="AB150">
        <v>0</v>
      </c>
      <c r="AC150">
        <v>0</v>
      </c>
      <c r="AD150">
        <v>0</v>
      </c>
      <c r="AE150" t="s">
        <v>246</v>
      </c>
      <c r="AF150">
        <v>20</v>
      </c>
      <c r="AG150" t="s">
        <v>238</v>
      </c>
      <c r="AH150">
        <v>46248</v>
      </c>
      <c r="AI150" t="s">
        <v>149</v>
      </c>
    </row>
    <row r="151" spans="1:35" x14ac:dyDescent="0.25">
      <c r="A151" s="1">
        <v>46248</v>
      </c>
      <c r="B151" t="s">
        <v>148</v>
      </c>
      <c r="C151" t="s">
        <v>11</v>
      </c>
      <c r="D151">
        <v>2.70004824675775</v>
      </c>
      <c r="E151">
        <v>3.8</v>
      </c>
      <c r="F151">
        <v>3.8</v>
      </c>
      <c r="G151">
        <v>8.4963235294117627</v>
      </c>
      <c r="H151">
        <v>1.407382258655224</v>
      </c>
      <c r="I151">
        <v>1.407382258655224</v>
      </c>
      <c r="J151">
        <v>3.1467302629181715</v>
      </c>
      <c r="K151">
        <v>1.7393480042629474</v>
      </c>
      <c r="L151">
        <v>0</v>
      </c>
      <c r="M151">
        <v>0</v>
      </c>
      <c r="N151">
        <v>0</v>
      </c>
      <c r="O151">
        <v>0.15738225865522404</v>
      </c>
      <c r="P151">
        <v>0</v>
      </c>
      <c r="Q151">
        <v>0.25</v>
      </c>
      <c r="R151">
        <v>0</v>
      </c>
      <c r="S151">
        <v>0</v>
      </c>
      <c r="T151">
        <v>0</v>
      </c>
      <c r="U151">
        <v>0</v>
      </c>
      <c r="V151">
        <v>0</v>
      </c>
      <c r="W151">
        <v>0</v>
      </c>
      <c r="X151">
        <v>0</v>
      </c>
      <c r="Y151">
        <v>1</v>
      </c>
      <c r="Z151">
        <v>0</v>
      </c>
      <c r="AA151">
        <v>0</v>
      </c>
      <c r="AB151">
        <v>0</v>
      </c>
      <c r="AC151">
        <v>0</v>
      </c>
      <c r="AD151">
        <v>0</v>
      </c>
      <c r="AE151" t="s">
        <v>246</v>
      </c>
      <c r="AF151">
        <v>20</v>
      </c>
      <c r="AG151" t="s">
        <v>237</v>
      </c>
      <c r="AH151">
        <v>46248</v>
      </c>
      <c r="AI151" t="s">
        <v>149</v>
      </c>
    </row>
    <row r="152" spans="1:35" x14ac:dyDescent="0.25">
      <c r="A152" s="1">
        <v>46248</v>
      </c>
      <c r="B152" t="s">
        <v>148</v>
      </c>
      <c r="C152" t="s">
        <v>12</v>
      </c>
      <c r="D152">
        <v>8.2976109553346369</v>
      </c>
      <c r="E152">
        <v>6.6499999999999995</v>
      </c>
      <c r="F152">
        <v>6.6499999999999995</v>
      </c>
      <c r="G152">
        <v>8.7304227941176471</v>
      </c>
      <c r="H152">
        <v>0.80143550183256451</v>
      </c>
      <c r="I152">
        <v>0.80143550183256451</v>
      </c>
      <c r="J152">
        <v>1.0521610185284416</v>
      </c>
      <c r="K152">
        <v>5.2161018528441572E-2</v>
      </c>
      <c r="L152">
        <v>0</v>
      </c>
      <c r="M152">
        <v>0</v>
      </c>
      <c r="N152">
        <v>0</v>
      </c>
      <c r="O152">
        <v>0</v>
      </c>
      <c r="P152">
        <v>0</v>
      </c>
      <c r="Q152">
        <v>0</v>
      </c>
      <c r="R152">
        <v>0</v>
      </c>
      <c r="S152">
        <v>0</v>
      </c>
      <c r="T152">
        <v>0.19856449816743549</v>
      </c>
      <c r="U152">
        <v>0</v>
      </c>
      <c r="V152">
        <v>0</v>
      </c>
      <c r="W152">
        <v>0</v>
      </c>
      <c r="X152">
        <v>0</v>
      </c>
      <c r="Y152">
        <v>0.80143550183256451</v>
      </c>
      <c r="Z152">
        <v>0</v>
      </c>
      <c r="AA152">
        <v>0</v>
      </c>
      <c r="AB152">
        <v>0</v>
      </c>
      <c r="AC152">
        <v>0</v>
      </c>
      <c r="AD152">
        <v>0</v>
      </c>
      <c r="AE152" t="s">
        <v>246</v>
      </c>
      <c r="AF152">
        <v>20</v>
      </c>
      <c r="AG152" t="s">
        <v>236</v>
      </c>
      <c r="AH152">
        <v>46248</v>
      </c>
      <c r="AI152" t="s">
        <v>149</v>
      </c>
    </row>
    <row r="153" spans="1:35" x14ac:dyDescent="0.25">
      <c r="A153" s="1">
        <v>46249</v>
      </c>
      <c r="B153" t="s">
        <v>148</v>
      </c>
      <c r="C153" t="s">
        <v>12</v>
      </c>
      <c r="D153">
        <v>9.0260866589250472</v>
      </c>
      <c r="E153">
        <v>6.6499999999999995</v>
      </c>
      <c r="F153">
        <v>6.6499999999999995</v>
      </c>
      <c r="G153">
        <v>8.8282569758672693</v>
      </c>
      <c r="H153">
        <v>0.73675339616027735</v>
      </c>
      <c r="I153">
        <v>0.73675339616027735</v>
      </c>
      <c r="J153">
        <v>0.97808245250313852</v>
      </c>
      <c r="K153">
        <v>0</v>
      </c>
      <c r="L153">
        <v>0</v>
      </c>
      <c r="M153">
        <v>0</v>
      </c>
      <c r="N153">
        <v>0</v>
      </c>
      <c r="O153">
        <v>0</v>
      </c>
      <c r="P153">
        <v>0</v>
      </c>
      <c r="Q153">
        <v>0</v>
      </c>
      <c r="R153">
        <v>0</v>
      </c>
      <c r="S153">
        <v>0</v>
      </c>
      <c r="T153">
        <v>0.24132905634286117</v>
      </c>
      <c r="U153">
        <v>2.1917547496861478E-2</v>
      </c>
      <c r="V153">
        <v>0</v>
      </c>
      <c r="W153">
        <v>0</v>
      </c>
      <c r="X153">
        <v>0</v>
      </c>
      <c r="Y153">
        <v>0.73675339616027735</v>
      </c>
      <c r="Z153">
        <v>0</v>
      </c>
      <c r="AA153">
        <v>0</v>
      </c>
      <c r="AB153">
        <v>0</v>
      </c>
      <c r="AC153">
        <v>0</v>
      </c>
      <c r="AD153">
        <v>0</v>
      </c>
      <c r="AE153" t="s">
        <v>246</v>
      </c>
      <c r="AF153">
        <v>20</v>
      </c>
      <c r="AG153" t="s">
        <v>239</v>
      </c>
      <c r="AH153">
        <v>46249</v>
      </c>
      <c r="AI153" t="s">
        <v>149</v>
      </c>
    </row>
    <row r="154" spans="1:35" x14ac:dyDescent="0.25">
      <c r="A154" s="1">
        <v>46249</v>
      </c>
      <c r="B154" t="s">
        <v>148</v>
      </c>
      <c r="C154" t="s">
        <v>11</v>
      </c>
      <c r="D154">
        <v>4.6534617137472107</v>
      </c>
      <c r="E154">
        <v>2.8499999999999996</v>
      </c>
      <c r="F154">
        <v>2.8499999999999996</v>
      </c>
      <c r="G154">
        <v>8.4487815799396682</v>
      </c>
      <c r="H154">
        <v>0.61244728662547232</v>
      </c>
      <c r="I154">
        <v>0.61244728662547232</v>
      </c>
      <c r="J154">
        <v>1.8155906505001129</v>
      </c>
      <c r="K154">
        <v>0.81559065050011292</v>
      </c>
      <c r="L154">
        <v>0</v>
      </c>
      <c r="M154">
        <v>0</v>
      </c>
      <c r="N154">
        <v>0</v>
      </c>
      <c r="O154">
        <v>0</v>
      </c>
      <c r="P154">
        <v>0</v>
      </c>
      <c r="Q154">
        <v>0</v>
      </c>
      <c r="R154">
        <v>0</v>
      </c>
      <c r="S154">
        <v>0</v>
      </c>
      <c r="T154">
        <v>0.38755271337452768</v>
      </c>
      <c r="U154">
        <v>0</v>
      </c>
      <c r="V154">
        <v>0</v>
      </c>
      <c r="W154">
        <v>0</v>
      </c>
      <c r="X154">
        <v>0</v>
      </c>
      <c r="Y154">
        <v>0.61244728662547232</v>
      </c>
      <c r="Z154">
        <v>0</v>
      </c>
      <c r="AA154">
        <v>0</v>
      </c>
      <c r="AB154">
        <v>0</v>
      </c>
      <c r="AC154">
        <v>0</v>
      </c>
      <c r="AD154">
        <v>0</v>
      </c>
      <c r="AE154" t="s">
        <v>246</v>
      </c>
      <c r="AF154">
        <v>20</v>
      </c>
      <c r="AG154" t="s">
        <v>240</v>
      </c>
      <c r="AH154">
        <v>46249</v>
      </c>
      <c r="AI154" t="s">
        <v>149</v>
      </c>
    </row>
    <row r="155" spans="1:35" x14ac:dyDescent="0.25">
      <c r="A155" s="1">
        <v>46249</v>
      </c>
      <c r="B155" t="s">
        <v>148</v>
      </c>
      <c r="C155" t="s">
        <v>10</v>
      </c>
      <c r="D155">
        <v>5.1860068470841494</v>
      </c>
      <c r="E155">
        <v>37.049999999999997</v>
      </c>
      <c r="F155">
        <v>37.049999999999997</v>
      </c>
      <c r="G155">
        <v>9.3051164215686271</v>
      </c>
      <c r="H155">
        <v>7.1442250449074303</v>
      </c>
      <c r="I155">
        <v>7.1442250449074303</v>
      </c>
      <c r="J155">
        <v>1.7942738403441294</v>
      </c>
      <c r="K155">
        <v>0</v>
      </c>
      <c r="L155">
        <v>0</v>
      </c>
      <c r="M155">
        <v>5.3499512045633004</v>
      </c>
      <c r="N155">
        <v>0</v>
      </c>
      <c r="O155">
        <v>0.5442738403441294</v>
      </c>
      <c r="P155">
        <v>0</v>
      </c>
      <c r="Q155">
        <v>0.25</v>
      </c>
      <c r="R155">
        <v>0</v>
      </c>
      <c r="S155">
        <v>0</v>
      </c>
      <c r="T155">
        <v>0</v>
      </c>
      <c r="U155">
        <v>0</v>
      </c>
      <c r="V155">
        <v>0</v>
      </c>
      <c r="W155">
        <v>0</v>
      </c>
      <c r="X155">
        <v>0</v>
      </c>
      <c r="Y155">
        <v>1</v>
      </c>
      <c r="Z155">
        <v>0</v>
      </c>
      <c r="AA155">
        <v>0</v>
      </c>
      <c r="AB155">
        <v>0</v>
      </c>
      <c r="AC155">
        <v>0</v>
      </c>
      <c r="AD155">
        <v>0</v>
      </c>
      <c r="AE155" t="s">
        <v>246</v>
      </c>
      <c r="AF155">
        <v>20</v>
      </c>
      <c r="AG155" t="s">
        <v>241</v>
      </c>
      <c r="AH155">
        <v>46249</v>
      </c>
      <c r="AI155" t="s">
        <v>149</v>
      </c>
    </row>
    <row r="156" spans="1:35" x14ac:dyDescent="0.25">
      <c r="A156" s="1">
        <v>46249</v>
      </c>
      <c r="B156" t="s">
        <v>148</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t="s">
        <v>246</v>
      </c>
      <c r="AF156">
        <v>0</v>
      </c>
      <c r="AG156" t="s">
        <v>247</v>
      </c>
      <c r="AH156">
        <v>46249</v>
      </c>
      <c r="AI156" t="s">
        <v>149</v>
      </c>
    </row>
    <row r="157" spans="1:35" x14ac:dyDescent="0.25">
      <c r="A157" s="1">
        <v>46250</v>
      </c>
      <c r="B157" t="s">
        <v>148</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t="s">
        <v>246</v>
      </c>
      <c r="AF157">
        <v>0</v>
      </c>
      <c r="AG157" t="s">
        <v>248</v>
      </c>
      <c r="AH157">
        <v>46250</v>
      </c>
      <c r="AI157" t="s">
        <v>149</v>
      </c>
    </row>
    <row r="158" spans="1:35" x14ac:dyDescent="0.25">
      <c r="A158" s="1">
        <v>46223</v>
      </c>
      <c r="B158" t="s">
        <v>148</v>
      </c>
      <c r="C158" t="s">
        <v>11</v>
      </c>
      <c r="D158">
        <v>3.8248954181626535</v>
      </c>
      <c r="E158">
        <v>4.75</v>
      </c>
      <c r="F158">
        <v>4.75</v>
      </c>
      <c r="G158">
        <v>4.1764705882352935</v>
      </c>
      <c r="H158">
        <v>1.2418640199793318</v>
      </c>
      <c r="I158">
        <v>1.2418640199793318</v>
      </c>
      <c r="J158">
        <v>1.0919175903223843</v>
      </c>
      <c r="K158">
        <v>0</v>
      </c>
      <c r="L158">
        <v>0</v>
      </c>
      <c r="M158">
        <v>0</v>
      </c>
      <c r="N158">
        <v>0</v>
      </c>
      <c r="O158">
        <v>0</v>
      </c>
      <c r="P158">
        <v>0</v>
      </c>
      <c r="Q158">
        <v>9.1917590322384335E-2</v>
      </c>
      <c r="R158">
        <v>0</v>
      </c>
      <c r="S158">
        <v>0.14994642965694749</v>
      </c>
      <c r="T158">
        <v>0</v>
      </c>
      <c r="U158">
        <v>0</v>
      </c>
      <c r="V158">
        <v>0</v>
      </c>
      <c r="W158">
        <v>0</v>
      </c>
      <c r="X158">
        <v>0</v>
      </c>
      <c r="Y158">
        <v>1</v>
      </c>
      <c r="Z158">
        <v>0</v>
      </c>
      <c r="AA158">
        <v>0</v>
      </c>
      <c r="AB158">
        <v>0</v>
      </c>
      <c r="AC158">
        <v>0</v>
      </c>
      <c r="AD158">
        <v>0</v>
      </c>
      <c r="AE158" t="s">
        <v>249</v>
      </c>
      <c r="AF158">
        <v>20</v>
      </c>
      <c r="AG158" t="s">
        <v>161</v>
      </c>
      <c r="AH158">
        <v>46223</v>
      </c>
      <c r="AI158" t="s">
        <v>149</v>
      </c>
    </row>
    <row r="159" spans="1:35" x14ac:dyDescent="0.25">
      <c r="A159" s="1">
        <v>46223</v>
      </c>
      <c r="B159" t="s">
        <v>148</v>
      </c>
      <c r="C159" t="s">
        <v>12</v>
      </c>
      <c r="D159">
        <v>7.4107348726901421</v>
      </c>
      <c r="E159">
        <v>6.6499999999999995</v>
      </c>
      <c r="F159">
        <v>6.6499999999999995</v>
      </c>
      <c r="G159">
        <v>8.3768907563025117</v>
      </c>
      <c r="H159">
        <v>0.89734690475925893</v>
      </c>
      <c r="I159">
        <v>0.89734690475925893</v>
      </c>
      <c r="J159">
        <v>1.1303724799510537</v>
      </c>
      <c r="K159">
        <v>0.13037247995105372</v>
      </c>
      <c r="L159">
        <v>0</v>
      </c>
      <c r="M159">
        <v>0</v>
      </c>
      <c r="N159">
        <v>0</v>
      </c>
      <c r="O159">
        <v>0</v>
      </c>
      <c r="P159">
        <v>0</v>
      </c>
      <c r="Q159">
        <v>0</v>
      </c>
      <c r="R159">
        <v>0</v>
      </c>
      <c r="S159">
        <v>0</v>
      </c>
      <c r="T159">
        <v>0.10265309524074107</v>
      </c>
      <c r="U159">
        <v>0</v>
      </c>
      <c r="V159">
        <v>0</v>
      </c>
      <c r="W159">
        <v>0</v>
      </c>
      <c r="X159">
        <v>0</v>
      </c>
      <c r="Y159">
        <v>0.89734690475925893</v>
      </c>
      <c r="Z159">
        <v>0</v>
      </c>
      <c r="AA159">
        <v>0</v>
      </c>
      <c r="AB159">
        <v>0</v>
      </c>
      <c r="AC159">
        <v>0</v>
      </c>
      <c r="AD159">
        <v>0</v>
      </c>
      <c r="AE159" t="s">
        <v>249</v>
      </c>
      <c r="AF159">
        <v>20</v>
      </c>
      <c r="AG159" t="s">
        <v>162</v>
      </c>
      <c r="AH159">
        <v>46223</v>
      </c>
      <c r="AI159" t="s">
        <v>149</v>
      </c>
    </row>
    <row r="160" spans="1:35" x14ac:dyDescent="0.25">
      <c r="A160" s="1">
        <v>46223</v>
      </c>
      <c r="B160" t="s">
        <v>148</v>
      </c>
      <c r="C160" t="s">
        <v>10</v>
      </c>
      <c r="D160">
        <v>10.279406436312131</v>
      </c>
      <c r="E160">
        <v>26.6</v>
      </c>
      <c r="F160">
        <v>26.6</v>
      </c>
      <c r="G160">
        <v>8.7959033613445357</v>
      </c>
      <c r="H160">
        <v>2.5876980509336773</v>
      </c>
      <c r="I160">
        <v>2.5876980509336773</v>
      </c>
      <c r="J160">
        <v>0.85568202948692618</v>
      </c>
      <c r="K160">
        <v>0</v>
      </c>
      <c r="L160">
        <v>0</v>
      </c>
      <c r="M160">
        <v>1.3376980509336773</v>
      </c>
      <c r="N160">
        <v>0</v>
      </c>
      <c r="O160">
        <v>0</v>
      </c>
      <c r="P160">
        <v>0</v>
      </c>
      <c r="Q160">
        <v>0</v>
      </c>
      <c r="R160">
        <v>0</v>
      </c>
      <c r="S160">
        <v>0.25</v>
      </c>
      <c r="T160">
        <v>0</v>
      </c>
      <c r="U160">
        <v>0</v>
      </c>
      <c r="V160">
        <v>0</v>
      </c>
      <c r="W160">
        <v>0.14431797051307382</v>
      </c>
      <c r="X160">
        <v>0</v>
      </c>
      <c r="Y160">
        <v>0.85568202948692618</v>
      </c>
      <c r="Z160">
        <v>0</v>
      </c>
      <c r="AA160">
        <v>0</v>
      </c>
      <c r="AB160">
        <v>0</v>
      </c>
      <c r="AC160">
        <v>0</v>
      </c>
      <c r="AD160">
        <v>0</v>
      </c>
      <c r="AE160" t="s">
        <v>249</v>
      </c>
      <c r="AF160">
        <v>20</v>
      </c>
      <c r="AG160" t="s">
        <v>163</v>
      </c>
      <c r="AH160">
        <v>46223</v>
      </c>
      <c r="AI160" t="s">
        <v>149</v>
      </c>
    </row>
    <row r="161" spans="1:35" x14ac:dyDescent="0.25">
      <c r="A161" s="1">
        <v>46224</v>
      </c>
      <c r="B161" t="s">
        <v>148</v>
      </c>
      <c r="C161" t="s">
        <v>12</v>
      </c>
      <c r="D161">
        <v>7.4107348726901421</v>
      </c>
      <c r="E161">
        <v>7.6</v>
      </c>
      <c r="F161">
        <v>7.6</v>
      </c>
      <c r="G161">
        <v>7.6602941176470525</v>
      </c>
      <c r="H161">
        <v>1.0255393197248672</v>
      </c>
      <c r="I161">
        <v>1.0255393197248672</v>
      </c>
      <c r="J161">
        <v>1.033675370829495</v>
      </c>
      <c r="K161">
        <v>8.1360511046277839E-3</v>
      </c>
      <c r="L161">
        <v>0</v>
      </c>
      <c r="M161">
        <v>0</v>
      </c>
      <c r="N161">
        <v>0</v>
      </c>
      <c r="O161">
        <v>0</v>
      </c>
      <c r="P161">
        <v>0</v>
      </c>
      <c r="Q161">
        <v>2.5539319724867227E-2</v>
      </c>
      <c r="R161">
        <v>0</v>
      </c>
      <c r="S161">
        <v>0</v>
      </c>
      <c r="T161">
        <v>0</v>
      </c>
      <c r="U161">
        <v>0</v>
      </c>
      <c r="V161">
        <v>0</v>
      </c>
      <c r="W161">
        <v>0</v>
      </c>
      <c r="X161">
        <v>0</v>
      </c>
      <c r="Y161">
        <v>1</v>
      </c>
      <c r="Z161">
        <v>0</v>
      </c>
      <c r="AA161">
        <v>0</v>
      </c>
      <c r="AB161">
        <v>0</v>
      </c>
      <c r="AC161">
        <v>0</v>
      </c>
      <c r="AD161">
        <v>0</v>
      </c>
      <c r="AE161" t="s">
        <v>249</v>
      </c>
      <c r="AF161">
        <v>20</v>
      </c>
      <c r="AG161" t="s">
        <v>166</v>
      </c>
      <c r="AH161">
        <v>46224</v>
      </c>
      <c r="AI161" t="s">
        <v>149</v>
      </c>
    </row>
    <row r="162" spans="1:35" x14ac:dyDescent="0.25">
      <c r="A162" s="1">
        <v>46224</v>
      </c>
      <c r="B162" t="s">
        <v>148</v>
      </c>
      <c r="C162" t="s">
        <v>11</v>
      </c>
      <c r="D162">
        <v>3.8248954181626535</v>
      </c>
      <c r="E162">
        <v>3.8</v>
      </c>
      <c r="F162">
        <v>3.8</v>
      </c>
      <c r="G162">
        <v>3.2058823529411757</v>
      </c>
      <c r="H162">
        <v>0.99349121598346535</v>
      </c>
      <c r="I162">
        <v>0.99349121598346535</v>
      </c>
      <c r="J162">
        <v>0.83816209397985841</v>
      </c>
      <c r="K162">
        <v>0</v>
      </c>
      <c r="L162">
        <v>0</v>
      </c>
      <c r="M162">
        <v>0</v>
      </c>
      <c r="N162">
        <v>0</v>
      </c>
      <c r="O162">
        <v>0</v>
      </c>
      <c r="P162">
        <v>0</v>
      </c>
      <c r="Q162">
        <v>0</v>
      </c>
      <c r="R162">
        <v>0</v>
      </c>
      <c r="S162">
        <v>0</v>
      </c>
      <c r="T162">
        <v>0</v>
      </c>
      <c r="U162">
        <v>6.5087840165346522E-3</v>
      </c>
      <c r="V162">
        <v>0</v>
      </c>
      <c r="W162">
        <v>0.15532912200360693</v>
      </c>
      <c r="X162">
        <v>0</v>
      </c>
      <c r="Y162">
        <v>0.83816209397985841</v>
      </c>
      <c r="Z162">
        <v>0</v>
      </c>
      <c r="AA162">
        <v>0</v>
      </c>
      <c r="AB162">
        <v>0</v>
      </c>
      <c r="AC162">
        <v>0</v>
      </c>
      <c r="AD162">
        <v>0</v>
      </c>
      <c r="AE162" t="s">
        <v>249</v>
      </c>
      <c r="AF162">
        <v>20</v>
      </c>
      <c r="AG162" t="s">
        <v>164</v>
      </c>
      <c r="AH162">
        <v>46224</v>
      </c>
      <c r="AI162" t="s">
        <v>149</v>
      </c>
    </row>
    <row r="163" spans="1:35" x14ac:dyDescent="0.25">
      <c r="A163" s="1">
        <v>46224</v>
      </c>
      <c r="B163" t="s">
        <v>148</v>
      </c>
      <c r="C163" t="s">
        <v>10</v>
      </c>
      <c r="D163">
        <v>10.279406436312131</v>
      </c>
      <c r="E163">
        <v>25.65</v>
      </c>
      <c r="F163">
        <v>25.65</v>
      </c>
      <c r="G163">
        <v>9.4058823529411733</v>
      </c>
      <c r="H163">
        <v>2.4952802634003315</v>
      </c>
      <c r="I163">
        <v>2.4952802634003315</v>
      </c>
      <c r="J163">
        <v>0.91502193353448669</v>
      </c>
      <c r="K163">
        <v>0</v>
      </c>
      <c r="L163">
        <v>0</v>
      </c>
      <c r="M163">
        <v>1.2452802634003315</v>
      </c>
      <c r="N163">
        <v>0</v>
      </c>
      <c r="O163">
        <v>0</v>
      </c>
      <c r="P163">
        <v>0</v>
      </c>
      <c r="Q163">
        <v>0</v>
      </c>
      <c r="R163">
        <v>0</v>
      </c>
      <c r="S163">
        <v>0.25</v>
      </c>
      <c r="T163">
        <v>0</v>
      </c>
      <c r="U163">
        <v>0</v>
      </c>
      <c r="V163">
        <v>0</v>
      </c>
      <c r="W163">
        <v>8.4978066465513313E-2</v>
      </c>
      <c r="X163">
        <v>0</v>
      </c>
      <c r="Y163">
        <v>0.91502193353448669</v>
      </c>
      <c r="Z163">
        <v>0</v>
      </c>
      <c r="AA163">
        <v>0</v>
      </c>
      <c r="AB163">
        <v>0</v>
      </c>
      <c r="AC163">
        <v>0</v>
      </c>
      <c r="AD163">
        <v>0</v>
      </c>
      <c r="AE163" t="s">
        <v>249</v>
      </c>
      <c r="AF163">
        <v>20</v>
      </c>
      <c r="AG163" t="s">
        <v>165</v>
      </c>
      <c r="AH163">
        <v>46224</v>
      </c>
      <c r="AI163" t="s">
        <v>149</v>
      </c>
    </row>
    <row r="164" spans="1:35" x14ac:dyDescent="0.25">
      <c r="A164" s="1">
        <v>46225</v>
      </c>
      <c r="B164" t="s">
        <v>148</v>
      </c>
      <c r="C164" t="s">
        <v>10</v>
      </c>
      <c r="D164">
        <v>9.3231825817714675</v>
      </c>
      <c r="E164">
        <v>38</v>
      </c>
      <c r="F164">
        <v>38</v>
      </c>
      <c r="G164">
        <v>7.4758738277919807</v>
      </c>
      <c r="H164">
        <v>4.0758613989065253</v>
      </c>
      <c r="I164">
        <v>4.0758613989065253</v>
      </c>
      <c r="J164">
        <v>0.80185856731033944</v>
      </c>
      <c r="K164">
        <v>0</v>
      </c>
      <c r="L164">
        <v>0</v>
      </c>
      <c r="M164">
        <v>2.8258613989065253</v>
      </c>
      <c r="N164">
        <v>0</v>
      </c>
      <c r="O164">
        <v>0</v>
      </c>
      <c r="P164">
        <v>0</v>
      </c>
      <c r="Q164">
        <v>0</v>
      </c>
      <c r="R164">
        <v>0</v>
      </c>
      <c r="S164">
        <v>0.25</v>
      </c>
      <c r="T164">
        <v>0</v>
      </c>
      <c r="U164">
        <v>0</v>
      </c>
      <c r="V164">
        <v>0</v>
      </c>
      <c r="W164">
        <v>0.19814143268966056</v>
      </c>
      <c r="X164">
        <v>0</v>
      </c>
      <c r="Y164">
        <v>0.80185856731033944</v>
      </c>
      <c r="Z164">
        <v>0</v>
      </c>
      <c r="AA164">
        <v>0</v>
      </c>
      <c r="AB164">
        <v>0</v>
      </c>
      <c r="AC164">
        <v>0</v>
      </c>
      <c r="AD164">
        <v>0</v>
      </c>
      <c r="AE164" t="s">
        <v>249</v>
      </c>
      <c r="AF164">
        <v>20</v>
      </c>
      <c r="AG164" t="s">
        <v>167</v>
      </c>
      <c r="AH164">
        <v>46225</v>
      </c>
      <c r="AI164" t="s">
        <v>149</v>
      </c>
    </row>
    <row r="165" spans="1:35" x14ac:dyDescent="0.25">
      <c r="A165" s="1">
        <v>46225</v>
      </c>
      <c r="B165" t="s">
        <v>148</v>
      </c>
      <c r="C165" t="s">
        <v>12</v>
      </c>
      <c r="D165">
        <v>6.6935669817846444</v>
      </c>
      <c r="E165">
        <v>6.6499999999999995</v>
      </c>
      <c r="F165">
        <v>6.6499999999999995</v>
      </c>
      <c r="G165">
        <v>6.6307438192668346</v>
      </c>
      <c r="H165">
        <v>0.99349121598346524</v>
      </c>
      <c r="I165">
        <v>0.99349121598346524</v>
      </c>
      <c r="J165">
        <v>0.99061439697417364</v>
      </c>
      <c r="K165">
        <v>0</v>
      </c>
      <c r="L165">
        <v>0</v>
      </c>
      <c r="M165">
        <v>0</v>
      </c>
      <c r="N165">
        <v>0</v>
      </c>
      <c r="O165">
        <v>0</v>
      </c>
      <c r="P165">
        <v>0</v>
      </c>
      <c r="Q165">
        <v>0</v>
      </c>
      <c r="R165">
        <v>0</v>
      </c>
      <c r="S165">
        <v>0</v>
      </c>
      <c r="T165">
        <v>0</v>
      </c>
      <c r="U165">
        <v>6.5087840165347632E-3</v>
      </c>
      <c r="V165">
        <v>0</v>
      </c>
      <c r="W165">
        <v>2.876819009291598E-3</v>
      </c>
      <c r="X165">
        <v>0</v>
      </c>
      <c r="Y165">
        <v>0.99061439697417364</v>
      </c>
      <c r="Z165">
        <v>0</v>
      </c>
      <c r="AA165">
        <v>0</v>
      </c>
      <c r="AB165">
        <v>0</v>
      </c>
      <c r="AC165">
        <v>0</v>
      </c>
      <c r="AD165">
        <v>0</v>
      </c>
      <c r="AE165" t="s">
        <v>249</v>
      </c>
      <c r="AF165">
        <v>20</v>
      </c>
      <c r="AG165" t="s">
        <v>168</v>
      </c>
      <c r="AH165">
        <v>46225</v>
      </c>
      <c r="AI165" t="s">
        <v>149</v>
      </c>
    </row>
    <row r="166" spans="1:35" x14ac:dyDescent="0.25">
      <c r="A166" s="1">
        <v>46225</v>
      </c>
      <c r="B166" t="s">
        <v>148</v>
      </c>
      <c r="C166" t="s">
        <v>11</v>
      </c>
      <c r="D166">
        <v>3.8248954181626535</v>
      </c>
      <c r="E166">
        <v>4.75</v>
      </c>
      <c r="F166">
        <v>4.75</v>
      </c>
      <c r="G166">
        <v>3.2058823529411757</v>
      </c>
      <c r="H166">
        <v>1.2418640199793318</v>
      </c>
      <c r="I166">
        <v>1.2418640199793318</v>
      </c>
      <c r="J166">
        <v>0.83816209397985841</v>
      </c>
      <c r="K166">
        <v>0</v>
      </c>
      <c r="L166">
        <v>0</v>
      </c>
      <c r="M166">
        <v>0</v>
      </c>
      <c r="N166">
        <v>0</v>
      </c>
      <c r="O166">
        <v>0</v>
      </c>
      <c r="P166">
        <v>0</v>
      </c>
      <c r="Q166">
        <v>0</v>
      </c>
      <c r="R166">
        <v>0</v>
      </c>
      <c r="S166">
        <v>0.24186401997933182</v>
      </c>
      <c r="T166">
        <v>0</v>
      </c>
      <c r="U166">
        <v>0</v>
      </c>
      <c r="V166">
        <v>0</v>
      </c>
      <c r="W166">
        <v>0.16183790602014159</v>
      </c>
      <c r="X166">
        <v>0</v>
      </c>
      <c r="Y166">
        <v>0.83816209397985841</v>
      </c>
      <c r="Z166">
        <v>0</v>
      </c>
      <c r="AA166">
        <v>0</v>
      </c>
      <c r="AB166">
        <v>0</v>
      </c>
      <c r="AC166">
        <v>0</v>
      </c>
      <c r="AD166">
        <v>0</v>
      </c>
      <c r="AE166" t="s">
        <v>249</v>
      </c>
      <c r="AF166">
        <v>20</v>
      </c>
      <c r="AG166" t="s">
        <v>169</v>
      </c>
      <c r="AH166">
        <v>46225</v>
      </c>
      <c r="AI166" t="s">
        <v>149</v>
      </c>
    </row>
    <row r="167" spans="1:35" x14ac:dyDescent="0.25">
      <c r="A167" s="1">
        <v>46226</v>
      </c>
      <c r="B167" t="s">
        <v>148</v>
      </c>
      <c r="C167" t="s">
        <v>12</v>
      </c>
      <c r="D167">
        <v>7.4107348726901421</v>
      </c>
      <c r="E167">
        <v>6.6499999999999995</v>
      </c>
      <c r="F167">
        <v>6.6499999999999995</v>
      </c>
      <c r="G167">
        <v>6.159803921568626</v>
      </c>
      <c r="H167">
        <v>0.89734690475925893</v>
      </c>
      <c r="I167">
        <v>0.89734690475925893</v>
      </c>
      <c r="J167">
        <v>0.83120014781106044</v>
      </c>
      <c r="K167">
        <v>0</v>
      </c>
      <c r="L167">
        <v>0</v>
      </c>
      <c r="M167">
        <v>0</v>
      </c>
      <c r="N167">
        <v>0</v>
      </c>
      <c r="O167">
        <v>0</v>
      </c>
      <c r="P167">
        <v>0</v>
      </c>
      <c r="Q167">
        <v>0</v>
      </c>
      <c r="R167">
        <v>0</v>
      </c>
      <c r="S167">
        <v>0</v>
      </c>
      <c r="T167">
        <v>0</v>
      </c>
      <c r="U167">
        <v>0.10265309524074107</v>
      </c>
      <c r="V167">
        <v>0</v>
      </c>
      <c r="W167">
        <v>6.6146756948198493E-2</v>
      </c>
      <c r="X167">
        <v>0</v>
      </c>
      <c r="Y167">
        <v>0.83120014781106044</v>
      </c>
      <c r="Z167">
        <v>0</v>
      </c>
      <c r="AA167">
        <v>0</v>
      </c>
      <c r="AB167">
        <v>0</v>
      </c>
      <c r="AC167">
        <v>0</v>
      </c>
      <c r="AD167">
        <v>0</v>
      </c>
      <c r="AE167" t="s">
        <v>249</v>
      </c>
      <c r="AF167">
        <v>20</v>
      </c>
      <c r="AG167" t="s">
        <v>170</v>
      </c>
      <c r="AH167">
        <v>46226</v>
      </c>
      <c r="AI167" t="s">
        <v>149</v>
      </c>
    </row>
    <row r="168" spans="1:35" x14ac:dyDescent="0.25">
      <c r="A168" s="1">
        <v>46226</v>
      </c>
      <c r="B168" t="s">
        <v>148</v>
      </c>
      <c r="C168" t="s">
        <v>10</v>
      </c>
      <c r="D168">
        <v>10.279406436312131</v>
      </c>
      <c r="E168">
        <v>14.25</v>
      </c>
      <c r="F168">
        <v>14.25</v>
      </c>
      <c r="G168">
        <v>9.1269607843137184</v>
      </c>
      <c r="H168">
        <v>1.3862668130001843</v>
      </c>
      <c r="I168">
        <v>1.3862668130001843</v>
      </c>
      <c r="J168">
        <v>0.88788791851566606</v>
      </c>
      <c r="K168">
        <v>0</v>
      </c>
      <c r="L168">
        <v>0</v>
      </c>
      <c r="M168">
        <v>0.13626681300018428</v>
      </c>
      <c r="N168">
        <v>0</v>
      </c>
      <c r="O168">
        <v>0</v>
      </c>
      <c r="P168">
        <v>0</v>
      </c>
      <c r="Q168">
        <v>0</v>
      </c>
      <c r="R168">
        <v>0</v>
      </c>
      <c r="S168">
        <v>0.25</v>
      </c>
      <c r="T168">
        <v>0</v>
      </c>
      <c r="U168">
        <v>0</v>
      </c>
      <c r="V168">
        <v>0</v>
      </c>
      <c r="W168">
        <v>0.11211208148433394</v>
      </c>
      <c r="X168">
        <v>0</v>
      </c>
      <c r="Y168">
        <v>0.88788791851566606</v>
      </c>
      <c r="Z168">
        <v>0</v>
      </c>
      <c r="AA168">
        <v>0</v>
      </c>
      <c r="AB168">
        <v>0</v>
      </c>
      <c r="AC168">
        <v>0</v>
      </c>
      <c r="AD168">
        <v>0</v>
      </c>
      <c r="AE168" t="s">
        <v>249</v>
      </c>
      <c r="AF168">
        <v>20</v>
      </c>
      <c r="AG168" t="s">
        <v>171</v>
      </c>
      <c r="AH168">
        <v>46226</v>
      </c>
      <c r="AI168" t="s">
        <v>149</v>
      </c>
    </row>
    <row r="169" spans="1:35" x14ac:dyDescent="0.25">
      <c r="A169" s="1">
        <v>46226</v>
      </c>
      <c r="B169" t="s">
        <v>148</v>
      </c>
      <c r="C169" t="s">
        <v>11</v>
      </c>
      <c r="D169">
        <v>3.8248954181626535</v>
      </c>
      <c r="E169">
        <v>2.8499999999999996</v>
      </c>
      <c r="F169">
        <v>2.8499999999999996</v>
      </c>
      <c r="G169">
        <v>2.235294117647058</v>
      </c>
      <c r="H169">
        <v>0.74511841198759898</v>
      </c>
      <c r="I169">
        <v>0.74511841198759898</v>
      </c>
      <c r="J169">
        <v>0.58440659763733238</v>
      </c>
      <c r="K169">
        <v>0</v>
      </c>
      <c r="L169">
        <v>0</v>
      </c>
      <c r="M169">
        <v>0</v>
      </c>
      <c r="N169">
        <v>0</v>
      </c>
      <c r="O169">
        <v>0</v>
      </c>
      <c r="P169">
        <v>0</v>
      </c>
      <c r="Q169">
        <v>0</v>
      </c>
      <c r="R169">
        <v>0</v>
      </c>
      <c r="S169">
        <v>0</v>
      </c>
      <c r="T169">
        <v>0</v>
      </c>
      <c r="U169">
        <v>0.25488158801240102</v>
      </c>
      <c r="V169">
        <v>0</v>
      </c>
      <c r="W169">
        <v>0.1607118143502666</v>
      </c>
      <c r="X169">
        <v>0</v>
      </c>
      <c r="Y169">
        <v>0.58440659763733238</v>
      </c>
      <c r="Z169">
        <v>0</v>
      </c>
      <c r="AA169">
        <v>0</v>
      </c>
      <c r="AB169">
        <v>0</v>
      </c>
      <c r="AC169">
        <v>0</v>
      </c>
      <c r="AD169">
        <v>0</v>
      </c>
      <c r="AE169" t="s">
        <v>249</v>
      </c>
      <c r="AF169">
        <v>20</v>
      </c>
      <c r="AG169" t="s">
        <v>172</v>
      </c>
      <c r="AH169">
        <v>46226</v>
      </c>
      <c r="AI169" t="s">
        <v>149</v>
      </c>
    </row>
    <row r="170" spans="1:35" x14ac:dyDescent="0.25">
      <c r="A170" s="1">
        <v>46227</v>
      </c>
      <c r="B170" t="s">
        <v>148</v>
      </c>
      <c r="C170" t="s">
        <v>10</v>
      </c>
      <c r="D170">
        <v>9.3231825817714675</v>
      </c>
      <c r="E170">
        <v>22.799999999999997</v>
      </c>
      <c r="F170">
        <v>22.799999999999997</v>
      </c>
      <c r="G170">
        <v>8.2882352941176443</v>
      </c>
      <c r="H170">
        <v>2.4455168393439148</v>
      </c>
      <c r="I170">
        <v>2.4455168393439148</v>
      </c>
      <c r="J170">
        <v>0.88899206053549407</v>
      </c>
      <c r="K170">
        <v>0</v>
      </c>
      <c r="L170">
        <v>0</v>
      </c>
      <c r="M170">
        <v>1.1955168393439148</v>
      </c>
      <c r="N170">
        <v>0</v>
      </c>
      <c r="O170">
        <v>0</v>
      </c>
      <c r="P170">
        <v>0</v>
      </c>
      <c r="Q170">
        <v>0</v>
      </c>
      <c r="R170">
        <v>0</v>
      </c>
      <c r="S170">
        <v>0.25</v>
      </c>
      <c r="T170">
        <v>0</v>
      </c>
      <c r="U170">
        <v>0</v>
      </c>
      <c r="V170">
        <v>0</v>
      </c>
      <c r="W170">
        <v>0.11100793946450593</v>
      </c>
      <c r="X170">
        <v>0</v>
      </c>
      <c r="Y170">
        <v>0.88899206053549407</v>
      </c>
      <c r="Z170">
        <v>0</v>
      </c>
      <c r="AA170">
        <v>0</v>
      </c>
      <c r="AB170">
        <v>0</v>
      </c>
      <c r="AC170">
        <v>0</v>
      </c>
      <c r="AD170">
        <v>0</v>
      </c>
      <c r="AE170" t="s">
        <v>249</v>
      </c>
      <c r="AF170">
        <v>20</v>
      </c>
      <c r="AG170" t="s">
        <v>173</v>
      </c>
      <c r="AH170">
        <v>46227</v>
      </c>
      <c r="AI170" t="s">
        <v>149</v>
      </c>
    </row>
    <row r="171" spans="1:35" x14ac:dyDescent="0.25">
      <c r="A171" s="1">
        <v>46227</v>
      </c>
      <c r="B171" t="s">
        <v>148</v>
      </c>
      <c r="C171" t="s">
        <v>11</v>
      </c>
      <c r="D171">
        <v>3.8248954181626535</v>
      </c>
      <c r="E171">
        <v>3.8</v>
      </c>
      <c r="F171">
        <v>3.8</v>
      </c>
      <c r="G171">
        <v>3.2058823529411757</v>
      </c>
      <c r="H171">
        <v>0.99349121598346535</v>
      </c>
      <c r="I171">
        <v>0.99349121598346535</v>
      </c>
      <c r="J171">
        <v>0.83816209397985841</v>
      </c>
      <c r="K171">
        <v>0</v>
      </c>
      <c r="L171">
        <v>0</v>
      </c>
      <c r="M171">
        <v>0</v>
      </c>
      <c r="N171">
        <v>0</v>
      </c>
      <c r="O171">
        <v>0</v>
      </c>
      <c r="P171">
        <v>0</v>
      </c>
      <c r="Q171">
        <v>0</v>
      </c>
      <c r="R171">
        <v>0</v>
      </c>
      <c r="S171">
        <v>0</v>
      </c>
      <c r="T171">
        <v>0</v>
      </c>
      <c r="U171">
        <v>6.5087840165346522E-3</v>
      </c>
      <c r="V171">
        <v>0</v>
      </c>
      <c r="W171">
        <v>0.15532912200360693</v>
      </c>
      <c r="X171">
        <v>0</v>
      </c>
      <c r="Y171">
        <v>0.83816209397985841</v>
      </c>
      <c r="Z171">
        <v>0</v>
      </c>
      <c r="AA171">
        <v>0</v>
      </c>
      <c r="AB171">
        <v>0</v>
      </c>
      <c r="AC171">
        <v>0</v>
      </c>
      <c r="AD171">
        <v>0</v>
      </c>
      <c r="AE171" t="s">
        <v>249</v>
      </c>
      <c r="AF171">
        <v>20</v>
      </c>
      <c r="AG171" t="s">
        <v>174</v>
      </c>
      <c r="AH171">
        <v>46227</v>
      </c>
      <c r="AI171" t="s">
        <v>149</v>
      </c>
    </row>
    <row r="172" spans="1:35" x14ac:dyDescent="0.25">
      <c r="A172" s="1">
        <v>46227</v>
      </c>
      <c r="B172" t="s">
        <v>148</v>
      </c>
      <c r="C172" t="s">
        <v>12</v>
      </c>
      <c r="D172">
        <v>7.4107348726901421</v>
      </c>
      <c r="E172">
        <v>6.6499999999999995</v>
      </c>
      <c r="F172">
        <v>6.6499999999999995</v>
      </c>
      <c r="G172">
        <v>7.4838235294117599</v>
      </c>
      <c r="H172">
        <v>0.89734690475925893</v>
      </c>
      <c r="I172">
        <v>0.89734690475925893</v>
      </c>
      <c r="J172">
        <v>1.0098625383281437</v>
      </c>
      <c r="K172">
        <v>9.8625383281436552E-3</v>
      </c>
      <c r="L172">
        <v>0</v>
      </c>
      <c r="M172">
        <v>0</v>
      </c>
      <c r="N172">
        <v>0</v>
      </c>
      <c r="O172">
        <v>0</v>
      </c>
      <c r="P172">
        <v>0</v>
      </c>
      <c r="Q172">
        <v>0</v>
      </c>
      <c r="R172">
        <v>0</v>
      </c>
      <c r="S172">
        <v>0</v>
      </c>
      <c r="T172">
        <v>0.10265309524074107</v>
      </c>
      <c r="U172">
        <v>0</v>
      </c>
      <c r="V172">
        <v>0</v>
      </c>
      <c r="W172">
        <v>0</v>
      </c>
      <c r="X172">
        <v>0</v>
      </c>
      <c r="Y172">
        <v>0.89734690475925893</v>
      </c>
      <c r="Z172">
        <v>0</v>
      </c>
      <c r="AA172">
        <v>0</v>
      </c>
      <c r="AB172">
        <v>0</v>
      </c>
      <c r="AC172">
        <v>0</v>
      </c>
      <c r="AD172">
        <v>0</v>
      </c>
      <c r="AE172" t="s">
        <v>249</v>
      </c>
      <c r="AF172">
        <v>20</v>
      </c>
      <c r="AG172" t="s">
        <v>175</v>
      </c>
      <c r="AH172">
        <v>46227</v>
      </c>
      <c r="AI172" t="s">
        <v>149</v>
      </c>
    </row>
    <row r="173" spans="1:35" x14ac:dyDescent="0.25">
      <c r="A173" s="1">
        <v>46228</v>
      </c>
      <c r="B173" t="s">
        <v>148</v>
      </c>
      <c r="C173" t="s">
        <v>10</v>
      </c>
      <c r="D173">
        <v>9.3231825817714675</v>
      </c>
      <c r="E173">
        <v>8.5499999999999989</v>
      </c>
      <c r="F173">
        <v>8.5499999999999989</v>
      </c>
      <c r="G173">
        <v>9.8422385620914934</v>
      </c>
      <c r="H173">
        <v>0.91706881475396795</v>
      </c>
      <c r="I173">
        <v>0.91706881475396795</v>
      </c>
      <c r="J173">
        <v>1.0556736903699468</v>
      </c>
      <c r="K173">
        <v>5.5673690369946849E-2</v>
      </c>
      <c r="L173">
        <v>0</v>
      </c>
      <c r="M173">
        <v>0</v>
      </c>
      <c r="N173">
        <v>0</v>
      </c>
      <c r="O173">
        <v>0</v>
      </c>
      <c r="P173">
        <v>0</v>
      </c>
      <c r="Q173">
        <v>0</v>
      </c>
      <c r="R173">
        <v>0</v>
      </c>
      <c r="S173">
        <v>0</v>
      </c>
      <c r="T173">
        <v>8.2931185246032046E-2</v>
      </c>
      <c r="U173">
        <v>0</v>
      </c>
      <c r="V173">
        <v>0</v>
      </c>
      <c r="W173">
        <v>0</v>
      </c>
      <c r="X173">
        <v>0</v>
      </c>
      <c r="Y173">
        <v>0.91706881475396795</v>
      </c>
      <c r="Z173">
        <v>0</v>
      </c>
      <c r="AA173">
        <v>0</v>
      </c>
      <c r="AB173">
        <v>0</v>
      </c>
      <c r="AC173">
        <v>0</v>
      </c>
      <c r="AD173">
        <v>0</v>
      </c>
      <c r="AE173" t="s">
        <v>249</v>
      </c>
      <c r="AF173">
        <v>20</v>
      </c>
      <c r="AG173" t="s">
        <v>176</v>
      </c>
      <c r="AH173">
        <v>46228</v>
      </c>
      <c r="AI173" t="s">
        <v>149</v>
      </c>
    </row>
    <row r="174" spans="1:35" x14ac:dyDescent="0.25">
      <c r="A174" s="1">
        <v>46228</v>
      </c>
      <c r="B174" t="s">
        <v>148</v>
      </c>
      <c r="C174" t="s">
        <v>11</v>
      </c>
      <c r="D174">
        <v>3.8248954181626535</v>
      </c>
      <c r="E174">
        <v>1.9</v>
      </c>
      <c r="F174">
        <v>1.9</v>
      </c>
      <c r="G174">
        <v>1.5294117647058818</v>
      </c>
      <c r="H174">
        <v>0.49674560799173267</v>
      </c>
      <c r="I174">
        <v>0.49674560799173267</v>
      </c>
      <c r="J174">
        <v>0.39985714575185899</v>
      </c>
      <c r="K174">
        <v>0</v>
      </c>
      <c r="L174">
        <v>0</v>
      </c>
      <c r="M174">
        <v>0</v>
      </c>
      <c r="N174">
        <v>0</v>
      </c>
      <c r="O174">
        <v>0</v>
      </c>
      <c r="P174">
        <v>0</v>
      </c>
      <c r="Q174">
        <v>0</v>
      </c>
      <c r="R174">
        <v>0</v>
      </c>
      <c r="S174">
        <v>0</v>
      </c>
      <c r="T174">
        <v>0</v>
      </c>
      <c r="U174">
        <v>0.50325439200826727</v>
      </c>
      <c r="V174">
        <v>0</v>
      </c>
      <c r="W174">
        <v>9.6888462239873685E-2</v>
      </c>
      <c r="X174">
        <v>0</v>
      </c>
      <c r="Y174">
        <v>0.39985714575185899</v>
      </c>
      <c r="Z174">
        <v>0</v>
      </c>
      <c r="AA174">
        <v>0</v>
      </c>
      <c r="AB174">
        <v>0</v>
      </c>
      <c r="AC174">
        <v>0</v>
      </c>
      <c r="AD174">
        <v>0</v>
      </c>
      <c r="AE174" t="s">
        <v>249</v>
      </c>
      <c r="AF174">
        <v>20</v>
      </c>
      <c r="AG174" t="s">
        <v>177</v>
      </c>
      <c r="AH174">
        <v>46228</v>
      </c>
      <c r="AI174" t="s">
        <v>149</v>
      </c>
    </row>
    <row r="175" spans="1:35" x14ac:dyDescent="0.25">
      <c r="A175" s="1">
        <v>46228</v>
      </c>
      <c r="B175" t="s">
        <v>148</v>
      </c>
      <c r="C175" t="s">
        <v>12</v>
      </c>
      <c r="D175">
        <v>7.4107348726901421</v>
      </c>
      <c r="E175">
        <v>6.6499999999999995</v>
      </c>
      <c r="F175">
        <v>6.6499999999999995</v>
      </c>
      <c r="G175">
        <v>8.3967320261437859</v>
      </c>
      <c r="H175">
        <v>0.89734690475925893</v>
      </c>
      <c r="I175">
        <v>0.89734690475925893</v>
      </c>
      <c r="J175">
        <v>1.1330498486846718</v>
      </c>
      <c r="K175">
        <v>0.13304984868467185</v>
      </c>
      <c r="L175">
        <v>0</v>
      </c>
      <c r="M175">
        <v>0</v>
      </c>
      <c r="N175">
        <v>0</v>
      </c>
      <c r="O175">
        <v>0</v>
      </c>
      <c r="P175">
        <v>0</v>
      </c>
      <c r="Q175">
        <v>0</v>
      </c>
      <c r="R175">
        <v>0</v>
      </c>
      <c r="S175">
        <v>0</v>
      </c>
      <c r="T175">
        <v>0.10265309524074107</v>
      </c>
      <c r="U175">
        <v>0</v>
      </c>
      <c r="V175">
        <v>0</v>
      </c>
      <c r="W175">
        <v>0</v>
      </c>
      <c r="X175">
        <v>0</v>
      </c>
      <c r="Y175">
        <v>0.89734690475925893</v>
      </c>
      <c r="Z175">
        <v>0</v>
      </c>
      <c r="AA175">
        <v>0</v>
      </c>
      <c r="AB175">
        <v>0</v>
      </c>
      <c r="AC175">
        <v>0</v>
      </c>
      <c r="AD175">
        <v>0</v>
      </c>
      <c r="AE175" t="s">
        <v>249</v>
      </c>
      <c r="AF175">
        <v>20</v>
      </c>
      <c r="AG175" t="s">
        <v>178</v>
      </c>
      <c r="AH175">
        <v>46228</v>
      </c>
      <c r="AI175" t="s">
        <v>149</v>
      </c>
    </row>
    <row r="176" spans="1:35" x14ac:dyDescent="0.25">
      <c r="A176" s="1">
        <v>46229</v>
      </c>
      <c r="B176" t="s">
        <v>148</v>
      </c>
      <c r="C176" t="s">
        <v>10</v>
      </c>
      <c r="D176">
        <v>9.4427105635890545</v>
      </c>
      <c r="E176">
        <v>14.25</v>
      </c>
      <c r="F176">
        <v>14.25</v>
      </c>
      <c r="G176">
        <v>9.0272058823529377</v>
      </c>
      <c r="H176">
        <v>1.5091005812407063</v>
      </c>
      <c r="I176">
        <v>1.5091005812407063</v>
      </c>
      <c r="J176">
        <v>0.95599730835356789</v>
      </c>
      <c r="K176">
        <v>0</v>
      </c>
      <c r="L176">
        <v>0</v>
      </c>
      <c r="M176">
        <v>0.25910058124070634</v>
      </c>
      <c r="N176">
        <v>0</v>
      </c>
      <c r="O176">
        <v>0</v>
      </c>
      <c r="P176">
        <v>0</v>
      </c>
      <c r="Q176">
        <v>0</v>
      </c>
      <c r="R176">
        <v>0</v>
      </c>
      <c r="S176">
        <v>0.25</v>
      </c>
      <c r="T176">
        <v>0</v>
      </c>
      <c r="U176">
        <v>0</v>
      </c>
      <c r="V176">
        <v>0</v>
      </c>
      <c r="W176">
        <v>4.4002691646432113E-2</v>
      </c>
      <c r="X176">
        <v>0</v>
      </c>
      <c r="Y176">
        <v>0.95599730835356789</v>
      </c>
      <c r="Z176">
        <v>0</v>
      </c>
      <c r="AA176">
        <v>0</v>
      </c>
      <c r="AB176">
        <v>0</v>
      </c>
      <c r="AC176">
        <v>0</v>
      </c>
      <c r="AD176">
        <v>0</v>
      </c>
      <c r="AE176" t="s">
        <v>249</v>
      </c>
      <c r="AF176">
        <v>20</v>
      </c>
      <c r="AG176" t="s">
        <v>181</v>
      </c>
      <c r="AH176">
        <v>46229</v>
      </c>
      <c r="AI176" t="s">
        <v>149</v>
      </c>
    </row>
    <row r="177" spans="1:35" x14ac:dyDescent="0.25">
      <c r="A177" s="1">
        <v>46229</v>
      </c>
      <c r="B177" t="s">
        <v>148</v>
      </c>
      <c r="C177" t="s">
        <v>11</v>
      </c>
      <c r="D177">
        <v>3.8248954181626535</v>
      </c>
      <c r="E177">
        <v>3.8</v>
      </c>
      <c r="F177">
        <v>3.8</v>
      </c>
      <c r="G177">
        <v>2.5294117647058822</v>
      </c>
      <c r="H177">
        <v>0.99349121598346535</v>
      </c>
      <c r="I177">
        <v>0.99349121598346535</v>
      </c>
      <c r="J177">
        <v>0.66130220258961314</v>
      </c>
      <c r="K177">
        <v>0</v>
      </c>
      <c r="L177">
        <v>0</v>
      </c>
      <c r="M177">
        <v>0</v>
      </c>
      <c r="N177">
        <v>0</v>
      </c>
      <c r="O177">
        <v>0</v>
      </c>
      <c r="P177">
        <v>0</v>
      </c>
      <c r="Q177">
        <v>0</v>
      </c>
      <c r="R177">
        <v>0</v>
      </c>
      <c r="S177">
        <v>0</v>
      </c>
      <c r="T177">
        <v>0</v>
      </c>
      <c r="U177">
        <v>6.5087840165346522E-3</v>
      </c>
      <c r="V177">
        <v>0</v>
      </c>
      <c r="W177">
        <v>0.33218901339385221</v>
      </c>
      <c r="X177">
        <v>0</v>
      </c>
      <c r="Y177">
        <v>0.66130220258961314</v>
      </c>
      <c r="Z177">
        <v>0</v>
      </c>
      <c r="AA177">
        <v>0</v>
      </c>
      <c r="AB177">
        <v>0</v>
      </c>
      <c r="AC177">
        <v>0</v>
      </c>
      <c r="AD177">
        <v>0</v>
      </c>
      <c r="AE177" t="s">
        <v>249</v>
      </c>
      <c r="AF177">
        <v>20</v>
      </c>
      <c r="AG177" t="s">
        <v>179</v>
      </c>
      <c r="AH177">
        <v>46229</v>
      </c>
      <c r="AI177" t="s">
        <v>149</v>
      </c>
    </row>
    <row r="178" spans="1:35" x14ac:dyDescent="0.25">
      <c r="A178" s="1">
        <v>46229</v>
      </c>
      <c r="B178" t="s">
        <v>148</v>
      </c>
      <c r="C178" t="s">
        <v>12</v>
      </c>
      <c r="D178">
        <v>7.4107348726901421</v>
      </c>
      <c r="E178">
        <v>7.6</v>
      </c>
      <c r="F178">
        <v>7.6</v>
      </c>
      <c r="G178">
        <v>8.6051470588235244</v>
      </c>
      <c r="H178">
        <v>1.0255393197248672</v>
      </c>
      <c r="I178">
        <v>1.0255393197248672</v>
      </c>
      <c r="J178">
        <v>1.1611732448471475</v>
      </c>
      <c r="K178">
        <v>0.13563392512228023</v>
      </c>
      <c r="L178">
        <v>0</v>
      </c>
      <c r="M178">
        <v>0</v>
      </c>
      <c r="N178">
        <v>0</v>
      </c>
      <c r="O178">
        <v>0</v>
      </c>
      <c r="P178">
        <v>0</v>
      </c>
      <c r="Q178">
        <v>2.5539319724867227E-2</v>
      </c>
      <c r="R178">
        <v>0</v>
      </c>
      <c r="S178">
        <v>0</v>
      </c>
      <c r="T178">
        <v>0</v>
      </c>
      <c r="U178">
        <v>0</v>
      </c>
      <c r="V178">
        <v>0</v>
      </c>
      <c r="W178">
        <v>0</v>
      </c>
      <c r="X178">
        <v>0</v>
      </c>
      <c r="Y178">
        <v>1</v>
      </c>
      <c r="Z178">
        <v>0</v>
      </c>
      <c r="AA178">
        <v>0</v>
      </c>
      <c r="AB178">
        <v>0</v>
      </c>
      <c r="AC178">
        <v>0</v>
      </c>
      <c r="AD178">
        <v>0</v>
      </c>
      <c r="AE178" t="s">
        <v>249</v>
      </c>
      <c r="AF178">
        <v>20</v>
      </c>
      <c r="AG178" t="s">
        <v>180</v>
      </c>
      <c r="AH178">
        <v>46229</v>
      </c>
      <c r="AI178" t="s">
        <v>149</v>
      </c>
    </row>
    <row r="179" spans="1:35" x14ac:dyDescent="0.25">
      <c r="A179" s="1">
        <v>46230</v>
      </c>
      <c r="B179" t="s">
        <v>148</v>
      </c>
      <c r="C179" t="s">
        <v>12</v>
      </c>
      <c r="D179">
        <v>7.4107348726901421</v>
      </c>
      <c r="E179">
        <v>6.6499999999999995</v>
      </c>
      <c r="F179">
        <v>6.6499999999999995</v>
      </c>
      <c r="G179">
        <v>6.9254901960784299</v>
      </c>
      <c r="H179">
        <v>0.89734690475925893</v>
      </c>
      <c r="I179">
        <v>0.89734690475925893</v>
      </c>
      <c r="J179">
        <v>0.93452138216414626</v>
      </c>
      <c r="K179">
        <v>0</v>
      </c>
      <c r="L179">
        <v>0</v>
      </c>
      <c r="M179">
        <v>0</v>
      </c>
      <c r="N179">
        <v>0</v>
      </c>
      <c r="O179">
        <v>0</v>
      </c>
      <c r="P179">
        <v>0</v>
      </c>
      <c r="Q179">
        <v>0</v>
      </c>
      <c r="R179">
        <v>0</v>
      </c>
      <c r="S179">
        <v>0</v>
      </c>
      <c r="T179">
        <v>3.7174477404887329E-2</v>
      </c>
      <c r="U179">
        <v>6.5478617835853736E-2</v>
      </c>
      <c r="V179">
        <v>0</v>
      </c>
      <c r="W179">
        <v>0</v>
      </c>
      <c r="X179">
        <v>0</v>
      </c>
      <c r="Y179">
        <v>0.89734690475925893</v>
      </c>
      <c r="Z179">
        <v>0</v>
      </c>
      <c r="AA179">
        <v>0</v>
      </c>
      <c r="AB179">
        <v>0</v>
      </c>
      <c r="AC179">
        <v>0</v>
      </c>
      <c r="AD179">
        <v>0</v>
      </c>
      <c r="AE179" t="s">
        <v>249</v>
      </c>
      <c r="AF179">
        <v>20</v>
      </c>
      <c r="AG179" t="s">
        <v>182</v>
      </c>
      <c r="AH179">
        <v>46230</v>
      </c>
      <c r="AI179" t="s">
        <v>149</v>
      </c>
    </row>
    <row r="180" spans="1:35" x14ac:dyDescent="0.25">
      <c r="A180" s="1">
        <v>46230</v>
      </c>
      <c r="B180" t="s">
        <v>148</v>
      </c>
      <c r="C180" t="s">
        <v>11</v>
      </c>
      <c r="D180">
        <v>3.8248954181626535</v>
      </c>
      <c r="E180">
        <v>4.75</v>
      </c>
      <c r="F180">
        <v>4.75</v>
      </c>
      <c r="G180">
        <v>4.0588235294117636</v>
      </c>
      <c r="H180">
        <v>1.2418640199793318</v>
      </c>
      <c r="I180">
        <v>1.2418640199793318</v>
      </c>
      <c r="J180">
        <v>1.0611593483414721</v>
      </c>
      <c r="K180">
        <v>0</v>
      </c>
      <c r="L180">
        <v>0</v>
      </c>
      <c r="M180">
        <v>0</v>
      </c>
      <c r="N180">
        <v>0</v>
      </c>
      <c r="O180">
        <v>0</v>
      </c>
      <c r="P180">
        <v>0</v>
      </c>
      <c r="Q180">
        <v>6.1159348341472075E-2</v>
      </c>
      <c r="R180">
        <v>0</v>
      </c>
      <c r="S180">
        <v>0.18070467163785975</v>
      </c>
      <c r="T180">
        <v>0</v>
      </c>
      <c r="U180">
        <v>0</v>
      </c>
      <c r="V180">
        <v>0</v>
      </c>
      <c r="W180">
        <v>0</v>
      </c>
      <c r="X180">
        <v>0</v>
      </c>
      <c r="Y180">
        <v>1</v>
      </c>
      <c r="Z180">
        <v>0</v>
      </c>
      <c r="AA180">
        <v>0</v>
      </c>
      <c r="AB180">
        <v>0</v>
      </c>
      <c r="AC180">
        <v>0</v>
      </c>
      <c r="AD180">
        <v>0</v>
      </c>
      <c r="AE180" t="s">
        <v>249</v>
      </c>
      <c r="AF180">
        <v>20</v>
      </c>
      <c r="AG180" t="s">
        <v>184</v>
      </c>
      <c r="AH180">
        <v>46230</v>
      </c>
      <c r="AI180" t="s">
        <v>149</v>
      </c>
    </row>
    <row r="181" spans="1:35" x14ac:dyDescent="0.25">
      <c r="A181" s="1">
        <v>46230</v>
      </c>
      <c r="B181" t="s">
        <v>148</v>
      </c>
      <c r="C181" t="s">
        <v>10</v>
      </c>
      <c r="D181">
        <v>10.279406436312131</v>
      </c>
      <c r="E181">
        <v>36.1</v>
      </c>
      <c r="F181">
        <v>36.1</v>
      </c>
      <c r="G181">
        <v>7.4715686274509761</v>
      </c>
      <c r="H181">
        <v>3.5118759262671335</v>
      </c>
      <c r="I181">
        <v>3.5118759262671335</v>
      </c>
      <c r="J181">
        <v>0.72684825468692116</v>
      </c>
      <c r="K181">
        <v>0</v>
      </c>
      <c r="L181">
        <v>0</v>
      </c>
      <c r="M181">
        <v>2.2618759262671335</v>
      </c>
      <c r="N181">
        <v>0</v>
      </c>
      <c r="O181">
        <v>0</v>
      </c>
      <c r="P181">
        <v>0</v>
      </c>
      <c r="Q181">
        <v>0</v>
      </c>
      <c r="R181">
        <v>0</v>
      </c>
      <c r="S181">
        <v>0.25</v>
      </c>
      <c r="T181">
        <v>0</v>
      </c>
      <c r="U181">
        <v>0</v>
      </c>
      <c r="V181">
        <v>0</v>
      </c>
      <c r="W181">
        <v>0.27315174531307884</v>
      </c>
      <c r="X181">
        <v>0</v>
      </c>
      <c r="Y181">
        <v>0.72684825468692116</v>
      </c>
      <c r="Z181">
        <v>0</v>
      </c>
      <c r="AA181">
        <v>0</v>
      </c>
      <c r="AB181">
        <v>0</v>
      </c>
      <c r="AC181">
        <v>0</v>
      </c>
      <c r="AD181">
        <v>0</v>
      </c>
      <c r="AE181" t="s">
        <v>249</v>
      </c>
      <c r="AF181">
        <v>20</v>
      </c>
      <c r="AG181" t="s">
        <v>183</v>
      </c>
      <c r="AH181">
        <v>46230</v>
      </c>
      <c r="AI181" t="s">
        <v>149</v>
      </c>
    </row>
    <row r="182" spans="1:35" x14ac:dyDescent="0.25">
      <c r="A182" s="1">
        <v>46231</v>
      </c>
      <c r="B182" t="s">
        <v>148</v>
      </c>
      <c r="C182" t="s">
        <v>12</v>
      </c>
      <c r="D182">
        <v>7.3509708817813486</v>
      </c>
      <c r="E182">
        <v>6.6499999999999995</v>
      </c>
      <c r="F182">
        <v>6.6499999999999995</v>
      </c>
      <c r="G182">
        <v>6.6598039215686242</v>
      </c>
      <c r="H182">
        <v>0.90464240804998486</v>
      </c>
      <c r="I182">
        <v>0.90464240804998486</v>
      </c>
      <c r="J182">
        <v>0.90597609875918395</v>
      </c>
      <c r="K182">
        <v>0</v>
      </c>
      <c r="L182">
        <v>0</v>
      </c>
      <c r="M182">
        <v>0</v>
      </c>
      <c r="N182">
        <v>0</v>
      </c>
      <c r="O182">
        <v>0</v>
      </c>
      <c r="P182">
        <v>0</v>
      </c>
      <c r="Q182">
        <v>0</v>
      </c>
      <c r="R182">
        <v>0</v>
      </c>
      <c r="S182">
        <v>0</v>
      </c>
      <c r="T182">
        <v>1.3336907091990868E-3</v>
      </c>
      <c r="U182">
        <v>9.4023901240816055E-2</v>
      </c>
      <c r="V182">
        <v>0</v>
      </c>
      <c r="W182">
        <v>0</v>
      </c>
      <c r="X182">
        <v>0</v>
      </c>
      <c r="Y182">
        <v>0.90464240804998486</v>
      </c>
      <c r="Z182">
        <v>0</v>
      </c>
      <c r="AA182">
        <v>0</v>
      </c>
      <c r="AB182">
        <v>0</v>
      </c>
      <c r="AC182">
        <v>0</v>
      </c>
      <c r="AD182">
        <v>0</v>
      </c>
      <c r="AE182" t="s">
        <v>249</v>
      </c>
      <c r="AF182">
        <v>20</v>
      </c>
      <c r="AG182" t="s">
        <v>185</v>
      </c>
      <c r="AH182">
        <v>46231</v>
      </c>
      <c r="AI182" t="s">
        <v>149</v>
      </c>
    </row>
    <row r="183" spans="1:35" x14ac:dyDescent="0.25">
      <c r="A183" s="1">
        <v>46231</v>
      </c>
      <c r="B183" t="s">
        <v>148</v>
      </c>
      <c r="C183" t="s">
        <v>11</v>
      </c>
      <c r="D183">
        <v>3.8248954181626535</v>
      </c>
      <c r="E183">
        <v>3.8</v>
      </c>
      <c r="F183">
        <v>3.8</v>
      </c>
      <c r="G183">
        <v>3.9411764705882346</v>
      </c>
      <c r="H183">
        <v>0.99349121598346535</v>
      </c>
      <c r="I183">
        <v>0.99349121598346535</v>
      </c>
      <c r="J183">
        <v>1.0304011063605598</v>
      </c>
      <c r="K183">
        <v>3.0401106360559815E-2</v>
      </c>
      <c r="L183">
        <v>0</v>
      </c>
      <c r="M183">
        <v>0</v>
      </c>
      <c r="N183">
        <v>0</v>
      </c>
      <c r="O183">
        <v>0</v>
      </c>
      <c r="P183">
        <v>0</v>
      </c>
      <c r="Q183">
        <v>0</v>
      </c>
      <c r="R183">
        <v>0</v>
      </c>
      <c r="S183">
        <v>0</v>
      </c>
      <c r="T183">
        <v>6.5087840165346522E-3</v>
      </c>
      <c r="U183">
        <v>0</v>
      </c>
      <c r="V183">
        <v>0</v>
      </c>
      <c r="W183">
        <v>0</v>
      </c>
      <c r="X183">
        <v>0</v>
      </c>
      <c r="Y183">
        <v>0.99349121598346535</v>
      </c>
      <c r="Z183">
        <v>0</v>
      </c>
      <c r="AA183">
        <v>0</v>
      </c>
      <c r="AB183">
        <v>0</v>
      </c>
      <c r="AC183">
        <v>0</v>
      </c>
      <c r="AD183">
        <v>0</v>
      </c>
      <c r="AE183" t="s">
        <v>249</v>
      </c>
      <c r="AF183">
        <v>20</v>
      </c>
      <c r="AG183" t="s">
        <v>186</v>
      </c>
      <c r="AH183">
        <v>46231</v>
      </c>
      <c r="AI183" t="s">
        <v>149</v>
      </c>
    </row>
    <row r="184" spans="1:35" x14ac:dyDescent="0.25">
      <c r="A184" s="1">
        <v>46231</v>
      </c>
      <c r="B184" t="s">
        <v>148</v>
      </c>
      <c r="C184" t="s">
        <v>10</v>
      </c>
      <c r="D184">
        <v>9.3231825817714693</v>
      </c>
      <c r="E184">
        <v>14.25</v>
      </c>
      <c r="F184">
        <v>14.25</v>
      </c>
      <c r="G184">
        <v>8.6490196078431296</v>
      </c>
      <c r="H184">
        <v>1.5284480245899466</v>
      </c>
      <c r="I184">
        <v>1.5284480245899466</v>
      </c>
      <c r="J184">
        <v>0.92768960942088041</v>
      </c>
      <c r="K184">
        <v>0</v>
      </c>
      <c r="L184">
        <v>0</v>
      </c>
      <c r="M184">
        <v>0.27844802458994655</v>
      </c>
      <c r="N184">
        <v>0</v>
      </c>
      <c r="O184">
        <v>0</v>
      </c>
      <c r="P184">
        <v>0</v>
      </c>
      <c r="Q184">
        <v>0</v>
      </c>
      <c r="R184">
        <v>0</v>
      </c>
      <c r="S184">
        <v>0.25</v>
      </c>
      <c r="T184">
        <v>0</v>
      </c>
      <c r="U184">
        <v>0</v>
      </c>
      <c r="V184">
        <v>0</v>
      </c>
      <c r="W184">
        <v>7.2310390579119588E-2</v>
      </c>
      <c r="X184">
        <v>0</v>
      </c>
      <c r="Y184">
        <v>0.92768960942088041</v>
      </c>
      <c r="Z184">
        <v>0</v>
      </c>
      <c r="AA184">
        <v>0</v>
      </c>
      <c r="AB184">
        <v>0</v>
      </c>
      <c r="AC184">
        <v>0</v>
      </c>
      <c r="AD184">
        <v>0</v>
      </c>
      <c r="AE184" t="s">
        <v>249</v>
      </c>
      <c r="AF184">
        <v>20</v>
      </c>
      <c r="AG184" t="s">
        <v>187</v>
      </c>
      <c r="AH184">
        <v>46231</v>
      </c>
      <c r="AI184" t="s">
        <v>149</v>
      </c>
    </row>
    <row r="185" spans="1:35" x14ac:dyDescent="0.25">
      <c r="A185" s="1">
        <v>46232</v>
      </c>
      <c r="B185" t="s">
        <v>148</v>
      </c>
      <c r="C185" t="s">
        <v>12</v>
      </c>
      <c r="D185">
        <v>6.6935669817846444</v>
      </c>
      <c r="E185">
        <v>4.75</v>
      </c>
      <c r="F185">
        <v>4.75</v>
      </c>
      <c r="G185">
        <v>5.3514705882352898</v>
      </c>
      <c r="H185">
        <v>0.70963658284533238</v>
      </c>
      <c r="I185">
        <v>0.70963658284533238</v>
      </c>
      <c r="J185">
        <v>0.79949458977528243</v>
      </c>
      <c r="K185">
        <v>0</v>
      </c>
      <c r="L185">
        <v>0</v>
      </c>
      <c r="M185">
        <v>0</v>
      </c>
      <c r="N185">
        <v>0</v>
      </c>
      <c r="O185">
        <v>0</v>
      </c>
      <c r="P185">
        <v>0</v>
      </c>
      <c r="Q185">
        <v>0</v>
      </c>
      <c r="R185">
        <v>0</v>
      </c>
      <c r="S185">
        <v>0</v>
      </c>
      <c r="T185">
        <v>8.9858006929950052E-2</v>
      </c>
      <c r="U185">
        <v>0.20050541022471757</v>
      </c>
      <c r="V185">
        <v>0</v>
      </c>
      <c r="W185">
        <v>0</v>
      </c>
      <c r="X185">
        <v>0</v>
      </c>
      <c r="Y185">
        <v>0.70963658284533238</v>
      </c>
      <c r="Z185">
        <v>0</v>
      </c>
      <c r="AA185">
        <v>0</v>
      </c>
      <c r="AB185">
        <v>0</v>
      </c>
      <c r="AC185">
        <v>0</v>
      </c>
      <c r="AD185">
        <v>0</v>
      </c>
      <c r="AE185" t="s">
        <v>249</v>
      </c>
      <c r="AF185">
        <v>20</v>
      </c>
      <c r="AG185" t="s">
        <v>189</v>
      </c>
      <c r="AH185">
        <v>46232</v>
      </c>
      <c r="AI185" t="s">
        <v>149</v>
      </c>
    </row>
    <row r="186" spans="1:35" x14ac:dyDescent="0.25">
      <c r="A186" s="1">
        <v>46232</v>
      </c>
      <c r="B186" t="s">
        <v>148</v>
      </c>
      <c r="C186" t="s">
        <v>11</v>
      </c>
      <c r="D186">
        <v>3.8248954181626535</v>
      </c>
      <c r="E186">
        <v>2.8499999999999996</v>
      </c>
      <c r="F186">
        <v>2.8499999999999996</v>
      </c>
      <c r="G186">
        <v>3.0882352941176467</v>
      </c>
      <c r="H186">
        <v>0.74511841198759898</v>
      </c>
      <c r="I186">
        <v>0.74511841198759898</v>
      </c>
      <c r="J186">
        <v>0.80740385199894626</v>
      </c>
      <c r="K186">
        <v>0</v>
      </c>
      <c r="L186">
        <v>0</v>
      </c>
      <c r="M186">
        <v>0</v>
      </c>
      <c r="N186">
        <v>0</v>
      </c>
      <c r="O186">
        <v>0</v>
      </c>
      <c r="P186">
        <v>0</v>
      </c>
      <c r="Q186">
        <v>0</v>
      </c>
      <c r="R186">
        <v>0</v>
      </c>
      <c r="S186">
        <v>0</v>
      </c>
      <c r="T186">
        <v>6.2285440011347282E-2</v>
      </c>
      <c r="U186">
        <v>0.19259614800105374</v>
      </c>
      <c r="V186">
        <v>0</v>
      </c>
      <c r="W186">
        <v>0</v>
      </c>
      <c r="X186">
        <v>0</v>
      </c>
      <c r="Y186">
        <v>0.74511841198759898</v>
      </c>
      <c r="Z186">
        <v>0</v>
      </c>
      <c r="AA186">
        <v>0</v>
      </c>
      <c r="AB186">
        <v>0</v>
      </c>
      <c r="AC186">
        <v>0</v>
      </c>
      <c r="AD186">
        <v>0</v>
      </c>
      <c r="AE186" t="s">
        <v>249</v>
      </c>
      <c r="AF186">
        <v>20</v>
      </c>
      <c r="AG186" t="s">
        <v>188</v>
      </c>
      <c r="AH186">
        <v>46232</v>
      </c>
      <c r="AI186" t="s">
        <v>149</v>
      </c>
    </row>
    <row r="187" spans="1:35" x14ac:dyDescent="0.25">
      <c r="A187" s="1">
        <v>46232</v>
      </c>
      <c r="B187" t="s">
        <v>148</v>
      </c>
      <c r="C187" t="s">
        <v>10</v>
      </c>
      <c r="D187">
        <v>9.3231825817714675</v>
      </c>
      <c r="E187">
        <v>8.5499999999999989</v>
      </c>
      <c r="F187">
        <v>8.5499999999999989</v>
      </c>
      <c r="G187">
        <v>8.5823529411764667</v>
      </c>
      <c r="H187">
        <v>0.91706881475396795</v>
      </c>
      <c r="I187">
        <v>0.91706881475396795</v>
      </c>
      <c r="J187">
        <v>0.92053897538771168</v>
      </c>
      <c r="K187">
        <v>0</v>
      </c>
      <c r="L187">
        <v>0</v>
      </c>
      <c r="M187">
        <v>0</v>
      </c>
      <c r="N187">
        <v>0</v>
      </c>
      <c r="O187">
        <v>0</v>
      </c>
      <c r="P187">
        <v>0</v>
      </c>
      <c r="Q187">
        <v>0</v>
      </c>
      <c r="R187">
        <v>0</v>
      </c>
      <c r="S187">
        <v>0</v>
      </c>
      <c r="T187">
        <v>3.4701606337437241E-3</v>
      </c>
      <c r="U187">
        <v>7.9461024612288322E-2</v>
      </c>
      <c r="V187">
        <v>0</v>
      </c>
      <c r="W187">
        <v>0</v>
      </c>
      <c r="X187">
        <v>0</v>
      </c>
      <c r="Y187">
        <v>0.91706881475396795</v>
      </c>
      <c r="Z187">
        <v>0</v>
      </c>
      <c r="AA187">
        <v>0</v>
      </c>
      <c r="AB187">
        <v>0</v>
      </c>
      <c r="AC187">
        <v>0</v>
      </c>
      <c r="AD187">
        <v>0</v>
      </c>
      <c r="AE187" t="s">
        <v>249</v>
      </c>
      <c r="AF187">
        <v>20</v>
      </c>
      <c r="AG187" t="s">
        <v>190</v>
      </c>
      <c r="AH187">
        <v>46232</v>
      </c>
      <c r="AI187" t="s">
        <v>149</v>
      </c>
    </row>
    <row r="188" spans="1:35" x14ac:dyDescent="0.25">
      <c r="A188" s="1">
        <v>46233</v>
      </c>
      <c r="B188" t="s">
        <v>148</v>
      </c>
      <c r="C188" t="s">
        <v>12</v>
      </c>
      <c r="D188">
        <v>7.4107348726901439</v>
      </c>
      <c r="E188">
        <v>6.6499999999999995</v>
      </c>
      <c r="F188">
        <v>6.6499999999999995</v>
      </c>
      <c r="G188">
        <v>8.1009803921568597</v>
      </c>
      <c r="H188">
        <v>0.89734690475925871</v>
      </c>
      <c r="I188">
        <v>0.89734690475925871</v>
      </c>
      <c r="J188">
        <v>1.0931413053259253</v>
      </c>
      <c r="K188">
        <v>9.314130532592535E-2</v>
      </c>
      <c r="L188">
        <v>0</v>
      </c>
      <c r="M188">
        <v>0</v>
      </c>
      <c r="N188">
        <v>0</v>
      </c>
      <c r="O188">
        <v>0</v>
      </c>
      <c r="P188">
        <v>0</v>
      </c>
      <c r="Q188">
        <v>0</v>
      </c>
      <c r="R188">
        <v>0</v>
      </c>
      <c r="S188">
        <v>0</v>
      </c>
      <c r="T188">
        <v>0.10265309524074129</v>
      </c>
      <c r="U188">
        <v>0</v>
      </c>
      <c r="V188">
        <v>0</v>
      </c>
      <c r="W188">
        <v>0</v>
      </c>
      <c r="X188">
        <v>0</v>
      </c>
      <c r="Y188">
        <v>0.89734690475925871</v>
      </c>
      <c r="Z188">
        <v>0</v>
      </c>
      <c r="AA188">
        <v>0</v>
      </c>
      <c r="AB188">
        <v>0</v>
      </c>
      <c r="AC188">
        <v>0</v>
      </c>
      <c r="AD188">
        <v>0</v>
      </c>
      <c r="AE188" t="s">
        <v>249</v>
      </c>
      <c r="AF188">
        <v>20</v>
      </c>
      <c r="AG188" t="s">
        <v>191</v>
      </c>
      <c r="AH188">
        <v>46233</v>
      </c>
      <c r="AI188" t="s">
        <v>149</v>
      </c>
    </row>
    <row r="189" spans="1:35" x14ac:dyDescent="0.25">
      <c r="A189" s="1">
        <v>46233</v>
      </c>
      <c r="B189" t="s">
        <v>148</v>
      </c>
      <c r="C189" t="s">
        <v>10</v>
      </c>
      <c r="D189">
        <v>10.279406436312131</v>
      </c>
      <c r="E189">
        <v>21.85</v>
      </c>
      <c r="F189">
        <v>21.85</v>
      </c>
      <c r="G189">
        <v>9.3254901960784284</v>
      </c>
      <c r="H189">
        <v>2.125609113266949</v>
      </c>
      <c r="I189">
        <v>2.125609113266949</v>
      </c>
      <c r="J189">
        <v>0.90720123324786717</v>
      </c>
      <c r="K189">
        <v>0</v>
      </c>
      <c r="L189">
        <v>0</v>
      </c>
      <c r="M189">
        <v>0.87560911326694901</v>
      </c>
      <c r="N189">
        <v>0</v>
      </c>
      <c r="O189">
        <v>0</v>
      </c>
      <c r="P189">
        <v>0</v>
      </c>
      <c r="Q189">
        <v>0</v>
      </c>
      <c r="R189">
        <v>0</v>
      </c>
      <c r="S189">
        <v>0.25</v>
      </c>
      <c r="T189">
        <v>0</v>
      </c>
      <c r="U189">
        <v>0</v>
      </c>
      <c r="V189">
        <v>0</v>
      </c>
      <c r="W189">
        <v>9.2798766752132833E-2</v>
      </c>
      <c r="X189">
        <v>0</v>
      </c>
      <c r="Y189">
        <v>0.90720123324786717</v>
      </c>
      <c r="Z189">
        <v>0</v>
      </c>
      <c r="AA189">
        <v>0</v>
      </c>
      <c r="AB189">
        <v>0</v>
      </c>
      <c r="AC189">
        <v>0</v>
      </c>
      <c r="AD189">
        <v>0</v>
      </c>
      <c r="AE189" t="s">
        <v>249</v>
      </c>
      <c r="AF189">
        <v>20</v>
      </c>
      <c r="AG189" t="s">
        <v>192</v>
      </c>
      <c r="AH189">
        <v>46233</v>
      </c>
      <c r="AI189" t="s">
        <v>149</v>
      </c>
    </row>
    <row r="190" spans="1:35" x14ac:dyDescent="0.25">
      <c r="A190" s="1">
        <v>46233</v>
      </c>
      <c r="B190" t="s">
        <v>148</v>
      </c>
      <c r="C190" t="s">
        <v>11</v>
      </c>
      <c r="D190">
        <v>3.8248954181626535</v>
      </c>
      <c r="E190">
        <v>1.9</v>
      </c>
      <c r="F190">
        <v>1.9</v>
      </c>
      <c r="G190">
        <v>2.4705882352941178</v>
      </c>
      <c r="H190">
        <v>0.49674560799173267</v>
      </c>
      <c r="I190">
        <v>0.49674560799173267</v>
      </c>
      <c r="J190">
        <v>0.64592308159915712</v>
      </c>
      <c r="K190">
        <v>0</v>
      </c>
      <c r="L190">
        <v>0</v>
      </c>
      <c r="M190">
        <v>0</v>
      </c>
      <c r="N190">
        <v>0</v>
      </c>
      <c r="O190">
        <v>0</v>
      </c>
      <c r="P190">
        <v>0</v>
      </c>
      <c r="Q190">
        <v>0</v>
      </c>
      <c r="R190">
        <v>0</v>
      </c>
      <c r="S190">
        <v>0</v>
      </c>
      <c r="T190">
        <v>0.14917747360742445</v>
      </c>
      <c r="U190">
        <v>0.35407691840084288</v>
      </c>
      <c r="V190">
        <v>0</v>
      </c>
      <c r="W190">
        <v>0</v>
      </c>
      <c r="X190">
        <v>0</v>
      </c>
      <c r="Y190">
        <v>0.49674560799173267</v>
      </c>
      <c r="Z190">
        <v>0</v>
      </c>
      <c r="AA190">
        <v>0</v>
      </c>
      <c r="AB190">
        <v>0</v>
      </c>
      <c r="AC190">
        <v>0</v>
      </c>
      <c r="AD190">
        <v>0</v>
      </c>
      <c r="AE190" t="s">
        <v>249</v>
      </c>
      <c r="AF190">
        <v>20</v>
      </c>
      <c r="AG190" t="s">
        <v>193</v>
      </c>
      <c r="AH190">
        <v>46233</v>
      </c>
      <c r="AI190" t="s">
        <v>149</v>
      </c>
    </row>
    <row r="191" spans="1:35" x14ac:dyDescent="0.25">
      <c r="A191" s="1">
        <v>46234</v>
      </c>
      <c r="B191" t="s">
        <v>148</v>
      </c>
      <c r="C191" t="s">
        <v>10</v>
      </c>
      <c r="D191">
        <v>9.3231825817714693</v>
      </c>
      <c r="E191">
        <v>22.799999999999997</v>
      </c>
      <c r="F191">
        <v>22.799999999999997</v>
      </c>
      <c r="G191">
        <v>9.7367647058823472</v>
      </c>
      <c r="H191">
        <v>2.445516839343914</v>
      </c>
      <c r="I191">
        <v>2.445516839343914</v>
      </c>
      <c r="J191">
        <v>1.0443606161826657</v>
      </c>
      <c r="K191">
        <v>0</v>
      </c>
      <c r="L191">
        <v>0</v>
      </c>
      <c r="M191">
        <v>1.195516839343914</v>
      </c>
      <c r="N191">
        <v>0</v>
      </c>
      <c r="O191">
        <v>0</v>
      </c>
      <c r="P191">
        <v>0</v>
      </c>
      <c r="Q191">
        <v>4.4360616182665735E-2</v>
      </c>
      <c r="R191">
        <v>0</v>
      </c>
      <c r="S191">
        <v>0.20563938381733426</v>
      </c>
      <c r="T191">
        <v>0</v>
      </c>
      <c r="U191">
        <v>0</v>
      </c>
      <c r="V191">
        <v>0</v>
      </c>
      <c r="W191">
        <v>0</v>
      </c>
      <c r="X191">
        <v>0</v>
      </c>
      <c r="Y191">
        <v>1</v>
      </c>
      <c r="Z191">
        <v>0</v>
      </c>
      <c r="AA191">
        <v>0</v>
      </c>
      <c r="AB191">
        <v>0</v>
      </c>
      <c r="AC191">
        <v>0</v>
      </c>
      <c r="AD191">
        <v>0</v>
      </c>
      <c r="AE191" t="s">
        <v>249</v>
      </c>
      <c r="AF191">
        <v>20</v>
      </c>
      <c r="AG191" t="s">
        <v>194</v>
      </c>
      <c r="AH191">
        <v>46234</v>
      </c>
      <c r="AI191" t="s">
        <v>149</v>
      </c>
    </row>
    <row r="192" spans="1:35" x14ac:dyDescent="0.25">
      <c r="A192" s="1">
        <v>46234</v>
      </c>
      <c r="B192" t="s">
        <v>148</v>
      </c>
      <c r="C192" t="s">
        <v>11</v>
      </c>
      <c r="D192">
        <v>3.8248954181626535</v>
      </c>
      <c r="E192">
        <v>4.75</v>
      </c>
      <c r="F192">
        <v>4.75</v>
      </c>
      <c r="G192">
        <v>3.3235294117647056</v>
      </c>
      <c r="H192">
        <v>1.2418640199793318</v>
      </c>
      <c r="I192">
        <v>1.2418640199793318</v>
      </c>
      <c r="J192">
        <v>0.86892033596077078</v>
      </c>
      <c r="K192">
        <v>0</v>
      </c>
      <c r="L192">
        <v>0</v>
      </c>
      <c r="M192">
        <v>0</v>
      </c>
      <c r="N192">
        <v>0</v>
      </c>
      <c r="O192">
        <v>0</v>
      </c>
      <c r="P192">
        <v>0</v>
      </c>
      <c r="Q192">
        <v>0</v>
      </c>
      <c r="R192">
        <v>0</v>
      </c>
      <c r="S192">
        <v>0.24186401997933182</v>
      </c>
      <c r="T192">
        <v>0</v>
      </c>
      <c r="U192">
        <v>0</v>
      </c>
      <c r="V192">
        <v>0</v>
      </c>
      <c r="W192">
        <v>0.13107966403922922</v>
      </c>
      <c r="X192">
        <v>0</v>
      </c>
      <c r="Y192">
        <v>0.86892033596077078</v>
      </c>
      <c r="Z192">
        <v>0</v>
      </c>
      <c r="AA192">
        <v>0</v>
      </c>
      <c r="AB192">
        <v>0</v>
      </c>
      <c r="AC192">
        <v>0</v>
      </c>
      <c r="AD192">
        <v>0</v>
      </c>
      <c r="AE192" t="s">
        <v>249</v>
      </c>
      <c r="AF192">
        <v>20</v>
      </c>
      <c r="AG192" t="s">
        <v>195</v>
      </c>
      <c r="AH192">
        <v>46234</v>
      </c>
      <c r="AI192" t="s">
        <v>149</v>
      </c>
    </row>
    <row r="193" spans="1:35" x14ac:dyDescent="0.25">
      <c r="A193" s="1">
        <v>46234</v>
      </c>
      <c r="B193" t="s">
        <v>148</v>
      </c>
      <c r="C193" t="s">
        <v>12</v>
      </c>
      <c r="D193">
        <v>7.4107348726901421</v>
      </c>
      <c r="E193">
        <v>6.6499999999999995</v>
      </c>
      <c r="F193">
        <v>6.6499999999999995</v>
      </c>
      <c r="G193">
        <v>8.5426470588235226</v>
      </c>
      <c r="H193">
        <v>0.89734690475925893</v>
      </c>
      <c r="I193">
        <v>0.89734690475925893</v>
      </c>
      <c r="J193">
        <v>1.152739533336252</v>
      </c>
      <c r="K193">
        <v>0.15273953333625201</v>
      </c>
      <c r="L193">
        <v>0</v>
      </c>
      <c r="M193">
        <v>0</v>
      </c>
      <c r="N193">
        <v>0</v>
      </c>
      <c r="O193">
        <v>0</v>
      </c>
      <c r="P193">
        <v>0</v>
      </c>
      <c r="Q193">
        <v>0</v>
      </c>
      <c r="R193">
        <v>0</v>
      </c>
      <c r="S193">
        <v>0</v>
      </c>
      <c r="T193">
        <v>0.10265309524074107</v>
      </c>
      <c r="U193">
        <v>0</v>
      </c>
      <c r="V193">
        <v>0</v>
      </c>
      <c r="W193">
        <v>0</v>
      </c>
      <c r="X193">
        <v>0</v>
      </c>
      <c r="Y193">
        <v>0.89734690475925893</v>
      </c>
      <c r="Z193">
        <v>0</v>
      </c>
      <c r="AA193">
        <v>0</v>
      </c>
      <c r="AB193">
        <v>0</v>
      </c>
      <c r="AC193">
        <v>0</v>
      </c>
      <c r="AD193">
        <v>0</v>
      </c>
      <c r="AE193" t="s">
        <v>249</v>
      </c>
      <c r="AF193">
        <v>20</v>
      </c>
      <c r="AG193" t="s">
        <v>196</v>
      </c>
      <c r="AH193">
        <v>46234</v>
      </c>
      <c r="AI193" t="s">
        <v>149</v>
      </c>
    </row>
    <row r="194" spans="1:35" x14ac:dyDescent="0.25">
      <c r="A194" s="1">
        <v>46235</v>
      </c>
      <c r="B194" t="s">
        <v>148</v>
      </c>
      <c r="C194" t="s">
        <v>10</v>
      </c>
      <c r="D194">
        <v>10.279406436312131</v>
      </c>
      <c r="E194">
        <v>24.7</v>
      </c>
      <c r="F194">
        <v>24.7</v>
      </c>
      <c r="G194">
        <v>10.700490196078425</v>
      </c>
      <c r="H194">
        <v>2.4028624758669861</v>
      </c>
      <c r="I194">
        <v>2.4028624758669861</v>
      </c>
      <c r="J194">
        <v>1.0409638204671827</v>
      </c>
      <c r="K194">
        <v>0</v>
      </c>
      <c r="L194">
        <v>0</v>
      </c>
      <c r="M194">
        <v>1.1528624758669861</v>
      </c>
      <c r="N194">
        <v>0</v>
      </c>
      <c r="O194">
        <v>0</v>
      </c>
      <c r="P194">
        <v>0</v>
      </c>
      <c r="Q194">
        <v>4.0963820467182721E-2</v>
      </c>
      <c r="R194">
        <v>0</v>
      </c>
      <c r="S194">
        <v>0.20903617953281728</v>
      </c>
      <c r="T194">
        <v>0</v>
      </c>
      <c r="U194">
        <v>0</v>
      </c>
      <c r="V194">
        <v>0</v>
      </c>
      <c r="W194">
        <v>0</v>
      </c>
      <c r="X194">
        <v>0</v>
      </c>
      <c r="Y194">
        <v>1</v>
      </c>
      <c r="Z194">
        <v>0</v>
      </c>
      <c r="AA194">
        <v>0</v>
      </c>
      <c r="AB194">
        <v>0</v>
      </c>
      <c r="AC194">
        <v>0</v>
      </c>
      <c r="AD194">
        <v>0</v>
      </c>
      <c r="AE194" t="s">
        <v>249</v>
      </c>
      <c r="AF194">
        <v>20</v>
      </c>
      <c r="AG194" t="s">
        <v>197</v>
      </c>
      <c r="AH194">
        <v>46235</v>
      </c>
      <c r="AI194" t="s">
        <v>149</v>
      </c>
    </row>
    <row r="195" spans="1:35" x14ac:dyDescent="0.25">
      <c r="A195" s="1">
        <v>46235</v>
      </c>
      <c r="B195" t="s">
        <v>148</v>
      </c>
      <c r="C195" t="s">
        <v>12</v>
      </c>
      <c r="D195">
        <v>7.4107348726901421</v>
      </c>
      <c r="E195">
        <v>6.6499999999999995</v>
      </c>
      <c r="F195">
        <v>6.6499999999999995</v>
      </c>
      <c r="G195">
        <v>8.1009803921568615</v>
      </c>
      <c r="H195">
        <v>0.89734690475925893</v>
      </c>
      <c r="I195">
        <v>0.89734690475925893</v>
      </c>
      <c r="J195">
        <v>1.093141305325926</v>
      </c>
      <c r="K195">
        <v>9.3141305325926016E-2</v>
      </c>
      <c r="L195">
        <v>0</v>
      </c>
      <c r="M195">
        <v>0</v>
      </c>
      <c r="N195">
        <v>0</v>
      </c>
      <c r="O195">
        <v>0</v>
      </c>
      <c r="P195">
        <v>0</v>
      </c>
      <c r="Q195">
        <v>0</v>
      </c>
      <c r="R195">
        <v>0</v>
      </c>
      <c r="S195">
        <v>0</v>
      </c>
      <c r="T195">
        <v>0.10265309524074107</v>
      </c>
      <c r="U195">
        <v>0</v>
      </c>
      <c r="V195">
        <v>0</v>
      </c>
      <c r="W195">
        <v>0</v>
      </c>
      <c r="X195">
        <v>0</v>
      </c>
      <c r="Y195">
        <v>0.89734690475925893</v>
      </c>
      <c r="Z195">
        <v>0</v>
      </c>
      <c r="AA195">
        <v>0</v>
      </c>
      <c r="AB195">
        <v>0</v>
      </c>
      <c r="AC195">
        <v>0</v>
      </c>
      <c r="AD195">
        <v>0</v>
      </c>
      <c r="AE195" t="s">
        <v>249</v>
      </c>
      <c r="AF195">
        <v>20</v>
      </c>
      <c r="AG195" t="s">
        <v>198</v>
      </c>
      <c r="AH195">
        <v>46235</v>
      </c>
      <c r="AI195" t="s">
        <v>149</v>
      </c>
    </row>
    <row r="196" spans="1:35" x14ac:dyDescent="0.25">
      <c r="A196" s="1">
        <v>46235</v>
      </c>
      <c r="B196" t="s">
        <v>148</v>
      </c>
      <c r="C196" t="s">
        <v>11</v>
      </c>
      <c r="D196">
        <v>3.5858394545274885</v>
      </c>
      <c r="E196">
        <v>2.8499999999999996</v>
      </c>
      <c r="F196">
        <v>2.8499999999999996</v>
      </c>
      <c r="G196">
        <v>2.4705882352941178</v>
      </c>
      <c r="H196">
        <v>0.79479297278677208</v>
      </c>
      <c r="I196">
        <v>0.79479297278677208</v>
      </c>
      <c r="J196">
        <v>0.68898462037243402</v>
      </c>
      <c r="K196">
        <v>0</v>
      </c>
      <c r="L196">
        <v>0</v>
      </c>
      <c r="M196">
        <v>0</v>
      </c>
      <c r="N196">
        <v>0</v>
      </c>
      <c r="O196">
        <v>0</v>
      </c>
      <c r="P196">
        <v>0</v>
      </c>
      <c r="Q196">
        <v>0</v>
      </c>
      <c r="R196">
        <v>0</v>
      </c>
      <c r="S196">
        <v>0</v>
      </c>
      <c r="T196">
        <v>0</v>
      </c>
      <c r="U196">
        <v>0.20520702721322792</v>
      </c>
      <c r="V196">
        <v>0</v>
      </c>
      <c r="W196">
        <v>0.10580835241433806</v>
      </c>
      <c r="X196">
        <v>0</v>
      </c>
      <c r="Y196">
        <v>0.68898462037243402</v>
      </c>
      <c r="Z196">
        <v>0</v>
      </c>
      <c r="AA196">
        <v>0</v>
      </c>
      <c r="AB196">
        <v>0</v>
      </c>
      <c r="AC196">
        <v>0</v>
      </c>
      <c r="AD196">
        <v>0</v>
      </c>
      <c r="AE196" t="s">
        <v>249</v>
      </c>
      <c r="AF196">
        <v>20</v>
      </c>
      <c r="AG196" t="s">
        <v>199</v>
      </c>
      <c r="AH196">
        <v>46235</v>
      </c>
      <c r="AI196" t="s">
        <v>149</v>
      </c>
    </row>
    <row r="197" spans="1:35" x14ac:dyDescent="0.25">
      <c r="A197" s="1">
        <v>46236</v>
      </c>
      <c r="B197" t="s">
        <v>148</v>
      </c>
      <c r="C197" t="s">
        <v>12</v>
      </c>
      <c r="D197">
        <v>7.4107348726901421</v>
      </c>
      <c r="E197">
        <v>6.6499999999999995</v>
      </c>
      <c r="F197">
        <v>6.6499999999999995</v>
      </c>
      <c r="G197">
        <v>8.6009803921568544</v>
      </c>
      <c r="H197">
        <v>0.89734690475925893</v>
      </c>
      <c r="I197">
        <v>0.89734690475925893</v>
      </c>
      <c r="J197">
        <v>1.1606109974130874</v>
      </c>
      <c r="K197">
        <v>0.16061099741308738</v>
      </c>
      <c r="L197">
        <v>0</v>
      </c>
      <c r="M197">
        <v>0</v>
      </c>
      <c r="N197">
        <v>0</v>
      </c>
      <c r="O197">
        <v>0</v>
      </c>
      <c r="P197">
        <v>0</v>
      </c>
      <c r="Q197">
        <v>0</v>
      </c>
      <c r="R197">
        <v>0</v>
      </c>
      <c r="S197">
        <v>0</v>
      </c>
      <c r="T197">
        <v>0.10265309524074107</v>
      </c>
      <c r="U197">
        <v>0</v>
      </c>
      <c r="V197">
        <v>0</v>
      </c>
      <c r="W197">
        <v>0</v>
      </c>
      <c r="X197">
        <v>0</v>
      </c>
      <c r="Y197">
        <v>0.89734690475925893</v>
      </c>
      <c r="Z197">
        <v>0</v>
      </c>
      <c r="AA197">
        <v>0</v>
      </c>
      <c r="AB197">
        <v>0</v>
      </c>
      <c r="AC197">
        <v>0</v>
      </c>
      <c r="AD197">
        <v>0</v>
      </c>
      <c r="AE197" t="s">
        <v>249</v>
      </c>
      <c r="AF197">
        <v>20</v>
      </c>
      <c r="AG197" t="s">
        <v>200</v>
      </c>
      <c r="AH197">
        <v>46236</v>
      </c>
      <c r="AI197" t="s">
        <v>149</v>
      </c>
    </row>
    <row r="198" spans="1:35" x14ac:dyDescent="0.25">
      <c r="A198" s="1">
        <v>46236</v>
      </c>
      <c r="B198" t="s">
        <v>148</v>
      </c>
      <c r="C198" t="s">
        <v>11</v>
      </c>
      <c r="D198">
        <v>3.8248954181626535</v>
      </c>
      <c r="E198">
        <v>3.8</v>
      </c>
      <c r="F198">
        <v>3.8</v>
      </c>
      <c r="G198">
        <v>2.5</v>
      </c>
      <c r="H198">
        <v>0.99349121598346535</v>
      </c>
      <c r="I198">
        <v>0.99349121598346535</v>
      </c>
      <c r="J198">
        <v>0.65361264209438508</v>
      </c>
      <c r="K198">
        <v>0</v>
      </c>
      <c r="L198">
        <v>0</v>
      </c>
      <c r="M198">
        <v>0</v>
      </c>
      <c r="N198">
        <v>0</v>
      </c>
      <c r="O198">
        <v>0</v>
      </c>
      <c r="P198">
        <v>0</v>
      </c>
      <c r="Q198">
        <v>0</v>
      </c>
      <c r="R198">
        <v>0</v>
      </c>
      <c r="S198">
        <v>0</v>
      </c>
      <c r="T198">
        <v>0</v>
      </c>
      <c r="U198">
        <v>6.5087840165346522E-3</v>
      </c>
      <c r="V198">
        <v>0</v>
      </c>
      <c r="W198">
        <v>0.33987857388908027</v>
      </c>
      <c r="X198">
        <v>0</v>
      </c>
      <c r="Y198">
        <v>0.65361264209438508</v>
      </c>
      <c r="Z198">
        <v>0</v>
      </c>
      <c r="AA198">
        <v>0</v>
      </c>
      <c r="AB198">
        <v>0</v>
      </c>
      <c r="AC198">
        <v>0</v>
      </c>
      <c r="AD198">
        <v>0</v>
      </c>
      <c r="AE198" t="s">
        <v>249</v>
      </c>
      <c r="AF198">
        <v>20</v>
      </c>
      <c r="AG198" t="s">
        <v>201</v>
      </c>
      <c r="AH198">
        <v>46236</v>
      </c>
      <c r="AI198" t="s">
        <v>149</v>
      </c>
    </row>
    <row r="199" spans="1:35" x14ac:dyDescent="0.25">
      <c r="A199" s="1">
        <v>46236</v>
      </c>
      <c r="B199" t="s">
        <v>148</v>
      </c>
      <c r="C199" t="s">
        <v>10</v>
      </c>
      <c r="D199">
        <v>10.279406436312131</v>
      </c>
      <c r="E199">
        <v>26.6</v>
      </c>
      <c r="F199">
        <v>26.6</v>
      </c>
      <c r="G199">
        <v>10.553431372549014</v>
      </c>
      <c r="H199">
        <v>2.5876980509336773</v>
      </c>
      <c r="I199">
        <v>2.5876980509336773</v>
      </c>
      <c r="J199">
        <v>1.0266576614062934</v>
      </c>
      <c r="K199">
        <v>0</v>
      </c>
      <c r="L199">
        <v>0</v>
      </c>
      <c r="M199">
        <v>1.3376980509336773</v>
      </c>
      <c r="N199">
        <v>0</v>
      </c>
      <c r="O199">
        <v>0</v>
      </c>
      <c r="P199">
        <v>0</v>
      </c>
      <c r="Q199">
        <v>2.6657661406293442E-2</v>
      </c>
      <c r="R199">
        <v>0</v>
      </c>
      <c r="S199">
        <v>0.22334233859370656</v>
      </c>
      <c r="T199">
        <v>0</v>
      </c>
      <c r="U199">
        <v>0</v>
      </c>
      <c r="V199">
        <v>0</v>
      </c>
      <c r="W199">
        <v>0</v>
      </c>
      <c r="X199">
        <v>0</v>
      </c>
      <c r="Y199">
        <v>1</v>
      </c>
      <c r="Z199">
        <v>0</v>
      </c>
      <c r="AA199">
        <v>0</v>
      </c>
      <c r="AB199">
        <v>0</v>
      </c>
      <c r="AC199">
        <v>0</v>
      </c>
      <c r="AD199">
        <v>0</v>
      </c>
      <c r="AE199" t="s">
        <v>249</v>
      </c>
      <c r="AF199">
        <v>20</v>
      </c>
      <c r="AG199" t="s">
        <v>202</v>
      </c>
      <c r="AH199">
        <v>46236</v>
      </c>
      <c r="AI199" t="s">
        <v>149</v>
      </c>
    </row>
    <row r="200" spans="1:35" x14ac:dyDescent="0.25">
      <c r="A200" s="1">
        <v>46237</v>
      </c>
      <c r="B200" t="s">
        <v>148</v>
      </c>
      <c r="C200" t="s">
        <v>10</v>
      </c>
      <c r="D200">
        <v>10.279406436312131</v>
      </c>
      <c r="E200">
        <v>25.65</v>
      </c>
      <c r="F200">
        <v>25.65</v>
      </c>
      <c r="G200">
        <v>9.1049019607843089</v>
      </c>
      <c r="H200">
        <v>2.4952802634003315</v>
      </c>
      <c r="I200">
        <v>2.4952802634003315</v>
      </c>
      <c r="J200">
        <v>0.88574199465653281</v>
      </c>
      <c r="K200">
        <v>0</v>
      </c>
      <c r="L200">
        <v>0</v>
      </c>
      <c r="M200">
        <v>1.2452802634003315</v>
      </c>
      <c r="N200">
        <v>0</v>
      </c>
      <c r="O200">
        <v>0</v>
      </c>
      <c r="P200">
        <v>0</v>
      </c>
      <c r="Q200">
        <v>0</v>
      </c>
      <c r="R200">
        <v>0</v>
      </c>
      <c r="S200">
        <v>0.25</v>
      </c>
      <c r="T200">
        <v>0</v>
      </c>
      <c r="U200">
        <v>0</v>
      </c>
      <c r="V200">
        <v>0</v>
      </c>
      <c r="W200">
        <v>0.11425800534346719</v>
      </c>
      <c r="X200">
        <v>0</v>
      </c>
      <c r="Y200">
        <v>0.88574199465653281</v>
      </c>
      <c r="Z200">
        <v>0</v>
      </c>
      <c r="AA200">
        <v>0</v>
      </c>
      <c r="AB200">
        <v>0</v>
      </c>
      <c r="AC200">
        <v>0</v>
      </c>
      <c r="AD200">
        <v>0</v>
      </c>
      <c r="AE200" t="s">
        <v>249</v>
      </c>
      <c r="AF200">
        <v>20</v>
      </c>
      <c r="AG200" t="s">
        <v>203</v>
      </c>
      <c r="AH200">
        <v>46237</v>
      </c>
      <c r="AI200" t="s">
        <v>149</v>
      </c>
    </row>
    <row r="201" spans="1:35" x14ac:dyDescent="0.25">
      <c r="A201" s="1">
        <v>46237</v>
      </c>
      <c r="B201" t="s">
        <v>148</v>
      </c>
      <c r="C201" t="s">
        <v>12</v>
      </c>
      <c r="D201">
        <v>7.4107348726901421</v>
      </c>
      <c r="E201">
        <v>4.75</v>
      </c>
      <c r="F201">
        <v>4.75</v>
      </c>
      <c r="G201">
        <v>7.1745098039215671</v>
      </c>
      <c r="H201">
        <v>0.64096207482804213</v>
      </c>
      <c r="I201">
        <v>0.64096207482804213</v>
      </c>
      <c r="J201">
        <v>0.96812393469383096</v>
      </c>
      <c r="K201">
        <v>0</v>
      </c>
      <c r="L201">
        <v>0</v>
      </c>
      <c r="M201">
        <v>0</v>
      </c>
      <c r="N201">
        <v>0</v>
      </c>
      <c r="O201">
        <v>0</v>
      </c>
      <c r="P201">
        <v>0</v>
      </c>
      <c r="Q201">
        <v>0</v>
      </c>
      <c r="R201">
        <v>0</v>
      </c>
      <c r="S201">
        <v>0</v>
      </c>
      <c r="T201">
        <v>0.32716185986578883</v>
      </c>
      <c r="U201">
        <v>3.1876065306169044E-2</v>
      </c>
      <c r="V201">
        <v>0</v>
      </c>
      <c r="W201">
        <v>0</v>
      </c>
      <c r="X201">
        <v>0</v>
      </c>
      <c r="Y201">
        <v>0.64096207482804213</v>
      </c>
      <c r="Z201">
        <v>0</v>
      </c>
      <c r="AA201">
        <v>0</v>
      </c>
      <c r="AB201">
        <v>0</v>
      </c>
      <c r="AC201">
        <v>0</v>
      </c>
      <c r="AD201">
        <v>0</v>
      </c>
      <c r="AE201" t="s">
        <v>249</v>
      </c>
      <c r="AF201">
        <v>20</v>
      </c>
      <c r="AG201" t="s">
        <v>205</v>
      </c>
      <c r="AH201">
        <v>46237</v>
      </c>
      <c r="AI201" t="s">
        <v>149</v>
      </c>
    </row>
    <row r="202" spans="1:35" x14ac:dyDescent="0.25">
      <c r="A202" s="1">
        <v>46237</v>
      </c>
      <c r="B202" t="s">
        <v>148</v>
      </c>
      <c r="C202" t="s">
        <v>11</v>
      </c>
      <c r="D202">
        <v>3.8248954181626535</v>
      </c>
      <c r="E202">
        <v>3.8</v>
      </c>
      <c r="F202">
        <v>3.8</v>
      </c>
      <c r="G202">
        <v>4.1764705882352935</v>
      </c>
      <c r="H202">
        <v>0.99349121598346535</v>
      </c>
      <c r="I202">
        <v>0.99349121598346535</v>
      </c>
      <c r="J202">
        <v>1.0919175903223843</v>
      </c>
      <c r="K202">
        <v>9.1917590322384335E-2</v>
      </c>
      <c r="L202">
        <v>0</v>
      </c>
      <c r="M202">
        <v>0</v>
      </c>
      <c r="N202">
        <v>0</v>
      </c>
      <c r="O202">
        <v>0</v>
      </c>
      <c r="P202">
        <v>0</v>
      </c>
      <c r="Q202">
        <v>0</v>
      </c>
      <c r="R202">
        <v>0</v>
      </c>
      <c r="S202">
        <v>0</v>
      </c>
      <c r="T202">
        <v>6.5087840165346522E-3</v>
      </c>
      <c r="U202">
        <v>0</v>
      </c>
      <c r="V202">
        <v>0</v>
      </c>
      <c r="W202">
        <v>0</v>
      </c>
      <c r="X202">
        <v>0</v>
      </c>
      <c r="Y202">
        <v>0.99349121598346535</v>
      </c>
      <c r="Z202">
        <v>0</v>
      </c>
      <c r="AA202">
        <v>0</v>
      </c>
      <c r="AB202">
        <v>0</v>
      </c>
      <c r="AC202">
        <v>0</v>
      </c>
      <c r="AD202">
        <v>0</v>
      </c>
      <c r="AE202" t="s">
        <v>249</v>
      </c>
      <c r="AF202">
        <v>20</v>
      </c>
      <c r="AG202" t="s">
        <v>204</v>
      </c>
      <c r="AH202">
        <v>46237</v>
      </c>
      <c r="AI202" t="s">
        <v>149</v>
      </c>
    </row>
    <row r="203" spans="1:35" x14ac:dyDescent="0.25">
      <c r="A203" s="1">
        <v>46238</v>
      </c>
      <c r="B203" t="s">
        <v>148</v>
      </c>
      <c r="C203" t="s">
        <v>12</v>
      </c>
      <c r="D203">
        <v>7.4107348726901421</v>
      </c>
      <c r="E203">
        <v>5.6999999999999993</v>
      </c>
      <c r="F203">
        <v>5.6999999999999993</v>
      </c>
      <c r="G203">
        <v>8.0426470588235297</v>
      </c>
      <c r="H203">
        <v>0.76915448979365042</v>
      </c>
      <c r="I203">
        <v>0.76915448979365042</v>
      </c>
      <c r="J203">
        <v>1.0852698412490906</v>
      </c>
      <c r="K203">
        <v>8.526984124909065E-2</v>
      </c>
      <c r="L203">
        <v>0</v>
      </c>
      <c r="M203">
        <v>0</v>
      </c>
      <c r="N203">
        <v>0</v>
      </c>
      <c r="O203">
        <v>0</v>
      </c>
      <c r="P203">
        <v>0</v>
      </c>
      <c r="Q203">
        <v>0</v>
      </c>
      <c r="R203">
        <v>0</v>
      </c>
      <c r="S203">
        <v>0</v>
      </c>
      <c r="T203">
        <v>0.23084551020634958</v>
      </c>
      <c r="U203">
        <v>0</v>
      </c>
      <c r="V203">
        <v>0</v>
      </c>
      <c r="W203">
        <v>0</v>
      </c>
      <c r="X203">
        <v>0</v>
      </c>
      <c r="Y203">
        <v>0.76915448979365042</v>
      </c>
      <c r="Z203">
        <v>0</v>
      </c>
      <c r="AA203">
        <v>0</v>
      </c>
      <c r="AB203">
        <v>0</v>
      </c>
      <c r="AC203">
        <v>0</v>
      </c>
      <c r="AD203">
        <v>0</v>
      </c>
      <c r="AE203" t="s">
        <v>249</v>
      </c>
      <c r="AF203">
        <v>20</v>
      </c>
      <c r="AG203" t="s">
        <v>206</v>
      </c>
      <c r="AH203">
        <v>46238</v>
      </c>
      <c r="AI203" t="s">
        <v>149</v>
      </c>
    </row>
    <row r="204" spans="1:35" x14ac:dyDescent="0.25">
      <c r="A204" s="1">
        <v>46238</v>
      </c>
      <c r="B204" t="s">
        <v>148</v>
      </c>
      <c r="C204" t="s">
        <v>11</v>
      </c>
      <c r="D204">
        <v>3.8248954181626535</v>
      </c>
      <c r="E204">
        <v>4.75</v>
      </c>
      <c r="F204">
        <v>4.75</v>
      </c>
      <c r="G204">
        <v>4.1764705882352935</v>
      </c>
      <c r="H204">
        <v>1.2418640199793318</v>
      </c>
      <c r="I204">
        <v>1.2418640199793318</v>
      </c>
      <c r="J204">
        <v>1.0919175903223843</v>
      </c>
      <c r="K204">
        <v>0</v>
      </c>
      <c r="L204">
        <v>0</v>
      </c>
      <c r="M204">
        <v>0</v>
      </c>
      <c r="N204">
        <v>0</v>
      </c>
      <c r="O204">
        <v>0</v>
      </c>
      <c r="P204">
        <v>0</v>
      </c>
      <c r="Q204">
        <v>9.1917590322384335E-2</v>
      </c>
      <c r="R204">
        <v>0</v>
      </c>
      <c r="S204">
        <v>0.14994642965694749</v>
      </c>
      <c r="T204">
        <v>0</v>
      </c>
      <c r="U204">
        <v>0</v>
      </c>
      <c r="V204">
        <v>0</v>
      </c>
      <c r="W204">
        <v>0</v>
      </c>
      <c r="X204">
        <v>0</v>
      </c>
      <c r="Y204">
        <v>1</v>
      </c>
      <c r="Z204">
        <v>0</v>
      </c>
      <c r="AA204">
        <v>0</v>
      </c>
      <c r="AB204">
        <v>0</v>
      </c>
      <c r="AC204">
        <v>0</v>
      </c>
      <c r="AD204">
        <v>0</v>
      </c>
      <c r="AE204" t="s">
        <v>249</v>
      </c>
      <c r="AF204">
        <v>20</v>
      </c>
      <c r="AG204" t="s">
        <v>207</v>
      </c>
      <c r="AH204">
        <v>46238</v>
      </c>
      <c r="AI204" t="s">
        <v>149</v>
      </c>
    </row>
    <row r="205" spans="1:35" x14ac:dyDescent="0.25">
      <c r="A205" s="1">
        <v>46238</v>
      </c>
      <c r="B205" t="s">
        <v>148</v>
      </c>
      <c r="C205" t="s">
        <v>10</v>
      </c>
      <c r="D205">
        <v>10.279406436312131</v>
      </c>
      <c r="E205">
        <v>27.549999999999997</v>
      </c>
      <c r="F205">
        <v>27.549999999999997</v>
      </c>
      <c r="G205">
        <v>9.4058823529411733</v>
      </c>
      <c r="H205">
        <v>2.6801158384670227</v>
      </c>
      <c r="I205">
        <v>2.6801158384670227</v>
      </c>
      <c r="J205">
        <v>0.91502193353448669</v>
      </c>
      <c r="K205">
        <v>0</v>
      </c>
      <c r="L205">
        <v>0</v>
      </c>
      <c r="M205">
        <v>1.4301158384670227</v>
      </c>
      <c r="N205">
        <v>0</v>
      </c>
      <c r="O205">
        <v>0</v>
      </c>
      <c r="P205">
        <v>0</v>
      </c>
      <c r="Q205">
        <v>0</v>
      </c>
      <c r="R205">
        <v>0</v>
      </c>
      <c r="S205">
        <v>0.25</v>
      </c>
      <c r="T205">
        <v>0</v>
      </c>
      <c r="U205">
        <v>0</v>
      </c>
      <c r="V205">
        <v>0</v>
      </c>
      <c r="W205">
        <v>8.4978066465513313E-2</v>
      </c>
      <c r="X205">
        <v>0</v>
      </c>
      <c r="Y205">
        <v>0.91502193353448669</v>
      </c>
      <c r="Z205">
        <v>0</v>
      </c>
      <c r="AA205">
        <v>0</v>
      </c>
      <c r="AB205">
        <v>0</v>
      </c>
      <c r="AC205">
        <v>0</v>
      </c>
      <c r="AD205">
        <v>0</v>
      </c>
      <c r="AE205" t="s">
        <v>249</v>
      </c>
      <c r="AF205">
        <v>20</v>
      </c>
      <c r="AG205" t="s">
        <v>208</v>
      </c>
      <c r="AH205">
        <v>46238</v>
      </c>
      <c r="AI205" t="s">
        <v>149</v>
      </c>
    </row>
    <row r="206" spans="1:35" x14ac:dyDescent="0.25">
      <c r="A206" s="1">
        <v>46239</v>
      </c>
      <c r="B206" t="s">
        <v>148</v>
      </c>
      <c r="C206" t="s">
        <v>11</v>
      </c>
      <c r="D206">
        <v>3.8248954181626535</v>
      </c>
      <c r="E206">
        <v>2.8499999999999996</v>
      </c>
      <c r="F206">
        <v>2.8499999999999996</v>
      </c>
      <c r="G206">
        <v>2.4705882352941178</v>
      </c>
      <c r="H206">
        <v>0.74511841198759898</v>
      </c>
      <c r="I206">
        <v>0.74511841198759898</v>
      </c>
      <c r="J206">
        <v>0.64592308159915712</v>
      </c>
      <c r="K206">
        <v>0</v>
      </c>
      <c r="L206">
        <v>0</v>
      </c>
      <c r="M206">
        <v>0</v>
      </c>
      <c r="N206">
        <v>0</v>
      </c>
      <c r="O206">
        <v>0</v>
      </c>
      <c r="P206">
        <v>0</v>
      </c>
      <c r="Q206">
        <v>0</v>
      </c>
      <c r="R206">
        <v>0</v>
      </c>
      <c r="S206">
        <v>0</v>
      </c>
      <c r="T206">
        <v>0</v>
      </c>
      <c r="U206">
        <v>0.25488158801240102</v>
      </c>
      <c r="V206">
        <v>0</v>
      </c>
      <c r="W206">
        <v>9.919533038844186E-2</v>
      </c>
      <c r="X206">
        <v>0</v>
      </c>
      <c r="Y206">
        <v>0.64592308159915712</v>
      </c>
      <c r="Z206">
        <v>0</v>
      </c>
      <c r="AA206">
        <v>0</v>
      </c>
      <c r="AB206">
        <v>0</v>
      </c>
      <c r="AC206">
        <v>0</v>
      </c>
      <c r="AD206">
        <v>0</v>
      </c>
      <c r="AE206" t="s">
        <v>249</v>
      </c>
      <c r="AF206">
        <v>20</v>
      </c>
      <c r="AG206" t="s">
        <v>209</v>
      </c>
      <c r="AH206">
        <v>46239</v>
      </c>
      <c r="AI206" t="s">
        <v>149</v>
      </c>
    </row>
    <row r="207" spans="1:35" x14ac:dyDescent="0.25">
      <c r="A207" s="1">
        <v>46239</v>
      </c>
      <c r="B207" t="s">
        <v>148</v>
      </c>
      <c r="C207" t="s">
        <v>10</v>
      </c>
      <c r="D207">
        <v>9.3231825817714693</v>
      </c>
      <c r="E207">
        <v>8.5499999999999989</v>
      </c>
      <c r="F207">
        <v>8.5499999999999989</v>
      </c>
      <c r="G207">
        <v>9.4058823529411679</v>
      </c>
      <c r="H207">
        <v>0.91706881475396784</v>
      </c>
      <c r="I207">
        <v>0.91706881475396784</v>
      </c>
      <c r="J207">
        <v>1.0088703369739205</v>
      </c>
      <c r="K207">
        <v>8.8703369739204785E-3</v>
      </c>
      <c r="L207">
        <v>0</v>
      </c>
      <c r="M207">
        <v>0</v>
      </c>
      <c r="N207">
        <v>0</v>
      </c>
      <c r="O207">
        <v>0</v>
      </c>
      <c r="P207">
        <v>0</v>
      </c>
      <c r="Q207">
        <v>0</v>
      </c>
      <c r="R207">
        <v>0</v>
      </c>
      <c r="S207">
        <v>0</v>
      </c>
      <c r="T207">
        <v>8.2931185246032157E-2</v>
      </c>
      <c r="U207">
        <v>0</v>
      </c>
      <c r="V207">
        <v>0</v>
      </c>
      <c r="W207">
        <v>0</v>
      </c>
      <c r="X207">
        <v>0</v>
      </c>
      <c r="Y207">
        <v>0.91706881475396784</v>
      </c>
      <c r="Z207">
        <v>0</v>
      </c>
      <c r="AA207">
        <v>0</v>
      </c>
      <c r="AB207">
        <v>0</v>
      </c>
      <c r="AC207">
        <v>0</v>
      </c>
      <c r="AD207">
        <v>0</v>
      </c>
      <c r="AE207" t="s">
        <v>249</v>
      </c>
      <c r="AF207">
        <v>20</v>
      </c>
      <c r="AG207" t="s">
        <v>211</v>
      </c>
      <c r="AH207">
        <v>46239</v>
      </c>
      <c r="AI207" t="s">
        <v>149</v>
      </c>
    </row>
    <row r="208" spans="1:35" x14ac:dyDescent="0.25">
      <c r="A208" s="1">
        <v>46239</v>
      </c>
      <c r="B208" t="s">
        <v>148</v>
      </c>
      <c r="C208" t="s">
        <v>12</v>
      </c>
      <c r="D208">
        <v>6.6935669817846444</v>
      </c>
      <c r="E208">
        <v>5.6999999999999993</v>
      </c>
      <c r="F208">
        <v>5.6999999999999993</v>
      </c>
      <c r="G208">
        <v>7.2926470588235279</v>
      </c>
      <c r="H208">
        <v>0.8515638994143987</v>
      </c>
      <c r="I208">
        <v>0.8515638994143987</v>
      </c>
      <c r="J208">
        <v>1.0895008713095982</v>
      </c>
      <c r="K208">
        <v>8.9500871309598162E-2</v>
      </c>
      <c r="L208">
        <v>0</v>
      </c>
      <c r="M208">
        <v>0</v>
      </c>
      <c r="N208">
        <v>0</v>
      </c>
      <c r="O208">
        <v>0</v>
      </c>
      <c r="P208">
        <v>0</v>
      </c>
      <c r="Q208">
        <v>0</v>
      </c>
      <c r="R208">
        <v>0</v>
      </c>
      <c r="S208">
        <v>0</v>
      </c>
      <c r="T208">
        <v>0.1484361005856013</v>
      </c>
      <c r="U208">
        <v>0</v>
      </c>
      <c r="V208">
        <v>0</v>
      </c>
      <c r="W208">
        <v>0</v>
      </c>
      <c r="X208">
        <v>0</v>
      </c>
      <c r="Y208">
        <v>0.8515638994143987</v>
      </c>
      <c r="Z208">
        <v>0</v>
      </c>
      <c r="AA208">
        <v>0</v>
      </c>
      <c r="AB208">
        <v>0</v>
      </c>
      <c r="AC208">
        <v>0</v>
      </c>
      <c r="AD208">
        <v>0</v>
      </c>
      <c r="AE208" t="s">
        <v>249</v>
      </c>
      <c r="AF208">
        <v>20</v>
      </c>
      <c r="AG208" t="s">
        <v>210</v>
      </c>
      <c r="AH208">
        <v>46239</v>
      </c>
      <c r="AI208" t="s">
        <v>149</v>
      </c>
    </row>
    <row r="209" spans="1:35" x14ac:dyDescent="0.25">
      <c r="A209" s="1">
        <v>46240</v>
      </c>
      <c r="B209" t="s">
        <v>148</v>
      </c>
      <c r="C209" t="s">
        <v>10</v>
      </c>
      <c r="D209">
        <v>10.279406436312131</v>
      </c>
      <c r="E209">
        <v>15.2</v>
      </c>
      <c r="F209">
        <v>15.2</v>
      </c>
      <c r="G209">
        <v>9.9284313725490154</v>
      </c>
      <c r="H209">
        <v>1.4786846005335299</v>
      </c>
      <c r="I209">
        <v>1.4786846005335299</v>
      </c>
      <c r="J209">
        <v>0.96585648539751368</v>
      </c>
      <c r="K209">
        <v>0</v>
      </c>
      <c r="L209">
        <v>0</v>
      </c>
      <c r="M209">
        <v>0.2286846005335299</v>
      </c>
      <c r="N209">
        <v>0</v>
      </c>
      <c r="O209">
        <v>0</v>
      </c>
      <c r="P209">
        <v>0</v>
      </c>
      <c r="Q209">
        <v>0</v>
      </c>
      <c r="R209">
        <v>0</v>
      </c>
      <c r="S209">
        <v>0.25</v>
      </c>
      <c r="T209">
        <v>0</v>
      </c>
      <c r="U209">
        <v>0</v>
      </c>
      <c r="V209">
        <v>0</v>
      </c>
      <c r="W209">
        <v>3.4143514602486325E-2</v>
      </c>
      <c r="X209">
        <v>0</v>
      </c>
      <c r="Y209">
        <v>0.96585648539751368</v>
      </c>
      <c r="Z209">
        <v>0</v>
      </c>
      <c r="AA209">
        <v>0</v>
      </c>
      <c r="AB209">
        <v>0</v>
      </c>
      <c r="AC209">
        <v>0</v>
      </c>
      <c r="AD209">
        <v>0</v>
      </c>
      <c r="AE209" t="s">
        <v>249</v>
      </c>
      <c r="AF209">
        <v>20</v>
      </c>
      <c r="AG209" t="s">
        <v>213</v>
      </c>
      <c r="AH209">
        <v>46240</v>
      </c>
      <c r="AI209" t="s">
        <v>149</v>
      </c>
    </row>
    <row r="210" spans="1:35" x14ac:dyDescent="0.25">
      <c r="A210" s="1">
        <v>46240</v>
      </c>
      <c r="B210" t="s">
        <v>148</v>
      </c>
      <c r="C210" t="s">
        <v>11</v>
      </c>
      <c r="D210">
        <v>3.8248954181626535</v>
      </c>
      <c r="E210">
        <v>2.8499999999999996</v>
      </c>
      <c r="F210">
        <v>2.8499999999999996</v>
      </c>
      <c r="G210">
        <v>3.0882352941176467</v>
      </c>
      <c r="H210">
        <v>0.74511841198759898</v>
      </c>
      <c r="I210">
        <v>0.74511841198759898</v>
      </c>
      <c r="J210">
        <v>0.80740385199894626</v>
      </c>
      <c r="K210">
        <v>0</v>
      </c>
      <c r="L210">
        <v>0</v>
      </c>
      <c r="M210">
        <v>0</v>
      </c>
      <c r="N210">
        <v>0</v>
      </c>
      <c r="O210">
        <v>0</v>
      </c>
      <c r="P210">
        <v>0</v>
      </c>
      <c r="Q210">
        <v>0</v>
      </c>
      <c r="R210">
        <v>0</v>
      </c>
      <c r="S210">
        <v>0</v>
      </c>
      <c r="T210">
        <v>6.2285440011347282E-2</v>
      </c>
      <c r="U210">
        <v>0.19259614800105374</v>
      </c>
      <c r="V210">
        <v>0</v>
      </c>
      <c r="W210">
        <v>0</v>
      </c>
      <c r="X210">
        <v>0</v>
      </c>
      <c r="Y210">
        <v>0.74511841198759898</v>
      </c>
      <c r="Z210">
        <v>0</v>
      </c>
      <c r="AA210">
        <v>0</v>
      </c>
      <c r="AB210">
        <v>0</v>
      </c>
      <c r="AC210">
        <v>0</v>
      </c>
      <c r="AD210">
        <v>0</v>
      </c>
      <c r="AE210" t="s">
        <v>249</v>
      </c>
      <c r="AF210">
        <v>20</v>
      </c>
      <c r="AG210" t="s">
        <v>212</v>
      </c>
      <c r="AH210">
        <v>46240</v>
      </c>
      <c r="AI210" t="s">
        <v>149</v>
      </c>
    </row>
    <row r="211" spans="1:35" x14ac:dyDescent="0.25">
      <c r="A211" s="1">
        <v>46240</v>
      </c>
      <c r="B211" t="s">
        <v>148</v>
      </c>
      <c r="C211" t="s">
        <v>12</v>
      </c>
      <c r="D211">
        <v>7.4107348726901421</v>
      </c>
      <c r="E211">
        <v>4.75</v>
      </c>
      <c r="F211">
        <v>4.75</v>
      </c>
      <c r="G211">
        <v>5.5862745098039195</v>
      </c>
      <c r="H211">
        <v>0.64096207482804213</v>
      </c>
      <c r="I211">
        <v>0.64096207482804213</v>
      </c>
      <c r="J211">
        <v>0.7538084421816682</v>
      </c>
      <c r="K211">
        <v>0</v>
      </c>
      <c r="L211">
        <v>0</v>
      </c>
      <c r="M211">
        <v>0</v>
      </c>
      <c r="N211">
        <v>0</v>
      </c>
      <c r="O211">
        <v>0</v>
      </c>
      <c r="P211">
        <v>0</v>
      </c>
      <c r="Q211">
        <v>0</v>
      </c>
      <c r="R211">
        <v>0</v>
      </c>
      <c r="S211">
        <v>0</v>
      </c>
      <c r="T211">
        <v>0.11284636735362608</v>
      </c>
      <c r="U211">
        <v>0.2461915578183318</v>
      </c>
      <c r="V211">
        <v>0</v>
      </c>
      <c r="W211">
        <v>0</v>
      </c>
      <c r="X211">
        <v>0</v>
      </c>
      <c r="Y211">
        <v>0.64096207482804213</v>
      </c>
      <c r="Z211">
        <v>0</v>
      </c>
      <c r="AA211">
        <v>0</v>
      </c>
      <c r="AB211">
        <v>0</v>
      </c>
      <c r="AC211">
        <v>0</v>
      </c>
      <c r="AD211">
        <v>0</v>
      </c>
      <c r="AE211" t="s">
        <v>249</v>
      </c>
      <c r="AF211">
        <v>20</v>
      </c>
      <c r="AG211" t="s">
        <v>214</v>
      </c>
      <c r="AH211">
        <v>46240</v>
      </c>
      <c r="AI211" t="s">
        <v>149</v>
      </c>
    </row>
    <row r="212" spans="1:35" x14ac:dyDescent="0.25">
      <c r="A212" s="1">
        <v>46241</v>
      </c>
      <c r="B212" t="s">
        <v>148</v>
      </c>
      <c r="C212" t="s">
        <v>12</v>
      </c>
      <c r="D212">
        <v>7.4107348726901439</v>
      </c>
      <c r="E212">
        <v>5.6999999999999993</v>
      </c>
      <c r="F212">
        <v>5.6999999999999993</v>
      </c>
      <c r="G212">
        <v>6.2779411764705886</v>
      </c>
      <c r="H212">
        <v>0.76915448979365031</v>
      </c>
      <c r="I212">
        <v>0.76915448979365031</v>
      </c>
      <c r="J212">
        <v>0.84714151623557621</v>
      </c>
      <c r="K212">
        <v>0</v>
      </c>
      <c r="L212">
        <v>0</v>
      </c>
      <c r="M212">
        <v>0</v>
      </c>
      <c r="N212">
        <v>0</v>
      </c>
      <c r="O212">
        <v>0</v>
      </c>
      <c r="P212">
        <v>0</v>
      </c>
      <c r="Q212">
        <v>0</v>
      </c>
      <c r="R212">
        <v>0</v>
      </c>
      <c r="S212">
        <v>0</v>
      </c>
      <c r="T212">
        <v>7.79870264419259E-2</v>
      </c>
      <c r="U212">
        <v>0.15285848376442379</v>
      </c>
      <c r="V212">
        <v>0</v>
      </c>
      <c r="W212">
        <v>0</v>
      </c>
      <c r="X212">
        <v>0</v>
      </c>
      <c r="Y212">
        <v>0.76915448979365031</v>
      </c>
      <c r="Z212">
        <v>0</v>
      </c>
      <c r="AA212">
        <v>0</v>
      </c>
      <c r="AB212">
        <v>0</v>
      </c>
      <c r="AC212">
        <v>0</v>
      </c>
      <c r="AD212">
        <v>0</v>
      </c>
      <c r="AE212" t="s">
        <v>249</v>
      </c>
      <c r="AF212">
        <v>20</v>
      </c>
      <c r="AG212" t="s">
        <v>215</v>
      </c>
      <c r="AH212">
        <v>46241</v>
      </c>
      <c r="AI212" t="s">
        <v>149</v>
      </c>
    </row>
    <row r="213" spans="1:35" x14ac:dyDescent="0.25">
      <c r="A213" s="1">
        <v>46241</v>
      </c>
      <c r="B213" t="s">
        <v>148</v>
      </c>
      <c r="C213" t="s">
        <v>10</v>
      </c>
      <c r="D213">
        <v>9.3231825817714675</v>
      </c>
      <c r="E213">
        <v>8.5499999999999989</v>
      </c>
      <c r="F213">
        <v>8.5499999999999989</v>
      </c>
      <c r="G213">
        <v>9.2588235294117602</v>
      </c>
      <c r="H213">
        <v>0.91706881475396795</v>
      </c>
      <c r="I213">
        <v>0.91706881475396795</v>
      </c>
      <c r="J213">
        <v>0.99309687954781223</v>
      </c>
      <c r="K213">
        <v>0</v>
      </c>
      <c r="L213">
        <v>0</v>
      </c>
      <c r="M213">
        <v>0</v>
      </c>
      <c r="N213">
        <v>0</v>
      </c>
      <c r="O213">
        <v>0</v>
      </c>
      <c r="P213">
        <v>0</v>
      </c>
      <c r="Q213">
        <v>0</v>
      </c>
      <c r="R213">
        <v>0</v>
      </c>
      <c r="S213">
        <v>0</v>
      </c>
      <c r="T213">
        <v>7.6028064793844274E-2</v>
      </c>
      <c r="U213">
        <v>6.903120452187772E-3</v>
      </c>
      <c r="V213">
        <v>0</v>
      </c>
      <c r="W213">
        <v>0</v>
      </c>
      <c r="X213">
        <v>0</v>
      </c>
      <c r="Y213">
        <v>0.91706881475396795</v>
      </c>
      <c r="Z213">
        <v>0</v>
      </c>
      <c r="AA213">
        <v>0</v>
      </c>
      <c r="AB213">
        <v>0</v>
      </c>
      <c r="AC213">
        <v>0</v>
      </c>
      <c r="AD213">
        <v>0</v>
      </c>
      <c r="AE213" t="s">
        <v>249</v>
      </c>
      <c r="AF213">
        <v>20</v>
      </c>
      <c r="AG213" t="s">
        <v>217</v>
      </c>
      <c r="AH213">
        <v>46241</v>
      </c>
      <c r="AI213" t="s">
        <v>149</v>
      </c>
    </row>
    <row r="214" spans="1:35" x14ac:dyDescent="0.25">
      <c r="A214" s="1">
        <v>46241</v>
      </c>
      <c r="B214" t="s">
        <v>148</v>
      </c>
      <c r="C214" t="s">
        <v>11</v>
      </c>
      <c r="D214">
        <v>3.8248954181626535</v>
      </c>
      <c r="E214">
        <v>3.8</v>
      </c>
      <c r="F214">
        <v>3.8</v>
      </c>
      <c r="G214">
        <v>3.0882352941176467</v>
      </c>
      <c r="H214">
        <v>0.99349121598346535</v>
      </c>
      <c r="I214">
        <v>0.99349121598346535</v>
      </c>
      <c r="J214">
        <v>0.80740385199894626</v>
      </c>
      <c r="K214">
        <v>0</v>
      </c>
      <c r="L214">
        <v>0</v>
      </c>
      <c r="M214">
        <v>0</v>
      </c>
      <c r="N214">
        <v>0</v>
      </c>
      <c r="O214">
        <v>0</v>
      </c>
      <c r="P214">
        <v>0</v>
      </c>
      <c r="Q214">
        <v>0</v>
      </c>
      <c r="R214">
        <v>0</v>
      </c>
      <c r="S214">
        <v>0</v>
      </c>
      <c r="T214">
        <v>0</v>
      </c>
      <c r="U214">
        <v>6.5087840165346522E-3</v>
      </c>
      <c r="V214">
        <v>0</v>
      </c>
      <c r="W214">
        <v>0.18608736398451908</v>
      </c>
      <c r="X214">
        <v>0</v>
      </c>
      <c r="Y214">
        <v>0.80740385199894626</v>
      </c>
      <c r="Z214">
        <v>0</v>
      </c>
      <c r="AA214">
        <v>0</v>
      </c>
      <c r="AB214">
        <v>0</v>
      </c>
      <c r="AC214">
        <v>0</v>
      </c>
      <c r="AD214">
        <v>0</v>
      </c>
      <c r="AE214" t="s">
        <v>249</v>
      </c>
      <c r="AF214">
        <v>20</v>
      </c>
      <c r="AG214" t="s">
        <v>216</v>
      </c>
      <c r="AH214">
        <v>46241</v>
      </c>
      <c r="AI214" t="s">
        <v>149</v>
      </c>
    </row>
    <row r="215" spans="1:35" x14ac:dyDescent="0.25">
      <c r="A215" s="1">
        <v>46242</v>
      </c>
      <c r="B215" t="s">
        <v>148</v>
      </c>
      <c r="C215" t="s">
        <v>12</v>
      </c>
      <c r="D215">
        <v>7.4107348726901421</v>
      </c>
      <c r="E215">
        <v>6.6499999999999995</v>
      </c>
      <c r="F215">
        <v>6.6499999999999995</v>
      </c>
      <c r="G215">
        <v>7.2926470588235297</v>
      </c>
      <c r="H215">
        <v>0.89734690475925893</v>
      </c>
      <c r="I215">
        <v>0.89734690475925893</v>
      </c>
      <c r="J215">
        <v>0.98406530311834706</v>
      </c>
      <c r="K215">
        <v>0</v>
      </c>
      <c r="L215">
        <v>0</v>
      </c>
      <c r="M215">
        <v>0</v>
      </c>
      <c r="N215">
        <v>0</v>
      </c>
      <c r="O215">
        <v>0</v>
      </c>
      <c r="P215">
        <v>0</v>
      </c>
      <c r="Q215">
        <v>0</v>
      </c>
      <c r="R215">
        <v>0</v>
      </c>
      <c r="S215">
        <v>0</v>
      </c>
      <c r="T215">
        <v>8.6718398359088122E-2</v>
      </c>
      <c r="U215">
        <v>1.5934696881652943E-2</v>
      </c>
      <c r="V215">
        <v>0</v>
      </c>
      <c r="W215">
        <v>0</v>
      </c>
      <c r="X215">
        <v>0</v>
      </c>
      <c r="Y215">
        <v>0.89734690475925893</v>
      </c>
      <c r="Z215">
        <v>0</v>
      </c>
      <c r="AA215">
        <v>0</v>
      </c>
      <c r="AB215">
        <v>0</v>
      </c>
      <c r="AC215">
        <v>0</v>
      </c>
      <c r="AD215">
        <v>0</v>
      </c>
      <c r="AE215" t="s">
        <v>249</v>
      </c>
      <c r="AF215">
        <v>20</v>
      </c>
      <c r="AG215" t="s">
        <v>218</v>
      </c>
      <c r="AH215">
        <v>46242</v>
      </c>
      <c r="AI215" t="s">
        <v>149</v>
      </c>
    </row>
    <row r="216" spans="1:35" x14ac:dyDescent="0.25">
      <c r="A216" s="1">
        <v>46242</v>
      </c>
      <c r="B216" t="s">
        <v>148</v>
      </c>
      <c r="C216" t="s">
        <v>11</v>
      </c>
      <c r="D216">
        <v>3.8248954181626535</v>
      </c>
      <c r="E216">
        <v>3.8</v>
      </c>
      <c r="F216">
        <v>3.8</v>
      </c>
      <c r="G216">
        <v>4.1764705882352935</v>
      </c>
      <c r="H216">
        <v>0.99349121598346535</v>
      </c>
      <c r="I216">
        <v>0.99349121598346535</v>
      </c>
      <c r="J216">
        <v>1.0919175903223843</v>
      </c>
      <c r="K216">
        <v>9.1917590322384335E-2</v>
      </c>
      <c r="L216">
        <v>0</v>
      </c>
      <c r="M216">
        <v>0</v>
      </c>
      <c r="N216">
        <v>0</v>
      </c>
      <c r="O216">
        <v>0</v>
      </c>
      <c r="P216">
        <v>0</v>
      </c>
      <c r="Q216">
        <v>0</v>
      </c>
      <c r="R216">
        <v>0</v>
      </c>
      <c r="S216">
        <v>0</v>
      </c>
      <c r="T216">
        <v>6.5087840165346522E-3</v>
      </c>
      <c r="U216">
        <v>0</v>
      </c>
      <c r="V216">
        <v>0</v>
      </c>
      <c r="W216">
        <v>0</v>
      </c>
      <c r="X216">
        <v>0</v>
      </c>
      <c r="Y216">
        <v>0.99349121598346535</v>
      </c>
      <c r="Z216">
        <v>0</v>
      </c>
      <c r="AA216">
        <v>0</v>
      </c>
      <c r="AB216">
        <v>0</v>
      </c>
      <c r="AC216">
        <v>0</v>
      </c>
      <c r="AD216">
        <v>0</v>
      </c>
      <c r="AE216" t="s">
        <v>249</v>
      </c>
      <c r="AF216">
        <v>20</v>
      </c>
      <c r="AG216" t="s">
        <v>220</v>
      </c>
      <c r="AH216">
        <v>46242</v>
      </c>
      <c r="AI216" t="s">
        <v>149</v>
      </c>
    </row>
    <row r="217" spans="1:35" x14ac:dyDescent="0.25">
      <c r="A217" s="1">
        <v>46242</v>
      </c>
      <c r="B217" t="s">
        <v>148</v>
      </c>
      <c r="C217" t="s">
        <v>10</v>
      </c>
      <c r="D217">
        <v>9.3231825817714675</v>
      </c>
      <c r="E217">
        <v>23.75</v>
      </c>
      <c r="F217">
        <v>23.75</v>
      </c>
      <c r="G217">
        <v>9.258823529411762</v>
      </c>
      <c r="H217">
        <v>2.5474133743165779</v>
      </c>
      <c r="I217">
        <v>2.5474133743165779</v>
      </c>
      <c r="J217">
        <v>0.99309687954781245</v>
      </c>
      <c r="K217">
        <v>0</v>
      </c>
      <c r="L217">
        <v>0</v>
      </c>
      <c r="M217">
        <v>1.2974133743165779</v>
      </c>
      <c r="N217">
        <v>0</v>
      </c>
      <c r="O217">
        <v>0</v>
      </c>
      <c r="P217">
        <v>0</v>
      </c>
      <c r="Q217">
        <v>0</v>
      </c>
      <c r="R217">
        <v>0</v>
      </c>
      <c r="S217">
        <v>0.25</v>
      </c>
      <c r="T217">
        <v>0</v>
      </c>
      <c r="U217">
        <v>0</v>
      </c>
      <c r="V217">
        <v>0</v>
      </c>
      <c r="W217">
        <v>6.90312045218755E-3</v>
      </c>
      <c r="X217">
        <v>0</v>
      </c>
      <c r="Y217">
        <v>0.99309687954781245</v>
      </c>
      <c r="Z217">
        <v>0</v>
      </c>
      <c r="AA217">
        <v>0</v>
      </c>
      <c r="AB217">
        <v>0</v>
      </c>
      <c r="AC217">
        <v>0</v>
      </c>
      <c r="AD217">
        <v>0</v>
      </c>
      <c r="AE217" t="s">
        <v>249</v>
      </c>
      <c r="AF217">
        <v>20</v>
      </c>
      <c r="AG217" t="s">
        <v>219</v>
      </c>
      <c r="AH217">
        <v>46242</v>
      </c>
      <c r="AI217" t="s">
        <v>149</v>
      </c>
    </row>
    <row r="218" spans="1:35" x14ac:dyDescent="0.25">
      <c r="A218" s="1">
        <v>46243</v>
      </c>
      <c r="B218" t="s">
        <v>148</v>
      </c>
      <c r="C218" t="s">
        <v>10</v>
      </c>
      <c r="D218">
        <v>9.4427105635890545</v>
      </c>
      <c r="E218">
        <v>19.95</v>
      </c>
      <c r="F218">
        <v>19.95</v>
      </c>
      <c r="G218">
        <v>8.582352941176465</v>
      </c>
      <c r="H218">
        <v>2.112740813736989</v>
      </c>
      <c r="I218">
        <v>2.112740813736989</v>
      </c>
      <c r="J218">
        <v>0.90888658329419569</v>
      </c>
      <c r="K218">
        <v>0</v>
      </c>
      <c r="L218">
        <v>0</v>
      </c>
      <c r="M218">
        <v>0.86274081373698897</v>
      </c>
      <c r="N218">
        <v>0</v>
      </c>
      <c r="O218">
        <v>0</v>
      </c>
      <c r="P218">
        <v>0</v>
      </c>
      <c r="Q218">
        <v>0</v>
      </c>
      <c r="R218">
        <v>0</v>
      </c>
      <c r="S218">
        <v>0.25</v>
      </c>
      <c r="T218">
        <v>0</v>
      </c>
      <c r="U218">
        <v>0</v>
      </c>
      <c r="V218">
        <v>0</v>
      </c>
      <c r="W218">
        <v>9.1113416705804307E-2</v>
      </c>
      <c r="X218">
        <v>0</v>
      </c>
      <c r="Y218">
        <v>0.90888658329419569</v>
      </c>
      <c r="Z218">
        <v>0</v>
      </c>
      <c r="AA218">
        <v>0</v>
      </c>
      <c r="AB218">
        <v>0</v>
      </c>
      <c r="AC218">
        <v>0</v>
      </c>
      <c r="AD218">
        <v>0</v>
      </c>
      <c r="AE218" t="s">
        <v>249</v>
      </c>
      <c r="AF218">
        <v>20</v>
      </c>
      <c r="AG218" t="s">
        <v>222</v>
      </c>
      <c r="AH218">
        <v>46243</v>
      </c>
      <c r="AI218" t="s">
        <v>149</v>
      </c>
    </row>
    <row r="219" spans="1:35" x14ac:dyDescent="0.25">
      <c r="A219" s="1">
        <v>46243</v>
      </c>
      <c r="B219" t="s">
        <v>148</v>
      </c>
      <c r="C219" t="s">
        <v>11</v>
      </c>
      <c r="D219">
        <v>3.8248954181626535</v>
      </c>
      <c r="E219">
        <v>4.75</v>
      </c>
      <c r="F219">
        <v>4.75</v>
      </c>
      <c r="G219">
        <v>4.0588235294117636</v>
      </c>
      <c r="H219">
        <v>1.2418640199793318</v>
      </c>
      <c r="I219">
        <v>1.2418640199793318</v>
      </c>
      <c r="J219">
        <v>1.0611593483414721</v>
      </c>
      <c r="K219">
        <v>0</v>
      </c>
      <c r="L219">
        <v>0</v>
      </c>
      <c r="M219">
        <v>0</v>
      </c>
      <c r="N219">
        <v>0</v>
      </c>
      <c r="O219">
        <v>0</v>
      </c>
      <c r="P219">
        <v>0</v>
      </c>
      <c r="Q219">
        <v>6.1159348341472075E-2</v>
      </c>
      <c r="R219">
        <v>0</v>
      </c>
      <c r="S219">
        <v>0.18070467163785975</v>
      </c>
      <c r="T219">
        <v>0</v>
      </c>
      <c r="U219">
        <v>0</v>
      </c>
      <c r="V219">
        <v>0</v>
      </c>
      <c r="W219">
        <v>0</v>
      </c>
      <c r="X219">
        <v>0</v>
      </c>
      <c r="Y219">
        <v>1</v>
      </c>
      <c r="Z219">
        <v>0</v>
      </c>
      <c r="AA219">
        <v>0</v>
      </c>
      <c r="AB219">
        <v>0</v>
      </c>
      <c r="AC219">
        <v>0</v>
      </c>
      <c r="AD219">
        <v>0</v>
      </c>
      <c r="AE219" t="s">
        <v>249</v>
      </c>
      <c r="AF219">
        <v>20</v>
      </c>
      <c r="AG219" t="s">
        <v>223</v>
      </c>
      <c r="AH219">
        <v>46243</v>
      </c>
      <c r="AI219" t="s">
        <v>149</v>
      </c>
    </row>
    <row r="220" spans="1:35" x14ac:dyDescent="0.25">
      <c r="A220" s="1">
        <v>46243</v>
      </c>
      <c r="B220" t="s">
        <v>148</v>
      </c>
      <c r="C220" t="s">
        <v>12</v>
      </c>
      <c r="D220">
        <v>7.4107348726901421</v>
      </c>
      <c r="E220">
        <v>6.6499999999999995</v>
      </c>
      <c r="F220">
        <v>6.6499999999999995</v>
      </c>
      <c r="G220">
        <v>6.9838235294117634</v>
      </c>
      <c r="H220">
        <v>0.89734690475925893</v>
      </c>
      <c r="I220">
        <v>0.89734690475925893</v>
      </c>
      <c r="J220">
        <v>0.94239284624098185</v>
      </c>
      <c r="K220">
        <v>0</v>
      </c>
      <c r="L220">
        <v>0</v>
      </c>
      <c r="M220">
        <v>0</v>
      </c>
      <c r="N220">
        <v>0</v>
      </c>
      <c r="O220">
        <v>0</v>
      </c>
      <c r="P220">
        <v>0</v>
      </c>
      <c r="Q220">
        <v>0</v>
      </c>
      <c r="R220">
        <v>0</v>
      </c>
      <c r="S220">
        <v>0</v>
      </c>
      <c r="T220">
        <v>4.5045941481722918E-2</v>
      </c>
      <c r="U220">
        <v>5.7607153759018148E-2</v>
      </c>
      <c r="V220">
        <v>0</v>
      </c>
      <c r="W220">
        <v>0</v>
      </c>
      <c r="X220">
        <v>0</v>
      </c>
      <c r="Y220">
        <v>0.89734690475925893</v>
      </c>
      <c r="Z220">
        <v>0</v>
      </c>
      <c r="AA220">
        <v>0</v>
      </c>
      <c r="AB220">
        <v>0</v>
      </c>
      <c r="AC220">
        <v>0</v>
      </c>
      <c r="AD220">
        <v>0</v>
      </c>
      <c r="AE220" t="s">
        <v>249</v>
      </c>
      <c r="AF220">
        <v>20</v>
      </c>
      <c r="AG220" t="s">
        <v>221</v>
      </c>
      <c r="AH220">
        <v>46243</v>
      </c>
      <c r="AI220" t="s">
        <v>149</v>
      </c>
    </row>
    <row r="221" spans="1:35" x14ac:dyDescent="0.25">
      <c r="A221" s="1">
        <v>46244</v>
      </c>
      <c r="B221" t="s">
        <v>148</v>
      </c>
      <c r="C221" t="s">
        <v>11</v>
      </c>
      <c r="D221">
        <v>3.8248954181626535</v>
      </c>
      <c r="E221">
        <v>4.75</v>
      </c>
      <c r="F221">
        <v>4.75</v>
      </c>
      <c r="G221">
        <v>4.1764705882352935</v>
      </c>
      <c r="H221">
        <v>1.2418640199793318</v>
      </c>
      <c r="I221">
        <v>1.2418640199793318</v>
      </c>
      <c r="J221">
        <v>1.0919175903223843</v>
      </c>
      <c r="K221">
        <v>0</v>
      </c>
      <c r="L221">
        <v>0</v>
      </c>
      <c r="M221">
        <v>0</v>
      </c>
      <c r="N221">
        <v>0</v>
      </c>
      <c r="O221">
        <v>0</v>
      </c>
      <c r="P221">
        <v>0</v>
      </c>
      <c r="Q221">
        <v>9.1917590322384335E-2</v>
      </c>
      <c r="R221">
        <v>0</v>
      </c>
      <c r="S221">
        <v>0.14994642965694749</v>
      </c>
      <c r="T221">
        <v>0</v>
      </c>
      <c r="U221">
        <v>0</v>
      </c>
      <c r="V221">
        <v>0</v>
      </c>
      <c r="W221">
        <v>0</v>
      </c>
      <c r="X221">
        <v>0</v>
      </c>
      <c r="Y221">
        <v>1</v>
      </c>
      <c r="Z221">
        <v>0</v>
      </c>
      <c r="AA221">
        <v>0</v>
      </c>
      <c r="AB221">
        <v>0</v>
      </c>
      <c r="AC221">
        <v>0</v>
      </c>
      <c r="AD221">
        <v>0</v>
      </c>
      <c r="AE221" t="s">
        <v>249</v>
      </c>
      <c r="AF221">
        <v>20</v>
      </c>
      <c r="AG221" t="s">
        <v>225</v>
      </c>
      <c r="AH221">
        <v>46244</v>
      </c>
      <c r="AI221" t="s">
        <v>149</v>
      </c>
    </row>
    <row r="222" spans="1:35" x14ac:dyDescent="0.25">
      <c r="A222" s="1">
        <v>46244</v>
      </c>
      <c r="B222" t="s">
        <v>148</v>
      </c>
      <c r="C222" t="s">
        <v>12</v>
      </c>
      <c r="D222">
        <v>7.4107348726901421</v>
      </c>
      <c r="E222">
        <v>6.6499999999999995</v>
      </c>
      <c r="F222">
        <v>6.6499999999999995</v>
      </c>
      <c r="G222">
        <v>7.984313725490197</v>
      </c>
      <c r="H222">
        <v>0.89734690475925893</v>
      </c>
      <c r="I222">
        <v>0.89734690475925893</v>
      </c>
      <c r="J222">
        <v>1.0773983771722551</v>
      </c>
      <c r="K222">
        <v>7.7398377172255062E-2</v>
      </c>
      <c r="L222">
        <v>0</v>
      </c>
      <c r="M222">
        <v>0</v>
      </c>
      <c r="N222">
        <v>0</v>
      </c>
      <c r="O222">
        <v>0</v>
      </c>
      <c r="P222">
        <v>0</v>
      </c>
      <c r="Q222">
        <v>0</v>
      </c>
      <c r="R222">
        <v>0</v>
      </c>
      <c r="S222">
        <v>0</v>
      </c>
      <c r="T222">
        <v>0.10265309524074107</v>
      </c>
      <c r="U222">
        <v>0</v>
      </c>
      <c r="V222">
        <v>0</v>
      </c>
      <c r="W222">
        <v>0</v>
      </c>
      <c r="X222">
        <v>0</v>
      </c>
      <c r="Y222">
        <v>0.89734690475925893</v>
      </c>
      <c r="Z222">
        <v>0</v>
      </c>
      <c r="AA222">
        <v>0</v>
      </c>
      <c r="AB222">
        <v>0</v>
      </c>
      <c r="AC222">
        <v>0</v>
      </c>
      <c r="AD222">
        <v>0</v>
      </c>
      <c r="AE222" t="s">
        <v>249</v>
      </c>
      <c r="AF222">
        <v>20</v>
      </c>
      <c r="AG222" t="s">
        <v>226</v>
      </c>
      <c r="AH222">
        <v>46244</v>
      </c>
      <c r="AI222" t="s">
        <v>149</v>
      </c>
    </row>
    <row r="223" spans="1:35" x14ac:dyDescent="0.25">
      <c r="A223" s="1">
        <v>46244</v>
      </c>
      <c r="B223" t="s">
        <v>148</v>
      </c>
      <c r="C223" t="s">
        <v>10</v>
      </c>
      <c r="D223">
        <v>10.279406436312131</v>
      </c>
      <c r="E223">
        <v>24.7</v>
      </c>
      <c r="F223">
        <v>24.7</v>
      </c>
      <c r="G223">
        <v>8.5892156862745086</v>
      </c>
      <c r="H223">
        <v>2.4028624758669861</v>
      </c>
      <c r="I223">
        <v>2.4028624758669861</v>
      </c>
      <c r="J223">
        <v>0.83557506354968092</v>
      </c>
      <c r="K223">
        <v>0</v>
      </c>
      <c r="L223">
        <v>0</v>
      </c>
      <c r="M223">
        <v>1.1528624758669861</v>
      </c>
      <c r="N223">
        <v>0</v>
      </c>
      <c r="O223">
        <v>0</v>
      </c>
      <c r="P223">
        <v>0</v>
      </c>
      <c r="Q223">
        <v>0</v>
      </c>
      <c r="R223">
        <v>0</v>
      </c>
      <c r="S223">
        <v>0.25</v>
      </c>
      <c r="T223">
        <v>0</v>
      </c>
      <c r="U223">
        <v>0</v>
      </c>
      <c r="V223">
        <v>0</v>
      </c>
      <c r="W223">
        <v>0.16442493645031908</v>
      </c>
      <c r="X223">
        <v>0</v>
      </c>
      <c r="Y223">
        <v>0.83557506354968092</v>
      </c>
      <c r="Z223">
        <v>0</v>
      </c>
      <c r="AA223">
        <v>0</v>
      </c>
      <c r="AB223">
        <v>0</v>
      </c>
      <c r="AC223">
        <v>0</v>
      </c>
      <c r="AD223">
        <v>0</v>
      </c>
      <c r="AE223" t="s">
        <v>249</v>
      </c>
      <c r="AF223">
        <v>20</v>
      </c>
      <c r="AG223" t="s">
        <v>224</v>
      </c>
      <c r="AH223">
        <v>46244</v>
      </c>
      <c r="AI223" t="s">
        <v>149</v>
      </c>
    </row>
    <row r="224" spans="1:35" x14ac:dyDescent="0.25">
      <c r="A224" s="1">
        <v>46245</v>
      </c>
      <c r="B224" t="s">
        <v>148</v>
      </c>
      <c r="C224" t="s">
        <v>12</v>
      </c>
      <c r="D224">
        <v>7.3509708817813486</v>
      </c>
      <c r="E224">
        <v>5.6999999999999993</v>
      </c>
      <c r="F224">
        <v>5.6999999999999993</v>
      </c>
      <c r="G224">
        <v>6.4102941176470569</v>
      </c>
      <c r="H224">
        <v>0.77540777832855834</v>
      </c>
      <c r="I224">
        <v>0.77540777832855834</v>
      </c>
      <c r="J224">
        <v>0.87203367021005818</v>
      </c>
      <c r="K224">
        <v>0</v>
      </c>
      <c r="L224">
        <v>0</v>
      </c>
      <c r="M224">
        <v>0</v>
      </c>
      <c r="N224">
        <v>0</v>
      </c>
      <c r="O224">
        <v>0</v>
      </c>
      <c r="P224">
        <v>0</v>
      </c>
      <c r="Q224">
        <v>0</v>
      </c>
      <c r="R224">
        <v>0</v>
      </c>
      <c r="S224">
        <v>0</v>
      </c>
      <c r="T224">
        <v>9.6625891881499837E-2</v>
      </c>
      <c r="U224">
        <v>0.12796632978994182</v>
      </c>
      <c r="V224">
        <v>0</v>
      </c>
      <c r="W224">
        <v>0</v>
      </c>
      <c r="X224">
        <v>0</v>
      </c>
      <c r="Y224">
        <v>0.77540777832855834</v>
      </c>
      <c r="Z224">
        <v>0</v>
      </c>
      <c r="AA224">
        <v>0</v>
      </c>
      <c r="AB224">
        <v>0</v>
      </c>
      <c r="AC224">
        <v>0</v>
      </c>
      <c r="AD224">
        <v>0</v>
      </c>
      <c r="AE224" t="s">
        <v>249</v>
      </c>
      <c r="AF224">
        <v>20</v>
      </c>
      <c r="AG224" t="s">
        <v>227</v>
      </c>
      <c r="AH224">
        <v>46245</v>
      </c>
      <c r="AI224" t="s">
        <v>149</v>
      </c>
    </row>
    <row r="225" spans="1:35" x14ac:dyDescent="0.25">
      <c r="A225" s="1">
        <v>46245</v>
      </c>
      <c r="B225" t="s">
        <v>148</v>
      </c>
      <c r="C225" t="s">
        <v>11</v>
      </c>
      <c r="D225">
        <v>3.8248954181626535</v>
      </c>
      <c r="E225">
        <v>4.75</v>
      </c>
      <c r="F225">
        <v>4.75</v>
      </c>
      <c r="G225">
        <v>4.0588235294117636</v>
      </c>
      <c r="H225">
        <v>1.2418640199793318</v>
      </c>
      <c r="I225">
        <v>1.2418640199793318</v>
      </c>
      <c r="J225">
        <v>1.0611593483414721</v>
      </c>
      <c r="K225">
        <v>0</v>
      </c>
      <c r="L225">
        <v>0</v>
      </c>
      <c r="M225">
        <v>0</v>
      </c>
      <c r="N225">
        <v>0</v>
      </c>
      <c r="O225">
        <v>0</v>
      </c>
      <c r="P225">
        <v>0</v>
      </c>
      <c r="Q225">
        <v>6.1159348341472075E-2</v>
      </c>
      <c r="R225">
        <v>0</v>
      </c>
      <c r="S225">
        <v>0.18070467163785975</v>
      </c>
      <c r="T225">
        <v>0</v>
      </c>
      <c r="U225">
        <v>0</v>
      </c>
      <c r="V225">
        <v>0</v>
      </c>
      <c r="W225">
        <v>0</v>
      </c>
      <c r="X225">
        <v>0</v>
      </c>
      <c r="Y225">
        <v>1</v>
      </c>
      <c r="Z225">
        <v>0</v>
      </c>
      <c r="AA225">
        <v>0</v>
      </c>
      <c r="AB225">
        <v>0</v>
      </c>
      <c r="AC225">
        <v>0</v>
      </c>
      <c r="AD225">
        <v>0</v>
      </c>
      <c r="AE225" t="s">
        <v>249</v>
      </c>
      <c r="AF225">
        <v>20</v>
      </c>
      <c r="AG225" t="s">
        <v>229</v>
      </c>
      <c r="AH225">
        <v>46245</v>
      </c>
      <c r="AI225" t="s">
        <v>149</v>
      </c>
    </row>
    <row r="226" spans="1:35" x14ac:dyDescent="0.25">
      <c r="A226" s="1">
        <v>46245</v>
      </c>
      <c r="B226" t="s">
        <v>148</v>
      </c>
      <c r="C226" t="s">
        <v>10</v>
      </c>
      <c r="D226">
        <v>9.3231825817714675</v>
      </c>
      <c r="E226">
        <v>24.7</v>
      </c>
      <c r="F226">
        <v>24.7</v>
      </c>
      <c r="G226">
        <v>9.4058823529411768</v>
      </c>
      <c r="H226">
        <v>2.6493099092892409</v>
      </c>
      <c r="I226">
        <v>2.6493099092892409</v>
      </c>
      <c r="J226">
        <v>1.0088703369739216</v>
      </c>
      <c r="K226">
        <v>0</v>
      </c>
      <c r="L226">
        <v>0</v>
      </c>
      <c r="M226">
        <v>1.3993099092892409</v>
      </c>
      <c r="N226">
        <v>0</v>
      </c>
      <c r="O226">
        <v>0</v>
      </c>
      <c r="P226">
        <v>0</v>
      </c>
      <c r="Q226">
        <v>8.8703369739215887E-3</v>
      </c>
      <c r="R226">
        <v>0</v>
      </c>
      <c r="S226">
        <v>0.24112966302607841</v>
      </c>
      <c r="T226">
        <v>0</v>
      </c>
      <c r="U226">
        <v>0</v>
      </c>
      <c r="V226">
        <v>0</v>
      </c>
      <c r="W226">
        <v>0</v>
      </c>
      <c r="X226">
        <v>0</v>
      </c>
      <c r="Y226">
        <v>1</v>
      </c>
      <c r="Z226">
        <v>0</v>
      </c>
      <c r="AA226">
        <v>0</v>
      </c>
      <c r="AB226">
        <v>0</v>
      </c>
      <c r="AC226">
        <v>0</v>
      </c>
      <c r="AD226">
        <v>0</v>
      </c>
      <c r="AE226" t="s">
        <v>249</v>
      </c>
      <c r="AF226">
        <v>20</v>
      </c>
      <c r="AG226" t="s">
        <v>228</v>
      </c>
      <c r="AH226">
        <v>46245</v>
      </c>
      <c r="AI226" t="s">
        <v>149</v>
      </c>
    </row>
    <row r="227" spans="1:35" x14ac:dyDescent="0.25">
      <c r="A227" s="1">
        <v>46246</v>
      </c>
      <c r="B227" t="s">
        <v>148</v>
      </c>
      <c r="C227" t="s">
        <v>10</v>
      </c>
      <c r="D227">
        <v>9.3231825817714675</v>
      </c>
      <c r="E227">
        <v>40.85</v>
      </c>
      <c r="F227">
        <v>40.85</v>
      </c>
      <c r="G227">
        <v>7.8392156862745086</v>
      </c>
      <c r="H227">
        <v>4.381551003824514</v>
      </c>
      <c r="I227">
        <v>4.381551003824514</v>
      </c>
      <c r="J227">
        <v>0.84083043719444195</v>
      </c>
      <c r="K227">
        <v>0</v>
      </c>
      <c r="L227">
        <v>0</v>
      </c>
      <c r="M227">
        <v>3.131551003824514</v>
      </c>
      <c r="N227">
        <v>0</v>
      </c>
      <c r="O227">
        <v>0</v>
      </c>
      <c r="P227">
        <v>0</v>
      </c>
      <c r="Q227">
        <v>0</v>
      </c>
      <c r="R227">
        <v>0</v>
      </c>
      <c r="S227">
        <v>0.25</v>
      </c>
      <c r="T227">
        <v>0</v>
      </c>
      <c r="U227">
        <v>0</v>
      </c>
      <c r="V227">
        <v>0</v>
      </c>
      <c r="W227">
        <v>0.15916956280555805</v>
      </c>
      <c r="X227">
        <v>0</v>
      </c>
      <c r="Y227">
        <v>0.84083043719444195</v>
      </c>
      <c r="Z227">
        <v>0</v>
      </c>
      <c r="AA227">
        <v>0</v>
      </c>
      <c r="AB227">
        <v>0</v>
      </c>
      <c r="AC227">
        <v>0</v>
      </c>
      <c r="AD227">
        <v>0</v>
      </c>
      <c r="AE227" t="s">
        <v>249</v>
      </c>
      <c r="AF227">
        <v>20</v>
      </c>
      <c r="AG227" t="s">
        <v>230</v>
      </c>
      <c r="AH227">
        <v>46246</v>
      </c>
      <c r="AI227" t="s">
        <v>149</v>
      </c>
    </row>
    <row r="228" spans="1:35" x14ac:dyDescent="0.25">
      <c r="A228" s="1">
        <v>46246</v>
      </c>
      <c r="B228" t="s">
        <v>148</v>
      </c>
      <c r="C228" t="s">
        <v>11</v>
      </c>
      <c r="D228">
        <v>3.8248954181626535</v>
      </c>
      <c r="E228">
        <v>2.8499999999999996</v>
      </c>
      <c r="F228">
        <v>2.8499999999999996</v>
      </c>
      <c r="G228">
        <v>3.0882352941176467</v>
      </c>
      <c r="H228">
        <v>0.74511841198759898</v>
      </c>
      <c r="I228">
        <v>0.74511841198759898</v>
      </c>
      <c r="J228">
        <v>0.80740385199894626</v>
      </c>
      <c r="K228">
        <v>0</v>
      </c>
      <c r="L228">
        <v>0</v>
      </c>
      <c r="M228">
        <v>0</v>
      </c>
      <c r="N228">
        <v>0</v>
      </c>
      <c r="O228">
        <v>0</v>
      </c>
      <c r="P228">
        <v>0</v>
      </c>
      <c r="Q228">
        <v>0</v>
      </c>
      <c r="R228">
        <v>0</v>
      </c>
      <c r="S228">
        <v>0</v>
      </c>
      <c r="T228">
        <v>6.2285440011347282E-2</v>
      </c>
      <c r="U228">
        <v>0.19259614800105374</v>
      </c>
      <c r="V228">
        <v>0</v>
      </c>
      <c r="W228">
        <v>0</v>
      </c>
      <c r="X228">
        <v>0</v>
      </c>
      <c r="Y228">
        <v>0.74511841198759898</v>
      </c>
      <c r="Z228">
        <v>0</v>
      </c>
      <c r="AA228">
        <v>0</v>
      </c>
      <c r="AB228">
        <v>0</v>
      </c>
      <c r="AC228">
        <v>0</v>
      </c>
      <c r="AD228">
        <v>0</v>
      </c>
      <c r="AE228" t="s">
        <v>249</v>
      </c>
      <c r="AF228">
        <v>20</v>
      </c>
      <c r="AG228" t="s">
        <v>231</v>
      </c>
      <c r="AH228">
        <v>46246</v>
      </c>
      <c r="AI228" t="s">
        <v>149</v>
      </c>
    </row>
    <row r="229" spans="1:35" x14ac:dyDescent="0.25">
      <c r="A229" s="1">
        <v>46246</v>
      </c>
      <c r="B229" t="s">
        <v>148</v>
      </c>
      <c r="C229" t="s">
        <v>12</v>
      </c>
      <c r="D229">
        <v>6.6935669817846444</v>
      </c>
      <c r="E229">
        <v>4.75</v>
      </c>
      <c r="F229">
        <v>4.75</v>
      </c>
      <c r="G229">
        <v>5.4696078431372541</v>
      </c>
      <c r="H229">
        <v>0.70963658284533238</v>
      </c>
      <c r="I229">
        <v>0.70963658284533238</v>
      </c>
      <c r="J229">
        <v>0.81714396195956829</v>
      </c>
      <c r="K229">
        <v>0</v>
      </c>
      <c r="L229">
        <v>0</v>
      </c>
      <c r="M229">
        <v>0</v>
      </c>
      <c r="N229">
        <v>0</v>
      </c>
      <c r="O229">
        <v>0</v>
      </c>
      <c r="P229">
        <v>0</v>
      </c>
      <c r="Q229">
        <v>0</v>
      </c>
      <c r="R229">
        <v>0</v>
      </c>
      <c r="S229">
        <v>0</v>
      </c>
      <c r="T229">
        <v>0.10750737911423591</v>
      </c>
      <c r="U229">
        <v>0.18285603804043171</v>
      </c>
      <c r="V229">
        <v>0</v>
      </c>
      <c r="W229">
        <v>0</v>
      </c>
      <c r="X229">
        <v>0</v>
      </c>
      <c r="Y229">
        <v>0.70963658284533238</v>
      </c>
      <c r="Z229">
        <v>0</v>
      </c>
      <c r="AA229">
        <v>0</v>
      </c>
      <c r="AB229">
        <v>0</v>
      </c>
      <c r="AC229">
        <v>0</v>
      </c>
      <c r="AD229">
        <v>0</v>
      </c>
      <c r="AE229" t="s">
        <v>249</v>
      </c>
      <c r="AF229">
        <v>20</v>
      </c>
      <c r="AG229" t="s">
        <v>232</v>
      </c>
      <c r="AH229">
        <v>46246</v>
      </c>
      <c r="AI229" t="s">
        <v>149</v>
      </c>
    </row>
    <row r="230" spans="1:35" x14ac:dyDescent="0.25">
      <c r="A230" s="1">
        <v>46247</v>
      </c>
      <c r="B230" t="s">
        <v>148</v>
      </c>
      <c r="C230" t="s">
        <v>12</v>
      </c>
      <c r="D230">
        <v>7.4107348726901421</v>
      </c>
      <c r="E230">
        <v>5.6999999999999993</v>
      </c>
      <c r="F230">
        <v>5.6999999999999993</v>
      </c>
      <c r="G230">
        <v>6.4686274509803905</v>
      </c>
      <c r="H230">
        <v>0.76915448979365042</v>
      </c>
      <c r="I230">
        <v>0.76915448979365042</v>
      </c>
      <c r="J230">
        <v>0.87287260468842531</v>
      </c>
      <c r="K230">
        <v>0</v>
      </c>
      <c r="L230">
        <v>0</v>
      </c>
      <c r="M230">
        <v>0</v>
      </c>
      <c r="N230">
        <v>0</v>
      </c>
      <c r="O230">
        <v>0</v>
      </c>
      <c r="P230">
        <v>0</v>
      </c>
      <c r="Q230">
        <v>0</v>
      </c>
      <c r="R230">
        <v>0</v>
      </c>
      <c r="S230">
        <v>0</v>
      </c>
      <c r="T230">
        <v>0.10371811489477489</v>
      </c>
      <c r="U230">
        <v>0.12712739531157469</v>
      </c>
      <c r="V230">
        <v>0</v>
      </c>
      <c r="W230">
        <v>0</v>
      </c>
      <c r="X230">
        <v>0</v>
      </c>
      <c r="Y230">
        <v>0.76915448979365042</v>
      </c>
      <c r="Z230">
        <v>0</v>
      </c>
      <c r="AA230">
        <v>0</v>
      </c>
      <c r="AB230">
        <v>0</v>
      </c>
      <c r="AC230">
        <v>0</v>
      </c>
      <c r="AD230">
        <v>0</v>
      </c>
      <c r="AE230" t="s">
        <v>249</v>
      </c>
      <c r="AF230">
        <v>20</v>
      </c>
      <c r="AG230" t="s">
        <v>233</v>
      </c>
      <c r="AH230">
        <v>46247</v>
      </c>
      <c r="AI230" t="s">
        <v>149</v>
      </c>
    </row>
    <row r="231" spans="1:35" x14ac:dyDescent="0.25">
      <c r="A231" s="1">
        <v>46247</v>
      </c>
      <c r="B231" t="s">
        <v>148</v>
      </c>
      <c r="C231" t="s">
        <v>10</v>
      </c>
      <c r="D231">
        <v>10.279406436312131</v>
      </c>
      <c r="E231">
        <v>26.6</v>
      </c>
      <c r="F231">
        <v>26.6</v>
      </c>
      <c r="G231">
        <v>10.075490196078428</v>
      </c>
      <c r="H231">
        <v>2.5876980509336773</v>
      </c>
      <c r="I231">
        <v>2.5876980509336773</v>
      </c>
      <c r="J231">
        <v>0.98016264445840318</v>
      </c>
      <c r="K231">
        <v>0</v>
      </c>
      <c r="L231">
        <v>0</v>
      </c>
      <c r="M231">
        <v>1.3376980509336773</v>
      </c>
      <c r="N231">
        <v>0</v>
      </c>
      <c r="O231">
        <v>0</v>
      </c>
      <c r="P231">
        <v>0</v>
      </c>
      <c r="Q231">
        <v>0</v>
      </c>
      <c r="R231">
        <v>0</v>
      </c>
      <c r="S231">
        <v>0.25</v>
      </c>
      <c r="T231">
        <v>0</v>
      </c>
      <c r="U231">
        <v>0</v>
      </c>
      <c r="V231">
        <v>0</v>
      </c>
      <c r="W231">
        <v>1.9837355541596824E-2</v>
      </c>
      <c r="X231">
        <v>0</v>
      </c>
      <c r="Y231">
        <v>0.98016264445840318</v>
      </c>
      <c r="Z231">
        <v>0</v>
      </c>
      <c r="AA231">
        <v>0</v>
      </c>
      <c r="AB231">
        <v>0</v>
      </c>
      <c r="AC231">
        <v>0</v>
      </c>
      <c r="AD231">
        <v>0</v>
      </c>
      <c r="AE231" t="s">
        <v>249</v>
      </c>
      <c r="AF231">
        <v>20</v>
      </c>
      <c r="AG231" t="s">
        <v>235</v>
      </c>
      <c r="AH231">
        <v>46247</v>
      </c>
      <c r="AI231" t="s">
        <v>149</v>
      </c>
    </row>
    <row r="232" spans="1:35" x14ac:dyDescent="0.25">
      <c r="A232" s="1">
        <v>46247</v>
      </c>
      <c r="B232" t="s">
        <v>148</v>
      </c>
      <c r="C232" t="s">
        <v>11</v>
      </c>
      <c r="D232">
        <v>3.8248954181626535</v>
      </c>
      <c r="E232">
        <v>3.8</v>
      </c>
      <c r="F232">
        <v>3.8</v>
      </c>
      <c r="G232">
        <v>3.2058823529411757</v>
      </c>
      <c r="H232">
        <v>0.99349121598346535</v>
      </c>
      <c r="I232">
        <v>0.99349121598346535</v>
      </c>
      <c r="J232">
        <v>0.83816209397985841</v>
      </c>
      <c r="K232">
        <v>0</v>
      </c>
      <c r="L232">
        <v>0</v>
      </c>
      <c r="M232">
        <v>0</v>
      </c>
      <c r="N232">
        <v>0</v>
      </c>
      <c r="O232">
        <v>0</v>
      </c>
      <c r="P232">
        <v>0</v>
      </c>
      <c r="Q232">
        <v>0</v>
      </c>
      <c r="R232">
        <v>0</v>
      </c>
      <c r="S232">
        <v>0</v>
      </c>
      <c r="T232">
        <v>0</v>
      </c>
      <c r="U232">
        <v>6.5087840165346522E-3</v>
      </c>
      <c r="V232">
        <v>0</v>
      </c>
      <c r="W232">
        <v>0.15532912200360693</v>
      </c>
      <c r="X232">
        <v>0</v>
      </c>
      <c r="Y232">
        <v>0.83816209397985841</v>
      </c>
      <c r="Z232">
        <v>0</v>
      </c>
      <c r="AA232">
        <v>0</v>
      </c>
      <c r="AB232">
        <v>0</v>
      </c>
      <c r="AC232">
        <v>0</v>
      </c>
      <c r="AD232">
        <v>0</v>
      </c>
      <c r="AE232" t="s">
        <v>249</v>
      </c>
      <c r="AF232">
        <v>20</v>
      </c>
      <c r="AG232" t="s">
        <v>234</v>
      </c>
      <c r="AH232">
        <v>46247</v>
      </c>
      <c r="AI232" t="s">
        <v>149</v>
      </c>
    </row>
    <row r="233" spans="1:35" x14ac:dyDescent="0.25">
      <c r="A233" s="1">
        <v>46248</v>
      </c>
      <c r="B233" t="s">
        <v>148</v>
      </c>
      <c r="C233" t="s">
        <v>12</v>
      </c>
      <c r="D233">
        <v>7.4107348726901439</v>
      </c>
      <c r="E233">
        <v>6.6499999999999995</v>
      </c>
      <c r="F233">
        <v>6.6499999999999995</v>
      </c>
      <c r="G233">
        <v>7.1602941176470605</v>
      </c>
      <c r="H233">
        <v>0.89734690475925871</v>
      </c>
      <c r="I233">
        <v>0.89734690475925871</v>
      </c>
      <c r="J233">
        <v>0.96620567874233343</v>
      </c>
      <c r="K233">
        <v>0</v>
      </c>
      <c r="L233">
        <v>0</v>
      </c>
      <c r="M233">
        <v>0</v>
      </c>
      <c r="N233">
        <v>0</v>
      </c>
      <c r="O233">
        <v>0</v>
      </c>
      <c r="P233">
        <v>0</v>
      </c>
      <c r="Q233">
        <v>0</v>
      </c>
      <c r="R233">
        <v>0</v>
      </c>
      <c r="S233">
        <v>0</v>
      </c>
      <c r="T233">
        <v>6.8858773983074717E-2</v>
      </c>
      <c r="U233">
        <v>3.3794321257666571E-2</v>
      </c>
      <c r="V233">
        <v>0</v>
      </c>
      <c r="W233">
        <v>0</v>
      </c>
      <c r="X233">
        <v>0</v>
      </c>
      <c r="Y233">
        <v>0.89734690475925871</v>
      </c>
      <c r="Z233">
        <v>0</v>
      </c>
      <c r="AA233">
        <v>0</v>
      </c>
      <c r="AB233">
        <v>0</v>
      </c>
      <c r="AC233">
        <v>0</v>
      </c>
      <c r="AD233">
        <v>0</v>
      </c>
      <c r="AE233" t="s">
        <v>249</v>
      </c>
      <c r="AF233">
        <v>20</v>
      </c>
      <c r="AG233" t="s">
        <v>236</v>
      </c>
      <c r="AH233">
        <v>46248</v>
      </c>
      <c r="AI233" t="s">
        <v>149</v>
      </c>
    </row>
    <row r="234" spans="1:35" x14ac:dyDescent="0.25">
      <c r="A234" s="1">
        <v>46248</v>
      </c>
      <c r="B234" t="s">
        <v>148</v>
      </c>
      <c r="C234" t="s">
        <v>11</v>
      </c>
      <c r="D234">
        <v>3.8248954181626535</v>
      </c>
      <c r="E234">
        <v>3.8</v>
      </c>
      <c r="F234">
        <v>3.8</v>
      </c>
      <c r="G234">
        <v>3.2058823529411757</v>
      </c>
      <c r="H234">
        <v>0.99349121598346535</v>
      </c>
      <c r="I234">
        <v>0.99349121598346535</v>
      </c>
      <c r="J234">
        <v>0.83816209397985841</v>
      </c>
      <c r="K234">
        <v>0</v>
      </c>
      <c r="L234">
        <v>0</v>
      </c>
      <c r="M234">
        <v>0</v>
      </c>
      <c r="N234">
        <v>0</v>
      </c>
      <c r="O234">
        <v>0</v>
      </c>
      <c r="P234">
        <v>0</v>
      </c>
      <c r="Q234">
        <v>0</v>
      </c>
      <c r="R234">
        <v>0</v>
      </c>
      <c r="S234">
        <v>0</v>
      </c>
      <c r="T234">
        <v>0</v>
      </c>
      <c r="U234">
        <v>6.5087840165346522E-3</v>
      </c>
      <c r="V234">
        <v>0</v>
      </c>
      <c r="W234">
        <v>0.15532912200360693</v>
      </c>
      <c r="X234">
        <v>0</v>
      </c>
      <c r="Y234">
        <v>0.83816209397985841</v>
      </c>
      <c r="Z234">
        <v>0</v>
      </c>
      <c r="AA234">
        <v>0</v>
      </c>
      <c r="AB234">
        <v>0</v>
      </c>
      <c r="AC234">
        <v>0</v>
      </c>
      <c r="AD234">
        <v>0</v>
      </c>
      <c r="AE234" t="s">
        <v>249</v>
      </c>
      <c r="AF234">
        <v>20</v>
      </c>
      <c r="AG234" t="s">
        <v>237</v>
      </c>
      <c r="AH234">
        <v>46248</v>
      </c>
      <c r="AI234" t="s">
        <v>149</v>
      </c>
    </row>
    <row r="235" spans="1:35" x14ac:dyDescent="0.25">
      <c r="A235" s="1">
        <v>46248</v>
      </c>
      <c r="B235" t="s">
        <v>148</v>
      </c>
      <c r="C235" t="s">
        <v>10</v>
      </c>
      <c r="D235">
        <v>9.3231825817714675</v>
      </c>
      <c r="E235">
        <v>23.75</v>
      </c>
      <c r="F235">
        <v>23.75</v>
      </c>
      <c r="G235">
        <v>9.258823529411762</v>
      </c>
      <c r="H235">
        <v>2.5474133743165779</v>
      </c>
      <c r="I235">
        <v>2.5474133743165779</v>
      </c>
      <c r="J235">
        <v>0.99309687954781245</v>
      </c>
      <c r="K235">
        <v>0</v>
      </c>
      <c r="L235">
        <v>0</v>
      </c>
      <c r="M235">
        <v>1.2974133743165779</v>
      </c>
      <c r="N235">
        <v>0</v>
      </c>
      <c r="O235">
        <v>0</v>
      </c>
      <c r="P235">
        <v>0</v>
      </c>
      <c r="Q235">
        <v>0</v>
      </c>
      <c r="R235">
        <v>0</v>
      </c>
      <c r="S235">
        <v>0.25</v>
      </c>
      <c r="T235">
        <v>0</v>
      </c>
      <c r="U235">
        <v>0</v>
      </c>
      <c r="V235">
        <v>0</v>
      </c>
      <c r="W235">
        <v>6.90312045218755E-3</v>
      </c>
      <c r="X235">
        <v>0</v>
      </c>
      <c r="Y235">
        <v>0.99309687954781245</v>
      </c>
      <c r="Z235">
        <v>0</v>
      </c>
      <c r="AA235">
        <v>0</v>
      </c>
      <c r="AB235">
        <v>0</v>
      </c>
      <c r="AC235">
        <v>0</v>
      </c>
      <c r="AD235">
        <v>0</v>
      </c>
      <c r="AE235" t="s">
        <v>249</v>
      </c>
      <c r="AF235">
        <v>20</v>
      </c>
      <c r="AG235" t="s">
        <v>238</v>
      </c>
      <c r="AH235">
        <v>46248</v>
      </c>
      <c r="AI235" t="s">
        <v>149</v>
      </c>
    </row>
    <row r="236" spans="1:35" x14ac:dyDescent="0.25">
      <c r="A236" s="1">
        <v>46249</v>
      </c>
      <c r="B236" t="s">
        <v>148</v>
      </c>
      <c r="C236" t="s">
        <v>12</v>
      </c>
      <c r="D236">
        <v>7.4107348726901421</v>
      </c>
      <c r="E236">
        <v>6.6499999999999995</v>
      </c>
      <c r="F236">
        <v>6.6499999999999995</v>
      </c>
      <c r="G236">
        <v>7.1014705882352924</v>
      </c>
      <c r="H236">
        <v>0.89734690475925893</v>
      </c>
      <c r="I236">
        <v>0.89734690475925893</v>
      </c>
      <c r="J236">
        <v>0.95826806790854946</v>
      </c>
      <c r="K236">
        <v>0</v>
      </c>
      <c r="L236">
        <v>0</v>
      </c>
      <c r="M236">
        <v>0</v>
      </c>
      <c r="N236">
        <v>0</v>
      </c>
      <c r="O236">
        <v>0</v>
      </c>
      <c r="P236">
        <v>0</v>
      </c>
      <c r="Q236">
        <v>0</v>
      </c>
      <c r="R236">
        <v>0</v>
      </c>
      <c r="S236">
        <v>0</v>
      </c>
      <c r="T236">
        <v>6.0921163149290525E-2</v>
      </c>
      <c r="U236">
        <v>4.1731932091450541E-2</v>
      </c>
      <c r="V236">
        <v>0</v>
      </c>
      <c r="W236">
        <v>0</v>
      </c>
      <c r="X236">
        <v>0</v>
      </c>
      <c r="Y236">
        <v>0.89734690475925893</v>
      </c>
      <c r="Z236">
        <v>0</v>
      </c>
      <c r="AA236">
        <v>0</v>
      </c>
      <c r="AB236">
        <v>0</v>
      </c>
      <c r="AC236">
        <v>0</v>
      </c>
      <c r="AD236">
        <v>0</v>
      </c>
      <c r="AE236" t="s">
        <v>249</v>
      </c>
      <c r="AF236">
        <v>20</v>
      </c>
      <c r="AG236" t="s">
        <v>239</v>
      </c>
      <c r="AH236">
        <v>46249</v>
      </c>
      <c r="AI236" t="s">
        <v>149</v>
      </c>
    </row>
    <row r="237" spans="1:35" x14ac:dyDescent="0.25">
      <c r="A237" s="1">
        <v>46249</v>
      </c>
      <c r="B237" t="s">
        <v>148</v>
      </c>
      <c r="C237" t="s">
        <v>11</v>
      </c>
      <c r="D237">
        <v>3.5858394545274885</v>
      </c>
      <c r="E237">
        <v>2.8499999999999996</v>
      </c>
      <c r="F237">
        <v>2.8499999999999996</v>
      </c>
      <c r="G237">
        <v>3.2647058823529398</v>
      </c>
      <c r="H237">
        <v>0.79479297278677208</v>
      </c>
      <c r="I237">
        <v>0.79479297278677208</v>
      </c>
      <c r="J237">
        <v>0.91044396263500171</v>
      </c>
      <c r="K237">
        <v>0</v>
      </c>
      <c r="L237">
        <v>0</v>
      </c>
      <c r="M237">
        <v>0</v>
      </c>
      <c r="N237">
        <v>0</v>
      </c>
      <c r="O237">
        <v>0</v>
      </c>
      <c r="P237">
        <v>0</v>
      </c>
      <c r="Q237">
        <v>0</v>
      </c>
      <c r="R237">
        <v>0</v>
      </c>
      <c r="S237">
        <v>0</v>
      </c>
      <c r="T237">
        <v>0.11565098984822964</v>
      </c>
      <c r="U237">
        <v>8.9556037364998287E-2</v>
      </c>
      <c r="V237">
        <v>0</v>
      </c>
      <c r="W237">
        <v>0</v>
      </c>
      <c r="X237">
        <v>0</v>
      </c>
      <c r="Y237">
        <v>0.79479297278677208</v>
      </c>
      <c r="Z237">
        <v>0</v>
      </c>
      <c r="AA237">
        <v>0</v>
      </c>
      <c r="AB237">
        <v>0</v>
      </c>
      <c r="AC237">
        <v>0</v>
      </c>
      <c r="AD237">
        <v>0</v>
      </c>
      <c r="AE237" t="s">
        <v>249</v>
      </c>
      <c r="AF237">
        <v>20</v>
      </c>
      <c r="AG237" t="s">
        <v>240</v>
      </c>
      <c r="AH237">
        <v>46249</v>
      </c>
      <c r="AI237" t="s">
        <v>149</v>
      </c>
    </row>
    <row r="238" spans="1:35" x14ac:dyDescent="0.25">
      <c r="A238" s="1">
        <v>46249</v>
      </c>
      <c r="B238" t="s">
        <v>148</v>
      </c>
      <c r="C238" t="s">
        <v>10</v>
      </c>
      <c r="D238">
        <v>10.279406436312131</v>
      </c>
      <c r="E238">
        <v>27.549999999999997</v>
      </c>
      <c r="F238">
        <v>27.549999999999997</v>
      </c>
      <c r="G238">
        <v>9.2588235294117602</v>
      </c>
      <c r="H238">
        <v>2.6801158384670227</v>
      </c>
      <c r="I238">
        <v>2.6801158384670227</v>
      </c>
      <c r="J238">
        <v>0.90071577447359708</v>
      </c>
      <c r="K238">
        <v>0</v>
      </c>
      <c r="L238">
        <v>0</v>
      </c>
      <c r="M238">
        <v>1.4301158384670227</v>
      </c>
      <c r="N238">
        <v>0</v>
      </c>
      <c r="O238">
        <v>0</v>
      </c>
      <c r="P238">
        <v>0</v>
      </c>
      <c r="Q238">
        <v>0</v>
      </c>
      <c r="R238">
        <v>0</v>
      </c>
      <c r="S238">
        <v>0.25</v>
      </c>
      <c r="T238">
        <v>0</v>
      </c>
      <c r="U238">
        <v>0</v>
      </c>
      <c r="V238">
        <v>0</v>
      </c>
      <c r="W238">
        <v>9.9284225526402925E-2</v>
      </c>
      <c r="X238">
        <v>0</v>
      </c>
      <c r="Y238">
        <v>0.90071577447359708</v>
      </c>
      <c r="Z238">
        <v>0</v>
      </c>
      <c r="AA238">
        <v>0</v>
      </c>
      <c r="AB238">
        <v>0</v>
      </c>
      <c r="AC238">
        <v>0</v>
      </c>
      <c r="AD238">
        <v>0</v>
      </c>
      <c r="AE238" t="s">
        <v>249</v>
      </c>
      <c r="AF238">
        <v>20</v>
      </c>
      <c r="AG238" t="s">
        <v>241</v>
      </c>
      <c r="AH238">
        <v>46249</v>
      </c>
      <c r="AI238" t="s">
        <v>149</v>
      </c>
    </row>
    <row r="239" spans="1:35" x14ac:dyDescent="0.25">
      <c r="A239" s="1">
        <v>46250</v>
      </c>
      <c r="B239" t="s">
        <v>148</v>
      </c>
      <c r="C239" t="s">
        <v>10</v>
      </c>
      <c r="D239">
        <v>10.279406436312131</v>
      </c>
      <c r="E239">
        <v>34.199999999999996</v>
      </c>
      <c r="F239">
        <v>34.199999999999996</v>
      </c>
      <c r="G239">
        <v>8.4421568627450938</v>
      </c>
      <c r="H239">
        <v>3.3270403512004418</v>
      </c>
      <c r="I239">
        <v>3.3270403512004418</v>
      </c>
      <c r="J239">
        <v>0.82126890448879131</v>
      </c>
      <c r="K239">
        <v>0</v>
      </c>
      <c r="L239">
        <v>0</v>
      </c>
      <c r="M239">
        <v>2.0770403512004418</v>
      </c>
      <c r="N239">
        <v>0</v>
      </c>
      <c r="O239">
        <v>0</v>
      </c>
      <c r="P239">
        <v>0</v>
      </c>
      <c r="Q239">
        <v>0</v>
      </c>
      <c r="R239">
        <v>0</v>
      </c>
      <c r="S239">
        <v>0.25</v>
      </c>
      <c r="T239">
        <v>0</v>
      </c>
      <c r="U239">
        <v>0</v>
      </c>
      <c r="V239">
        <v>0</v>
      </c>
      <c r="W239">
        <v>0.17873109551120869</v>
      </c>
      <c r="X239">
        <v>0</v>
      </c>
      <c r="Y239">
        <v>0.82126890448879131</v>
      </c>
      <c r="Z239">
        <v>0</v>
      </c>
      <c r="AA239">
        <v>0</v>
      </c>
      <c r="AB239">
        <v>0</v>
      </c>
      <c r="AC239">
        <v>0</v>
      </c>
      <c r="AD239">
        <v>0</v>
      </c>
      <c r="AE239" t="s">
        <v>249</v>
      </c>
      <c r="AF239">
        <v>20</v>
      </c>
      <c r="AG239" t="s">
        <v>242</v>
      </c>
      <c r="AH239">
        <v>46250</v>
      </c>
      <c r="AI239" t="s">
        <v>149</v>
      </c>
    </row>
    <row r="240" spans="1:35" x14ac:dyDescent="0.25">
      <c r="A240" s="1">
        <v>46250</v>
      </c>
      <c r="B240" t="s">
        <v>148</v>
      </c>
      <c r="C240" t="s">
        <v>11</v>
      </c>
      <c r="D240">
        <v>3.8248954181626535</v>
      </c>
      <c r="E240">
        <v>4.75</v>
      </c>
      <c r="F240">
        <v>4.75</v>
      </c>
      <c r="G240">
        <v>3.3235294117647056</v>
      </c>
      <c r="H240">
        <v>1.2418640199793318</v>
      </c>
      <c r="I240">
        <v>1.2418640199793318</v>
      </c>
      <c r="J240">
        <v>0.86892033596077078</v>
      </c>
      <c r="K240">
        <v>0</v>
      </c>
      <c r="L240">
        <v>0</v>
      </c>
      <c r="M240">
        <v>0</v>
      </c>
      <c r="N240">
        <v>0</v>
      </c>
      <c r="O240">
        <v>0</v>
      </c>
      <c r="P240">
        <v>0</v>
      </c>
      <c r="Q240">
        <v>0</v>
      </c>
      <c r="R240">
        <v>0</v>
      </c>
      <c r="S240">
        <v>0.24186401997933182</v>
      </c>
      <c r="T240">
        <v>0</v>
      </c>
      <c r="U240">
        <v>0</v>
      </c>
      <c r="V240">
        <v>0</v>
      </c>
      <c r="W240">
        <v>0.13107966403922922</v>
      </c>
      <c r="X240">
        <v>0</v>
      </c>
      <c r="Y240">
        <v>0.86892033596077078</v>
      </c>
      <c r="Z240">
        <v>0</v>
      </c>
      <c r="AA240">
        <v>0</v>
      </c>
      <c r="AB240">
        <v>0</v>
      </c>
      <c r="AC240">
        <v>0</v>
      </c>
      <c r="AD240">
        <v>0</v>
      </c>
      <c r="AE240" t="s">
        <v>249</v>
      </c>
      <c r="AF240">
        <v>20</v>
      </c>
      <c r="AG240" t="s">
        <v>243</v>
      </c>
      <c r="AH240">
        <v>46250</v>
      </c>
      <c r="AI240" t="s">
        <v>149</v>
      </c>
    </row>
    <row r="241" spans="1:35" x14ac:dyDescent="0.25">
      <c r="A241" s="1">
        <v>46250</v>
      </c>
      <c r="B241" t="s">
        <v>148</v>
      </c>
      <c r="C241" t="s">
        <v>12</v>
      </c>
      <c r="D241">
        <v>7.4107348726901421</v>
      </c>
      <c r="E241">
        <v>6.6499999999999995</v>
      </c>
      <c r="F241">
        <v>6.6499999999999995</v>
      </c>
      <c r="G241">
        <v>7.984313725490197</v>
      </c>
      <c r="H241">
        <v>0.89734690475925893</v>
      </c>
      <c r="I241">
        <v>0.89734690475925893</v>
      </c>
      <c r="J241">
        <v>1.0773983771722551</v>
      </c>
      <c r="K241">
        <v>7.7398377172255062E-2</v>
      </c>
      <c r="L241">
        <v>0</v>
      </c>
      <c r="M241">
        <v>0</v>
      </c>
      <c r="N241">
        <v>0</v>
      </c>
      <c r="O241">
        <v>0</v>
      </c>
      <c r="P241">
        <v>0</v>
      </c>
      <c r="Q241">
        <v>0</v>
      </c>
      <c r="R241">
        <v>0</v>
      </c>
      <c r="S241">
        <v>0</v>
      </c>
      <c r="T241">
        <v>0.10265309524074107</v>
      </c>
      <c r="U241">
        <v>0</v>
      </c>
      <c r="V241">
        <v>0</v>
      </c>
      <c r="W241">
        <v>0</v>
      </c>
      <c r="X241">
        <v>0</v>
      </c>
      <c r="Y241">
        <v>0.89734690475925893</v>
      </c>
      <c r="Z241">
        <v>0</v>
      </c>
      <c r="AA241">
        <v>0</v>
      </c>
      <c r="AB241">
        <v>0</v>
      </c>
      <c r="AC241">
        <v>0</v>
      </c>
      <c r="AD241">
        <v>0</v>
      </c>
      <c r="AE241" t="s">
        <v>249</v>
      </c>
      <c r="AF241">
        <v>20</v>
      </c>
      <c r="AG241" t="s">
        <v>244</v>
      </c>
      <c r="AH241">
        <v>46250</v>
      </c>
      <c r="AI241" t="s">
        <v>149</v>
      </c>
    </row>
    <row r="242" spans="1:35" x14ac:dyDescent="0.25">
      <c r="A242" s="1">
        <v>46223</v>
      </c>
      <c r="B242" t="s">
        <v>97</v>
      </c>
      <c r="C242" t="s">
        <v>12</v>
      </c>
      <c r="D242">
        <v>3.1774912809962848</v>
      </c>
      <c r="E242">
        <v>2.8499999999999996</v>
      </c>
      <c r="F242">
        <v>2.8499999999999996</v>
      </c>
      <c r="G242">
        <v>2.8131487889273359</v>
      </c>
      <c r="H242">
        <v>0.89693401113169946</v>
      </c>
      <c r="I242">
        <v>0.89693401113169946</v>
      </c>
      <c r="J242">
        <v>0.88533643058346601</v>
      </c>
      <c r="K242">
        <v>0</v>
      </c>
      <c r="L242">
        <v>0</v>
      </c>
      <c r="M242">
        <v>0</v>
      </c>
      <c r="N242">
        <v>0</v>
      </c>
      <c r="O242">
        <v>0</v>
      </c>
      <c r="P242">
        <v>0</v>
      </c>
      <c r="Q242">
        <v>0</v>
      </c>
      <c r="R242">
        <v>0</v>
      </c>
      <c r="S242">
        <v>0</v>
      </c>
      <c r="T242">
        <v>0</v>
      </c>
      <c r="U242">
        <v>0.10306598886830054</v>
      </c>
      <c r="V242">
        <v>0</v>
      </c>
      <c r="W242">
        <v>1.1597580548233455E-2</v>
      </c>
      <c r="X242">
        <v>0</v>
      </c>
      <c r="Y242">
        <v>0.88533643058346601</v>
      </c>
      <c r="Z242">
        <v>0</v>
      </c>
      <c r="AA242">
        <v>0</v>
      </c>
      <c r="AB242">
        <v>0</v>
      </c>
      <c r="AC242">
        <v>0</v>
      </c>
      <c r="AD242">
        <v>0</v>
      </c>
      <c r="AE242" t="s">
        <v>245</v>
      </c>
      <c r="AF242">
        <v>20</v>
      </c>
      <c r="AG242" t="s">
        <v>162</v>
      </c>
      <c r="AH242">
        <v>46223</v>
      </c>
      <c r="AI242" t="s">
        <v>149</v>
      </c>
    </row>
    <row r="243" spans="1:35" x14ac:dyDescent="0.25">
      <c r="A243" s="1">
        <v>46223</v>
      </c>
      <c r="B243" t="s">
        <v>97</v>
      </c>
      <c r="C243" t="s">
        <v>10</v>
      </c>
      <c r="D243">
        <v>3.6011567851291222</v>
      </c>
      <c r="E243">
        <v>2.8499999999999996</v>
      </c>
      <c r="F243">
        <v>2.8499999999999996</v>
      </c>
      <c r="G243">
        <v>2.823529411764707</v>
      </c>
      <c r="H243">
        <v>0.79141236276326432</v>
      </c>
      <c r="I243">
        <v>0.79141236276326432</v>
      </c>
      <c r="J243">
        <v>0.78406178354255329</v>
      </c>
      <c r="K243">
        <v>0</v>
      </c>
      <c r="L243">
        <v>0</v>
      </c>
      <c r="M243">
        <v>0</v>
      </c>
      <c r="N243">
        <v>0</v>
      </c>
      <c r="O243">
        <v>0</v>
      </c>
      <c r="P243">
        <v>0</v>
      </c>
      <c r="Q243">
        <v>0</v>
      </c>
      <c r="R243">
        <v>0</v>
      </c>
      <c r="S243">
        <v>0</v>
      </c>
      <c r="T243">
        <v>0</v>
      </c>
      <c r="U243">
        <v>0.20858763723673568</v>
      </c>
      <c r="V243">
        <v>0</v>
      </c>
      <c r="W243">
        <v>7.3505792207110288E-3</v>
      </c>
      <c r="X243">
        <v>0</v>
      </c>
      <c r="Y243">
        <v>0.78406178354255329</v>
      </c>
      <c r="Z243">
        <v>0</v>
      </c>
      <c r="AA243">
        <v>0</v>
      </c>
      <c r="AB243">
        <v>0</v>
      </c>
      <c r="AC243">
        <v>0</v>
      </c>
      <c r="AD243">
        <v>0</v>
      </c>
      <c r="AE243" t="s">
        <v>245</v>
      </c>
      <c r="AF243">
        <v>20</v>
      </c>
      <c r="AG243" t="s">
        <v>163</v>
      </c>
      <c r="AH243">
        <v>46223</v>
      </c>
      <c r="AI243" t="s">
        <v>149</v>
      </c>
    </row>
    <row r="244" spans="1:35" x14ac:dyDescent="0.25">
      <c r="A244" s="1">
        <v>46224</v>
      </c>
      <c r="B244" t="s">
        <v>97</v>
      </c>
      <c r="C244" t="s">
        <v>10</v>
      </c>
      <c r="D244">
        <v>2.953553800240357</v>
      </c>
      <c r="E244">
        <v>2.8499999999999996</v>
      </c>
      <c r="F244">
        <v>2.8499999999999996</v>
      </c>
      <c r="G244">
        <v>3.8807773109243682</v>
      </c>
      <c r="H244">
        <v>0.96493925377897971</v>
      </c>
      <c r="I244">
        <v>0.96493925377897971</v>
      </c>
      <c r="J244">
        <v>1.3139348640300896</v>
      </c>
      <c r="K244">
        <v>0.31393486403008963</v>
      </c>
      <c r="L244">
        <v>0</v>
      </c>
      <c r="M244">
        <v>0</v>
      </c>
      <c r="N244">
        <v>0</v>
      </c>
      <c r="O244">
        <v>0</v>
      </c>
      <c r="P244">
        <v>0</v>
      </c>
      <c r="Q244">
        <v>0</v>
      </c>
      <c r="R244">
        <v>0</v>
      </c>
      <c r="S244">
        <v>0</v>
      </c>
      <c r="T244">
        <v>3.5060746221020289E-2</v>
      </c>
      <c r="U244">
        <v>0</v>
      </c>
      <c r="V244">
        <v>0</v>
      </c>
      <c r="W244">
        <v>0</v>
      </c>
      <c r="X244">
        <v>0</v>
      </c>
      <c r="Y244">
        <v>0.96493925377897971</v>
      </c>
      <c r="Z244">
        <v>0</v>
      </c>
      <c r="AA244">
        <v>0</v>
      </c>
      <c r="AB244">
        <v>0</v>
      </c>
      <c r="AC244">
        <v>0</v>
      </c>
      <c r="AD244">
        <v>0</v>
      </c>
      <c r="AE244" t="s">
        <v>245</v>
      </c>
      <c r="AF244">
        <v>20</v>
      </c>
      <c r="AG244" t="s">
        <v>165</v>
      </c>
      <c r="AH244">
        <v>46224</v>
      </c>
      <c r="AI244" t="s">
        <v>149</v>
      </c>
    </row>
    <row r="245" spans="1:35" x14ac:dyDescent="0.25">
      <c r="A245" s="1">
        <v>46224</v>
      </c>
      <c r="B245" t="s">
        <v>97</v>
      </c>
      <c r="C245" t="s">
        <v>11</v>
      </c>
      <c r="D245">
        <v>54.017351776936827</v>
      </c>
      <c r="E245">
        <v>11.4</v>
      </c>
      <c r="F245">
        <v>11.4</v>
      </c>
      <c r="G245">
        <v>0</v>
      </c>
      <c r="H245">
        <v>0.2110432967368705</v>
      </c>
      <c r="I245">
        <v>0.2110432967368705</v>
      </c>
      <c r="J245">
        <v>0</v>
      </c>
      <c r="K245">
        <v>0</v>
      </c>
      <c r="L245">
        <v>0</v>
      </c>
      <c r="M245">
        <v>0</v>
      </c>
      <c r="N245">
        <v>0</v>
      </c>
      <c r="O245">
        <v>0</v>
      </c>
      <c r="P245">
        <v>0</v>
      </c>
      <c r="Q245">
        <v>0</v>
      </c>
      <c r="R245">
        <v>0</v>
      </c>
      <c r="S245">
        <v>0</v>
      </c>
      <c r="T245">
        <v>0</v>
      </c>
      <c r="U245">
        <v>0.7889567032631295</v>
      </c>
      <c r="V245">
        <v>0</v>
      </c>
      <c r="W245">
        <v>0</v>
      </c>
      <c r="X245">
        <v>0</v>
      </c>
      <c r="Y245">
        <v>0</v>
      </c>
      <c r="Z245">
        <v>0.2110432967368705</v>
      </c>
      <c r="AA245">
        <v>0</v>
      </c>
      <c r="AB245">
        <v>0</v>
      </c>
      <c r="AC245">
        <v>0</v>
      </c>
      <c r="AD245">
        <v>0</v>
      </c>
      <c r="AE245" t="s">
        <v>245</v>
      </c>
      <c r="AF245">
        <v>20</v>
      </c>
      <c r="AG245" t="s">
        <v>164</v>
      </c>
      <c r="AH245">
        <v>46224</v>
      </c>
      <c r="AI245" t="s">
        <v>149</v>
      </c>
    </row>
    <row r="246" spans="1:35" x14ac:dyDescent="0.25">
      <c r="A246" s="1">
        <v>46224</v>
      </c>
      <c r="B246" t="s">
        <v>97</v>
      </c>
      <c r="C246" t="s">
        <v>12</v>
      </c>
      <c r="D246">
        <v>0.5626807476764254</v>
      </c>
      <c r="E246">
        <v>0.95</v>
      </c>
      <c r="F246">
        <v>0.95</v>
      </c>
      <c r="G246">
        <v>3.5239742956005928</v>
      </c>
      <c r="H246">
        <v>1.688346373894964</v>
      </c>
      <c r="I246">
        <v>1.688346373894964</v>
      </c>
      <c r="J246">
        <v>6.2628307617645484</v>
      </c>
      <c r="K246">
        <v>4.5744843878695844</v>
      </c>
      <c r="L246">
        <v>0</v>
      </c>
      <c r="M246">
        <v>0</v>
      </c>
      <c r="N246">
        <v>0</v>
      </c>
      <c r="O246">
        <v>0.438346373894964</v>
      </c>
      <c r="P246">
        <v>0</v>
      </c>
      <c r="Q246">
        <v>0.25</v>
      </c>
      <c r="R246">
        <v>0</v>
      </c>
      <c r="S246">
        <v>0</v>
      </c>
      <c r="T246">
        <v>0</v>
      </c>
      <c r="U246">
        <v>0</v>
      </c>
      <c r="V246">
        <v>0</v>
      </c>
      <c r="W246">
        <v>0</v>
      </c>
      <c r="X246">
        <v>0</v>
      </c>
      <c r="Y246">
        <v>1</v>
      </c>
      <c r="Z246">
        <v>0</v>
      </c>
      <c r="AA246">
        <v>0</v>
      </c>
      <c r="AB246">
        <v>0</v>
      </c>
      <c r="AC246">
        <v>0</v>
      </c>
      <c r="AD246">
        <v>0</v>
      </c>
      <c r="AE246" t="s">
        <v>245</v>
      </c>
      <c r="AF246">
        <v>20</v>
      </c>
      <c r="AG246" t="s">
        <v>166</v>
      </c>
      <c r="AH246">
        <v>46224</v>
      </c>
      <c r="AI246" t="s">
        <v>149</v>
      </c>
    </row>
    <row r="247" spans="1:35" x14ac:dyDescent="0.25">
      <c r="A247" s="1">
        <v>46225</v>
      </c>
      <c r="B247" t="s">
        <v>97</v>
      </c>
      <c r="C247" t="s">
        <v>10</v>
      </c>
      <c r="D247">
        <v>0.52958188016604746</v>
      </c>
      <c r="E247">
        <v>0.95</v>
      </c>
      <c r="F247">
        <v>0.95</v>
      </c>
      <c r="G247">
        <v>3.7647058823529398</v>
      </c>
      <c r="H247">
        <v>1.7938680222633991</v>
      </c>
      <c r="I247">
        <v>1.7938680222633991</v>
      </c>
      <c r="J247">
        <v>7.1088268374524768</v>
      </c>
      <c r="K247">
        <v>5.3149588151890779</v>
      </c>
      <c r="L247">
        <v>0</v>
      </c>
      <c r="M247">
        <v>0</v>
      </c>
      <c r="N247">
        <v>0</v>
      </c>
      <c r="O247">
        <v>0.54386802226339914</v>
      </c>
      <c r="P247">
        <v>0</v>
      </c>
      <c r="Q247">
        <v>0.25</v>
      </c>
      <c r="R247">
        <v>0</v>
      </c>
      <c r="S247">
        <v>0</v>
      </c>
      <c r="T247">
        <v>0</v>
      </c>
      <c r="U247">
        <v>0</v>
      </c>
      <c r="V247">
        <v>0</v>
      </c>
      <c r="W247">
        <v>0</v>
      </c>
      <c r="X247">
        <v>0</v>
      </c>
      <c r="Y247">
        <v>1</v>
      </c>
      <c r="Z247">
        <v>0</v>
      </c>
      <c r="AA247">
        <v>0</v>
      </c>
      <c r="AB247">
        <v>0</v>
      </c>
      <c r="AC247">
        <v>0</v>
      </c>
      <c r="AD247">
        <v>0</v>
      </c>
      <c r="AE247" t="s">
        <v>245</v>
      </c>
      <c r="AF247">
        <v>20</v>
      </c>
      <c r="AG247" t="s">
        <v>167</v>
      </c>
      <c r="AH247">
        <v>46225</v>
      </c>
      <c r="AI247" t="s">
        <v>149</v>
      </c>
    </row>
    <row r="248" spans="1:35" x14ac:dyDescent="0.25">
      <c r="A248" s="1">
        <v>46225</v>
      </c>
      <c r="B248" t="s">
        <v>97</v>
      </c>
      <c r="C248" t="s">
        <v>11</v>
      </c>
      <c r="D248">
        <v>4.1445538447777635</v>
      </c>
      <c r="E248">
        <v>2.8499999999999996</v>
      </c>
      <c r="F248">
        <v>2.8499999999999996</v>
      </c>
      <c r="G248">
        <v>0</v>
      </c>
      <c r="H248">
        <v>0.68764940853430279</v>
      </c>
      <c r="I248">
        <v>0.68764940853430279</v>
      </c>
      <c r="J248">
        <v>0</v>
      </c>
      <c r="K248">
        <v>0</v>
      </c>
      <c r="L248">
        <v>0</v>
      </c>
      <c r="M248">
        <v>0</v>
      </c>
      <c r="N248">
        <v>0</v>
      </c>
      <c r="O248">
        <v>0</v>
      </c>
      <c r="P248">
        <v>0</v>
      </c>
      <c r="Q248">
        <v>0</v>
      </c>
      <c r="R248">
        <v>0</v>
      </c>
      <c r="S248">
        <v>0</v>
      </c>
      <c r="T248">
        <v>0</v>
      </c>
      <c r="U248">
        <v>0.31235059146569721</v>
      </c>
      <c r="V248">
        <v>0</v>
      </c>
      <c r="W248">
        <v>0</v>
      </c>
      <c r="X248">
        <v>0</v>
      </c>
      <c r="Y248">
        <v>0</v>
      </c>
      <c r="Z248">
        <v>0.68764940853430279</v>
      </c>
      <c r="AA248">
        <v>0</v>
      </c>
      <c r="AB248">
        <v>0</v>
      </c>
      <c r="AC248">
        <v>0</v>
      </c>
      <c r="AD248">
        <v>0</v>
      </c>
      <c r="AE248" t="s">
        <v>245</v>
      </c>
      <c r="AF248">
        <v>20</v>
      </c>
      <c r="AG248" t="s">
        <v>169</v>
      </c>
      <c r="AH248">
        <v>46225</v>
      </c>
      <c r="AI248" t="s">
        <v>149</v>
      </c>
    </row>
    <row r="249" spans="1:35" x14ac:dyDescent="0.25">
      <c r="A249" s="1">
        <v>46225</v>
      </c>
      <c r="B249" t="s">
        <v>97</v>
      </c>
      <c r="C249" t="s">
        <v>12</v>
      </c>
      <c r="D249">
        <v>3.0916131382666543</v>
      </c>
      <c r="E249">
        <v>2.8499999999999996</v>
      </c>
      <c r="F249">
        <v>2.8499999999999996</v>
      </c>
      <c r="G249">
        <v>3.7508650519031144</v>
      </c>
      <c r="H249">
        <v>0.921848844774247</v>
      </c>
      <c r="I249">
        <v>0.921848844774247</v>
      </c>
      <c r="J249">
        <v>1.2132388122810465</v>
      </c>
      <c r="K249">
        <v>0.21323881228104646</v>
      </c>
      <c r="L249">
        <v>0</v>
      </c>
      <c r="M249">
        <v>0</v>
      </c>
      <c r="N249">
        <v>0</v>
      </c>
      <c r="O249">
        <v>0</v>
      </c>
      <c r="P249">
        <v>0</v>
      </c>
      <c r="Q249">
        <v>0</v>
      </c>
      <c r="R249">
        <v>0</v>
      </c>
      <c r="S249">
        <v>0</v>
      </c>
      <c r="T249">
        <v>7.8151155225753E-2</v>
      </c>
      <c r="U249">
        <v>0</v>
      </c>
      <c r="V249">
        <v>0</v>
      </c>
      <c r="W249">
        <v>0</v>
      </c>
      <c r="X249">
        <v>0</v>
      </c>
      <c r="Y249">
        <v>0.921848844774247</v>
      </c>
      <c r="Z249">
        <v>0</v>
      </c>
      <c r="AA249">
        <v>0</v>
      </c>
      <c r="AB249">
        <v>0</v>
      </c>
      <c r="AC249">
        <v>0</v>
      </c>
      <c r="AD249">
        <v>0</v>
      </c>
      <c r="AE249" t="s">
        <v>245</v>
      </c>
      <c r="AF249">
        <v>20</v>
      </c>
      <c r="AG249" t="s">
        <v>168</v>
      </c>
      <c r="AH249">
        <v>46225</v>
      </c>
      <c r="AI249" t="s">
        <v>149</v>
      </c>
    </row>
    <row r="250" spans="1:35" x14ac:dyDescent="0.25">
      <c r="A250" s="1">
        <v>46226</v>
      </c>
      <c r="B250" t="s">
        <v>97</v>
      </c>
      <c r="C250" t="s">
        <v>12</v>
      </c>
      <c r="D250">
        <v>4.8143807287822487</v>
      </c>
      <c r="E250">
        <v>3.8</v>
      </c>
      <c r="F250">
        <v>3.8</v>
      </c>
      <c r="G250">
        <v>3.7508650519031144</v>
      </c>
      <c r="H250">
        <v>0.78930192979589575</v>
      </c>
      <c r="I250">
        <v>0.78930192979589575</v>
      </c>
      <c r="J250">
        <v>0.77909605891345024</v>
      </c>
      <c r="K250">
        <v>0</v>
      </c>
      <c r="L250">
        <v>0</v>
      </c>
      <c r="M250">
        <v>0</v>
      </c>
      <c r="N250">
        <v>0</v>
      </c>
      <c r="O250">
        <v>0</v>
      </c>
      <c r="P250">
        <v>0</v>
      </c>
      <c r="Q250">
        <v>0</v>
      </c>
      <c r="R250">
        <v>0</v>
      </c>
      <c r="S250">
        <v>0</v>
      </c>
      <c r="T250">
        <v>0</v>
      </c>
      <c r="U250">
        <v>0.21069807020410425</v>
      </c>
      <c r="V250">
        <v>0</v>
      </c>
      <c r="W250">
        <v>1.0205870882445511E-2</v>
      </c>
      <c r="X250">
        <v>0</v>
      </c>
      <c r="Y250">
        <v>0.77909605891345024</v>
      </c>
      <c r="Z250">
        <v>0</v>
      </c>
      <c r="AA250">
        <v>0</v>
      </c>
      <c r="AB250">
        <v>0</v>
      </c>
      <c r="AC250">
        <v>0</v>
      </c>
      <c r="AD250">
        <v>0</v>
      </c>
      <c r="AE250" t="s">
        <v>245</v>
      </c>
      <c r="AF250">
        <v>20</v>
      </c>
      <c r="AG250" t="s">
        <v>170</v>
      </c>
      <c r="AH250">
        <v>46226</v>
      </c>
      <c r="AI250" t="s">
        <v>149</v>
      </c>
    </row>
    <row r="251" spans="1:35" x14ac:dyDescent="0.25">
      <c r="A251" s="1">
        <v>46226</v>
      </c>
      <c r="B251" t="s">
        <v>97</v>
      </c>
      <c r="C251" t="s">
        <v>10</v>
      </c>
      <c r="D251">
        <v>1.0289019386083209</v>
      </c>
      <c r="E251">
        <v>0.95</v>
      </c>
      <c r="F251">
        <v>0.95</v>
      </c>
      <c r="G251">
        <v>3.7647058823529398</v>
      </c>
      <c r="H251">
        <v>0.92331442322380819</v>
      </c>
      <c r="I251">
        <v>0.92331442322380819</v>
      </c>
      <c r="J251">
        <v>3.6589549898652449</v>
      </c>
      <c r="K251">
        <v>2.6589549898652449</v>
      </c>
      <c r="L251">
        <v>0</v>
      </c>
      <c r="M251">
        <v>0</v>
      </c>
      <c r="N251">
        <v>0</v>
      </c>
      <c r="O251">
        <v>0</v>
      </c>
      <c r="P251">
        <v>0</v>
      </c>
      <c r="Q251">
        <v>0</v>
      </c>
      <c r="R251">
        <v>0</v>
      </c>
      <c r="S251">
        <v>0</v>
      </c>
      <c r="T251">
        <v>7.6685576776191811E-2</v>
      </c>
      <c r="U251">
        <v>0</v>
      </c>
      <c r="V251">
        <v>0</v>
      </c>
      <c r="W251">
        <v>0</v>
      </c>
      <c r="X251">
        <v>0</v>
      </c>
      <c r="Y251">
        <v>0.92331442322380819</v>
      </c>
      <c r="Z251">
        <v>0</v>
      </c>
      <c r="AA251">
        <v>0</v>
      </c>
      <c r="AB251">
        <v>0</v>
      </c>
      <c r="AC251">
        <v>0</v>
      </c>
      <c r="AD251">
        <v>0</v>
      </c>
      <c r="AE251" t="s">
        <v>245</v>
      </c>
      <c r="AF251">
        <v>20</v>
      </c>
      <c r="AG251" t="s">
        <v>171</v>
      </c>
      <c r="AH251">
        <v>46226</v>
      </c>
      <c r="AI251" t="s">
        <v>149</v>
      </c>
    </row>
    <row r="252" spans="1:35" x14ac:dyDescent="0.25">
      <c r="A252" s="1">
        <v>46227</v>
      </c>
      <c r="B252" t="s">
        <v>97</v>
      </c>
      <c r="C252" t="s">
        <v>10</v>
      </c>
      <c r="D252">
        <v>2.9656585289298651</v>
      </c>
      <c r="E252">
        <v>2.8499999999999996</v>
      </c>
      <c r="F252">
        <v>2.8499999999999996</v>
      </c>
      <c r="G252">
        <v>3.7647058823529393</v>
      </c>
      <c r="H252">
        <v>0.96100072621253529</v>
      </c>
      <c r="I252">
        <v>0.96100072621253529</v>
      </c>
      <c r="J252">
        <v>1.2694333638307995</v>
      </c>
      <c r="K252">
        <v>0.26943336383079952</v>
      </c>
      <c r="L252">
        <v>0</v>
      </c>
      <c r="M252">
        <v>0</v>
      </c>
      <c r="N252">
        <v>0</v>
      </c>
      <c r="O252">
        <v>0</v>
      </c>
      <c r="P252">
        <v>0</v>
      </c>
      <c r="Q252">
        <v>0</v>
      </c>
      <c r="R252">
        <v>0</v>
      </c>
      <c r="S252">
        <v>0</v>
      </c>
      <c r="T252">
        <v>3.8999273787464706E-2</v>
      </c>
      <c r="U252">
        <v>0</v>
      </c>
      <c r="V252">
        <v>0</v>
      </c>
      <c r="W252">
        <v>0</v>
      </c>
      <c r="X252">
        <v>0</v>
      </c>
      <c r="Y252">
        <v>0.96100072621253529</v>
      </c>
      <c r="Z252">
        <v>0</v>
      </c>
      <c r="AA252">
        <v>0</v>
      </c>
      <c r="AB252">
        <v>0</v>
      </c>
      <c r="AC252">
        <v>0</v>
      </c>
      <c r="AD252">
        <v>0</v>
      </c>
      <c r="AE252" t="s">
        <v>245</v>
      </c>
      <c r="AF252">
        <v>20</v>
      </c>
      <c r="AG252" t="s">
        <v>173</v>
      </c>
      <c r="AH252">
        <v>46227</v>
      </c>
      <c r="AI252" t="s">
        <v>149</v>
      </c>
    </row>
    <row r="253" spans="1:35" x14ac:dyDescent="0.25">
      <c r="A253" s="1">
        <v>46227</v>
      </c>
      <c r="B253" t="s">
        <v>97</v>
      </c>
      <c r="C253" t="s">
        <v>11</v>
      </c>
      <c r="D253">
        <v>54.017351776936827</v>
      </c>
      <c r="E253">
        <v>0.95</v>
      </c>
      <c r="F253">
        <v>0.95</v>
      </c>
      <c r="G253">
        <v>0</v>
      </c>
      <c r="H253">
        <v>1.7586941394739212E-2</v>
      </c>
      <c r="I253">
        <v>1.7586941394739212E-2</v>
      </c>
      <c r="J253">
        <v>0</v>
      </c>
      <c r="K253">
        <v>0</v>
      </c>
      <c r="L253">
        <v>0</v>
      </c>
      <c r="M253">
        <v>0</v>
      </c>
      <c r="N253">
        <v>0</v>
      </c>
      <c r="O253">
        <v>0</v>
      </c>
      <c r="P253">
        <v>0</v>
      </c>
      <c r="Q253">
        <v>0</v>
      </c>
      <c r="R253">
        <v>0</v>
      </c>
      <c r="S253">
        <v>0</v>
      </c>
      <c r="T253">
        <v>0</v>
      </c>
      <c r="U253">
        <v>0.98241305860526074</v>
      </c>
      <c r="V253">
        <v>0</v>
      </c>
      <c r="W253">
        <v>0</v>
      </c>
      <c r="X253">
        <v>0</v>
      </c>
      <c r="Y253">
        <v>0</v>
      </c>
      <c r="Z253">
        <v>1.7586941394739212E-2</v>
      </c>
      <c r="AA253">
        <v>0</v>
      </c>
      <c r="AB253">
        <v>0</v>
      </c>
      <c r="AC253">
        <v>0</v>
      </c>
      <c r="AD253">
        <v>0</v>
      </c>
      <c r="AE253" t="s">
        <v>245</v>
      </c>
      <c r="AF253">
        <v>20</v>
      </c>
      <c r="AG253" t="s">
        <v>174</v>
      </c>
      <c r="AH253">
        <v>46227</v>
      </c>
      <c r="AI253" t="s">
        <v>149</v>
      </c>
    </row>
    <row r="254" spans="1:35" x14ac:dyDescent="0.25">
      <c r="A254" s="1">
        <v>46227</v>
      </c>
      <c r="B254" t="s">
        <v>97</v>
      </c>
      <c r="C254" t="s">
        <v>12</v>
      </c>
      <c r="D254">
        <v>0</v>
      </c>
      <c r="E254">
        <v>0.95</v>
      </c>
      <c r="F254">
        <v>0.95</v>
      </c>
      <c r="G254">
        <v>2.8685121107266438</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1</v>
      </c>
      <c r="AC254">
        <v>0</v>
      </c>
      <c r="AD254">
        <v>0</v>
      </c>
      <c r="AE254" t="s">
        <v>245</v>
      </c>
      <c r="AF254">
        <v>20</v>
      </c>
      <c r="AG254" t="s">
        <v>175</v>
      </c>
      <c r="AH254">
        <v>46227</v>
      </c>
      <c r="AI254" t="s">
        <v>149</v>
      </c>
    </row>
    <row r="255" spans="1:35" x14ac:dyDescent="0.25">
      <c r="A255" s="1">
        <v>46228</v>
      </c>
      <c r="B255" t="s">
        <v>97</v>
      </c>
      <c r="C255" t="s">
        <v>12</v>
      </c>
      <c r="D255">
        <v>4.3778768760393252</v>
      </c>
      <c r="E255">
        <v>3.8</v>
      </c>
      <c r="F255">
        <v>3.8</v>
      </c>
      <c r="G255">
        <v>3.6989619377162626</v>
      </c>
      <c r="H255">
        <v>0.86800065593390285</v>
      </c>
      <c r="I255">
        <v>0.86800065593390285</v>
      </c>
      <c r="J255">
        <v>0.84492141795059383</v>
      </c>
      <c r="K255">
        <v>0</v>
      </c>
      <c r="L255">
        <v>0</v>
      </c>
      <c r="M255">
        <v>0</v>
      </c>
      <c r="N255">
        <v>0</v>
      </c>
      <c r="O255">
        <v>0</v>
      </c>
      <c r="P255">
        <v>0</v>
      </c>
      <c r="Q255">
        <v>0</v>
      </c>
      <c r="R255">
        <v>0</v>
      </c>
      <c r="S255">
        <v>0</v>
      </c>
      <c r="T255">
        <v>0</v>
      </c>
      <c r="U255">
        <v>0.13199934406609715</v>
      </c>
      <c r="V255">
        <v>0</v>
      </c>
      <c r="W255">
        <v>2.307923798330902E-2</v>
      </c>
      <c r="X255">
        <v>0</v>
      </c>
      <c r="Y255">
        <v>0.84492141795059383</v>
      </c>
      <c r="Z255">
        <v>0</v>
      </c>
      <c r="AA255">
        <v>0</v>
      </c>
      <c r="AB255">
        <v>0</v>
      </c>
      <c r="AC255">
        <v>0</v>
      </c>
      <c r="AD255">
        <v>0</v>
      </c>
      <c r="AE255" t="s">
        <v>245</v>
      </c>
      <c r="AF255">
        <v>20</v>
      </c>
      <c r="AG255" t="s">
        <v>178</v>
      </c>
      <c r="AH255">
        <v>46228</v>
      </c>
      <c r="AI255" t="s">
        <v>149</v>
      </c>
    </row>
    <row r="256" spans="1:35" x14ac:dyDescent="0.25">
      <c r="A256" s="1">
        <v>46228</v>
      </c>
      <c r="B256" t="s">
        <v>97</v>
      </c>
      <c r="C256" t="s">
        <v>11</v>
      </c>
      <c r="D256">
        <v>0</v>
      </c>
      <c r="E256">
        <v>0.95</v>
      </c>
      <c r="F256">
        <v>0.95</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1</v>
      </c>
      <c r="AB256">
        <v>0</v>
      </c>
      <c r="AC256">
        <v>0</v>
      </c>
      <c r="AD256">
        <v>0</v>
      </c>
      <c r="AE256" t="s">
        <v>245</v>
      </c>
      <c r="AF256">
        <v>20</v>
      </c>
      <c r="AG256" t="s">
        <v>177</v>
      </c>
      <c r="AH256">
        <v>46228</v>
      </c>
      <c r="AI256" t="s">
        <v>149</v>
      </c>
    </row>
    <row r="257" spans="1:35" x14ac:dyDescent="0.25">
      <c r="A257" s="1">
        <v>46229</v>
      </c>
      <c r="B257" t="s">
        <v>97</v>
      </c>
      <c r="C257" t="s">
        <v>11</v>
      </c>
      <c r="D257">
        <v>52.21677338437226</v>
      </c>
      <c r="E257">
        <v>10.45</v>
      </c>
      <c r="F257">
        <v>10.45</v>
      </c>
      <c r="G257">
        <v>0</v>
      </c>
      <c r="H257">
        <v>0.20012726414703241</v>
      </c>
      <c r="I257">
        <v>0.20012726414703241</v>
      </c>
      <c r="J257">
        <v>0</v>
      </c>
      <c r="K257">
        <v>0</v>
      </c>
      <c r="L257">
        <v>0</v>
      </c>
      <c r="M257">
        <v>0</v>
      </c>
      <c r="N257">
        <v>0</v>
      </c>
      <c r="O257">
        <v>0</v>
      </c>
      <c r="P257">
        <v>0</v>
      </c>
      <c r="Q257">
        <v>0</v>
      </c>
      <c r="R257">
        <v>0</v>
      </c>
      <c r="S257">
        <v>0</v>
      </c>
      <c r="T257">
        <v>0</v>
      </c>
      <c r="U257">
        <v>0.79987273585296759</v>
      </c>
      <c r="V257">
        <v>0</v>
      </c>
      <c r="W257">
        <v>0</v>
      </c>
      <c r="X257">
        <v>0</v>
      </c>
      <c r="Y257">
        <v>0</v>
      </c>
      <c r="Z257">
        <v>0.20012726414703241</v>
      </c>
      <c r="AA257">
        <v>0</v>
      </c>
      <c r="AB257">
        <v>0</v>
      </c>
      <c r="AC257">
        <v>0</v>
      </c>
      <c r="AD257">
        <v>0</v>
      </c>
      <c r="AE257" t="s">
        <v>245</v>
      </c>
      <c r="AF257">
        <v>20</v>
      </c>
      <c r="AG257" t="s">
        <v>179</v>
      </c>
      <c r="AH257">
        <v>46229</v>
      </c>
      <c r="AI257" t="s">
        <v>149</v>
      </c>
    </row>
    <row r="258" spans="1:35" x14ac:dyDescent="0.25">
      <c r="A258" s="1">
        <v>46229</v>
      </c>
      <c r="B258" t="s">
        <v>97</v>
      </c>
      <c r="C258" t="s">
        <v>10</v>
      </c>
      <c r="D258">
        <v>3.052883779780744</v>
      </c>
      <c r="E258">
        <v>2.8499999999999996</v>
      </c>
      <c r="F258">
        <v>2.8499999999999996</v>
      </c>
      <c r="G258">
        <v>3.8235294117647038</v>
      </c>
      <c r="H258">
        <v>0.93354356260646276</v>
      </c>
      <c r="I258">
        <v>0.93354356260646276</v>
      </c>
      <c r="J258">
        <v>1.2524320241366369</v>
      </c>
      <c r="K258">
        <v>0.2524320241366369</v>
      </c>
      <c r="L258">
        <v>0</v>
      </c>
      <c r="M258">
        <v>0</v>
      </c>
      <c r="N258">
        <v>0</v>
      </c>
      <c r="O258">
        <v>0</v>
      </c>
      <c r="P258">
        <v>0</v>
      </c>
      <c r="Q258">
        <v>0</v>
      </c>
      <c r="R258">
        <v>0</v>
      </c>
      <c r="S258">
        <v>0</v>
      </c>
      <c r="T258">
        <v>6.6456437393537238E-2</v>
      </c>
      <c r="U258">
        <v>0</v>
      </c>
      <c r="V258">
        <v>0</v>
      </c>
      <c r="W258">
        <v>0</v>
      </c>
      <c r="X258">
        <v>0</v>
      </c>
      <c r="Y258">
        <v>0.93354356260646276</v>
      </c>
      <c r="Z258">
        <v>0</v>
      </c>
      <c r="AA258">
        <v>0</v>
      </c>
      <c r="AB258">
        <v>0</v>
      </c>
      <c r="AC258">
        <v>0</v>
      </c>
      <c r="AD258">
        <v>0</v>
      </c>
      <c r="AE258" t="s">
        <v>245</v>
      </c>
      <c r="AF258">
        <v>20</v>
      </c>
      <c r="AG258" t="s">
        <v>181</v>
      </c>
      <c r="AH258">
        <v>46229</v>
      </c>
      <c r="AI258" t="s">
        <v>149</v>
      </c>
    </row>
    <row r="259" spans="1:35" x14ac:dyDescent="0.25">
      <c r="A259" s="1">
        <v>46229</v>
      </c>
      <c r="B259" t="s">
        <v>97</v>
      </c>
      <c r="C259" t="s">
        <v>12</v>
      </c>
      <c r="D259">
        <v>0.40999887496726262</v>
      </c>
      <c r="E259">
        <v>0</v>
      </c>
      <c r="F259">
        <v>0</v>
      </c>
      <c r="G259">
        <v>3.7543252595155705</v>
      </c>
      <c r="H259">
        <v>0</v>
      </c>
      <c r="I259">
        <v>0</v>
      </c>
      <c r="J259">
        <v>9.1569160032825554</v>
      </c>
      <c r="K259">
        <v>8.1569160032825554</v>
      </c>
      <c r="L259">
        <v>0</v>
      </c>
      <c r="M259">
        <v>0</v>
      </c>
      <c r="N259">
        <v>0</v>
      </c>
      <c r="O259">
        <v>0</v>
      </c>
      <c r="P259">
        <v>0</v>
      </c>
      <c r="Q259">
        <v>0</v>
      </c>
      <c r="R259">
        <v>0</v>
      </c>
      <c r="S259">
        <v>0</v>
      </c>
      <c r="T259">
        <v>0</v>
      </c>
      <c r="U259">
        <v>0</v>
      </c>
      <c r="V259">
        <v>0</v>
      </c>
      <c r="W259">
        <v>0</v>
      </c>
      <c r="X259">
        <v>0</v>
      </c>
      <c r="Y259">
        <v>0</v>
      </c>
      <c r="Z259">
        <v>0</v>
      </c>
      <c r="AA259">
        <v>0</v>
      </c>
      <c r="AB259">
        <v>0</v>
      </c>
      <c r="AC259">
        <v>1</v>
      </c>
      <c r="AD259">
        <v>0</v>
      </c>
      <c r="AE259" t="s">
        <v>245</v>
      </c>
      <c r="AF259">
        <v>20</v>
      </c>
      <c r="AG259" t="s">
        <v>180</v>
      </c>
      <c r="AH259">
        <v>46229</v>
      </c>
      <c r="AI259" t="s">
        <v>149</v>
      </c>
    </row>
    <row r="260" spans="1:35" x14ac:dyDescent="0.25">
      <c r="A260" s="1">
        <v>46230</v>
      </c>
      <c r="B260" t="s">
        <v>97</v>
      </c>
      <c r="C260" t="s">
        <v>12</v>
      </c>
      <c r="D260">
        <v>2.8809254281032981</v>
      </c>
      <c r="E260">
        <v>2.8499999999999996</v>
      </c>
      <c r="F260">
        <v>2.8499999999999996</v>
      </c>
      <c r="G260">
        <v>3.8062283737024223</v>
      </c>
      <c r="H260">
        <v>0.98926545345408035</v>
      </c>
      <c r="I260">
        <v>0.98926545345408035</v>
      </c>
      <c r="J260">
        <v>1.3211825396703558</v>
      </c>
      <c r="K260">
        <v>0.32118253967035582</v>
      </c>
      <c r="L260">
        <v>0</v>
      </c>
      <c r="M260">
        <v>0</v>
      </c>
      <c r="N260">
        <v>0</v>
      </c>
      <c r="O260">
        <v>0</v>
      </c>
      <c r="P260">
        <v>0</v>
      </c>
      <c r="Q260">
        <v>0</v>
      </c>
      <c r="R260">
        <v>0</v>
      </c>
      <c r="S260">
        <v>0</v>
      </c>
      <c r="T260">
        <v>1.0734546545919654E-2</v>
      </c>
      <c r="U260">
        <v>0</v>
      </c>
      <c r="V260">
        <v>0</v>
      </c>
      <c r="W260">
        <v>0</v>
      </c>
      <c r="X260">
        <v>0</v>
      </c>
      <c r="Y260">
        <v>0.98926545345408035</v>
      </c>
      <c r="Z260">
        <v>0</v>
      </c>
      <c r="AA260">
        <v>0</v>
      </c>
      <c r="AB260">
        <v>0</v>
      </c>
      <c r="AC260">
        <v>0</v>
      </c>
      <c r="AD260">
        <v>0</v>
      </c>
      <c r="AE260" t="s">
        <v>245</v>
      </c>
      <c r="AF260">
        <v>20</v>
      </c>
      <c r="AG260" t="s">
        <v>182</v>
      </c>
      <c r="AH260">
        <v>46230</v>
      </c>
      <c r="AI260" t="s">
        <v>149</v>
      </c>
    </row>
    <row r="261" spans="1:35" x14ac:dyDescent="0.25">
      <c r="A261" s="1">
        <v>46230</v>
      </c>
      <c r="B261" t="s">
        <v>97</v>
      </c>
      <c r="C261" t="s">
        <v>10</v>
      </c>
      <c r="D261">
        <v>0.56740915732076525</v>
      </c>
      <c r="E261">
        <v>0.95</v>
      </c>
      <c r="F261">
        <v>0.95</v>
      </c>
      <c r="G261">
        <v>4.705882352941174</v>
      </c>
      <c r="H261">
        <v>1.6742768207791721</v>
      </c>
      <c r="I261">
        <v>1.6742768207791721</v>
      </c>
      <c r="J261">
        <v>8.2936313103612207</v>
      </c>
      <c r="K261">
        <v>6.6193544895820491</v>
      </c>
      <c r="L261">
        <v>0</v>
      </c>
      <c r="M261">
        <v>0</v>
      </c>
      <c r="N261">
        <v>0</v>
      </c>
      <c r="O261">
        <v>0.42427682077917206</v>
      </c>
      <c r="P261">
        <v>0</v>
      </c>
      <c r="Q261">
        <v>0.25</v>
      </c>
      <c r="R261">
        <v>0</v>
      </c>
      <c r="S261">
        <v>0</v>
      </c>
      <c r="T261">
        <v>0</v>
      </c>
      <c r="U261">
        <v>0</v>
      </c>
      <c r="V261">
        <v>0</v>
      </c>
      <c r="W261">
        <v>0</v>
      </c>
      <c r="X261">
        <v>0</v>
      </c>
      <c r="Y261">
        <v>1</v>
      </c>
      <c r="Z261">
        <v>0</v>
      </c>
      <c r="AA261">
        <v>0</v>
      </c>
      <c r="AB261">
        <v>0</v>
      </c>
      <c r="AC261">
        <v>0</v>
      </c>
      <c r="AD261">
        <v>0</v>
      </c>
      <c r="AE261" t="s">
        <v>245</v>
      </c>
      <c r="AF261">
        <v>20</v>
      </c>
      <c r="AG261" t="s">
        <v>183</v>
      </c>
      <c r="AH261">
        <v>46230</v>
      </c>
      <c r="AI261" t="s">
        <v>149</v>
      </c>
    </row>
    <row r="262" spans="1:35" x14ac:dyDescent="0.25">
      <c r="A262" s="1">
        <v>46230</v>
      </c>
      <c r="B262" t="s">
        <v>97</v>
      </c>
      <c r="C262" t="s">
        <v>11</v>
      </c>
      <c r="D262">
        <v>5.0170914963099245</v>
      </c>
      <c r="E262">
        <v>1.9</v>
      </c>
      <c r="F262">
        <v>1.9</v>
      </c>
      <c r="G262">
        <v>0</v>
      </c>
      <c r="H262">
        <v>0.37870547136671751</v>
      </c>
      <c r="I262">
        <v>0.37870547136671751</v>
      </c>
      <c r="J262">
        <v>0</v>
      </c>
      <c r="K262">
        <v>0</v>
      </c>
      <c r="L262">
        <v>0</v>
      </c>
      <c r="M262">
        <v>0</v>
      </c>
      <c r="N262">
        <v>0</v>
      </c>
      <c r="O262">
        <v>0</v>
      </c>
      <c r="P262">
        <v>0</v>
      </c>
      <c r="Q262">
        <v>0</v>
      </c>
      <c r="R262">
        <v>0</v>
      </c>
      <c r="S262">
        <v>0</v>
      </c>
      <c r="T262">
        <v>0</v>
      </c>
      <c r="U262">
        <v>0.62129452863328249</v>
      </c>
      <c r="V262">
        <v>0</v>
      </c>
      <c r="W262">
        <v>0</v>
      </c>
      <c r="X262">
        <v>0</v>
      </c>
      <c r="Y262">
        <v>0</v>
      </c>
      <c r="Z262">
        <v>0.37870547136671751</v>
      </c>
      <c r="AA262">
        <v>0</v>
      </c>
      <c r="AB262">
        <v>0</v>
      </c>
      <c r="AC262">
        <v>0</v>
      </c>
      <c r="AD262">
        <v>0</v>
      </c>
      <c r="AE262" t="s">
        <v>245</v>
      </c>
      <c r="AF262">
        <v>20</v>
      </c>
      <c r="AG262" t="s">
        <v>184</v>
      </c>
      <c r="AH262">
        <v>46230</v>
      </c>
      <c r="AI262" t="s">
        <v>149</v>
      </c>
    </row>
    <row r="263" spans="1:35" x14ac:dyDescent="0.25">
      <c r="A263" s="1">
        <v>46231</v>
      </c>
      <c r="B263" t="s">
        <v>97</v>
      </c>
      <c r="C263" t="s">
        <v>10</v>
      </c>
      <c r="D263">
        <v>2.0578038772166418</v>
      </c>
      <c r="E263">
        <v>1.9</v>
      </c>
      <c r="F263">
        <v>1.9</v>
      </c>
      <c r="G263">
        <v>4.7058823529411731</v>
      </c>
      <c r="H263">
        <v>0.92331442322380819</v>
      </c>
      <c r="I263">
        <v>0.92331442322380819</v>
      </c>
      <c r="J263">
        <v>2.2868468686657772</v>
      </c>
      <c r="K263">
        <v>1.2868468686657772</v>
      </c>
      <c r="L263">
        <v>0</v>
      </c>
      <c r="M263">
        <v>0</v>
      </c>
      <c r="N263">
        <v>0</v>
      </c>
      <c r="O263">
        <v>0</v>
      </c>
      <c r="P263">
        <v>0</v>
      </c>
      <c r="Q263">
        <v>0</v>
      </c>
      <c r="R263">
        <v>0</v>
      </c>
      <c r="S263">
        <v>0</v>
      </c>
      <c r="T263">
        <v>7.6685576776191811E-2</v>
      </c>
      <c r="U263">
        <v>0</v>
      </c>
      <c r="V263">
        <v>0</v>
      </c>
      <c r="W263">
        <v>0</v>
      </c>
      <c r="X263">
        <v>0</v>
      </c>
      <c r="Y263">
        <v>0.92331442322380819</v>
      </c>
      <c r="Z263">
        <v>0</v>
      </c>
      <c r="AA263">
        <v>0</v>
      </c>
      <c r="AB263">
        <v>0</v>
      </c>
      <c r="AC263">
        <v>0</v>
      </c>
      <c r="AD263">
        <v>0</v>
      </c>
      <c r="AE263" t="s">
        <v>245</v>
      </c>
      <c r="AF263">
        <v>20</v>
      </c>
      <c r="AG263" t="s">
        <v>187</v>
      </c>
      <c r="AH263">
        <v>46231</v>
      </c>
      <c r="AI263" t="s">
        <v>149</v>
      </c>
    </row>
    <row r="264" spans="1:35" x14ac:dyDescent="0.25">
      <c r="A264" s="1">
        <v>46231</v>
      </c>
      <c r="B264" t="s">
        <v>97</v>
      </c>
      <c r="C264" t="s">
        <v>12</v>
      </c>
      <c r="D264">
        <v>4.0777804772785666</v>
      </c>
      <c r="E264">
        <v>2.8499999999999996</v>
      </c>
      <c r="F264">
        <v>2.8499999999999996</v>
      </c>
      <c r="G264">
        <v>3.8062283737024223</v>
      </c>
      <c r="H264">
        <v>0.69890961906366167</v>
      </c>
      <c r="I264">
        <v>0.69890961906366167</v>
      </c>
      <c r="J264">
        <v>0.9334068851697056</v>
      </c>
      <c r="K264">
        <v>0</v>
      </c>
      <c r="L264">
        <v>0</v>
      </c>
      <c r="M264">
        <v>0</v>
      </c>
      <c r="N264">
        <v>0</v>
      </c>
      <c r="O264">
        <v>0</v>
      </c>
      <c r="P264">
        <v>0</v>
      </c>
      <c r="Q264">
        <v>0</v>
      </c>
      <c r="R264">
        <v>0</v>
      </c>
      <c r="S264">
        <v>0</v>
      </c>
      <c r="T264">
        <v>0.23449726610604393</v>
      </c>
      <c r="U264">
        <v>6.6593114830294398E-2</v>
      </c>
      <c r="V264">
        <v>0</v>
      </c>
      <c r="W264">
        <v>0</v>
      </c>
      <c r="X264">
        <v>0</v>
      </c>
      <c r="Y264">
        <v>0.69890961906366167</v>
      </c>
      <c r="Z264">
        <v>0</v>
      </c>
      <c r="AA264">
        <v>0</v>
      </c>
      <c r="AB264">
        <v>0</v>
      </c>
      <c r="AC264">
        <v>0</v>
      </c>
      <c r="AD264">
        <v>0</v>
      </c>
      <c r="AE264" t="s">
        <v>245</v>
      </c>
      <c r="AF264">
        <v>20</v>
      </c>
      <c r="AG264" t="s">
        <v>185</v>
      </c>
      <c r="AH264">
        <v>46231</v>
      </c>
      <c r="AI264" t="s">
        <v>149</v>
      </c>
    </row>
    <row r="265" spans="1:35" x14ac:dyDescent="0.25">
      <c r="A265" s="1">
        <v>46232</v>
      </c>
      <c r="B265" t="s">
        <v>97</v>
      </c>
      <c r="C265" t="s">
        <v>12</v>
      </c>
      <c r="D265">
        <v>2.4890348367804229</v>
      </c>
      <c r="E265">
        <v>1.9</v>
      </c>
      <c r="F265">
        <v>1.9</v>
      </c>
      <c r="G265">
        <v>3.7508650519031144</v>
      </c>
      <c r="H265">
        <v>0.76334809458016983</v>
      </c>
      <c r="I265">
        <v>0.76334809458016983</v>
      </c>
      <c r="J265">
        <v>1.5069556265250486</v>
      </c>
      <c r="K265">
        <v>0.50695562652504855</v>
      </c>
      <c r="L265">
        <v>0</v>
      </c>
      <c r="M265">
        <v>0</v>
      </c>
      <c r="N265">
        <v>0</v>
      </c>
      <c r="O265">
        <v>0</v>
      </c>
      <c r="P265">
        <v>0</v>
      </c>
      <c r="Q265">
        <v>0</v>
      </c>
      <c r="R265">
        <v>0</v>
      </c>
      <c r="S265">
        <v>0</v>
      </c>
      <c r="T265">
        <v>0.23665190541983017</v>
      </c>
      <c r="U265">
        <v>0</v>
      </c>
      <c r="V265">
        <v>0</v>
      </c>
      <c r="W265">
        <v>0</v>
      </c>
      <c r="X265">
        <v>0</v>
      </c>
      <c r="Y265">
        <v>0.76334809458016983</v>
      </c>
      <c r="Z265">
        <v>0</v>
      </c>
      <c r="AA265">
        <v>0</v>
      </c>
      <c r="AB265">
        <v>0</v>
      </c>
      <c r="AC265">
        <v>0</v>
      </c>
      <c r="AD265">
        <v>0</v>
      </c>
      <c r="AE265" t="s">
        <v>245</v>
      </c>
      <c r="AF265">
        <v>20</v>
      </c>
      <c r="AG265" t="s">
        <v>189</v>
      </c>
      <c r="AH265">
        <v>46232</v>
      </c>
      <c r="AI265" t="s">
        <v>149</v>
      </c>
    </row>
    <row r="266" spans="1:35" x14ac:dyDescent="0.25">
      <c r="A266" s="1">
        <v>46232</v>
      </c>
      <c r="B266" t="s">
        <v>97</v>
      </c>
      <c r="C266" t="s">
        <v>10</v>
      </c>
      <c r="D266">
        <v>1.8923725851266759</v>
      </c>
      <c r="E266">
        <v>1.9</v>
      </c>
      <c r="F266">
        <v>1.9</v>
      </c>
      <c r="G266">
        <v>3.7647058823529393</v>
      </c>
      <c r="H266">
        <v>1.0040306094757832</v>
      </c>
      <c r="I266">
        <v>1.0040306094757832</v>
      </c>
      <c r="J266">
        <v>1.9894104955557306</v>
      </c>
      <c r="K266">
        <v>0.98537988607994742</v>
      </c>
      <c r="L266">
        <v>0</v>
      </c>
      <c r="M266">
        <v>0</v>
      </c>
      <c r="N266">
        <v>0</v>
      </c>
      <c r="O266">
        <v>0</v>
      </c>
      <c r="P266">
        <v>0.24596939052421685</v>
      </c>
      <c r="Q266">
        <v>4.0306094757831534E-3</v>
      </c>
      <c r="R266">
        <v>0</v>
      </c>
      <c r="S266">
        <v>0</v>
      </c>
      <c r="T266">
        <v>0</v>
      </c>
      <c r="U266">
        <v>0</v>
      </c>
      <c r="V266">
        <v>0</v>
      </c>
      <c r="W266">
        <v>0</v>
      </c>
      <c r="X266">
        <v>0</v>
      </c>
      <c r="Y266">
        <v>0</v>
      </c>
      <c r="Z266">
        <v>0</v>
      </c>
      <c r="AA266">
        <v>0</v>
      </c>
      <c r="AB266">
        <v>0</v>
      </c>
      <c r="AC266">
        <v>0</v>
      </c>
      <c r="AD266">
        <v>0</v>
      </c>
      <c r="AE266" t="s">
        <v>245</v>
      </c>
      <c r="AF266">
        <v>20</v>
      </c>
      <c r="AG266" t="s">
        <v>190</v>
      </c>
      <c r="AH266">
        <v>46232</v>
      </c>
      <c r="AI266" t="s">
        <v>149</v>
      </c>
    </row>
    <row r="267" spans="1:35" x14ac:dyDescent="0.25">
      <c r="A267" s="1">
        <v>46232</v>
      </c>
      <c r="B267" t="s">
        <v>97</v>
      </c>
      <c r="C267" t="s">
        <v>11</v>
      </c>
      <c r="D267">
        <v>54.017351776936827</v>
      </c>
      <c r="E267">
        <v>12.35</v>
      </c>
      <c r="F267">
        <v>12.35</v>
      </c>
      <c r="G267">
        <v>0</v>
      </c>
      <c r="H267">
        <v>0.22863023813160974</v>
      </c>
      <c r="I267">
        <v>0.22863023813160974</v>
      </c>
      <c r="J267">
        <v>0</v>
      </c>
      <c r="K267">
        <v>0</v>
      </c>
      <c r="L267">
        <v>0</v>
      </c>
      <c r="M267">
        <v>0</v>
      </c>
      <c r="N267">
        <v>0</v>
      </c>
      <c r="O267">
        <v>0</v>
      </c>
      <c r="P267">
        <v>0</v>
      </c>
      <c r="Q267">
        <v>0</v>
      </c>
      <c r="R267">
        <v>0</v>
      </c>
      <c r="S267">
        <v>0</v>
      </c>
      <c r="T267">
        <v>0</v>
      </c>
      <c r="U267">
        <v>0.77136976186839024</v>
      </c>
      <c r="V267">
        <v>0</v>
      </c>
      <c r="W267">
        <v>0</v>
      </c>
      <c r="X267">
        <v>0</v>
      </c>
      <c r="Y267">
        <v>0</v>
      </c>
      <c r="Z267">
        <v>0.22863023813160974</v>
      </c>
      <c r="AA267">
        <v>0</v>
      </c>
      <c r="AB267">
        <v>0</v>
      </c>
      <c r="AC267">
        <v>0</v>
      </c>
      <c r="AD267">
        <v>0</v>
      </c>
      <c r="AE267" t="s">
        <v>245</v>
      </c>
      <c r="AF267">
        <v>20</v>
      </c>
      <c r="AG267" t="s">
        <v>188</v>
      </c>
      <c r="AH267">
        <v>46232</v>
      </c>
      <c r="AI267" t="s">
        <v>149</v>
      </c>
    </row>
    <row r="268" spans="1:35" x14ac:dyDescent="0.25">
      <c r="A268" s="1">
        <v>46233</v>
      </c>
      <c r="B268" t="s">
        <v>97</v>
      </c>
      <c r="C268" t="s">
        <v>12</v>
      </c>
      <c r="D268">
        <v>2.8809254281032981</v>
      </c>
      <c r="E268">
        <v>2.8499999999999996</v>
      </c>
      <c r="F268">
        <v>2.8499999999999996</v>
      </c>
      <c r="G268">
        <v>3.8062283737024223</v>
      </c>
      <c r="H268">
        <v>0.98926545345408035</v>
      </c>
      <c r="I268">
        <v>0.98926545345408035</v>
      </c>
      <c r="J268">
        <v>1.3211825396703558</v>
      </c>
      <c r="K268">
        <v>0.32118253967035582</v>
      </c>
      <c r="L268">
        <v>0</v>
      </c>
      <c r="M268">
        <v>0</v>
      </c>
      <c r="N268">
        <v>0</v>
      </c>
      <c r="O268">
        <v>0</v>
      </c>
      <c r="P268">
        <v>0</v>
      </c>
      <c r="Q268">
        <v>0</v>
      </c>
      <c r="R268">
        <v>0</v>
      </c>
      <c r="S268">
        <v>0</v>
      </c>
      <c r="T268">
        <v>1.0734546545919654E-2</v>
      </c>
      <c r="U268">
        <v>0</v>
      </c>
      <c r="V268">
        <v>0</v>
      </c>
      <c r="W268">
        <v>0</v>
      </c>
      <c r="X268">
        <v>0</v>
      </c>
      <c r="Y268">
        <v>0.98926545345408035</v>
      </c>
      <c r="Z268">
        <v>0</v>
      </c>
      <c r="AA268">
        <v>0</v>
      </c>
      <c r="AB268">
        <v>0</v>
      </c>
      <c r="AC268">
        <v>0</v>
      </c>
      <c r="AD268">
        <v>0</v>
      </c>
      <c r="AE268" t="s">
        <v>245</v>
      </c>
      <c r="AF268">
        <v>20</v>
      </c>
      <c r="AG268" t="s">
        <v>191</v>
      </c>
      <c r="AH268">
        <v>46233</v>
      </c>
      <c r="AI268" t="s">
        <v>149</v>
      </c>
    </row>
    <row r="269" spans="1:35" x14ac:dyDescent="0.25">
      <c r="A269" s="1">
        <v>46233</v>
      </c>
      <c r="B269" t="s">
        <v>97</v>
      </c>
      <c r="C269" t="s">
        <v>11</v>
      </c>
      <c r="D269">
        <v>4.1445538447777635</v>
      </c>
      <c r="E269">
        <v>2.8499999999999996</v>
      </c>
      <c r="F269">
        <v>2.8499999999999996</v>
      </c>
      <c r="G269">
        <v>0</v>
      </c>
      <c r="H269">
        <v>0.68764940853430279</v>
      </c>
      <c r="I269">
        <v>0.68764940853430279</v>
      </c>
      <c r="J269">
        <v>0</v>
      </c>
      <c r="K269">
        <v>0</v>
      </c>
      <c r="L269">
        <v>0</v>
      </c>
      <c r="M269">
        <v>0</v>
      </c>
      <c r="N269">
        <v>0</v>
      </c>
      <c r="O269">
        <v>0</v>
      </c>
      <c r="P269">
        <v>0</v>
      </c>
      <c r="Q269">
        <v>0</v>
      </c>
      <c r="R269">
        <v>0</v>
      </c>
      <c r="S269">
        <v>0</v>
      </c>
      <c r="T269">
        <v>0</v>
      </c>
      <c r="U269">
        <v>0.31235059146569721</v>
      </c>
      <c r="V269">
        <v>0</v>
      </c>
      <c r="W269">
        <v>0</v>
      </c>
      <c r="X269">
        <v>0</v>
      </c>
      <c r="Y269">
        <v>0</v>
      </c>
      <c r="Z269">
        <v>0.68764940853430279</v>
      </c>
      <c r="AA269">
        <v>0</v>
      </c>
      <c r="AB269">
        <v>0</v>
      </c>
      <c r="AC269">
        <v>0</v>
      </c>
      <c r="AD269">
        <v>0</v>
      </c>
      <c r="AE269" t="s">
        <v>245</v>
      </c>
      <c r="AF269">
        <v>20</v>
      </c>
      <c r="AG269" t="s">
        <v>193</v>
      </c>
      <c r="AH269">
        <v>46233</v>
      </c>
      <c r="AI269" t="s">
        <v>149</v>
      </c>
    </row>
    <row r="270" spans="1:35" x14ac:dyDescent="0.25">
      <c r="A270" s="1">
        <v>46233</v>
      </c>
      <c r="B270" t="s">
        <v>97</v>
      </c>
      <c r="C270" t="s">
        <v>10</v>
      </c>
      <c r="D270">
        <v>0.56740915732076525</v>
      </c>
      <c r="E270">
        <v>0.95</v>
      </c>
      <c r="F270">
        <v>0.95</v>
      </c>
      <c r="G270">
        <v>4.7058823529411749</v>
      </c>
      <c r="H270">
        <v>1.6742768207791721</v>
      </c>
      <c r="I270">
        <v>1.6742768207791721</v>
      </c>
      <c r="J270">
        <v>8.2936313103612225</v>
      </c>
      <c r="K270">
        <v>6.6193544895820509</v>
      </c>
      <c r="L270">
        <v>0</v>
      </c>
      <c r="M270">
        <v>0</v>
      </c>
      <c r="N270">
        <v>0</v>
      </c>
      <c r="O270">
        <v>0.42427682077917206</v>
      </c>
      <c r="P270">
        <v>0</v>
      </c>
      <c r="Q270">
        <v>0.25</v>
      </c>
      <c r="R270">
        <v>0</v>
      </c>
      <c r="S270">
        <v>0</v>
      </c>
      <c r="T270">
        <v>0</v>
      </c>
      <c r="U270">
        <v>0</v>
      </c>
      <c r="V270">
        <v>0</v>
      </c>
      <c r="W270">
        <v>0</v>
      </c>
      <c r="X270">
        <v>0</v>
      </c>
      <c r="Y270">
        <v>1</v>
      </c>
      <c r="Z270">
        <v>0</v>
      </c>
      <c r="AA270">
        <v>0</v>
      </c>
      <c r="AB270">
        <v>0</v>
      </c>
      <c r="AC270">
        <v>0</v>
      </c>
      <c r="AD270">
        <v>0</v>
      </c>
      <c r="AE270" t="s">
        <v>245</v>
      </c>
      <c r="AF270">
        <v>20</v>
      </c>
      <c r="AG270" t="s">
        <v>192</v>
      </c>
      <c r="AH270">
        <v>46233</v>
      </c>
      <c r="AI270" t="s">
        <v>149</v>
      </c>
    </row>
    <row r="271" spans="1:35" x14ac:dyDescent="0.25">
      <c r="A271" s="1">
        <v>46234</v>
      </c>
      <c r="B271" t="s">
        <v>97</v>
      </c>
      <c r="C271" t="s">
        <v>10</v>
      </c>
      <c r="D271">
        <v>1.4592922920131086</v>
      </c>
      <c r="E271">
        <v>0.95</v>
      </c>
      <c r="F271">
        <v>0.95</v>
      </c>
      <c r="G271">
        <v>3.8235294117647038</v>
      </c>
      <c r="H271">
        <v>0.65100049195042708</v>
      </c>
      <c r="I271">
        <v>0.65100049195042708</v>
      </c>
      <c r="J271">
        <v>2.6201258189955254</v>
      </c>
      <c r="K271">
        <v>1.6201258189955254</v>
      </c>
      <c r="L271">
        <v>0</v>
      </c>
      <c r="M271">
        <v>0</v>
      </c>
      <c r="N271">
        <v>0</v>
      </c>
      <c r="O271">
        <v>0</v>
      </c>
      <c r="P271">
        <v>0</v>
      </c>
      <c r="Q271">
        <v>0</v>
      </c>
      <c r="R271">
        <v>0</v>
      </c>
      <c r="S271">
        <v>0</v>
      </c>
      <c r="T271">
        <v>0.34899950804957292</v>
      </c>
      <c r="U271">
        <v>0</v>
      </c>
      <c r="V271">
        <v>0</v>
      </c>
      <c r="W271">
        <v>0</v>
      </c>
      <c r="X271">
        <v>0</v>
      </c>
      <c r="Y271">
        <v>0.65100049195042708</v>
      </c>
      <c r="Z271">
        <v>0</v>
      </c>
      <c r="AA271">
        <v>0</v>
      </c>
      <c r="AB271">
        <v>0</v>
      </c>
      <c r="AC271">
        <v>0</v>
      </c>
      <c r="AD271">
        <v>0</v>
      </c>
      <c r="AE271" t="s">
        <v>245</v>
      </c>
      <c r="AF271">
        <v>20</v>
      </c>
      <c r="AG271" t="s">
        <v>194</v>
      </c>
      <c r="AH271">
        <v>46234</v>
      </c>
      <c r="AI271" t="s">
        <v>149</v>
      </c>
    </row>
    <row r="272" spans="1:35" x14ac:dyDescent="0.25">
      <c r="A272" s="1">
        <v>46234</v>
      </c>
      <c r="B272" t="s">
        <v>97</v>
      </c>
      <c r="C272" t="s">
        <v>11</v>
      </c>
      <c r="D272">
        <v>5.9577961518680347</v>
      </c>
      <c r="E272">
        <v>2.8499999999999996</v>
      </c>
      <c r="F272">
        <v>2.8499999999999996</v>
      </c>
      <c r="G272">
        <v>0</v>
      </c>
      <c r="H272">
        <v>0.47836480593690633</v>
      </c>
      <c r="I272">
        <v>0.47836480593690633</v>
      </c>
      <c r="J272">
        <v>0</v>
      </c>
      <c r="K272">
        <v>0</v>
      </c>
      <c r="L272">
        <v>0</v>
      </c>
      <c r="M272">
        <v>0</v>
      </c>
      <c r="N272">
        <v>0</v>
      </c>
      <c r="O272">
        <v>0</v>
      </c>
      <c r="P272">
        <v>0</v>
      </c>
      <c r="Q272">
        <v>0</v>
      </c>
      <c r="R272">
        <v>0</v>
      </c>
      <c r="S272">
        <v>0</v>
      </c>
      <c r="T272">
        <v>0</v>
      </c>
      <c r="U272">
        <v>0.52163519406309367</v>
      </c>
      <c r="V272">
        <v>0</v>
      </c>
      <c r="W272">
        <v>0</v>
      </c>
      <c r="X272">
        <v>0</v>
      </c>
      <c r="Y272">
        <v>0</v>
      </c>
      <c r="Z272">
        <v>0.47836480593690633</v>
      </c>
      <c r="AA272">
        <v>0</v>
      </c>
      <c r="AB272">
        <v>0</v>
      </c>
      <c r="AC272">
        <v>0</v>
      </c>
      <c r="AD272">
        <v>0</v>
      </c>
      <c r="AE272" t="s">
        <v>245</v>
      </c>
      <c r="AF272">
        <v>20</v>
      </c>
      <c r="AG272" t="s">
        <v>195</v>
      </c>
      <c r="AH272">
        <v>46234</v>
      </c>
      <c r="AI272" t="s">
        <v>149</v>
      </c>
    </row>
    <row r="273" spans="1:35" x14ac:dyDescent="0.25">
      <c r="A273" s="1">
        <v>46234</v>
      </c>
      <c r="B273" t="s">
        <v>97</v>
      </c>
      <c r="C273" t="s">
        <v>12</v>
      </c>
      <c r="D273">
        <v>2.7634545383210103</v>
      </c>
      <c r="E273">
        <v>2.8499999999999996</v>
      </c>
      <c r="F273">
        <v>2.8499999999999996</v>
      </c>
      <c r="G273">
        <v>3.7543252595155705</v>
      </c>
      <c r="H273">
        <v>1.0313178525207698</v>
      </c>
      <c r="I273">
        <v>1.0313178525207698</v>
      </c>
      <c r="J273">
        <v>1.3585623383537124</v>
      </c>
      <c r="K273">
        <v>0.32724448583294263</v>
      </c>
      <c r="L273">
        <v>0</v>
      </c>
      <c r="M273">
        <v>0</v>
      </c>
      <c r="N273">
        <v>0</v>
      </c>
      <c r="O273">
        <v>0</v>
      </c>
      <c r="P273">
        <v>0.2186821474792302</v>
      </c>
      <c r="Q273">
        <v>3.1317852520769796E-2</v>
      </c>
      <c r="R273">
        <v>0</v>
      </c>
      <c r="S273">
        <v>0</v>
      </c>
      <c r="T273">
        <v>0</v>
      </c>
      <c r="U273">
        <v>0</v>
      </c>
      <c r="V273">
        <v>0</v>
      </c>
      <c r="W273">
        <v>0</v>
      </c>
      <c r="X273">
        <v>0</v>
      </c>
      <c r="Y273">
        <v>0</v>
      </c>
      <c r="Z273">
        <v>0</v>
      </c>
      <c r="AA273">
        <v>0</v>
      </c>
      <c r="AB273">
        <v>0</v>
      </c>
      <c r="AC273">
        <v>0</v>
      </c>
      <c r="AD273">
        <v>0</v>
      </c>
      <c r="AE273" t="s">
        <v>245</v>
      </c>
      <c r="AF273">
        <v>20</v>
      </c>
      <c r="AG273" t="s">
        <v>196</v>
      </c>
      <c r="AH273">
        <v>46234</v>
      </c>
      <c r="AI273" t="s">
        <v>149</v>
      </c>
    </row>
    <row r="274" spans="1:35" x14ac:dyDescent="0.25">
      <c r="A274" s="1">
        <v>46235</v>
      </c>
      <c r="B274" t="s">
        <v>97</v>
      </c>
      <c r="C274" t="s">
        <v>10</v>
      </c>
      <c r="D274">
        <v>1.8005783925645611</v>
      </c>
      <c r="E274">
        <v>1.9</v>
      </c>
      <c r="F274">
        <v>1.9</v>
      </c>
      <c r="G274">
        <v>3.7647058823529393</v>
      </c>
      <c r="H274">
        <v>1.0552164836843525</v>
      </c>
      <c r="I274">
        <v>1.0552164836843525</v>
      </c>
      <c r="J274">
        <v>2.0908314227801403</v>
      </c>
      <c r="K274">
        <v>1.0356149390957878</v>
      </c>
      <c r="L274">
        <v>0</v>
      </c>
      <c r="M274">
        <v>0</v>
      </c>
      <c r="N274">
        <v>0</v>
      </c>
      <c r="O274">
        <v>0</v>
      </c>
      <c r="P274">
        <v>0.1947835163156475</v>
      </c>
      <c r="Q274">
        <v>5.5216483684352502E-2</v>
      </c>
      <c r="R274">
        <v>0</v>
      </c>
      <c r="S274">
        <v>0</v>
      </c>
      <c r="T274">
        <v>0</v>
      </c>
      <c r="U274">
        <v>0</v>
      </c>
      <c r="V274">
        <v>0</v>
      </c>
      <c r="W274">
        <v>0</v>
      </c>
      <c r="X274">
        <v>0</v>
      </c>
      <c r="Y274">
        <v>0</v>
      </c>
      <c r="Z274">
        <v>0</v>
      </c>
      <c r="AA274">
        <v>0</v>
      </c>
      <c r="AB274">
        <v>0</v>
      </c>
      <c r="AC274">
        <v>0</v>
      </c>
      <c r="AD274">
        <v>0</v>
      </c>
      <c r="AE274" t="s">
        <v>245</v>
      </c>
      <c r="AF274">
        <v>20</v>
      </c>
      <c r="AG274" t="s">
        <v>197</v>
      </c>
      <c r="AH274">
        <v>46235</v>
      </c>
      <c r="AI274" t="s">
        <v>149</v>
      </c>
    </row>
    <row r="275" spans="1:35" x14ac:dyDescent="0.25">
      <c r="A275" s="1">
        <v>46235</v>
      </c>
      <c r="B275" t="s">
        <v>97</v>
      </c>
      <c r="C275" t="s">
        <v>12</v>
      </c>
      <c r="D275">
        <v>3.8852052481272752</v>
      </c>
      <c r="E275">
        <v>3.8</v>
      </c>
      <c r="F275">
        <v>3.8</v>
      </c>
      <c r="G275">
        <v>3.7508650519031144</v>
      </c>
      <c r="H275">
        <v>0.97806930581895368</v>
      </c>
      <c r="I275">
        <v>0.97806930581895368</v>
      </c>
      <c r="J275">
        <v>0.96542262566722448</v>
      </c>
      <c r="K275">
        <v>0</v>
      </c>
      <c r="L275">
        <v>0</v>
      </c>
      <c r="M275">
        <v>0</v>
      </c>
      <c r="N275">
        <v>0</v>
      </c>
      <c r="O275">
        <v>0</v>
      </c>
      <c r="P275">
        <v>0</v>
      </c>
      <c r="Q275">
        <v>0</v>
      </c>
      <c r="R275">
        <v>0</v>
      </c>
      <c r="S275">
        <v>0</v>
      </c>
      <c r="T275">
        <v>0</v>
      </c>
      <c r="U275">
        <v>2.1930694181046317E-2</v>
      </c>
      <c r="V275">
        <v>0</v>
      </c>
      <c r="W275">
        <v>1.2646680151729206E-2</v>
      </c>
      <c r="X275">
        <v>0</v>
      </c>
      <c r="Y275">
        <v>0.96542262566722448</v>
      </c>
      <c r="Z275">
        <v>0</v>
      </c>
      <c r="AA275">
        <v>0</v>
      </c>
      <c r="AB275">
        <v>0</v>
      </c>
      <c r="AC275">
        <v>0</v>
      </c>
      <c r="AD275">
        <v>0</v>
      </c>
      <c r="AE275" t="s">
        <v>245</v>
      </c>
      <c r="AF275">
        <v>20</v>
      </c>
      <c r="AG275" t="s">
        <v>198</v>
      </c>
      <c r="AH275">
        <v>46235</v>
      </c>
      <c r="AI275" t="s">
        <v>149</v>
      </c>
    </row>
    <row r="276" spans="1:35" x14ac:dyDescent="0.25">
      <c r="A276" s="1">
        <v>46236</v>
      </c>
      <c r="B276" t="s">
        <v>97</v>
      </c>
      <c r="C276" t="s">
        <v>12</v>
      </c>
      <c r="D276">
        <v>0.43650385274292386</v>
      </c>
      <c r="E276">
        <v>0</v>
      </c>
      <c r="F276">
        <v>0</v>
      </c>
      <c r="G276">
        <v>3.7543252595155714</v>
      </c>
      <c r="H276">
        <v>0</v>
      </c>
      <c r="I276">
        <v>0</v>
      </c>
      <c r="J276">
        <v>8.600898333254019</v>
      </c>
      <c r="K276">
        <v>7.600898333254019</v>
      </c>
      <c r="L276">
        <v>0</v>
      </c>
      <c r="M276">
        <v>0</v>
      </c>
      <c r="N276">
        <v>0</v>
      </c>
      <c r="O276">
        <v>0</v>
      </c>
      <c r="P276">
        <v>0</v>
      </c>
      <c r="Q276">
        <v>0</v>
      </c>
      <c r="R276">
        <v>0</v>
      </c>
      <c r="S276">
        <v>0</v>
      </c>
      <c r="T276">
        <v>0</v>
      </c>
      <c r="U276">
        <v>0</v>
      </c>
      <c r="V276">
        <v>0</v>
      </c>
      <c r="W276">
        <v>0</v>
      </c>
      <c r="X276">
        <v>0</v>
      </c>
      <c r="Y276">
        <v>0</v>
      </c>
      <c r="Z276">
        <v>0</v>
      </c>
      <c r="AA276">
        <v>0</v>
      </c>
      <c r="AB276">
        <v>0</v>
      </c>
      <c r="AC276">
        <v>1</v>
      </c>
      <c r="AD276">
        <v>0</v>
      </c>
      <c r="AE276" t="s">
        <v>245</v>
      </c>
      <c r="AF276">
        <v>20</v>
      </c>
      <c r="AG276" t="s">
        <v>200</v>
      </c>
      <c r="AH276">
        <v>46236</v>
      </c>
      <c r="AI276" t="s">
        <v>149</v>
      </c>
    </row>
    <row r="277" spans="1:35" x14ac:dyDescent="0.25">
      <c r="A277" s="1">
        <v>46236</v>
      </c>
      <c r="B277" t="s">
        <v>97</v>
      </c>
      <c r="C277" t="s">
        <v>10</v>
      </c>
      <c r="D277">
        <v>2.6479094008302377</v>
      </c>
      <c r="E277">
        <v>2.8499999999999996</v>
      </c>
      <c r="F277">
        <v>2.8499999999999996</v>
      </c>
      <c r="G277">
        <v>3.8235294117647038</v>
      </c>
      <c r="H277">
        <v>1.0763208133580391</v>
      </c>
      <c r="I277">
        <v>1.0763208133580391</v>
      </c>
      <c r="J277">
        <v>1.4439804513575338</v>
      </c>
      <c r="K277">
        <v>0.36765963799949475</v>
      </c>
      <c r="L277">
        <v>0</v>
      </c>
      <c r="M277">
        <v>0</v>
      </c>
      <c r="N277">
        <v>0</v>
      </c>
      <c r="O277">
        <v>0</v>
      </c>
      <c r="P277">
        <v>0.17367918664196091</v>
      </c>
      <c r="Q277">
        <v>7.6320813358039086E-2</v>
      </c>
      <c r="R277">
        <v>0</v>
      </c>
      <c r="S277">
        <v>0</v>
      </c>
      <c r="T277">
        <v>0</v>
      </c>
      <c r="U277">
        <v>0</v>
      </c>
      <c r="V277">
        <v>0</v>
      </c>
      <c r="W277">
        <v>0</v>
      </c>
      <c r="X277">
        <v>0</v>
      </c>
      <c r="Y277">
        <v>0</v>
      </c>
      <c r="Z277">
        <v>0</v>
      </c>
      <c r="AA277">
        <v>0</v>
      </c>
      <c r="AB277">
        <v>0</v>
      </c>
      <c r="AC277">
        <v>0</v>
      </c>
      <c r="AD277">
        <v>0</v>
      </c>
      <c r="AE277" t="s">
        <v>245</v>
      </c>
      <c r="AF277">
        <v>20</v>
      </c>
      <c r="AG277" t="s">
        <v>202</v>
      </c>
      <c r="AH277">
        <v>46236</v>
      </c>
      <c r="AI277" t="s">
        <v>149</v>
      </c>
    </row>
    <row r="278" spans="1:35" x14ac:dyDescent="0.25">
      <c r="A278" s="1">
        <v>46236</v>
      </c>
      <c r="B278" t="s">
        <v>97</v>
      </c>
      <c r="C278" t="s">
        <v>11</v>
      </c>
      <c r="D278">
        <v>4.1813943233980098</v>
      </c>
      <c r="E278">
        <v>2.8499999999999996</v>
      </c>
      <c r="F278">
        <v>2.8499999999999996</v>
      </c>
      <c r="G278">
        <v>0</v>
      </c>
      <c r="H278">
        <v>0.68159082343708433</v>
      </c>
      <c r="I278">
        <v>0.68159082343708433</v>
      </c>
      <c r="J278">
        <v>0</v>
      </c>
      <c r="K278">
        <v>0</v>
      </c>
      <c r="L278">
        <v>0</v>
      </c>
      <c r="M278">
        <v>0</v>
      </c>
      <c r="N278">
        <v>0</v>
      </c>
      <c r="O278">
        <v>0</v>
      </c>
      <c r="P278">
        <v>0</v>
      </c>
      <c r="Q278">
        <v>0</v>
      </c>
      <c r="R278">
        <v>0</v>
      </c>
      <c r="S278">
        <v>0</v>
      </c>
      <c r="T278">
        <v>0</v>
      </c>
      <c r="U278">
        <v>0.31840917656291567</v>
      </c>
      <c r="V278">
        <v>0</v>
      </c>
      <c r="W278">
        <v>0</v>
      </c>
      <c r="X278">
        <v>0</v>
      </c>
      <c r="Y278">
        <v>0</v>
      </c>
      <c r="Z278">
        <v>0.68159082343708433</v>
      </c>
      <c r="AA278">
        <v>0</v>
      </c>
      <c r="AB278">
        <v>0</v>
      </c>
      <c r="AC278">
        <v>0</v>
      </c>
      <c r="AD278">
        <v>0</v>
      </c>
      <c r="AE278" t="s">
        <v>245</v>
      </c>
      <c r="AF278">
        <v>20</v>
      </c>
      <c r="AG278" t="s">
        <v>201</v>
      </c>
      <c r="AH278">
        <v>46236</v>
      </c>
      <c r="AI278" t="s">
        <v>149</v>
      </c>
    </row>
    <row r="279" spans="1:35" x14ac:dyDescent="0.25">
      <c r="A279" s="1">
        <v>46237</v>
      </c>
      <c r="B279" t="s">
        <v>97</v>
      </c>
      <c r="C279" t="s">
        <v>12</v>
      </c>
      <c r="D279">
        <v>3.8129895371955418</v>
      </c>
      <c r="E279">
        <v>5.6999999999999993</v>
      </c>
      <c r="F279">
        <v>5.6999999999999993</v>
      </c>
      <c r="G279">
        <v>3.7508650519031144</v>
      </c>
      <c r="H279">
        <v>1.4948900185528324</v>
      </c>
      <c r="I279">
        <v>1.4948900185528324</v>
      </c>
      <c r="J279">
        <v>0.98370714509274004</v>
      </c>
      <c r="K279">
        <v>0</v>
      </c>
      <c r="L279">
        <v>0</v>
      </c>
      <c r="M279">
        <v>0.24489001855283243</v>
      </c>
      <c r="N279">
        <v>0</v>
      </c>
      <c r="O279">
        <v>0</v>
      </c>
      <c r="P279">
        <v>0</v>
      </c>
      <c r="Q279">
        <v>0</v>
      </c>
      <c r="R279">
        <v>0</v>
      </c>
      <c r="S279">
        <v>0.25</v>
      </c>
      <c r="T279">
        <v>0</v>
      </c>
      <c r="U279">
        <v>0</v>
      </c>
      <c r="V279">
        <v>0</v>
      </c>
      <c r="W279">
        <v>1.6292854907259957E-2</v>
      </c>
      <c r="X279">
        <v>0</v>
      </c>
      <c r="Y279">
        <v>0.98370714509274004</v>
      </c>
      <c r="Z279">
        <v>0</v>
      </c>
      <c r="AA279">
        <v>0</v>
      </c>
      <c r="AB279">
        <v>0</v>
      </c>
      <c r="AC279">
        <v>0</v>
      </c>
      <c r="AD279">
        <v>0</v>
      </c>
      <c r="AE279" t="s">
        <v>245</v>
      </c>
      <c r="AF279">
        <v>20</v>
      </c>
      <c r="AG279" t="s">
        <v>205</v>
      </c>
      <c r="AH279">
        <v>46237</v>
      </c>
      <c r="AI279" t="s">
        <v>149</v>
      </c>
    </row>
    <row r="280" spans="1:35" x14ac:dyDescent="0.25">
      <c r="A280" s="1">
        <v>46237</v>
      </c>
      <c r="B280" t="s">
        <v>97</v>
      </c>
      <c r="C280" t="s">
        <v>11</v>
      </c>
      <c r="D280">
        <v>3.1774912809962848</v>
      </c>
      <c r="E280">
        <v>0</v>
      </c>
      <c r="F280">
        <v>0</v>
      </c>
      <c r="G280">
        <v>0</v>
      </c>
      <c r="H280">
        <v>0</v>
      </c>
      <c r="I280">
        <v>0</v>
      </c>
      <c r="J280">
        <v>0</v>
      </c>
      <c r="K280">
        <v>0</v>
      </c>
      <c r="L280">
        <v>0</v>
      </c>
      <c r="M280">
        <v>0</v>
      </c>
      <c r="N280">
        <v>0</v>
      </c>
      <c r="O280">
        <v>0</v>
      </c>
      <c r="P280">
        <v>0</v>
      </c>
      <c r="Q280">
        <v>0</v>
      </c>
      <c r="R280">
        <v>0</v>
      </c>
      <c r="S280">
        <v>0</v>
      </c>
      <c r="T280">
        <v>0</v>
      </c>
      <c r="U280">
        <v>1</v>
      </c>
      <c r="V280">
        <v>0</v>
      </c>
      <c r="W280">
        <v>0</v>
      </c>
      <c r="X280">
        <v>0</v>
      </c>
      <c r="Y280">
        <v>0</v>
      </c>
      <c r="Z280">
        <v>0</v>
      </c>
      <c r="AA280">
        <v>0</v>
      </c>
      <c r="AB280">
        <v>0</v>
      </c>
      <c r="AC280">
        <v>0</v>
      </c>
      <c r="AD280">
        <v>0</v>
      </c>
      <c r="AE280" t="s">
        <v>245</v>
      </c>
      <c r="AF280">
        <v>20</v>
      </c>
      <c r="AG280" t="s">
        <v>204</v>
      </c>
      <c r="AH280">
        <v>46237</v>
      </c>
      <c r="AI280" t="s">
        <v>149</v>
      </c>
    </row>
    <row r="281" spans="1:35" x14ac:dyDescent="0.25">
      <c r="A281" s="1">
        <v>46237</v>
      </c>
      <c r="B281" t="s">
        <v>97</v>
      </c>
      <c r="C281" t="s">
        <v>10</v>
      </c>
      <c r="D281">
        <v>1.4404627140516488</v>
      </c>
      <c r="E281">
        <v>0.95</v>
      </c>
      <c r="F281">
        <v>0.95</v>
      </c>
      <c r="G281">
        <v>3.7647058823529393</v>
      </c>
      <c r="H281">
        <v>0.65951030230272034</v>
      </c>
      <c r="I281">
        <v>0.65951030230272034</v>
      </c>
      <c r="J281">
        <v>2.6135392784751756</v>
      </c>
      <c r="K281">
        <v>1.6135392784751756</v>
      </c>
      <c r="L281">
        <v>0</v>
      </c>
      <c r="M281">
        <v>0</v>
      </c>
      <c r="N281">
        <v>0</v>
      </c>
      <c r="O281">
        <v>0</v>
      </c>
      <c r="P281">
        <v>0</v>
      </c>
      <c r="Q281">
        <v>0</v>
      </c>
      <c r="R281">
        <v>0</v>
      </c>
      <c r="S281">
        <v>0</v>
      </c>
      <c r="T281">
        <v>0.34048969769727966</v>
      </c>
      <c r="U281">
        <v>0</v>
      </c>
      <c r="V281">
        <v>0</v>
      </c>
      <c r="W281">
        <v>0</v>
      </c>
      <c r="X281">
        <v>0</v>
      </c>
      <c r="Y281">
        <v>0.65951030230272034</v>
      </c>
      <c r="Z281">
        <v>0</v>
      </c>
      <c r="AA281">
        <v>0</v>
      </c>
      <c r="AB281">
        <v>0</v>
      </c>
      <c r="AC281">
        <v>0</v>
      </c>
      <c r="AD281">
        <v>0</v>
      </c>
      <c r="AE281" t="s">
        <v>245</v>
      </c>
      <c r="AF281">
        <v>20</v>
      </c>
      <c r="AG281" t="s">
        <v>203</v>
      </c>
      <c r="AH281">
        <v>46237</v>
      </c>
      <c r="AI281" t="s">
        <v>149</v>
      </c>
    </row>
    <row r="282" spans="1:35" x14ac:dyDescent="0.25">
      <c r="A282" s="1">
        <v>46238</v>
      </c>
      <c r="B282" t="s">
        <v>97</v>
      </c>
      <c r="C282" t="s">
        <v>12</v>
      </c>
      <c r="D282">
        <v>3.4876749536649694</v>
      </c>
      <c r="E282">
        <v>2.8499999999999996</v>
      </c>
      <c r="F282">
        <v>2.8499999999999996</v>
      </c>
      <c r="G282">
        <v>2.8685121107266438</v>
      </c>
      <c r="H282">
        <v>0.81716330732172193</v>
      </c>
      <c r="I282">
        <v>0.81716330732172193</v>
      </c>
      <c r="J282">
        <v>0.8224711731557186</v>
      </c>
      <c r="K282">
        <v>0</v>
      </c>
      <c r="L282">
        <v>0</v>
      </c>
      <c r="M282">
        <v>0</v>
      </c>
      <c r="N282">
        <v>0</v>
      </c>
      <c r="O282">
        <v>0</v>
      </c>
      <c r="P282">
        <v>0</v>
      </c>
      <c r="Q282">
        <v>0</v>
      </c>
      <c r="R282">
        <v>0</v>
      </c>
      <c r="S282">
        <v>0</v>
      </c>
      <c r="T282">
        <v>5.3078658339966722E-3</v>
      </c>
      <c r="U282">
        <v>0.1775288268442814</v>
      </c>
      <c r="V282">
        <v>0</v>
      </c>
      <c r="W282">
        <v>0</v>
      </c>
      <c r="X282">
        <v>0</v>
      </c>
      <c r="Y282">
        <v>0.81716330732172193</v>
      </c>
      <c r="Z282">
        <v>0</v>
      </c>
      <c r="AA282">
        <v>0</v>
      </c>
      <c r="AB282">
        <v>0</v>
      </c>
      <c r="AC282">
        <v>0</v>
      </c>
      <c r="AD282">
        <v>0</v>
      </c>
      <c r="AE282" t="s">
        <v>245</v>
      </c>
      <c r="AF282">
        <v>20</v>
      </c>
      <c r="AG282" t="s">
        <v>206</v>
      </c>
      <c r="AH282">
        <v>46238</v>
      </c>
      <c r="AI282" t="s">
        <v>149</v>
      </c>
    </row>
    <row r="283" spans="1:35" x14ac:dyDescent="0.25">
      <c r="A283" s="1">
        <v>46238</v>
      </c>
      <c r="B283" t="s">
        <v>97</v>
      </c>
      <c r="C283" t="s">
        <v>10</v>
      </c>
      <c r="D283">
        <v>1.8586615665182564</v>
      </c>
      <c r="E283">
        <v>1.9</v>
      </c>
      <c r="F283">
        <v>1.9</v>
      </c>
      <c r="G283">
        <v>3.7647058823529398</v>
      </c>
      <c r="H283">
        <v>1.0222409685692166</v>
      </c>
      <c r="I283">
        <v>1.0222409685692166</v>
      </c>
      <c r="J283">
        <v>2.0254929408182614</v>
      </c>
      <c r="K283">
        <v>1.0032519722490447</v>
      </c>
      <c r="L283">
        <v>0</v>
      </c>
      <c r="M283">
        <v>0</v>
      </c>
      <c r="N283">
        <v>0</v>
      </c>
      <c r="O283">
        <v>0</v>
      </c>
      <c r="P283">
        <v>0.22775903143078335</v>
      </c>
      <c r="Q283">
        <v>2.2240968569216646E-2</v>
      </c>
      <c r="R283">
        <v>0</v>
      </c>
      <c r="S283">
        <v>0</v>
      </c>
      <c r="T283">
        <v>0</v>
      </c>
      <c r="U283">
        <v>0</v>
      </c>
      <c r="V283">
        <v>0</v>
      </c>
      <c r="W283">
        <v>0</v>
      </c>
      <c r="X283">
        <v>0</v>
      </c>
      <c r="Y283">
        <v>0</v>
      </c>
      <c r="Z283">
        <v>0</v>
      </c>
      <c r="AA283">
        <v>0</v>
      </c>
      <c r="AB283">
        <v>0</v>
      </c>
      <c r="AC283">
        <v>0</v>
      </c>
      <c r="AD283">
        <v>0</v>
      </c>
      <c r="AE283" t="s">
        <v>245</v>
      </c>
      <c r="AF283">
        <v>20</v>
      </c>
      <c r="AG283" t="s">
        <v>208</v>
      </c>
      <c r="AH283">
        <v>46238</v>
      </c>
      <c r="AI283" t="s">
        <v>149</v>
      </c>
    </row>
    <row r="284" spans="1:35" x14ac:dyDescent="0.25">
      <c r="A284" s="1">
        <v>46238</v>
      </c>
      <c r="B284" t="s">
        <v>97</v>
      </c>
      <c r="C284" t="s">
        <v>11</v>
      </c>
      <c r="D284">
        <v>50.416194991807707</v>
      </c>
      <c r="E284">
        <v>12.35</v>
      </c>
      <c r="F284">
        <v>12.35</v>
      </c>
      <c r="G284">
        <v>0</v>
      </c>
      <c r="H284">
        <v>0.24496096942672471</v>
      </c>
      <c r="I284">
        <v>0.24496096942672471</v>
      </c>
      <c r="J284">
        <v>0</v>
      </c>
      <c r="K284">
        <v>0</v>
      </c>
      <c r="L284">
        <v>0</v>
      </c>
      <c r="M284">
        <v>0</v>
      </c>
      <c r="N284">
        <v>0</v>
      </c>
      <c r="O284">
        <v>0</v>
      </c>
      <c r="P284">
        <v>0</v>
      </c>
      <c r="Q284">
        <v>0</v>
      </c>
      <c r="R284">
        <v>0</v>
      </c>
      <c r="S284">
        <v>0</v>
      </c>
      <c r="T284">
        <v>0</v>
      </c>
      <c r="U284">
        <v>0.75503903057327526</v>
      </c>
      <c r="V284">
        <v>0</v>
      </c>
      <c r="W284">
        <v>0</v>
      </c>
      <c r="X284">
        <v>0</v>
      </c>
      <c r="Y284">
        <v>0</v>
      </c>
      <c r="Z284">
        <v>0.24496096942672471</v>
      </c>
      <c r="AA284">
        <v>0</v>
      </c>
      <c r="AB284">
        <v>0</v>
      </c>
      <c r="AC284">
        <v>0</v>
      </c>
      <c r="AD284">
        <v>0</v>
      </c>
      <c r="AE284" t="s">
        <v>245</v>
      </c>
      <c r="AF284">
        <v>20</v>
      </c>
      <c r="AG284" t="s">
        <v>207</v>
      </c>
      <c r="AH284">
        <v>46238</v>
      </c>
      <c r="AI284" t="s">
        <v>149</v>
      </c>
    </row>
    <row r="285" spans="1:35" x14ac:dyDescent="0.25">
      <c r="A285" s="1">
        <v>46239</v>
      </c>
      <c r="B285" t="s">
        <v>97</v>
      </c>
      <c r="C285" t="s">
        <v>10</v>
      </c>
      <c r="D285">
        <v>2.8053526625012242</v>
      </c>
      <c r="E285">
        <v>2.8499999999999996</v>
      </c>
      <c r="F285">
        <v>2.8499999999999996</v>
      </c>
      <c r="G285">
        <v>3.7647058823529393</v>
      </c>
      <c r="H285">
        <v>1.0159150534246801</v>
      </c>
      <c r="I285">
        <v>1.0159150534246801</v>
      </c>
      <c r="J285">
        <v>1.3419724131925594</v>
      </c>
      <c r="K285">
        <v>0.32605735976787931</v>
      </c>
      <c r="L285">
        <v>0</v>
      </c>
      <c r="M285">
        <v>0</v>
      </c>
      <c r="N285">
        <v>0</v>
      </c>
      <c r="O285">
        <v>0</v>
      </c>
      <c r="P285">
        <v>0.23408494657531986</v>
      </c>
      <c r="Q285">
        <v>1.5915053424680137E-2</v>
      </c>
      <c r="R285">
        <v>0</v>
      </c>
      <c r="S285">
        <v>0</v>
      </c>
      <c r="T285">
        <v>0</v>
      </c>
      <c r="U285">
        <v>0</v>
      </c>
      <c r="V285">
        <v>0</v>
      </c>
      <c r="W285">
        <v>0</v>
      </c>
      <c r="X285">
        <v>0</v>
      </c>
      <c r="Y285">
        <v>0</v>
      </c>
      <c r="Z285">
        <v>0</v>
      </c>
      <c r="AA285">
        <v>0</v>
      </c>
      <c r="AB285">
        <v>0</v>
      </c>
      <c r="AC285">
        <v>0</v>
      </c>
      <c r="AD285">
        <v>0</v>
      </c>
      <c r="AE285" t="s">
        <v>245</v>
      </c>
      <c r="AF285">
        <v>20</v>
      </c>
      <c r="AG285" t="s">
        <v>211</v>
      </c>
      <c r="AH285">
        <v>46239</v>
      </c>
      <c r="AI285" t="s">
        <v>149</v>
      </c>
    </row>
    <row r="286" spans="1:35" x14ac:dyDescent="0.25">
      <c r="A286" s="1">
        <v>46239</v>
      </c>
      <c r="B286" t="s">
        <v>97</v>
      </c>
      <c r="C286" t="s">
        <v>11</v>
      </c>
      <c r="D286">
        <v>6.7521689721171034</v>
      </c>
      <c r="E286">
        <v>5.6999999999999993</v>
      </c>
      <c r="F286">
        <v>5.6999999999999993</v>
      </c>
      <c r="G286">
        <v>0</v>
      </c>
      <c r="H286">
        <v>0.844173186947482</v>
      </c>
      <c r="I286">
        <v>0.844173186947482</v>
      </c>
      <c r="J286">
        <v>0</v>
      </c>
      <c r="K286">
        <v>0</v>
      </c>
      <c r="L286">
        <v>0</v>
      </c>
      <c r="M286">
        <v>0</v>
      </c>
      <c r="N286">
        <v>0</v>
      </c>
      <c r="O286">
        <v>0</v>
      </c>
      <c r="P286">
        <v>0</v>
      </c>
      <c r="Q286">
        <v>0</v>
      </c>
      <c r="R286">
        <v>0</v>
      </c>
      <c r="S286">
        <v>0</v>
      </c>
      <c r="T286">
        <v>0</v>
      </c>
      <c r="U286">
        <v>0.155826813052518</v>
      </c>
      <c r="V286">
        <v>0</v>
      </c>
      <c r="W286">
        <v>0</v>
      </c>
      <c r="X286">
        <v>0</v>
      </c>
      <c r="Y286">
        <v>0</v>
      </c>
      <c r="Z286">
        <v>0.844173186947482</v>
      </c>
      <c r="AA286">
        <v>0</v>
      </c>
      <c r="AB286">
        <v>0</v>
      </c>
      <c r="AC286">
        <v>0</v>
      </c>
      <c r="AD286">
        <v>0</v>
      </c>
      <c r="AE286" t="s">
        <v>245</v>
      </c>
      <c r="AF286">
        <v>20</v>
      </c>
      <c r="AG286" t="s">
        <v>209</v>
      </c>
      <c r="AH286">
        <v>46239</v>
      </c>
      <c r="AI286" t="s">
        <v>149</v>
      </c>
    </row>
    <row r="287" spans="1:35" x14ac:dyDescent="0.25">
      <c r="A287" s="1">
        <v>46239</v>
      </c>
      <c r="B287" t="s">
        <v>97</v>
      </c>
      <c r="C287" t="s">
        <v>12</v>
      </c>
      <c r="D287">
        <v>1.0534385508167865</v>
      </c>
      <c r="E287">
        <v>0.95</v>
      </c>
      <c r="F287">
        <v>0.95</v>
      </c>
      <c r="G287">
        <v>3.7508650519031144</v>
      </c>
      <c r="H287">
        <v>0.90180865249654552</v>
      </c>
      <c r="I287">
        <v>0.90180865249654552</v>
      </c>
      <c r="J287">
        <v>3.5605921664769822</v>
      </c>
      <c r="K287">
        <v>2.5605921664769822</v>
      </c>
      <c r="L287">
        <v>0</v>
      </c>
      <c r="M287">
        <v>0</v>
      </c>
      <c r="N287">
        <v>0</v>
      </c>
      <c r="O287">
        <v>0</v>
      </c>
      <c r="P287">
        <v>0</v>
      </c>
      <c r="Q287">
        <v>0</v>
      </c>
      <c r="R287">
        <v>0</v>
      </c>
      <c r="S287">
        <v>0</v>
      </c>
      <c r="T287">
        <v>9.8191347503454485E-2</v>
      </c>
      <c r="U287">
        <v>0</v>
      </c>
      <c r="V287">
        <v>0</v>
      </c>
      <c r="W287">
        <v>0</v>
      </c>
      <c r="X287">
        <v>0</v>
      </c>
      <c r="Y287">
        <v>0.90180865249654552</v>
      </c>
      <c r="Z287">
        <v>0</v>
      </c>
      <c r="AA287">
        <v>0</v>
      </c>
      <c r="AB287">
        <v>0</v>
      </c>
      <c r="AC287">
        <v>0</v>
      </c>
      <c r="AD287">
        <v>0</v>
      </c>
      <c r="AE287" t="s">
        <v>245</v>
      </c>
      <c r="AF287">
        <v>20</v>
      </c>
      <c r="AG287" t="s">
        <v>210</v>
      </c>
      <c r="AH287">
        <v>46239</v>
      </c>
      <c r="AI287" t="s">
        <v>149</v>
      </c>
    </row>
    <row r="288" spans="1:35" x14ac:dyDescent="0.25">
      <c r="A288" s="1">
        <v>46240</v>
      </c>
      <c r="B288" t="s">
        <v>97</v>
      </c>
      <c r="C288" t="s">
        <v>10</v>
      </c>
      <c r="D288">
        <v>1.7652729338868247</v>
      </c>
      <c r="E288">
        <v>1.9</v>
      </c>
      <c r="F288">
        <v>1.9</v>
      </c>
      <c r="G288">
        <v>3.7647058823529393</v>
      </c>
      <c r="H288">
        <v>1.0763208133580395</v>
      </c>
      <c r="I288">
        <v>1.0763208133580395</v>
      </c>
      <c r="J288">
        <v>2.1326480512357429</v>
      </c>
      <c r="K288">
        <v>1.0563272378777033</v>
      </c>
      <c r="L288">
        <v>0</v>
      </c>
      <c r="M288">
        <v>0</v>
      </c>
      <c r="N288">
        <v>0</v>
      </c>
      <c r="O288">
        <v>0</v>
      </c>
      <c r="P288">
        <v>0.17367918664196047</v>
      </c>
      <c r="Q288">
        <v>7.632081335803953E-2</v>
      </c>
      <c r="R288">
        <v>0</v>
      </c>
      <c r="S288">
        <v>0</v>
      </c>
      <c r="T288">
        <v>0</v>
      </c>
      <c r="U288">
        <v>0</v>
      </c>
      <c r="V288">
        <v>0</v>
      </c>
      <c r="W288">
        <v>0</v>
      </c>
      <c r="X288">
        <v>0</v>
      </c>
      <c r="Y288">
        <v>0</v>
      </c>
      <c r="Z288">
        <v>0</v>
      </c>
      <c r="AA288">
        <v>0</v>
      </c>
      <c r="AB288">
        <v>0</v>
      </c>
      <c r="AC288">
        <v>0</v>
      </c>
      <c r="AD288">
        <v>0</v>
      </c>
      <c r="AE288" t="s">
        <v>245</v>
      </c>
      <c r="AF288">
        <v>20</v>
      </c>
      <c r="AG288" t="s">
        <v>213</v>
      </c>
      <c r="AH288">
        <v>46240</v>
      </c>
      <c r="AI288" t="s">
        <v>149</v>
      </c>
    </row>
    <row r="289" spans="1:35" x14ac:dyDescent="0.25">
      <c r="A289" s="1">
        <v>46240</v>
      </c>
      <c r="B289" t="s">
        <v>97</v>
      </c>
      <c r="C289" t="s">
        <v>11</v>
      </c>
      <c r="D289">
        <v>4.5594478063819706</v>
      </c>
      <c r="E289">
        <v>3.8</v>
      </c>
      <c r="F289">
        <v>3.8</v>
      </c>
      <c r="G289">
        <v>0</v>
      </c>
      <c r="H289">
        <v>0.83343425813122518</v>
      </c>
      <c r="I289">
        <v>0.83343425813122518</v>
      </c>
      <c r="J289">
        <v>0</v>
      </c>
      <c r="K289">
        <v>0</v>
      </c>
      <c r="L289">
        <v>0</v>
      </c>
      <c r="M289">
        <v>0</v>
      </c>
      <c r="N289">
        <v>0</v>
      </c>
      <c r="O289">
        <v>0</v>
      </c>
      <c r="P289">
        <v>0</v>
      </c>
      <c r="Q289">
        <v>0</v>
      </c>
      <c r="R289">
        <v>0</v>
      </c>
      <c r="S289">
        <v>0</v>
      </c>
      <c r="T289">
        <v>0</v>
      </c>
      <c r="U289">
        <v>0.16656574186877482</v>
      </c>
      <c r="V289">
        <v>0</v>
      </c>
      <c r="W289">
        <v>0</v>
      </c>
      <c r="X289">
        <v>0</v>
      </c>
      <c r="Y289">
        <v>0</v>
      </c>
      <c r="Z289">
        <v>0.83343425813122518</v>
      </c>
      <c r="AA289">
        <v>0</v>
      </c>
      <c r="AB289">
        <v>0</v>
      </c>
      <c r="AC289">
        <v>0</v>
      </c>
      <c r="AD289">
        <v>0</v>
      </c>
      <c r="AE289" t="s">
        <v>245</v>
      </c>
      <c r="AF289">
        <v>20</v>
      </c>
      <c r="AG289" t="s">
        <v>212</v>
      </c>
      <c r="AH289">
        <v>46240</v>
      </c>
      <c r="AI289" t="s">
        <v>149</v>
      </c>
    </row>
    <row r="290" spans="1:35" x14ac:dyDescent="0.25">
      <c r="A290" s="1">
        <v>46240</v>
      </c>
      <c r="B290" t="s">
        <v>97</v>
      </c>
      <c r="C290" t="s">
        <v>12</v>
      </c>
      <c r="D290">
        <v>0.84733100826567587</v>
      </c>
      <c r="E290">
        <v>0.95</v>
      </c>
      <c r="F290">
        <v>0.95</v>
      </c>
      <c r="G290">
        <v>3.7508650519031144</v>
      </c>
      <c r="H290">
        <v>1.1211675139146244</v>
      </c>
      <c r="I290">
        <v>1.1211675139146244</v>
      </c>
      <c r="J290">
        <v>4.4266821529173308</v>
      </c>
      <c r="K290">
        <v>3.3055146390027064</v>
      </c>
      <c r="L290">
        <v>0</v>
      </c>
      <c r="M290">
        <v>0</v>
      </c>
      <c r="N290">
        <v>0</v>
      </c>
      <c r="O290">
        <v>0</v>
      </c>
      <c r="P290">
        <v>0.12883248608537556</v>
      </c>
      <c r="Q290">
        <v>0.12116751391462444</v>
      </c>
      <c r="R290">
        <v>0</v>
      </c>
      <c r="S290">
        <v>0</v>
      </c>
      <c r="T290">
        <v>0</v>
      </c>
      <c r="U290">
        <v>0</v>
      </c>
      <c r="V290">
        <v>0</v>
      </c>
      <c r="W290">
        <v>0</v>
      </c>
      <c r="X290">
        <v>0</v>
      </c>
      <c r="Y290">
        <v>0</v>
      </c>
      <c r="Z290">
        <v>0</v>
      </c>
      <c r="AA290">
        <v>0</v>
      </c>
      <c r="AB290">
        <v>0</v>
      </c>
      <c r="AC290">
        <v>0</v>
      </c>
      <c r="AD290">
        <v>0</v>
      </c>
      <c r="AE290" t="s">
        <v>245</v>
      </c>
      <c r="AF290">
        <v>20</v>
      </c>
      <c r="AG290" t="s">
        <v>214</v>
      </c>
      <c r="AH290">
        <v>46240</v>
      </c>
      <c r="AI290" t="s">
        <v>149</v>
      </c>
    </row>
    <row r="291" spans="1:35" x14ac:dyDescent="0.25">
      <c r="A291" s="1">
        <v>46241</v>
      </c>
      <c r="B291" t="s">
        <v>97</v>
      </c>
      <c r="C291" t="s">
        <v>10</v>
      </c>
      <c r="D291">
        <v>3.6011567851291222</v>
      </c>
      <c r="E291">
        <v>3.8</v>
      </c>
      <c r="F291">
        <v>3.8</v>
      </c>
      <c r="G291">
        <v>3.7647058823529398</v>
      </c>
      <c r="H291">
        <v>1.0552164836843525</v>
      </c>
      <c r="I291">
        <v>1.0552164836843525</v>
      </c>
      <c r="J291">
        <v>1.0454157113900704</v>
      </c>
      <c r="K291">
        <v>0</v>
      </c>
      <c r="L291">
        <v>0</v>
      </c>
      <c r="M291">
        <v>0</v>
      </c>
      <c r="N291">
        <v>0</v>
      </c>
      <c r="O291">
        <v>0</v>
      </c>
      <c r="P291">
        <v>0</v>
      </c>
      <c r="Q291">
        <v>4.541571139007039E-2</v>
      </c>
      <c r="R291">
        <v>0</v>
      </c>
      <c r="S291">
        <v>9.8007722942821118E-3</v>
      </c>
      <c r="T291">
        <v>0</v>
      </c>
      <c r="U291">
        <v>0</v>
      </c>
      <c r="V291">
        <v>0</v>
      </c>
      <c r="W291">
        <v>0</v>
      </c>
      <c r="X291">
        <v>0</v>
      </c>
      <c r="Y291">
        <v>1</v>
      </c>
      <c r="Z291">
        <v>0</v>
      </c>
      <c r="AA291">
        <v>0</v>
      </c>
      <c r="AB291">
        <v>0</v>
      </c>
      <c r="AC291">
        <v>0</v>
      </c>
      <c r="AD291">
        <v>0</v>
      </c>
      <c r="AE291" t="s">
        <v>245</v>
      </c>
      <c r="AF291">
        <v>20</v>
      </c>
      <c r="AG291" t="s">
        <v>217</v>
      </c>
      <c r="AH291">
        <v>46241</v>
      </c>
      <c r="AI291" t="s">
        <v>149</v>
      </c>
    </row>
    <row r="292" spans="1:35" x14ac:dyDescent="0.25">
      <c r="A292" s="1">
        <v>46241</v>
      </c>
      <c r="B292" t="s">
        <v>97</v>
      </c>
      <c r="C292" t="s">
        <v>12</v>
      </c>
      <c r="D292">
        <v>3.1774912809962848</v>
      </c>
      <c r="E292">
        <v>2.8499999999999996</v>
      </c>
      <c r="F292">
        <v>2.8499999999999996</v>
      </c>
      <c r="G292">
        <v>3.7508650519031144</v>
      </c>
      <c r="H292">
        <v>0.89693401113169946</v>
      </c>
      <c r="I292">
        <v>0.89693401113169946</v>
      </c>
      <c r="J292">
        <v>1.180448574111288</v>
      </c>
      <c r="K292">
        <v>0.18044857411128801</v>
      </c>
      <c r="L292">
        <v>0</v>
      </c>
      <c r="M292">
        <v>0</v>
      </c>
      <c r="N292">
        <v>0</v>
      </c>
      <c r="O292">
        <v>0</v>
      </c>
      <c r="P292">
        <v>0</v>
      </c>
      <c r="Q292">
        <v>0</v>
      </c>
      <c r="R292">
        <v>0</v>
      </c>
      <c r="S292">
        <v>0</v>
      </c>
      <c r="T292">
        <v>0.10306598886830054</v>
      </c>
      <c r="U292">
        <v>0</v>
      </c>
      <c r="V292">
        <v>0</v>
      </c>
      <c r="W292">
        <v>0</v>
      </c>
      <c r="X292">
        <v>0</v>
      </c>
      <c r="Y292">
        <v>0.89693401113169946</v>
      </c>
      <c r="Z292">
        <v>0</v>
      </c>
      <c r="AA292">
        <v>0</v>
      </c>
      <c r="AB292">
        <v>0</v>
      </c>
      <c r="AC292">
        <v>0</v>
      </c>
      <c r="AD292">
        <v>0</v>
      </c>
      <c r="AE292" t="s">
        <v>245</v>
      </c>
      <c r="AF292">
        <v>20</v>
      </c>
      <c r="AG292" t="s">
        <v>215</v>
      </c>
      <c r="AH292">
        <v>46241</v>
      </c>
      <c r="AI292" t="s">
        <v>149</v>
      </c>
    </row>
    <row r="293" spans="1:35" x14ac:dyDescent="0.25">
      <c r="A293" s="1">
        <v>46242</v>
      </c>
      <c r="B293" t="s">
        <v>97</v>
      </c>
      <c r="C293" t="s">
        <v>11</v>
      </c>
      <c r="D293">
        <v>0.22696366292830608</v>
      </c>
      <c r="E293">
        <v>0</v>
      </c>
      <c r="F293">
        <v>0</v>
      </c>
      <c r="G293">
        <v>0</v>
      </c>
      <c r="H293">
        <v>0</v>
      </c>
      <c r="I293">
        <v>0</v>
      </c>
      <c r="J293">
        <v>0</v>
      </c>
      <c r="K293">
        <v>0</v>
      </c>
      <c r="L293">
        <v>0</v>
      </c>
      <c r="M293">
        <v>0</v>
      </c>
      <c r="N293">
        <v>0</v>
      </c>
      <c r="O293">
        <v>0</v>
      </c>
      <c r="P293">
        <v>0</v>
      </c>
      <c r="Q293">
        <v>0</v>
      </c>
      <c r="R293">
        <v>0</v>
      </c>
      <c r="S293">
        <v>0</v>
      </c>
      <c r="T293">
        <v>0</v>
      </c>
      <c r="U293">
        <v>1</v>
      </c>
      <c r="V293">
        <v>0</v>
      </c>
      <c r="W293">
        <v>0</v>
      </c>
      <c r="X293">
        <v>0</v>
      </c>
      <c r="Y293">
        <v>0</v>
      </c>
      <c r="Z293">
        <v>0</v>
      </c>
      <c r="AA293">
        <v>0</v>
      </c>
      <c r="AB293">
        <v>0</v>
      </c>
      <c r="AC293">
        <v>0</v>
      </c>
      <c r="AD293">
        <v>0</v>
      </c>
      <c r="AE293" t="s">
        <v>245</v>
      </c>
      <c r="AF293">
        <v>20</v>
      </c>
      <c r="AG293" t="s">
        <v>220</v>
      </c>
      <c r="AH293">
        <v>46242</v>
      </c>
      <c r="AI293" t="s">
        <v>149</v>
      </c>
    </row>
    <row r="294" spans="1:35" x14ac:dyDescent="0.25">
      <c r="A294" s="1">
        <v>46242</v>
      </c>
      <c r="B294" t="s">
        <v>97</v>
      </c>
      <c r="C294" t="s">
        <v>12</v>
      </c>
      <c r="D294">
        <v>4.289613229344984</v>
      </c>
      <c r="E294">
        <v>3.8</v>
      </c>
      <c r="F294">
        <v>3.8</v>
      </c>
      <c r="G294">
        <v>3.7508650519031144</v>
      </c>
      <c r="H294">
        <v>0.885860751735012</v>
      </c>
      <c r="I294">
        <v>0.885860751735012</v>
      </c>
      <c r="J294">
        <v>0.87440635119354682</v>
      </c>
      <c r="K294">
        <v>0</v>
      </c>
      <c r="L294">
        <v>0</v>
      </c>
      <c r="M294">
        <v>0</v>
      </c>
      <c r="N294">
        <v>0</v>
      </c>
      <c r="O294">
        <v>0</v>
      </c>
      <c r="P294">
        <v>0</v>
      </c>
      <c r="Q294">
        <v>0</v>
      </c>
      <c r="R294">
        <v>0</v>
      </c>
      <c r="S294">
        <v>0</v>
      </c>
      <c r="T294">
        <v>0</v>
      </c>
      <c r="U294">
        <v>0.114139248264988</v>
      </c>
      <c r="V294">
        <v>0</v>
      </c>
      <c r="W294">
        <v>1.1454400541465182E-2</v>
      </c>
      <c r="X294">
        <v>0</v>
      </c>
      <c r="Y294">
        <v>0.87440635119354682</v>
      </c>
      <c r="Z294">
        <v>0</v>
      </c>
      <c r="AA294">
        <v>0</v>
      </c>
      <c r="AB294">
        <v>0</v>
      </c>
      <c r="AC294">
        <v>0</v>
      </c>
      <c r="AD294">
        <v>0</v>
      </c>
      <c r="AE294" t="s">
        <v>245</v>
      </c>
      <c r="AF294">
        <v>20</v>
      </c>
      <c r="AG294" t="s">
        <v>218</v>
      </c>
      <c r="AH294">
        <v>46242</v>
      </c>
      <c r="AI294" t="s">
        <v>149</v>
      </c>
    </row>
    <row r="295" spans="1:35" x14ac:dyDescent="0.25">
      <c r="A295" s="1">
        <v>46243</v>
      </c>
      <c r="B295" t="s">
        <v>97</v>
      </c>
      <c r="C295" t="s">
        <v>10</v>
      </c>
      <c r="D295">
        <v>19.488613190110549</v>
      </c>
      <c r="E295">
        <v>2.8499999999999996</v>
      </c>
      <c r="F295">
        <v>2.8499999999999996</v>
      </c>
      <c r="G295">
        <v>3.7647058823529393</v>
      </c>
      <c r="H295">
        <v>0.14623924094538576</v>
      </c>
      <c r="I295">
        <v>0.14623924094538576</v>
      </c>
      <c r="J295">
        <v>0.19317464232207812</v>
      </c>
      <c r="K295">
        <v>0</v>
      </c>
      <c r="L295">
        <v>0</v>
      </c>
      <c r="M295">
        <v>0</v>
      </c>
      <c r="N295">
        <v>0</v>
      </c>
      <c r="O295">
        <v>0</v>
      </c>
      <c r="P295">
        <v>0</v>
      </c>
      <c r="Q295">
        <v>0</v>
      </c>
      <c r="R295">
        <v>0</v>
      </c>
      <c r="S295">
        <v>0</v>
      </c>
      <c r="T295">
        <v>4.6935401376692359E-2</v>
      </c>
      <c r="U295">
        <v>0.80682535767792185</v>
      </c>
      <c r="V295">
        <v>0</v>
      </c>
      <c r="W295">
        <v>0</v>
      </c>
      <c r="X295">
        <v>0</v>
      </c>
      <c r="Y295">
        <v>0.14623924094538576</v>
      </c>
      <c r="Z295">
        <v>0</v>
      </c>
      <c r="AA295">
        <v>0</v>
      </c>
      <c r="AB295">
        <v>0</v>
      </c>
      <c r="AC295">
        <v>0</v>
      </c>
      <c r="AD295">
        <v>0</v>
      </c>
      <c r="AE295" t="s">
        <v>245</v>
      </c>
      <c r="AF295">
        <v>20</v>
      </c>
      <c r="AG295" t="s">
        <v>222</v>
      </c>
      <c r="AH295">
        <v>46243</v>
      </c>
      <c r="AI295" t="s">
        <v>149</v>
      </c>
    </row>
    <row r="296" spans="1:35" x14ac:dyDescent="0.25">
      <c r="A296" s="1">
        <v>46244</v>
      </c>
      <c r="B296" t="s">
        <v>97</v>
      </c>
      <c r="C296" t="s">
        <v>12</v>
      </c>
      <c r="D296">
        <v>4.4908543438080812</v>
      </c>
      <c r="E296">
        <v>3.8</v>
      </c>
      <c r="F296">
        <v>3.8</v>
      </c>
      <c r="G296">
        <v>3.7508650519031144</v>
      </c>
      <c r="H296">
        <v>0.84616416144499973</v>
      </c>
      <c r="I296">
        <v>0.84616416144499973</v>
      </c>
      <c r="J296">
        <v>0.83522304772025113</v>
      </c>
      <c r="K296">
        <v>0</v>
      </c>
      <c r="L296">
        <v>0</v>
      </c>
      <c r="M296">
        <v>0</v>
      </c>
      <c r="N296">
        <v>0</v>
      </c>
      <c r="O296">
        <v>0</v>
      </c>
      <c r="P296">
        <v>0</v>
      </c>
      <c r="Q296">
        <v>0</v>
      </c>
      <c r="R296">
        <v>0</v>
      </c>
      <c r="S296">
        <v>0</v>
      </c>
      <c r="T296">
        <v>0</v>
      </c>
      <c r="U296">
        <v>0.15383583855500027</v>
      </c>
      <c r="V296">
        <v>0</v>
      </c>
      <c r="W296">
        <v>1.0941113724748597E-2</v>
      </c>
      <c r="X296">
        <v>0</v>
      </c>
      <c r="Y296">
        <v>0.83522304772025113</v>
      </c>
      <c r="Z296">
        <v>0</v>
      </c>
      <c r="AA296">
        <v>0</v>
      </c>
      <c r="AB296">
        <v>0</v>
      </c>
      <c r="AC296">
        <v>0</v>
      </c>
      <c r="AD296">
        <v>0</v>
      </c>
      <c r="AE296" t="s">
        <v>245</v>
      </c>
      <c r="AF296">
        <v>20</v>
      </c>
      <c r="AG296" t="s">
        <v>226</v>
      </c>
      <c r="AH296">
        <v>46244</v>
      </c>
      <c r="AI296" t="s">
        <v>149</v>
      </c>
    </row>
    <row r="297" spans="1:35" x14ac:dyDescent="0.25">
      <c r="A297" s="1">
        <v>46244</v>
      </c>
      <c r="B297" t="s">
        <v>97</v>
      </c>
      <c r="C297" t="s">
        <v>11</v>
      </c>
      <c r="D297">
        <v>3.1774912809962848</v>
      </c>
      <c r="E297">
        <v>0</v>
      </c>
      <c r="F297">
        <v>0</v>
      </c>
      <c r="G297">
        <v>0</v>
      </c>
      <c r="H297">
        <v>0</v>
      </c>
      <c r="I297">
        <v>0</v>
      </c>
      <c r="J297">
        <v>0</v>
      </c>
      <c r="K297">
        <v>0</v>
      </c>
      <c r="L297">
        <v>0</v>
      </c>
      <c r="M297">
        <v>0</v>
      </c>
      <c r="N297">
        <v>0</v>
      </c>
      <c r="O297">
        <v>0</v>
      </c>
      <c r="P297">
        <v>0</v>
      </c>
      <c r="Q297">
        <v>0</v>
      </c>
      <c r="R297">
        <v>0</v>
      </c>
      <c r="S297">
        <v>0</v>
      </c>
      <c r="T297">
        <v>0</v>
      </c>
      <c r="U297">
        <v>1</v>
      </c>
      <c r="V297">
        <v>0</v>
      </c>
      <c r="W297">
        <v>0</v>
      </c>
      <c r="X297">
        <v>0</v>
      </c>
      <c r="Y297">
        <v>0</v>
      </c>
      <c r="Z297">
        <v>0</v>
      </c>
      <c r="AA297">
        <v>0</v>
      </c>
      <c r="AB297">
        <v>0</v>
      </c>
      <c r="AC297">
        <v>0</v>
      </c>
      <c r="AD297">
        <v>0</v>
      </c>
      <c r="AE297" t="s">
        <v>245</v>
      </c>
      <c r="AF297">
        <v>20</v>
      </c>
      <c r="AG297" t="s">
        <v>225</v>
      </c>
      <c r="AH297">
        <v>46244</v>
      </c>
      <c r="AI297" t="s">
        <v>149</v>
      </c>
    </row>
    <row r="298" spans="1:35" x14ac:dyDescent="0.25">
      <c r="A298" s="1">
        <v>46245</v>
      </c>
      <c r="B298" t="s">
        <v>97</v>
      </c>
      <c r="C298" t="s">
        <v>10</v>
      </c>
      <c r="D298">
        <v>1.9722359675149352</v>
      </c>
      <c r="E298">
        <v>1.9</v>
      </c>
      <c r="F298">
        <v>1.9</v>
      </c>
      <c r="G298">
        <v>3.7647058823529398</v>
      </c>
      <c r="H298">
        <v>0.96337356751182546</v>
      </c>
      <c r="I298">
        <v>0.96337356751182546</v>
      </c>
      <c r="J298">
        <v>1.9088516507974245</v>
      </c>
      <c r="K298">
        <v>0.90885165079742447</v>
      </c>
      <c r="L298">
        <v>0</v>
      </c>
      <c r="M298">
        <v>0</v>
      </c>
      <c r="N298">
        <v>0</v>
      </c>
      <c r="O298">
        <v>0</v>
      </c>
      <c r="P298">
        <v>0</v>
      </c>
      <c r="Q298">
        <v>0</v>
      </c>
      <c r="R298">
        <v>0</v>
      </c>
      <c r="S298">
        <v>0</v>
      </c>
      <c r="T298">
        <v>3.6626432488174543E-2</v>
      </c>
      <c r="U298">
        <v>0</v>
      </c>
      <c r="V298">
        <v>0</v>
      </c>
      <c r="W298">
        <v>0</v>
      </c>
      <c r="X298">
        <v>0</v>
      </c>
      <c r="Y298">
        <v>0.96337356751182546</v>
      </c>
      <c r="Z298">
        <v>0</v>
      </c>
      <c r="AA298">
        <v>0</v>
      </c>
      <c r="AB298">
        <v>0</v>
      </c>
      <c r="AC298">
        <v>0</v>
      </c>
      <c r="AD298">
        <v>0</v>
      </c>
      <c r="AE298" t="s">
        <v>245</v>
      </c>
      <c r="AF298">
        <v>20</v>
      </c>
      <c r="AG298" t="s">
        <v>228</v>
      </c>
      <c r="AH298">
        <v>46245</v>
      </c>
      <c r="AI298" t="s">
        <v>149</v>
      </c>
    </row>
    <row r="299" spans="1:35" x14ac:dyDescent="0.25">
      <c r="A299" s="1">
        <v>46245</v>
      </c>
      <c r="B299" t="s">
        <v>97</v>
      </c>
      <c r="C299" t="s">
        <v>12</v>
      </c>
      <c r="D299">
        <v>2.9905800291729743</v>
      </c>
      <c r="E299">
        <v>2.8499999999999996</v>
      </c>
      <c r="F299">
        <v>2.8499999999999996</v>
      </c>
      <c r="G299">
        <v>3.7508650519031144</v>
      </c>
      <c r="H299">
        <v>0.95299238682743059</v>
      </c>
      <c r="I299">
        <v>0.95299238682743059</v>
      </c>
      <c r="J299">
        <v>1.2542266099932433</v>
      </c>
      <c r="K299">
        <v>0.25422660999324331</v>
      </c>
      <c r="L299">
        <v>0</v>
      </c>
      <c r="M299">
        <v>0</v>
      </c>
      <c r="N299">
        <v>0</v>
      </c>
      <c r="O299">
        <v>0</v>
      </c>
      <c r="P299">
        <v>0</v>
      </c>
      <c r="Q299">
        <v>0</v>
      </c>
      <c r="R299">
        <v>0</v>
      </c>
      <c r="S299">
        <v>0</v>
      </c>
      <c r="T299">
        <v>4.7007613172569407E-2</v>
      </c>
      <c r="U299">
        <v>0</v>
      </c>
      <c r="V299">
        <v>0</v>
      </c>
      <c r="W299">
        <v>0</v>
      </c>
      <c r="X299">
        <v>0</v>
      </c>
      <c r="Y299">
        <v>0.95299238682743059</v>
      </c>
      <c r="Z299">
        <v>0</v>
      </c>
      <c r="AA299">
        <v>0</v>
      </c>
      <c r="AB299">
        <v>0</v>
      </c>
      <c r="AC299">
        <v>0</v>
      </c>
      <c r="AD299">
        <v>0</v>
      </c>
      <c r="AE299" t="s">
        <v>245</v>
      </c>
      <c r="AF299">
        <v>20</v>
      </c>
      <c r="AG299" t="s">
        <v>227</v>
      </c>
      <c r="AH299">
        <v>46245</v>
      </c>
      <c r="AI299" t="s">
        <v>149</v>
      </c>
    </row>
    <row r="300" spans="1:35" x14ac:dyDescent="0.25">
      <c r="A300" s="1">
        <v>46245</v>
      </c>
      <c r="B300" t="s">
        <v>97</v>
      </c>
      <c r="C300" t="s">
        <v>11</v>
      </c>
      <c r="D300">
        <v>50.416194991807707</v>
      </c>
      <c r="E300">
        <v>11.4</v>
      </c>
      <c r="F300">
        <v>11.4</v>
      </c>
      <c r="G300">
        <v>0</v>
      </c>
      <c r="H300">
        <v>0.22611781793236127</v>
      </c>
      <c r="I300">
        <v>0.22611781793236127</v>
      </c>
      <c r="J300">
        <v>0</v>
      </c>
      <c r="K300">
        <v>0</v>
      </c>
      <c r="L300">
        <v>0</v>
      </c>
      <c r="M300">
        <v>0</v>
      </c>
      <c r="N300">
        <v>0</v>
      </c>
      <c r="O300">
        <v>0</v>
      </c>
      <c r="P300">
        <v>0</v>
      </c>
      <c r="Q300">
        <v>0</v>
      </c>
      <c r="R300">
        <v>0</v>
      </c>
      <c r="S300">
        <v>0</v>
      </c>
      <c r="T300">
        <v>0</v>
      </c>
      <c r="U300">
        <v>0.7738821820676387</v>
      </c>
      <c r="V300">
        <v>0</v>
      </c>
      <c r="W300">
        <v>0</v>
      </c>
      <c r="X300">
        <v>0</v>
      </c>
      <c r="Y300">
        <v>0</v>
      </c>
      <c r="Z300">
        <v>0.22611781793236127</v>
      </c>
      <c r="AA300">
        <v>0</v>
      </c>
      <c r="AB300">
        <v>0</v>
      </c>
      <c r="AC300">
        <v>0</v>
      </c>
      <c r="AD300">
        <v>0</v>
      </c>
      <c r="AE300" t="s">
        <v>245</v>
      </c>
      <c r="AF300">
        <v>20</v>
      </c>
      <c r="AG300" t="s">
        <v>229</v>
      </c>
      <c r="AH300">
        <v>46245</v>
      </c>
      <c r="AI300" t="s">
        <v>149</v>
      </c>
    </row>
    <row r="301" spans="1:35" x14ac:dyDescent="0.25">
      <c r="A301" s="1">
        <v>46246</v>
      </c>
      <c r="B301" t="s">
        <v>97</v>
      </c>
      <c r="C301" t="s">
        <v>10</v>
      </c>
      <c r="D301">
        <v>1.9064947685977705</v>
      </c>
      <c r="E301">
        <v>1.9</v>
      </c>
      <c r="F301">
        <v>1.9</v>
      </c>
      <c r="G301">
        <v>3.7647058823529398</v>
      </c>
      <c r="H301">
        <v>0.99659334570188862</v>
      </c>
      <c r="I301">
        <v>0.99659334570188862</v>
      </c>
      <c r="J301">
        <v>1.9746741215145773</v>
      </c>
      <c r="K301">
        <v>0.97467412151457733</v>
      </c>
      <c r="L301">
        <v>0</v>
      </c>
      <c r="M301">
        <v>0</v>
      </c>
      <c r="N301">
        <v>0</v>
      </c>
      <c r="O301">
        <v>0</v>
      </c>
      <c r="P301">
        <v>0</v>
      </c>
      <c r="Q301">
        <v>0</v>
      </c>
      <c r="R301">
        <v>0</v>
      </c>
      <c r="S301">
        <v>0</v>
      </c>
      <c r="T301">
        <v>3.4066542981113779E-3</v>
      </c>
      <c r="U301">
        <v>0</v>
      </c>
      <c r="V301">
        <v>0</v>
      </c>
      <c r="W301">
        <v>0</v>
      </c>
      <c r="X301">
        <v>0</v>
      </c>
      <c r="Y301">
        <v>0.99659334570188862</v>
      </c>
      <c r="Z301">
        <v>0</v>
      </c>
      <c r="AA301">
        <v>0</v>
      </c>
      <c r="AB301">
        <v>0</v>
      </c>
      <c r="AC301">
        <v>0</v>
      </c>
      <c r="AD301">
        <v>0</v>
      </c>
      <c r="AE301" t="s">
        <v>245</v>
      </c>
      <c r="AF301">
        <v>20</v>
      </c>
      <c r="AG301" t="s">
        <v>230</v>
      </c>
      <c r="AH301">
        <v>46246</v>
      </c>
      <c r="AI301" t="s">
        <v>149</v>
      </c>
    </row>
    <row r="302" spans="1:35" x14ac:dyDescent="0.25">
      <c r="A302" s="1">
        <v>46246</v>
      </c>
      <c r="B302" t="s">
        <v>97</v>
      </c>
      <c r="C302" t="s">
        <v>11</v>
      </c>
      <c r="D302">
        <v>108.03470355387364</v>
      </c>
      <c r="E302">
        <v>11.4</v>
      </c>
      <c r="F302">
        <v>11.4</v>
      </c>
      <c r="G302">
        <v>0</v>
      </c>
      <c r="H302">
        <v>0.10552164836843526</v>
      </c>
      <c r="I302">
        <v>0.10552164836843526</v>
      </c>
      <c r="J302">
        <v>0</v>
      </c>
      <c r="K302">
        <v>0</v>
      </c>
      <c r="L302">
        <v>0</v>
      </c>
      <c r="M302">
        <v>0</v>
      </c>
      <c r="N302">
        <v>0</v>
      </c>
      <c r="O302">
        <v>0</v>
      </c>
      <c r="P302">
        <v>0</v>
      </c>
      <c r="Q302">
        <v>0</v>
      </c>
      <c r="R302">
        <v>0</v>
      </c>
      <c r="S302">
        <v>0</v>
      </c>
      <c r="T302">
        <v>0</v>
      </c>
      <c r="U302">
        <v>0.89447835163156475</v>
      </c>
      <c r="V302">
        <v>0</v>
      </c>
      <c r="W302">
        <v>0</v>
      </c>
      <c r="X302">
        <v>0</v>
      </c>
      <c r="Y302">
        <v>0</v>
      </c>
      <c r="Z302">
        <v>0.10552164836843526</v>
      </c>
      <c r="AA302">
        <v>0</v>
      </c>
      <c r="AB302">
        <v>0</v>
      </c>
      <c r="AC302">
        <v>0</v>
      </c>
      <c r="AD302">
        <v>0</v>
      </c>
      <c r="AE302" t="s">
        <v>245</v>
      </c>
      <c r="AF302">
        <v>20</v>
      </c>
      <c r="AG302" t="s">
        <v>231</v>
      </c>
      <c r="AH302">
        <v>46246</v>
      </c>
      <c r="AI302" t="s">
        <v>149</v>
      </c>
    </row>
    <row r="303" spans="1:35" x14ac:dyDescent="0.25">
      <c r="A303" s="1">
        <v>46246</v>
      </c>
      <c r="B303" t="s">
        <v>97</v>
      </c>
      <c r="C303" t="s">
        <v>12</v>
      </c>
      <c r="D303">
        <v>3.0009639876076024</v>
      </c>
      <c r="E303">
        <v>2.8499999999999996</v>
      </c>
      <c r="F303">
        <v>2.8499999999999996</v>
      </c>
      <c r="G303">
        <v>3.7508650519031144</v>
      </c>
      <c r="H303">
        <v>0.94969483531591703</v>
      </c>
      <c r="I303">
        <v>0.94969483531591703</v>
      </c>
      <c r="J303">
        <v>1.2498867255295991</v>
      </c>
      <c r="K303">
        <v>0.24988672552959912</v>
      </c>
      <c r="L303">
        <v>0</v>
      </c>
      <c r="M303">
        <v>0</v>
      </c>
      <c r="N303">
        <v>0</v>
      </c>
      <c r="O303">
        <v>0</v>
      </c>
      <c r="P303">
        <v>0</v>
      </c>
      <c r="Q303">
        <v>0</v>
      </c>
      <c r="R303">
        <v>0</v>
      </c>
      <c r="S303">
        <v>0</v>
      </c>
      <c r="T303">
        <v>5.030516468408297E-2</v>
      </c>
      <c r="U303">
        <v>0</v>
      </c>
      <c r="V303">
        <v>0</v>
      </c>
      <c r="W303">
        <v>0</v>
      </c>
      <c r="X303">
        <v>0</v>
      </c>
      <c r="Y303">
        <v>0.94969483531591703</v>
      </c>
      <c r="Z303">
        <v>0</v>
      </c>
      <c r="AA303">
        <v>0</v>
      </c>
      <c r="AB303">
        <v>0</v>
      </c>
      <c r="AC303">
        <v>0</v>
      </c>
      <c r="AD303">
        <v>0</v>
      </c>
      <c r="AE303" t="s">
        <v>245</v>
      </c>
      <c r="AF303">
        <v>20</v>
      </c>
      <c r="AG303" t="s">
        <v>232</v>
      </c>
      <c r="AH303">
        <v>46246</v>
      </c>
      <c r="AI303" t="s">
        <v>149</v>
      </c>
    </row>
    <row r="304" spans="1:35" x14ac:dyDescent="0.25">
      <c r="A304" s="1">
        <v>46247</v>
      </c>
      <c r="B304" t="s">
        <v>97</v>
      </c>
      <c r="C304" t="s">
        <v>12</v>
      </c>
      <c r="D304">
        <v>0.52958188016604746</v>
      </c>
      <c r="E304">
        <v>0.95</v>
      </c>
      <c r="F304">
        <v>0.95</v>
      </c>
      <c r="G304">
        <v>3.7508650519031144</v>
      </c>
      <c r="H304">
        <v>1.7938680222633991</v>
      </c>
      <c r="I304">
        <v>1.7938680222633991</v>
      </c>
      <c r="J304">
        <v>7.082691444667728</v>
      </c>
      <c r="K304">
        <v>5.2888234224043291</v>
      </c>
      <c r="L304">
        <v>0</v>
      </c>
      <c r="M304">
        <v>0</v>
      </c>
      <c r="N304">
        <v>0</v>
      </c>
      <c r="O304">
        <v>0.54386802226339914</v>
      </c>
      <c r="P304">
        <v>0</v>
      </c>
      <c r="Q304">
        <v>0.25</v>
      </c>
      <c r="R304">
        <v>0</v>
      </c>
      <c r="S304">
        <v>0</v>
      </c>
      <c r="T304">
        <v>0</v>
      </c>
      <c r="U304">
        <v>0</v>
      </c>
      <c r="V304">
        <v>0</v>
      </c>
      <c r="W304">
        <v>0</v>
      </c>
      <c r="X304">
        <v>0</v>
      </c>
      <c r="Y304">
        <v>1</v>
      </c>
      <c r="Z304">
        <v>0</v>
      </c>
      <c r="AA304">
        <v>0</v>
      </c>
      <c r="AB304">
        <v>0</v>
      </c>
      <c r="AC304">
        <v>0</v>
      </c>
      <c r="AD304">
        <v>0</v>
      </c>
      <c r="AE304" t="s">
        <v>245</v>
      </c>
      <c r="AF304">
        <v>20</v>
      </c>
      <c r="AG304" t="s">
        <v>233</v>
      </c>
      <c r="AH304">
        <v>46247</v>
      </c>
      <c r="AI304" t="s">
        <v>149</v>
      </c>
    </row>
    <row r="305" spans="1:35" x14ac:dyDescent="0.25">
      <c r="A305" s="1">
        <v>46247</v>
      </c>
      <c r="B305" t="s">
        <v>97</v>
      </c>
      <c r="C305" t="s">
        <v>11</v>
      </c>
      <c r="D305">
        <v>52.21677338437226</v>
      </c>
      <c r="E305">
        <v>11.4</v>
      </c>
      <c r="F305">
        <v>11.4</v>
      </c>
      <c r="G305">
        <v>0</v>
      </c>
      <c r="H305">
        <v>0.21832065179676263</v>
      </c>
      <c r="I305">
        <v>0.21832065179676263</v>
      </c>
      <c r="J305">
        <v>0</v>
      </c>
      <c r="K305">
        <v>0</v>
      </c>
      <c r="L305">
        <v>0</v>
      </c>
      <c r="M305">
        <v>0</v>
      </c>
      <c r="N305">
        <v>0</v>
      </c>
      <c r="O305">
        <v>0</v>
      </c>
      <c r="P305">
        <v>0</v>
      </c>
      <c r="Q305">
        <v>0</v>
      </c>
      <c r="R305">
        <v>0</v>
      </c>
      <c r="S305">
        <v>0</v>
      </c>
      <c r="T305">
        <v>0</v>
      </c>
      <c r="U305">
        <v>0.78167934820323737</v>
      </c>
      <c r="V305">
        <v>0</v>
      </c>
      <c r="W305">
        <v>0</v>
      </c>
      <c r="X305">
        <v>0</v>
      </c>
      <c r="Y305">
        <v>0</v>
      </c>
      <c r="Z305">
        <v>0.21832065179676263</v>
      </c>
      <c r="AA305">
        <v>0</v>
      </c>
      <c r="AB305">
        <v>0</v>
      </c>
      <c r="AC305">
        <v>0</v>
      </c>
      <c r="AD305">
        <v>0</v>
      </c>
      <c r="AE305" t="s">
        <v>245</v>
      </c>
      <c r="AF305">
        <v>20</v>
      </c>
      <c r="AG305" t="s">
        <v>234</v>
      </c>
      <c r="AH305">
        <v>46247</v>
      </c>
      <c r="AI305" t="s">
        <v>149</v>
      </c>
    </row>
    <row r="306" spans="1:35" x14ac:dyDescent="0.25">
      <c r="A306" s="1">
        <v>46247</v>
      </c>
      <c r="B306" t="s">
        <v>97</v>
      </c>
      <c r="C306" t="s">
        <v>10</v>
      </c>
      <c r="D306">
        <v>2.6039928546701252</v>
      </c>
      <c r="E306">
        <v>2.8499999999999996</v>
      </c>
      <c r="F306">
        <v>2.8499999999999996</v>
      </c>
      <c r="G306">
        <v>3.7647058823529393</v>
      </c>
      <c r="H306">
        <v>1.0944730492976098</v>
      </c>
      <c r="I306">
        <v>1.0944730492976098</v>
      </c>
      <c r="J306">
        <v>1.4457435532517442</v>
      </c>
      <c r="K306">
        <v>0.35127050395413439</v>
      </c>
      <c r="L306">
        <v>0</v>
      </c>
      <c r="M306">
        <v>0</v>
      </c>
      <c r="N306">
        <v>0</v>
      </c>
      <c r="O306">
        <v>0</v>
      </c>
      <c r="P306">
        <v>0.1555269507023902</v>
      </c>
      <c r="Q306">
        <v>9.4473049297609801E-2</v>
      </c>
      <c r="R306">
        <v>0</v>
      </c>
      <c r="S306">
        <v>0</v>
      </c>
      <c r="T306">
        <v>0</v>
      </c>
      <c r="U306">
        <v>0</v>
      </c>
      <c r="V306">
        <v>0</v>
      </c>
      <c r="W306">
        <v>0</v>
      </c>
      <c r="X306">
        <v>0</v>
      </c>
      <c r="Y306">
        <v>0</v>
      </c>
      <c r="Z306">
        <v>0</v>
      </c>
      <c r="AA306">
        <v>0</v>
      </c>
      <c r="AB306">
        <v>0</v>
      </c>
      <c r="AC306">
        <v>0</v>
      </c>
      <c r="AD306">
        <v>0</v>
      </c>
      <c r="AE306" t="s">
        <v>245</v>
      </c>
      <c r="AF306">
        <v>20</v>
      </c>
      <c r="AG306" t="s">
        <v>235</v>
      </c>
      <c r="AH306">
        <v>46247</v>
      </c>
      <c r="AI306" t="s">
        <v>149</v>
      </c>
    </row>
    <row r="307" spans="1:35" x14ac:dyDescent="0.25">
      <c r="A307" s="1">
        <v>46248</v>
      </c>
      <c r="B307" t="s">
        <v>97</v>
      </c>
      <c r="C307" t="s">
        <v>12</v>
      </c>
      <c r="D307">
        <v>1.7090235590443288</v>
      </c>
      <c r="E307">
        <v>1.9</v>
      </c>
      <c r="F307">
        <v>1.9</v>
      </c>
      <c r="G307">
        <v>3.7508650519031144</v>
      </c>
      <c r="H307">
        <v>1.111745938167443</v>
      </c>
      <c r="I307">
        <v>1.111745938167443</v>
      </c>
      <c r="J307">
        <v>2.1947415716144754</v>
      </c>
      <c r="K307">
        <v>1.0829956334470323</v>
      </c>
      <c r="L307">
        <v>0</v>
      </c>
      <c r="M307">
        <v>0</v>
      </c>
      <c r="N307">
        <v>0</v>
      </c>
      <c r="O307">
        <v>0</v>
      </c>
      <c r="P307">
        <v>0.13825406183255695</v>
      </c>
      <c r="Q307">
        <v>0.11174593816744305</v>
      </c>
      <c r="R307">
        <v>0</v>
      </c>
      <c r="S307">
        <v>0</v>
      </c>
      <c r="T307">
        <v>0</v>
      </c>
      <c r="U307">
        <v>0</v>
      </c>
      <c r="V307">
        <v>0</v>
      </c>
      <c r="W307">
        <v>0</v>
      </c>
      <c r="X307">
        <v>0</v>
      </c>
      <c r="Y307">
        <v>0</v>
      </c>
      <c r="Z307">
        <v>0</v>
      </c>
      <c r="AA307">
        <v>0</v>
      </c>
      <c r="AB307">
        <v>0</v>
      </c>
      <c r="AC307">
        <v>0</v>
      </c>
      <c r="AD307">
        <v>0</v>
      </c>
      <c r="AE307" t="s">
        <v>245</v>
      </c>
      <c r="AF307">
        <v>20</v>
      </c>
      <c r="AG307" t="s">
        <v>236</v>
      </c>
      <c r="AH307">
        <v>46248</v>
      </c>
      <c r="AI307" t="s">
        <v>149</v>
      </c>
    </row>
    <row r="308" spans="1:35" x14ac:dyDescent="0.25">
      <c r="A308" s="1">
        <v>46248</v>
      </c>
      <c r="B308" t="s">
        <v>97</v>
      </c>
      <c r="C308" t="s">
        <v>10</v>
      </c>
      <c r="D308">
        <v>3.2870599458582261</v>
      </c>
      <c r="E308">
        <v>2.8499999999999996</v>
      </c>
      <c r="F308">
        <v>2.8499999999999996</v>
      </c>
      <c r="G308">
        <v>3.7647058823529398</v>
      </c>
      <c r="H308">
        <v>0.86703621076064263</v>
      </c>
      <c r="I308">
        <v>0.86703621076064263</v>
      </c>
      <c r="J308">
        <v>1.1453109904784544</v>
      </c>
      <c r="K308">
        <v>0.14531099047845442</v>
      </c>
      <c r="L308">
        <v>0</v>
      </c>
      <c r="M308">
        <v>0</v>
      </c>
      <c r="N308">
        <v>0</v>
      </c>
      <c r="O308">
        <v>0</v>
      </c>
      <c r="P308">
        <v>0</v>
      </c>
      <c r="Q308">
        <v>0</v>
      </c>
      <c r="R308">
        <v>0</v>
      </c>
      <c r="S308">
        <v>0</v>
      </c>
      <c r="T308">
        <v>0.13296378923935737</v>
      </c>
      <c r="U308">
        <v>0</v>
      </c>
      <c r="V308">
        <v>0</v>
      </c>
      <c r="W308">
        <v>0</v>
      </c>
      <c r="X308">
        <v>0</v>
      </c>
      <c r="Y308">
        <v>0.86703621076064263</v>
      </c>
      <c r="Z308">
        <v>0</v>
      </c>
      <c r="AA308">
        <v>0</v>
      </c>
      <c r="AB308">
        <v>0</v>
      </c>
      <c r="AC308">
        <v>0</v>
      </c>
      <c r="AD308">
        <v>0</v>
      </c>
      <c r="AE308" t="s">
        <v>245</v>
      </c>
      <c r="AF308">
        <v>20</v>
      </c>
      <c r="AG308" t="s">
        <v>238</v>
      </c>
      <c r="AH308">
        <v>46248</v>
      </c>
      <c r="AI308" t="s">
        <v>149</v>
      </c>
    </row>
    <row r="309" spans="1:35" x14ac:dyDescent="0.25">
      <c r="A309" s="1">
        <v>46248</v>
      </c>
      <c r="B309" t="s">
        <v>97</v>
      </c>
      <c r="C309" t="s">
        <v>11</v>
      </c>
      <c r="D309">
        <v>47.874201967010691</v>
      </c>
      <c r="E309">
        <v>11.4</v>
      </c>
      <c r="F309">
        <v>11.4</v>
      </c>
      <c r="G309">
        <v>0</v>
      </c>
      <c r="H309">
        <v>0.2381240737517786</v>
      </c>
      <c r="I309">
        <v>0.2381240737517786</v>
      </c>
      <c r="J309">
        <v>0</v>
      </c>
      <c r="K309">
        <v>0</v>
      </c>
      <c r="L309">
        <v>0</v>
      </c>
      <c r="M309">
        <v>0</v>
      </c>
      <c r="N309">
        <v>0</v>
      </c>
      <c r="O309">
        <v>0</v>
      </c>
      <c r="P309">
        <v>0</v>
      </c>
      <c r="Q309">
        <v>0</v>
      </c>
      <c r="R309">
        <v>0</v>
      </c>
      <c r="S309">
        <v>0</v>
      </c>
      <c r="T309">
        <v>0</v>
      </c>
      <c r="U309">
        <v>0.76187592624822142</v>
      </c>
      <c r="V309">
        <v>0</v>
      </c>
      <c r="W309">
        <v>0</v>
      </c>
      <c r="X309">
        <v>0</v>
      </c>
      <c r="Y309">
        <v>0</v>
      </c>
      <c r="Z309">
        <v>0.2381240737517786</v>
      </c>
      <c r="AA309">
        <v>0</v>
      </c>
      <c r="AB309">
        <v>0</v>
      </c>
      <c r="AC309">
        <v>0</v>
      </c>
      <c r="AD309">
        <v>0</v>
      </c>
      <c r="AE309" t="s">
        <v>245</v>
      </c>
      <c r="AF309">
        <v>20</v>
      </c>
      <c r="AG309" t="s">
        <v>237</v>
      </c>
      <c r="AH309">
        <v>46248</v>
      </c>
      <c r="AI309" t="s">
        <v>149</v>
      </c>
    </row>
    <row r="310" spans="1:35" x14ac:dyDescent="0.25">
      <c r="A310" s="1">
        <v>46249</v>
      </c>
      <c r="B310" t="s">
        <v>97</v>
      </c>
      <c r="C310" t="s">
        <v>11</v>
      </c>
      <c r="D310">
        <v>3.2304494690128895</v>
      </c>
      <c r="E310">
        <v>0.95</v>
      </c>
      <c r="F310">
        <v>0.95</v>
      </c>
      <c r="G310">
        <v>0</v>
      </c>
      <c r="H310">
        <v>0.29407672496121295</v>
      </c>
      <c r="I310">
        <v>0.29407672496121295</v>
      </c>
      <c r="J310">
        <v>0</v>
      </c>
      <c r="K310">
        <v>0</v>
      </c>
      <c r="L310">
        <v>0</v>
      </c>
      <c r="M310">
        <v>0</v>
      </c>
      <c r="N310">
        <v>0</v>
      </c>
      <c r="O310">
        <v>0</v>
      </c>
      <c r="P310">
        <v>0</v>
      </c>
      <c r="Q310">
        <v>0</v>
      </c>
      <c r="R310">
        <v>0</v>
      </c>
      <c r="S310">
        <v>0</v>
      </c>
      <c r="T310">
        <v>0</v>
      </c>
      <c r="U310">
        <v>0.70592327503878705</v>
      </c>
      <c r="V310">
        <v>0</v>
      </c>
      <c r="W310">
        <v>0</v>
      </c>
      <c r="X310">
        <v>0</v>
      </c>
      <c r="Y310">
        <v>0</v>
      </c>
      <c r="Z310">
        <v>0.29407672496121295</v>
      </c>
      <c r="AA310">
        <v>0</v>
      </c>
      <c r="AB310">
        <v>0</v>
      </c>
      <c r="AC310">
        <v>0</v>
      </c>
      <c r="AD310">
        <v>0</v>
      </c>
      <c r="AE310" t="s">
        <v>245</v>
      </c>
      <c r="AF310">
        <v>20</v>
      </c>
      <c r="AG310" t="s">
        <v>240</v>
      </c>
      <c r="AH310">
        <v>46249</v>
      </c>
      <c r="AI310" t="s">
        <v>149</v>
      </c>
    </row>
    <row r="311" spans="1:35" x14ac:dyDescent="0.25">
      <c r="A311" s="1">
        <v>46249</v>
      </c>
      <c r="B311" t="s">
        <v>97</v>
      </c>
      <c r="C311" t="s">
        <v>12</v>
      </c>
      <c r="D311">
        <v>24.191300285985047</v>
      </c>
      <c r="E311">
        <v>3.8</v>
      </c>
      <c r="F311">
        <v>3.8</v>
      </c>
      <c r="G311">
        <v>3.7543252595155714</v>
      </c>
      <c r="H311">
        <v>0.15708126289521884</v>
      </c>
      <c r="I311">
        <v>0.15708126289521884</v>
      </c>
      <c r="J311">
        <v>0.15519319818003321</v>
      </c>
      <c r="K311">
        <v>0</v>
      </c>
      <c r="L311">
        <v>0</v>
      </c>
      <c r="M311">
        <v>0</v>
      </c>
      <c r="N311">
        <v>0</v>
      </c>
      <c r="O311">
        <v>0</v>
      </c>
      <c r="P311">
        <v>0</v>
      </c>
      <c r="Q311">
        <v>0</v>
      </c>
      <c r="R311">
        <v>0</v>
      </c>
      <c r="S311">
        <v>0</v>
      </c>
      <c r="T311">
        <v>0</v>
      </c>
      <c r="U311">
        <v>0.84291873710478116</v>
      </c>
      <c r="V311">
        <v>0</v>
      </c>
      <c r="W311">
        <v>1.8880647151856278E-3</v>
      </c>
      <c r="X311">
        <v>0</v>
      </c>
      <c r="Y311">
        <v>0.15519319818003321</v>
      </c>
      <c r="Z311">
        <v>0</v>
      </c>
      <c r="AA311">
        <v>0</v>
      </c>
      <c r="AB311">
        <v>0</v>
      </c>
      <c r="AC311">
        <v>0</v>
      </c>
      <c r="AD311">
        <v>0</v>
      </c>
      <c r="AE311" t="s">
        <v>245</v>
      </c>
      <c r="AF311">
        <v>20</v>
      </c>
      <c r="AG311" t="s">
        <v>239</v>
      </c>
      <c r="AH311">
        <v>46249</v>
      </c>
      <c r="AI311" t="s">
        <v>149</v>
      </c>
    </row>
    <row r="312" spans="1:35" x14ac:dyDescent="0.25">
      <c r="A312" s="1">
        <v>46250</v>
      </c>
      <c r="B312" t="s">
        <v>97</v>
      </c>
      <c r="C312" t="s">
        <v>11</v>
      </c>
      <c r="D312">
        <v>50.416194991807707</v>
      </c>
      <c r="E312">
        <v>0.95</v>
      </c>
      <c r="F312">
        <v>0.95</v>
      </c>
      <c r="G312">
        <v>0</v>
      </c>
      <c r="H312">
        <v>1.8843151494363438E-2</v>
      </c>
      <c r="I312">
        <v>1.8843151494363438E-2</v>
      </c>
      <c r="J312">
        <v>0</v>
      </c>
      <c r="K312">
        <v>0</v>
      </c>
      <c r="L312">
        <v>0</v>
      </c>
      <c r="M312">
        <v>0</v>
      </c>
      <c r="N312">
        <v>0</v>
      </c>
      <c r="O312">
        <v>0</v>
      </c>
      <c r="P312">
        <v>0</v>
      </c>
      <c r="Q312">
        <v>0</v>
      </c>
      <c r="R312">
        <v>0</v>
      </c>
      <c r="S312">
        <v>0</v>
      </c>
      <c r="T312">
        <v>0</v>
      </c>
      <c r="U312">
        <v>0.98115684850563656</v>
      </c>
      <c r="V312">
        <v>0</v>
      </c>
      <c r="W312">
        <v>0</v>
      </c>
      <c r="X312">
        <v>0</v>
      </c>
      <c r="Y312">
        <v>0</v>
      </c>
      <c r="Z312">
        <v>1.8843151494363438E-2</v>
      </c>
      <c r="AA312">
        <v>0</v>
      </c>
      <c r="AB312">
        <v>0</v>
      </c>
      <c r="AC312">
        <v>0</v>
      </c>
      <c r="AD312">
        <v>0</v>
      </c>
      <c r="AE312" t="s">
        <v>245</v>
      </c>
      <c r="AF312">
        <v>20</v>
      </c>
      <c r="AG312" t="s">
        <v>243</v>
      </c>
      <c r="AH312">
        <v>46250</v>
      </c>
      <c r="AI312" t="s">
        <v>149</v>
      </c>
    </row>
    <row r="313" spans="1:35" x14ac:dyDescent="0.25">
      <c r="A313" s="1">
        <v>46250</v>
      </c>
      <c r="B313" t="s">
        <v>97</v>
      </c>
      <c r="C313" t="s">
        <v>10</v>
      </c>
      <c r="D313">
        <v>2.9528201803197791</v>
      </c>
      <c r="E313">
        <v>2.8499999999999996</v>
      </c>
      <c r="F313">
        <v>2.8499999999999996</v>
      </c>
      <c r="G313">
        <v>3.7647058823529393</v>
      </c>
      <c r="H313">
        <v>0.96517899023954634</v>
      </c>
      <c r="I313">
        <v>0.96517899023954634</v>
      </c>
      <c r="J313">
        <v>1.274952639325716</v>
      </c>
      <c r="K313">
        <v>0.27495263932571601</v>
      </c>
      <c r="L313">
        <v>0</v>
      </c>
      <c r="M313">
        <v>0</v>
      </c>
      <c r="N313">
        <v>0</v>
      </c>
      <c r="O313">
        <v>0</v>
      </c>
      <c r="P313">
        <v>0</v>
      </c>
      <c r="Q313">
        <v>0</v>
      </c>
      <c r="R313">
        <v>0</v>
      </c>
      <c r="S313">
        <v>0</v>
      </c>
      <c r="T313">
        <v>3.4821009760453658E-2</v>
      </c>
      <c r="U313">
        <v>0</v>
      </c>
      <c r="V313">
        <v>0</v>
      </c>
      <c r="W313">
        <v>0</v>
      </c>
      <c r="X313">
        <v>0</v>
      </c>
      <c r="Y313">
        <v>0.96517899023954634</v>
      </c>
      <c r="Z313">
        <v>0</v>
      </c>
      <c r="AA313">
        <v>0</v>
      </c>
      <c r="AB313">
        <v>0</v>
      </c>
      <c r="AC313">
        <v>0</v>
      </c>
      <c r="AD313">
        <v>0</v>
      </c>
      <c r="AE313" t="s">
        <v>245</v>
      </c>
      <c r="AF313">
        <v>20</v>
      </c>
      <c r="AG313" t="s">
        <v>242</v>
      </c>
      <c r="AH313">
        <v>46250</v>
      </c>
      <c r="AI313" t="s">
        <v>149</v>
      </c>
    </row>
    <row r="314" spans="1:35" x14ac:dyDescent="0.25">
      <c r="A314" s="1">
        <v>46223</v>
      </c>
      <c r="B314" t="s">
        <v>97</v>
      </c>
      <c r="C314" t="s">
        <v>12</v>
      </c>
      <c r="D314">
        <v>1.6250606163159054</v>
      </c>
      <c r="E314">
        <v>1.9</v>
      </c>
      <c r="F314">
        <v>1.9</v>
      </c>
      <c r="G314">
        <v>0.82352941176470595</v>
      </c>
      <c r="H314">
        <v>1.1691871558043145</v>
      </c>
      <c r="I314">
        <v>1.1691871558043145</v>
      </c>
      <c r="J314">
        <v>0.50676842666440891</v>
      </c>
      <c r="K314">
        <v>0</v>
      </c>
      <c r="L314">
        <v>0</v>
      </c>
      <c r="M314">
        <v>0</v>
      </c>
      <c r="N314">
        <v>0</v>
      </c>
      <c r="O314">
        <v>0</v>
      </c>
      <c r="P314">
        <v>0</v>
      </c>
      <c r="Q314">
        <v>0</v>
      </c>
      <c r="R314">
        <v>0</v>
      </c>
      <c r="S314">
        <v>0.16918715580431454</v>
      </c>
      <c r="T314">
        <v>0</v>
      </c>
      <c r="U314">
        <v>0</v>
      </c>
      <c r="V314">
        <v>0</v>
      </c>
      <c r="W314">
        <v>0.49323157333559109</v>
      </c>
      <c r="X314">
        <v>0</v>
      </c>
      <c r="Y314">
        <v>0.50676842666440891</v>
      </c>
      <c r="Z314">
        <v>0</v>
      </c>
      <c r="AA314">
        <v>0</v>
      </c>
      <c r="AB314">
        <v>0</v>
      </c>
      <c r="AC314">
        <v>0</v>
      </c>
      <c r="AD314">
        <v>0</v>
      </c>
      <c r="AE314" t="s">
        <v>246</v>
      </c>
      <c r="AF314">
        <v>20</v>
      </c>
      <c r="AG314" t="s">
        <v>162</v>
      </c>
      <c r="AH314">
        <v>46223</v>
      </c>
      <c r="AI314" t="s">
        <v>149</v>
      </c>
    </row>
    <row r="315" spans="1:35" x14ac:dyDescent="0.25">
      <c r="A315" s="1">
        <v>46223</v>
      </c>
      <c r="B315" t="s">
        <v>97</v>
      </c>
      <c r="C315" t="s">
        <v>11</v>
      </c>
      <c r="D315">
        <v>4.2056218107841624E-2</v>
      </c>
      <c r="E315">
        <v>0</v>
      </c>
      <c r="F315">
        <v>0</v>
      </c>
      <c r="G315">
        <v>0</v>
      </c>
      <c r="H315">
        <v>0</v>
      </c>
      <c r="I315">
        <v>0</v>
      </c>
      <c r="J315">
        <v>0</v>
      </c>
      <c r="K315">
        <v>0</v>
      </c>
      <c r="L315">
        <v>0</v>
      </c>
      <c r="M315">
        <v>0</v>
      </c>
      <c r="N315">
        <v>0</v>
      </c>
      <c r="O315">
        <v>0</v>
      </c>
      <c r="P315">
        <v>0</v>
      </c>
      <c r="Q315">
        <v>0</v>
      </c>
      <c r="R315">
        <v>0</v>
      </c>
      <c r="S315">
        <v>0</v>
      </c>
      <c r="T315">
        <v>0</v>
      </c>
      <c r="U315">
        <v>1</v>
      </c>
      <c r="V315">
        <v>0</v>
      </c>
      <c r="W315">
        <v>0</v>
      </c>
      <c r="X315">
        <v>0</v>
      </c>
      <c r="Y315">
        <v>0</v>
      </c>
      <c r="Z315">
        <v>0</v>
      </c>
      <c r="AA315">
        <v>0</v>
      </c>
      <c r="AB315">
        <v>0</v>
      </c>
      <c r="AC315">
        <v>0</v>
      </c>
      <c r="AD315">
        <v>0</v>
      </c>
      <c r="AE315" t="s">
        <v>246</v>
      </c>
      <c r="AF315">
        <v>20</v>
      </c>
      <c r="AG315" t="s">
        <v>161</v>
      </c>
      <c r="AH315">
        <v>46223</v>
      </c>
      <c r="AI315" t="s">
        <v>149</v>
      </c>
    </row>
    <row r="316" spans="1:35" x14ac:dyDescent="0.25">
      <c r="A316" s="1">
        <v>46223</v>
      </c>
      <c r="B316" t="s">
        <v>97</v>
      </c>
      <c r="C316" t="s">
        <v>10</v>
      </c>
      <c r="D316">
        <v>1.6621192523988011</v>
      </c>
      <c r="E316">
        <v>0.95</v>
      </c>
      <c r="F316">
        <v>0.95</v>
      </c>
      <c r="G316">
        <v>0</v>
      </c>
      <c r="H316">
        <v>0.57155947061496493</v>
      </c>
      <c r="I316">
        <v>0.57155947061496493</v>
      </c>
      <c r="J316">
        <v>0</v>
      </c>
      <c r="K316">
        <v>0</v>
      </c>
      <c r="L316">
        <v>0</v>
      </c>
      <c r="M316">
        <v>0</v>
      </c>
      <c r="N316">
        <v>0</v>
      </c>
      <c r="O316">
        <v>0</v>
      </c>
      <c r="P316">
        <v>0</v>
      </c>
      <c r="Q316">
        <v>0</v>
      </c>
      <c r="R316">
        <v>0</v>
      </c>
      <c r="S316">
        <v>0</v>
      </c>
      <c r="T316">
        <v>0</v>
      </c>
      <c r="U316">
        <v>0.42844052938503507</v>
      </c>
      <c r="V316">
        <v>0</v>
      </c>
      <c r="W316">
        <v>0</v>
      </c>
      <c r="X316">
        <v>0</v>
      </c>
      <c r="Y316">
        <v>0</v>
      </c>
      <c r="Z316">
        <v>0.57155947061496493</v>
      </c>
      <c r="AA316">
        <v>0</v>
      </c>
      <c r="AB316">
        <v>0</v>
      </c>
      <c r="AC316">
        <v>0</v>
      </c>
      <c r="AD316">
        <v>0</v>
      </c>
      <c r="AE316" t="s">
        <v>246</v>
      </c>
      <c r="AF316">
        <v>20</v>
      </c>
      <c r="AG316" t="s">
        <v>163</v>
      </c>
      <c r="AH316">
        <v>46223</v>
      </c>
      <c r="AI316" t="s">
        <v>149</v>
      </c>
    </row>
    <row r="317" spans="1:35" x14ac:dyDescent="0.25">
      <c r="A317" s="1">
        <v>46224</v>
      </c>
      <c r="B317" t="s">
        <v>97</v>
      </c>
      <c r="C317" t="s">
        <v>12</v>
      </c>
      <c r="D317">
        <v>1.6792293035264356</v>
      </c>
      <c r="E317">
        <v>1.9</v>
      </c>
      <c r="F317">
        <v>1.9</v>
      </c>
      <c r="G317">
        <v>0.82352941176470573</v>
      </c>
      <c r="H317">
        <v>1.1314714411009494</v>
      </c>
      <c r="I317">
        <v>1.1314714411009494</v>
      </c>
      <c r="J317">
        <v>0.49042105806233099</v>
      </c>
      <c r="K317">
        <v>0</v>
      </c>
      <c r="L317">
        <v>0</v>
      </c>
      <c r="M317">
        <v>0</v>
      </c>
      <c r="N317">
        <v>0</v>
      </c>
      <c r="O317">
        <v>0</v>
      </c>
      <c r="P317">
        <v>0</v>
      </c>
      <c r="Q317">
        <v>0</v>
      </c>
      <c r="R317">
        <v>0</v>
      </c>
      <c r="S317">
        <v>0.13147144110094944</v>
      </c>
      <c r="T317">
        <v>0</v>
      </c>
      <c r="U317">
        <v>0</v>
      </c>
      <c r="V317">
        <v>0</v>
      </c>
      <c r="W317">
        <v>0.50957894193766906</v>
      </c>
      <c r="X317">
        <v>0</v>
      </c>
      <c r="Y317">
        <v>0.49042105806233099</v>
      </c>
      <c r="Z317">
        <v>0</v>
      </c>
      <c r="AA317">
        <v>0</v>
      </c>
      <c r="AB317">
        <v>0</v>
      </c>
      <c r="AC317">
        <v>0</v>
      </c>
      <c r="AD317">
        <v>0</v>
      </c>
      <c r="AE317" t="s">
        <v>246</v>
      </c>
      <c r="AF317">
        <v>20</v>
      </c>
      <c r="AG317" t="s">
        <v>166</v>
      </c>
      <c r="AH317">
        <v>46224</v>
      </c>
      <c r="AI317" t="s">
        <v>149</v>
      </c>
    </row>
    <row r="318" spans="1:35" x14ac:dyDescent="0.25">
      <c r="A318" s="1">
        <v>46224</v>
      </c>
      <c r="B318" t="s">
        <v>97</v>
      </c>
      <c r="C318" t="s">
        <v>11</v>
      </c>
      <c r="D318">
        <v>0</v>
      </c>
      <c r="E318">
        <v>0.95</v>
      </c>
      <c r="F318">
        <v>0.95</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1</v>
      </c>
      <c r="AB318">
        <v>0</v>
      </c>
      <c r="AC318">
        <v>0</v>
      </c>
      <c r="AD318">
        <v>0</v>
      </c>
      <c r="AE318" t="s">
        <v>246</v>
      </c>
      <c r="AF318">
        <v>20</v>
      </c>
      <c r="AG318" t="s">
        <v>164</v>
      </c>
      <c r="AH318">
        <v>46224</v>
      </c>
      <c r="AI318" t="s">
        <v>149</v>
      </c>
    </row>
    <row r="319" spans="1:35" x14ac:dyDescent="0.25">
      <c r="A319" s="1">
        <v>46224</v>
      </c>
      <c r="B319" t="s">
        <v>97</v>
      </c>
      <c r="C319" t="s">
        <v>10</v>
      </c>
      <c r="D319">
        <v>1.6286087836004384</v>
      </c>
      <c r="E319">
        <v>0.95</v>
      </c>
      <c r="F319">
        <v>0.95</v>
      </c>
      <c r="G319">
        <v>0</v>
      </c>
      <c r="H319">
        <v>0.58331995354942912</v>
      </c>
      <c r="I319">
        <v>0.58331995354942912</v>
      </c>
      <c r="J319">
        <v>0</v>
      </c>
      <c r="K319">
        <v>0</v>
      </c>
      <c r="L319">
        <v>0</v>
      </c>
      <c r="M319">
        <v>0</v>
      </c>
      <c r="N319">
        <v>0</v>
      </c>
      <c r="O319">
        <v>0</v>
      </c>
      <c r="P319">
        <v>0</v>
      </c>
      <c r="Q319">
        <v>0</v>
      </c>
      <c r="R319">
        <v>0</v>
      </c>
      <c r="S319">
        <v>0</v>
      </c>
      <c r="T319">
        <v>0</v>
      </c>
      <c r="U319">
        <v>0.41668004645057088</v>
      </c>
      <c r="V319">
        <v>0</v>
      </c>
      <c r="W319">
        <v>0</v>
      </c>
      <c r="X319">
        <v>0</v>
      </c>
      <c r="Y319">
        <v>0</v>
      </c>
      <c r="Z319">
        <v>0.58331995354942912</v>
      </c>
      <c r="AA319">
        <v>0</v>
      </c>
      <c r="AB319">
        <v>0</v>
      </c>
      <c r="AC319">
        <v>0</v>
      </c>
      <c r="AD319">
        <v>0</v>
      </c>
      <c r="AE319" t="s">
        <v>246</v>
      </c>
      <c r="AF319">
        <v>20</v>
      </c>
      <c r="AG319" t="s">
        <v>165</v>
      </c>
      <c r="AH319">
        <v>46224</v>
      </c>
      <c r="AI319" t="s">
        <v>149</v>
      </c>
    </row>
    <row r="320" spans="1:35" x14ac:dyDescent="0.25">
      <c r="A320" s="1">
        <v>46225</v>
      </c>
      <c r="B320" t="s">
        <v>97</v>
      </c>
      <c r="C320" t="s">
        <v>11</v>
      </c>
      <c r="D320">
        <v>6.1342353630668395E-2</v>
      </c>
      <c r="E320">
        <v>0</v>
      </c>
      <c r="F320">
        <v>0</v>
      </c>
      <c r="G320">
        <v>0</v>
      </c>
      <c r="H320">
        <v>0</v>
      </c>
      <c r="I320">
        <v>0</v>
      </c>
      <c r="J320">
        <v>0</v>
      </c>
      <c r="K320">
        <v>0</v>
      </c>
      <c r="L320">
        <v>0</v>
      </c>
      <c r="M320">
        <v>0</v>
      </c>
      <c r="N320">
        <v>0</v>
      </c>
      <c r="O320">
        <v>0</v>
      </c>
      <c r="P320">
        <v>0</v>
      </c>
      <c r="Q320">
        <v>0</v>
      </c>
      <c r="R320">
        <v>0</v>
      </c>
      <c r="S320">
        <v>0</v>
      </c>
      <c r="T320">
        <v>0</v>
      </c>
      <c r="U320">
        <v>1</v>
      </c>
      <c r="V320">
        <v>0</v>
      </c>
      <c r="W320">
        <v>0</v>
      </c>
      <c r="X320">
        <v>0</v>
      </c>
      <c r="Y320">
        <v>0</v>
      </c>
      <c r="Z320">
        <v>0</v>
      </c>
      <c r="AA320">
        <v>0</v>
      </c>
      <c r="AB320">
        <v>0</v>
      </c>
      <c r="AC320">
        <v>0</v>
      </c>
      <c r="AD320">
        <v>0</v>
      </c>
      <c r="AE320" t="s">
        <v>246</v>
      </c>
      <c r="AF320">
        <v>20</v>
      </c>
      <c r="AG320" t="s">
        <v>169</v>
      </c>
      <c r="AH320">
        <v>46225</v>
      </c>
      <c r="AI320" t="s">
        <v>149</v>
      </c>
    </row>
    <row r="321" spans="1:35" x14ac:dyDescent="0.25">
      <c r="A321" s="1">
        <v>46225</v>
      </c>
      <c r="B321" t="s">
        <v>97</v>
      </c>
      <c r="C321" t="s">
        <v>12</v>
      </c>
      <c r="D321">
        <v>1.7289553896161232</v>
      </c>
      <c r="E321">
        <v>1.9</v>
      </c>
      <c r="F321">
        <v>1.9</v>
      </c>
      <c r="G321">
        <v>0.82352941176470573</v>
      </c>
      <c r="H321">
        <v>1.0989294526690208</v>
      </c>
      <c r="I321">
        <v>1.0989294526690208</v>
      </c>
      <c r="J321">
        <v>0.47631617143548882</v>
      </c>
      <c r="K321">
        <v>0</v>
      </c>
      <c r="L321">
        <v>0</v>
      </c>
      <c r="M321">
        <v>0</v>
      </c>
      <c r="N321">
        <v>0</v>
      </c>
      <c r="O321">
        <v>0</v>
      </c>
      <c r="P321">
        <v>0</v>
      </c>
      <c r="Q321">
        <v>0</v>
      </c>
      <c r="R321">
        <v>0</v>
      </c>
      <c r="S321">
        <v>9.8929452669020757E-2</v>
      </c>
      <c r="T321">
        <v>0</v>
      </c>
      <c r="U321">
        <v>0</v>
      </c>
      <c r="V321">
        <v>0</v>
      </c>
      <c r="W321">
        <v>0.52368382856451112</v>
      </c>
      <c r="X321">
        <v>0</v>
      </c>
      <c r="Y321">
        <v>0.47631617143548882</v>
      </c>
      <c r="Z321">
        <v>0</v>
      </c>
      <c r="AA321">
        <v>0</v>
      </c>
      <c r="AB321">
        <v>0</v>
      </c>
      <c r="AC321">
        <v>0</v>
      </c>
      <c r="AD321">
        <v>0</v>
      </c>
      <c r="AE321" t="s">
        <v>246</v>
      </c>
      <c r="AF321">
        <v>20</v>
      </c>
      <c r="AG321" t="s">
        <v>168</v>
      </c>
      <c r="AH321">
        <v>46225</v>
      </c>
      <c r="AI321" t="s">
        <v>149</v>
      </c>
    </row>
    <row r="322" spans="1:35" x14ac:dyDescent="0.25">
      <c r="A322" s="1">
        <v>46225</v>
      </c>
      <c r="B322" t="s">
        <v>97</v>
      </c>
      <c r="C322" t="s">
        <v>10</v>
      </c>
      <c r="D322">
        <v>1.6361486390800699</v>
      </c>
      <c r="E322">
        <v>1.9</v>
      </c>
      <c r="F322">
        <v>1.9</v>
      </c>
      <c r="G322">
        <v>0</v>
      </c>
      <c r="H322">
        <v>1.1612636863288175</v>
      </c>
      <c r="I322">
        <v>1.1612636863288175</v>
      </c>
      <c r="J322">
        <v>0</v>
      </c>
      <c r="K322">
        <v>0</v>
      </c>
      <c r="L322">
        <v>0</v>
      </c>
      <c r="M322">
        <v>0</v>
      </c>
      <c r="N322">
        <v>0</v>
      </c>
      <c r="O322">
        <v>0</v>
      </c>
      <c r="P322">
        <v>0</v>
      </c>
      <c r="Q322">
        <v>0</v>
      </c>
      <c r="R322">
        <v>0</v>
      </c>
      <c r="S322">
        <v>0.16126368632881749</v>
      </c>
      <c r="T322">
        <v>0</v>
      </c>
      <c r="U322">
        <v>0</v>
      </c>
      <c r="V322">
        <v>0</v>
      </c>
      <c r="W322">
        <v>0</v>
      </c>
      <c r="X322">
        <v>0</v>
      </c>
      <c r="Y322">
        <v>0</v>
      </c>
      <c r="Z322">
        <v>1</v>
      </c>
      <c r="AA322">
        <v>0</v>
      </c>
      <c r="AB322">
        <v>0</v>
      </c>
      <c r="AC322">
        <v>0</v>
      </c>
      <c r="AD322">
        <v>0</v>
      </c>
      <c r="AE322" t="s">
        <v>246</v>
      </c>
      <c r="AF322">
        <v>20</v>
      </c>
      <c r="AG322" t="s">
        <v>167</v>
      </c>
      <c r="AH322">
        <v>46225</v>
      </c>
      <c r="AI322" t="s">
        <v>149</v>
      </c>
    </row>
    <row r="323" spans="1:35" x14ac:dyDescent="0.25">
      <c r="A323" s="1">
        <v>46226</v>
      </c>
      <c r="B323" t="s">
        <v>97</v>
      </c>
      <c r="C323" t="s">
        <v>12</v>
      </c>
      <c r="D323">
        <v>0.82672297729608268</v>
      </c>
      <c r="E323">
        <v>0.95</v>
      </c>
      <c r="F323">
        <v>0.95</v>
      </c>
      <c r="G323">
        <v>0</v>
      </c>
      <c r="H323">
        <v>1.1491152733012364</v>
      </c>
      <c r="I323">
        <v>1.1491152733012364</v>
      </c>
      <c r="J323">
        <v>0</v>
      </c>
      <c r="K323">
        <v>0</v>
      </c>
      <c r="L323">
        <v>0</v>
      </c>
      <c r="M323">
        <v>0</v>
      </c>
      <c r="N323">
        <v>0</v>
      </c>
      <c r="O323">
        <v>0</v>
      </c>
      <c r="P323">
        <v>0</v>
      </c>
      <c r="Q323">
        <v>0</v>
      </c>
      <c r="R323">
        <v>0</v>
      </c>
      <c r="S323">
        <v>0.14911527330123642</v>
      </c>
      <c r="T323">
        <v>0</v>
      </c>
      <c r="U323">
        <v>0</v>
      </c>
      <c r="V323">
        <v>0</v>
      </c>
      <c r="W323">
        <v>0</v>
      </c>
      <c r="X323">
        <v>0</v>
      </c>
      <c r="Y323">
        <v>0</v>
      </c>
      <c r="Z323">
        <v>1</v>
      </c>
      <c r="AA323">
        <v>0</v>
      </c>
      <c r="AB323">
        <v>0</v>
      </c>
      <c r="AC323">
        <v>0</v>
      </c>
      <c r="AD323">
        <v>0</v>
      </c>
      <c r="AE323" t="s">
        <v>246</v>
      </c>
      <c r="AF323">
        <v>20</v>
      </c>
      <c r="AG323" t="s">
        <v>170</v>
      </c>
      <c r="AH323">
        <v>46226</v>
      </c>
      <c r="AI323" t="s">
        <v>149</v>
      </c>
    </row>
    <row r="324" spans="1:35" x14ac:dyDescent="0.25">
      <c r="A324" s="1">
        <v>46226</v>
      </c>
      <c r="B324" t="s">
        <v>97</v>
      </c>
      <c r="C324" t="s">
        <v>10</v>
      </c>
      <c r="D324">
        <v>1.4770513524468336</v>
      </c>
      <c r="E324">
        <v>1.9</v>
      </c>
      <c r="F324">
        <v>1.9</v>
      </c>
      <c r="G324">
        <v>0</v>
      </c>
      <c r="H324">
        <v>1.2863466099892356</v>
      </c>
      <c r="I324">
        <v>1.2863466099892356</v>
      </c>
      <c r="J324">
        <v>0</v>
      </c>
      <c r="K324">
        <v>0</v>
      </c>
      <c r="L324">
        <v>0</v>
      </c>
      <c r="M324">
        <v>0</v>
      </c>
      <c r="N324">
        <v>0</v>
      </c>
      <c r="O324">
        <v>0</v>
      </c>
      <c r="P324">
        <v>0</v>
      </c>
      <c r="Q324">
        <v>0</v>
      </c>
      <c r="R324">
        <v>0</v>
      </c>
      <c r="S324">
        <v>0</v>
      </c>
      <c r="T324">
        <v>0</v>
      </c>
      <c r="U324">
        <v>0</v>
      </c>
      <c r="V324">
        <v>0</v>
      </c>
      <c r="W324">
        <v>0</v>
      </c>
      <c r="X324">
        <v>0</v>
      </c>
      <c r="Y324">
        <v>0</v>
      </c>
      <c r="Z324">
        <v>1</v>
      </c>
      <c r="AA324">
        <v>0</v>
      </c>
      <c r="AB324">
        <v>0</v>
      </c>
      <c r="AC324">
        <v>0</v>
      </c>
      <c r="AD324">
        <v>0</v>
      </c>
      <c r="AE324" t="s">
        <v>246</v>
      </c>
      <c r="AF324">
        <v>20</v>
      </c>
      <c r="AG324" t="s">
        <v>171</v>
      </c>
      <c r="AH324">
        <v>46226</v>
      </c>
      <c r="AI324" t="s">
        <v>149</v>
      </c>
    </row>
    <row r="325" spans="1:35" x14ac:dyDescent="0.25">
      <c r="A325" s="1">
        <v>46226</v>
      </c>
      <c r="B325" t="s">
        <v>97</v>
      </c>
      <c r="C325" t="s">
        <v>11</v>
      </c>
      <c r="D325">
        <v>1.5320479453570881</v>
      </c>
      <c r="E325">
        <v>0</v>
      </c>
      <c r="F325">
        <v>0</v>
      </c>
      <c r="G325">
        <v>0</v>
      </c>
      <c r="H325">
        <v>0</v>
      </c>
      <c r="I325">
        <v>0</v>
      </c>
      <c r="J325">
        <v>0</v>
      </c>
      <c r="K325">
        <v>0</v>
      </c>
      <c r="L325">
        <v>0</v>
      </c>
      <c r="M325">
        <v>0</v>
      </c>
      <c r="N325">
        <v>0</v>
      </c>
      <c r="O325">
        <v>0</v>
      </c>
      <c r="P325">
        <v>0</v>
      </c>
      <c r="Q325">
        <v>0</v>
      </c>
      <c r="R325">
        <v>0</v>
      </c>
      <c r="S325">
        <v>0</v>
      </c>
      <c r="T325">
        <v>0</v>
      </c>
      <c r="U325">
        <v>1</v>
      </c>
      <c r="V325">
        <v>0</v>
      </c>
      <c r="W325">
        <v>0</v>
      </c>
      <c r="X325">
        <v>0</v>
      </c>
      <c r="Y325">
        <v>0</v>
      </c>
      <c r="Z325">
        <v>0</v>
      </c>
      <c r="AA325">
        <v>0</v>
      </c>
      <c r="AB325">
        <v>0</v>
      </c>
      <c r="AC325">
        <v>0</v>
      </c>
      <c r="AD325">
        <v>0</v>
      </c>
      <c r="AE325" t="s">
        <v>246</v>
      </c>
      <c r="AF325">
        <v>20</v>
      </c>
      <c r="AG325" t="s">
        <v>172</v>
      </c>
      <c r="AH325">
        <v>46226</v>
      </c>
      <c r="AI325" t="s">
        <v>149</v>
      </c>
    </row>
    <row r="326" spans="1:35" x14ac:dyDescent="0.25">
      <c r="A326" s="1">
        <v>46227</v>
      </c>
      <c r="B326" t="s">
        <v>97</v>
      </c>
      <c r="C326" t="s">
        <v>12</v>
      </c>
      <c r="D326">
        <v>0.93101375140930731</v>
      </c>
      <c r="E326">
        <v>0</v>
      </c>
      <c r="F326">
        <v>0</v>
      </c>
      <c r="G326">
        <v>0</v>
      </c>
      <c r="H326">
        <v>0</v>
      </c>
      <c r="I326">
        <v>0</v>
      </c>
      <c r="J326">
        <v>0</v>
      </c>
      <c r="K326">
        <v>0</v>
      </c>
      <c r="L326">
        <v>0</v>
      </c>
      <c r="M326">
        <v>0</v>
      </c>
      <c r="N326">
        <v>0</v>
      </c>
      <c r="O326">
        <v>0</v>
      </c>
      <c r="P326">
        <v>0</v>
      </c>
      <c r="Q326">
        <v>0</v>
      </c>
      <c r="R326">
        <v>0</v>
      </c>
      <c r="S326">
        <v>0</v>
      </c>
      <c r="T326">
        <v>0</v>
      </c>
      <c r="U326">
        <v>1</v>
      </c>
      <c r="V326">
        <v>0</v>
      </c>
      <c r="W326">
        <v>0</v>
      </c>
      <c r="X326">
        <v>0</v>
      </c>
      <c r="Y326">
        <v>0</v>
      </c>
      <c r="Z326">
        <v>0</v>
      </c>
      <c r="AA326">
        <v>0</v>
      </c>
      <c r="AB326">
        <v>0</v>
      </c>
      <c r="AC326">
        <v>0</v>
      </c>
      <c r="AD326">
        <v>0</v>
      </c>
      <c r="AE326" t="s">
        <v>246</v>
      </c>
      <c r="AF326">
        <v>20</v>
      </c>
      <c r="AG326" t="s">
        <v>175</v>
      </c>
      <c r="AH326">
        <v>46227</v>
      </c>
      <c r="AI326" t="s">
        <v>149</v>
      </c>
    </row>
    <row r="327" spans="1:35" x14ac:dyDescent="0.25">
      <c r="A327" s="1">
        <v>46227</v>
      </c>
      <c r="B327" t="s">
        <v>97</v>
      </c>
      <c r="C327" t="s">
        <v>11</v>
      </c>
      <c r="D327">
        <v>1.4299114156666155</v>
      </c>
      <c r="E327">
        <v>0.95</v>
      </c>
      <c r="F327">
        <v>0.95</v>
      </c>
      <c r="G327">
        <v>0</v>
      </c>
      <c r="H327">
        <v>0.66437682054389091</v>
      </c>
      <c r="I327">
        <v>0.66437682054389091</v>
      </c>
      <c r="J327">
        <v>0</v>
      </c>
      <c r="K327">
        <v>0</v>
      </c>
      <c r="L327">
        <v>0</v>
      </c>
      <c r="M327">
        <v>0</v>
      </c>
      <c r="N327">
        <v>0</v>
      </c>
      <c r="O327">
        <v>0</v>
      </c>
      <c r="P327">
        <v>0</v>
      </c>
      <c r="Q327">
        <v>0</v>
      </c>
      <c r="R327">
        <v>0</v>
      </c>
      <c r="S327">
        <v>0</v>
      </c>
      <c r="T327">
        <v>0</v>
      </c>
      <c r="U327">
        <v>0.33562317945610909</v>
      </c>
      <c r="V327">
        <v>0</v>
      </c>
      <c r="W327">
        <v>0</v>
      </c>
      <c r="X327">
        <v>0</v>
      </c>
      <c r="Y327">
        <v>0</v>
      </c>
      <c r="Z327">
        <v>0.66437682054389091</v>
      </c>
      <c r="AA327">
        <v>0</v>
      </c>
      <c r="AB327">
        <v>0</v>
      </c>
      <c r="AC327">
        <v>0</v>
      </c>
      <c r="AD327">
        <v>0</v>
      </c>
      <c r="AE327" t="s">
        <v>246</v>
      </c>
      <c r="AF327">
        <v>20</v>
      </c>
      <c r="AG327" t="s">
        <v>174</v>
      </c>
      <c r="AH327">
        <v>46227</v>
      </c>
      <c r="AI327" t="s">
        <v>149</v>
      </c>
    </row>
    <row r="328" spans="1:35" x14ac:dyDescent="0.25">
      <c r="A328" s="1">
        <v>46227</v>
      </c>
      <c r="B328" t="s">
        <v>97</v>
      </c>
      <c r="C328" t="s">
        <v>10</v>
      </c>
      <c r="D328">
        <v>0</v>
      </c>
      <c r="E328">
        <v>0.95</v>
      </c>
      <c r="F328">
        <v>0.95</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1</v>
      </c>
      <c r="AB328">
        <v>0</v>
      </c>
      <c r="AC328">
        <v>0</v>
      </c>
      <c r="AD328">
        <v>0</v>
      </c>
      <c r="AE328" t="s">
        <v>246</v>
      </c>
      <c r="AF328">
        <v>20</v>
      </c>
      <c r="AG328" t="s">
        <v>173</v>
      </c>
      <c r="AH328">
        <v>46227</v>
      </c>
      <c r="AI328" t="s">
        <v>149</v>
      </c>
    </row>
    <row r="329" spans="1:35" x14ac:dyDescent="0.25">
      <c r="A329" s="1">
        <v>46228</v>
      </c>
      <c r="B329" t="s">
        <v>97</v>
      </c>
      <c r="C329" t="s">
        <v>11</v>
      </c>
      <c r="D329">
        <v>0</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t="s">
        <v>246</v>
      </c>
      <c r="AF329">
        <v>20</v>
      </c>
      <c r="AG329" t="s">
        <v>177</v>
      </c>
      <c r="AH329">
        <v>46228</v>
      </c>
      <c r="AI329" t="s">
        <v>149</v>
      </c>
    </row>
    <row r="330" spans="1:35" x14ac:dyDescent="0.25">
      <c r="A330" s="1">
        <v>46228</v>
      </c>
      <c r="B330" t="s">
        <v>97</v>
      </c>
      <c r="C330" t="s">
        <v>12</v>
      </c>
      <c r="D330">
        <v>1.8306008782984693</v>
      </c>
      <c r="E330">
        <v>0</v>
      </c>
      <c r="F330">
        <v>0</v>
      </c>
      <c r="G330">
        <v>0</v>
      </c>
      <c r="H330">
        <v>0</v>
      </c>
      <c r="I330">
        <v>0</v>
      </c>
      <c r="J330">
        <v>0</v>
      </c>
      <c r="K330">
        <v>0</v>
      </c>
      <c r="L330">
        <v>0</v>
      </c>
      <c r="M330">
        <v>0</v>
      </c>
      <c r="N330">
        <v>0</v>
      </c>
      <c r="O330">
        <v>0</v>
      </c>
      <c r="P330">
        <v>0</v>
      </c>
      <c r="Q330">
        <v>0</v>
      </c>
      <c r="R330">
        <v>0</v>
      </c>
      <c r="S330">
        <v>0</v>
      </c>
      <c r="T330">
        <v>0</v>
      </c>
      <c r="U330">
        <v>1</v>
      </c>
      <c r="V330">
        <v>0</v>
      </c>
      <c r="W330">
        <v>0</v>
      </c>
      <c r="X330">
        <v>0</v>
      </c>
      <c r="Y330">
        <v>0</v>
      </c>
      <c r="Z330">
        <v>0</v>
      </c>
      <c r="AA330">
        <v>0</v>
      </c>
      <c r="AB330">
        <v>0</v>
      </c>
      <c r="AC330">
        <v>0</v>
      </c>
      <c r="AD330">
        <v>0</v>
      </c>
      <c r="AE330" t="s">
        <v>246</v>
      </c>
      <c r="AF330">
        <v>20</v>
      </c>
      <c r="AG330" t="s">
        <v>178</v>
      </c>
      <c r="AH330">
        <v>46228</v>
      </c>
      <c r="AI330" t="s">
        <v>149</v>
      </c>
    </row>
    <row r="331" spans="1:35" x14ac:dyDescent="0.25">
      <c r="A331" s="1">
        <v>46228</v>
      </c>
      <c r="B331" t="s">
        <v>97</v>
      </c>
      <c r="C331" t="s">
        <v>10</v>
      </c>
      <c r="D331">
        <v>0.4674710397371627</v>
      </c>
      <c r="E331">
        <v>0.95</v>
      </c>
      <c r="F331">
        <v>0.95</v>
      </c>
      <c r="G331">
        <v>0</v>
      </c>
      <c r="H331">
        <v>2.032211451075431</v>
      </c>
      <c r="I331">
        <v>2.032211451075431</v>
      </c>
      <c r="J331">
        <v>0</v>
      </c>
      <c r="K331">
        <v>0</v>
      </c>
      <c r="L331">
        <v>0</v>
      </c>
      <c r="M331">
        <v>0</v>
      </c>
      <c r="N331">
        <v>0</v>
      </c>
      <c r="O331">
        <v>0</v>
      </c>
      <c r="P331">
        <v>0</v>
      </c>
      <c r="Q331">
        <v>0</v>
      </c>
      <c r="R331">
        <v>0</v>
      </c>
      <c r="S331">
        <v>0</v>
      </c>
      <c r="T331">
        <v>0</v>
      </c>
      <c r="U331">
        <v>0</v>
      </c>
      <c r="V331">
        <v>0</v>
      </c>
      <c r="W331">
        <v>0</v>
      </c>
      <c r="X331">
        <v>0</v>
      </c>
      <c r="Y331">
        <v>0</v>
      </c>
      <c r="Z331">
        <v>1</v>
      </c>
      <c r="AA331">
        <v>0</v>
      </c>
      <c r="AB331">
        <v>0</v>
      </c>
      <c r="AC331">
        <v>0</v>
      </c>
      <c r="AD331">
        <v>0</v>
      </c>
      <c r="AE331" t="s">
        <v>246</v>
      </c>
      <c r="AF331">
        <v>20</v>
      </c>
      <c r="AG331" t="s">
        <v>176</v>
      </c>
      <c r="AH331">
        <v>46228</v>
      </c>
      <c r="AI331" t="s">
        <v>149</v>
      </c>
    </row>
    <row r="332" spans="1:35" x14ac:dyDescent="0.25">
      <c r="A332" s="1">
        <v>46229</v>
      </c>
      <c r="B332" t="s">
        <v>97</v>
      </c>
      <c r="C332" t="s">
        <v>12</v>
      </c>
      <c r="D332">
        <v>1.4299114156666153</v>
      </c>
      <c r="E332">
        <v>2.8499999999999996</v>
      </c>
      <c r="F332">
        <v>2.8499999999999996</v>
      </c>
      <c r="G332">
        <v>0</v>
      </c>
      <c r="H332">
        <v>1.9931304616316727</v>
      </c>
      <c r="I332">
        <v>1.9931304616316727</v>
      </c>
      <c r="J332">
        <v>0</v>
      </c>
      <c r="K332">
        <v>0</v>
      </c>
      <c r="L332">
        <v>0</v>
      </c>
      <c r="M332">
        <v>0</v>
      </c>
      <c r="N332">
        <v>0</v>
      </c>
      <c r="O332">
        <v>0</v>
      </c>
      <c r="P332">
        <v>0</v>
      </c>
      <c r="Q332">
        <v>0</v>
      </c>
      <c r="R332">
        <v>0</v>
      </c>
      <c r="S332">
        <v>0</v>
      </c>
      <c r="T332">
        <v>0</v>
      </c>
      <c r="U332">
        <v>0</v>
      </c>
      <c r="V332">
        <v>0</v>
      </c>
      <c r="W332">
        <v>0</v>
      </c>
      <c r="X332">
        <v>0</v>
      </c>
      <c r="Y332">
        <v>0</v>
      </c>
      <c r="Z332">
        <v>1</v>
      </c>
      <c r="AA332">
        <v>0</v>
      </c>
      <c r="AB332">
        <v>0</v>
      </c>
      <c r="AC332">
        <v>0</v>
      </c>
      <c r="AD332">
        <v>0</v>
      </c>
      <c r="AE332" t="s">
        <v>246</v>
      </c>
      <c r="AF332">
        <v>20</v>
      </c>
      <c r="AG332" t="s">
        <v>180</v>
      </c>
      <c r="AH332">
        <v>46229</v>
      </c>
      <c r="AI332" t="s">
        <v>149</v>
      </c>
    </row>
    <row r="333" spans="1:35" x14ac:dyDescent="0.25">
      <c r="A333" s="1">
        <v>46229</v>
      </c>
      <c r="B333" t="s">
        <v>97</v>
      </c>
      <c r="C333" t="s">
        <v>10</v>
      </c>
      <c r="D333">
        <v>1.8698841589486512</v>
      </c>
      <c r="E333">
        <v>0</v>
      </c>
      <c r="F333">
        <v>0</v>
      </c>
      <c r="G333">
        <v>0</v>
      </c>
      <c r="H333">
        <v>0</v>
      </c>
      <c r="I333">
        <v>0</v>
      </c>
      <c r="J333">
        <v>0</v>
      </c>
      <c r="K333">
        <v>0</v>
      </c>
      <c r="L333">
        <v>0</v>
      </c>
      <c r="M333">
        <v>0</v>
      </c>
      <c r="N333">
        <v>0</v>
      </c>
      <c r="O333">
        <v>0</v>
      </c>
      <c r="P333">
        <v>0</v>
      </c>
      <c r="Q333">
        <v>0</v>
      </c>
      <c r="R333">
        <v>0</v>
      </c>
      <c r="S333">
        <v>0</v>
      </c>
      <c r="T333">
        <v>0</v>
      </c>
      <c r="U333">
        <v>1</v>
      </c>
      <c r="V333">
        <v>0</v>
      </c>
      <c r="W333">
        <v>0</v>
      </c>
      <c r="X333">
        <v>0</v>
      </c>
      <c r="Y333">
        <v>0</v>
      </c>
      <c r="Z333">
        <v>0</v>
      </c>
      <c r="AA333">
        <v>0</v>
      </c>
      <c r="AB333">
        <v>0</v>
      </c>
      <c r="AC333">
        <v>0</v>
      </c>
      <c r="AD333">
        <v>0</v>
      </c>
      <c r="AE333" t="s">
        <v>246</v>
      </c>
      <c r="AF333">
        <v>20</v>
      </c>
      <c r="AG333" t="s">
        <v>181</v>
      </c>
      <c r="AH333">
        <v>46229</v>
      </c>
      <c r="AI333" t="s">
        <v>149</v>
      </c>
    </row>
    <row r="334" spans="1:35" x14ac:dyDescent="0.25">
      <c r="A334" s="1">
        <v>46229</v>
      </c>
      <c r="B334" t="s">
        <v>97</v>
      </c>
      <c r="C334" t="s">
        <v>11</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t="s">
        <v>246</v>
      </c>
      <c r="AF334">
        <v>20</v>
      </c>
      <c r="AG334" t="s">
        <v>179</v>
      </c>
      <c r="AH334">
        <v>46229</v>
      </c>
      <c r="AI334" t="s">
        <v>149</v>
      </c>
    </row>
    <row r="335" spans="1:35" x14ac:dyDescent="0.25">
      <c r="A335" s="1">
        <v>46230</v>
      </c>
      <c r="B335" t="s">
        <v>97</v>
      </c>
      <c r="C335" t="s">
        <v>11</v>
      </c>
      <c r="D335">
        <v>1.6361486390800697</v>
      </c>
      <c r="E335">
        <v>0</v>
      </c>
      <c r="F335">
        <v>0</v>
      </c>
      <c r="G335">
        <v>0</v>
      </c>
      <c r="H335">
        <v>0</v>
      </c>
      <c r="I335">
        <v>0</v>
      </c>
      <c r="J335">
        <v>0</v>
      </c>
      <c r="K335">
        <v>0</v>
      </c>
      <c r="L335">
        <v>0</v>
      </c>
      <c r="M335">
        <v>0</v>
      </c>
      <c r="N335">
        <v>0</v>
      </c>
      <c r="O335">
        <v>0</v>
      </c>
      <c r="P335">
        <v>0</v>
      </c>
      <c r="Q335">
        <v>0</v>
      </c>
      <c r="R335">
        <v>0</v>
      </c>
      <c r="S335">
        <v>0</v>
      </c>
      <c r="T335">
        <v>0</v>
      </c>
      <c r="U335">
        <v>1</v>
      </c>
      <c r="V335">
        <v>0</v>
      </c>
      <c r="W335">
        <v>0</v>
      </c>
      <c r="X335">
        <v>0</v>
      </c>
      <c r="Y335">
        <v>0</v>
      </c>
      <c r="Z335">
        <v>0</v>
      </c>
      <c r="AA335">
        <v>0</v>
      </c>
      <c r="AB335">
        <v>0</v>
      </c>
      <c r="AC335">
        <v>0</v>
      </c>
      <c r="AD335">
        <v>0</v>
      </c>
      <c r="AE335" t="s">
        <v>246</v>
      </c>
      <c r="AF335">
        <v>20</v>
      </c>
      <c r="AG335" t="s">
        <v>184</v>
      </c>
      <c r="AH335">
        <v>46230</v>
      </c>
      <c r="AI335" t="s">
        <v>149</v>
      </c>
    </row>
    <row r="336" spans="1:35" x14ac:dyDescent="0.25">
      <c r="A336" s="1">
        <v>46230</v>
      </c>
      <c r="B336" t="s">
        <v>97</v>
      </c>
      <c r="C336" t="s">
        <v>12</v>
      </c>
      <c r="D336">
        <v>1.2710323694814361</v>
      </c>
      <c r="E336">
        <v>0.95</v>
      </c>
      <c r="F336">
        <v>0.95</v>
      </c>
      <c r="G336">
        <v>0</v>
      </c>
      <c r="H336">
        <v>0.74742392311187722</v>
      </c>
      <c r="I336">
        <v>0.74742392311187722</v>
      </c>
      <c r="J336">
        <v>0</v>
      </c>
      <c r="K336">
        <v>0</v>
      </c>
      <c r="L336">
        <v>0</v>
      </c>
      <c r="M336">
        <v>0</v>
      </c>
      <c r="N336">
        <v>0</v>
      </c>
      <c r="O336">
        <v>0</v>
      </c>
      <c r="P336">
        <v>0</v>
      </c>
      <c r="Q336">
        <v>0</v>
      </c>
      <c r="R336">
        <v>0</v>
      </c>
      <c r="S336">
        <v>0</v>
      </c>
      <c r="T336">
        <v>0</v>
      </c>
      <c r="U336">
        <v>0.25257607688812278</v>
      </c>
      <c r="V336">
        <v>0</v>
      </c>
      <c r="W336">
        <v>0</v>
      </c>
      <c r="X336">
        <v>0</v>
      </c>
      <c r="Y336">
        <v>0</v>
      </c>
      <c r="Z336">
        <v>0.74742392311187722</v>
      </c>
      <c r="AA336">
        <v>0</v>
      </c>
      <c r="AB336">
        <v>0</v>
      </c>
      <c r="AC336">
        <v>0</v>
      </c>
      <c r="AD336">
        <v>0</v>
      </c>
      <c r="AE336" t="s">
        <v>246</v>
      </c>
      <c r="AF336">
        <v>20</v>
      </c>
      <c r="AG336" t="s">
        <v>182</v>
      </c>
      <c r="AH336">
        <v>46230</v>
      </c>
      <c r="AI336" t="s">
        <v>149</v>
      </c>
    </row>
    <row r="337" spans="1:35" x14ac:dyDescent="0.25">
      <c r="A337" s="1">
        <v>46230</v>
      </c>
      <c r="B337" t="s">
        <v>97</v>
      </c>
      <c r="C337" t="s">
        <v>10</v>
      </c>
      <c r="D337">
        <v>1.0370786091647981</v>
      </c>
      <c r="E337">
        <v>0</v>
      </c>
      <c r="F337">
        <v>0</v>
      </c>
      <c r="G337">
        <v>0</v>
      </c>
      <c r="H337">
        <v>0</v>
      </c>
      <c r="I337">
        <v>0</v>
      </c>
      <c r="J337">
        <v>0</v>
      </c>
      <c r="K337">
        <v>0</v>
      </c>
      <c r="L337">
        <v>0</v>
      </c>
      <c r="M337">
        <v>0</v>
      </c>
      <c r="N337">
        <v>0</v>
      </c>
      <c r="O337">
        <v>0</v>
      </c>
      <c r="P337">
        <v>0</v>
      </c>
      <c r="Q337">
        <v>0</v>
      </c>
      <c r="R337">
        <v>0</v>
      </c>
      <c r="S337">
        <v>0</v>
      </c>
      <c r="T337">
        <v>0</v>
      </c>
      <c r="U337">
        <v>1</v>
      </c>
      <c r="V337">
        <v>0</v>
      </c>
      <c r="W337">
        <v>0</v>
      </c>
      <c r="X337">
        <v>0</v>
      </c>
      <c r="Y337">
        <v>0</v>
      </c>
      <c r="Z337">
        <v>0</v>
      </c>
      <c r="AA337">
        <v>0</v>
      </c>
      <c r="AB337">
        <v>0</v>
      </c>
      <c r="AC337">
        <v>0</v>
      </c>
      <c r="AD337">
        <v>0</v>
      </c>
      <c r="AE337" t="s">
        <v>246</v>
      </c>
      <c r="AF337">
        <v>20</v>
      </c>
      <c r="AG337" t="s">
        <v>183</v>
      </c>
      <c r="AH337">
        <v>46230</v>
      </c>
      <c r="AI337" t="s">
        <v>149</v>
      </c>
    </row>
    <row r="338" spans="1:35" x14ac:dyDescent="0.25">
      <c r="A338" s="1">
        <v>46231</v>
      </c>
      <c r="B338" t="s">
        <v>97</v>
      </c>
      <c r="C338" t="s">
        <v>12</v>
      </c>
      <c r="D338">
        <v>1.0213652969047251</v>
      </c>
      <c r="E338">
        <v>0</v>
      </c>
      <c r="F338">
        <v>0</v>
      </c>
      <c r="G338">
        <v>0</v>
      </c>
      <c r="H338">
        <v>0</v>
      </c>
      <c r="I338">
        <v>0</v>
      </c>
      <c r="J338">
        <v>0</v>
      </c>
      <c r="K338">
        <v>0</v>
      </c>
      <c r="L338">
        <v>0</v>
      </c>
      <c r="M338">
        <v>0</v>
      </c>
      <c r="N338">
        <v>0</v>
      </c>
      <c r="O338">
        <v>0</v>
      </c>
      <c r="P338">
        <v>0</v>
      </c>
      <c r="Q338">
        <v>0</v>
      </c>
      <c r="R338">
        <v>0</v>
      </c>
      <c r="S338">
        <v>0</v>
      </c>
      <c r="T338">
        <v>0</v>
      </c>
      <c r="U338">
        <v>1</v>
      </c>
      <c r="V338">
        <v>0</v>
      </c>
      <c r="W338">
        <v>0</v>
      </c>
      <c r="X338">
        <v>0</v>
      </c>
      <c r="Y338">
        <v>0</v>
      </c>
      <c r="Z338">
        <v>0</v>
      </c>
      <c r="AA338">
        <v>0</v>
      </c>
      <c r="AB338">
        <v>0</v>
      </c>
      <c r="AC338">
        <v>0</v>
      </c>
      <c r="AD338">
        <v>0</v>
      </c>
      <c r="AE338" t="s">
        <v>246</v>
      </c>
      <c r="AF338">
        <v>20</v>
      </c>
      <c r="AG338" t="s">
        <v>185</v>
      </c>
      <c r="AH338">
        <v>46231</v>
      </c>
      <c r="AI338" t="s">
        <v>149</v>
      </c>
    </row>
    <row r="339" spans="1:35" x14ac:dyDescent="0.25">
      <c r="A339" s="1">
        <v>46231</v>
      </c>
      <c r="B339" t="s">
        <v>97</v>
      </c>
      <c r="C339" t="s">
        <v>10</v>
      </c>
      <c r="D339">
        <v>2.0741572183295962</v>
      </c>
      <c r="E339">
        <v>1.9</v>
      </c>
      <c r="F339">
        <v>1.9</v>
      </c>
      <c r="G339">
        <v>0</v>
      </c>
      <c r="H339">
        <v>0.91603470711354651</v>
      </c>
      <c r="I339">
        <v>0.91603470711354651</v>
      </c>
      <c r="J339">
        <v>0</v>
      </c>
      <c r="K339">
        <v>0</v>
      </c>
      <c r="L339">
        <v>0</v>
      </c>
      <c r="M339">
        <v>0</v>
      </c>
      <c r="N339">
        <v>0</v>
      </c>
      <c r="O339">
        <v>0</v>
      </c>
      <c r="P339">
        <v>0</v>
      </c>
      <c r="Q339">
        <v>0</v>
      </c>
      <c r="R339">
        <v>0</v>
      </c>
      <c r="S339">
        <v>0</v>
      </c>
      <c r="T339">
        <v>0</v>
      </c>
      <c r="U339">
        <v>8.3965292886453491E-2</v>
      </c>
      <c r="V339">
        <v>0</v>
      </c>
      <c r="W339">
        <v>0</v>
      </c>
      <c r="X339">
        <v>0</v>
      </c>
      <c r="Y339">
        <v>0</v>
      </c>
      <c r="Z339">
        <v>0.91603470711354651</v>
      </c>
      <c r="AA339">
        <v>0</v>
      </c>
      <c r="AB339">
        <v>0</v>
      </c>
      <c r="AC339">
        <v>0</v>
      </c>
      <c r="AD339">
        <v>0</v>
      </c>
      <c r="AE339" t="s">
        <v>246</v>
      </c>
      <c r="AF339">
        <v>20</v>
      </c>
      <c r="AG339" t="s">
        <v>187</v>
      </c>
      <c r="AH339">
        <v>46231</v>
      </c>
      <c r="AI339" t="s">
        <v>149</v>
      </c>
    </row>
    <row r="340" spans="1:35" x14ac:dyDescent="0.25">
      <c r="A340" s="1">
        <v>46232</v>
      </c>
      <c r="B340" t="s">
        <v>97</v>
      </c>
      <c r="C340" t="s">
        <v>12</v>
      </c>
      <c r="D340">
        <v>0.28998203534497796</v>
      </c>
      <c r="E340">
        <v>2.8499999999999996</v>
      </c>
      <c r="F340">
        <v>2.8499999999999996</v>
      </c>
      <c r="G340">
        <v>0</v>
      </c>
      <c r="H340">
        <v>9.8281950349423859</v>
      </c>
      <c r="I340">
        <v>9.8281950349423859</v>
      </c>
      <c r="J340">
        <v>0</v>
      </c>
      <c r="K340">
        <v>0</v>
      </c>
      <c r="L340">
        <v>0</v>
      </c>
      <c r="M340">
        <v>0</v>
      </c>
      <c r="N340">
        <v>0</v>
      </c>
      <c r="O340">
        <v>0</v>
      </c>
      <c r="P340">
        <v>0</v>
      </c>
      <c r="Q340">
        <v>0</v>
      </c>
      <c r="R340">
        <v>0</v>
      </c>
      <c r="S340">
        <v>0</v>
      </c>
      <c r="T340">
        <v>0</v>
      </c>
      <c r="U340">
        <v>0</v>
      </c>
      <c r="V340">
        <v>0</v>
      </c>
      <c r="W340">
        <v>0</v>
      </c>
      <c r="X340">
        <v>0</v>
      </c>
      <c r="Y340">
        <v>0</v>
      </c>
      <c r="Z340">
        <v>1</v>
      </c>
      <c r="AA340">
        <v>0</v>
      </c>
      <c r="AB340">
        <v>0</v>
      </c>
      <c r="AC340">
        <v>0</v>
      </c>
      <c r="AD340">
        <v>0</v>
      </c>
      <c r="AE340" t="s">
        <v>246</v>
      </c>
      <c r="AF340">
        <v>20</v>
      </c>
      <c r="AG340" t="s">
        <v>189</v>
      </c>
      <c r="AH340">
        <v>46232</v>
      </c>
      <c r="AI340" t="s">
        <v>149</v>
      </c>
    </row>
    <row r="341" spans="1:35" x14ac:dyDescent="0.25">
      <c r="A341" s="1">
        <v>46232</v>
      </c>
      <c r="B341" t="s">
        <v>97</v>
      </c>
      <c r="C341" t="s">
        <v>11</v>
      </c>
      <c r="D341">
        <v>1.8878638143231563</v>
      </c>
      <c r="E341">
        <v>0</v>
      </c>
      <c r="F341">
        <v>0</v>
      </c>
      <c r="G341">
        <v>0</v>
      </c>
      <c r="H341">
        <v>0</v>
      </c>
      <c r="I341">
        <v>0</v>
      </c>
      <c r="J341">
        <v>0</v>
      </c>
      <c r="K341">
        <v>0</v>
      </c>
      <c r="L341">
        <v>0</v>
      </c>
      <c r="M341">
        <v>0</v>
      </c>
      <c r="N341">
        <v>0</v>
      </c>
      <c r="O341">
        <v>0</v>
      </c>
      <c r="P341">
        <v>0</v>
      </c>
      <c r="Q341">
        <v>0</v>
      </c>
      <c r="R341">
        <v>0</v>
      </c>
      <c r="S341">
        <v>0</v>
      </c>
      <c r="T341">
        <v>0</v>
      </c>
      <c r="U341">
        <v>1</v>
      </c>
      <c r="V341">
        <v>0</v>
      </c>
      <c r="W341">
        <v>0</v>
      </c>
      <c r="X341">
        <v>0</v>
      </c>
      <c r="Y341">
        <v>0</v>
      </c>
      <c r="Z341">
        <v>0</v>
      </c>
      <c r="AA341">
        <v>0</v>
      </c>
      <c r="AB341">
        <v>0</v>
      </c>
      <c r="AC341">
        <v>0</v>
      </c>
      <c r="AD341">
        <v>0</v>
      </c>
      <c r="AE341" t="s">
        <v>246</v>
      </c>
      <c r="AF341">
        <v>20</v>
      </c>
      <c r="AG341" t="s">
        <v>188</v>
      </c>
      <c r="AH341">
        <v>46232</v>
      </c>
      <c r="AI341" t="s">
        <v>149</v>
      </c>
    </row>
    <row r="342" spans="1:35" x14ac:dyDescent="0.25">
      <c r="A342" s="1">
        <v>46232</v>
      </c>
      <c r="B342" t="s">
        <v>97</v>
      </c>
      <c r="C342" t="s">
        <v>10</v>
      </c>
      <c r="D342">
        <v>1.464087869832273</v>
      </c>
      <c r="E342">
        <v>0.95</v>
      </c>
      <c r="F342">
        <v>0.95</v>
      </c>
      <c r="G342">
        <v>0</v>
      </c>
      <c r="H342">
        <v>0.64886815851348634</v>
      </c>
      <c r="I342">
        <v>0.64886815851348634</v>
      </c>
      <c r="J342">
        <v>0</v>
      </c>
      <c r="K342">
        <v>0</v>
      </c>
      <c r="L342">
        <v>0</v>
      </c>
      <c r="M342">
        <v>0</v>
      </c>
      <c r="N342">
        <v>0</v>
      </c>
      <c r="O342">
        <v>0</v>
      </c>
      <c r="P342">
        <v>0</v>
      </c>
      <c r="Q342">
        <v>0</v>
      </c>
      <c r="R342">
        <v>0</v>
      </c>
      <c r="S342">
        <v>0</v>
      </c>
      <c r="T342">
        <v>0</v>
      </c>
      <c r="U342">
        <v>0.35113184148651366</v>
      </c>
      <c r="V342">
        <v>0</v>
      </c>
      <c r="W342">
        <v>0</v>
      </c>
      <c r="X342">
        <v>0</v>
      </c>
      <c r="Y342">
        <v>0</v>
      </c>
      <c r="Z342">
        <v>0.64886815851348634</v>
      </c>
      <c r="AA342">
        <v>0</v>
      </c>
      <c r="AB342">
        <v>0</v>
      </c>
      <c r="AC342">
        <v>0</v>
      </c>
      <c r="AD342">
        <v>0</v>
      </c>
      <c r="AE342" t="s">
        <v>246</v>
      </c>
      <c r="AF342">
        <v>20</v>
      </c>
      <c r="AG342" t="s">
        <v>190</v>
      </c>
      <c r="AH342">
        <v>46232</v>
      </c>
      <c r="AI342" t="s">
        <v>149</v>
      </c>
    </row>
    <row r="343" spans="1:35" x14ac:dyDescent="0.25">
      <c r="A343" s="1">
        <v>46233</v>
      </c>
      <c r="B343" t="s">
        <v>97</v>
      </c>
      <c r="C343" t="s">
        <v>12</v>
      </c>
      <c r="D343">
        <v>0.4747074335411437</v>
      </c>
      <c r="E343">
        <v>0.95</v>
      </c>
      <c r="F343">
        <v>0.95</v>
      </c>
      <c r="G343">
        <v>0.86877828054298623</v>
      </c>
      <c r="H343">
        <v>2.0012326179797686</v>
      </c>
      <c r="I343">
        <v>2.0012326179797686</v>
      </c>
      <c r="J343">
        <v>1.8301341398052655</v>
      </c>
      <c r="K343">
        <v>0</v>
      </c>
      <c r="L343">
        <v>0</v>
      </c>
      <c r="M343">
        <v>0.17109847817450308</v>
      </c>
      <c r="N343">
        <v>0</v>
      </c>
      <c r="O343">
        <v>0.58013413980526551</v>
      </c>
      <c r="P343">
        <v>0</v>
      </c>
      <c r="Q343">
        <v>0.25</v>
      </c>
      <c r="R343">
        <v>0</v>
      </c>
      <c r="S343">
        <v>0</v>
      </c>
      <c r="T343">
        <v>0</v>
      </c>
      <c r="U343">
        <v>0</v>
      </c>
      <c r="V343">
        <v>0</v>
      </c>
      <c r="W343">
        <v>0</v>
      </c>
      <c r="X343">
        <v>0</v>
      </c>
      <c r="Y343">
        <v>1</v>
      </c>
      <c r="Z343">
        <v>0</v>
      </c>
      <c r="AA343">
        <v>0</v>
      </c>
      <c r="AB343">
        <v>0</v>
      </c>
      <c r="AC343">
        <v>0</v>
      </c>
      <c r="AD343">
        <v>0</v>
      </c>
      <c r="AE343" t="s">
        <v>246</v>
      </c>
      <c r="AF343">
        <v>20</v>
      </c>
      <c r="AG343" t="s">
        <v>191</v>
      </c>
      <c r="AH343">
        <v>46233</v>
      </c>
      <c r="AI343" t="s">
        <v>149</v>
      </c>
    </row>
    <row r="344" spans="1:35" x14ac:dyDescent="0.25">
      <c r="A344" s="1">
        <v>46233</v>
      </c>
      <c r="B344" t="s">
        <v>97</v>
      </c>
      <c r="C344" t="s">
        <v>10</v>
      </c>
      <c r="D344">
        <v>1.3199182298461063</v>
      </c>
      <c r="E344">
        <v>1.9</v>
      </c>
      <c r="F344">
        <v>1.9</v>
      </c>
      <c r="G344">
        <v>0</v>
      </c>
      <c r="H344">
        <v>1.4394831111784305</v>
      </c>
      <c r="I344">
        <v>1.4394831111784305</v>
      </c>
      <c r="J344">
        <v>0</v>
      </c>
      <c r="K344">
        <v>0</v>
      </c>
      <c r="L344">
        <v>0</v>
      </c>
      <c r="M344">
        <v>0</v>
      </c>
      <c r="N344">
        <v>0</v>
      </c>
      <c r="O344">
        <v>0</v>
      </c>
      <c r="P344">
        <v>0</v>
      </c>
      <c r="Q344">
        <v>0</v>
      </c>
      <c r="R344">
        <v>0</v>
      </c>
      <c r="S344">
        <v>0</v>
      </c>
      <c r="T344">
        <v>0</v>
      </c>
      <c r="U344">
        <v>0</v>
      </c>
      <c r="V344">
        <v>0</v>
      </c>
      <c r="W344">
        <v>0</v>
      </c>
      <c r="X344">
        <v>0</v>
      </c>
      <c r="Y344">
        <v>0</v>
      </c>
      <c r="Z344">
        <v>1</v>
      </c>
      <c r="AA344">
        <v>0</v>
      </c>
      <c r="AB344">
        <v>0</v>
      </c>
      <c r="AC344">
        <v>0</v>
      </c>
      <c r="AD344">
        <v>0</v>
      </c>
      <c r="AE344" t="s">
        <v>246</v>
      </c>
      <c r="AF344">
        <v>20</v>
      </c>
      <c r="AG344" t="s">
        <v>192</v>
      </c>
      <c r="AH344">
        <v>46233</v>
      </c>
      <c r="AI344" t="s">
        <v>149</v>
      </c>
    </row>
    <row r="345" spans="1:35" x14ac:dyDescent="0.25">
      <c r="A345" s="1">
        <v>46233</v>
      </c>
      <c r="B345" t="s">
        <v>97</v>
      </c>
      <c r="C345" t="s">
        <v>11</v>
      </c>
      <c r="D345">
        <v>2.3373551986858141</v>
      </c>
      <c r="E345">
        <v>0.95</v>
      </c>
      <c r="F345">
        <v>0.95</v>
      </c>
      <c r="G345">
        <v>0.92307692307692291</v>
      </c>
      <c r="H345">
        <v>0.40644229021508615</v>
      </c>
      <c r="I345">
        <v>0.40644229021508615</v>
      </c>
      <c r="J345">
        <v>0.39492368280008361</v>
      </c>
      <c r="K345">
        <v>0</v>
      </c>
      <c r="L345">
        <v>0</v>
      </c>
      <c r="M345">
        <v>0</v>
      </c>
      <c r="N345">
        <v>0</v>
      </c>
      <c r="O345">
        <v>0</v>
      </c>
      <c r="P345">
        <v>0</v>
      </c>
      <c r="Q345">
        <v>0</v>
      </c>
      <c r="R345">
        <v>0</v>
      </c>
      <c r="S345">
        <v>0</v>
      </c>
      <c r="T345">
        <v>0</v>
      </c>
      <c r="U345">
        <v>0.59355770978491385</v>
      </c>
      <c r="V345">
        <v>0</v>
      </c>
      <c r="W345">
        <v>1.1518607415002546E-2</v>
      </c>
      <c r="X345">
        <v>0</v>
      </c>
      <c r="Y345">
        <v>0.39492368280008361</v>
      </c>
      <c r="Z345">
        <v>0</v>
      </c>
      <c r="AA345">
        <v>0</v>
      </c>
      <c r="AB345">
        <v>0</v>
      </c>
      <c r="AC345">
        <v>0</v>
      </c>
      <c r="AD345">
        <v>0</v>
      </c>
      <c r="AE345" t="s">
        <v>246</v>
      </c>
      <c r="AF345">
        <v>20</v>
      </c>
      <c r="AG345" t="s">
        <v>193</v>
      </c>
      <c r="AH345">
        <v>46233</v>
      </c>
      <c r="AI345" t="s">
        <v>149</v>
      </c>
    </row>
    <row r="346" spans="1:35" x14ac:dyDescent="0.25">
      <c r="A346" s="1">
        <v>46234</v>
      </c>
      <c r="B346" t="s">
        <v>97</v>
      </c>
      <c r="C346" t="s">
        <v>11</v>
      </c>
      <c r="D346">
        <v>2.3373551986858141</v>
      </c>
      <c r="E346">
        <v>0</v>
      </c>
      <c r="F346">
        <v>0</v>
      </c>
      <c r="G346">
        <v>0.92307692307692291</v>
      </c>
      <c r="H346">
        <v>0</v>
      </c>
      <c r="I346">
        <v>0</v>
      </c>
      <c r="J346">
        <v>0.39492368280008361</v>
      </c>
      <c r="K346">
        <v>0</v>
      </c>
      <c r="L346">
        <v>0</v>
      </c>
      <c r="M346">
        <v>0</v>
      </c>
      <c r="N346">
        <v>0</v>
      </c>
      <c r="O346">
        <v>0</v>
      </c>
      <c r="P346">
        <v>0</v>
      </c>
      <c r="Q346">
        <v>0</v>
      </c>
      <c r="R346">
        <v>0</v>
      </c>
      <c r="S346">
        <v>0</v>
      </c>
      <c r="T346">
        <v>0.39492368280008361</v>
      </c>
      <c r="U346">
        <v>0.60507631719991639</v>
      </c>
      <c r="V346">
        <v>0</v>
      </c>
      <c r="W346">
        <v>0</v>
      </c>
      <c r="X346">
        <v>0</v>
      </c>
      <c r="Y346">
        <v>0</v>
      </c>
      <c r="Z346">
        <v>0</v>
      </c>
      <c r="AA346">
        <v>0</v>
      </c>
      <c r="AB346">
        <v>0</v>
      </c>
      <c r="AC346">
        <v>0</v>
      </c>
      <c r="AD346">
        <v>0</v>
      </c>
      <c r="AE346" t="s">
        <v>246</v>
      </c>
      <c r="AF346">
        <v>20</v>
      </c>
      <c r="AG346" t="s">
        <v>195</v>
      </c>
      <c r="AH346">
        <v>46234</v>
      </c>
      <c r="AI346" t="s">
        <v>149</v>
      </c>
    </row>
    <row r="347" spans="1:35" x14ac:dyDescent="0.25">
      <c r="A347" s="1">
        <v>46234</v>
      </c>
      <c r="B347" t="s">
        <v>97</v>
      </c>
      <c r="C347" t="s">
        <v>12</v>
      </c>
      <c r="D347">
        <v>0.25998389375756648</v>
      </c>
      <c r="E347">
        <v>0</v>
      </c>
      <c r="F347">
        <v>0</v>
      </c>
      <c r="G347">
        <v>0.97737556561085948</v>
      </c>
      <c r="H347">
        <v>0</v>
      </c>
      <c r="I347">
        <v>0</v>
      </c>
      <c r="J347">
        <v>3.7593696728084884</v>
      </c>
      <c r="K347">
        <v>2.7593696728084884</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t="s">
        <v>246</v>
      </c>
      <c r="AF347">
        <v>20</v>
      </c>
      <c r="AG347" t="s">
        <v>196</v>
      </c>
      <c r="AH347">
        <v>46234</v>
      </c>
      <c r="AI347" t="s">
        <v>149</v>
      </c>
    </row>
    <row r="348" spans="1:35" x14ac:dyDescent="0.25">
      <c r="A348" s="1">
        <v>46234</v>
      </c>
      <c r="B348" t="s">
        <v>97</v>
      </c>
      <c r="C348" t="s">
        <v>10</v>
      </c>
      <c r="D348">
        <v>1.3702008290783394</v>
      </c>
      <c r="E348">
        <v>1.9</v>
      </c>
      <c r="F348">
        <v>1.9</v>
      </c>
      <c r="G348">
        <v>0.92307692307692291</v>
      </c>
      <c r="H348">
        <v>1.3866580428783042</v>
      </c>
      <c r="I348">
        <v>1.3866580428783042</v>
      </c>
      <c r="J348">
        <v>0.67368002083156475</v>
      </c>
      <c r="K348">
        <v>0</v>
      </c>
      <c r="L348">
        <v>0</v>
      </c>
      <c r="M348">
        <v>0.13665804287830419</v>
      </c>
      <c r="N348">
        <v>0</v>
      </c>
      <c r="O348">
        <v>0</v>
      </c>
      <c r="P348">
        <v>0</v>
      </c>
      <c r="Q348">
        <v>0</v>
      </c>
      <c r="R348">
        <v>0</v>
      </c>
      <c r="S348">
        <v>0.25</v>
      </c>
      <c r="T348">
        <v>0</v>
      </c>
      <c r="U348">
        <v>0</v>
      </c>
      <c r="V348">
        <v>0</v>
      </c>
      <c r="W348">
        <v>0.32631997916843525</v>
      </c>
      <c r="X348">
        <v>0</v>
      </c>
      <c r="Y348">
        <v>0.67368002083156475</v>
      </c>
      <c r="Z348">
        <v>0</v>
      </c>
      <c r="AA348">
        <v>0</v>
      </c>
      <c r="AB348">
        <v>0</v>
      </c>
      <c r="AC348">
        <v>0</v>
      </c>
      <c r="AD348">
        <v>0</v>
      </c>
      <c r="AE348" t="s">
        <v>246</v>
      </c>
      <c r="AF348">
        <v>20</v>
      </c>
      <c r="AG348" t="s">
        <v>194</v>
      </c>
      <c r="AH348">
        <v>46234</v>
      </c>
      <c r="AI348" t="s">
        <v>149</v>
      </c>
    </row>
    <row r="349" spans="1:35" x14ac:dyDescent="0.25">
      <c r="A349" s="1">
        <v>46235</v>
      </c>
      <c r="B349" t="s">
        <v>97</v>
      </c>
      <c r="C349" t="s">
        <v>11</v>
      </c>
      <c r="D349">
        <v>1.9343629230503288</v>
      </c>
      <c r="E349">
        <v>0.95</v>
      </c>
      <c r="F349">
        <v>0.95</v>
      </c>
      <c r="G349">
        <v>0.92307692307692291</v>
      </c>
      <c r="H349">
        <v>0.49111776734322909</v>
      </c>
      <c r="I349">
        <v>0.49111776734322909</v>
      </c>
      <c r="J349">
        <v>0.47719945005010111</v>
      </c>
      <c r="K349">
        <v>0</v>
      </c>
      <c r="L349">
        <v>0</v>
      </c>
      <c r="M349">
        <v>0</v>
      </c>
      <c r="N349">
        <v>0</v>
      </c>
      <c r="O349">
        <v>0</v>
      </c>
      <c r="P349">
        <v>0</v>
      </c>
      <c r="Q349">
        <v>0</v>
      </c>
      <c r="R349">
        <v>0</v>
      </c>
      <c r="S349">
        <v>0</v>
      </c>
      <c r="T349">
        <v>0</v>
      </c>
      <c r="U349">
        <v>0.50888223265677091</v>
      </c>
      <c r="V349">
        <v>0</v>
      </c>
      <c r="W349">
        <v>1.391831729312798E-2</v>
      </c>
      <c r="X349">
        <v>0</v>
      </c>
      <c r="Y349">
        <v>0.47719945005010111</v>
      </c>
      <c r="Z349">
        <v>0</v>
      </c>
      <c r="AA349">
        <v>0</v>
      </c>
      <c r="AB349">
        <v>0</v>
      </c>
      <c r="AC349">
        <v>0</v>
      </c>
      <c r="AD349">
        <v>0</v>
      </c>
      <c r="AE349" t="s">
        <v>246</v>
      </c>
      <c r="AF349">
        <v>20</v>
      </c>
      <c r="AG349" t="s">
        <v>199</v>
      </c>
      <c r="AH349">
        <v>46235</v>
      </c>
      <c r="AI349" t="s">
        <v>149</v>
      </c>
    </row>
    <row r="350" spans="1:35" x14ac:dyDescent="0.25">
      <c r="A350" s="1">
        <v>46235</v>
      </c>
      <c r="B350" t="s">
        <v>97</v>
      </c>
      <c r="C350" t="s">
        <v>10</v>
      </c>
      <c r="D350">
        <v>1.3457989794509324</v>
      </c>
      <c r="E350">
        <v>0.95</v>
      </c>
      <c r="F350">
        <v>0.95</v>
      </c>
      <c r="G350">
        <v>0.92307692307692291</v>
      </c>
      <c r="H350">
        <v>0.70590037182788401</v>
      </c>
      <c r="I350">
        <v>0.70590037182788401</v>
      </c>
      <c r="J350">
        <v>0.68589509813235683</v>
      </c>
      <c r="K350">
        <v>0</v>
      </c>
      <c r="L350">
        <v>0</v>
      </c>
      <c r="M350">
        <v>0</v>
      </c>
      <c r="N350">
        <v>0</v>
      </c>
      <c r="O350">
        <v>0</v>
      </c>
      <c r="P350">
        <v>0</v>
      </c>
      <c r="Q350">
        <v>0</v>
      </c>
      <c r="R350">
        <v>0</v>
      </c>
      <c r="S350">
        <v>0</v>
      </c>
      <c r="T350">
        <v>0</v>
      </c>
      <c r="U350">
        <v>0.29409962817211599</v>
      </c>
      <c r="V350">
        <v>0</v>
      </c>
      <c r="W350">
        <v>2.0005273695527181E-2</v>
      </c>
      <c r="X350">
        <v>0</v>
      </c>
      <c r="Y350">
        <v>0.68589509813235683</v>
      </c>
      <c r="Z350">
        <v>0</v>
      </c>
      <c r="AA350">
        <v>0</v>
      </c>
      <c r="AB350">
        <v>0</v>
      </c>
      <c r="AC350">
        <v>0</v>
      </c>
      <c r="AD350">
        <v>0</v>
      </c>
      <c r="AE350" t="s">
        <v>246</v>
      </c>
      <c r="AF350">
        <v>20</v>
      </c>
      <c r="AG350" t="s">
        <v>197</v>
      </c>
      <c r="AH350">
        <v>46235</v>
      </c>
      <c r="AI350" t="s">
        <v>149</v>
      </c>
    </row>
    <row r="351" spans="1:35" x14ac:dyDescent="0.25">
      <c r="A351" s="1">
        <v>46235</v>
      </c>
      <c r="B351" t="s">
        <v>97</v>
      </c>
      <c r="C351" t="s">
        <v>12</v>
      </c>
      <c r="D351">
        <v>0.2337355198685814</v>
      </c>
      <c r="E351">
        <v>0</v>
      </c>
      <c r="F351">
        <v>0</v>
      </c>
      <c r="G351">
        <v>0.92307692307692291</v>
      </c>
      <c r="H351">
        <v>0</v>
      </c>
      <c r="I351">
        <v>0</v>
      </c>
      <c r="J351">
        <v>3.9492368280008363</v>
      </c>
      <c r="K351">
        <v>2.9492368280008363</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t="s">
        <v>246</v>
      </c>
      <c r="AF351">
        <v>20</v>
      </c>
      <c r="AG351" t="s">
        <v>198</v>
      </c>
      <c r="AH351">
        <v>46235</v>
      </c>
      <c r="AI351" t="s">
        <v>149</v>
      </c>
    </row>
    <row r="352" spans="1:35" x14ac:dyDescent="0.25">
      <c r="A352" s="1">
        <v>46236</v>
      </c>
      <c r="B352" t="s">
        <v>97</v>
      </c>
      <c r="C352" t="s">
        <v>12</v>
      </c>
      <c r="D352">
        <v>0.19692328429155617</v>
      </c>
      <c r="E352">
        <v>0.95</v>
      </c>
      <c r="F352">
        <v>0.95</v>
      </c>
      <c r="G352">
        <v>0.92307692307692291</v>
      </c>
      <c r="H352">
        <v>4.8242136698952809</v>
      </c>
      <c r="I352">
        <v>4.8242136698952809</v>
      </c>
      <c r="J352">
        <v>4.6874950638658595</v>
      </c>
      <c r="K352">
        <v>0</v>
      </c>
      <c r="L352">
        <v>0</v>
      </c>
      <c r="M352">
        <v>0.13671860602942143</v>
      </c>
      <c r="N352">
        <v>0</v>
      </c>
      <c r="O352">
        <v>3.4374950638658595</v>
      </c>
      <c r="P352">
        <v>0</v>
      </c>
      <c r="Q352">
        <v>0.25</v>
      </c>
      <c r="R352">
        <v>0</v>
      </c>
      <c r="S352">
        <v>0</v>
      </c>
      <c r="T352">
        <v>0</v>
      </c>
      <c r="U352">
        <v>0</v>
      </c>
      <c r="V352">
        <v>0</v>
      </c>
      <c r="W352">
        <v>0</v>
      </c>
      <c r="X352">
        <v>0</v>
      </c>
      <c r="Y352">
        <v>1</v>
      </c>
      <c r="Z352">
        <v>0</v>
      </c>
      <c r="AA352">
        <v>0</v>
      </c>
      <c r="AB352">
        <v>0</v>
      </c>
      <c r="AC352">
        <v>0</v>
      </c>
      <c r="AD352">
        <v>0</v>
      </c>
      <c r="AE352" t="s">
        <v>246</v>
      </c>
      <c r="AF352">
        <v>20</v>
      </c>
      <c r="AG352" t="s">
        <v>200</v>
      </c>
      <c r="AH352">
        <v>46236</v>
      </c>
      <c r="AI352" t="s">
        <v>149</v>
      </c>
    </row>
    <row r="353" spans="1:35" x14ac:dyDescent="0.25">
      <c r="A353" s="1">
        <v>46236</v>
      </c>
      <c r="B353" t="s">
        <v>97</v>
      </c>
      <c r="C353" t="s">
        <v>11</v>
      </c>
      <c r="D353">
        <v>1.824053664856772</v>
      </c>
      <c r="E353">
        <v>0.95</v>
      </c>
      <c r="F353">
        <v>0.95</v>
      </c>
      <c r="G353">
        <v>0.92307692307692291</v>
      </c>
      <c r="H353">
        <v>0.52081801007460804</v>
      </c>
      <c r="I353">
        <v>0.52081801007460804</v>
      </c>
      <c r="J353">
        <v>0.50605798549759473</v>
      </c>
      <c r="K353">
        <v>0</v>
      </c>
      <c r="L353">
        <v>0</v>
      </c>
      <c r="M353">
        <v>0</v>
      </c>
      <c r="N353">
        <v>0</v>
      </c>
      <c r="O353">
        <v>0</v>
      </c>
      <c r="P353">
        <v>0</v>
      </c>
      <c r="Q353">
        <v>0</v>
      </c>
      <c r="R353">
        <v>0</v>
      </c>
      <c r="S353">
        <v>0</v>
      </c>
      <c r="T353">
        <v>0</v>
      </c>
      <c r="U353">
        <v>0.47918198992539196</v>
      </c>
      <c r="V353">
        <v>0</v>
      </c>
      <c r="W353">
        <v>1.4760024577013309E-2</v>
      </c>
      <c r="X353">
        <v>0</v>
      </c>
      <c r="Y353">
        <v>0.50605798549759473</v>
      </c>
      <c r="Z353">
        <v>0</v>
      </c>
      <c r="AA353">
        <v>0</v>
      </c>
      <c r="AB353">
        <v>0</v>
      </c>
      <c r="AC353">
        <v>0</v>
      </c>
      <c r="AD353">
        <v>0</v>
      </c>
      <c r="AE353" t="s">
        <v>246</v>
      </c>
      <c r="AF353">
        <v>20</v>
      </c>
      <c r="AG353" t="s">
        <v>201</v>
      </c>
      <c r="AH353">
        <v>46236</v>
      </c>
      <c r="AI353" t="s">
        <v>149</v>
      </c>
    </row>
    <row r="354" spans="1:35" x14ac:dyDescent="0.25">
      <c r="A354" s="1">
        <v>46236</v>
      </c>
      <c r="B354" t="s">
        <v>97</v>
      </c>
      <c r="C354" t="s">
        <v>10</v>
      </c>
      <c r="D354">
        <v>6.5367379001902437</v>
      </c>
      <c r="E354">
        <v>0</v>
      </c>
      <c r="F354">
        <v>0</v>
      </c>
      <c r="G354">
        <v>0.92307692307692291</v>
      </c>
      <c r="H354">
        <v>0</v>
      </c>
      <c r="I354">
        <v>0</v>
      </c>
      <c r="J354">
        <v>0.14121369667430875</v>
      </c>
      <c r="K354">
        <v>0</v>
      </c>
      <c r="L354">
        <v>0</v>
      </c>
      <c r="M354">
        <v>0</v>
      </c>
      <c r="N354">
        <v>0</v>
      </c>
      <c r="O354">
        <v>0</v>
      </c>
      <c r="P354">
        <v>0</v>
      </c>
      <c r="Q354">
        <v>0</v>
      </c>
      <c r="R354">
        <v>0</v>
      </c>
      <c r="S354">
        <v>0</v>
      </c>
      <c r="T354">
        <v>0.14121369667430875</v>
      </c>
      <c r="U354">
        <v>0.85878630332569128</v>
      </c>
      <c r="V354">
        <v>0</v>
      </c>
      <c r="W354">
        <v>0</v>
      </c>
      <c r="X354">
        <v>0</v>
      </c>
      <c r="Y354">
        <v>0</v>
      </c>
      <c r="Z354">
        <v>0</v>
      </c>
      <c r="AA354">
        <v>0</v>
      </c>
      <c r="AB354">
        <v>0</v>
      </c>
      <c r="AC354">
        <v>0</v>
      </c>
      <c r="AD354">
        <v>0</v>
      </c>
      <c r="AE354" t="s">
        <v>246</v>
      </c>
      <c r="AF354">
        <v>20</v>
      </c>
      <c r="AG354" t="s">
        <v>202</v>
      </c>
      <c r="AH354">
        <v>46236</v>
      </c>
      <c r="AI354" t="s">
        <v>149</v>
      </c>
    </row>
    <row r="355" spans="1:35" x14ac:dyDescent="0.25">
      <c r="A355" s="1">
        <v>46237</v>
      </c>
      <c r="B355" t="s">
        <v>97</v>
      </c>
      <c r="C355" t="s">
        <v>10</v>
      </c>
      <c r="D355">
        <v>1.204135928982413</v>
      </c>
      <c r="E355">
        <v>0.95</v>
      </c>
      <c r="F355">
        <v>0.95</v>
      </c>
      <c r="G355">
        <v>0.9230769230769228</v>
      </c>
      <c r="H355">
        <v>0.78894747439587043</v>
      </c>
      <c r="I355">
        <v>0.78894747439587043</v>
      </c>
      <c r="J355">
        <v>0.76658863908910468</v>
      </c>
      <c r="K355">
        <v>0</v>
      </c>
      <c r="L355">
        <v>0</v>
      </c>
      <c r="M355">
        <v>0</v>
      </c>
      <c r="N355">
        <v>0</v>
      </c>
      <c r="O355">
        <v>0</v>
      </c>
      <c r="P355">
        <v>0</v>
      </c>
      <c r="Q355">
        <v>0</v>
      </c>
      <c r="R355">
        <v>0</v>
      </c>
      <c r="S355">
        <v>0</v>
      </c>
      <c r="T355">
        <v>0</v>
      </c>
      <c r="U355">
        <v>0.21105252560412957</v>
      </c>
      <c r="V355">
        <v>0</v>
      </c>
      <c r="W355">
        <v>2.2358835306765745E-2</v>
      </c>
      <c r="X355">
        <v>0</v>
      </c>
      <c r="Y355">
        <v>0.76658863908910468</v>
      </c>
      <c r="Z355">
        <v>0</v>
      </c>
      <c r="AA355">
        <v>0</v>
      </c>
      <c r="AB355">
        <v>0</v>
      </c>
      <c r="AC355">
        <v>0</v>
      </c>
      <c r="AD355">
        <v>0</v>
      </c>
      <c r="AE355" t="s">
        <v>246</v>
      </c>
      <c r="AF355">
        <v>20</v>
      </c>
      <c r="AG355" t="s">
        <v>203</v>
      </c>
      <c r="AH355">
        <v>46237</v>
      </c>
      <c r="AI355" t="s">
        <v>149</v>
      </c>
    </row>
    <row r="356" spans="1:35" x14ac:dyDescent="0.25">
      <c r="A356" s="1">
        <v>46237</v>
      </c>
      <c r="B356" t="s">
        <v>97</v>
      </c>
      <c r="C356" t="s">
        <v>11</v>
      </c>
      <c r="D356">
        <v>1.9343629230503288</v>
      </c>
      <c r="E356">
        <v>0</v>
      </c>
      <c r="F356">
        <v>0</v>
      </c>
      <c r="G356">
        <v>0.92307692307692291</v>
      </c>
      <c r="H356">
        <v>0</v>
      </c>
      <c r="I356">
        <v>0</v>
      </c>
      <c r="J356">
        <v>0.47719945005010111</v>
      </c>
      <c r="K356">
        <v>0</v>
      </c>
      <c r="L356">
        <v>0</v>
      </c>
      <c r="M356">
        <v>0</v>
      </c>
      <c r="N356">
        <v>0</v>
      </c>
      <c r="O356">
        <v>0</v>
      </c>
      <c r="P356">
        <v>0</v>
      </c>
      <c r="Q356">
        <v>0</v>
      </c>
      <c r="R356">
        <v>0</v>
      </c>
      <c r="S356">
        <v>0</v>
      </c>
      <c r="T356">
        <v>0.47719945005010111</v>
      </c>
      <c r="U356">
        <v>0.52280054994989889</v>
      </c>
      <c r="V356">
        <v>0</v>
      </c>
      <c r="W356">
        <v>0</v>
      </c>
      <c r="X356">
        <v>0</v>
      </c>
      <c r="Y356">
        <v>0</v>
      </c>
      <c r="Z356">
        <v>0</v>
      </c>
      <c r="AA356">
        <v>0</v>
      </c>
      <c r="AB356">
        <v>0</v>
      </c>
      <c r="AC356">
        <v>0</v>
      </c>
      <c r="AD356">
        <v>0</v>
      </c>
      <c r="AE356" t="s">
        <v>246</v>
      </c>
      <c r="AF356">
        <v>20</v>
      </c>
      <c r="AG356" t="s">
        <v>204</v>
      </c>
      <c r="AH356">
        <v>46237</v>
      </c>
      <c r="AI356" t="s">
        <v>149</v>
      </c>
    </row>
    <row r="357" spans="1:35" x14ac:dyDescent="0.25">
      <c r="A357" s="1">
        <v>46237</v>
      </c>
      <c r="B357" t="s">
        <v>97</v>
      </c>
      <c r="C357" t="s">
        <v>12</v>
      </c>
      <c r="D357">
        <v>0.61943530962076054</v>
      </c>
      <c r="E357">
        <v>0</v>
      </c>
      <c r="F357">
        <v>0</v>
      </c>
      <c r="G357">
        <v>0.92307692307692291</v>
      </c>
      <c r="H357">
        <v>0</v>
      </c>
      <c r="I357">
        <v>0</v>
      </c>
      <c r="J357">
        <v>1.4901909993507831</v>
      </c>
      <c r="K357">
        <v>0.49019099935078314</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t="s">
        <v>246</v>
      </c>
      <c r="AF357">
        <v>20</v>
      </c>
      <c r="AG357" t="s">
        <v>205</v>
      </c>
      <c r="AH357">
        <v>46237</v>
      </c>
      <c r="AI357" t="s">
        <v>149</v>
      </c>
    </row>
    <row r="358" spans="1:35" x14ac:dyDescent="0.25">
      <c r="A358" s="1">
        <v>46238</v>
      </c>
      <c r="B358" t="s">
        <v>97</v>
      </c>
      <c r="C358" t="s">
        <v>10</v>
      </c>
      <c r="D358">
        <v>1.4105008534629959</v>
      </c>
      <c r="E358">
        <v>0.95</v>
      </c>
      <c r="F358">
        <v>0.95</v>
      </c>
      <c r="G358">
        <v>0.96832579185520351</v>
      </c>
      <c r="H358">
        <v>0.6735196208266051</v>
      </c>
      <c r="I358">
        <v>0.6735196208266051</v>
      </c>
      <c r="J358">
        <v>0.68651202122835675</v>
      </c>
      <c r="K358">
        <v>0</v>
      </c>
      <c r="L358">
        <v>0</v>
      </c>
      <c r="M358">
        <v>0</v>
      </c>
      <c r="N358">
        <v>0</v>
      </c>
      <c r="O358">
        <v>0</v>
      </c>
      <c r="P358">
        <v>0</v>
      </c>
      <c r="Q358">
        <v>0</v>
      </c>
      <c r="R358">
        <v>0</v>
      </c>
      <c r="S358">
        <v>0</v>
      </c>
      <c r="T358">
        <v>1.2992400401751647E-2</v>
      </c>
      <c r="U358">
        <v>0.31348797877164325</v>
      </c>
      <c r="V358">
        <v>0</v>
      </c>
      <c r="W358">
        <v>0</v>
      </c>
      <c r="X358">
        <v>0</v>
      </c>
      <c r="Y358">
        <v>0.6735196208266051</v>
      </c>
      <c r="Z358">
        <v>0</v>
      </c>
      <c r="AA358">
        <v>0</v>
      </c>
      <c r="AB358">
        <v>0</v>
      </c>
      <c r="AC358">
        <v>0</v>
      </c>
      <c r="AD358">
        <v>0</v>
      </c>
      <c r="AE358" t="s">
        <v>246</v>
      </c>
      <c r="AF358">
        <v>20</v>
      </c>
      <c r="AG358" t="s">
        <v>208</v>
      </c>
      <c r="AH358">
        <v>46238</v>
      </c>
      <c r="AI358" t="s">
        <v>149</v>
      </c>
    </row>
    <row r="359" spans="1:35" x14ac:dyDescent="0.25">
      <c r="A359" s="1">
        <v>46238</v>
      </c>
      <c r="B359" t="s">
        <v>97</v>
      </c>
      <c r="C359" t="s">
        <v>11</v>
      </c>
      <c r="D359">
        <v>1.694582519047215</v>
      </c>
      <c r="E359">
        <v>2.8499999999999996</v>
      </c>
      <c r="F359">
        <v>2.8499999999999996</v>
      </c>
      <c r="G359">
        <v>0</v>
      </c>
      <c r="H359">
        <v>1.681830166407253</v>
      </c>
      <c r="I359">
        <v>1.681830166407253</v>
      </c>
      <c r="J359">
        <v>0</v>
      </c>
      <c r="K359">
        <v>0</v>
      </c>
      <c r="L359">
        <v>0</v>
      </c>
      <c r="M359">
        <v>0</v>
      </c>
      <c r="N359">
        <v>0</v>
      </c>
      <c r="O359">
        <v>0</v>
      </c>
      <c r="P359">
        <v>0</v>
      </c>
      <c r="Q359">
        <v>0</v>
      </c>
      <c r="R359">
        <v>0</v>
      </c>
      <c r="S359">
        <v>0</v>
      </c>
      <c r="T359">
        <v>0</v>
      </c>
      <c r="U359">
        <v>0</v>
      </c>
      <c r="V359">
        <v>0</v>
      </c>
      <c r="W359">
        <v>0</v>
      </c>
      <c r="X359">
        <v>0</v>
      </c>
      <c r="Y359">
        <v>0</v>
      </c>
      <c r="Z359">
        <v>1</v>
      </c>
      <c r="AA359">
        <v>0</v>
      </c>
      <c r="AB359">
        <v>0</v>
      </c>
      <c r="AC359">
        <v>0</v>
      </c>
      <c r="AD359">
        <v>0</v>
      </c>
      <c r="AE359" t="s">
        <v>246</v>
      </c>
      <c r="AF359">
        <v>20</v>
      </c>
      <c r="AG359" t="s">
        <v>207</v>
      </c>
      <c r="AH359">
        <v>46238</v>
      </c>
      <c r="AI359" t="s">
        <v>149</v>
      </c>
    </row>
    <row r="360" spans="1:35" x14ac:dyDescent="0.25">
      <c r="A360" s="1">
        <v>46238</v>
      </c>
      <c r="B360" t="s">
        <v>97</v>
      </c>
      <c r="C360" t="s">
        <v>12</v>
      </c>
      <c r="D360">
        <v>0.7755451745988422</v>
      </c>
      <c r="E360">
        <v>0</v>
      </c>
      <c r="F360">
        <v>0</v>
      </c>
      <c r="G360">
        <v>0.9896193771626296</v>
      </c>
      <c r="H360">
        <v>0</v>
      </c>
      <c r="I360">
        <v>0</v>
      </c>
      <c r="J360">
        <v>1.2760306034713185</v>
      </c>
      <c r="K360">
        <v>0.27603060347131847</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t="s">
        <v>246</v>
      </c>
      <c r="AF360">
        <v>20</v>
      </c>
      <c r="AG360" t="s">
        <v>206</v>
      </c>
      <c r="AH360">
        <v>46238</v>
      </c>
      <c r="AI360" t="s">
        <v>149</v>
      </c>
    </row>
    <row r="361" spans="1:35" x14ac:dyDescent="0.25">
      <c r="A361" s="1">
        <v>46239</v>
      </c>
      <c r="B361" t="s">
        <v>97</v>
      </c>
      <c r="C361" t="s">
        <v>11</v>
      </c>
      <c r="D361">
        <v>0</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t="s">
        <v>246</v>
      </c>
      <c r="AF361">
        <v>20</v>
      </c>
      <c r="AG361" t="s">
        <v>209</v>
      </c>
      <c r="AH361">
        <v>46239</v>
      </c>
      <c r="AI361" t="s">
        <v>149</v>
      </c>
    </row>
    <row r="362" spans="1:35" x14ac:dyDescent="0.25">
      <c r="A362" s="1">
        <v>46239</v>
      </c>
      <c r="B362" t="s">
        <v>97</v>
      </c>
      <c r="C362" t="s">
        <v>10</v>
      </c>
      <c r="D362">
        <v>2.0977271867197049</v>
      </c>
      <c r="E362">
        <v>0.95</v>
      </c>
      <c r="F362">
        <v>0.95</v>
      </c>
      <c r="G362">
        <v>0</v>
      </c>
      <c r="H362">
        <v>0.45287109115725899</v>
      </c>
      <c r="I362">
        <v>0.45287109115725899</v>
      </c>
      <c r="J362">
        <v>0</v>
      </c>
      <c r="K362">
        <v>0</v>
      </c>
      <c r="L362">
        <v>0</v>
      </c>
      <c r="M362">
        <v>0</v>
      </c>
      <c r="N362">
        <v>0</v>
      </c>
      <c r="O362">
        <v>0</v>
      </c>
      <c r="P362">
        <v>0</v>
      </c>
      <c r="Q362">
        <v>0</v>
      </c>
      <c r="R362">
        <v>0</v>
      </c>
      <c r="S362">
        <v>0</v>
      </c>
      <c r="T362">
        <v>0</v>
      </c>
      <c r="U362">
        <v>0.54712890884274101</v>
      </c>
      <c r="V362">
        <v>0</v>
      </c>
      <c r="W362">
        <v>0</v>
      </c>
      <c r="X362">
        <v>0</v>
      </c>
      <c r="Y362">
        <v>0</v>
      </c>
      <c r="Z362">
        <v>0.45287109115725899</v>
      </c>
      <c r="AA362">
        <v>0</v>
      </c>
      <c r="AB362">
        <v>0</v>
      </c>
      <c r="AC362">
        <v>0</v>
      </c>
      <c r="AD362">
        <v>0</v>
      </c>
      <c r="AE362" t="s">
        <v>246</v>
      </c>
      <c r="AF362">
        <v>20</v>
      </c>
      <c r="AG362" t="s">
        <v>211</v>
      </c>
      <c r="AH362">
        <v>46239</v>
      </c>
      <c r="AI362" t="s">
        <v>149</v>
      </c>
    </row>
    <row r="363" spans="1:35" x14ac:dyDescent="0.25">
      <c r="A363" s="1">
        <v>46239</v>
      </c>
      <c r="B363" t="s">
        <v>97</v>
      </c>
      <c r="C363" t="s">
        <v>12</v>
      </c>
      <c r="D363">
        <v>1.4176899505754474</v>
      </c>
      <c r="E363">
        <v>1.9</v>
      </c>
      <c r="F363">
        <v>1.9</v>
      </c>
      <c r="G363">
        <v>0.82352941176470573</v>
      </c>
      <c r="H363">
        <v>1.3402084138557802</v>
      </c>
      <c r="I363">
        <v>1.3402084138557802</v>
      </c>
      <c r="J363">
        <v>0.5808952877393474</v>
      </c>
      <c r="K363">
        <v>0</v>
      </c>
      <c r="L363">
        <v>0</v>
      </c>
      <c r="M363">
        <v>9.0208413855780156E-2</v>
      </c>
      <c r="N363">
        <v>0</v>
      </c>
      <c r="O363">
        <v>0</v>
      </c>
      <c r="P363">
        <v>0</v>
      </c>
      <c r="Q363">
        <v>0</v>
      </c>
      <c r="R363">
        <v>0</v>
      </c>
      <c r="S363">
        <v>0.25</v>
      </c>
      <c r="T363">
        <v>0</v>
      </c>
      <c r="U363">
        <v>0</v>
      </c>
      <c r="V363">
        <v>0</v>
      </c>
      <c r="W363">
        <v>0.4191047122606526</v>
      </c>
      <c r="X363">
        <v>0</v>
      </c>
      <c r="Y363">
        <v>0.5808952877393474</v>
      </c>
      <c r="Z363">
        <v>0</v>
      </c>
      <c r="AA363">
        <v>0</v>
      </c>
      <c r="AB363">
        <v>0</v>
      </c>
      <c r="AC363">
        <v>0</v>
      </c>
      <c r="AD363">
        <v>0</v>
      </c>
      <c r="AE363" t="s">
        <v>246</v>
      </c>
      <c r="AF363">
        <v>20</v>
      </c>
      <c r="AG363" t="s">
        <v>210</v>
      </c>
      <c r="AH363">
        <v>46239</v>
      </c>
      <c r="AI363" t="s">
        <v>149</v>
      </c>
    </row>
    <row r="364" spans="1:35" x14ac:dyDescent="0.25">
      <c r="A364" s="1">
        <v>46240</v>
      </c>
      <c r="B364" t="s">
        <v>97</v>
      </c>
      <c r="C364" t="s">
        <v>10</v>
      </c>
      <c r="D364">
        <v>1.965211586659759</v>
      </c>
      <c r="E364">
        <v>0.95</v>
      </c>
      <c r="F364">
        <v>0.95</v>
      </c>
      <c r="G364">
        <v>0</v>
      </c>
      <c r="H364">
        <v>0.48340850748529368</v>
      </c>
      <c r="I364">
        <v>0.48340850748529368</v>
      </c>
      <c r="J364">
        <v>0</v>
      </c>
      <c r="K364">
        <v>0</v>
      </c>
      <c r="L364">
        <v>0</v>
      </c>
      <c r="M364">
        <v>0</v>
      </c>
      <c r="N364">
        <v>0</v>
      </c>
      <c r="O364">
        <v>0</v>
      </c>
      <c r="P364">
        <v>0</v>
      </c>
      <c r="Q364">
        <v>0</v>
      </c>
      <c r="R364">
        <v>0</v>
      </c>
      <c r="S364">
        <v>0</v>
      </c>
      <c r="T364">
        <v>0</v>
      </c>
      <c r="U364">
        <v>0.51659149251470637</v>
      </c>
      <c r="V364">
        <v>0</v>
      </c>
      <c r="W364">
        <v>0</v>
      </c>
      <c r="X364">
        <v>0</v>
      </c>
      <c r="Y364">
        <v>0</v>
      </c>
      <c r="Z364">
        <v>0.48340850748529368</v>
      </c>
      <c r="AA364">
        <v>0</v>
      </c>
      <c r="AB364">
        <v>0</v>
      </c>
      <c r="AC364">
        <v>0</v>
      </c>
      <c r="AD364">
        <v>0</v>
      </c>
      <c r="AE364" t="s">
        <v>246</v>
      </c>
      <c r="AF364">
        <v>20</v>
      </c>
      <c r="AG364" t="s">
        <v>213</v>
      </c>
      <c r="AH364">
        <v>46240</v>
      </c>
      <c r="AI364" t="s">
        <v>149</v>
      </c>
    </row>
    <row r="365" spans="1:35" x14ac:dyDescent="0.25">
      <c r="A365" s="1">
        <v>46240</v>
      </c>
      <c r="B365" t="s">
        <v>97</v>
      </c>
      <c r="C365" t="s">
        <v>11</v>
      </c>
      <c r="D365">
        <v>0</v>
      </c>
      <c r="E365">
        <v>0.95</v>
      </c>
      <c r="F365">
        <v>0.95</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1</v>
      </c>
      <c r="AB365">
        <v>0</v>
      </c>
      <c r="AC365">
        <v>0</v>
      </c>
      <c r="AD365">
        <v>0</v>
      </c>
      <c r="AE365" t="s">
        <v>246</v>
      </c>
      <c r="AF365">
        <v>20</v>
      </c>
      <c r="AG365" t="s">
        <v>212</v>
      </c>
      <c r="AH365">
        <v>46240</v>
      </c>
      <c r="AI365" t="s">
        <v>149</v>
      </c>
    </row>
    <row r="366" spans="1:35" x14ac:dyDescent="0.25">
      <c r="A366" s="1">
        <v>46240</v>
      </c>
      <c r="B366" t="s">
        <v>97</v>
      </c>
      <c r="C366" t="s">
        <v>12</v>
      </c>
      <c r="D366">
        <v>1.3504718925740256</v>
      </c>
      <c r="E366">
        <v>0.95</v>
      </c>
      <c r="F366">
        <v>0.95</v>
      </c>
      <c r="G366">
        <v>0</v>
      </c>
      <c r="H366">
        <v>0.70345780998764929</v>
      </c>
      <c r="I366">
        <v>0.70345780998764929</v>
      </c>
      <c r="J366">
        <v>0</v>
      </c>
      <c r="K366">
        <v>0</v>
      </c>
      <c r="L366">
        <v>0</v>
      </c>
      <c r="M366">
        <v>0</v>
      </c>
      <c r="N366">
        <v>0</v>
      </c>
      <c r="O366">
        <v>0</v>
      </c>
      <c r="P366">
        <v>0</v>
      </c>
      <c r="Q366">
        <v>0</v>
      </c>
      <c r="R366">
        <v>0</v>
      </c>
      <c r="S366">
        <v>0</v>
      </c>
      <c r="T366">
        <v>0</v>
      </c>
      <c r="U366">
        <v>0.29654219001235071</v>
      </c>
      <c r="V366">
        <v>0</v>
      </c>
      <c r="W366">
        <v>0</v>
      </c>
      <c r="X366">
        <v>0</v>
      </c>
      <c r="Y366">
        <v>0</v>
      </c>
      <c r="Z366">
        <v>0.70345780998764929</v>
      </c>
      <c r="AA366">
        <v>0</v>
      </c>
      <c r="AB366">
        <v>0</v>
      </c>
      <c r="AC366">
        <v>0</v>
      </c>
      <c r="AD366">
        <v>0</v>
      </c>
      <c r="AE366" t="s">
        <v>246</v>
      </c>
      <c r="AF366">
        <v>20</v>
      </c>
      <c r="AG366" t="s">
        <v>214</v>
      </c>
      <c r="AH366">
        <v>46240</v>
      </c>
      <c r="AI366" t="s">
        <v>149</v>
      </c>
    </row>
    <row r="367" spans="1:35" x14ac:dyDescent="0.25">
      <c r="A367" s="1">
        <v>46241</v>
      </c>
      <c r="B367" t="s">
        <v>97</v>
      </c>
      <c r="C367" t="s">
        <v>12</v>
      </c>
      <c r="D367">
        <v>1.4299114156666155</v>
      </c>
      <c r="E367">
        <v>0.95</v>
      </c>
      <c r="F367">
        <v>0.95</v>
      </c>
      <c r="G367">
        <v>0</v>
      </c>
      <c r="H367">
        <v>0.66437682054389091</v>
      </c>
      <c r="I367">
        <v>0.66437682054389091</v>
      </c>
      <c r="J367">
        <v>0</v>
      </c>
      <c r="K367">
        <v>0</v>
      </c>
      <c r="L367">
        <v>0</v>
      </c>
      <c r="M367">
        <v>0</v>
      </c>
      <c r="N367">
        <v>0</v>
      </c>
      <c r="O367">
        <v>0</v>
      </c>
      <c r="P367">
        <v>0</v>
      </c>
      <c r="Q367">
        <v>0</v>
      </c>
      <c r="R367">
        <v>0</v>
      </c>
      <c r="S367">
        <v>0</v>
      </c>
      <c r="T367">
        <v>0</v>
      </c>
      <c r="U367">
        <v>0.33562317945610909</v>
      </c>
      <c r="V367">
        <v>0</v>
      </c>
      <c r="W367">
        <v>0</v>
      </c>
      <c r="X367">
        <v>0</v>
      </c>
      <c r="Y367">
        <v>0</v>
      </c>
      <c r="Z367">
        <v>0.66437682054389091</v>
      </c>
      <c r="AA367">
        <v>0</v>
      </c>
      <c r="AB367">
        <v>0</v>
      </c>
      <c r="AC367">
        <v>0</v>
      </c>
      <c r="AD367">
        <v>0</v>
      </c>
      <c r="AE367" t="s">
        <v>246</v>
      </c>
      <c r="AF367">
        <v>20</v>
      </c>
      <c r="AG367" t="s">
        <v>215</v>
      </c>
      <c r="AH367">
        <v>46241</v>
      </c>
      <c r="AI367" t="s">
        <v>149</v>
      </c>
    </row>
    <row r="368" spans="1:35" x14ac:dyDescent="0.25">
      <c r="A368" s="1">
        <v>46241</v>
      </c>
      <c r="B368" t="s">
        <v>97</v>
      </c>
      <c r="C368" t="s">
        <v>11</v>
      </c>
      <c r="D368">
        <v>0</v>
      </c>
      <c r="E368">
        <v>0.95</v>
      </c>
      <c r="F368">
        <v>0.95</v>
      </c>
      <c r="G368">
        <v>0</v>
      </c>
      <c r="H368">
        <v>0</v>
      </c>
      <c r="I368">
        <v>0</v>
      </c>
      <c r="J368">
        <v>0</v>
      </c>
      <c r="K368">
        <v>0</v>
      </c>
      <c r="L368">
        <v>0</v>
      </c>
      <c r="M368">
        <v>0</v>
      </c>
      <c r="N368">
        <v>0</v>
      </c>
      <c r="O368">
        <v>0</v>
      </c>
      <c r="P368">
        <v>0</v>
      </c>
      <c r="Q368">
        <v>0</v>
      </c>
      <c r="R368">
        <v>0</v>
      </c>
      <c r="S368">
        <v>0</v>
      </c>
      <c r="T368">
        <v>0</v>
      </c>
      <c r="U368">
        <v>0</v>
      </c>
      <c r="V368">
        <v>0</v>
      </c>
      <c r="W368">
        <v>0</v>
      </c>
      <c r="X368">
        <v>0</v>
      </c>
      <c r="Y368">
        <v>0</v>
      </c>
      <c r="Z368">
        <v>0</v>
      </c>
      <c r="AA368">
        <v>1</v>
      </c>
      <c r="AB368">
        <v>0</v>
      </c>
      <c r="AC368">
        <v>0</v>
      </c>
      <c r="AD368">
        <v>0</v>
      </c>
      <c r="AE368" t="s">
        <v>246</v>
      </c>
      <c r="AF368">
        <v>20</v>
      </c>
      <c r="AG368" t="s">
        <v>216</v>
      </c>
      <c r="AH368">
        <v>46241</v>
      </c>
      <c r="AI368" t="s">
        <v>149</v>
      </c>
    </row>
    <row r="369" spans="1:35" x14ac:dyDescent="0.25">
      <c r="A369" s="1">
        <v>46241</v>
      </c>
      <c r="B369" t="s">
        <v>97</v>
      </c>
      <c r="C369" t="s">
        <v>10</v>
      </c>
      <c r="D369">
        <v>1.8698841589486512</v>
      </c>
      <c r="E369">
        <v>0</v>
      </c>
      <c r="F369">
        <v>0</v>
      </c>
      <c r="G369">
        <v>0</v>
      </c>
      <c r="H369">
        <v>0</v>
      </c>
      <c r="I369">
        <v>0</v>
      </c>
      <c r="J369">
        <v>0</v>
      </c>
      <c r="K369">
        <v>0</v>
      </c>
      <c r="L369">
        <v>0</v>
      </c>
      <c r="M369">
        <v>0</v>
      </c>
      <c r="N369">
        <v>0</v>
      </c>
      <c r="O369">
        <v>0</v>
      </c>
      <c r="P369">
        <v>0</v>
      </c>
      <c r="Q369">
        <v>0</v>
      </c>
      <c r="R369">
        <v>0</v>
      </c>
      <c r="S369">
        <v>0</v>
      </c>
      <c r="T369">
        <v>0</v>
      </c>
      <c r="U369">
        <v>1</v>
      </c>
      <c r="V369">
        <v>0</v>
      </c>
      <c r="W369">
        <v>0</v>
      </c>
      <c r="X369">
        <v>0</v>
      </c>
      <c r="Y369">
        <v>0</v>
      </c>
      <c r="Z369">
        <v>0</v>
      </c>
      <c r="AA369">
        <v>0</v>
      </c>
      <c r="AB369">
        <v>0</v>
      </c>
      <c r="AC369">
        <v>0</v>
      </c>
      <c r="AD369">
        <v>0</v>
      </c>
      <c r="AE369" t="s">
        <v>246</v>
      </c>
      <c r="AF369">
        <v>20</v>
      </c>
      <c r="AG369" t="s">
        <v>217</v>
      </c>
      <c r="AH369">
        <v>46241</v>
      </c>
      <c r="AI369" t="s">
        <v>149</v>
      </c>
    </row>
    <row r="370" spans="1:35" x14ac:dyDescent="0.25">
      <c r="A370" s="1">
        <v>46242</v>
      </c>
      <c r="B370" t="s">
        <v>97</v>
      </c>
      <c r="C370" t="s">
        <v>12</v>
      </c>
      <c r="D370">
        <v>0.8396146517632177</v>
      </c>
      <c r="E370">
        <v>0</v>
      </c>
      <c r="F370">
        <v>0</v>
      </c>
      <c r="G370">
        <v>0.82352941176470573</v>
      </c>
      <c r="H370">
        <v>0</v>
      </c>
      <c r="I370">
        <v>0</v>
      </c>
      <c r="J370">
        <v>0.9808421161246621</v>
      </c>
      <c r="K370">
        <v>0</v>
      </c>
      <c r="L370">
        <v>0</v>
      </c>
      <c r="M370">
        <v>0</v>
      </c>
      <c r="N370">
        <v>0</v>
      </c>
      <c r="O370">
        <v>0</v>
      </c>
      <c r="P370">
        <v>0</v>
      </c>
      <c r="Q370">
        <v>0</v>
      </c>
      <c r="R370">
        <v>0</v>
      </c>
      <c r="S370">
        <v>0</v>
      </c>
      <c r="T370">
        <v>0.9808421161246621</v>
      </c>
      <c r="U370">
        <v>1.91578838753379E-2</v>
      </c>
      <c r="V370">
        <v>0</v>
      </c>
      <c r="W370">
        <v>0</v>
      </c>
      <c r="X370">
        <v>0</v>
      </c>
      <c r="Y370">
        <v>0</v>
      </c>
      <c r="Z370">
        <v>0</v>
      </c>
      <c r="AA370">
        <v>0</v>
      </c>
      <c r="AB370">
        <v>0</v>
      </c>
      <c r="AC370">
        <v>0</v>
      </c>
      <c r="AD370">
        <v>0</v>
      </c>
      <c r="AE370" t="s">
        <v>246</v>
      </c>
      <c r="AF370">
        <v>20</v>
      </c>
      <c r="AG370" t="s">
        <v>218</v>
      </c>
      <c r="AH370">
        <v>46242</v>
      </c>
      <c r="AI370" t="s">
        <v>149</v>
      </c>
    </row>
    <row r="371" spans="1:35" x14ac:dyDescent="0.25">
      <c r="A371" s="1">
        <v>46242</v>
      </c>
      <c r="B371" t="s">
        <v>97</v>
      </c>
      <c r="C371" t="s">
        <v>10</v>
      </c>
      <c r="D371">
        <v>1.6361486390800699</v>
      </c>
      <c r="E371">
        <v>0</v>
      </c>
      <c r="F371">
        <v>0</v>
      </c>
      <c r="G371">
        <v>0</v>
      </c>
      <c r="H371">
        <v>0</v>
      </c>
      <c r="I371">
        <v>0</v>
      </c>
      <c r="J371">
        <v>0</v>
      </c>
      <c r="K371">
        <v>0</v>
      </c>
      <c r="L371">
        <v>0</v>
      </c>
      <c r="M371">
        <v>0</v>
      </c>
      <c r="N371">
        <v>0</v>
      </c>
      <c r="O371">
        <v>0</v>
      </c>
      <c r="P371">
        <v>0</v>
      </c>
      <c r="Q371">
        <v>0</v>
      </c>
      <c r="R371">
        <v>0</v>
      </c>
      <c r="S371">
        <v>0</v>
      </c>
      <c r="T371">
        <v>0</v>
      </c>
      <c r="U371">
        <v>1</v>
      </c>
      <c r="V371">
        <v>0</v>
      </c>
      <c r="W371">
        <v>0</v>
      </c>
      <c r="X371">
        <v>0</v>
      </c>
      <c r="Y371">
        <v>0</v>
      </c>
      <c r="Z371">
        <v>0</v>
      </c>
      <c r="AA371">
        <v>0</v>
      </c>
      <c r="AB371">
        <v>0</v>
      </c>
      <c r="AC371">
        <v>0</v>
      </c>
      <c r="AD371">
        <v>0</v>
      </c>
      <c r="AE371" t="s">
        <v>246</v>
      </c>
      <c r="AF371">
        <v>20</v>
      </c>
      <c r="AG371" t="s">
        <v>219</v>
      </c>
      <c r="AH371">
        <v>46242</v>
      </c>
      <c r="AI371" t="s">
        <v>149</v>
      </c>
    </row>
    <row r="372" spans="1:35" x14ac:dyDescent="0.25">
      <c r="A372" s="1">
        <v>46242</v>
      </c>
      <c r="B372" t="s">
        <v>97</v>
      </c>
      <c r="C372" t="s">
        <v>11</v>
      </c>
      <c r="D372">
        <v>1.4299114156666155</v>
      </c>
      <c r="E372">
        <v>1.9</v>
      </c>
      <c r="F372">
        <v>1.9</v>
      </c>
      <c r="G372">
        <v>0</v>
      </c>
      <c r="H372">
        <v>1.3287536410877818</v>
      </c>
      <c r="I372">
        <v>1.3287536410877818</v>
      </c>
      <c r="J372">
        <v>0</v>
      </c>
      <c r="K372">
        <v>0</v>
      </c>
      <c r="L372">
        <v>0</v>
      </c>
      <c r="M372">
        <v>0</v>
      </c>
      <c r="N372">
        <v>0</v>
      </c>
      <c r="O372">
        <v>0</v>
      </c>
      <c r="P372">
        <v>0</v>
      </c>
      <c r="Q372">
        <v>0</v>
      </c>
      <c r="R372">
        <v>0</v>
      </c>
      <c r="S372">
        <v>0</v>
      </c>
      <c r="T372">
        <v>0</v>
      </c>
      <c r="U372">
        <v>0</v>
      </c>
      <c r="V372">
        <v>0</v>
      </c>
      <c r="W372">
        <v>0</v>
      </c>
      <c r="X372">
        <v>0</v>
      </c>
      <c r="Y372">
        <v>0</v>
      </c>
      <c r="Z372">
        <v>1</v>
      </c>
      <c r="AA372">
        <v>0</v>
      </c>
      <c r="AB372">
        <v>0</v>
      </c>
      <c r="AC372">
        <v>0</v>
      </c>
      <c r="AD372">
        <v>0</v>
      </c>
      <c r="AE372" t="s">
        <v>246</v>
      </c>
      <c r="AF372">
        <v>20</v>
      </c>
      <c r="AG372" t="s">
        <v>220</v>
      </c>
      <c r="AH372">
        <v>46242</v>
      </c>
      <c r="AI372" t="s">
        <v>149</v>
      </c>
    </row>
    <row r="373" spans="1:35" x14ac:dyDescent="0.25">
      <c r="A373" s="1">
        <v>46243</v>
      </c>
      <c r="B373" t="s">
        <v>97</v>
      </c>
      <c r="C373" t="s">
        <v>12</v>
      </c>
      <c r="D373">
        <v>0.81360039035487541</v>
      </c>
      <c r="E373">
        <v>0</v>
      </c>
      <c r="F373">
        <v>0</v>
      </c>
      <c r="G373">
        <v>0.82352941176470573</v>
      </c>
      <c r="H373">
        <v>0</v>
      </c>
      <c r="I373">
        <v>0</v>
      </c>
      <c r="J373">
        <v>1.012203806103755</v>
      </c>
      <c r="K373">
        <v>1.2203806103755044E-2</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t="s">
        <v>246</v>
      </c>
      <c r="AF373">
        <v>20</v>
      </c>
      <c r="AG373" t="s">
        <v>221</v>
      </c>
      <c r="AH373">
        <v>46243</v>
      </c>
      <c r="AI373" t="s">
        <v>149</v>
      </c>
    </row>
    <row r="374" spans="1:35" x14ac:dyDescent="0.25">
      <c r="A374" s="1">
        <v>46243</v>
      </c>
      <c r="B374" t="s">
        <v>97</v>
      </c>
      <c r="C374" t="s">
        <v>10</v>
      </c>
      <c r="D374">
        <v>1.3611656745287972</v>
      </c>
      <c r="E374">
        <v>0.95</v>
      </c>
      <c r="F374">
        <v>0.95</v>
      </c>
      <c r="G374">
        <v>0</v>
      </c>
      <c r="H374">
        <v>0.6979312054198451</v>
      </c>
      <c r="I374">
        <v>0.6979312054198451</v>
      </c>
      <c r="J374">
        <v>0</v>
      </c>
      <c r="K374">
        <v>0</v>
      </c>
      <c r="L374">
        <v>0</v>
      </c>
      <c r="M374">
        <v>0</v>
      </c>
      <c r="N374">
        <v>0</v>
      </c>
      <c r="O374">
        <v>0</v>
      </c>
      <c r="P374">
        <v>0</v>
      </c>
      <c r="Q374">
        <v>0</v>
      </c>
      <c r="R374">
        <v>0</v>
      </c>
      <c r="S374">
        <v>0</v>
      </c>
      <c r="T374">
        <v>0</v>
      </c>
      <c r="U374">
        <v>0.3020687945801549</v>
      </c>
      <c r="V374">
        <v>0</v>
      </c>
      <c r="W374">
        <v>0</v>
      </c>
      <c r="X374">
        <v>0</v>
      </c>
      <c r="Y374">
        <v>0</v>
      </c>
      <c r="Z374">
        <v>0.6979312054198451</v>
      </c>
      <c r="AA374">
        <v>0</v>
      </c>
      <c r="AB374">
        <v>0</v>
      </c>
      <c r="AC374">
        <v>0</v>
      </c>
      <c r="AD374">
        <v>0</v>
      </c>
      <c r="AE374" t="s">
        <v>246</v>
      </c>
      <c r="AF374">
        <v>20</v>
      </c>
      <c r="AG374" t="s">
        <v>222</v>
      </c>
      <c r="AH374">
        <v>46243</v>
      </c>
      <c r="AI374" t="s">
        <v>149</v>
      </c>
    </row>
    <row r="375" spans="1:35" x14ac:dyDescent="0.25">
      <c r="A375" s="1">
        <v>46243</v>
      </c>
      <c r="B375" t="s">
        <v>97</v>
      </c>
      <c r="C375" t="s">
        <v>11</v>
      </c>
      <c r="D375">
        <v>1.3837852409676925</v>
      </c>
      <c r="E375">
        <v>0</v>
      </c>
      <c r="F375">
        <v>0</v>
      </c>
      <c r="G375">
        <v>0</v>
      </c>
      <c r="H375">
        <v>0</v>
      </c>
      <c r="I375">
        <v>0</v>
      </c>
      <c r="J375">
        <v>0</v>
      </c>
      <c r="K375">
        <v>0</v>
      </c>
      <c r="L375">
        <v>0</v>
      </c>
      <c r="M375">
        <v>0</v>
      </c>
      <c r="N375">
        <v>0</v>
      </c>
      <c r="O375">
        <v>0</v>
      </c>
      <c r="P375">
        <v>0</v>
      </c>
      <c r="Q375">
        <v>0</v>
      </c>
      <c r="R375">
        <v>0</v>
      </c>
      <c r="S375">
        <v>0</v>
      </c>
      <c r="T375">
        <v>0</v>
      </c>
      <c r="U375">
        <v>1</v>
      </c>
      <c r="V375">
        <v>0</v>
      </c>
      <c r="W375">
        <v>0</v>
      </c>
      <c r="X375">
        <v>0</v>
      </c>
      <c r="Y375">
        <v>0</v>
      </c>
      <c r="Z375">
        <v>0</v>
      </c>
      <c r="AA375">
        <v>0</v>
      </c>
      <c r="AB375">
        <v>0</v>
      </c>
      <c r="AC375">
        <v>0</v>
      </c>
      <c r="AD375">
        <v>0</v>
      </c>
      <c r="AE375" t="s">
        <v>246</v>
      </c>
      <c r="AF375">
        <v>20</v>
      </c>
      <c r="AG375" t="s">
        <v>223</v>
      </c>
      <c r="AH375">
        <v>46243</v>
      </c>
      <c r="AI375" t="s">
        <v>149</v>
      </c>
    </row>
    <row r="376" spans="1:35" x14ac:dyDescent="0.25">
      <c r="A376" s="1">
        <v>46244</v>
      </c>
      <c r="B376" t="s">
        <v>97</v>
      </c>
      <c r="C376" t="s">
        <v>10</v>
      </c>
      <c r="D376">
        <v>1.5252388433777233</v>
      </c>
      <c r="E376">
        <v>0</v>
      </c>
      <c r="F376">
        <v>0</v>
      </c>
      <c r="G376">
        <v>0</v>
      </c>
      <c r="H376">
        <v>0</v>
      </c>
      <c r="I376">
        <v>0</v>
      </c>
      <c r="J376">
        <v>0</v>
      </c>
      <c r="K376">
        <v>0</v>
      </c>
      <c r="L376">
        <v>0</v>
      </c>
      <c r="M376">
        <v>0</v>
      </c>
      <c r="N376">
        <v>0</v>
      </c>
      <c r="O376">
        <v>0</v>
      </c>
      <c r="P376">
        <v>0</v>
      </c>
      <c r="Q376">
        <v>0</v>
      </c>
      <c r="R376">
        <v>0</v>
      </c>
      <c r="S376">
        <v>0</v>
      </c>
      <c r="T376">
        <v>0</v>
      </c>
      <c r="U376">
        <v>1</v>
      </c>
      <c r="V376">
        <v>0</v>
      </c>
      <c r="W376">
        <v>0</v>
      </c>
      <c r="X376">
        <v>0</v>
      </c>
      <c r="Y376">
        <v>0</v>
      </c>
      <c r="Z376">
        <v>0</v>
      </c>
      <c r="AA376">
        <v>0</v>
      </c>
      <c r="AB376">
        <v>0</v>
      </c>
      <c r="AC376">
        <v>0</v>
      </c>
      <c r="AD376">
        <v>0</v>
      </c>
      <c r="AE376" t="s">
        <v>246</v>
      </c>
      <c r="AF376">
        <v>20</v>
      </c>
      <c r="AG376" t="s">
        <v>224</v>
      </c>
      <c r="AH376">
        <v>46244</v>
      </c>
      <c r="AI376" t="s">
        <v>149</v>
      </c>
    </row>
    <row r="377" spans="1:35" x14ac:dyDescent="0.25">
      <c r="A377" s="1">
        <v>46244</v>
      </c>
      <c r="B377" t="s">
        <v>97</v>
      </c>
      <c r="C377" t="s">
        <v>12</v>
      </c>
      <c r="D377">
        <v>0.92119293124676171</v>
      </c>
      <c r="E377">
        <v>0</v>
      </c>
      <c r="F377">
        <v>0</v>
      </c>
      <c r="G377">
        <v>0.82352941176470573</v>
      </c>
      <c r="H377">
        <v>0</v>
      </c>
      <c r="I377">
        <v>0</v>
      </c>
      <c r="J377">
        <v>0.89398147101511505</v>
      </c>
      <c r="K377">
        <v>0</v>
      </c>
      <c r="L377">
        <v>0</v>
      </c>
      <c r="M377">
        <v>0</v>
      </c>
      <c r="N377">
        <v>0</v>
      </c>
      <c r="O377">
        <v>0</v>
      </c>
      <c r="P377">
        <v>0</v>
      </c>
      <c r="Q377">
        <v>0</v>
      </c>
      <c r="R377">
        <v>0</v>
      </c>
      <c r="S377">
        <v>0</v>
      </c>
      <c r="T377">
        <v>0.89398147101511505</v>
      </c>
      <c r="U377">
        <v>0.10601852898488495</v>
      </c>
      <c r="V377">
        <v>0</v>
      </c>
      <c r="W377">
        <v>0</v>
      </c>
      <c r="X377">
        <v>0</v>
      </c>
      <c r="Y377">
        <v>0</v>
      </c>
      <c r="Z377">
        <v>0</v>
      </c>
      <c r="AA377">
        <v>0</v>
      </c>
      <c r="AB377">
        <v>0</v>
      </c>
      <c r="AC377">
        <v>0</v>
      </c>
      <c r="AD377">
        <v>0</v>
      </c>
      <c r="AE377" t="s">
        <v>246</v>
      </c>
      <c r="AF377">
        <v>20</v>
      </c>
      <c r="AG377" t="s">
        <v>226</v>
      </c>
      <c r="AH377">
        <v>46244</v>
      </c>
      <c r="AI377" t="s">
        <v>149</v>
      </c>
    </row>
    <row r="378" spans="1:35" x14ac:dyDescent="0.25">
      <c r="A378" s="1">
        <v>46244</v>
      </c>
      <c r="B378" t="s">
        <v>97</v>
      </c>
      <c r="C378" t="s">
        <v>11</v>
      </c>
      <c r="D378">
        <v>1.2999194687878319</v>
      </c>
      <c r="E378">
        <v>0.95</v>
      </c>
      <c r="F378">
        <v>0.95</v>
      </c>
      <c r="G378">
        <v>0</v>
      </c>
      <c r="H378">
        <v>0.73081450259828018</v>
      </c>
      <c r="I378">
        <v>0.73081450259828018</v>
      </c>
      <c r="J378">
        <v>0</v>
      </c>
      <c r="K378">
        <v>0</v>
      </c>
      <c r="L378">
        <v>0</v>
      </c>
      <c r="M378">
        <v>0</v>
      </c>
      <c r="N378">
        <v>0</v>
      </c>
      <c r="O378">
        <v>0</v>
      </c>
      <c r="P378">
        <v>0</v>
      </c>
      <c r="Q378">
        <v>0</v>
      </c>
      <c r="R378">
        <v>0</v>
      </c>
      <c r="S378">
        <v>0</v>
      </c>
      <c r="T378">
        <v>0</v>
      </c>
      <c r="U378">
        <v>0.26918549740171982</v>
      </c>
      <c r="V378">
        <v>0</v>
      </c>
      <c r="W378">
        <v>0</v>
      </c>
      <c r="X378">
        <v>0</v>
      </c>
      <c r="Y378">
        <v>0</v>
      </c>
      <c r="Z378">
        <v>0.73081450259828018</v>
      </c>
      <c r="AA378">
        <v>0</v>
      </c>
      <c r="AB378">
        <v>0</v>
      </c>
      <c r="AC378">
        <v>0</v>
      </c>
      <c r="AD378">
        <v>0</v>
      </c>
      <c r="AE378" t="s">
        <v>246</v>
      </c>
      <c r="AF378">
        <v>20</v>
      </c>
      <c r="AG378" t="s">
        <v>225</v>
      </c>
      <c r="AH378">
        <v>46244</v>
      </c>
      <c r="AI378" t="s">
        <v>149</v>
      </c>
    </row>
    <row r="379" spans="1:35" x14ac:dyDescent="0.25">
      <c r="A379" s="1">
        <v>46245</v>
      </c>
      <c r="B379" t="s">
        <v>97</v>
      </c>
      <c r="C379" t="s">
        <v>11</v>
      </c>
      <c r="D379">
        <v>1.594901194397379</v>
      </c>
      <c r="E379">
        <v>0.95</v>
      </c>
      <c r="F379">
        <v>0.95</v>
      </c>
      <c r="G379">
        <v>0</v>
      </c>
      <c r="H379">
        <v>0.59564818393590213</v>
      </c>
      <c r="I379">
        <v>0.59564818393590213</v>
      </c>
      <c r="J379">
        <v>0</v>
      </c>
      <c r="K379">
        <v>0</v>
      </c>
      <c r="L379">
        <v>0</v>
      </c>
      <c r="M379">
        <v>0</v>
      </c>
      <c r="N379">
        <v>0</v>
      </c>
      <c r="O379">
        <v>0</v>
      </c>
      <c r="P379">
        <v>0</v>
      </c>
      <c r="Q379">
        <v>0</v>
      </c>
      <c r="R379">
        <v>0</v>
      </c>
      <c r="S379">
        <v>0</v>
      </c>
      <c r="T379">
        <v>0</v>
      </c>
      <c r="U379">
        <v>0.40435181606409787</v>
      </c>
      <c r="V379">
        <v>0</v>
      </c>
      <c r="W379">
        <v>0</v>
      </c>
      <c r="X379">
        <v>0</v>
      </c>
      <c r="Y379">
        <v>0</v>
      </c>
      <c r="Z379">
        <v>0.59564818393590213</v>
      </c>
      <c r="AA379">
        <v>0</v>
      </c>
      <c r="AB379">
        <v>0</v>
      </c>
      <c r="AC379">
        <v>0</v>
      </c>
      <c r="AD379">
        <v>0</v>
      </c>
      <c r="AE379" t="s">
        <v>246</v>
      </c>
      <c r="AF379">
        <v>20</v>
      </c>
      <c r="AG379" t="s">
        <v>229</v>
      </c>
      <c r="AH379">
        <v>46245</v>
      </c>
      <c r="AI379" t="s">
        <v>149</v>
      </c>
    </row>
    <row r="380" spans="1:35" x14ac:dyDescent="0.25">
      <c r="A380" s="1">
        <v>46245</v>
      </c>
      <c r="B380" t="s">
        <v>97</v>
      </c>
      <c r="C380" t="s">
        <v>12</v>
      </c>
      <c r="D380">
        <v>0.79699980545352356</v>
      </c>
      <c r="E380">
        <v>0</v>
      </c>
      <c r="F380">
        <v>0</v>
      </c>
      <c r="G380">
        <v>0</v>
      </c>
      <c r="H380">
        <v>0</v>
      </c>
      <c r="I380">
        <v>0</v>
      </c>
      <c r="J380">
        <v>0</v>
      </c>
      <c r="K380">
        <v>0</v>
      </c>
      <c r="L380">
        <v>0</v>
      </c>
      <c r="M380">
        <v>0</v>
      </c>
      <c r="N380">
        <v>0</v>
      </c>
      <c r="O380">
        <v>0</v>
      </c>
      <c r="P380">
        <v>0</v>
      </c>
      <c r="Q380">
        <v>0</v>
      </c>
      <c r="R380">
        <v>0</v>
      </c>
      <c r="S380">
        <v>0</v>
      </c>
      <c r="T380">
        <v>0</v>
      </c>
      <c r="U380">
        <v>1</v>
      </c>
      <c r="V380">
        <v>0</v>
      </c>
      <c r="W380">
        <v>0</v>
      </c>
      <c r="X380">
        <v>0</v>
      </c>
      <c r="Y380">
        <v>0</v>
      </c>
      <c r="Z380">
        <v>0</v>
      </c>
      <c r="AA380">
        <v>0</v>
      </c>
      <c r="AB380">
        <v>0</v>
      </c>
      <c r="AC380">
        <v>0</v>
      </c>
      <c r="AD380">
        <v>0</v>
      </c>
      <c r="AE380" t="s">
        <v>246</v>
      </c>
      <c r="AF380">
        <v>20</v>
      </c>
      <c r="AG380" t="s">
        <v>227</v>
      </c>
      <c r="AH380">
        <v>46245</v>
      </c>
      <c r="AI380" t="s">
        <v>149</v>
      </c>
    </row>
    <row r="381" spans="1:35" x14ac:dyDescent="0.25">
      <c r="A381" s="1">
        <v>46245</v>
      </c>
      <c r="B381" t="s">
        <v>97</v>
      </c>
      <c r="C381" t="s">
        <v>10</v>
      </c>
      <c r="D381">
        <v>1.4105008534629959</v>
      </c>
      <c r="E381">
        <v>0.95</v>
      </c>
      <c r="F381">
        <v>0.95</v>
      </c>
      <c r="G381">
        <v>0</v>
      </c>
      <c r="H381">
        <v>0.6735196208266051</v>
      </c>
      <c r="I381">
        <v>0.6735196208266051</v>
      </c>
      <c r="J381">
        <v>0</v>
      </c>
      <c r="K381">
        <v>0</v>
      </c>
      <c r="L381">
        <v>0</v>
      </c>
      <c r="M381">
        <v>0</v>
      </c>
      <c r="N381">
        <v>0</v>
      </c>
      <c r="O381">
        <v>0</v>
      </c>
      <c r="P381">
        <v>0</v>
      </c>
      <c r="Q381">
        <v>0</v>
      </c>
      <c r="R381">
        <v>0</v>
      </c>
      <c r="S381">
        <v>0</v>
      </c>
      <c r="T381">
        <v>0</v>
      </c>
      <c r="U381">
        <v>0.3264803791733949</v>
      </c>
      <c r="V381">
        <v>0</v>
      </c>
      <c r="W381">
        <v>0</v>
      </c>
      <c r="X381">
        <v>0</v>
      </c>
      <c r="Y381">
        <v>0</v>
      </c>
      <c r="Z381">
        <v>0.6735196208266051</v>
      </c>
      <c r="AA381">
        <v>0</v>
      </c>
      <c r="AB381">
        <v>0</v>
      </c>
      <c r="AC381">
        <v>0</v>
      </c>
      <c r="AD381">
        <v>0</v>
      </c>
      <c r="AE381" t="s">
        <v>246</v>
      </c>
      <c r="AF381">
        <v>20</v>
      </c>
      <c r="AG381" t="s">
        <v>228</v>
      </c>
      <c r="AH381">
        <v>46245</v>
      </c>
      <c r="AI381" t="s">
        <v>149</v>
      </c>
    </row>
    <row r="382" spans="1:35" x14ac:dyDescent="0.25">
      <c r="A382" s="1">
        <v>46246</v>
      </c>
      <c r="B382" t="s">
        <v>97</v>
      </c>
      <c r="C382" t="s">
        <v>12</v>
      </c>
      <c r="D382">
        <v>0.87595379836897169</v>
      </c>
      <c r="E382">
        <v>0.95</v>
      </c>
      <c r="F382">
        <v>0.95</v>
      </c>
      <c r="G382">
        <v>0.82352941176470573</v>
      </c>
      <c r="H382">
        <v>1.0845320857891163</v>
      </c>
      <c r="I382">
        <v>1.0845320857891163</v>
      </c>
      <c r="J382">
        <v>0.94015165331564254</v>
      </c>
      <c r="K382">
        <v>0</v>
      </c>
      <c r="L382">
        <v>0</v>
      </c>
      <c r="M382">
        <v>0</v>
      </c>
      <c r="N382">
        <v>0</v>
      </c>
      <c r="O382">
        <v>0</v>
      </c>
      <c r="P382">
        <v>0</v>
      </c>
      <c r="Q382">
        <v>0</v>
      </c>
      <c r="R382">
        <v>0</v>
      </c>
      <c r="S382">
        <v>8.4532085789116307E-2</v>
      </c>
      <c r="T382">
        <v>0</v>
      </c>
      <c r="U382">
        <v>0</v>
      </c>
      <c r="V382">
        <v>0</v>
      </c>
      <c r="W382">
        <v>5.9848346684357456E-2</v>
      </c>
      <c r="X382">
        <v>0</v>
      </c>
      <c r="Y382">
        <v>0.94015165331564254</v>
      </c>
      <c r="Z382">
        <v>0</v>
      </c>
      <c r="AA382">
        <v>0</v>
      </c>
      <c r="AB382">
        <v>0</v>
      </c>
      <c r="AC382">
        <v>0</v>
      </c>
      <c r="AD382">
        <v>0</v>
      </c>
      <c r="AE382" t="s">
        <v>246</v>
      </c>
      <c r="AF382">
        <v>20</v>
      </c>
      <c r="AG382" t="s">
        <v>232</v>
      </c>
      <c r="AH382">
        <v>46246</v>
      </c>
      <c r="AI382" t="s">
        <v>149</v>
      </c>
    </row>
    <row r="383" spans="1:35" x14ac:dyDescent="0.25">
      <c r="A383" s="1">
        <v>46246</v>
      </c>
      <c r="B383" t="s">
        <v>97</v>
      </c>
      <c r="C383" t="s">
        <v>11</v>
      </c>
      <c r="D383">
        <v>1.7088227082829053</v>
      </c>
      <c r="E383">
        <v>0</v>
      </c>
      <c r="F383">
        <v>0</v>
      </c>
      <c r="G383">
        <v>0</v>
      </c>
      <c r="H383">
        <v>0</v>
      </c>
      <c r="I383">
        <v>0</v>
      </c>
      <c r="J383">
        <v>0</v>
      </c>
      <c r="K383">
        <v>0</v>
      </c>
      <c r="L383">
        <v>0</v>
      </c>
      <c r="M383">
        <v>0</v>
      </c>
      <c r="N383">
        <v>0</v>
      </c>
      <c r="O383">
        <v>0</v>
      </c>
      <c r="P383">
        <v>0</v>
      </c>
      <c r="Q383">
        <v>0</v>
      </c>
      <c r="R383">
        <v>0</v>
      </c>
      <c r="S383">
        <v>0</v>
      </c>
      <c r="T383">
        <v>0</v>
      </c>
      <c r="U383">
        <v>1</v>
      </c>
      <c r="V383">
        <v>0</v>
      </c>
      <c r="W383">
        <v>0</v>
      </c>
      <c r="X383">
        <v>0</v>
      </c>
      <c r="Y383">
        <v>0</v>
      </c>
      <c r="Z383">
        <v>0</v>
      </c>
      <c r="AA383">
        <v>0</v>
      </c>
      <c r="AB383">
        <v>0</v>
      </c>
      <c r="AC383">
        <v>0</v>
      </c>
      <c r="AD383">
        <v>0</v>
      </c>
      <c r="AE383" t="s">
        <v>246</v>
      </c>
      <c r="AF383">
        <v>20</v>
      </c>
      <c r="AG383" t="s">
        <v>231</v>
      </c>
      <c r="AH383">
        <v>46246</v>
      </c>
      <c r="AI383" t="s">
        <v>149</v>
      </c>
    </row>
    <row r="384" spans="1:35" x14ac:dyDescent="0.25">
      <c r="A384" s="1">
        <v>46246</v>
      </c>
      <c r="B384" t="s">
        <v>97</v>
      </c>
      <c r="C384" t="s">
        <v>10</v>
      </c>
      <c r="D384">
        <v>1.5270720631413981</v>
      </c>
      <c r="E384">
        <v>1.9</v>
      </c>
      <c r="F384">
        <v>1.9</v>
      </c>
      <c r="G384">
        <v>0</v>
      </c>
      <c r="H384">
        <v>1.2442110924951619</v>
      </c>
      <c r="I384">
        <v>1.2442110924951619</v>
      </c>
      <c r="J384">
        <v>0</v>
      </c>
      <c r="K384">
        <v>0</v>
      </c>
      <c r="L384">
        <v>0</v>
      </c>
      <c r="M384">
        <v>0</v>
      </c>
      <c r="N384">
        <v>0</v>
      </c>
      <c r="O384">
        <v>0</v>
      </c>
      <c r="P384">
        <v>0</v>
      </c>
      <c r="Q384">
        <v>0</v>
      </c>
      <c r="R384">
        <v>0</v>
      </c>
      <c r="S384">
        <v>0.24421109249516193</v>
      </c>
      <c r="T384">
        <v>0</v>
      </c>
      <c r="U384">
        <v>0</v>
      </c>
      <c r="V384">
        <v>0</v>
      </c>
      <c r="W384">
        <v>0</v>
      </c>
      <c r="X384">
        <v>0</v>
      </c>
      <c r="Y384">
        <v>0</v>
      </c>
      <c r="Z384">
        <v>1</v>
      </c>
      <c r="AA384">
        <v>0</v>
      </c>
      <c r="AB384">
        <v>0</v>
      </c>
      <c r="AC384">
        <v>0</v>
      </c>
      <c r="AD384">
        <v>0</v>
      </c>
      <c r="AE384" t="s">
        <v>246</v>
      </c>
      <c r="AF384">
        <v>20</v>
      </c>
      <c r="AG384" t="s">
        <v>230</v>
      </c>
      <c r="AH384">
        <v>46246</v>
      </c>
      <c r="AI384" t="s">
        <v>149</v>
      </c>
    </row>
    <row r="385" spans="1:35" x14ac:dyDescent="0.25">
      <c r="A385" s="1">
        <v>46247</v>
      </c>
      <c r="B385" t="s">
        <v>97</v>
      </c>
      <c r="C385" t="s">
        <v>12</v>
      </c>
      <c r="D385">
        <v>1.5742774720560333</v>
      </c>
      <c r="E385">
        <v>0</v>
      </c>
      <c r="F385">
        <v>0</v>
      </c>
      <c r="G385">
        <v>0.86877828054298623</v>
      </c>
      <c r="H385">
        <v>0</v>
      </c>
      <c r="I385">
        <v>0</v>
      </c>
      <c r="J385">
        <v>0.55185842138002961</v>
      </c>
      <c r="K385">
        <v>0</v>
      </c>
      <c r="L385">
        <v>0</v>
      </c>
      <c r="M385">
        <v>0</v>
      </c>
      <c r="N385">
        <v>0</v>
      </c>
      <c r="O385">
        <v>0</v>
      </c>
      <c r="P385">
        <v>0</v>
      </c>
      <c r="Q385">
        <v>0</v>
      </c>
      <c r="R385">
        <v>0</v>
      </c>
      <c r="S385">
        <v>0</v>
      </c>
      <c r="T385">
        <v>0.55185842138002961</v>
      </c>
      <c r="U385">
        <v>0.44814157861997039</v>
      </c>
      <c r="V385">
        <v>0</v>
      </c>
      <c r="W385">
        <v>0</v>
      </c>
      <c r="X385">
        <v>0</v>
      </c>
      <c r="Y385">
        <v>0</v>
      </c>
      <c r="Z385">
        <v>0</v>
      </c>
      <c r="AA385">
        <v>0</v>
      </c>
      <c r="AB385">
        <v>0</v>
      </c>
      <c r="AC385">
        <v>0</v>
      </c>
      <c r="AD385">
        <v>0</v>
      </c>
      <c r="AE385" t="s">
        <v>246</v>
      </c>
      <c r="AF385">
        <v>20</v>
      </c>
      <c r="AG385" t="s">
        <v>233</v>
      </c>
      <c r="AH385">
        <v>46247</v>
      </c>
      <c r="AI385" t="s">
        <v>149</v>
      </c>
    </row>
    <row r="386" spans="1:35" x14ac:dyDescent="0.25">
      <c r="A386" s="1">
        <v>46247</v>
      </c>
      <c r="B386" t="s">
        <v>97</v>
      </c>
      <c r="C386" t="s">
        <v>11</v>
      </c>
      <c r="D386">
        <v>5.1068264845236265E-2</v>
      </c>
      <c r="E386">
        <v>0.95</v>
      </c>
      <c r="F386">
        <v>0.95</v>
      </c>
      <c r="G386">
        <v>0.92307692307692291</v>
      </c>
      <c r="H386">
        <v>18.602550975228944</v>
      </c>
      <c r="I386">
        <v>18.602550975228944</v>
      </c>
      <c r="J386">
        <v>18.075353174311523</v>
      </c>
      <c r="K386">
        <v>0</v>
      </c>
      <c r="L386">
        <v>0</v>
      </c>
      <c r="M386">
        <v>0.52719780091742052</v>
      </c>
      <c r="N386">
        <v>0</v>
      </c>
      <c r="O386">
        <v>16.825353174311523</v>
      </c>
      <c r="P386">
        <v>0</v>
      </c>
      <c r="Q386">
        <v>0.25</v>
      </c>
      <c r="R386">
        <v>0</v>
      </c>
      <c r="S386">
        <v>0</v>
      </c>
      <c r="T386">
        <v>0</v>
      </c>
      <c r="U386">
        <v>0</v>
      </c>
      <c r="V386">
        <v>0</v>
      </c>
      <c r="W386">
        <v>0</v>
      </c>
      <c r="X386">
        <v>0</v>
      </c>
      <c r="Y386">
        <v>1</v>
      </c>
      <c r="Z386">
        <v>0</v>
      </c>
      <c r="AA386">
        <v>0</v>
      </c>
      <c r="AB386">
        <v>0</v>
      </c>
      <c r="AC386">
        <v>0</v>
      </c>
      <c r="AD386">
        <v>0</v>
      </c>
      <c r="AE386" t="s">
        <v>246</v>
      </c>
      <c r="AF386">
        <v>20</v>
      </c>
      <c r="AG386" t="s">
        <v>234</v>
      </c>
      <c r="AH386">
        <v>46247</v>
      </c>
      <c r="AI386" t="s">
        <v>149</v>
      </c>
    </row>
    <row r="387" spans="1:35" x14ac:dyDescent="0.25">
      <c r="A387" s="1">
        <v>46247</v>
      </c>
      <c r="B387" t="s">
        <v>97</v>
      </c>
      <c r="C387" t="s">
        <v>10</v>
      </c>
      <c r="D387">
        <v>0.93494207947432562</v>
      </c>
      <c r="E387">
        <v>1.9</v>
      </c>
      <c r="F387">
        <v>1.9</v>
      </c>
      <c r="G387">
        <v>0</v>
      </c>
      <c r="H387">
        <v>2.0322114510754306</v>
      </c>
      <c r="I387">
        <v>2.0322114510754306</v>
      </c>
      <c r="J387">
        <v>0</v>
      </c>
      <c r="K387">
        <v>0</v>
      </c>
      <c r="L387">
        <v>0</v>
      </c>
      <c r="M387">
        <v>0</v>
      </c>
      <c r="N387">
        <v>0</v>
      </c>
      <c r="O387">
        <v>0</v>
      </c>
      <c r="P387">
        <v>0</v>
      </c>
      <c r="Q387">
        <v>0</v>
      </c>
      <c r="R387">
        <v>0</v>
      </c>
      <c r="S387">
        <v>0</v>
      </c>
      <c r="T387">
        <v>0</v>
      </c>
      <c r="U387">
        <v>0</v>
      </c>
      <c r="V387">
        <v>0</v>
      </c>
      <c r="W387">
        <v>0</v>
      </c>
      <c r="X387">
        <v>0</v>
      </c>
      <c r="Y387">
        <v>0</v>
      </c>
      <c r="Z387">
        <v>1</v>
      </c>
      <c r="AA387">
        <v>0</v>
      </c>
      <c r="AB387">
        <v>0</v>
      </c>
      <c r="AC387">
        <v>0</v>
      </c>
      <c r="AD387">
        <v>0</v>
      </c>
      <c r="AE387" t="s">
        <v>246</v>
      </c>
      <c r="AF387">
        <v>20</v>
      </c>
      <c r="AG387" t="s">
        <v>235</v>
      </c>
      <c r="AH387">
        <v>46247</v>
      </c>
      <c r="AI387" t="s">
        <v>149</v>
      </c>
    </row>
    <row r="388" spans="1:35" x14ac:dyDescent="0.25">
      <c r="A388" s="1">
        <v>46248</v>
      </c>
      <c r="B388" t="s">
        <v>97</v>
      </c>
      <c r="C388" t="s">
        <v>10</v>
      </c>
      <c r="D388">
        <v>0.93494207947432562</v>
      </c>
      <c r="E388">
        <v>0.95</v>
      </c>
      <c r="F388">
        <v>0.95</v>
      </c>
      <c r="G388">
        <v>0.92307692307692291</v>
      </c>
      <c r="H388">
        <v>1.0161057255377153</v>
      </c>
      <c r="I388">
        <v>1.0161057255377153</v>
      </c>
      <c r="J388">
        <v>0.98730920700020908</v>
      </c>
      <c r="K388">
        <v>0</v>
      </c>
      <c r="L388">
        <v>0</v>
      </c>
      <c r="M388">
        <v>0</v>
      </c>
      <c r="N388">
        <v>0</v>
      </c>
      <c r="O388">
        <v>0</v>
      </c>
      <c r="P388">
        <v>0</v>
      </c>
      <c r="Q388">
        <v>0</v>
      </c>
      <c r="R388">
        <v>0</v>
      </c>
      <c r="S388">
        <v>1.6105725537715276E-2</v>
      </c>
      <c r="T388">
        <v>0</v>
      </c>
      <c r="U388">
        <v>0</v>
      </c>
      <c r="V388">
        <v>0</v>
      </c>
      <c r="W388">
        <v>1.2690792999790923E-2</v>
      </c>
      <c r="X388">
        <v>0</v>
      </c>
      <c r="Y388">
        <v>0.98730920700020908</v>
      </c>
      <c r="Z388">
        <v>0</v>
      </c>
      <c r="AA388">
        <v>0</v>
      </c>
      <c r="AB388">
        <v>0</v>
      </c>
      <c r="AC388">
        <v>0</v>
      </c>
      <c r="AD388">
        <v>0</v>
      </c>
      <c r="AE388" t="s">
        <v>246</v>
      </c>
      <c r="AF388">
        <v>20</v>
      </c>
      <c r="AG388" t="s">
        <v>238</v>
      </c>
      <c r="AH388">
        <v>46248</v>
      </c>
      <c r="AI388" t="s">
        <v>149</v>
      </c>
    </row>
    <row r="389" spans="1:35" x14ac:dyDescent="0.25">
      <c r="A389" s="1">
        <v>46248</v>
      </c>
      <c r="B389" t="s">
        <v>97</v>
      </c>
      <c r="C389" t="s">
        <v>11</v>
      </c>
      <c r="D389">
        <v>1.4299114156666155</v>
      </c>
      <c r="E389">
        <v>0</v>
      </c>
      <c r="F389">
        <v>0</v>
      </c>
      <c r="G389">
        <v>0</v>
      </c>
      <c r="H389">
        <v>0</v>
      </c>
      <c r="I389">
        <v>0</v>
      </c>
      <c r="J389">
        <v>0</v>
      </c>
      <c r="K389">
        <v>0</v>
      </c>
      <c r="L389">
        <v>0</v>
      </c>
      <c r="M389">
        <v>0</v>
      </c>
      <c r="N389">
        <v>0</v>
      </c>
      <c r="O389">
        <v>0</v>
      </c>
      <c r="P389">
        <v>0</v>
      </c>
      <c r="Q389">
        <v>0</v>
      </c>
      <c r="R389">
        <v>0</v>
      </c>
      <c r="S389">
        <v>0</v>
      </c>
      <c r="T389">
        <v>0</v>
      </c>
      <c r="U389">
        <v>1</v>
      </c>
      <c r="V389">
        <v>0</v>
      </c>
      <c r="W389">
        <v>0</v>
      </c>
      <c r="X389">
        <v>0</v>
      </c>
      <c r="Y389">
        <v>0</v>
      </c>
      <c r="Z389">
        <v>0</v>
      </c>
      <c r="AA389">
        <v>0</v>
      </c>
      <c r="AB389">
        <v>0</v>
      </c>
      <c r="AC389">
        <v>0</v>
      </c>
      <c r="AD389">
        <v>0</v>
      </c>
      <c r="AE389" t="s">
        <v>246</v>
      </c>
      <c r="AF389">
        <v>20</v>
      </c>
      <c r="AG389" t="s">
        <v>237</v>
      </c>
      <c r="AH389">
        <v>46248</v>
      </c>
      <c r="AI389" t="s">
        <v>149</v>
      </c>
    </row>
    <row r="390" spans="1:35" x14ac:dyDescent="0.25">
      <c r="A390" s="1">
        <v>46248</v>
      </c>
      <c r="B390" t="s">
        <v>97</v>
      </c>
      <c r="C390" t="s">
        <v>12</v>
      </c>
      <c r="D390">
        <v>0.8396146517632177</v>
      </c>
      <c r="E390">
        <v>0</v>
      </c>
      <c r="F390">
        <v>0</v>
      </c>
      <c r="G390">
        <v>0.16289592760180993</v>
      </c>
      <c r="H390">
        <v>0</v>
      </c>
      <c r="I390">
        <v>0</v>
      </c>
      <c r="J390">
        <v>0.19401272626641669</v>
      </c>
      <c r="K390">
        <v>0</v>
      </c>
      <c r="L390">
        <v>0</v>
      </c>
      <c r="M390">
        <v>0</v>
      </c>
      <c r="N390">
        <v>0</v>
      </c>
      <c r="O390">
        <v>0</v>
      </c>
      <c r="P390">
        <v>0</v>
      </c>
      <c r="Q390">
        <v>0</v>
      </c>
      <c r="R390">
        <v>0</v>
      </c>
      <c r="S390">
        <v>0</v>
      </c>
      <c r="T390">
        <v>0.19401272626641669</v>
      </c>
      <c r="U390">
        <v>0.80598727373358336</v>
      </c>
      <c r="V390">
        <v>0</v>
      </c>
      <c r="W390">
        <v>0</v>
      </c>
      <c r="X390">
        <v>0</v>
      </c>
      <c r="Y390">
        <v>0</v>
      </c>
      <c r="Z390">
        <v>0</v>
      </c>
      <c r="AA390">
        <v>0</v>
      </c>
      <c r="AB390">
        <v>0</v>
      </c>
      <c r="AC390">
        <v>0</v>
      </c>
      <c r="AD390">
        <v>0</v>
      </c>
      <c r="AE390" t="s">
        <v>246</v>
      </c>
      <c r="AF390">
        <v>20</v>
      </c>
      <c r="AG390" t="s">
        <v>236</v>
      </c>
      <c r="AH390">
        <v>46248</v>
      </c>
      <c r="AI390" t="s">
        <v>149</v>
      </c>
    </row>
    <row r="391" spans="1:35" x14ac:dyDescent="0.25">
      <c r="A391" s="1">
        <v>46249</v>
      </c>
      <c r="B391" t="s">
        <v>97</v>
      </c>
      <c r="C391" t="s">
        <v>12</v>
      </c>
      <c r="D391">
        <v>0.88373835504064047</v>
      </c>
      <c r="E391">
        <v>0</v>
      </c>
      <c r="F391">
        <v>0</v>
      </c>
      <c r="G391">
        <v>0</v>
      </c>
      <c r="H391">
        <v>0</v>
      </c>
      <c r="I391">
        <v>0</v>
      </c>
      <c r="J391">
        <v>0</v>
      </c>
      <c r="K391">
        <v>0</v>
      </c>
      <c r="L391">
        <v>0</v>
      </c>
      <c r="M391">
        <v>0</v>
      </c>
      <c r="N391">
        <v>0</v>
      </c>
      <c r="O391">
        <v>0</v>
      </c>
      <c r="P391">
        <v>0</v>
      </c>
      <c r="Q391">
        <v>0</v>
      </c>
      <c r="R391">
        <v>0</v>
      </c>
      <c r="S391">
        <v>0</v>
      </c>
      <c r="T391">
        <v>0</v>
      </c>
      <c r="U391">
        <v>1</v>
      </c>
      <c r="V391">
        <v>0</v>
      </c>
      <c r="W391">
        <v>0</v>
      </c>
      <c r="X391">
        <v>0</v>
      </c>
      <c r="Y391">
        <v>0</v>
      </c>
      <c r="Z391">
        <v>0</v>
      </c>
      <c r="AA391">
        <v>0</v>
      </c>
      <c r="AB391">
        <v>0</v>
      </c>
      <c r="AC391">
        <v>0</v>
      </c>
      <c r="AD391">
        <v>0</v>
      </c>
      <c r="AE391" t="s">
        <v>246</v>
      </c>
      <c r="AF391">
        <v>20</v>
      </c>
      <c r="AG391" t="s">
        <v>239</v>
      </c>
      <c r="AH391">
        <v>46249</v>
      </c>
      <c r="AI391" t="s">
        <v>149</v>
      </c>
    </row>
    <row r="392" spans="1:35" x14ac:dyDescent="0.25">
      <c r="A392" s="1">
        <v>46249</v>
      </c>
      <c r="B392" t="s">
        <v>97</v>
      </c>
      <c r="C392" t="s">
        <v>10</v>
      </c>
      <c r="D392">
        <v>0.4674710397371627</v>
      </c>
      <c r="E392">
        <v>2.8499999999999996</v>
      </c>
      <c r="F392">
        <v>2.8499999999999996</v>
      </c>
      <c r="G392">
        <v>0</v>
      </c>
      <c r="H392">
        <v>6.0966343532262934</v>
      </c>
      <c r="I392">
        <v>6.0966343532262934</v>
      </c>
      <c r="J392">
        <v>0</v>
      </c>
      <c r="K392">
        <v>0</v>
      </c>
      <c r="L392">
        <v>0</v>
      </c>
      <c r="M392">
        <v>0</v>
      </c>
      <c r="N392">
        <v>0</v>
      </c>
      <c r="O392">
        <v>0</v>
      </c>
      <c r="P392">
        <v>0</v>
      </c>
      <c r="Q392">
        <v>0</v>
      </c>
      <c r="R392">
        <v>0</v>
      </c>
      <c r="S392">
        <v>0</v>
      </c>
      <c r="T392">
        <v>0</v>
      </c>
      <c r="U392">
        <v>0</v>
      </c>
      <c r="V392">
        <v>0</v>
      </c>
      <c r="W392">
        <v>0</v>
      </c>
      <c r="X392">
        <v>0</v>
      </c>
      <c r="Y392">
        <v>0</v>
      </c>
      <c r="Z392">
        <v>1</v>
      </c>
      <c r="AA392">
        <v>0</v>
      </c>
      <c r="AB392">
        <v>0</v>
      </c>
      <c r="AC392">
        <v>0</v>
      </c>
      <c r="AD392">
        <v>0</v>
      </c>
      <c r="AE392" t="s">
        <v>246</v>
      </c>
      <c r="AF392">
        <v>20</v>
      </c>
      <c r="AG392" t="s">
        <v>241</v>
      </c>
      <c r="AH392">
        <v>46249</v>
      </c>
      <c r="AI392" t="s">
        <v>149</v>
      </c>
    </row>
    <row r="393" spans="1:35" x14ac:dyDescent="0.25">
      <c r="A393" s="1">
        <v>46249</v>
      </c>
      <c r="B393" t="s">
        <v>97</v>
      </c>
      <c r="D393">
        <v>0</v>
      </c>
      <c r="E393">
        <v>0</v>
      </c>
      <c r="F393">
        <v>0</v>
      </c>
      <c r="G393">
        <v>0</v>
      </c>
      <c r="H393">
        <v>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c r="AD393">
        <v>0</v>
      </c>
      <c r="AE393" t="s">
        <v>246</v>
      </c>
      <c r="AF393">
        <v>0</v>
      </c>
      <c r="AG393" t="s">
        <v>247</v>
      </c>
      <c r="AH393">
        <v>46249</v>
      </c>
      <c r="AI393" t="s">
        <v>149</v>
      </c>
    </row>
    <row r="394" spans="1:35" x14ac:dyDescent="0.25">
      <c r="A394" s="1">
        <v>46249</v>
      </c>
      <c r="B394" t="s">
        <v>97</v>
      </c>
      <c r="C394" t="s">
        <v>11</v>
      </c>
      <c r="D394">
        <v>8.5794684939996912</v>
      </c>
      <c r="E394">
        <v>0</v>
      </c>
      <c r="F394">
        <v>0</v>
      </c>
      <c r="G394">
        <v>0</v>
      </c>
      <c r="H394">
        <v>0</v>
      </c>
      <c r="I394">
        <v>0</v>
      </c>
      <c r="J394">
        <v>0</v>
      </c>
      <c r="K394">
        <v>0</v>
      </c>
      <c r="L394">
        <v>0</v>
      </c>
      <c r="M394">
        <v>0</v>
      </c>
      <c r="N394">
        <v>0</v>
      </c>
      <c r="O394">
        <v>0</v>
      </c>
      <c r="P394">
        <v>0</v>
      </c>
      <c r="Q394">
        <v>0</v>
      </c>
      <c r="R394">
        <v>0</v>
      </c>
      <c r="S394">
        <v>0</v>
      </c>
      <c r="T394">
        <v>0</v>
      </c>
      <c r="U394">
        <v>1</v>
      </c>
      <c r="V394">
        <v>0</v>
      </c>
      <c r="W394">
        <v>0</v>
      </c>
      <c r="X394">
        <v>0</v>
      </c>
      <c r="Y394">
        <v>0</v>
      </c>
      <c r="Z394">
        <v>0</v>
      </c>
      <c r="AA394">
        <v>0</v>
      </c>
      <c r="AB394">
        <v>0</v>
      </c>
      <c r="AC394">
        <v>0</v>
      </c>
      <c r="AD394">
        <v>0</v>
      </c>
      <c r="AE394" t="s">
        <v>246</v>
      </c>
      <c r="AF394">
        <v>20</v>
      </c>
      <c r="AG394" t="s">
        <v>240</v>
      </c>
      <c r="AH394">
        <v>46249</v>
      </c>
      <c r="AI394" t="s">
        <v>149</v>
      </c>
    </row>
    <row r="395" spans="1:35" x14ac:dyDescent="0.25">
      <c r="A395" s="1">
        <v>46250</v>
      </c>
      <c r="B395" t="s">
        <v>97</v>
      </c>
      <c r="D395">
        <v>0</v>
      </c>
      <c r="E395">
        <v>0</v>
      </c>
      <c r="F395">
        <v>0</v>
      </c>
      <c r="G395">
        <v>0</v>
      </c>
      <c r="H395">
        <v>0</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t="s">
        <v>246</v>
      </c>
      <c r="AF395">
        <v>0</v>
      </c>
      <c r="AG395" t="s">
        <v>248</v>
      </c>
      <c r="AH395">
        <v>46250</v>
      </c>
      <c r="AI395" t="s">
        <v>149</v>
      </c>
    </row>
    <row r="396" spans="1:35" x14ac:dyDescent="0.25">
      <c r="A396" s="1">
        <v>46223</v>
      </c>
      <c r="B396" t="s">
        <v>97</v>
      </c>
      <c r="C396" t="s">
        <v>12</v>
      </c>
      <c r="D396">
        <v>0</v>
      </c>
      <c r="E396">
        <v>0.95</v>
      </c>
      <c r="F396">
        <v>0.95</v>
      </c>
      <c r="G396">
        <v>0.16608996539792387</v>
      </c>
      <c r="H396">
        <v>0</v>
      </c>
      <c r="I396">
        <v>0</v>
      </c>
      <c r="J396">
        <v>0</v>
      </c>
      <c r="K396">
        <v>0</v>
      </c>
      <c r="L396">
        <v>0</v>
      </c>
      <c r="M396">
        <v>0</v>
      </c>
      <c r="N396">
        <v>0</v>
      </c>
      <c r="O396">
        <v>0</v>
      </c>
      <c r="P396">
        <v>0</v>
      </c>
      <c r="Q396">
        <v>0</v>
      </c>
      <c r="R396">
        <v>0</v>
      </c>
      <c r="S396">
        <v>0</v>
      </c>
      <c r="T396">
        <v>0</v>
      </c>
      <c r="U396">
        <v>0</v>
      </c>
      <c r="V396">
        <v>0</v>
      </c>
      <c r="W396">
        <v>0</v>
      </c>
      <c r="X396">
        <v>0</v>
      </c>
      <c r="Y396">
        <v>0</v>
      </c>
      <c r="Z396">
        <v>0</v>
      </c>
      <c r="AA396">
        <v>1</v>
      </c>
      <c r="AB396">
        <v>0</v>
      </c>
      <c r="AC396">
        <v>0</v>
      </c>
      <c r="AD396">
        <v>0</v>
      </c>
      <c r="AE396" t="s">
        <v>249</v>
      </c>
      <c r="AF396">
        <v>20</v>
      </c>
      <c r="AG396" t="s">
        <v>162</v>
      </c>
      <c r="AH396">
        <v>46223</v>
      </c>
      <c r="AI396" t="s">
        <v>149</v>
      </c>
    </row>
    <row r="397" spans="1:35" x14ac:dyDescent="0.25">
      <c r="A397" s="1">
        <v>46223</v>
      </c>
      <c r="B397" t="s">
        <v>97</v>
      </c>
      <c r="C397" t="s">
        <v>10</v>
      </c>
      <c r="D397">
        <v>0.95622385454066372</v>
      </c>
      <c r="E397">
        <v>0.95</v>
      </c>
      <c r="F397">
        <v>0.95</v>
      </c>
      <c r="G397">
        <v>0.82352941176470595</v>
      </c>
      <c r="H397">
        <v>0.99349121598346501</v>
      </c>
      <c r="I397">
        <v>0.99349121598346501</v>
      </c>
      <c r="J397">
        <v>0.8612307754655425</v>
      </c>
      <c r="K397">
        <v>0</v>
      </c>
      <c r="L397">
        <v>0</v>
      </c>
      <c r="M397">
        <v>0</v>
      </c>
      <c r="N397">
        <v>0</v>
      </c>
      <c r="O397">
        <v>0</v>
      </c>
      <c r="P397">
        <v>0</v>
      </c>
      <c r="Q397">
        <v>0</v>
      </c>
      <c r="R397">
        <v>0</v>
      </c>
      <c r="S397">
        <v>0</v>
      </c>
      <c r="T397">
        <v>0</v>
      </c>
      <c r="U397">
        <v>6.5087840165349853E-3</v>
      </c>
      <c r="V397">
        <v>0</v>
      </c>
      <c r="W397">
        <v>0.13226044051792252</v>
      </c>
      <c r="X397">
        <v>0</v>
      </c>
      <c r="Y397">
        <v>0.8612307754655425</v>
      </c>
      <c r="Z397">
        <v>0</v>
      </c>
      <c r="AA397">
        <v>0</v>
      </c>
      <c r="AB397">
        <v>0</v>
      </c>
      <c r="AC397">
        <v>0</v>
      </c>
      <c r="AD397">
        <v>0</v>
      </c>
      <c r="AE397" t="s">
        <v>249</v>
      </c>
      <c r="AF397">
        <v>20</v>
      </c>
      <c r="AG397" t="s">
        <v>163</v>
      </c>
      <c r="AH397">
        <v>46223</v>
      </c>
      <c r="AI397" t="s">
        <v>149</v>
      </c>
    </row>
    <row r="398" spans="1:35" x14ac:dyDescent="0.25">
      <c r="A398" s="1">
        <v>46223</v>
      </c>
      <c r="B398" t="s">
        <v>97</v>
      </c>
      <c r="C398" t="s">
        <v>11</v>
      </c>
      <c r="D398">
        <v>0</v>
      </c>
      <c r="E398">
        <v>0.95</v>
      </c>
      <c r="F398">
        <v>0.95</v>
      </c>
      <c r="G398">
        <v>0</v>
      </c>
      <c r="H398">
        <v>0</v>
      </c>
      <c r="I398">
        <v>0</v>
      </c>
      <c r="J398">
        <v>0</v>
      </c>
      <c r="K398">
        <v>0</v>
      </c>
      <c r="L398">
        <v>0</v>
      </c>
      <c r="M398">
        <v>0</v>
      </c>
      <c r="N398">
        <v>0</v>
      </c>
      <c r="O398">
        <v>0</v>
      </c>
      <c r="P398">
        <v>0</v>
      </c>
      <c r="Q398">
        <v>0</v>
      </c>
      <c r="R398">
        <v>0</v>
      </c>
      <c r="S398">
        <v>0</v>
      </c>
      <c r="T398">
        <v>0</v>
      </c>
      <c r="U398">
        <v>0</v>
      </c>
      <c r="V398">
        <v>0</v>
      </c>
      <c r="W398">
        <v>0</v>
      </c>
      <c r="X398">
        <v>0</v>
      </c>
      <c r="Y398">
        <v>0</v>
      </c>
      <c r="Z398">
        <v>0</v>
      </c>
      <c r="AA398">
        <v>1</v>
      </c>
      <c r="AB398">
        <v>0</v>
      </c>
      <c r="AC398">
        <v>0</v>
      </c>
      <c r="AD398">
        <v>0</v>
      </c>
      <c r="AE398" t="s">
        <v>249</v>
      </c>
      <c r="AF398">
        <v>20</v>
      </c>
      <c r="AG398" t="s">
        <v>161</v>
      </c>
      <c r="AH398">
        <v>46223</v>
      </c>
      <c r="AI398" t="s">
        <v>149</v>
      </c>
    </row>
    <row r="399" spans="1:35" x14ac:dyDescent="0.25">
      <c r="A399" s="1">
        <v>46224</v>
      </c>
      <c r="B399" t="s">
        <v>97</v>
      </c>
      <c r="C399" t="s">
        <v>10</v>
      </c>
      <c r="D399">
        <v>0.95622385454066372</v>
      </c>
      <c r="E399">
        <v>0.95</v>
      </c>
      <c r="F399">
        <v>0.95</v>
      </c>
      <c r="G399">
        <v>0.82352941176470595</v>
      </c>
      <c r="H399">
        <v>0.99349121598346501</v>
      </c>
      <c r="I399">
        <v>0.99349121598346501</v>
      </c>
      <c r="J399">
        <v>0.8612307754655425</v>
      </c>
      <c r="K399">
        <v>0</v>
      </c>
      <c r="L399">
        <v>0</v>
      </c>
      <c r="M399">
        <v>0</v>
      </c>
      <c r="N399">
        <v>0</v>
      </c>
      <c r="O399">
        <v>0</v>
      </c>
      <c r="P399">
        <v>0</v>
      </c>
      <c r="Q399">
        <v>0</v>
      </c>
      <c r="R399">
        <v>0</v>
      </c>
      <c r="S399">
        <v>0</v>
      </c>
      <c r="T399">
        <v>0</v>
      </c>
      <c r="U399">
        <v>6.5087840165349853E-3</v>
      </c>
      <c r="V399">
        <v>0</v>
      </c>
      <c r="W399">
        <v>0.13226044051792252</v>
      </c>
      <c r="X399">
        <v>0</v>
      </c>
      <c r="Y399">
        <v>0.8612307754655425</v>
      </c>
      <c r="Z399">
        <v>0</v>
      </c>
      <c r="AA399">
        <v>0</v>
      </c>
      <c r="AB399">
        <v>0</v>
      </c>
      <c r="AC399">
        <v>0</v>
      </c>
      <c r="AD399">
        <v>0</v>
      </c>
      <c r="AE399" t="s">
        <v>249</v>
      </c>
      <c r="AF399">
        <v>20</v>
      </c>
      <c r="AG399" t="s">
        <v>165</v>
      </c>
      <c r="AH399">
        <v>46224</v>
      </c>
      <c r="AI399" t="s">
        <v>149</v>
      </c>
    </row>
    <row r="400" spans="1:35" x14ac:dyDescent="0.25">
      <c r="A400" s="1">
        <v>46224</v>
      </c>
      <c r="B400" t="s">
        <v>97</v>
      </c>
      <c r="C400" t="s">
        <v>12</v>
      </c>
      <c r="D400">
        <v>0</v>
      </c>
      <c r="E400">
        <v>2.8499999999999996</v>
      </c>
      <c r="F400">
        <v>2.8499999999999996</v>
      </c>
      <c r="G400">
        <v>0.16608996539792387</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1</v>
      </c>
      <c r="AB400">
        <v>0</v>
      </c>
      <c r="AC400">
        <v>0</v>
      </c>
      <c r="AD400">
        <v>0</v>
      </c>
      <c r="AE400" t="s">
        <v>249</v>
      </c>
      <c r="AF400">
        <v>20</v>
      </c>
      <c r="AG400" t="s">
        <v>166</v>
      </c>
      <c r="AH400">
        <v>46224</v>
      </c>
      <c r="AI400" t="s">
        <v>149</v>
      </c>
    </row>
    <row r="401" spans="1:35" x14ac:dyDescent="0.25">
      <c r="A401" s="1">
        <v>46224</v>
      </c>
      <c r="B401" t="s">
        <v>97</v>
      </c>
      <c r="C401" t="s">
        <v>11</v>
      </c>
      <c r="D401">
        <v>0</v>
      </c>
      <c r="E401">
        <v>0</v>
      </c>
      <c r="F401">
        <v>0</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t="s">
        <v>249</v>
      </c>
      <c r="AF401">
        <v>20</v>
      </c>
      <c r="AG401" t="s">
        <v>164</v>
      </c>
      <c r="AH401">
        <v>46224</v>
      </c>
      <c r="AI401" t="s">
        <v>149</v>
      </c>
    </row>
    <row r="402" spans="1:35" x14ac:dyDescent="0.25">
      <c r="A402" s="1">
        <v>46225</v>
      </c>
      <c r="B402" t="s">
        <v>97</v>
      </c>
      <c r="C402" t="s">
        <v>10</v>
      </c>
      <c r="D402">
        <v>2.8686715636219908</v>
      </c>
      <c r="E402">
        <v>1.9</v>
      </c>
      <c r="F402">
        <v>1.9</v>
      </c>
      <c r="G402">
        <v>2.4760061919504648</v>
      </c>
      <c r="H402">
        <v>0.66232747732231012</v>
      </c>
      <c r="I402">
        <v>0.66232747732231012</v>
      </c>
      <c r="J402">
        <v>0.86311943944682679</v>
      </c>
      <c r="K402">
        <v>0</v>
      </c>
      <c r="L402">
        <v>0</v>
      </c>
      <c r="M402">
        <v>0</v>
      </c>
      <c r="N402">
        <v>0</v>
      </c>
      <c r="O402">
        <v>0</v>
      </c>
      <c r="P402">
        <v>0</v>
      </c>
      <c r="Q402">
        <v>0</v>
      </c>
      <c r="R402">
        <v>0</v>
      </c>
      <c r="S402">
        <v>0</v>
      </c>
      <c r="T402">
        <v>0.20079196212451667</v>
      </c>
      <c r="U402">
        <v>0.13688056055317321</v>
      </c>
      <c r="V402">
        <v>0</v>
      </c>
      <c r="W402">
        <v>0</v>
      </c>
      <c r="X402">
        <v>0</v>
      </c>
      <c r="Y402">
        <v>0.66232747732231012</v>
      </c>
      <c r="Z402">
        <v>0</v>
      </c>
      <c r="AA402">
        <v>0</v>
      </c>
      <c r="AB402">
        <v>0</v>
      </c>
      <c r="AC402">
        <v>0</v>
      </c>
      <c r="AD402">
        <v>0</v>
      </c>
      <c r="AE402" t="s">
        <v>249</v>
      </c>
      <c r="AF402">
        <v>20</v>
      </c>
      <c r="AG402" t="s">
        <v>167</v>
      </c>
      <c r="AH402">
        <v>46225</v>
      </c>
      <c r="AI402" t="s">
        <v>149</v>
      </c>
    </row>
    <row r="403" spans="1:35" x14ac:dyDescent="0.25">
      <c r="A403" s="1">
        <v>46225</v>
      </c>
      <c r="B403" t="s">
        <v>97</v>
      </c>
      <c r="C403" t="s">
        <v>12</v>
      </c>
      <c r="D403">
        <v>0.67498154438164493</v>
      </c>
      <c r="E403">
        <v>1.9</v>
      </c>
      <c r="F403">
        <v>1.9</v>
      </c>
      <c r="G403">
        <v>1.3167000546348568</v>
      </c>
      <c r="H403">
        <v>2.8148917786198178</v>
      </c>
      <c r="I403">
        <v>2.8148917786198178</v>
      </c>
      <c r="J403">
        <v>1.9507200835262755</v>
      </c>
      <c r="K403">
        <v>0</v>
      </c>
      <c r="L403">
        <v>0</v>
      </c>
      <c r="M403">
        <v>0.8641716950935423</v>
      </c>
      <c r="N403">
        <v>0</v>
      </c>
      <c r="O403">
        <v>0.70072008352627546</v>
      </c>
      <c r="P403">
        <v>0</v>
      </c>
      <c r="Q403">
        <v>0.25</v>
      </c>
      <c r="R403">
        <v>0</v>
      </c>
      <c r="S403">
        <v>0</v>
      </c>
      <c r="T403">
        <v>0</v>
      </c>
      <c r="U403">
        <v>0</v>
      </c>
      <c r="V403">
        <v>0</v>
      </c>
      <c r="W403">
        <v>0</v>
      </c>
      <c r="X403">
        <v>0</v>
      </c>
      <c r="Y403">
        <v>1</v>
      </c>
      <c r="Z403">
        <v>0</v>
      </c>
      <c r="AA403">
        <v>0</v>
      </c>
      <c r="AB403">
        <v>0</v>
      </c>
      <c r="AC403">
        <v>0</v>
      </c>
      <c r="AD403">
        <v>0</v>
      </c>
      <c r="AE403" t="s">
        <v>249</v>
      </c>
      <c r="AF403">
        <v>20</v>
      </c>
      <c r="AG403" t="s">
        <v>168</v>
      </c>
      <c r="AH403">
        <v>46225</v>
      </c>
      <c r="AI403" t="s">
        <v>149</v>
      </c>
    </row>
    <row r="404" spans="1:35" x14ac:dyDescent="0.25">
      <c r="A404" s="1">
        <v>46225</v>
      </c>
      <c r="B404" t="s">
        <v>97</v>
      </c>
      <c r="C404" t="s">
        <v>11</v>
      </c>
      <c r="D404">
        <v>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t="s">
        <v>249</v>
      </c>
      <c r="AF404">
        <v>20</v>
      </c>
      <c r="AG404" t="s">
        <v>169</v>
      </c>
      <c r="AH404">
        <v>46225</v>
      </c>
      <c r="AI404" t="s">
        <v>149</v>
      </c>
    </row>
    <row r="405" spans="1:35" x14ac:dyDescent="0.25">
      <c r="A405" s="1">
        <v>46226</v>
      </c>
      <c r="B405" t="s">
        <v>97</v>
      </c>
      <c r="C405" t="s">
        <v>12</v>
      </c>
      <c r="D405">
        <v>0</v>
      </c>
      <c r="E405">
        <v>0.95</v>
      </c>
      <c r="F405">
        <v>0.95</v>
      </c>
      <c r="G405">
        <v>0.61081770169368066</v>
      </c>
      <c r="H405">
        <v>0</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1</v>
      </c>
      <c r="AC405">
        <v>0</v>
      </c>
      <c r="AD405">
        <v>0</v>
      </c>
      <c r="AE405" t="s">
        <v>249</v>
      </c>
      <c r="AF405">
        <v>20</v>
      </c>
      <c r="AG405" t="s">
        <v>170</v>
      </c>
      <c r="AH405">
        <v>46226</v>
      </c>
      <c r="AI405" t="s">
        <v>149</v>
      </c>
    </row>
    <row r="406" spans="1:35" x14ac:dyDescent="0.25">
      <c r="A406" s="1">
        <v>46226</v>
      </c>
      <c r="B406" t="s">
        <v>97</v>
      </c>
      <c r="C406" t="s">
        <v>11</v>
      </c>
      <c r="D406">
        <v>0</v>
      </c>
      <c r="E406">
        <v>0</v>
      </c>
      <c r="F406">
        <v>0</v>
      </c>
      <c r="G406">
        <v>0</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c r="AD406">
        <v>0</v>
      </c>
      <c r="AE406" t="s">
        <v>249</v>
      </c>
      <c r="AF406">
        <v>20</v>
      </c>
      <c r="AG406" t="s">
        <v>172</v>
      </c>
      <c r="AH406">
        <v>46226</v>
      </c>
      <c r="AI406" t="s">
        <v>149</v>
      </c>
    </row>
    <row r="407" spans="1:35" x14ac:dyDescent="0.25">
      <c r="A407" s="1">
        <v>46226</v>
      </c>
      <c r="B407" t="s">
        <v>97</v>
      </c>
      <c r="C407" t="s">
        <v>10</v>
      </c>
      <c r="D407">
        <v>2.8686715636219908</v>
      </c>
      <c r="E407">
        <v>1.9</v>
      </c>
      <c r="F407">
        <v>1.9</v>
      </c>
      <c r="G407">
        <v>2.4760061919504648</v>
      </c>
      <c r="H407">
        <v>0.66232747732231012</v>
      </c>
      <c r="I407">
        <v>0.66232747732231012</v>
      </c>
      <c r="J407">
        <v>0.86311943944682679</v>
      </c>
      <c r="K407">
        <v>0</v>
      </c>
      <c r="L407">
        <v>0</v>
      </c>
      <c r="M407">
        <v>0</v>
      </c>
      <c r="N407">
        <v>0</v>
      </c>
      <c r="O407">
        <v>0</v>
      </c>
      <c r="P407">
        <v>0</v>
      </c>
      <c r="Q407">
        <v>0</v>
      </c>
      <c r="R407">
        <v>0</v>
      </c>
      <c r="S407">
        <v>0</v>
      </c>
      <c r="T407">
        <v>0.20079196212451667</v>
      </c>
      <c r="U407">
        <v>0.13688056055317321</v>
      </c>
      <c r="V407">
        <v>0</v>
      </c>
      <c r="W407">
        <v>0</v>
      </c>
      <c r="X407">
        <v>0</v>
      </c>
      <c r="Y407">
        <v>0.66232747732231012</v>
      </c>
      <c r="Z407">
        <v>0</v>
      </c>
      <c r="AA407">
        <v>0</v>
      </c>
      <c r="AB407">
        <v>0</v>
      </c>
      <c r="AC407">
        <v>0</v>
      </c>
      <c r="AD407">
        <v>0</v>
      </c>
      <c r="AE407" t="s">
        <v>249</v>
      </c>
      <c r="AF407">
        <v>20</v>
      </c>
      <c r="AG407" t="s">
        <v>171</v>
      </c>
      <c r="AH407">
        <v>46226</v>
      </c>
      <c r="AI407" t="s">
        <v>149</v>
      </c>
    </row>
    <row r="408" spans="1:35" x14ac:dyDescent="0.25">
      <c r="A408" s="1">
        <v>46227</v>
      </c>
      <c r="B408" t="s">
        <v>97</v>
      </c>
      <c r="C408" t="s">
        <v>12</v>
      </c>
      <c r="D408">
        <v>0</v>
      </c>
      <c r="E408">
        <v>0.95</v>
      </c>
      <c r="F408">
        <v>0.95</v>
      </c>
      <c r="G408">
        <v>0.16608996539792387</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1</v>
      </c>
      <c r="AB408">
        <v>0</v>
      </c>
      <c r="AC408">
        <v>0</v>
      </c>
      <c r="AD408">
        <v>0</v>
      </c>
      <c r="AE408" t="s">
        <v>249</v>
      </c>
      <c r="AF408">
        <v>20</v>
      </c>
      <c r="AG408" t="s">
        <v>175</v>
      </c>
      <c r="AH408">
        <v>46227</v>
      </c>
      <c r="AI408" t="s">
        <v>149</v>
      </c>
    </row>
    <row r="409" spans="1:35" x14ac:dyDescent="0.25">
      <c r="A409" s="1">
        <v>46227</v>
      </c>
      <c r="B409" t="s">
        <v>97</v>
      </c>
      <c r="C409" t="s">
        <v>10</v>
      </c>
      <c r="D409">
        <v>1.9124477090813272</v>
      </c>
      <c r="E409">
        <v>0.95</v>
      </c>
      <c r="F409">
        <v>0.95</v>
      </c>
      <c r="G409">
        <v>0.82352941176470595</v>
      </c>
      <c r="H409">
        <v>0.49674560799173256</v>
      </c>
      <c r="I409">
        <v>0.49674560799173256</v>
      </c>
      <c r="J409">
        <v>0.4306153877327713</v>
      </c>
      <c r="K409">
        <v>0</v>
      </c>
      <c r="L409">
        <v>0</v>
      </c>
      <c r="M409">
        <v>0</v>
      </c>
      <c r="N409">
        <v>0</v>
      </c>
      <c r="O409">
        <v>0</v>
      </c>
      <c r="P409">
        <v>0</v>
      </c>
      <c r="Q409">
        <v>0</v>
      </c>
      <c r="R409">
        <v>0</v>
      </c>
      <c r="S409">
        <v>0</v>
      </c>
      <c r="T409">
        <v>0</v>
      </c>
      <c r="U409">
        <v>0.50325439200826749</v>
      </c>
      <c r="V409">
        <v>0</v>
      </c>
      <c r="W409">
        <v>6.6130220258961259E-2</v>
      </c>
      <c r="X409">
        <v>0</v>
      </c>
      <c r="Y409">
        <v>0.4306153877327713</v>
      </c>
      <c r="Z409">
        <v>0</v>
      </c>
      <c r="AA409">
        <v>0</v>
      </c>
      <c r="AB409">
        <v>0</v>
      </c>
      <c r="AC409">
        <v>0</v>
      </c>
      <c r="AD409">
        <v>0</v>
      </c>
      <c r="AE409" t="s">
        <v>249</v>
      </c>
      <c r="AF409">
        <v>20</v>
      </c>
      <c r="AG409" t="s">
        <v>173</v>
      </c>
      <c r="AH409">
        <v>46227</v>
      </c>
      <c r="AI409" t="s">
        <v>149</v>
      </c>
    </row>
    <row r="410" spans="1:35" x14ac:dyDescent="0.25">
      <c r="A410" s="1">
        <v>46227</v>
      </c>
      <c r="B410" t="s">
        <v>97</v>
      </c>
      <c r="C410" t="s">
        <v>11</v>
      </c>
      <c r="D410">
        <v>0</v>
      </c>
      <c r="E410">
        <v>0</v>
      </c>
      <c r="F410">
        <v>0</v>
      </c>
      <c r="G410">
        <v>0</v>
      </c>
      <c r="H410">
        <v>0</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c r="AD410">
        <v>0</v>
      </c>
      <c r="AE410" t="s">
        <v>249</v>
      </c>
      <c r="AF410">
        <v>20</v>
      </c>
      <c r="AG410" t="s">
        <v>174</v>
      </c>
      <c r="AH410">
        <v>46227</v>
      </c>
      <c r="AI410" t="s">
        <v>149</v>
      </c>
    </row>
    <row r="411" spans="1:35" x14ac:dyDescent="0.25">
      <c r="A411" s="1">
        <v>46228</v>
      </c>
      <c r="B411" t="s">
        <v>97</v>
      </c>
      <c r="C411" t="s">
        <v>10</v>
      </c>
      <c r="D411">
        <v>0.95622385454066372</v>
      </c>
      <c r="E411">
        <v>0.95</v>
      </c>
      <c r="F411">
        <v>0.95</v>
      </c>
      <c r="G411">
        <v>0.82352941176470595</v>
      </c>
      <c r="H411">
        <v>0.99349121598346501</v>
      </c>
      <c r="I411">
        <v>0.99349121598346501</v>
      </c>
      <c r="J411">
        <v>0.8612307754655425</v>
      </c>
      <c r="K411">
        <v>0</v>
      </c>
      <c r="L411">
        <v>0</v>
      </c>
      <c r="M411">
        <v>0</v>
      </c>
      <c r="N411">
        <v>0</v>
      </c>
      <c r="O411">
        <v>0</v>
      </c>
      <c r="P411">
        <v>0</v>
      </c>
      <c r="Q411">
        <v>0</v>
      </c>
      <c r="R411">
        <v>0</v>
      </c>
      <c r="S411">
        <v>0</v>
      </c>
      <c r="T411">
        <v>0</v>
      </c>
      <c r="U411">
        <v>6.5087840165349853E-3</v>
      </c>
      <c r="V411">
        <v>0</v>
      </c>
      <c r="W411">
        <v>0.13226044051792252</v>
      </c>
      <c r="X411">
        <v>0</v>
      </c>
      <c r="Y411">
        <v>0.8612307754655425</v>
      </c>
      <c r="Z411">
        <v>0</v>
      </c>
      <c r="AA411">
        <v>0</v>
      </c>
      <c r="AB411">
        <v>0</v>
      </c>
      <c r="AC411">
        <v>0</v>
      </c>
      <c r="AD411">
        <v>0</v>
      </c>
      <c r="AE411" t="s">
        <v>249</v>
      </c>
      <c r="AF411">
        <v>20</v>
      </c>
      <c r="AG411" t="s">
        <v>176</v>
      </c>
      <c r="AH411">
        <v>46228</v>
      </c>
      <c r="AI411" t="s">
        <v>149</v>
      </c>
    </row>
    <row r="412" spans="1:35" x14ac:dyDescent="0.25">
      <c r="A412" s="1">
        <v>46228</v>
      </c>
      <c r="B412" t="s">
        <v>97</v>
      </c>
      <c r="C412" t="s">
        <v>11</v>
      </c>
      <c r="D412">
        <v>0</v>
      </c>
      <c r="E412">
        <v>0</v>
      </c>
      <c r="F412">
        <v>0</v>
      </c>
      <c r="G412">
        <v>0</v>
      </c>
      <c r="H412">
        <v>0</v>
      </c>
      <c r="I412">
        <v>0</v>
      </c>
      <c r="J412">
        <v>0</v>
      </c>
      <c r="K412">
        <v>0</v>
      </c>
      <c r="L412">
        <v>0</v>
      </c>
      <c r="M412">
        <v>0</v>
      </c>
      <c r="N412">
        <v>0</v>
      </c>
      <c r="O412">
        <v>0</v>
      </c>
      <c r="P412">
        <v>0</v>
      </c>
      <c r="Q412">
        <v>0</v>
      </c>
      <c r="R412">
        <v>0</v>
      </c>
      <c r="S412">
        <v>0</v>
      </c>
      <c r="T412">
        <v>0</v>
      </c>
      <c r="U412">
        <v>0</v>
      </c>
      <c r="V412">
        <v>0</v>
      </c>
      <c r="W412">
        <v>0</v>
      </c>
      <c r="X412">
        <v>0</v>
      </c>
      <c r="Y412">
        <v>0</v>
      </c>
      <c r="Z412">
        <v>0</v>
      </c>
      <c r="AA412">
        <v>0</v>
      </c>
      <c r="AB412">
        <v>0</v>
      </c>
      <c r="AC412">
        <v>0</v>
      </c>
      <c r="AD412">
        <v>0</v>
      </c>
      <c r="AE412" t="s">
        <v>249</v>
      </c>
      <c r="AF412">
        <v>20</v>
      </c>
      <c r="AG412" t="s">
        <v>177</v>
      </c>
      <c r="AH412">
        <v>46228</v>
      </c>
      <c r="AI412" t="s">
        <v>149</v>
      </c>
    </row>
    <row r="413" spans="1:35" x14ac:dyDescent="0.25">
      <c r="A413" s="1">
        <v>46228</v>
      </c>
      <c r="B413" t="s">
        <v>97</v>
      </c>
      <c r="C413" t="s">
        <v>12</v>
      </c>
      <c r="D413">
        <v>0</v>
      </c>
      <c r="E413">
        <v>0</v>
      </c>
      <c r="F413">
        <v>0</v>
      </c>
      <c r="G413">
        <v>0.16608996539792387</v>
      </c>
      <c r="H413">
        <v>0</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1</v>
      </c>
      <c r="AC413">
        <v>0</v>
      </c>
      <c r="AD413">
        <v>0</v>
      </c>
      <c r="AE413" t="s">
        <v>249</v>
      </c>
      <c r="AF413">
        <v>20</v>
      </c>
      <c r="AG413" t="s">
        <v>178</v>
      </c>
      <c r="AH413">
        <v>46228</v>
      </c>
      <c r="AI413" t="s">
        <v>149</v>
      </c>
    </row>
    <row r="414" spans="1:35" x14ac:dyDescent="0.25">
      <c r="A414" s="1">
        <v>46229</v>
      </c>
      <c r="B414" t="s">
        <v>97</v>
      </c>
      <c r="C414" t="s">
        <v>11</v>
      </c>
      <c r="D414">
        <v>0</v>
      </c>
      <c r="E414">
        <v>0</v>
      </c>
      <c r="F414">
        <v>0</v>
      </c>
      <c r="G414">
        <v>0</v>
      </c>
      <c r="H414">
        <v>0</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c r="AD414">
        <v>0</v>
      </c>
      <c r="AE414" t="s">
        <v>249</v>
      </c>
      <c r="AF414">
        <v>20</v>
      </c>
      <c r="AG414" t="s">
        <v>179</v>
      </c>
      <c r="AH414">
        <v>46229</v>
      </c>
      <c r="AI414" t="s">
        <v>149</v>
      </c>
    </row>
    <row r="415" spans="1:35" x14ac:dyDescent="0.25">
      <c r="A415" s="1">
        <v>46229</v>
      </c>
      <c r="B415" t="s">
        <v>97</v>
      </c>
      <c r="C415" t="s">
        <v>12</v>
      </c>
      <c r="D415">
        <v>0</v>
      </c>
      <c r="E415">
        <v>2.8499999999999996</v>
      </c>
      <c r="F415">
        <v>2.8499999999999996</v>
      </c>
      <c r="G415">
        <v>0</v>
      </c>
      <c r="H415">
        <v>0</v>
      </c>
      <c r="I415">
        <v>0</v>
      </c>
      <c r="J415">
        <v>0</v>
      </c>
      <c r="K415">
        <v>0</v>
      </c>
      <c r="L415">
        <v>0</v>
      </c>
      <c r="M415">
        <v>0</v>
      </c>
      <c r="N415">
        <v>0</v>
      </c>
      <c r="O415">
        <v>0</v>
      </c>
      <c r="P415">
        <v>0</v>
      </c>
      <c r="Q415">
        <v>0</v>
      </c>
      <c r="R415">
        <v>0</v>
      </c>
      <c r="S415">
        <v>0</v>
      </c>
      <c r="T415">
        <v>0</v>
      </c>
      <c r="U415">
        <v>0</v>
      </c>
      <c r="V415">
        <v>0</v>
      </c>
      <c r="W415">
        <v>0</v>
      </c>
      <c r="X415">
        <v>0</v>
      </c>
      <c r="Y415">
        <v>0</v>
      </c>
      <c r="Z415">
        <v>0</v>
      </c>
      <c r="AA415">
        <v>1</v>
      </c>
      <c r="AB415">
        <v>0</v>
      </c>
      <c r="AC415">
        <v>0</v>
      </c>
      <c r="AD415">
        <v>0</v>
      </c>
      <c r="AE415" t="s">
        <v>249</v>
      </c>
      <c r="AF415">
        <v>20</v>
      </c>
      <c r="AG415" t="s">
        <v>180</v>
      </c>
      <c r="AH415">
        <v>46229</v>
      </c>
      <c r="AI415" t="s">
        <v>149</v>
      </c>
    </row>
    <row r="416" spans="1:35" x14ac:dyDescent="0.25">
      <c r="A416" s="1">
        <v>46229</v>
      </c>
      <c r="B416" t="s">
        <v>97</v>
      </c>
      <c r="C416" t="s">
        <v>10</v>
      </c>
      <c r="D416">
        <v>0.95622385454066372</v>
      </c>
      <c r="E416">
        <v>0</v>
      </c>
      <c r="F416">
        <v>0</v>
      </c>
      <c r="G416">
        <v>0</v>
      </c>
      <c r="H416">
        <v>0</v>
      </c>
      <c r="I416">
        <v>0</v>
      </c>
      <c r="J416">
        <v>0</v>
      </c>
      <c r="K416">
        <v>0</v>
      </c>
      <c r="L416">
        <v>0</v>
      </c>
      <c r="M416">
        <v>0</v>
      </c>
      <c r="N416">
        <v>0</v>
      </c>
      <c r="O416">
        <v>0</v>
      </c>
      <c r="P416">
        <v>0</v>
      </c>
      <c r="Q416">
        <v>0</v>
      </c>
      <c r="R416">
        <v>0</v>
      </c>
      <c r="S416">
        <v>0</v>
      </c>
      <c r="T416">
        <v>0</v>
      </c>
      <c r="U416">
        <v>1</v>
      </c>
      <c r="V416">
        <v>0</v>
      </c>
      <c r="W416">
        <v>0</v>
      </c>
      <c r="X416">
        <v>0</v>
      </c>
      <c r="Y416">
        <v>0</v>
      </c>
      <c r="Z416">
        <v>0</v>
      </c>
      <c r="AA416">
        <v>0</v>
      </c>
      <c r="AB416">
        <v>0</v>
      </c>
      <c r="AC416">
        <v>0</v>
      </c>
      <c r="AD416">
        <v>0</v>
      </c>
      <c r="AE416" t="s">
        <v>249</v>
      </c>
      <c r="AF416">
        <v>20</v>
      </c>
      <c r="AG416" t="s">
        <v>181</v>
      </c>
      <c r="AH416">
        <v>46229</v>
      </c>
      <c r="AI416" t="s">
        <v>149</v>
      </c>
    </row>
    <row r="417" spans="1:35" x14ac:dyDescent="0.25">
      <c r="A417" s="1">
        <v>46230</v>
      </c>
      <c r="B417" t="s">
        <v>97</v>
      </c>
      <c r="C417" t="s">
        <v>10</v>
      </c>
      <c r="D417">
        <v>0</v>
      </c>
      <c r="E417">
        <v>0</v>
      </c>
      <c r="F417">
        <v>0</v>
      </c>
      <c r="G417">
        <v>0.82352941176470595</v>
      </c>
      <c r="H417">
        <v>0</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1</v>
      </c>
      <c r="AC417">
        <v>0</v>
      </c>
      <c r="AD417">
        <v>0</v>
      </c>
      <c r="AE417" t="s">
        <v>249</v>
      </c>
      <c r="AF417">
        <v>20</v>
      </c>
      <c r="AG417" t="s">
        <v>183</v>
      </c>
      <c r="AH417">
        <v>46230</v>
      </c>
      <c r="AI417" t="s">
        <v>149</v>
      </c>
    </row>
    <row r="418" spans="1:35" x14ac:dyDescent="0.25">
      <c r="A418" s="1">
        <v>46230</v>
      </c>
      <c r="B418" t="s">
        <v>97</v>
      </c>
      <c r="C418" t="s">
        <v>12</v>
      </c>
      <c r="D418">
        <v>0</v>
      </c>
      <c r="E418">
        <v>0.95</v>
      </c>
      <c r="F418">
        <v>0.95</v>
      </c>
      <c r="G418">
        <v>0.16608996539792387</v>
      </c>
      <c r="H418">
        <v>0</v>
      </c>
      <c r="I418">
        <v>0</v>
      </c>
      <c r="J418">
        <v>0</v>
      </c>
      <c r="K418">
        <v>0</v>
      </c>
      <c r="L418">
        <v>0</v>
      </c>
      <c r="M418">
        <v>0</v>
      </c>
      <c r="N418">
        <v>0</v>
      </c>
      <c r="O418">
        <v>0</v>
      </c>
      <c r="P418">
        <v>0</v>
      </c>
      <c r="Q418">
        <v>0</v>
      </c>
      <c r="R418">
        <v>0</v>
      </c>
      <c r="S418">
        <v>0</v>
      </c>
      <c r="T418">
        <v>0</v>
      </c>
      <c r="U418">
        <v>0</v>
      </c>
      <c r="V418">
        <v>0</v>
      </c>
      <c r="W418">
        <v>0</v>
      </c>
      <c r="X418">
        <v>0</v>
      </c>
      <c r="Y418">
        <v>0</v>
      </c>
      <c r="Z418">
        <v>0</v>
      </c>
      <c r="AA418">
        <v>1</v>
      </c>
      <c r="AB418">
        <v>0</v>
      </c>
      <c r="AC418">
        <v>0</v>
      </c>
      <c r="AD418">
        <v>0</v>
      </c>
      <c r="AE418" t="s">
        <v>249</v>
      </c>
      <c r="AF418">
        <v>20</v>
      </c>
      <c r="AG418" t="s">
        <v>182</v>
      </c>
      <c r="AH418">
        <v>46230</v>
      </c>
      <c r="AI418" t="s">
        <v>149</v>
      </c>
    </row>
    <row r="419" spans="1:35" x14ac:dyDescent="0.25">
      <c r="A419" s="1">
        <v>46230</v>
      </c>
      <c r="B419" t="s">
        <v>97</v>
      </c>
      <c r="C419" t="s">
        <v>11</v>
      </c>
      <c r="D419">
        <v>0</v>
      </c>
      <c r="E419">
        <v>0</v>
      </c>
      <c r="F419">
        <v>0</v>
      </c>
      <c r="G419">
        <v>0</v>
      </c>
      <c r="H419">
        <v>0</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c r="AD419">
        <v>0</v>
      </c>
      <c r="AE419" t="s">
        <v>249</v>
      </c>
      <c r="AF419">
        <v>20</v>
      </c>
      <c r="AG419" t="s">
        <v>184</v>
      </c>
      <c r="AH419">
        <v>46230</v>
      </c>
      <c r="AI419" t="s">
        <v>149</v>
      </c>
    </row>
    <row r="420" spans="1:35" x14ac:dyDescent="0.25">
      <c r="A420" s="1">
        <v>46231</v>
      </c>
      <c r="B420" t="s">
        <v>97</v>
      </c>
      <c r="C420" t="s">
        <v>12</v>
      </c>
      <c r="D420">
        <v>0</v>
      </c>
      <c r="E420">
        <v>0</v>
      </c>
      <c r="F420">
        <v>0</v>
      </c>
      <c r="G420">
        <v>0.33217993079584773</v>
      </c>
      <c r="H420">
        <v>0</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1</v>
      </c>
      <c r="AC420">
        <v>0</v>
      </c>
      <c r="AD420">
        <v>0</v>
      </c>
      <c r="AE420" t="s">
        <v>249</v>
      </c>
      <c r="AF420">
        <v>20</v>
      </c>
      <c r="AG420" t="s">
        <v>185</v>
      </c>
      <c r="AH420">
        <v>46231</v>
      </c>
      <c r="AI420" t="s">
        <v>149</v>
      </c>
    </row>
    <row r="421" spans="1:35" x14ac:dyDescent="0.25">
      <c r="A421" s="1">
        <v>46231</v>
      </c>
      <c r="B421" t="s">
        <v>97</v>
      </c>
      <c r="C421" t="s">
        <v>10</v>
      </c>
      <c r="D421">
        <v>1.9124477090813272</v>
      </c>
      <c r="E421">
        <v>1.9</v>
      </c>
      <c r="F421">
        <v>1.9</v>
      </c>
      <c r="G421">
        <v>1.6470588235294119</v>
      </c>
      <c r="H421">
        <v>0.99349121598346513</v>
      </c>
      <c r="I421">
        <v>0.99349121598346513</v>
      </c>
      <c r="J421">
        <v>0.86123077546554261</v>
      </c>
      <c r="K421">
        <v>0</v>
      </c>
      <c r="L421">
        <v>0</v>
      </c>
      <c r="M421">
        <v>0</v>
      </c>
      <c r="N421">
        <v>0</v>
      </c>
      <c r="O421">
        <v>0</v>
      </c>
      <c r="P421">
        <v>0</v>
      </c>
      <c r="Q421">
        <v>0</v>
      </c>
      <c r="R421">
        <v>0</v>
      </c>
      <c r="S421">
        <v>0</v>
      </c>
      <c r="T421">
        <v>0</v>
      </c>
      <c r="U421">
        <v>6.5087840165348743E-3</v>
      </c>
      <c r="V421">
        <v>0</v>
      </c>
      <c r="W421">
        <v>0.13226044051792252</v>
      </c>
      <c r="X421">
        <v>0</v>
      </c>
      <c r="Y421">
        <v>0.86123077546554261</v>
      </c>
      <c r="Z421">
        <v>0</v>
      </c>
      <c r="AA421">
        <v>0</v>
      </c>
      <c r="AB421">
        <v>0</v>
      </c>
      <c r="AC421">
        <v>0</v>
      </c>
      <c r="AD421">
        <v>0</v>
      </c>
      <c r="AE421" t="s">
        <v>249</v>
      </c>
      <c r="AF421">
        <v>20</v>
      </c>
      <c r="AG421" t="s">
        <v>187</v>
      </c>
      <c r="AH421">
        <v>46231</v>
      </c>
      <c r="AI421" t="s">
        <v>149</v>
      </c>
    </row>
    <row r="422" spans="1:35" x14ac:dyDescent="0.25">
      <c r="A422" s="1">
        <v>46231</v>
      </c>
      <c r="B422" t="s">
        <v>97</v>
      </c>
      <c r="C422" t="s">
        <v>11</v>
      </c>
      <c r="D422">
        <v>0</v>
      </c>
      <c r="E422">
        <v>1.9</v>
      </c>
      <c r="F422">
        <v>1.9</v>
      </c>
      <c r="G422">
        <v>0</v>
      </c>
      <c r="H422">
        <v>0</v>
      </c>
      <c r="I422">
        <v>0</v>
      </c>
      <c r="J422">
        <v>0</v>
      </c>
      <c r="K422">
        <v>0</v>
      </c>
      <c r="L422">
        <v>0</v>
      </c>
      <c r="M422">
        <v>0</v>
      </c>
      <c r="N422">
        <v>0</v>
      </c>
      <c r="O422">
        <v>0</v>
      </c>
      <c r="P422">
        <v>0</v>
      </c>
      <c r="Q422">
        <v>0</v>
      </c>
      <c r="R422">
        <v>0</v>
      </c>
      <c r="S422">
        <v>0</v>
      </c>
      <c r="T422">
        <v>0</v>
      </c>
      <c r="U422">
        <v>0</v>
      </c>
      <c r="V422">
        <v>0</v>
      </c>
      <c r="W422">
        <v>0</v>
      </c>
      <c r="X422">
        <v>0</v>
      </c>
      <c r="Y422">
        <v>0</v>
      </c>
      <c r="Z422">
        <v>0</v>
      </c>
      <c r="AA422">
        <v>1</v>
      </c>
      <c r="AB422">
        <v>0</v>
      </c>
      <c r="AC422">
        <v>0</v>
      </c>
      <c r="AD422">
        <v>0</v>
      </c>
      <c r="AE422" t="s">
        <v>249</v>
      </c>
      <c r="AF422">
        <v>20</v>
      </c>
      <c r="AG422" t="s">
        <v>186</v>
      </c>
      <c r="AH422">
        <v>46231</v>
      </c>
      <c r="AI422" t="s">
        <v>149</v>
      </c>
    </row>
    <row r="423" spans="1:35" x14ac:dyDescent="0.25">
      <c r="A423" s="1">
        <v>46232</v>
      </c>
      <c r="B423" t="s">
        <v>97</v>
      </c>
      <c r="C423" t="s">
        <v>11</v>
      </c>
      <c r="D423">
        <v>0</v>
      </c>
      <c r="E423">
        <v>0</v>
      </c>
      <c r="F423">
        <v>0</v>
      </c>
      <c r="G423">
        <v>0</v>
      </c>
      <c r="H423">
        <v>0</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c r="AD423">
        <v>0</v>
      </c>
      <c r="AE423" t="s">
        <v>249</v>
      </c>
      <c r="AF423">
        <v>20</v>
      </c>
      <c r="AG423" t="s">
        <v>188</v>
      </c>
      <c r="AH423">
        <v>46232</v>
      </c>
      <c r="AI423" t="s">
        <v>149</v>
      </c>
    </row>
    <row r="424" spans="1:35" x14ac:dyDescent="0.25">
      <c r="A424" s="1">
        <v>46232</v>
      </c>
      <c r="B424" t="s">
        <v>97</v>
      </c>
      <c r="C424" t="s">
        <v>12</v>
      </c>
      <c r="D424">
        <v>0.67498154438164493</v>
      </c>
      <c r="E424">
        <v>2.8499999999999996</v>
      </c>
      <c r="F424">
        <v>2.8499999999999996</v>
      </c>
      <c r="G424">
        <v>1.523159108844776</v>
      </c>
      <c r="H424">
        <v>4.2223376679297262</v>
      </c>
      <c r="I424">
        <v>4.2223376679297262</v>
      </c>
      <c r="J424">
        <v>2.2565937121142361</v>
      </c>
      <c r="K424">
        <v>0</v>
      </c>
      <c r="L424">
        <v>0</v>
      </c>
      <c r="M424">
        <v>1.9657439558154901</v>
      </c>
      <c r="N424">
        <v>0</v>
      </c>
      <c r="O424">
        <v>1.0065937121142361</v>
      </c>
      <c r="P424">
        <v>0</v>
      </c>
      <c r="Q424">
        <v>0.25</v>
      </c>
      <c r="R424">
        <v>0</v>
      </c>
      <c r="S424">
        <v>0</v>
      </c>
      <c r="T424">
        <v>0</v>
      </c>
      <c r="U424">
        <v>0</v>
      </c>
      <c r="V424">
        <v>0</v>
      </c>
      <c r="W424">
        <v>0</v>
      </c>
      <c r="X424">
        <v>0</v>
      </c>
      <c r="Y424">
        <v>1</v>
      </c>
      <c r="Z424">
        <v>0</v>
      </c>
      <c r="AA424">
        <v>0</v>
      </c>
      <c r="AB424">
        <v>0</v>
      </c>
      <c r="AC424">
        <v>0</v>
      </c>
      <c r="AD424">
        <v>0</v>
      </c>
      <c r="AE424" t="s">
        <v>249</v>
      </c>
      <c r="AF424">
        <v>20</v>
      </c>
      <c r="AG424" t="s">
        <v>189</v>
      </c>
      <c r="AH424">
        <v>46232</v>
      </c>
      <c r="AI424" t="s">
        <v>149</v>
      </c>
    </row>
    <row r="425" spans="1:35" x14ac:dyDescent="0.25">
      <c r="A425" s="1">
        <v>46232</v>
      </c>
      <c r="B425" t="s">
        <v>97</v>
      </c>
      <c r="C425" t="s">
        <v>10</v>
      </c>
      <c r="D425">
        <v>2.8686715636219913</v>
      </c>
      <c r="E425">
        <v>0.95</v>
      </c>
      <c r="F425">
        <v>0.95</v>
      </c>
      <c r="G425">
        <v>2.4441434468524257</v>
      </c>
      <c r="H425">
        <v>0.331163738661155</v>
      </c>
      <c r="I425">
        <v>0.331163738661155</v>
      </c>
      <c r="J425">
        <v>0.85201229650927501</v>
      </c>
      <c r="K425">
        <v>0</v>
      </c>
      <c r="L425">
        <v>0</v>
      </c>
      <c r="M425">
        <v>0</v>
      </c>
      <c r="N425">
        <v>0</v>
      </c>
      <c r="O425">
        <v>0</v>
      </c>
      <c r="P425">
        <v>0</v>
      </c>
      <c r="Q425">
        <v>0</v>
      </c>
      <c r="R425">
        <v>0</v>
      </c>
      <c r="S425">
        <v>0</v>
      </c>
      <c r="T425">
        <v>0.52084855784812001</v>
      </c>
      <c r="U425">
        <v>0.14798770349072499</v>
      </c>
      <c r="V425">
        <v>0</v>
      </c>
      <c r="W425">
        <v>0</v>
      </c>
      <c r="X425">
        <v>0</v>
      </c>
      <c r="Y425">
        <v>0.331163738661155</v>
      </c>
      <c r="Z425">
        <v>0</v>
      </c>
      <c r="AA425">
        <v>0</v>
      </c>
      <c r="AB425">
        <v>0</v>
      </c>
      <c r="AC425">
        <v>0</v>
      </c>
      <c r="AD425">
        <v>0</v>
      </c>
      <c r="AE425" t="s">
        <v>249</v>
      </c>
      <c r="AF425">
        <v>20</v>
      </c>
      <c r="AG425" t="s">
        <v>190</v>
      </c>
      <c r="AH425">
        <v>46232</v>
      </c>
      <c r="AI425" t="s">
        <v>149</v>
      </c>
    </row>
    <row r="426" spans="1:35" x14ac:dyDescent="0.25">
      <c r="A426" s="1">
        <v>46233</v>
      </c>
      <c r="B426" t="s">
        <v>97</v>
      </c>
      <c r="C426" t="s">
        <v>12</v>
      </c>
      <c r="D426">
        <v>0</v>
      </c>
      <c r="E426">
        <v>0.95</v>
      </c>
      <c r="F426">
        <v>0.95</v>
      </c>
      <c r="G426">
        <v>0.61081770169368066</v>
      </c>
      <c r="H426">
        <v>0</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1</v>
      </c>
      <c r="AC426">
        <v>0</v>
      </c>
      <c r="AD426">
        <v>0</v>
      </c>
      <c r="AE426" t="s">
        <v>249</v>
      </c>
      <c r="AF426">
        <v>20</v>
      </c>
      <c r="AG426" t="s">
        <v>191</v>
      </c>
      <c r="AH426">
        <v>46233</v>
      </c>
      <c r="AI426" t="s">
        <v>149</v>
      </c>
    </row>
    <row r="427" spans="1:35" x14ac:dyDescent="0.25">
      <c r="A427" s="1">
        <v>46233</v>
      </c>
      <c r="B427" t="s">
        <v>97</v>
      </c>
      <c r="C427" t="s">
        <v>10</v>
      </c>
      <c r="D427">
        <v>2.8686715636219908</v>
      </c>
      <c r="E427">
        <v>1.9</v>
      </c>
      <c r="F427">
        <v>1.9</v>
      </c>
      <c r="G427">
        <v>2.4760061919504648</v>
      </c>
      <c r="H427">
        <v>0.66232747732231012</v>
      </c>
      <c r="I427">
        <v>0.66232747732231012</v>
      </c>
      <c r="J427">
        <v>0.86311943944682679</v>
      </c>
      <c r="K427">
        <v>0</v>
      </c>
      <c r="L427">
        <v>0</v>
      </c>
      <c r="M427">
        <v>0</v>
      </c>
      <c r="N427">
        <v>0</v>
      </c>
      <c r="O427">
        <v>0</v>
      </c>
      <c r="P427">
        <v>0</v>
      </c>
      <c r="Q427">
        <v>0</v>
      </c>
      <c r="R427">
        <v>0</v>
      </c>
      <c r="S427">
        <v>0</v>
      </c>
      <c r="T427">
        <v>0.20079196212451667</v>
      </c>
      <c r="U427">
        <v>0.13688056055317321</v>
      </c>
      <c r="V427">
        <v>0</v>
      </c>
      <c r="W427">
        <v>0</v>
      </c>
      <c r="X427">
        <v>0</v>
      </c>
      <c r="Y427">
        <v>0.66232747732231012</v>
      </c>
      <c r="Z427">
        <v>0</v>
      </c>
      <c r="AA427">
        <v>0</v>
      </c>
      <c r="AB427">
        <v>0</v>
      </c>
      <c r="AC427">
        <v>0</v>
      </c>
      <c r="AD427">
        <v>0</v>
      </c>
      <c r="AE427" t="s">
        <v>249</v>
      </c>
      <c r="AF427">
        <v>20</v>
      </c>
      <c r="AG427" t="s">
        <v>192</v>
      </c>
      <c r="AH427">
        <v>46233</v>
      </c>
      <c r="AI427" t="s">
        <v>149</v>
      </c>
    </row>
    <row r="428" spans="1:35" x14ac:dyDescent="0.25">
      <c r="A428" s="1">
        <v>46233</v>
      </c>
      <c r="B428" t="s">
        <v>97</v>
      </c>
      <c r="C428" t="s">
        <v>11</v>
      </c>
      <c r="D428">
        <v>0</v>
      </c>
      <c r="E428">
        <v>0.95</v>
      </c>
      <c r="F428">
        <v>0.95</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1</v>
      </c>
      <c r="AB428">
        <v>0</v>
      </c>
      <c r="AC428">
        <v>0</v>
      </c>
      <c r="AD428">
        <v>0</v>
      </c>
      <c r="AE428" t="s">
        <v>249</v>
      </c>
      <c r="AF428">
        <v>20</v>
      </c>
      <c r="AG428" t="s">
        <v>193</v>
      </c>
      <c r="AH428">
        <v>46233</v>
      </c>
      <c r="AI428" t="s">
        <v>149</v>
      </c>
    </row>
    <row r="429" spans="1:35" x14ac:dyDescent="0.25">
      <c r="A429" s="1">
        <v>46234</v>
      </c>
      <c r="B429" t="s">
        <v>97</v>
      </c>
      <c r="C429" t="s">
        <v>10</v>
      </c>
      <c r="D429">
        <v>1.9124477090813272</v>
      </c>
      <c r="E429">
        <v>1.9</v>
      </c>
      <c r="F429">
        <v>1.9</v>
      </c>
      <c r="G429">
        <v>1.6470588235294119</v>
      </c>
      <c r="H429">
        <v>0.99349121598346513</v>
      </c>
      <c r="I429">
        <v>0.99349121598346513</v>
      </c>
      <c r="J429">
        <v>0.86123077546554261</v>
      </c>
      <c r="K429">
        <v>0</v>
      </c>
      <c r="L429">
        <v>0</v>
      </c>
      <c r="M429">
        <v>0</v>
      </c>
      <c r="N429">
        <v>0</v>
      </c>
      <c r="O429">
        <v>0</v>
      </c>
      <c r="P429">
        <v>0</v>
      </c>
      <c r="Q429">
        <v>0</v>
      </c>
      <c r="R429">
        <v>0</v>
      </c>
      <c r="S429">
        <v>0</v>
      </c>
      <c r="T429">
        <v>0</v>
      </c>
      <c r="U429">
        <v>6.5087840165348743E-3</v>
      </c>
      <c r="V429">
        <v>0</v>
      </c>
      <c r="W429">
        <v>0.13226044051792252</v>
      </c>
      <c r="X429">
        <v>0</v>
      </c>
      <c r="Y429">
        <v>0.86123077546554261</v>
      </c>
      <c r="Z429">
        <v>0</v>
      </c>
      <c r="AA429">
        <v>0</v>
      </c>
      <c r="AB429">
        <v>0</v>
      </c>
      <c r="AC429">
        <v>0</v>
      </c>
      <c r="AD429">
        <v>0</v>
      </c>
      <c r="AE429" t="s">
        <v>249</v>
      </c>
      <c r="AF429">
        <v>20</v>
      </c>
      <c r="AG429" t="s">
        <v>194</v>
      </c>
      <c r="AH429">
        <v>46234</v>
      </c>
      <c r="AI429" t="s">
        <v>149</v>
      </c>
    </row>
    <row r="430" spans="1:35" x14ac:dyDescent="0.25">
      <c r="A430" s="1">
        <v>46234</v>
      </c>
      <c r="B430" t="s">
        <v>97</v>
      </c>
      <c r="C430" t="s">
        <v>11</v>
      </c>
      <c r="D430">
        <v>0</v>
      </c>
      <c r="E430">
        <v>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t="s">
        <v>249</v>
      </c>
      <c r="AF430">
        <v>20</v>
      </c>
      <c r="AG430" t="s">
        <v>195</v>
      </c>
      <c r="AH430">
        <v>46234</v>
      </c>
      <c r="AI430" t="s">
        <v>149</v>
      </c>
    </row>
    <row r="431" spans="1:35" x14ac:dyDescent="0.25">
      <c r="A431" s="1">
        <v>46234</v>
      </c>
      <c r="B431" t="s">
        <v>97</v>
      </c>
      <c r="C431" t="s">
        <v>12</v>
      </c>
      <c r="D431">
        <v>0</v>
      </c>
      <c r="E431">
        <v>0</v>
      </c>
      <c r="F431">
        <v>0</v>
      </c>
      <c r="G431">
        <v>0.33217993079584773</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1</v>
      </c>
      <c r="AC431">
        <v>0</v>
      </c>
      <c r="AD431">
        <v>0</v>
      </c>
      <c r="AE431" t="s">
        <v>249</v>
      </c>
      <c r="AF431">
        <v>20</v>
      </c>
      <c r="AG431" t="s">
        <v>196</v>
      </c>
      <c r="AH431">
        <v>46234</v>
      </c>
      <c r="AI431" t="s">
        <v>149</v>
      </c>
    </row>
    <row r="432" spans="1:35" x14ac:dyDescent="0.25">
      <c r="A432" s="1">
        <v>46235</v>
      </c>
      <c r="B432" t="s">
        <v>97</v>
      </c>
      <c r="C432" t="s">
        <v>12</v>
      </c>
      <c r="D432">
        <v>0</v>
      </c>
      <c r="E432">
        <v>0</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t="s">
        <v>249</v>
      </c>
      <c r="AF432">
        <v>20</v>
      </c>
      <c r="AG432" t="s">
        <v>198</v>
      </c>
      <c r="AH432">
        <v>46235</v>
      </c>
      <c r="AI432" t="s">
        <v>149</v>
      </c>
    </row>
    <row r="433" spans="1:35" x14ac:dyDescent="0.25">
      <c r="A433" s="1">
        <v>46235</v>
      </c>
      <c r="B433" t="s">
        <v>97</v>
      </c>
      <c r="C433" t="s">
        <v>11</v>
      </c>
      <c r="D433">
        <v>0</v>
      </c>
      <c r="E433">
        <v>0.95</v>
      </c>
      <c r="F433">
        <v>0.95</v>
      </c>
      <c r="G433">
        <v>0</v>
      </c>
      <c r="H433">
        <v>0</v>
      </c>
      <c r="I433">
        <v>0</v>
      </c>
      <c r="J433">
        <v>0</v>
      </c>
      <c r="K433">
        <v>0</v>
      </c>
      <c r="L433">
        <v>0</v>
      </c>
      <c r="M433">
        <v>0</v>
      </c>
      <c r="N433">
        <v>0</v>
      </c>
      <c r="O433">
        <v>0</v>
      </c>
      <c r="P433">
        <v>0</v>
      </c>
      <c r="Q433">
        <v>0</v>
      </c>
      <c r="R433">
        <v>0</v>
      </c>
      <c r="S433">
        <v>0</v>
      </c>
      <c r="T433">
        <v>0</v>
      </c>
      <c r="U433">
        <v>0</v>
      </c>
      <c r="V433">
        <v>0</v>
      </c>
      <c r="W433">
        <v>0</v>
      </c>
      <c r="X433">
        <v>0</v>
      </c>
      <c r="Y433">
        <v>0</v>
      </c>
      <c r="Z433">
        <v>0</v>
      </c>
      <c r="AA433">
        <v>1</v>
      </c>
      <c r="AB433">
        <v>0</v>
      </c>
      <c r="AC433">
        <v>0</v>
      </c>
      <c r="AD433">
        <v>0</v>
      </c>
      <c r="AE433" t="s">
        <v>249</v>
      </c>
      <c r="AF433">
        <v>20</v>
      </c>
      <c r="AG433" t="s">
        <v>199</v>
      </c>
      <c r="AH433">
        <v>46235</v>
      </c>
      <c r="AI433" t="s">
        <v>149</v>
      </c>
    </row>
    <row r="434" spans="1:35" x14ac:dyDescent="0.25">
      <c r="A434" s="1">
        <v>46235</v>
      </c>
      <c r="B434" t="s">
        <v>97</v>
      </c>
      <c r="C434" t="s">
        <v>10</v>
      </c>
      <c r="D434">
        <v>0</v>
      </c>
      <c r="E434">
        <v>0.95</v>
      </c>
      <c r="F434">
        <v>0.95</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1</v>
      </c>
      <c r="AB434">
        <v>0</v>
      </c>
      <c r="AC434">
        <v>0</v>
      </c>
      <c r="AD434">
        <v>0</v>
      </c>
      <c r="AE434" t="s">
        <v>249</v>
      </c>
      <c r="AF434">
        <v>20</v>
      </c>
      <c r="AG434" t="s">
        <v>197</v>
      </c>
      <c r="AH434">
        <v>46235</v>
      </c>
      <c r="AI434" t="s">
        <v>149</v>
      </c>
    </row>
    <row r="435" spans="1:35" x14ac:dyDescent="0.25">
      <c r="A435" s="1">
        <v>46236</v>
      </c>
      <c r="B435" t="s">
        <v>97</v>
      </c>
      <c r="C435" t="s">
        <v>12</v>
      </c>
      <c r="D435">
        <v>0</v>
      </c>
      <c r="E435">
        <v>0.95</v>
      </c>
      <c r="F435">
        <v>0.95</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1</v>
      </c>
      <c r="AB435">
        <v>0</v>
      </c>
      <c r="AC435">
        <v>0</v>
      </c>
      <c r="AD435">
        <v>0</v>
      </c>
      <c r="AE435" t="s">
        <v>249</v>
      </c>
      <c r="AF435">
        <v>20</v>
      </c>
      <c r="AG435" t="s">
        <v>200</v>
      </c>
      <c r="AH435">
        <v>46236</v>
      </c>
      <c r="AI435" t="s">
        <v>149</v>
      </c>
    </row>
    <row r="436" spans="1:35" x14ac:dyDescent="0.25">
      <c r="A436" s="1">
        <v>46236</v>
      </c>
      <c r="B436" t="s">
        <v>97</v>
      </c>
      <c r="C436" t="s">
        <v>10</v>
      </c>
      <c r="D436">
        <v>0.4781119272703318</v>
      </c>
      <c r="E436">
        <v>0</v>
      </c>
      <c r="F436">
        <v>0</v>
      </c>
      <c r="G436">
        <v>0</v>
      </c>
      <c r="H436">
        <v>0</v>
      </c>
      <c r="I436">
        <v>0</v>
      </c>
      <c r="J436">
        <v>0</v>
      </c>
      <c r="K436">
        <v>0</v>
      </c>
      <c r="L436">
        <v>0</v>
      </c>
      <c r="M436">
        <v>0</v>
      </c>
      <c r="N436">
        <v>0</v>
      </c>
      <c r="O436">
        <v>0</v>
      </c>
      <c r="P436">
        <v>0</v>
      </c>
      <c r="Q436">
        <v>0</v>
      </c>
      <c r="R436">
        <v>0</v>
      </c>
      <c r="S436">
        <v>0</v>
      </c>
      <c r="T436">
        <v>0</v>
      </c>
      <c r="U436">
        <v>1</v>
      </c>
      <c r="V436">
        <v>0</v>
      </c>
      <c r="W436">
        <v>0</v>
      </c>
      <c r="X436">
        <v>0</v>
      </c>
      <c r="Y436">
        <v>0</v>
      </c>
      <c r="Z436">
        <v>0</v>
      </c>
      <c r="AA436">
        <v>0</v>
      </c>
      <c r="AB436">
        <v>0</v>
      </c>
      <c r="AC436">
        <v>0</v>
      </c>
      <c r="AD436">
        <v>0</v>
      </c>
      <c r="AE436" t="s">
        <v>249</v>
      </c>
      <c r="AF436">
        <v>20</v>
      </c>
      <c r="AG436" t="s">
        <v>202</v>
      </c>
      <c r="AH436">
        <v>46236</v>
      </c>
      <c r="AI436" t="s">
        <v>149</v>
      </c>
    </row>
    <row r="437" spans="1:35" x14ac:dyDescent="0.25">
      <c r="A437" s="1">
        <v>46236</v>
      </c>
      <c r="B437" t="s">
        <v>97</v>
      </c>
      <c r="C437" t="s">
        <v>11</v>
      </c>
      <c r="D437">
        <v>0</v>
      </c>
      <c r="E437">
        <v>0.95</v>
      </c>
      <c r="F437">
        <v>0.95</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1</v>
      </c>
      <c r="AB437">
        <v>0</v>
      </c>
      <c r="AC437">
        <v>0</v>
      </c>
      <c r="AD437">
        <v>0</v>
      </c>
      <c r="AE437" t="s">
        <v>249</v>
      </c>
      <c r="AF437">
        <v>20</v>
      </c>
      <c r="AG437" t="s">
        <v>201</v>
      </c>
      <c r="AH437">
        <v>46236</v>
      </c>
      <c r="AI437" t="s">
        <v>149</v>
      </c>
    </row>
    <row r="438" spans="1:35" x14ac:dyDescent="0.25">
      <c r="A438" s="1">
        <v>46237</v>
      </c>
      <c r="B438" t="s">
        <v>97</v>
      </c>
      <c r="C438" t="s">
        <v>11</v>
      </c>
      <c r="D438">
        <v>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t="s">
        <v>249</v>
      </c>
      <c r="AF438">
        <v>20</v>
      </c>
      <c r="AG438" t="s">
        <v>204</v>
      </c>
      <c r="AH438">
        <v>46237</v>
      </c>
      <c r="AI438" t="s">
        <v>149</v>
      </c>
    </row>
    <row r="439" spans="1:35" x14ac:dyDescent="0.25">
      <c r="A439" s="1">
        <v>46237</v>
      </c>
      <c r="B439" t="s">
        <v>97</v>
      </c>
      <c r="C439" t="s">
        <v>10</v>
      </c>
      <c r="D439">
        <v>0.95622385454066372</v>
      </c>
      <c r="E439">
        <v>0.95</v>
      </c>
      <c r="F439">
        <v>0.95</v>
      </c>
      <c r="G439">
        <v>0.82352941176470595</v>
      </c>
      <c r="H439">
        <v>0.99349121598346501</v>
      </c>
      <c r="I439">
        <v>0.99349121598346501</v>
      </c>
      <c r="J439">
        <v>0.8612307754655425</v>
      </c>
      <c r="K439">
        <v>0</v>
      </c>
      <c r="L439">
        <v>0</v>
      </c>
      <c r="M439">
        <v>0</v>
      </c>
      <c r="N439">
        <v>0</v>
      </c>
      <c r="O439">
        <v>0</v>
      </c>
      <c r="P439">
        <v>0</v>
      </c>
      <c r="Q439">
        <v>0</v>
      </c>
      <c r="R439">
        <v>0</v>
      </c>
      <c r="S439">
        <v>0</v>
      </c>
      <c r="T439">
        <v>0</v>
      </c>
      <c r="U439">
        <v>6.5087840165349853E-3</v>
      </c>
      <c r="V439">
        <v>0</v>
      </c>
      <c r="W439">
        <v>0.13226044051792252</v>
      </c>
      <c r="X439">
        <v>0</v>
      </c>
      <c r="Y439">
        <v>0.8612307754655425</v>
      </c>
      <c r="Z439">
        <v>0</v>
      </c>
      <c r="AA439">
        <v>0</v>
      </c>
      <c r="AB439">
        <v>0</v>
      </c>
      <c r="AC439">
        <v>0</v>
      </c>
      <c r="AD439">
        <v>0</v>
      </c>
      <c r="AE439" t="s">
        <v>249</v>
      </c>
      <c r="AF439">
        <v>20</v>
      </c>
      <c r="AG439" t="s">
        <v>203</v>
      </c>
      <c r="AH439">
        <v>46237</v>
      </c>
      <c r="AI439" t="s">
        <v>149</v>
      </c>
    </row>
    <row r="440" spans="1:35" x14ac:dyDescent="0.25">
      <c r="A440" s="1">
        <v>46237</v>
      </c>
      <c r="B440" t="s">
        <v>97</v>
      </c>
      <c r="C440" t="s">
        <v>12</v>
      </c>
      <c r="D440">
        <v>0</v>
      </c>
      <c r="E440">
        <v>0</v>
      </c>
      <c r="F440">
        <v>0</v>
      </c>
      <c r="G440">
        <v>0.16608996539792387</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1</v>
      </c>
      <c r="AC440">
        <v>0</v>
      </c>
      <c r="AD440">
        <v>0</v>
      </c>
      <c r="AE440" t="s">
        <v>249</v>
      </c>
      <c r="AF440">
        <v>20</v>
      </c>
      <c r="AG440" t="s">
        <v>205</v>
      </c>
      <c r="AH440">
        <v>46237</v>
      </c>
      <c r="AI440" t="s">
        <v>149</v>
      </c>
    </row>
    <row r="441" spans="1:35" x14ac:dyDescent="0.25">
      <c r="A441" s="1">
        <v>46238</v>
      </c>
      <c r="B441" t="s">
        <v>97</v>
      </c>
      <c r="C441" t="s">
        <v>12</v>
      </c>
      <c r="D441">
        <v>0</v>
      </c>
      <c r="E441">
        <v>0</v>
      </c>
      <c r="F441">
        <v>0</v>
      </c>
      <c r="G441">
        <v>0.16608996539792387</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1</v>
      </c>
      <c r="AC441">
        <v>0</v>
      </c>
      <c r="AD441">
        <v>0</v>
      </c>
      <c r="AE441" t="s">
        <v>249</v>
      </c>
      <c r="AF441">
        <v>20</v>
      </c>
      <c r="AG441" t="s">
        <v>206</v>
      </c>
      <c r="AH441">
        <v>46238</v>
      </c>
      <c r="AI441" t="s">
        <v>149</v>
      </c>
    </row>
    <row r="442" spans="1:35" x14ac:dyDescent="0.25">
      <c r="A442" s="1">
        <v>46238</v>
      </c>
      <c r="B442" t="s">
        <v>97</v>
      </c>
      <c r="C442" t="s">
        <v>10</v>
      </c>
      <c r="D442">
        <v>0.95622385454066372</v>
      </c>
      <c r="E442">
        <v>0.95</v>
      </c>
      <c r="F442">
        <v>0.95</v>
      </c>
      <c r="G442">
        <v>0.82352941176470595</v>
      </c>
      <c r="H442">
        <v>0.99349121598346501</v>
      </c>
      <c r="I442">
        <v>0.99349121598346501</v>
      </c>
      <c r="J442">
        <v>0.8612307754655425</v>
      </c>
      <c r="K442">
        <v>0</v>
      </c>
      <c r="L442">
        <v>0</v>
      </c>
      <c r="M442">
        <v>0</v>
      </c>
      <c r="N442">
        <v>0</v>
      </c>
      <c r="O442">
        <v>0</v>
      </c>
      <c r="P442">
        <v>0</v>
      </c>
      <c r="Q442">
        <v>0</v>
      </c>
      <c r="R442">
        <v>0</v>
      </c>
      <c r="S442">
        <v>0</v>
      </c>
      <c r="T442">
        <v>0</v>
      </c>
      <c r="U442">
        <v>6.5087840165349853E-3</v>
      </c>
      <c r="V442">
        <v>0</v>
      </c>
      <c r="W442">
        <v>0.13226044051792252</v>
      </c>
      <c r="X442">
        <v>0</v>
      </c>
      <c r="Y442">
        <v>0.8612307754655425</v>
      </c>
      <c r="Z442">
        <v>0</v>
      </c>
      <c r="AA442">
        <v>0</v>
      </c>
      <c r="AB442">
        <v>0</v>
      </c>
      <c r="AC442">
        <v>0</v>
      </c>
      <c r="AD442">
        <v>0</v>
      </c>
      <c r="AE442" t="s">
        <v>249</v>
      </c>
      <c r="AF442">
        <v>20</v>
      </c>
      <c r="AG442" t="s">
        <v>208</v>
      </c>
      <c r="AH442">
        <v>46238</v>
      </c>
      <c r="AI442" t="s">
        <v>149</v>
      </c>
    </row>
    <row r="443" spans="1:35" x14ac:dyDescent="0.25">
      <c r="A443" s="1">
        <v>46238</v>
      </c>
      <c r="B443" t="s">
        <v>97</v>
      </c>
      <c r="C443" t="s">
        <v>11</v>
      </c>
      <c r="D443">
        <v>0</v>
      </c>
      <c r="E443">
        <v>2.8499999999999996</v>
      </c>
      <c r="F443">
        <v>2.8499999999999996</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1</v>
      </c>
      <c r="AB443">
        <v>0</v>
      </c>
      <c r="AC443">
        <v>0</v>
      </c>
      <c r="AD443">
        <v>0</v>
      </c>
      <c r="AE443" t="s">
        <v>249</v>
      </c>
      <c r="AF443">
        <v>20</v>
      </c>
      <c r="AG443" t="s">
        <v>207</v>
      </c>
      <c r="AH443">
        <v>46238</v>
      </c>
      <c r="AI443" t="s">
        <v>149</v>
      </c>
    </row>
    <row r="444" spans="1:35" x14ac:dyDescent="0.25">
      <c r="A444" s="1">
        <v>46239</v>
      </c>
      <c r="B444" t="s">
        <v>97</v>
      </c>
      <c r="C444" t="s">
        <v>11</v>
      </c>
      <c r="D444">
        <v>0</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t="s">
        <v>249</v>
      </c>
      <c r="AF444">
        <v>20</v>
      </c>
      <c r="AG444" t="s">
        <v>209</v>
      </c>
      <c r="AH444">
        <v>46239</v>
      </c>
      <c r="AI444" t="s">
        <v>149</v>
      </c>
    </row>
    <row r="445" spans="1:35" x14ac:dyDescent="0.25">
      <c r="A445" s="1">
        <v>46239</v>
      </c>
      <c r="B445" t="s">
        <v>97</v>
      </c>
      <c r="C445" t="s">
        <v>10</v>
      </c>
      <c r="D445">
        <v>2.8686715636219908</v>
      </c>
      <c r="E445">
        <v>0.95</v>
      </c>
      <c r="F445">
        <v>0.95</v>
      </c>
      <c r="G445">
        <v>1.6524767801857587</v>
      </c>
      <c r="H445">
        <v>0.33116373866115506</v>
      </c>
      <c r="I445">
        <v>0.33116373866115506</v>
      </c>
      <c r="J445">
        <v>0.57604251429164588</v>
      </c>
      <c r="K445">
        <v>0</v>
      </c>
      <c r="L445">
        <v>0</v>
      </c>
      <c r="M445">
        <v>0</v>
      </c>
      <c r="N445">
        <v>0</v>
      </c>
      <c r="O445">
        <v>0</v>
      </c>
      <c r="P445">
        <v>0</v>
      </c>
      <c r="Q445">
        <v>0</v>
      </c>
      <c r="R445">
        <v>0</v>
      </c>
      <c r="S445">
        <v>0</v>
      </c>
      <c r="T445">
        <v>0.24487877563049082</v>
      </c>
      <c r="U445">
        <v>0.42395748570835412</v>
      </c>
      <c r="V445">
        <v>0</v>
      </c>
      <c r="W445">
        <v>0</v>
      </c>
      <c r="X445">
        <v>0</v>
      </c>
      <c r="Y445">
        <v>0.33116373866115506</v>
      </c>
      <c r="Z445">
        <v>0</v>
      </c>
      <c r="AA445">
        <v>0</v>
      </c>
      <c r="AB445">
        <v>0</v>
      </c>
      <c r="AC445">
        <v>0</v>
      </c>
      <c r="AD445">
        <v>0</v>
      </c>
      <c r="AE445" t="s">
        <v>249</v>
      </c>
      <c r="AF445">
        <v>20</v>
      </c>
      <c r="AG445" t="s">
        <v>211</v>
      </c>
      <c r="AH445">
        <v>46239</v>
      </c>
      <c r="AI445" t="s">
        <v>149</v>
      </c>
    </row>
    <row r="446" spans="1:35" x14ac:dyDescent="0.25">
      <c r="A446" s="1">
        <v>46239</v>
      </c>
      <c r="B446" t="s">
        <v>97</v>
      </c>
      <c r="C446" t="s">
        <v>12</v>
      </c>
      <c r="D446">
        <v>0.67498154438164493</v>
      </c>
      <c r="E446">
        <v>1.9</v>
      </c>
      <c r="F446">
        <v>1.9</v>
      </c>
      <c r="G446">
        <v>1.1506100892369333</v>
      </c>
      <c r="H446">
        <v>2.8148917786198178</v>
      </c>
      <c r="I446">
        <v>2.8148917786198178</v>
      </c>
      <c r="J446">
        <v>1.7046541476789783</v>
      </c>
      <c r="K446">
        <v>0</v>
      </c>
      <c r="L446">
        <v>0</v>
      </c>
      <c r="M446">
        <v>1.1102376309408395</v>
      </c>
      <c r="N446">
        <v>0</v>
      </c>
      <c r="O446">
        <v>0.45465414767897827</v>
      </c>
      <c r="P446">
        <v>0</v>
      </c>
      <c r="Q446">
        <v>0.25</v>
      </c>
      <c r="R446">
        <v>0</v>
      </c>
      <c r="S446">
        <v>0</v>
      </c>
      <c r="T446">
        <v>0</v>
      </c>
      <c r="U446">
        <v>0</v>
      </c>
      <c r="V446">
        <v>0</v>
      </c>
      <c r="W446">
        <v>0</v>
      </c>
      <c r="X446">
        <v>0</v>
      </c>
      <c r="Y446">
        <v>1</v>
      </c>
      <c r="Z446">
        <v>0</v>
      </c>
      <c r="AA446">
        <v>0</v>
      </c>
      <c r="AB446">
        <v>0</v>
      </c>
      <c r="AC446">
        <v>0</v>
      </c>
      <c r="AD446">
        <v>0</v>
      </c>
      <c r="AE446" t="s">
        <v>249</v>
      </c>
      <c r="AF446">
        <v>20</v>
      </c>
      <c r="AG446" t="s">
        <v>210</v>
      </c>
      <c r="AH446">
        <v>46239</v>
      </c>
      <c r="AI446" t="s">
        <v>149</v>
      </c>
    </row>
    <row r="447" spans="1:35" x14ac:dyDescent="0.25">
      <c r="A447" s="1">
        <v>46240</v>
      </c>
      <c r="B447" t="s">
        <v>97</v>
      </c>
      <c r="C447" t="s">
        <v>10</v>
      </c>
      <c r="D447">
        <v>2.8686715636219913</v>
      </c>
      <c r="E447">
        <v>0.95</v>
      </c>
      <c r="F447">
        <v>0.95</v>
      </c>
      <c r="G447">
        <v>1.6524767801857585</v>
      </c>
      <c r="H447">
        <v>0.331163738661155</v>
      </c>
      <c r="I447">
        <v>0.331163738661155</v>
      </c>
      <c r="J447">
        <v>0.57604251429164566</v>
      </c>
      <c r="K447">
        <v>0</v>
      </c>
      <c r="L447">
        <v>0</v>
      </c>
      <c r="M447">
        <v>0</v>
      </c>
      <c r="N447">
        <v>0</v>
      </c>
      <c r="O447">
        <v>0</v>
      </c>
      <c r="P447">
        <v>0</v>
      </c>
      <c r="Q447">
        <v>0</v>
      </c>
      <c r="R447">
        <v>0</v>
      </c>
      <c r="S447">
        <v>0</v>
      </c>
      <c r="T447">
        <v>0.24487877563049065</v>
      </c>
      <c r="U447">
        <v>0.42395748570835434</v>
      </c>
      <c r="V447">
        <v>0</v>
      </c>
      <c r="W447">
        <v>0</v>
      </c>
      <c r="X447">
        <v>0</v>
      </c>
      <c r="Y447">
        <v>0.331163738661155</v>
      </c>
      <c r="Z447">
        <v>0</v>
      </c>
      <c r="AA447">
        <v>0</v>
      </c>
      <c r="AB447">
        <v>0</v>
      </c>
      <c r="AC447">
        <v>0</v>
      </c>
      <c r="AD447">
        <v>0</v>
      </c>
      <c r="AE447" t="s">
        <v>249</v>
      </c>
      <c r="AF447">
        <v>20</v>
      </c>
      <c r="AG447" t="s">
        <v>213</v>
      </c>
      <c r="AH447">
        <v>46240</v>
      </c>
      <c r="AI447" t="s">
        <v>149</v>
      </c>
    </row>
    <row r="448" spans="1:35" x14ac:dyDescent="0.25">
      <c r="A448" s="1">
        <v>46240</v>
      </c>
      <c r="B448" t="s">
        <v>97</v>
      </c>
      <c r="C448" t="s">
        <v>11</v>
      </c>
      <c r="D448">
        <v>0</v>
      </c>
      <c r="E448">
        <v>0.95</v>
      </c>
      <c r="F448">
        <v>0.95</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1</v>
      </c>
      <c r="AB448">
        <v>0</v>
      </c>
      <c r="AC448">
        <v>0</v>
      </c>
      <c r="AD448">
        <v>0</v>
      </c>
      <c r="AE448" t="s">
        <v>249</v>
      </c>
      <c r="AF448">
        <v>20</v>
      </c>
      <c r="AG448" t="s">
        <v>212</v>
      </c>
      <c r="AH448">
        <v>46240</v>
      </c>
      <c r="AI448" t="s">
        <v>149</v>
      </c>
    </row>
    <row r="449" spans="1:35" x14ac:dyDescent="0.25">
      <c r="A449" s="1">
        <v>46240</v>
      </c>
      <c r="B449" t="s">
        <v>97</v>
      </c>
      <c r="C449" t="s">
        <v>12</v>
      </c>
      <c r="D449">
        <v>0</v>
      </c>
      <c r="E449">
        <v>0.95</v>
      </c>
      <c r="F449">
        <v>0.95</v>
      </c>
      <c r="G449">
        <v>0.44472773629575663</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1</v>
      </c>
      <c r="AB449">
        <v>0</v>
      </c>
      <c r="AC449">
        <v>0</v>
      </c>
      <c r="AD449">
        <v>0</v>
      </c>
      <c r="AE449" t="s">
        <v>249</v>
      </c>
      <c r="AF449">
        <v>20</v>
      </c>
      <c r="AG449" t="s">
        <v>214</v>
      </c>
      <c r="AH449">
        <v>46240</v>
      </c>
      <c r="AI449" t="s">
        <v>149</v>
      </c>
    </row>
    <row r="450" spans="1:35" x14ac:dyDescent="0.25">
      <c r="A450" s="1">
        <v>46241</v>
      </c>
      <c r="B450" t="s">
        <v>97</v>
      </c>
      <c r="C450" t="s">
        <v>12</v>
      </c>
      <c r="D450">
        <v>0</v>
      </c>
      <c r="E450">
        <v>0.95</v>
      </c>
      <c r="F450">
        <v>0.95</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1</v>
      </c>
      <c r="AB450">
        <v>0</v>
      </c>
      <c r="AC450">
        <v>0</v>
      </c>
      <c r="AD450">
        <v>0</v>
      </c>
      <c r="AE450" t="s">
        <v>249</v>
      </c>
      <c r="AF450">
        <v>20</v>
      </c>
      <c r="AG450" t="s">
        <v>215</v>
      </c>
      <c r="AH450">
        <v>46241</v>
      </c>
      <c r="AI450" t="s">
        <v>149</v>
      </c>
    </row>
    <row r="451" spans="1:35" x14ac:dyDescent="0.25">
      <c r="A451" s="1">
        <v>46241</v>
      </c>
      <c r="B451" t="s">
        <v>97</v>
      </c>
      <c r="C451" t="s">
        <v>11</v>
      </c>
      <c r="D451">
        <v>0</v>
      </c>
      <c r="E451">
        <v>0.95</v>
      </c>
      <c r="F451">
        <v>0.95</v>
      </c>
      <c r="G451">
        <v>0</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1</v>
      </c>
      <c r="AB451">
        <v>0</v>
      </c>
      <c r="AC451">
        <v>0</v>
      </c>
      <c r="AD451">
        <v>0</v>
      </c>
      <c r="AE451" t="s">
        <v>249</v>
      </c>
      <c r="AF451">
        <v>20</v>
      </c>
      <c r="AG451" t="s">
        <v>216</v>
      </c>
      <c r="AH451">
        <v>46241</v>
      </c>
      <c r="AI451" t="s">
        <v>149</v>
      </c>
    </row>
    <row r="452" spans="1:35" x14ac:dyDescent="0.25">
      <c r="A452" s="1">
        <v>46241</v>
      </c>
      <c r="B452" t="s">
        <v>97</v>
      </c>
      <c r="C452" t="s">
        <v>10</v>
      </c>
      <c r="D452">
        <v>1.9124477090813268</v>
      </c>
      <c r="E452">
        <v>0</v>
      </c>
      <c r="F452">
        <v>0</v>
      </c>
      <c r="G452">
        <v>0</v>
      </c>
      <c r="H452">
        <v>0</v>
      </c>
      <c r="I452">
        <v>0</v>
      </c>
      <c r="J452">
        <v>0</v>
      </c>
      <c r="K452">
        <v>0</v>
      </c>
      <c r="L452">
        <v>0</v>
      </c>
      <c r="M452">
        <v>0</v>
      </c>
      <c r="N452">
        <v>0</v>
      </c>
      <c r="O452">
        <v>0</v>
      </c>
      <c r="P452">
        <v>0</v>
      </c>
      <c r="Q452">
        <v>0</v>
      </c>
      <c r="R452">
        <v>0</v>
      </c>
      <c r="S452">
        <v>0</v>
      </c>
      <c r="T452">
        <v>0</v>
      </c>
      <c r="U452">
        <v>1</v>
      </c>
      <c r="V452">
        <v>0</v>
      </c>
      <c r="W452">
        <v>0</v>
      </c>
      <c r="X452">
        <v>0</v>
      </c>
      <c r="Y452">
        <v>0</v>
      </c>
      <c r="Z452">
        <v>0</v>
      </c>
      <c r="AA452">
        <v>0</v>
      </c>
      <c r="AB452">
        <v>0</v>
      </c>
      <c r="AC452">
        <v>0</v>
      </c>
      <c r="AD452">
        <v>0</v>
      </c>
      <c r="AE452" t="s">
        <v>249</v>
      </c>
      <c r="AF452">
        <v>20</v>
      </c>
      <c r="AG452" t="s">
        <v>217</v>
      </c>
      <c r="AH452">
        <v>46241</v>
      </c>
      <c r="AI452" t="s">
        <v>149</v>
      </c>
    </row>
    <row r="453" spans="1:35" x14ac:dyDescent="0.25">
      <c r="A453" s="1">
        <v>46242</v>
      </c>
      <c r="B453" t="s">
        <v>97</v>
      </c>
      <c r="C453" t="s">
        <v>12</v>
      </c>
      <c r="D453">
        <v>0</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t="s">
        <v>249</v>
      </c>
      <c r="AF453">
        <v>20</v>
      </c>
      <c r="AG453" t="s">
        <v>218</v>
      </c>
      <c r="AH453">
        <v>46242</v>
      </c>
      <c r="AI453" t="s">
        <v>149</v>
      </c>
    </row>
    <row r="454" spans="1:35" x14ac:dyDescent="0.25">
      <c r="A454" s="1">
        <v>46242</v>
      </c>
      <c r="B454" t="s">
        <v>97</v>
      </c>
      <c r="C454" t="s">
        <v>10</v>
      </c>
      <c r="D454">
        <v>0.95622385454066372</v>
      </c>
      <c r="E454">
        <v>0</v>
      </c>
      <c r="F454">
        <v>0</v>
      </c>
      <c r="G454">
        <v>0</v>
      </c>
      <c r="H454">
        <v>0</v>
      </c>
      <c r="I454">
        <v>0</v>
      </c>
      <c r="J454">
        <v>0</v>
      </c>
      <c r="K454">
        <v>0</v>
      </c>
      <c r="L454">
        <v>0</v>
      </c>
      <c r="M454">
        <v>0</v>
      </c>
      <c r="N454">
        <v>0</v>
      </c>
      <c r="O454">
        <v>0</v>
      </c>
      <c r="P454">
        <v>0</v>
      </c>
      <c r="Q454">
        <v>0</v>
      </c>
      <c r="R454">
        <v>0</v>
      </c>
      <c r="S454">
        <v>0</v>
      </c>
      <c r="T454">
        <v>0</v>
      </c>
      <c r="U454">
        <v>1</v>
      </c>
      <c r="V454">
        <v>0</v>
      </c>
      <c r="W454">
        <v>0</v>
      </c>
      <c r="X454">
        <v>0</v>
      </c>
      <c r="Y454">
        <v>0</v>
      </c>
      <c r="Z454">
        <v>0</v>
      </c>
      <c r="AA454">
        <v>0</v>
      </c>
      <c r="AB454">
        <v>0</v>
      </c>
      <c r="AC454">
        <v>0</v>
      </c>
      <c r="AD454">
        <v>0</v>
      </c>
      <c r="AE454" t="s">
        <v>249</v>
      </c>
      <c r="AF454">
        <v>20</v>
      </c>
      <c r="AG454" t="s">
        <v>219</v>
      </c>
      <c r="AH454">
        <v>46242</v>
      </c>
      <c r="AI454" t="s">
        <v>149</v>
      </c>
    </row>
    <row r="455" spans="1:35" x14ac:dyDescent="0.25">
      <c r="A455" s="1">
        <v>46242</v>
      </c>
      <c r="B455" t="s">
        <v>97</v>
      </c>
      <c r="C455" t="s">
        <v>11</v>
      </c>
      <c r="D455">
        <v>0</v>
      </c>
      <c r="E455">
        <v>1.9</v>
      </c>
      <c r="F455">
        <v>1.9</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1</v>
      </c>
      <c r="AB455">
        <v>0</v>
      </c>
      <c r="AC455">
        <v>0</v>
      </c>
      <c r="AD455">
        <v>0</v>
      </c>
      <c r="AE455" t="s">
        <v>249</v>
      </c>
      <c r="AF455">
        <v>20</v>
      </c>
      <c r="AG455" t="s">
        <v>220</v>
      </c>
      <c r="AH455">
        <v>46242</v>
      </c>
      <c r="AI455" t="s">
        <v>149</v>
      </c>
    </row>
    <row r="456" spans="1:35" x14ac:dyDescent="0.25">
      <c r="A456" s="1">
        <v>46243</v>
      </c>
      <c r="B456" t="s">
        <v>97</v>
      </c>
      <c r="C456" t="s">
        <v>12</v>
      </c>
      <c r="D456">
        <v>0</v>
      </c>
      <c r="E456">
        <v>0</v>
      </c>
      <c r="F456">
        <v>0</v>
      </c>
      <c r="G456">
        <v>0.16608996539792387</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1</v>
      </c>
      <c r="AC456">
        <v>0</v>
      </c>
      <c r="AD456">
        <v>0</v>
      </c>
      <c r="AE456" t="s">
        <v>249</v>
      </c>
      <c r="AF456">
        <v>20</v>
      </c>
      <c r="AG456" t="s">
        <v>221</v>
      </c>
      <c r="AH456">
        <v>46243</v>
      </c>
      <c r="AI456" t="s">
        <v>149</v>
      </c>
    </row>
    <row r="457" spans="1:35" x14ac:dyDescent="0.25">
      <c r="A457" s="1">
        <v>46243</v>
      </c>
      <c r="B457" t="s">
        <v>97</v>
      </c>
      <c r="C457" t="s">
        <v>11</v>
      </c>
      <c r="D457">
        <v>0</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t="s">
        <v>249</v>
      </c>
      <c r="AF457">
        <v>20</v>
      </c>
      <c r="AG457" t="s">
        <v>223</v>
      </c>
      <c r="AH457">
        <v>46243</v>
      </c>
      <c r="AI457" t="s">
        <v>149</v>
      </c>
    </row>
    <row r="458" spans="1:35" x14ac:dyDescent="0.25">
      <c r="A458" s="1">
        <v>46243</v>
      </c>
      <c r="B458" t="s">
        <v>97</v>
      </c>
      <c r="C458" t="s">
        <v>10</v>
      </c>
      <c r="D458">
        <v>0.95622385454066372</v>
      </c>
      <c r="E458">
        <v>0.95</v>
      </c>
      <c r="F458">
        <v>0.95</v>
      </c>
      <c r="G458">
        <v>0.82352941176470595</v>
      </c>
      <c r="H458">
        <v>0.99349121598346501</v>
      </c>
      <c r="I458">
        <v>0.99349121598346501</v>
      </c>
      <c r="J458">
        <v>0.8612307754655425</v>
      </c>
      <c r="K458">
        <v>0</v>
      </c>
      <c r="L458">
        <v>0</v>
      </c>
      <c r="M458">
        <v>0</v>
      </c>
      <c r="N458">
        <v>0</v>
      </c>
      <c r="O458">
        <v>0</v>
      </c>
      <c r="P458">
        <v>0</v>
      </c>
      <c r="Q458">
        <v>0</v>
      </c>
      <c r="R458">
        <v>0</v>
      </c>
      <c r="S458">
        <v>0</v>
      </c>
      <c r="T458">
        <v>0</v>
      </c>
      <c r="U458">
        <v>6.5087840165349853E-3</v>
      </c>
      <c r="V458">
        <v>0</v>
      </c>
      <c r="W458">
        <v>0.13226044051792252</v>
      </c>
      <c r="X458">
        <v>0</v>
      </c>
      <c r="Y458">
        <v>0.8612307754655425</v>
      </c>
      <c r="Z458">
        <v>0</v>
      </c>
      <c r="AA458">
        <v>0</v>
      </c>
      <c r="AB458">
        <v>0</v>
      </c>
      <c r="AC458">
        <v>0</v>
      </c>
      <c r="AD458">
        <v>0</v>
      </c>
      <c r="AE458" t="s">
        <v>249</v>
      </c>
      <c r="AF458">
        <v>20</v>
      </c>
      <c r="AG458" t="s">
        <v>222</v>
      </c>
      <c r="AH458">
        <v>46243</v>
      </c>
      <c r="AI458" t="s">
        <v>149</v>
      </c>
    </row>
    <row r="459" spans="1:35" x14ac:dyDescent="0.25">
      <c r="A459" s="1">
        <v>46244</v>
      </c>
      <c r="B459" t="s">
        <v>97</v>
      </c>
      <c r="C459" t="s">
        <v>10</v>
      </c>
      <c r="D459">
        <v>0</v>
      </c>
      <c r="E459">
        <v>0</v>
      </c>
      <c r="F459">
        <v>0</v>
      </c>
      <c r="G459">
        <v>0.82352941176470595</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1</v>
      </c>
      <c r="AC459">
        <v>0</v>
      </c>
      <c r="AD459">
        <v>0</v>
      </c>
      <c r="AE459" t="s">
        <v>249</v>
      </c>
      <c r="AF459">
        <v>20</v>
      </c>
      <c r="AG459" t="s">
        <v>224</v>
      </c>
      <c r="AH459">
        <v>46244</v>
      </c>
      <c r="AI459" t="s">
        <v>149</v>
      </c>
    </row>
    <row r="460" spans="1:35" x14ac:dyDescent="0.25">
      <c r="A460" s="1">
        <v>46244</v>
      </c>
      <c r="B460" t="s">
        <v>97</v>
      </c>
      <c r="C460" t="s">
        <v>11</v>
      </c>
      <c r="D460">
        <v>0</v>
      </c>
      <c r="E460">
        <v>0.95</v>
      </c>
      <c r="F460">
        <v>0.95</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1</v>
      </c>
      <c r="AB460">
        <v>0</v>
      </c>
      <c r="AC460">
        <v>0</v>
      </c>
      <c r="AD460">
        <v>0</v>
      </c>
      <c r="AE460" t="s">
        <v>249</v>
      </c>
      <c r="AF460">
        <v>20</v>
      </c>
      <c r="AG460" t="s">
        <v>225</v>
      </c>
      <c r="AH460">
        <v>46244</v>
      </c>
      <c r="AI460" t="s">
        <v>149</v>
      </c>
    </row>
    <row r="461" spans="1:35" x14ac:dyDescent="0.25">
      <c r="A461" s="1">
        <v>46244</v>
      </c>
      <c r="B461" t="s">
        <v>97</v>
      </c>
      <c r="C461" t="s">
        <v>12</v>
      </c>
      <c r="D461">
        <v>0</v>
      </c>
      <c r="E461">
        <v>0</v>
      </c>
      <c r="F461">
        <v>0</v>
      </c>
      <c r="G461">
        <v>0.16608996539792387</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1</v>
      </c>
      <c r="AC461">
        <v>0</v>
      </c>
      <c r="AD461">
        <v>0</v>
      </c>
      <c r="AE461" t="s">
        <v>249</v>
      </c>
      <c r="AF461">
        <v>20</v>
      </c>
      <c r="AG461" t="s">
        <v>226</v>
      </c>
      <c r="AH461">
        <v>46244</v>
      </c>
      <c r="AI461" t="s">
        <v>149</v>
      </c>
    </row>
    <row r="462" spans="1:35" x14ac:dyDescent="0.25">
      <c r="A462" s="1">
        <v>46245</v>
      </c>
      <c r="B462" t="s">
        <v>97</v>
      </c>
      <c r="C462" t="s">
        <v>12</v>
      </c>
      <c r="D462">
        <v>0</v>
      </c>
      <c r="E462">
        <v>0</v>
      </c>
      <c r="F462">
        <v>0</v>
      </c>
      <c r="G462">
        <v>0.16608996539792387</v>
      </c>
      <c r="H462">
        <v>0</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1</v>
      </c>
      <c r="AC462">
        <v>0</v>
      </c>
      <c r="AD462">
        <v>0</v>
      </c>
      <c r="AE462" t="s">
        <v>249</v>
      </c>
      <c r="AF462">
        <v>20</v>
      </c>
      <c r="AG462" t="s">
        <v>227</v>
      </c>
      <c r="AH462">
        <v>46245</v>
      </c>
      <c r="AI462" t="s">
        <v>149</v>
      </c>
    </row>
    <row r="463" spans="1:35" x14ac:dyDescent="0.25">
      <c r="A463" s="1">
        <v>46245</v>
      </c>
      <c r="B463" t="s">
        <v>97</v>
      </c>
      <c r="C463" t="s">
        <v>10</v>
      </c>
      <c r="D463">
        <v>1.9124477090813272</v>
      </c>
      <c r="E463">
        <v>0.95</v>
      </c>
      <c r="F463">
        <v>0.95</v>
      </c>
      <c r="G463">
        <v>0.82352941176470595</v>
      </c>
      <c r="H463">
        <v>0.49674560799173256</v>
      </c>
      <c r="I463">
        <v>0.49674560799173256</v>
      </c>
      <c r="J463">
        <v>0.4306153877327713</v>
      </c>
      <c r="K463">
        <v>0</v>
      </c>
      <c r="L463">
        <v>0</v>
      </c>
      <c r="M463">
        <v>0</v>
      </c>
      <c r="N463">
        <v>0</v>
      </c>
      <c r="O463">
        <v>0</v>
      </c>
      <c r="P463">
        <v>0</v>
      </c>
      <c r="Q463">
        <v>0</v>
      </c>
      <c r="R463">
        <v>0</v>
      </c>
      <c r="S463">
        <v>0</v>
      </c>
      <c r="T463">
        <v>0</v>
      </c>
      <c r="U463">
        <v>0.50325439200826749</v>
      </c>
      <c r="V463">
        <v>0</v>
      </c>
      <c r="W463">
        <v>6.6130220258961259E-2</v>
      </c>
      <c r="X463">
        <v>0</v>
      </c>
      <c r="Y463">
        <v>0.4306153877327713</v>
      </c>
      <c r="Z463">
        <v>0</v>
      </c>
      <c r="AA463">
        <v>0</v>
      </c>
      <c r="AB463">
        <v>0</v>
      </c>
      <c r="AC463">
        <v>0</v>
      </c>
      <c r="AD463">
        <v>0</v>
      </c>
      <c r="AE463" t="s">
        <v>249</v>
      </c>
      <c r="AF463">
        <v>20</v>
      </c>
      <c r="AG463" t="s">
        <v>228</v>
      </c>
      <c r="AH463">
        <v>46245</v>
      </c>
      <c r="AI463" t="s">
        <v>149</v>
      </c>
    </row>
    <row r="464" spans="1:35" x14ac:dyDescent="0.25">
      <c r="A464" s="1">
        <v>46245</v>
      </c>
      <c r="B464" t="s">
        <v>97</v>
      </c>
      <c r="C464" t="s">
        <v>11</v>
      </c>
      <c r="D464">
        <v>0</v>
      </c>
      <c r="E464">
        <v>0.95</v>
      </c>
      <c r="F464">
        <v>0.95</v>
      </c>
      <c r="G464">
        <v>0</v>
      </c>
      <c r="H464">
        <v>0</v>
      </c>
      <c r="I464">
        <v>0</v>
      </c>
      <c r="J464">
        <v>0</v>
      </c>
      <c r="K464">
        <v>0</v>
      </c>
      <c r="L464">
        <v>0</v>
      </c>
      <c r="M464">
        <v>0</v>
      </c>
      <c r="N464">
        <v>0</v>
      </c>
      <c r="O464">
        <v>0</v>
      </c>
      <c r="P464">
        <v>0</v>
      </c>
      <c r="Q464">
        <v>0</v>
      </c>
      <c r="R464">
        <v>0</v>
      </c>
      <c r="S464">
        <v>0</v>
      </c>
      <c r="T464">
        <v>0</v>
      </c>
      <c r="U464">
        <v>0</v>
      </c>
      <c r="V464">
        <v>0</v>
      </c>
      <c r="W464">
        <v>0</v>
      </c>
      <c r="X464">
        <v>0</v>
      </c>
      <c r="Y464">
        <v>0</v>
      </c>
      <c r="Z464">
        <v>0</v>
      </c>
      <c r="AA464">
        <v>1</v>
      </c>
      <c r="AB464">
        <v>0</v>
      </c>
      <c r="AC464">
        <v>0</v>
      </c>
      <c r="AD464">
        <v>0</v>
      </c>
      <c r="AE464" t="s">
        <v>249</v>
      </c>
      <c r="AF464">
        <v>20</v>
      </c>
      <c r="AG464" t="s">
        <v>229</v>
      </c>
      <c r="AH464">
        <v>46245</v>
      </c>
      <c r="AI464" t="s">
        <v>149</v>
      </c>
    </row>
    <row r="465" spans="1:35" x14ac:dyDescent="0.25">
      <c r="A465" s="1">
        <v>46246</v>
      </c>
      <c r="B465" t="s">
        <v>97</v>
      </c>
      <c r="C465" t="s">
        <v>10</v>
      </c>
      <c r="D465">
        <v>2.8686715636219908</v>
      </c>
      <c r="E465">
        <v>1.9</v>
      </c>
      <c r="F465">
        <v>1.9</v>
      </c>
      <c r="G465">
        <v>1.6470588235294119</v>
      </c>
      <c r="H465">
        <v>0.66232747732231012</v>
      </c>
      <c r="I465">
        <v>0.66232747732231012</v>
      </c>
      <c r="J465">
        <v>0.5741538503103617</v>
      </c>
      <c r="K465">
        <v>0</v>
      </c>
      <c r="L465">
        <v>0</v>
      </c>
      <c r="M465">
        <v>0</v>
      </c>
      <c r="N465">
        <v>0</v>
      </c>
      <c r="O465">
        <v>0</v>
      </c>
      <c r="P465">
        <v>0</v>
      </c>
      <c r="Q465">
        <v>0</v>
      </c>
      <c r="R465">
        <v>0</v>
      </c>
      <c r="S465">
        <v>0</v>
      </c>
      <c r="T465">
        <v>0</v>
      </c>
      <c r="U465">
        <v>0.33767252267768988</v>
      </c>
      <c r="V465">
        <v>0</v>
      </c>
      <c r="W465">
        <v>8.8173627011948419E-2</v>
      </c>
      <c r="X465">
        <v>0</v>
      </c>
      <c r="Y465">
        <v>0.5741538503103617</v>
      </c>
      <c r="Z465">
        <v>0</v>
      </c>
      <c r="AA465">
        <v>0</v>
      </c>
      <c r="AB465">
        <v>0</v>
      </c>
      <c r="AC465">
        <v>0</v>
      </c>
      <c r="AD465">
        <v>0</v>
      </c>
      <c r="AE465" t="s">
        <v>249</v>
      </c>
      <c r="AF465">
        <v>20</v>
      </c>
      <c r="AG465" t="s">
        <v>230</v>
      </c>
      <c r="AH465">
        <v>46246</v>
      </c>
      <c r="AI465" t="s">
        <v>149</v>
      </c>
    </row>
    <row r="466" spans="1:35" x14ac:dyDescent="0.25">
      <c r="A466" s="1">
        <v>46246</v>
      </c>
      <c r="B466" t="s">
        <v>97</v>
      </c>
      <c r="C466" t="s">
        <v>11</v>
      </c>
      <c r="D466">
        <v>0</v>
      </c>
      <c r="E466">
        <v>0</v>
      </c>
      <c r="F466">
        <v>0</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c r="AD466">
        <v>0</v>
      </c>
      <c r="AE466" t="s">
        <v>249</v>
      </c>
      <c r="AF466">
        <v>20</v>
      </c>
      <c r="AG466" t="s">
        <v>231</v>
      </c>
      <c r="AH466">
        <v>46246</v>
      </c>
      <c r="AI466" t="s">
        <v>149</v>
      </c>
    </row>
    <row r="467" spans="1:35" x14ac:dyDescent="0.25">
      <c r="A467" s="1">
        <v>46246</v>
      </c>
      <c r="B467" t="s">
        <v>97</v>
      </c>
      <c r="C467" t="s">
        <v>12</v>
      </c>
      <c r="D467">
        <v>0.67498154438164493</v>
      </c>
      <c r="E467">
        <v>0.95</v>
      </c>
      <c r="F467">
        <v>0.95</v>
      </c>
      <c r="G467">
        <v>1.0380622837370239</v>
      </c>
      <c r="H467">
        <v>1.4074458893099089</v>
      </c>
      <c r="I467">
        <v>1.4074458893099089</v>
      </c>
      <c r="J467">
        <v>1.5379120990456112</v>
      </c>
      <c r="K467">
        <v>0.13046620973570233</v>
      </c>
      <c r="L467">
        <v>0</v>
      </c>
      <c r="M467">
        <v>0</v>
      </c>
      <c r="N467">
        <v>0</v>
      </c>
      <c r="O467">
        <v>0.15744588930990888</v>
      </c>
      <c r="P467">
        <v>0</v>
      </c>
      <c r="Q467">
        <v>0.25</v>
      </c>
      <c r="R467">
        <v>0</v>
      </c>
      <c r="S467">
        <v>0</v>
      </c>
      <c r="T467">
        <v>0</v>
      </c>
      <c r="U467">
        <v>0</v>
      </c>
      <c r="V467">
        <v>0</v>
      </c>
      <c r="W467">
        <v>0</v>
      </c>
      <c r="X467">
        <v>0</v>
      </c>
      <c r="Y467">
        <v>1</v>
      </c>
      <c r="Z467">
        <v>0</v>
      </c>
      <c r="AA467">
        <v>0</v>
      </c>
      <c r="AB467">
        <v>0</v>
      </c>
      <c r="AC467">
        <v>0</v>
      </c>
      <c r="AD467">
        <v>0</v>
      </c>
      <c r="AE467" t="s">
        <v>249</v>
      </c>
      <c r="AF467">
        <v>20</v>
      </c>
      <c r="AG467" t="s">
        <v>232</v>
      </c>
      <c r="AH467">
        <v>46246</v>
      </c>
      <c r="AI467" t="s">
        <v>149</v>
      </c>
    </row>
    <row r="468" spans="1:35" x14ac:dyDescent="0.25">
      <c r="A468" s="1">
        <v>46247</v>
      </c>
      <c r="B468" t="s">
        <v>97</v>
      </c>
      <c r="C468" t="s">
        <v>12</v>
      </c>
      <c r="D468">
        <v>0</v>
      </c>
      <c r="E468">
        <v>0</v>
      </c>
      <c r="F468">
        <v>0</v>
      </c>
      <c r="G468">
        <v>0.33217993079584773</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1</v>
      </c>
      <c r="AC468">
        <v>0</v>
      </c>
      <c r="AD468">
        <v>0</v>
      </c>
      <c r="AE468" t="s">
        <v>249</v>
      </c>
      <c r="AF468">
        <v>20</v>
      </c>
      <c r="AG468" t="s">
        <v>233</v>
      </c>
      <c r="AH468">
        <v>46247</v>
      </c>
      <c r="AI468" t="s">
        <v>149</v>
      </c>
    </row>
    <row r="469" spans="1:35" x14ac:dyDescent="0.25">
      <c r="A469" s="1">
        <v>46247</v>
      </c>
      <c r="B469" t="s">
        <v>97</v>
      </c>
      <c r="C469" t="s">
        <v>11</v>
      </c>
      <c r="D469">
        <v>0</v>
      </c>
      <c r="E469">
        <v>0.95</v>
      </c>
      <c r="F469">
        <v>0.95</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1</v>
      </c>
      <c r="AB469">
        <v>0</v>
      </c>
      <c r="AC469">
        <v>0</v>
      </c>
      <c r="AD469">
        <v>0</v>
      </c>
      <c r="AE469" t="s">
        <v>249</v>
      </c>
      <c r="AF469">
        <v>20</v>
      </c>
      <c r="AG469" t="s">
        <v>234</v>
      </c>
      <c r="AH469">
        <v>46247</v>
      </c>
      <c r="AI469" t="s">
        <v>149</v>
      </c>
    </row>
    <row r="470" spans="1:35" x14ac:dyDescent="0.25">
      <c r="A470" s="1">
        <v>46247</v>
      </c>
      <c r="B470" t="s">
        <v>97</v>
      </c>
      <c r="C470" t="s">
        <v>10</v>
      </c>
      <c r="D470">
        <v>2.8686715636219913</v>
      </c>
      <c r="E470">
        <v>1.9</v>
      </c>
      <c r="F470">
        <v>1.9</v>
      </c>
      <c r="G470">
        <v>1.6470588235294119</v>
      </c>
      <c r="H470">
        <v>0.66232747732231001</v>
      </c>
      <c r="I470">
        <v>0.66232747732231001</v>
      </c>
      <c r="J470">
        <v>0.5741538503103617</v>
      </c>
      <c r="K470">
        <v>0</v>
      </c>
      <c r="L470">
        <v>0</v>
      </c>
      <c r="M470">
        <v>0</v>
      </c>
      <c r="N470">
        <v>0</v>
      </c>
      <c r="O470">
        <v>0</v>
      </c>
      <c r="P470">
        <v>0</v>
      </c>
      <c r="Q470">
        <v>0</v>
      </c>
      <c r="R470">
        <v>0</v>
      </c>
      <c r="S470">
        <v>0</v>
      </c>
      <c r="T470">
        <v>0</v>
      </c>
      <c r="U470">
        <v>0.33767252267768999</v>
      </c>
      <c r="V470">
        <v>0</v>
      </c>
      <c r="W470">
        <v>8.8173627011948308E-2</v>
      </c>
      <c r="X470">
        <v>0</v>
      </c>
      <c r="Y470">
        <v>0.5741538503103617</v>
      </c>
      <c r="Z470">
        <v>0</v>
      </c>
      <c r="AA470">
        <v>0</v>
      </c>
      <c r="AB470">
        <v>0</v>
      </c>
      <c r="AC470">
        <v>0</v>
      </c>
      <c r="AD470">
        <v>0</v>
      </c>
      <c r="AE470" t="s">
        <v>249</v>
      </c>
      <c r="AF470">
        <v>20</v>
      </c>
      <c r="AG470" t="s">
        <v>235</v>
      </c>
      <c r="AH470">
        <v>46247</v>
      </c>
      <c r="AI470" t="s">
        <v>149</v>
      </c>
    </row>
    <row r="471" spans="1:35" x14ac:dyDescent="0.25">
      <c r="A471" s="1">
        <v>46248</v>
      </c>
      <c r="B471" t="s">
        <v>97</v>
      </c>
      <c r="C471" t="s">
        <v>12</v>
      </c>
      <c r="D471">
        <v>0</v>
      </c>
      <c r="E471">
        <v>0</v>
      </c>
      <c r="F471">
        <v>0</v>
      </c>
      <c r="G471">
        <v>0.16608996539792387</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1</v>
      </c>
      <c r="AC471">
        <v>0</v>
      </c>
      <c r="AD471">
        <v>0</v>
      </c>
      <c r="AE471" t="s">
        <v>249</v>
      </c>
      <c r="AF471">
        <v>20</v>
      </c>
      <c r="AG471" t="s">
        <v>236</v>
      </c>
      <c r="AH471">
        <v>46248</v>
      </c>
      <c r="AI471" t="s">
        <v>149</v>
      </c>
    </row>
    <row r="472" spans="1:35" x14ac:dyDescent="0.25">
      <c r="A472" s="1">
        <v>46248</v>
      </c>
      <c r="B472" t="s">
        <v>97</v>
      </c>
      <c r="C472" t="s">
        <v>10</v>
      </c>
      <c r="D472">
        <v>1.9124477090813268</v>
      </c>
      <c r="E472">
        <v>0.95</v>
      </c>
      <c r="F472">
        <v>0.95</v>
      </c>
      <c r="G472">
        <v>0.82352941176470595</v>
      </c>
      <c r="H472">
        <v>0.49674560799173267</v>
      </c>
      <c r="I472">
        <v>0.49674560799173267</v>
      </c>
      <c r="J472">
        <v>0.43061538773277142</v>
      </c>
      <c r="K472">
        <v>0</v>
      </c>
      <c r="L472">
        <v>0</v>
      </c>
      <c r="M472">
        <v>0</v>
      </c>
      <c r="N472">
        <v>0</v>
      </c>
      <c r="O472">
        <v>0</v>
      </c>
      <c r="P472">
        <v>0</v>
      </c>
      <c r="Q472">
        <v>0</v>
      </c>
      <c r="R472">
        <v>0</v>
      </c>
      <c r="S472">
        <v>0</v>
      </c>
      <c r="T472">
        <v>0</v>
      </c>
      <c r="U472">
        <v>0.50325439200826727</v>
      </c>
      <c r="V472">
        <v>0</v>
      </c>
      <c r="W472">
        <v>6.6130220258961259E-2</v>
      </c>
      <c r="X472">
        <v>0</v>
      </c>
      <c r="Y472">
        <v>0.43061538773277142</v>
      </c>
      <c r="Z472">
        <v>0</v>
      </c>
      <c r="AA472">
        <v>0</v>
      </c>
      <c r="AB472">
        <v>0</v>
      </c>
      <c r="AC472">
        <v>0</v>
      </c>
      <c r="AD472">
        <v>0</v>
      </c>
      <c r="AE472" t="s">
        <v>249</v>
      </c>
      <c r="AF472">
        <v>20</v>
      </c>
      <c r="AG472" t="s">
        <v>238</v>
      </c>
      <c r="AH472">
        <v>46248</v>
      </c>
      <c r="AI472" t="s">
        <v>149</v>
      </c>
    </row>
    <row r="473" spans="1:35" x14ac:dyDescent="0.25">
      <c r="A473" s="1">
        <v>46248</v>
      </c>
      <c r="B473" t="s">
        <v>97</v>
      </c>
      <c r="C473" t="s">
        <v>11</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v>0</v>
      </c>
      <c r="AE473" t="s">
        <v>249</v>
      </c>
      <c r="AF473">
        <v>20</v>
      </c>
      <c r="AG473" t="s">
        <v>237</v>
      </c>
      <c r="AH473">
        <v>46248</v>
      </c>
      <c r="AI473" t="s">
        <v>149</v>
      </c>
    </row>
    <row r="474" spans="1:35" x14ac:dyDescent="0.25">
      <c r="A474" s="1">
        <v>46249</v>
      </c>
      <c r="B474" t="s">
        <v>97</v>
      </c>
      <c r="C474" t="s">
        <v>12</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t="s">
        <v>249</v>
      </c>
      <c r="AF474">
        <v>20</v>
      </c>
      <c r="AG474" t="s">
        <v>239</v>
      </c>
      <c r="AH474">
        <v>46249</v>
      </c>
      <c r="AI474" t="s">
        <v>149</v>
      </c>
    </row>
    <row r="475" spans="1:35" x14ac:dyDescent="0.25">
      <c r="A475" s="1">
        <v>46249</v>
      </c>
      <c r="B475" t="s">
        <v>97</v>
      </c>
      <c r="C475" t="s">
        <v>11</v>
      </c>
      <c r="D475">
        <v>0</v>
      </c>
      <c r="E475">
        <v>0</v>
      </c>
      <c r="F475">
        <v>0</v>
      </c>
      <c r="G475">
        <v>0</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t="s">
        <v>249</v>
      </c>
      <c r="AF475">
        <v>20</v>
      </c>
      <c r="AG475" t="s">
        <v>240</v>
      </c>
      <c r="AH475">
        <v>46249</v>
      </c>
      <c r="AI475" t="s">
        <v>149</v>
      </c>
    </row>
    <row r="476" spans="1:35" x14ac:dyDescent="0.25">
      <c r="A476" s="1">
        <v>46249</v>
      </c>
      <c r="B476" t="s">
        <v>97</v>
      </c>
      <c r="C476" t="s">
        <v>10</v>
      </c>
      <c r="D476">
        <v>0</v>
      </c>
      <c r="E476">
        <v>2.8499999999999996</v>
      </c>
      <c r="F476">
        <v>2.8499999999999996</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1</v>
      </c>
      <c r="AB476">
        <v>0</v>
      </c>
      <c r="AC476">
        <v>0</v>
      </c>
      <c r="AD476">
        <v>0</v>
      </c>
      <c r="AE476" t="s">
        <v>249</v>
      </c>
      <c r="AF476">
        <v>20</v>
      </c>
      <c r="AG476" t="s">
        <v>241</v>
      </c>
      <c r="AH476">
        <v>46249</v>
      </c>
      <c r="AI476" t="s">
        <v>149</v>
      </c>
    </row>
    <row r="477" spans="1:35" x14ac:dyDescent="0.25">
      <c r="A477" s="1">
        <v>46250</v>
      </c>
      <c r="B477" t="s">
        <v>97</v>
      </c>
      <c r="C477" t="s">
        <v>11</v>
      </c>
      <c r="D477">
        <v>0</v>
      </c>
      <c r="E477">
        <v>1.9</v>
      </c>
      <c r="F477">
        <v>1.9</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1</v>
      </c>
      <c r="AB477">
        <v>0</v>
      </c>
      <c r="AC477">
        <v>0</v>
      </c>
      <c r="AD477">
        <v>0</v>
      </c>
      <c r="AE477" t="s">
        <v>249</v>
      </c>
      <c r="AF477">
        <v>20</v>
      </c>
      <c r="AG477" t="s">
        <v>243</v>
      </c>
      <c r="AH477">
        <v>46250</v>
      </c>
      <c r="AI477" t="s">
        <v>149</v>
      </c>
    </row>
    <row r="478" spans="1:35" x14ac:dyDescent="0.25">
      <c r="A478" s="1">
        <v>46250</v>
      </c>
      <c r="B478" t="s">
        <v>97</v>
      </c>
      <c r="C478" t="s">
        <v>12</v>
      </c>
      <c r="D478">
        <v>0</v>
      </c>
      <c r="E478">
        <v>0.95</v>
      </c>
      <c r="F478">
        <v>0.95</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1</v>
      </c>
      <c r="AB478">
        <v>0</v>
      </c>
      <c r="AC478">
        <v>0</v>
      </c>
      <c r="AD478">
        <v>0</v>
      </c>
      <c r="AE478" t="s">
        <v>249</v>
      </c>
      <c r="AF478">
        <v>20</v>
      </c>
      <c r="AG478" t="s">
        <v>244</v>
      </c>
      <c r="AH478">
        <v>46250</v>
      </c>
      <c r="AI478" t="s">
        <v>149</v>
      </c>
    </row>
    <row r="479" spans="1:35" x14ac:dyDescent="0.25">
      <c r="A479" s="1">
        <v>46250</v>
      </c>
      <c r="B479" t="s">
        <v>97</v>
      </c>
      <c r="C479" t="s">
        <v>10</v>
      </c>
      <c r="D479">
        <v>0.4781119272703318</v>
      </c>
      <c r="E479">
        <v>0</v>
      </c>
      <c r="F479">
        <v>0</v>
      </c>
      <c r="G479">
        <v>0</v>
      </c>
      <c r="H479">
        <v>0</v>
      </c>
      <c r="I479">
        <v>0</v>
      </c>
      <c r="J479">
        <v>0</v>
      </c>
      <c r="K479">
        <v>0</v>
      </c>
      <c r="L479">
        <v>0</v>
      </c>
      <c r="M479">
        <v>0</v>
      </c>
      <c r="N479">
        <v>0</v>
      </c>
      <c r="O479">
        <v>0</v>
      </c>
      <c r="P479">
        <v>0</v>
      </c>
      <c r="Q479">
        <v>0</v>
      </c>
      <c r="R479">
        <v>0</v>
      </c>
      <c r="S479">
        <v>0</v>
      </c>
      <c r="T479">
        <v>0</v>
      </c>
      <c r="U479">
        <v>1</v>
      </c>
      <c r="V479">
        <v>0</v>
      </c>
      <c r="W479">
        <v>0</v>
      </c>
      <c r="X479">
        <v>0</v>
      </c>
      <c r="Y479">
        <v>0</v>
      </c>
      <c r="Z479">
        <v>0</v>
      </c>
      <c r="AA479">
        <v>0</v>
      </c>
      <c r="AB479">
        <v>0</v>
      </c>
      <c r="AC479">
        <v>0</v>
      </c>
      <c r="AD479">
        <v>0</v>
      </c>
      <c r="AE479" t="s">
        <v>249</v>
      </c>
      <c r="AF479">
        <v>20</v>
      </c>
      <c r="AG479" t="s">
        <v>242</v>
      </c>
      <c r="AH479">
        <v>46250</v>
      </c>
      <c r="AI479" t="s">
        <v>149</v>
      </c>
    </row>
    <row r="480" spans="1:35" x14ac:dyDescent="0.25">
      <c r="A480" s="1">
        <v>46223</v>
      </c>
      <c r="B480" t="s">
        <v>13</v>
      </c>
      <c r="C480" t="s">
        <v>10</v>
      </c>
      <c r="D480">
        <v>5.8204648795871563</v>
      </c>
      <c r="E480">
        <v>5.6999999999999993</v>
      </c>
      <c r="F480">
        <v>5.6999999999999993</v>
      </c>
      <c r="G480">
        <v>2.823529411764707</v>
      </c>
      <c r="H480">
        <v>0.97930322026172911</v>
      </c>
      <c r="I480">
        <v>0.97930322026172911</v>
      </c>
      <c r="J480">
        <v>0.48510376235875147</v>
      </c>
      <c r="K480">
        <v>0</v>
      </c>
      <c r="L480">
        <v>0</v>
      </c>
      <c r="M480">
        <v>0</v>
      </c>
      <c r="N480">
        <v>0</v>
      </c>
      <c r="O480">
        <v>0</v>
      </c>
      <c r="P480">
        <v>0</v>
      </c>
      <c r="Q480">
        <v>0</v>
      </c>
      <c r="R480">
        <v>0</v>
      </c>
      <c r="S480">
        <v>0</v>
      </c>
      <c r="T480">
        <v>0</v>
      </c>
      <c r="U480">
        <v>2.0696779738270887E-2</v>
      </c>
      <c r="V480">
        <v>0</v>
      </c>
      <c r="W480">
        <v>0.49419945790297765</v>
      </c>
      <c r="X480">
        <v>0</v>
      </c>
      <c r="Y480">
        <v>0.48510376235875147</v>
      </c>
      <c r="Z480">
        <v>0</v>
      </c>
      <c r="AA480">
        <v>0</v>
      </c>
      <c r="AB480">
        <v>0</v>
      </c>
      <c r="AC480">
        <v>0</v>
      </c>
      <c r="AD480">
        <v>0</v>
      </c>
      <c r="AE480" t="s">
        <v>245</v>
      </c>
      <c r="AF480">
        <v>10</v>
      </c>
      <c r="AG480" t="s">
        <v>163</v>
      </c>
      <c r="AH480">
        <v>46223</v>
      </c>
      <c r="AI480" t="s">
        <v>149</v>
      </c>
    </row>
    <row r="481" spans="1:35" x14ac:dyDescent="0.25">
      <c r="A481" s="1">
        <v>46223</v>
      </c>
      <c r="B481" t="s">
        <v>13</v>
      </c>
      <c r="C481" t="s">
        <v>12</v>
      </c>
      <c r="D481">
        <v>3.5180756278799441</v>
      </c>
      <c r="E481">
        <v>2.8499999999999996</v>
      </c>
      <c r="F481">
        <v>2.8499999999999996</v>
      </c>
      <c r="G481">
        <v>3.9861591695501688</v>
      </c>
      <c r="H481">
        <v>0.8101019709225129</v>
      </c>
      <c r="I481">
        <v>0.8101019709225129</v>
      </c>
      <c r="J481">
        <v>1.1330510174257682</v>
      </c>
      <c r="K481">
        <v>0.13305101742576819</v>
      </c>
      <c r="L481">
        <v>0</v>
      </c>
      <c r="M481">
        <v>0</v>
      </c>
      <c r="N481">
        <v>0</v>
      </c>
      <c r="O481">
        <v>0</v>
      </c>
      <c r="P481">
        <v>0</v>
      </c>
      <c r="Q481">
        <v>0</v>
      </c>
      <c r="R481">
        <v>0</v>
      </c>
      <c r="S481">
        <v>0</v>
      </c>
      <c r="T481">
        <v>0.1898980290774871</v>
      </c>
      <c r="U481">
        <v>0</v>
      </c>
      <c r="V481">
        <v>0</v>
      </c>
      <c r="W481">
        <v>0</v>
      </c>
      <c r="X481">
        <v>0</v>
      </c>
      <c r="Y481">
        <v>0.8101019709225129</v>
      </c>
      <c r="Z481">
        <v>0</v>
      </c>
      <c r="AA481">
        <v>0</v>
      </c>
      <c r="AB481">
        <v>0</v>
      </c>
      <c r="AC481">
        <v>0</v>
      </c>
      <c r="AD481">
        <v>0</v>
      </c>
      <c r="AE481" t="s">
        <v>245</v>
      </c>
      <c r="AF481">
        <v>10</v>
      </c>
      <c r="AG481" t="s">
        <v>162</v>
      </c>
      <c r="AH481">
        <v>46223</v>
      </c>
      <c r="AI481" t="s">
        <v>149</v>
      </c>
    </row>
    <row r="482" spans="1:35" x14ac:dyDescent="0.25">
      <c r="A482" s="1">
        <v>46224</v>
      </c>
      <c r="B482" t="s">
        <v>13</v>
      </c>
      <c r="C482" t="s">
        <v>11</v>
      </c>
      <c r="D482">
        <v>87.306973193807323</v>
      </c>
      <c r="E482">
        <v>0</v>
      </c>
      <c r="F482">
        <v>0</v>
      </c>
      <c r="G482">
        <v>1.8823529411764703</v>
      </c>
      <c r="H482">
        <v>0</v>
      </c>
      <c r="I482">
        <v>0</v>
      </c>
      <c r="J482">
        <v>2.1560167215944503E-2</v>
      </c>
      <c r="K482">
        <v>0</v>
      </c>
      <c r="L482">
        <v>0</v>
      </c>
      <c r="M482">
        <v>0</v>
      </c>
      <c r="N482">
        <v>0</v>
      </c>
      <c r="O482">
        <v>0</v>
      </c>
      <c r="P482">
        <v>0</v>
      </c>
      <c r="Q482">
        <v>0</v>
      </c>
      <c r="R482">
        <v>0</v>
      </c>
      <c r="S482">
        <v>0</v>
      </c>
      <c r="T482">
        <v>2.1560167215944503E-2</v>
      </c>
      <c r="U482">
        <v>0.97843983278405555</v>
      </c>
      <c r="V482">
        <v>0</v>
      </c>
      <c r="W482">
        <v>0</v>
      </c>
      <c r="X482">
        <v>0</v>
      </c>
      <c r="Y482">
        <v>0</v>
      </c>
      <c r="Z482">
        <v>0</v>
      </c>
      <c r="AA482">
        <v>0</v>
      </c>
      <c r="AB482">
        <v>0</v>
      </c>
      <c r="AC482">
        <v>0</v>
      </c>
      <c r="AD482">
        <v>0</v>
      </c>
      <c r="AE482" t="s">
        <v>245</v>
      </c>
      <c r="AF482">
        <v>10</v>
      </c>
      <c r="AG482" t="s">
        <v>164</v>
      </c>
      <c r="AH482">
        <v>46224</v>
      </c>
      <c r="AI482" t="s">
        <v>149</v>
      </c>
    </row>
    <row r="483" spans="1:35" x14ac:dyDescent="0.25">
      <c r="A483" s="1">
        <v>46224</v>
      </c>
      <c r="B483" t="s">
        <v>13</v>
      </c>
      <c r="C483" t="s">
        <v>12</v>
      </c>
      <c r="D483">
        <v>0.98904373835292447</v>
      </c>
      <c r="E483">
        <v>0.95</v>
      </c>
      <c r="F483">
        <v>0.95</v>
      </c>
      <c r="G483">
        <v>3.9861591695501706</v>
      </c>
      <c r="H483">
        <v>0.96052374951794861</v>
      </c>
      <c r="I483">
        <v>0.96052374951794861</v>
      </c>
      <c r="J483">
        <v>4.030316370222824</v>
      </c>
      <c r="K483">
        <v>3.030316370222824</v>
      </c>
      <c r="L483">
        <v>0</v>
      </c>
      <c r="M483">
        <v>0</v>
      </c>
      <c r="N483">
        <v>0</v>
      </c>
      <c r="O483">
        <v>0</v>
      </c>
      <c r="P483">
        <v>0</v>
      </c>
      <c r="Q483">
        <v>0</v>
      </c>
      <c r="R483">
        <v>0</v>
      </c>
      <c r="S483">
        <v>0</v>
      </c>
      <c r="T483">
        <v>3.9476250482051389E-2</v>
      </c>
      <c r="U483">
        <v>0</v>
      </c>
      <c r="V483">
        <v>0</v>
      </c>
      <c r="W483">
        <v>0</v>
      </c>
      <c r="X483">
        <v>0</v>
      </c>
      <c r="Y483">
        <v>0.96052374951794861</v>
      </c>
      <c r="Z483">
        <v>0</v>
      </c>
      <c r="AA483">
        <v>0</v>
      </c>
      <c r="AB483">
        <v>0</v>
      </c>
      <c r="AC483">
        <v>0</v>
      </c>
      <c r="AD483">
        <v>0</v>
      </c>
      <c r="AE483" t="s">
        <v>245</v>
      </c>
      <c r="AF483">
        <v>10</v>
      </c>
      <c r="AG483" t="s">
        <v>166</v>
      </c>
      <c r="AH483">
        <v>46224</v>
      </c>
      <c r="AI483" t="s">
        <v>149</v>
      </c>
    </row>
    <row r="484" spans="1:35" x14ac:dyDescent="0.25">
      <c r="A484" s="1">
        <v>46224</v>
      </c>
      <c r="B484" t="s">
        <v>13</v>
      </c>
      <c r="C484" t="s">
        <v>10</v>
      </c>
      <c r="D484">
        <v>3.0821750674581758</v>
      </c>
      <c r="E484">
        <v>5.6999999999999993</v>
      </c>
      <c r="F484">
        <v>5.6999999999999993</v>
      </c>
      <c r="G484">
        <v>3.7647058823529393</v>
      </c>
      <c r="H484">
        <v>1.8493433615049988</v>
      </c>
      <c r="I484">
        <v>1.8493433615049988</v>
      </c>
      <c r="J484">
        <v>1.2214445318505665</v>
      </c>
      <c r="K484">
        <v>0</v>
      </c>
      <c r="L484">
        <v>0</v>
      </c>
      <c r="M484">
        <v>0.59934336150499878</v>
      </c>
      <c r="N484">
        <v>0</v>
      </c>
      <c r="O484">
        <v>0</v>
      </c>
      <c r="P484">
        <v>0</v>
      </c>
      <c r="Q484">
        <v>0.22144453185056645</v>
      </c>
      <c r="R484">
        <v>0</v>
      </c>
      <c r="S484">
        <v>2.8555468149433549E-2</v>
      </c>
      <c r="T484">
        <v>0</v>
      </c>
      <c r="U484">
        <v>0</v>
      </c>
      <c r="V484">
        <v>0</v>
      </c>
      <c r="W484">
        <v>0</v>
      </c>
      <c r="X484">
        <v>0</v>
      </c>
      <c r="Y484">
        <v>1</v>
      </c>
      <c r="Z484">
        <v>0</v>
      </c>
      <c r="AA484">
        <v>0</v>
      </c>
      <c r="AB484">
        <v>0</v>
      </c>
      <c r="AC484">
        <v>0</v>
      </c>
      <c r="AD484">
        <v>0</v>
      </c>
      <c r="AE484" t="s">
        <v>245</v>
      </c>
      <c r="AF484">
        <v>10</v>
      </c>
      <c r="AG484" t="s">
        <v>165</v>
      </c>
      <c r="AH484">
        <v>46224</v>
      </c>
      <c r="AI484" t="s">
        <v>149</v>
      </c>
    </row>
    <row r="485" spans="1:35" x14ac:dyDescent="0.25">
      <c r="A485" s="1">
        <v>46225</v>
      </c>
      <c r="B485" t="s">
        <v>13</v>
      </c>
      <c r="C485" t="s">
        <v>10</v>
      </c>
      <c r="D485">
        <v>1.6318761395934516</v>
      </c>
      <c r="E485">
        <v>3.8</v>
      </c>
      <c r="F485">
        <v>3.8</v>
      </c>
      <c r="G485">
        <v>3.8308823529411753</v>
      </c>
      <c r="H485">
        <v>2.3286081019278164</v>
      </c>
      <c r="I485">
        <v>2.3286081019278164</v>
      </c>
      <c r="J485">
        <v>2.3475325485766101</v>
      </c>
      <c r="K485">
        <v>1.8924446648793669E-2</v>
      </c>
      <c r="L485">
        <v>0</v>
      </c>
      <c r="M485">
        <v>0</v>
      </c>
      <c r="N485">
        <v>0</v>
      </c>
      <c r="O485">
        <v>1.0786081019278164</v>
      </c>
      <c r="P485">
        <v>0</v>
      </c>
      <c r="Q485">
        <v>0.25</v>
      </c>
      <c r="R485">
        <v>0</v>
      </c>
      <c r="S485">
        <v>0</v>
      </c>
      <c r="T485">
        <v>0</v>
      </c>
      <c r="U485">
        <v>0</v>
      </c>
      <c r="V485">
        <v>0</v>
      </c>
      <c r="W485">
        <v>0</v>
      </c>
      <c r="X485">
        <v>0</v>
      </c>
      <c r="Y485">
        <v>1</v>
      </c>
      <c r="Z485">
        <v>0</v>
      </c>
      <c r="AA485">
        <v>0</v>
      </c>
      <c r="AB485">
        <v>0</v>
      </c>
      <c r="AC485">
        <v>0</v>
      </c>
      <c r="AD485">
        <v>0</v>
      </c>
      <c r="AE485" t="s">
        <v>245</v>
      </c>
      <c r="AF485">
        <v>10</v>
      </c>
      <c r="AG485" t="s">
        <v>167</v>
      </c>
      <c r="AH485">
        <v>46225</v>
      </c>
      <c r="AI485" t="s">
        <v>149</v>
      </c>
    </row>
    <row r="486" spans="1:35" x14ac:dyDescent="0.25">
      <c r="A486" s="1">
        <v>46225</v>
      </c>
      <c r="B486" t="s">
        <v>13</v>
      </c>
      <c r="C486" t="s">
        <v>11</v>
      </c>
      <c r="D486">
        <v>5.1299788826579693</v>
      </c>
      <c r="E486">
        <v>0</v>
      </c>
      <c r="F486">
        <v>0</v>
      </c>
      <c r="G486">
        <v>1.9411764705882348</v>
      </c>
      <c r="H486">
        <v>0</v>
      </c>
      <c r="I486">
        <v>0</v>
      </c>
      <c r="J486">
        <v>0.37839853047942046</v>
      </c>
      <c r="K486">
        <v>0</v>
      </c>
      <c r="L486">
        <v>0</v>
      </c>
      <c r="M486">
        <v>0</v>
      </c>
      <c r="N486">
        <v>0</v>
      </c>
      <c r="O486">
        <v>0</v>
      </c>
      <c r="P486">
        <v>0</v>
      </c>
      <c r="Q486">
        <v>0</v>
      </c>
      <c r="R486">
        <v>0</v>
      </c>
      <c r="S486">
        <v>0</v>
      </c>
      <c r="T486">
        <v>0.37839853047942046</v>
      </c>
      <c r="U486">
        <v>0.6216014695205796</v>
      </c>
      <c r="V486">
        <v>0</v>
      </c>
      <c r="W486">
        <v>0</v>
      </c>
      <c r="X486">
        <v>0</v>
      </c>
      <c r="Y486">
        <v>0</v>
      </c>
      <c r="Z486">
        <v>0</v>
      </c>
      <c r="AA486">
        <v>0</v>
      </c>
      <c r="AB486">
        <v>0</v>
      </c>
      <c r="AC486">
        <v>0</v>
      </c>
      <c r="AD486">
        <v>0</v>
      </c>
      <c r="AE486" t="s">
        <v>245</v>
      </c>
      <c r="AF486">
        <v>10</v>
      </c>
      <c r="AG486" t="s">
        <v>169</v>
      </c>
      <c r="AH486">
        <v>46225</v>
      </c>
      <c r="AI486" t="s">
        <v>149</v>
      </c>
    </row>
    <row r="487" spans="1:35" x14ac:dyDescent="0.25">
      <c r="A487" s="1">
        <v>46225</v>
      </c>
      <c r="B487" t="s">
        <v>13</v>
      </c>
      <c r="C487" t="s">
        <v>12</v>
      </c>
      <c r="D487">
        <v>3.9638288809417879</v>
      </c>
      <c r="E487">
        <v>4.75</v>
      </c>
      <c r="F487">
        <v>4.75</v>
      </c>
      <c r="G487">
        <v>5.0519031141868496</v>
      </c>
      <c r="H487">
        <v>1.1983362911648752</v>
      </c>
      <c r="I487">
        <v>1.1983362911648752</v>
      </c>
      <c r="J487">
        <v>1.2745008086692531</v>
      </c>
      <c r="K487">
        <v>7.6164517504377915E-2</v>
      </c>
      <c r="L487">
        <v>0</v>
      </c>
      <c r="M487">
        <v>0</v>
      </c>
      <c r="N487">
        <v>0</v>
      </c>
      <c r="O487">
        <v>0</v>
      </c>
      <c r="P487">
        <v>5.1663708835124833E-2</v>
      </c>
      <c r="Q487">
        <v>0.19833629116487517</v>
      </c>
      <c r="R487">
        <v>0</v>
      </c>
      <c r="S487">
        <v>0</v>
      </c>
      <c r="T487">
        <v>0</v>
      </c>
      <c r="U487">
        <v>0</v>
      </c>
      <c r="V487">
        <v>0</v>
      </c>
      <c r="W487">
        <v>0</v>
      </c>
      <c r="X487">
        <v>0</v>
      </c>
      <c r="Y487">
        <v>0</v>
      </c>
      <c r="Z487">
        <v>0</v>
      </c>
      <c r="AA487">
        <v>0</v>
      </c>
      <c r="AB487">
        <v>0</v>
      </c>
      <c r="AC487">
        <v>0</v>
      </c>
      <c r="AD487">
        <v>0</v>
      </c>
      <c r="AE487" t="s">
        <v>245</v>
      </c>
      <c r="AF487">
        <v>10</v>
      </c>
      <c r="AG487" t="s">
        <v>168</v>
      </c>
      <c r="AH487">
        <v>46225</v>
      </c>
      <c r="AI487" t="s">
        <v>149</v>
      </c>
    </row>
    <row r="488" spans="1:35" x14ac:dyDescent="0.25">
      <c r="A488" s="1">
        <v>46226</v>
      </c>
      <c r="B488" t="s">
        <v>13</v>
      </c>
      <c r="C488" t="s">
        <v>12</v>
      </c>
      <c r="D488">
        <v>6.3408722746896915</v>
      </c>
      <c r="E488">
        <v>3.8</v>
      </c>
      <c r="F488">
        <v>3.8</v>
      </c>
      <c r="G488">
        <v>4.1584410854124911</v>
      </c>
      <c r="H488">
        <v>0.59928663366523394</v>
      </c>
      <c r="I488">
        <v>0.59928663366523394</v>
      </c>
      <c r="J488">
        <v>0.65581530509790886</v>
      </c>
      <c r="K488">
        <v>0</v>
      </c>
      <c r="L488">
        <v>0</v>
      </c>
      <c r="M488">
        <v>0</v>
      </c>
      <c r="N488">
        <v>0</v>
      </c>
      <c r="O488">
        <v>0</v>
      </c>
      <c r="P488">
        <v>0</v>
      </c>
      <c r="Q488">
        <v>0</v>
      </c>
      <c r="R488">
        <v>0</v>
      </c>
      <c r="S488">
        <v>0</v>
      </c>
      <c r="T488">
        <v>5.6528671432674926E-2</v>
      </c>
      <c r="U488">
        <v>0.34418469490209114</v>
      </c>
      <c r="V488">
        <v>0</v>
      </c>
      <c r="W488">
        <v>0</v>
      </c>
      <c r="X488">
        <v>0</v>
      </c>
      <c r="Y488">
        <v>0.59928663366523394</v>
      </c>
      <c r="Z488">
        <v>0</v>
      </c>
      <c r="AA488">
        <v>0</v>
      </c>
      <c r="AB488">
        <v>0</v>
      </c>
      <c r="AC488">
        <v>0</v>
      </c>
      <c r="AD488">
        <v>0</v>
      </c>
      <c r="AE488" t="s">
        <v>245</v>
      </c>
      <c r="AF488">
        <v>10</v>
      </c>
      <c r="AG488" t="s">
        <v>170</v>
      </c>
      <c r="AH488">
        <v>46226</v>
      </c>
      <c r="AI488" t="s">
        <v>149</v>
      </c>
    </row>
    <row r="489" spans="1:35" x14ac:dyDescent="0.25">
      <c r="A489" s="1">
        <v>46226</v>
      </c>
      <c r="B489" t="s">
        <v>13</v>
      </c>
      <c r="C489" t="s">
        <v>10</v>
      </c>
      <c r="D489">
        <v>1.7056307339449543</v>
      </c>
      <c r="E489">
        <v>2.8499999999999996</v>
      </c>
      <c r="F489">
        <v>2.8499999999999996</v>
      </c>
      <c r="G489">
        <v>6.7654798761609918</v>
      </c>
      <c r="H489">
        <v>1.6709361195715751</v>
      </c>
      <c r="I489">
        <v>1.6709361195715751</v>
      </c>
      <c r="J489">
        <v>3.9665560320393087</v>
      </c>
      <c r="K489">
        <v>2.2956199124677337</v>
      </c>
      <c r="L489">
        <v>0</v>
      </c>
      <c r="M489">
        <v>0</v>
      </c>
      <c r="N489">
        <v>0</v>
      </c>
      <c r="O489">
        <v>0.42093611957157506</v>
      </c>
      <c r="P489">
        <v>0</v>
      </c>
      <c r="Q489">
        <v>0.25</v>
      </c>
      <c r="R489">
        <v>0</v>
      </c>
      <c r="S489">
        <v>0</v>
      </c>
      <c r="T489">
        <v>0</v>
      </c>
      <c r="U489">
        <v>0</v>
      </c>
      <c r="V489">
        <v>0</v>
      </c>
      <c r="W489">
        <v>0</v>
      </c>
      <c r="X489">
        <v>0</v>
      </c>
      <c r="Y489">
        <v>1</v>
      </c>
      <c r="Z489">
        <v>0</v>
      </c>
      <c r="AA489">
        <v>0</v>
      </c>
      <c r="AB489">
        <v>0</v>
      </c>
      <c r="AC489">
        <v>0</v>
      </c>
      <c r="AD489">
        <v>0</v>
      </c>
      <c r="AE489" t="s">
        <v>245</v>
      </c>
      <c r="AF489">
        <v>10</v>
      </c>
      <c r="AG489" t="s">
        <v>171</v>
      </c>
      <c r="AH489">
        <v>46226</v>
      </c>
      <c r="AI489" t="s">
        <v>149</v>
      </c>
    </row>
    <row r="490" spans="1:35" x14ac:dyDescent="0.25">
      <c r="A490" s="1">
        <v>46227</v>
      </c>
      <c r="B490" t="s">
        <v>13</v>
      </c>
      <c r="C490" t="s">
        <v>10</v>
      </c>
      <c r="D490">
        <v>2.4159757690232055</v>
      </c>
      <c r="E490">
        <v>2.8499999999999996</v>
      </c>
      <c r="F490">
        <v>2.8499999999999996</v>
      </c>
      <c r="G490">
        <v>3.7647058823529393</v>
      </c>
      <c r="H490">
        <v>1.1796475927207966</v>
      </c>
      <c r="I490">
        <v>1.1796475927207966</v>
      </c>
      <c r="J490">
        <v>1.5582548180419185</v>
      </c>
      <c r="K490">
        <v>0.3786072253211219</v>
      </c>
      <c r="L490">
        <v>0</v>
      </c>
      <c r="M490">
        <v>0</v>
      </c>
      <c r="N490">
        <v>0</v>
      </c>
      <c r="O490">
        <v>0</v>
      </c>
      <c r="P490">
        <v>7.0352407279203444E-2</v>
      </c>
      <c r="Q490">
        <v>0.17964759272079656</v>
      </c>
      <c r="R490">
        <v>0</v>
      </c>
      <c r="S490">
        <v>0</v>
      </c>
      <c r="T490">
        <v>0</v>
      </c>
      <c r="U490">
        <v>0</v>
      </c>
      <c r="V490">
        <v>0</v>
      </c>
      <c r="W490">
        <v>0</v>
      </c>
      <c r="X490">
        <v>0</v>
      </c>
      <c r="Y490">
        <v>0</v>
      </c>
      <c r="Z490">
        <v>0</v>
      </c>
      <c r="AA490">
        <v>0</v>
      </c>
      <c r="AB490">
        <v>0</v>
      </c>
      <c r="AC490">
        <v>0</v>
      </c>
      <c r="AD490">
        <v>0</v>
      </c>
      <c r="AE490" t="s">
        <v>245</v>
      </c>
      <c r="AF490">
        <v>10</v>
      </c>
      <c r="AG490" t="s">
        <v>173</v>
      </c>
      <c r="AH490">
        <v>46227</v>
      </c>
      <c r="AI490" t="s">
        <v>149</v>
      </c>
    </row>
    <row r="491" spans="1:35" x14ac:dyDescent="0.25">
      <c r="A491" s="1">
        <v>46227</v>
      </c>
      <c r="B491" t="s">
        <v>13</v>
      </c>
      <c r="C491" t="s">
        <v>11</v>
      </c>
      <c r="D491">
        <v>71.636490825688057</v>
      </c>
      <c r="E491">
        <v>0</v>
      </c>
      <c r="F491">
        <v>0</v>
      </c>
      <c r="G491">
        <v>1.8823529411764703</v>
      </c>
      <c r="H491">
        <v>0</v>
      </c>
      <c r="I491">
        <v>0</v>
      </c>
      <c r="J491">
        <v>2.6276453794432365E-2</v>
      </c>
      <c r="K491">
        <v>0</v>
      </c>
      <c r="L491">
        <v>0</v>
      </c>
      <c r="M491">
        <v>0</v>
      </c>
      <c r="N491">
        <v>0</v>
      </c>
      <c r="O491">
        <v>0</v>
      </c>
      <c r="P491">
        <v>0</v>
      </c>
      <c r="Q491">
        <v>0</v>
      </c>
      <c r="R491">
        <v>0</v>
      </c>
      <c r="S491">
        <v>0</v>
      </c>
      <c r="T491">
        <v>2.6276453794432365E-2</v>
      </c>
      <c r="U491">
        <v>0.97372354620556767</v>
      </c>
      <c r="V491">
        <v>0</v>
      </c>
      <c r="W491">
        <v>0</v>
      </c>
      <c r="X491">
        <v>0</v>
      </c>
      <c r="Y491">
        <v>0</v>
      </c>
      <c r="Z491">
        <v>0</v>
      </c>
      <c r="AA491">
        <v>0</v>
      </c>
      <c r="AB491">
        <v>0</v>
      </c>
      <c r="AC491">
        <v>0</v>
      </c>
      <c r="AD491">
        <v>0</v>
      </c>
      <c r="AE491" t="s">
        <v>245</v>
      </c>
      <c r="AF491">
        <v>10</v>
      </c>
      <c r="AG491" t="s">
        <v>174</v>
      </c>
      <c r="AH491">
        <v>46227</v>
      </c>
      <c r="AI491" t="s">
        <v>149</v>
      </c>
    </row>
    <row r="492" spans="1:35" x14ac:dyDescent="0.25">
      <c r="A492" s="1">
        <v>46227</v>
      </c>
      <c r="B492" t="s">
        <v>13</v>
      </c>
      <c r="C492" t="s">
        <v>12</v>
      </c>
      <c r="D492">
        <v>9.4336119605844371E-2</v>
      </c>
      <c r="E492">
        <v>3.8</v>
      </c>
      <c r="F492">
        <v>3.8</v>
      </c>
      <c r="G492">
        <v>4.8131487889273332</v>
      </c>
      <c r="H492">
        <v>40.281495739671911</v>
      </c>
      <c r="I492">
        <v>40.281495739671911</v>
      </c>
      <c r="J492">
        <v>51.021271693574576</v>
      </c>
      <c r="K492">
        <v>10.739775953902665</v>
      </c>
      <c r="L492">
        <v>0</v>
      </c>
      <c r="M492">
        <v>0</v>
      </c>
      <c r="N492">
        <v>0</v>
      </c>
      <c r="O492">
        <v>39.031495739671911</v>
      </c>
      <c r="P492">
        <v>0</v>
      </c>
      <c r="Q492">
        <v>0.25</v>
      </c>
      <c r="R492">
        <v>0</v>
      </c>
      <c r="S492">
        <v>0</v>
      </c>
      <c r="T492">
        <v>0</v>
      </c>
      <c r="U492">
        <v>0</v>
      </c>
      <c r="V492">
        <v>0</v>
      </c>
      <c r="W492">
        <v>0</v>
      </c>
      <c r="X492">
        <v>0</v>
      </c>
      <c r="Y492">
        <v>1</v>
      </c>
      <c r="Z492">
        <v>0</v>
      </c>
      <c r="AA492">
        <v>0</v>
      </c>
      <c r="AB492">
        <v>0</v>
      </c>
      <c r="AC492">
        <v>0</v>
      </c>
      <c r="AD492">
        <v>0</v>
      </c>
      <c r="AE492" t="s">
        <v>245</v>
      </c>
      <c r="AF492">
        <v>10</v>
      </c>
      <c r="AG492" t="s">
        <v>175</v>
      </c>
      <c r="AH492">
        <v>46227</v>
      </c>
      <c r="AI492" t="s">
        <v>149</v>
      </c>
    </row>
    <row r="493" spans="1:35" x14ac:dyDescent="0.25">
      <c r="A493" s="1">
        <v>46228</v>
      </c>
      <c r="B493" t="s">
        <v>13</v>
      </c>
      <c r="C493" t="s">
        <v>11</v>
      </c>
      <c r="D493">
        <v>1.2735376146788988</v>
      </c>
      <c r="E493">
        <v>0</v>
      </c>
      <c r="F493">
        <v>0</v>
      </c>
      <c r="G493">
        <v>1.8823529411764703</v>
      </c>
      <c r="H493">
        <v>0</v>
      </c>
      <c r="I493">
        <v>0</v>
      </c>
      <c r="J493">
        <v>1.4780505259368206</v>
      </c>
      <c r="K493">
        <v>0.47805052593682063</v>
      </c>
      <c r="L493">
        <v>0</v>
      </c>
      <c r="M493">
        <v>0</v>
      </c>
      <c r="N493">
        <v>0</v>
      </c>
      <c r="O493">
        <v>0</v>
      </c>
      <c r="P493">
        <v>0</v>
      </c>
      <c r="Q493">
        <v>0</v>
      </c>
      <c r="R493">
        <v>0</v>
      </c>
      <c r="S493">
        <v>0</v>
      </c>
      <c r="T493">
        <v>0</v>
      </c>
      <c r="U493">
        <v>0</v>
      </c>
      <c r="V493">
        <v>0</v>
      </c>
      <c r="W493">
        <v>0</v>
      </c>
      <c r="X493">
        <v>0</v>
      </c>
      <c r="Y493">
        <v>0</v>
      </c>
      <c r="Z493">
        <v>0</v>
      </c>
      <c r="AA493">
        <v>0</v>
      </c>
      <c r="AB493">
        <v>0</v>
      </c>
      <c r="AC493">
        <v>1</v>
      </c>
      <c r="AD493">
        <v>0</v>
      </c>
      <c r="AE493" t="s">
        <v>245</v>
      </c>
      <c r="AF493">
        <v>10</v>
      </c>
      <c r="AG493" t="s">
        <v>177</v>
      </c>
      <c r="AH493">
        <v>46228</v>
      </c>
      <c r="AI493" t="s">
        <v>149</v>
      </c>
    </row>
    <row r="494" spans="1:35" x14ac:dyDescent="0.25">
      <c r="A494" s="1">
        <v>46228</v>
      </c>
      <c r="B494" t="s">
        <v>13</v>
      </c>
      <c r="C494" t="s">
        <v>12</v>
      </c>
      <c r="D494">
        <v>4.1670899892066906</v>
      </c>
      <c r="E494">
        <v>2.8499999999999996</v>
      </c>
      <c r="F494">
        <v>2.8499999999999996</v>
      </c>
      <c r="G494">
        <v>4.9826989619377127</v>
      </c>
      <c r="H494">
        <v>0.68393051443138331</v>
      </c>
      <c r="I494">
        <v>0.68393051443138331</v>
      </c>
      <c r="J494">
        <v>1.1957262681736072</v>
      </c>
      <c r="K494">
        <v>0.19572626817360717</v>
      </c>
      <c r="L494">
        <v>0</v>
      </c>
      <c r="M494">
        <v>0</v>
      </c>
      <c r="N494">
        <v>0</v>
      </c>
      <c r="O494">
        <v>0</v>
      </c>
      <c r="P494">
        <v>0</v>
      </c>
      <c r="Q494">
        <v>0</v>
      </c>
      <c r="R494">
        <v>0</v>
      </c>
      <c r="S494">
        <v>0</v>
      </c>
      <c r="T494">
        <v>0.31606948556861669</v>
      </c>
      <c r="U494">
        <v>0</v>
      </c>
      <c r="V494">
        <v>0</v>
      </c>
      <c r="W494">
        <v>0</v>
      </c>
      <c r="X494">
        <v>0</v>
      </c>
      <c r="Y494">
        <v>0.68393051443138331</v>
      </c>
      <c r="Z494">
        <v>0</v>
      </c>
      <c r="AA494">
        <v>0</v>
      </c>
      <c r="AB494">
        <v>0</v>
      </c>
      <c r="AC494">
        <v>0</v>
      </c>
      <c r="AD494">
        <v>0</v>
      </c>
      <c r="AE494" t="s">
        <v>245</v>
      </c>
      <c r="AF494">
        <v>10</v>
      </c>
      <c r="AG494" t="s">
        <v>178</v>
      </c>
      <c r="AH494">
        <v>46228</v>
      </c>
      <c r="AI494" t="s">
        <v>149</v>
      </c>
    </row>
    <row r="495" spans="1:35" x14ac:dyDescent="0.25">
      <c r="A495" s="1">
        <v>46229</v>
      </c>
      <c r="B495" t="s">
        <v>13</v>
      </c>
      <c r="C495" t="s">
        <v>10</v>
      </c>
      <c r="D495">
        <v>3.1928381895366407</v>
      </c>
      <c r="E495">
        <v>4.75</v>
      </c>
      <c r="F495">
        <v>4.75</v>
      </c>
      <c r="G495">
        <v>4.705882352941174</v>
      </c>
      <c r="H495">
        <v>1.4877045806976337</v>
      </c>
      <c r="I495">
        <v>1.4877045806976337</v>
      </c>
      <c r="J495">
        <v>1.4738868910936302</v>
      </c>
      <c r="K495">
        <v>0</v>
      </c>
      <c r="L495">
        <v>0</v>
      </c>
      <c r="M495">
        <v>1.3817689604003425E-2</v>
      </c>
      <c r="N495">
        <v>0</v>
      </c>
      <c r="O495">
        <v>0.22388689109363025</v>
      </c>
      <c r="P495">
        <v>0</v>
      </c>
      <c r="Q495">
        <v>0.25</v>
      </c>
      <c r="R495">
        <v>0</v>
      </c>
      <c r="S495">
        <v>0</v>
      </c>
      <c r="T495">
        <v>0</v>
      </c>
      <c r="U495">
        <v>0</v>
      </c>
      <c r="V495">
        <v>0</v>
      </c>
      <c r="W495">
        <v>0</v>
      </c>
      <c r="X495">
        <v>0</v>
      </c>
      <c r="Y495">
        <v>1</v>
      </c>
      <c r="Z495">
        <v>0</v>
      </c>
      <c r="AA495">
        <v>0</v>
      </c>
      <c r="AB495">
        <v>0</v>
      </c>
      <c r="AC495">
        <v>0</v>
      </c>
      <c r="AD495">
        <v>0</v>
      </c>
      <c r="AE495" t="s">
        <v>245</v>
      </c>
      <c r="AF495">
        <v>10</v>
      </c>
      <c r="AG495" t="s">
        <v>181</v>
      </c>
      <c r="AH495">
        <v>46229</v>
      </c>
      <c r="AI495" t="s">
        <v>149</v>
      </c>
    </row>
    <row r="496" spans="1:35" x14ac:dyDescent="0.25">
      <c r="A496" s="1">
        <v>46229</v>
      </c>
      <c r="B496" t="s">
        <v>13</v>
      </c>
      <c r="C496" t="s">
        <v>11</v>
      </c>
      <c r="D496">
        <v>50.854446351777518</v>
      </c>
      <c r="E496">
        <v>0</v>
      </c>
      <c r="F496">
        <v>0</v>
      </c>
      <c r="G496">
        <v>2.8235294117647056</v>
      </c>
      <c r="H496">
        <v>0</v>
      </c>
      <c r="I496">
        <v>0</v>
      </c>
      <c r="J496">
        <v>5.5521780578110934E-2</v>
      </c>
      <c r="K496">
        <v>0</v>
      </c>
      <c r="L496">
        <v>0</v>
      </c>
      <c r="M496">
        <v>0</v>
      </c>
      <c r="N496">
        <v>0</v>
      </c>
      <c r="O496">
        <v>0</v>
      </c>
      <c r="P496">
        <v>0</v>
      </c>
      <c r="Q496">
        <v>0</v>
      </c>
      <c r="R496">
        <v>0</v>
      </c>
      <c r="S496">
        <v>0</v>
      </c>
      <c r="T496">
        <v>5.5521780578110934E-2</v>
      </c>
      <c r="U496">
        <v>0.94447821942188903</v>
      </c>
      <c r="V496">
        <v>0</v>
      </c>
      <c r="W496">
        <v>0</v>
      </c>
      <c r="X496">
        <v>0</v>
      </c>
      <c r="Y496">
        <v>0</v>
      </c>
      <c r="Z496">
        <v>0</v>
      </c>
      <c r="AA496">
        <v>0</v>
      </c>
      <c r="AB496">
        <v>0</v>
      </c>
      <c r="AC496">
        <v>0</v>
      </c>
      <c r="AD496">
        <v>0</v>
      </c>
      <c r="AE496" t="s">
        <v>245</v>
      </c>
      <c r="AF496">
        <v>10</v>
      </c>
      <c r="AG496" t="s">
        <v>179</v>
      </c>
      <c r="AH496">
        <v>46229</v>
      </c>
      <c r="AI496" t="s">
        <v>149</v>
      </c>
    </row>
    <row r="497" spans="1:35" x14ac:dyDescent="0.25">
      <c r="A497" s="1">
        <v>46229</v>
      </c>
      <c r="B497" t="s">
        <v>13</v>
      </c>
      <c r="C497" t="s">
        <v>12</v>
      </c>
      <c r="D497">
        <v>0.51714810159636504</v>
      </c>
      <c r="E497">
        <v>1.9</v>
      </c>
      <c r="F497">
        <v>1.9</v>
      </c>
      <c r="G497">
        <v>4.9273356401384047</v>
      </c>
      <c r="H497">
        <v>3.6739958904131358</v>
      </c>
      <c r="I497">
        <v>3.6739958904131358</v>
      </c>
      <c r="J497">
        <v>9.5279004697656191</v>
      </c>
      <c r="K497">
        <v>5.8539045793524833</v>
      </c>
      <c r="L497">
        <v>0</v>
      </c>
      <c r="M497">
        <v>0</v>
      </c>
      <c r="N497">
        <v>0</v>
      </c>
      <c r="O497">
        <v>2.4239958904131358</v>
      </c>
      <c r="P497">
        <v>0</v>
      </c>
      <c r="Q497">
        <v>0.25</v>
      </c>
      <c r="R497">
        <v>0</v>
      </c>
      <c r="S497">
        <v>0</v>
      </c>
      <c r="T497">
        <v>0</v>
      </c>
      <c r="U497">
        <v>0</v>
      </c>
      <c r="V497">
        <v>0</v>
      </c>
      <c r="W497">
        <v>0</v>
      </c>
      <c r="X497">
        <v>0</v>
      </c>
      <c r="Y497">
        <v>1</v>
      </c>
      <c r="Z497">
        <v>0</v>
      </c>
      <c r="AA497">
        <v>0</v>
      </c>
      <c r="AB497">
        <v>0</v>
      </c>
      <c r="AC497">
        <v>0</v>
      </c>
      <c r="AD497">
        <v>0</v>
      </c>
      <c r="AE497" t="s">
        <v>245</v>
      </c>
      <c r="AF497">
        <v>10</v>
      </c>
      <c r="AG497" t="s">
        <v>180</v>
      </c>
      <c r="AH497">
        <v>46229</v>
      </c>
      <c r="AI497" t="s">
        <v>149</v>
      </c>
    </row>
    <row r="498" spans="1:35" x14ac:dyDescent="0.25">
      <c r="A498" s="1">
        <v>46230</v>
      </c>
      <c r="B498" t="s">
        <v>13</v>
      </c>
      <c r="C498" t="s">
        <v>12</v>
      </c>
      <c r="D498">
        <v>2.8057625573394502</v>
      </c>
      <c r="E498">
        <v>3.8</v>
      </c>
      <c r="F498">
        <v>3.8</v>
      </c>
      <c r="G498">
        <v>5.7577854671280253</v>
      </c>
      <c r="H498">
        <v>1.3543555173832422</v>
      </c>
      <c r="I498">
        <v>1.3543555173832422</v>
      </c>
      <c r="J498">
        <v>2.0521285566615499</v>
      </c>
      <c r="K498">
        <v>0.69777303927830769</v>
      </c>
      <c r="L498">
        <v>0</v>
      </c>
      <c r="M498">
        <v>0</v>
      </c>
      <c r="N498">
        <v>0</v>
      </c>
      <c r="O498">
        <v>0.10435551738324222</v>
      </c>
      <c r="P498">
        <v>0</v>
      </c>
      <c r="Q498">
        <v>0.25</v>
      </c>
      <c r="R498">
        <v>0</v>
      </c>
      <c r="S498">
        <v>0</v>
      </c>
      <c r="T498">
        <v>0</v>
      </c>
      <c r="U498">
        <v>0</v>
      </c>
      <c r="V498">
        <v>0</v>
      </c>
      <c r="W498">
        <v>0</v>
      </c>
      <c r="X498">
        <v>0</v>
      </c>
      <c r="Y498">
        <v>1</v>
      </c>
      <c r="Z498">
        <v>0</v>
      </c>
      <c r="AA498">
        <v>0</v>
      </c>
      <c r="AB498">
        <v>0</v>
      </c>
      <c r="AC498">
        <v>0</v>
      </c>
      <c r="AD498">
        <v>0</v>
      </c>
      <c r="AE498" t="s">
        <v>245</v>
      </c>
      <c r="AF498">
        <v>10</v>
      </c>
      <c r="AG498" t="s">
        <v>182</v>
      </c>
      <c r="AH498">
        <v>46230</v>
      </c>
      <c r="AI498" t="s">
        <v>149</v>
      </c>
    </row>
    <row r="499" spans="1:35" x14ac:dyDescent="0.25">
      <c r="A499" s="1">
        <v>46230</v>
      </c>
      <c r="B499" t="s">
        <v>13</v>
      </c>
      <c r="C499" t="s">
        <v>11</v>
      </c>
      <c r="D499">
        <v>5.3228352316300729</v>
      </c>
      <c r="E499">
        <v>0</v>
      </c>
      <c r="F499">
        <v>0</v>
      </c>
      <c r="G499">
        <v>2.8235294117647056</v>
      </c>
      <c r="H499">
        <v>0</v>
      </c>
      <c r="I499">
        <v>0</v>
      </c>
      <c r="J499">
        <v>0.53045591097510336</v>
      </c>
      <c r="K499">
        <v>0</v>
      </c>
      <c r="L499">
        <v>0</v>
      </c>
      <c r="M499">
        <v>0</v>
      </c>
      <c r="N499">
        <v>0</v>
      </c>
      <c r="O499">
        <v>0</v>
      </c>
      <c r="P499">
        <v>0</v>
      </c>
      <c r="Q499">
        <v>0</v>
      </c>
      <c r="R499">
        <v>0</v>
      </c>
      <c r="S499">
        <v>0</v>
      </c>
      <c r="T499">
        <v>0.53045591097510336</v>
      </c>
      <c r="U499">
        <v>0.46954408902489664</v>
      </c>
      <c r="V499">
        <v>0</v>
      </c>
      <c r="W499">
        <v>0</v>
      </c>
      <c r="X499">
        <v>0</v>
      </c>
      <c r="Y499">
        <v>0</v>
      </c>
      <c r="Z499">
        <v>0</v>
      </c>
      <c r="AA499">
        <v>0</v>
      </c>
      <c r="AB499">
        <v>0</v>
      </c>
      <c r="AC499">
        <v>0</v>
      </c>
      <c r="AD499">
        <v>0</v>
      </c>
      <c r="AE499" t="s">
        <v>245</v>
      </c>
      <c r="AF499">
        <v>10</v>
      </c>
      <c r="AG499" t="s">
        <v>184</v>
      </c>
      <c r="AH499">
        <v>46230</v>
      </c>
      <c r="AI499" t="s">
        <v>149</v>
      </c>
    </row>
    <row r="500" spans="1:35" x14ac:dyDescent="0.25">
      <c r="A500" s="1">
        <v>46230</v>
      </c>
      <c r="B500" t="s">
        <v>13</v>
      </c>
      <c r="C500" t="s">
        <v>10</v>
      </c>
      <c r="D500">
        <v>1.4661735563950349</v>
      </c>
      <c r="E500">
        <v>4.75</v>
      </c>
      <c r="F500">
        <v>4.75</v>
      </c>
      <c r="G500">
        <v>3.7647058823529393</v>
      </c>
      <c r="H500">
        <v>3.2397255967970788</v>
      </c>
      <c r="I500">
        <v>3.2397255967970788</v>
      </c>
      <c r="J500">
        <v>2.5677082129413367</v>
      </c>
      <c r="K500">
        <v>0</v>
      </c>
      <c r="L500">
        <v>0</v>
      </c>
      <c r="M500">
        <v>0.67201738385574217</v>
      </c>
      <c r="N500">
        <v>0</v>
      </c>
      <c r="O500">
        <v>1.3177082129413367</v>
      </c>
      <c r="P500">
        <v>0</v>
      </c>
      <c r="Q500">
        <v>0.25</v>
      </c>
      <c r="R500">
        <v>0</v>
      </c>
      <c r="S500">
        <v>0</v>
      </c>
      <c r="T500">
        <v>0</v>
      </c>
      <c r="U500">
        <v>0</v>
      </c>
      <c r="V500">
        <v>0</v>
      </c>
      <c r="W500">
        <v>0</v>
      </c>
      <c r="X500">
        <v>0</v>
      </c>
      <c r="Y500">
        <v>1</v>
      </c>
      <c r="Z500">
        <v>0</v>
      </c>
      <c r="AA500">
        <v>0</v>
      </c>
      <c r="AB500">
        <v>0</v>
      </c>
      <c r="AC500">
        <v>0</v>
      </c>
      <c r="AD500">
        <v>0</v>
      </c>
      <c r="AE500" t="s">
        <v>245</v>
      </c>
      <c r="AF500">
        <v>10</v>
      </c>
      <c r="AG500" t="s">
        <v>183</v>
      </c>
      <c r="AH500">
        <v>46230</v>
      </c>
      <c r="AI500" t="s">
        <v>149</v>
      </c>
    </row>
    <row r="501" spans="1:35" x14ac:dyDescent="0.25">
      <c r="A501" s="1">
        <v>46231</v>
      </c>
      <c r="B501" t="s">
        <v>13</v>
      </c>
      <c r="C501" t="s">
        <v>10</v>
      </c>
      <c r="D501">
        <v>4.0082322247706426</v>
      </c>
      <c r="E501">
        <v>4.75</v>
      </c>
      <c r="F501">
        <v>4.75</v>
      </c>
      <c r="G501">
        <v>6.5882352941176423</v>
      </c>
      <c r="H501">
        <v>1.1850610777103372</v>
      </c>
      <c r="I501">
        <v>1.1850610777103372</v>
      </c>
      <c r="J501">
        <v>1.6436760458644912</v>
      </c>
      <c r="K501">
        <v>0.45861496815415403</v>
      </c>
      <c r="L501">
        <v>0</v>
      </c>
      <c r="M501">
        <v>0</v>
      </c>
      <c r="N501">
        <v>0</v>
      </c>
      <c r="O501">
        <v>0</v>
      </c>
      <c r="P501">
        <v>6.4938922289662804E-2</v>
      </c>
      <c r="Q501">
        <v>0.1850610777103372</v>
      </c>
      <c r="R501">
        <v>0</v>
      </c>
      <c r="S501">
        <v>0</v>
      </c>
      <c r="T501">
        <v>0</v>
      </c>
      <c r="U501">
        <v>0</v>
      </c>
      <c r="V501">
        <v>0</v>
      </c>
      <c r="W501">
        <v>0</v>
      </c>
      <c r="X501">
        <v>0</v>
      </c>
      <c r="Y501">
        <v>0</v>
      </c>
      <c r="Z501">
        <v>0</v>
      </c>
      <c r="AA501">
        <v>0</v>
      </c>
      <c r="AB501">
        <v>0</v>
      </c>
      <c r="AC501">
        <v>0</v>
      </c>
      <c r="AD501">
        <v>0</v>
      </c>
      <c r="AE501" t="s">
        <v>245</v>
      </c>
      <c r="AF501">
        <v>10</v>
      </c>
      <c r="AG501" t="s">
        <v>187</v>
      </c>
      <c r="AH501">
        <v>46231</v>
      </c>
      <c r="AI501" t="s">
        <v>149</v>
      </c>
    </row>
    <row r="502" spans="1:35" x14ac:dyDescent="0.25">
      <c r="A502" s="1">
        <v>46231</v>
      </c>
      <c r="B502" t="s">
        <v>13</v>
      </c>
      <c r="C502" t="s">
        <v>12</v>
      </c>
      <c r="D502">
        <v>5.2308587129261106</v>
      </c>
      <c r="E502">
        <v>1.9</v>
      </c>
      <c r="F502">
        <v>1.9</v>
      </c>
      <c r="G502">
        <v>5.9238754325259482</v>
      </c>
      <c r="H502">
        <v>0.36322908040029078</v>
      </c>
      <c r="I502">
        <v>0.36322908040029078</v>
      </c>
      <c r="J502">
        <v>1.1324862240854081</v>
      </c>
      <c r="K502">
        <v>0.13248622408540811</v>
      </c>
      <c r="L502">
        <v>0</v>
      </c>
      <c r="M502">
        <v>0</v>
      </c>
      <c r="N502">
        <v>0</v>
      </c>
      <c r="O502">
        <v>0</v>
      </c>
      <c r="P502">
        <v>0</v>
      </c>
      <c r="Q502">
        <v>0</v>
      </c>
      <c r="R502">
        <v>0</v>
      </c>
      <c r="S502">
        <v>0</v>
      </c>
      <c r="T502">
        <v>0.63677091959970922</v>
      </c>
      <c r="U502">
        <v>0</v>
      </c>
      <c r="V502">
        <v>0</v>
      </c>
      <c r="W502">
        <v>0</v>
      </c>
      <c r="X502">
        <v>0</v>
      </c>
      <c r="Y502">
        <v>0.36322908040029078</v>
      </c>
      <c r="Z502">
        <v>0</v>
      </c>
      <c r="AA502">
        <v>0</v>
      </c>
      <c r="AB502">
        <v>0</v>
      </c>
      <c r="AC502">
        <v>0</v>
      </c>
      <c r="AD502">
        <v>0</v>
      </c>
      <c r="AE502" t="s">
        <v>245</v>
      </c>
      <c r="AF502">
        <v>10</v>
      </c>
      <c r="AG502" t="s">
        <v>185</v>
      </c>
      <c r="AH502">
        <v>46231</v>
      </c>
      <c r="AI502" t="s">
        <v>149</v>
      </c>
    </row>
    <row r="503" spans="1:35" x14ac:dyDescent="0.25">
      <c r="A503" s="1">
        <v>46232</v>
      </c>
      <c r="B503" t="s">
        <v>13</v>
      </c>
      <c r="C503" t="s">
        <v>12</v>
      </c>
      <c r="D503">
        <v>2.8972102835773068</v>
      </c>
      <c r="E503">
        <v>4.75</v>
      </c>
      <c r="F503">
        <v>4.75</v>
      </c>
      <c r="G503">
        <v>4.0415224913494781</v>
      </c>
      <c r="H503">
        <v>1.6395081941152632</v>
      </c>
      <c r="I503">
        <v>1.6395081941152632</v>
      </c>
      <c r="J503">
        <v>1.3949703665828637</v>
      </c>
      <c r="K503">
        <v>0</v>
      </c>
      <c r="L503">
        <v>0</v>
      </c>
      <c r="M503">
        <v>0.2445378275323995</v>
      </c>
      <c r="N503">
        <v>0</v>
      </c>
      <c r="O503">
        <v>0.14497036658286366</v>
      </c>
      <c r="P503">
        <v>0</v>
      </c>
      <c r="Q503">
        <v>0.25</v>
      </c>
      <c r="R503">
        <v>0</v>
      </c>
      <c r="S503">
        <v>0</v>
      </c>
      <c r="T503">
        <v>0</v>
      </c>
      <c r="U503">
        <v>0</v>
      </c>
      <c r="V503">
        <v>0</v>
      </c>
      <c r="W503">
        <v>0</v>
      </c>
      <c r="X503">
        <v>0</v>
      </c>
      <c r="Y503">
        <v>1</v>
      </c>
      <c r="Z503">
        <v>0</v>
      </c>
      <c r="AA503">
        <v>0</v>
      </c>
      <c r="AB503">
        <v>0</v>
      </c>
      <c r="AC503">
        <v>0</v>
      </c>
      <c r="AD503">
        <v>0</v>
      </c>
      <c r="AE503" t="s">
        <v>245</v>
      </c>
      <c r="AF503">
        <v>10</v>
      </c>
      <c r="AG503" t="s">
        <v>189</v>
      </c>
      <c r="AH503">
        <v>46232</v>
      </c>
      <c r="AI503" t="s">
        <v>149</v>
      </c>
    </row>
    <row r="504" spans="1:35" x14ac:dyDescent="0.25">
      <c r="A504" s="1">
        <v>46232</v>
      </c>
      <c r="B504" t="s">
        <v>13</v>
      </c>
      <c r="C504" t="s">
        <v>11</v>
      </c>
      <c r="D504">
        <v>87.306973193807323</v>
      </c>
      <c r="E504">
        <v>0</v>
      </c>
      <c r="F504">
        <v>0</v>
      </c>
      <c r="G504">
        <v>1.8823529411764703</v>
      </c>
      <c r="H504">
        <v>0</v>
      </c>
      <c r="I504">
        <v>0</v>
      </c>
      <c r="J504">
        <v>2.1560167215944503E-2</v>
      </c>
      <c r="K504">
        <v>0</v>
      </c>
      <c r="L504">
        <v>0</v>
      </c>
      <c r="M504">
        <v>0</v>
      </c>
      <c r="N504">
        <v>0</v>
      </c>
      <c r="O504">
        <v>0</v>
      </c>
      <c r="P504">
        <v>0</v>
      </c>
      <c r="Q504">
        <v>0</v>
      </c>
      <c r="R504">
        <v>0</v>
      </c>
      <c r="S504">
        <v>0</v>
      </c>
      <c r="T504">
        <v>2.1560167215944503E-2</v>
      </c>
      <c r="U504">
        <v>0.97843983278405555</v>
      </c>
      <c r="V504">
        <v>0</v>
      </c>
      <c r="W504">
        <v>0</v>
      </c>
      <c r="X504">
        <v>0</v>
      </c>
      <c r="Y504">
        <v>0</v>
      </c>
      <c r="Z504">
        <v>0</v>
      </c>
      <c r="AA504">
        <v>0</v>
      </c>
      <c r="AB504">
        <v>0</v>
      </c>
      <c r="AC504">
        <v>0</v>
      </c>
      <c r="AD504">
        <v>0</v>
      </c>
      <c r="AE504" t="s">
        <v>245</v>
      </c>
      <c r="AF504">
        <v>10</v>
      </c>
      <c r="AG504" t="s">
        <v>188</v>
      </c>
      <c r="AH504">
        <v>46232</v>
      </c>
      <c r="AI504" t="s">
        <v>149</v>
      </c>
    </row>
    <row r="505" spans="1:35" x14ac:dyDescent="0.25">
      <c r="A505" s="1">
        <v>46232</v>
      </c>
      <c r="B505" t="s">
        <v>13</v>
      </c>
      <c r="C505" t="s">
        <v>10</v>
      </c>
      <c r="D505">
        <v>2.8660448984754447</v>
      </c>
      <c r="E505">
        <v>3.8</v>
      </c>
      <c r="F505">
        <v>3.8</v>
      </c>
      <c r="G505">
        <v>5.6470588235294095</v>
      </c>
      <c r="H505">
        <v>1.3258689708669116</v>
      </c>
      <c r="I505">
        <v>1.3258689708669116</v>
      </c>
      <c r="J505">
        <v>1.9703315975731186</v>
      </c>
      <c r="K505">
        <v>0.64446262670620702</v>
      </c>
      <c r="L505">
        <v>0</v>
      </c>
      <c r="M505">
        <v>0</v>
      </c>
      <c r="N505">
        <v>0</v>
      </c>
      <c r="O505">
        <v>7.5868970866911578E-2</v>
      </c>
      <c r="P505">
        <v>0</v>
      </c>
      <c r="Q505">
        <v>0.25</v>
      </c>
      <c r="R505">
        <v>0</v>
      </c>
      <c r="S505">
        <v>0</v>
      </c>
      <c r="T505">
        <v>0</v>
      </c>
      <c r="U505">
        <v>0</v>
      </c>
      <c r="V505">
        <v>0</v>
      </c>
      <c r="W505">
        <v>0</v>
      </c>
      <c r="X505">
        <v>0</v>
      </c>
      <c r="Y505">
        <v>1</v>
      </c>
      <c r="Z505">
        <v>0</v>
      </c>
      <c r="AA505">
        <v>0</v>
      </c>
      <c r="AB505">
        <v>0</v>
      </c>
      <c r="AC505">
        <v>0</v>
      </c>
      <c r="AD505">
        <v>0</v>
      </c>
      <c r="AE505" t="s">
        <v>245</v>
      </c>
      <c r="AF505">
        <v>10</v>
      </c>
      <c r="AG505" t="s">
        <v>190</v>
      </c>
      <c r="AH505">
        <v>46232</v>
      </c>
      <c r="AI505" t="s">
        <v>149</v>
      </c>
    </row>
    <row r="506" spans="1:35" x14ac:dyDescent="0.25">
      <c r="A506" s="1">
        <v>46233</v>
      </c>
      <c r="B506" t="s">
        <v>13</v>
      </c>
      <c r="C506" t="s">
        <v>12</v>
      </c>
      <c r="D506">
        <v>4.5966748279816514</v>
      </c>
      <c r="E506">
        <v>3.8</v>
      </c>
      <c r="F506">
        <v>3.8</v>
      </c>
      <c r="G506">
        <v>4.9273356401384039</v>
      </c>
      <c r="H506">
        <v>0.82668453658457663</v>
      </c>
      <c r="I506">
        <v>0.82668453658457663</v>
      </c>
      <c r="J506">
        <v>1.0719347842801275</v>
      </c>
      <c r="K506">
        <v>7.1934784280127451E-2</v>
      </c>
      <c r="L506">
        <v>0</v>
      </c>
      <c r="M506">
        <v>0</v>
      </c>
      <c r="N506">
        <v>0</v>
      </c>
      <c r="O506">
        <v>0</v>
      </c>
      <c r="P506">
        <v>0</v>
      </c>
      <c r="Q506">
        <v>0</v>
      </c>
      <c r="R506">
        <v>0</v>
      </c>
      <c r="S506">
        <v>0</v>
      </c>
      <c r="T506">
        <v>0.17331546341542337</v>
      </c>
      <c r="U506">
        <v>0</v>
      </c>
      <c r="V506">
        <v>0</v>
      </c>
      <c r="W506">
        <v>0</v>
      </c>
      <c r="X506">
        <v>0</v>
      </c>
      <c r="Y506">
        <v>0.82668453658457663</v>
      </c>
      <c r="Z506">
        <v>0</v>
      </c>
      <c r="AA506">
        <v>0</v>
      </c>
      <c r="AB506">
        <v>0</v>
      </c>
      <c r="AC506">
        <v>0</v>
      </c>
      <c r="AD506">
        <v>0</v>
      </c>
      <c r="AE506" t="s">
        <v>245</v>
      </c>
      <c r="AF506">
        <v>10</v>
      </c>
      <c r="AG506" t="s">
        <v>191</v>
      </c>
      <c r="AH506">
        <v>46233</v>
      </c>
      <c r="AI506" t="s">
        <v>149</v>
      </c>
    </row>
    <row r="507" spans="1:35" x14ac:dyDescent="0.25">
      <c r="A507" s="1">
        <v>46233</v>
      </c>
      <c r="B507" t="s">
        <v>13</v>
      </c>
      <c r="C507" t="s">
        <v>11</v>
      </c>
      <c r="D507">
        <v>4.3971247565639731</v>
      </c>
      <c r="E507">
        <v>0</v>
      </c>
      <c r="F507">
        <v>0</v>
      </c>
      <c r="G507">
        <v>2.8235294117647056</v>
      </c>
      <c r="H507">
        <v>0</v>
      </c>
      <c r="I507">
        <v>0</v>
      </c>
      <c r="J507">
        <v>0.64213083960144091</v>
      </c>
      <c r="K507">
        <v>0</v>
      </c>
      <c r="L507">
        <v>0</v>
      </c>
      <c r="M507">
        <v>0</v>
      </c>
      <c r="N507">
        <v>0</v>
      </c>
      <c r="O507">
        <v>0</v>
      </c>
      <c r="P507">
        <v>0</v>
      </c>
      <c r="Q507">
        <v>0</v>
      </c>
      <c r="R507">
        <v>0</v>
      </c>
      <c r="S507">
        <v>0</v>
      </c>
      <c r="T507">
        <v>0.64213083960144091</v>
      </c>
      <c r="U507">
        <v>0.35786916039855909</v>
      </c>
      <c r="V507">
        <v>0</v>
      </c>
      <c r="W507">
        <v>0</v>
      </c>
      <c r="X507">
        <v>0</v>
      </c>
      <c r="Y507">
        <v>0</v>
      </c>
      <c r="Z507">
        <v>0</v>
      </c>
      <c r="AA507">
        <v>0</v>
      </c>
      <c r="AB507">
        <v>0</v>
      </c>
      <c r="AC507">
        <v>0</v>
      </c>
      <c r="AD507">
        <v>0</v>
      </c>
      <c r="AE507" t="s">
        <v>245</v>
      </c>
      <c r="AF507">
        <v>10</v>
      </c>
      <c r="AG507" t="s">
        <v>193</v>
      </c>
      <c r="AH507">
        <v>46233</v>
      </c>
      <c r="AI507" t="s">
        <v>149</v>
      </c>
    </row>
    <row r="508" spans="1:35" x14ac:dyDescent="0.25">
      <c r="A508" s="1">
        <v>46233</v>
      </c>
      <c r="B508" t="s">
        <v>13</v>
      </c>
      <c r="C508" t="s">
        <v>10</v>
      </c>
      <c r="D508">
        <v>1.6481075013491633</v>
      </c>
      <c r="E508">
        <v>2.8499999999999996</v>
      </c>
      <c r="F508">
        <v>2.8499999999999996</v>
      </c>
      <c r="G508">
        <v>4.7058823529411749</v>
      </c>
      <c r="H508">
        <v>1.7292561302384406</v>
      </c>
      <c r="I508">
        <v>1.7292561302384406</v>
      </c>
      <c r="J508">
        <v>2.8553248796506754</v>
      </c>
      <c r="K508">
        <v>1.1260687494122348</v>
      </c>
      <c r="L508">
        <v>0</v>
      </c>
      <c r="M508">
        <v>0</v>
      </c>
      <c r="N508">
        <v>0</v>
      </c>
      <c r="O508">
        <v>0.4792561302384406</v>
      </c>
      <c r="P508">
        <v>0</v>
      </c>
      <c r="Q508">
        <v>0.25</v>
      </c>
      <c r="R508">
        <v>0</v>
      </c>
      <c r="S508">
        <v>0</v>
      </c>
      <c r="T508">
        <v>0</v>
      </c>
      <c r="U508">
        <v>0</v>
      </c>
      <c r="V508">
        <v>0</v>
      </c>
      <c r="W508">
        <v>0</v>
      </c>
      <c r="X508">
        <v>0</v>
      </c>
      <c r="Y508">
        <v>1</v>
      </c>
      <c r="Z508">
        <v>0</v>
      </c>
      <c r="AA508">
        <v>0</v>
      </c>
      <c r="AB508">
        <v>0</v>
      </c>
      <c r="AC508">
        <v>0</v>
      </c>
      <c r="AD508">
        <v>0</v>
      </c>
      <c r="AE508" t="s">
        <v>245</v>
      </c>
      <c r="AF508">
        <v>10</v>
      </c>
      <c r="AG508" t="s">
        <v>192</v>
      </c>
      <c r="AH508">
        <v>46233</v>
      </c>
      <c r="AI508" t="s">
        <v>149</v>
      </c>
    </row>
    <row r="509" spans="1:35" x14ac:dyDescent="0.25">
      <c r="A509" s="1">
        <v>46234</v>
      </c>
      <c r="B509" t="s">
        <v>13</v>
      </c>
      <c r="C509" t="s">
        <v>10</v>
      </c>
      <c r="D509">
        <v>1.8209233822217723</v>
      </c>
      <c r="E509">
        <v>3.8</v>
      </c>
      <c r="F509">
        <v>3.8</v>
      </c>
      <c r="G509">
        <v>3.7647058823529393</v>
      </c>
      <c r="H509">
        <v>2.0868533168943588</v>
      </c>
      <c r="I509">
        <v>2.0868533168943588</v>
      </c>
      <c r="J509">
        <v>2.0674707783473516</v>
      </c>
      <c r="K509">
        <v>0</v>
      </c>
      <c r="L509">
        <v>0</v>
      </c>
      <c r="M509">
        <v>1.9382538547007222E-2</v>
      </c>
      <c r="N509">
        <v>0</v>
      </c>
      <c r="O509">
        <v>0.8174707783473516</v>
      </c>
      <c r="P509">
        <v>0</v>
      </c>
      <c r="Q509">
        <v>0.25</v>
      </c>
      <c r="R509">
        <v>0</v>
      </c>
      <c r="S509">
        <v>0</v>
      </c>
      <c r="T509">
        <v>0</v>
      </c>
      <c r="U509">
        <v>0</v>
      </c>
      <c r="V509">
        <v>0</v>
      </c>
      <c r="W509">
        <v>0</v>
      </c>
      <c r="X509">
        <v>0</v>
      </c>
      <c r="Y509">
        <v>1</v>
      </c>
      <c r="Z509">
        <v>0</v>
      </c>
      <c r="AA509">
        <v>0</v>
      </c>
      <c r="AB509">
        <v>0</v>
      </c>
      <c r="AC509">
        <v>0</v>
      </c>
      <c r="AD509">
        <v>0</v>
      </c>
      <c r="AE509" t="s">
        <v>245</v>
      </c>
      <c r="AF509">
        <v>10</v>
      </c>
      <c r="AG509" t="s">
        <v>194</v>
      </c>
      <c r="AH509">
        <v>46234</v>
      </c>
      <c r="AI509" t="s">
        <v>149</v>
      </c>
    </row>
    <row r="510" spans="1:35" x14ac:dyDescent="0.25">
      <c r="A510" s="1">
        <v>46234</v>
      </c>
      <c r="B510" t="s">
        <v>13</v>
      </c>
      <c r="C510" t="s">
        <v>11</v>
      </c>
      <c r="D510">
        <v>4.2139112250404747</v>
      </c>
      <c r="E510">
        <v>0</v>
      </c>
      <c r="F510">
        <v>0</v>
      </c>
      <c r="G510">
        <v>2.8235294117647056</v>
      </c>
      <c r="H510">
        <v>0</v>
      </c>
      <c r="I510">
        <v>0</v>
      </c>
      <c r="J510">
        <v>0.67004957175802526</v>
      </c>
      <c r="K510">
        <v>0</v>
      </c>
      <c r="L510">
        <v>0</v>
      </c>
      <c r="M510">
        <v>0</v>
      </c>
      <c r="N510">
        <v>0</v>
      </c>
      <c r="O510">
        <v>0</v>
      </c>
      <c r="P510">
        <v>0</v>
      </c>
      <c r="Q510">
        <v>0</v>
      </c>
      <c r="R510">
        <v>0</v>
      </c>
      <c r="S510">
        <v>0</v>
      </c>
      <c r="T510">
        <v>0.67004957175802526</v>
      </c>
      <c r="U510">
        <v>0.32995042824197474</v>
      </c>
      <c r="V510">
        <v>0</v>
      </c>
      <c r="W510">
        <v>0</v>
      </c>
      <c r="X510">
        <v>0</v>
      </c>
      <c r="Y510">
        <v>0</v>
      </c>
      <c r="Z510">
        <v>0</v>
      </c>
      <c r="AA510">
        <v>0</v>
      </c>
      <c r="AB510">
        <v>0</v>
      </c>
      <c r="AC510">
        <v>0</v>
      </c>
      <c r="AD510">
        <v>0</v>
      </c>
      <c r="AE510" t="s">
        <v>245</v>
      </c>
      <c r="AF510">
        <v>10</v>
      </c>
      <c r="AG510" t="s">
        <v>195</v>
      </c>
      <c r="AH510">
        <v>46234</v>
      </c>
      <c r="AI510" t="s">
        <v>149</v>
      </c>
    </row>
    <row r="511" spans="1:35" x14ac:dyDescent="0.25">
      <c r="A511" s="1">
        <v>46234</v>
      </c>
      <c r="B511" t="s">
        <v>13</v>
      </c>
      <c r="C511" t="s">
        <v>12</v>
      </c>
      <c r="D511">
        <v>3.41262962088505</v>
      </c>
      <c r="E511">
        <v>2.8499999999999996</v>
      </c>
      <c r="F511">
        <v>2.8499999999999996</v>
      </c>
      <c r="G511">
        <v>4.816608996539788</v>
      </c>
      <c r="H511">
        <v>0.83513311334995244</v>
      </c>
      <c r="I511">
        <v>0.83513311334995244</v>
      </c>
      <c r="J511">
        <v>1.4114069007261978</v>
      </c>
      <c r="K511">
        <v>0.41140690072619779</v>
      </c>
      <c r="L511">
        <v>0</v>
      </c>
      <c r="M511">
        <v>0</v>
      </c>
      <c r="N511">
        <v>0</v>
      </c>
      <c r="O511">
        <v>0</v>
      </c>
      <c r="P511">
        <v>0</v>
      </c>
      <c r="Q511">
        <v>0</v>
      </c>
      <c r="R511">
        <v>0</v>
      </c>
      <c r="S511">
        <v>0</v>
      </c>
      <c r="T511">
        <v>0.16486688665004756</v>
      </c>
      <c r="U511">
        <v>0</v>
      </c>
      <c r="V511">
        <v>0</v>
      </c>
      <c r="W511">
        <v>0</v>
      </c>
      <c r="X511">
        <v>0</v>
      </c>
      <c r="Y511">
        <v>0.83513311334995244</v>
      </c>
      <c r="Z511">
        <v>0</v>
      </c>
      <c r="AA511">
        <v>0</v>
      </c>
      <c r="AB511">
        <v>0</v>
      </c>
      <c r="AC511">
        <v>0</v>
      </c>
      <c r="AD511">
        <v>0</v>
      </c>
      <c r="AE511" t="s">
        <v>245</v>
      </c>
      <c r="AF511">
        <v>10</v>
      </c>
      <c r="AG511" t="s">
        <v>196</v>
      </c>
      <c r="AH511">
        <v>46234</v>
      </c>
      <c r="AI511" t="s">
        <v>149</v>
      </c>
    </row>
    <row r="512" spans="1:35" x14ac:dyDescent="0.25">
      <c r="A512" s="1">
        <v>46235</v>
      </c>
      <c r="B512" t="s">
        <v>13</v>
      </c>
      <c r="C512" t="s">
        <v>12</v>
      </c>
      <c r="D512">
        <v>3.4558328521316781</v>
      </c>
      <c r="E512">
        <v>0.95</v>
      </c>
      <c r="F512">
        <v>0.95</v>
      </c>
      <c r="G512">
        <v>5.0415224913494781</v>
      </c>
      <c r="H512">
        <v>0.27489755455447068</v>
      </c>
      <c r="I512">
        <v>0.27489755455447068</v>
      </c>
      <c r="J512">
        <v>1.4588444253719306</v>
      </c>
      <c r="K512">
        <v>0.4588444253719306</v>
      </c>
      <c r="L512">
        <v>0</v>
      </c>
      <c r="M512">
        <v>0</v>
      </c>
      <c r="N512">
        <v>0</v>
      </c>
      <c r="O512">
        <v>0</v>
      </c>
      <c r="P512">
        <v>0</v>
      </c>
      <c r="Q512">
        <v>0</v>
      </c>
      <c r="R512">
        <v>0</v>
      </c>
      <c r="S512">
        <v>0</v>
      </c>
      <c r="T512">
        <v>0.72510244544552926</v>
      </c>
      <c r="U512">
        <v>0</v>
      </c>
      <c r="V512">
        <v>0</v>
      </c>
      <c r="W512">
        <v>0</v>
      </c>
      <c r="X512">
        <v>0</v>
      </c>
      <c r="Y512">
        <v>0.27489755455447068</v>
      </c>
      <c r="Z512">
        <v>0</v>
      </c>
      <c r="AA512">
        <v>0</v>
      </c>
      <c r="AB512">
        <v>0</v>
      </c>
      <c r="AC512">
        <v>0</v>
      </c>
      <c r="AD512">
        <v>0</v>
      </c>
      <c r="AE512" t="s">
        <v>245</v>
      </c>
      <c r="AF512">
        <v>10</v>
      </c>
      <c r="AG512" t="s">
        <v>198</v>
      </c>
      <c r="AH512">
        <v>46235</v>
      </c>
      <c r="AI512" t="s">
        <v>149</v>
      </c>
    </row>
    <row r="513" spans="1:35" x14ac:dyDescent="0.25">
      <c r="A513" s="1">
        <v>46235</v>
      </c>
      <c r="B513" t="s">
        <v>13</v>
      </c>
      <c r="C513" t="s">
        <v>10</v>
      </c>
      <c r="D513">
        <v>2.6863684059633024</v>
      </c>
      <c r="E513">
        <v>4.75</v>
      </c>
      <c r="F513">
        <v>4.75</v>
      </c>
      <c r="G513">
        <v>6.7720588235294095</v>
      </c>
      <c r="H513">
        <v>1.7681863699170113</v>
      </c>
      <c r="I513">
        <v>1.7681863699170113</v>
      </c>
      <c r="J513">
        <v>2.5208972859033545</v>
      </c>
      <c r="K513">
        <v>0.75271091598634321</v>
      </c>
      <c r="L513">
        <v>0</v>
      </c>
      <c r="M513">
        <v>0</v>
      </c>
      <c r="N513">
        <v>0</v>
      </c>
      <c r="O513">
        <v>0.51818636991701128</v>
      </c>
      <c r="P513">
        <v>0</v>
      </c>
      <c r="Q513">
        <v>0.25</v>
      </c>
      <c r="R513">
        <v>0</v>
      </c>
      <c r="S513">
        <v>0</v>
      </c>
      <c r="T513">
        <v>0</v>
      </c>
      <c r="U513">
        <v>0</v>
      </c>
      <c r="V513">
        <v>0</v>
      </c>
      <c r="W513">
        <v>0</v>
      </c>
      <c r="X513">
        <v>0</v>
      </c>
      <c r="Y513">
        <v>1</v>
      </c>
      <c r="Z513">
        <v>0</v>
      </c>
      <c r="AA513">
        <v>0</v>
      </c>
      <c r="AB513">
        <v>0</v>
      </c>
      <c r="AC513">
        <v>0</v>
      </c>
      <c r="AD513">
        <v>0</v>
      </c>
      <c r="AE513" t="s">
        <v>245</v>
      </c>
      <c r="AF513">
        <v>10</v>
      </c>
      <c r="AG513" t="s">
        <v>197</v>
      </c>
      <c r="AH513">
        <v>46235</v>
      </c>
      <c r="AI513" t="s">
        <v>149</v>
      </c>
    </row>
    <row r="514" spans="1:35" x14ac:dyDescent="0.25">
      <c r="A514" s="1">
        <v>46236</v>
      </c>
      <c r="B514" t="s">
        <v>13</v>
      </c>
      <c r="C514" t="s">
        <v>10</v>
      </c>
      <c r="D514">
        <v>6.7547436229537672</v>
      </c>
      <c r="E514">
        <v>4.75</v>
      </c>
      <c r="F514">
        <v>4.75</v>
      </c>
      <c r="G514">
        <v>5.8823529411764675</v>
      </c>
      <c r="H514">
        <v>0.70320951691766542</v>
      </c>
      <c r="I514">
        <v>0.70320951691766542</v>
      </c>
      <c r="J514">
        <v>0.87084769896924463</v>
      </c>
      <c r="K514">
        <v>0</v>
      </c>
      <c r="L514">
        <v>0</v>
      </c>
      <c r="M514">
        <v>0</v>
      </c>
      <c r="N514">
        <v>0</v>
      </c>
      <c r="O514">
        <v>0</v>
      </c>
      <c r="P514">
        <v>0</v>
      </c>
      <c r="Q514">
        <v>0</v>
      </c>
      <c r="R514">
        <v>0</v>
      </c>
      <c r="S514">
        <v>0</v>
      </c>
      <c r="T514">
        <v>0.16763818205157921</v>
      </c>
      <c r="U514">
        <v>0.12915230103075537</v>
      </c>
      <c r="V514">
        <v>0</v>
      </c>
      <c r="W514">
        <v>0</v>
      </c>
      <c r="X514">
        <v>0</v>
      </c>
      <c r="Y514">
        <v>0.70320951691766542</v>
      </c>
      <c r="Z514">
        <v>0</v>
      </c>
      <c r="AA514">
        <v>0</v>
      </c>
      <c r="AB514">
        <v>0</v>
      </c>
      <c r="AC514">
        <v>0</v>
      </c>
      <c r="AD514">
        <v>0</v>
      </c>
      <c r="AE514" t="s">
        <v>245</v>
      </c>
      <c r="AF514">
        <v>10</v>
      </c>
      <c r="AG514" t="s">
        <v>202</v>
      </c>
      <c r="AH514">
        <v>46236</v>
      </c>
      <c r="AI514" t="s">
        <v>149</v>
      </c>
    </row>
    <row r="515" spans="1:35" x14ac:dyDescent="0.25">
      <c r="A515" s="1">
        <v>46236</v>
      </c>
      <c r="B515" t="s">
        <v>13</v>
      </c>
      <c r="C515" t="s">
        <v>11</v>
      </c>
      <c r="D515">
        <v>3.0474517410075315</v>
      </c>
      <c r="E515">
        <v>0</v>
      </c>
      <c r="F515">
        <v>0</v>
      </c>
      <c r="G515">
        <v>3.8823529411764706</v>
      </c>
      <c r="H515">
        <v>0</v>
      </c>
      <c r="I515">
        <v>0</v>
      </c>
      <c r="J515">
        <v>1.2739669964036604</v>
      </c>
      <c r="K515">
        <v>0.2739669964036604</v>
      </c>
      <c r="L515">
        <v>0</v>
      </c>
      <c r="M515">
        <v>0</v>
      </c>
      <c r="N515">
        <v>0</v>
      </c>
      <c r="O515">
        <v>0</v>
      </c>
      <c r="P515">
        <v>0</v>
      </c>
      <c r="Q515">
        <v>0</v>
      </c>
      <c r="R515">
        <v>0</v>
      </c>
      <c r="S515">
        <v>0</v>
      </c>
      <c r="T515">
        <v>0</v>
      </c>
      <c r="U515">
        <v>0</v>
      </c>
      <c r="V515">
        <v>0</v>
      </c>
      <c r="W515">
        <v>0</v>
      </c>
      <c r="X515">
        <v>0</v>
      </c>
      <c r="Y515">
        <v>0</v>
      </c>
      <c r="Z515">
        <v>0</v>
      </c>
      <c r="AA515">
        <v>0</v>
      </c>
      <c r="AB515">
        <v>0</v>
      </c>
      <c r="AC515">
        <v>1</v>
      </c>
      <c r="AD515">
        <v>0</v>
      </c>
      <c r="AE515" t="s">
        <v>245</v>
      </c>
      <c r="AF515">
        <v>10</v>
      </c>
      <c r="AG515" t="s">
        <v>201</v>
      </c>
      <c r="AH515">
        <v>46236</v>
      </c>
      <c r="AI515" t="s">
        <v>149</v>
      </c>
    </row>
    <row r="516" spans="1:35" x14ac:dyDescent="0.25">
      <c r="A516" s="1">
        <v>46236</v>
      </c>
      <c r="B516" t="s">
        <v>13</v>
      </c>
      <c r="C516" t="s">
        <v>12</v>
      </c>
      <c r="D516">
        <v>0.43416055045871554</v>
      </c>
      <c r="E516">
        <v>0.95</v>
      </c>
      <c r="F516">
        <v>0.95</v>
      </c>
      <c r="G516">
        <v>5.9307958477508649</v>
      </c>
      <c r="H516">
        <v>2.1881306327723014</v>
      </c>
      <c r="I516">
        <v>2.1881306327723014</v>
      </c>
      <c r="J516">
        <v>13.660374811770987</v>
      </c>
      <c r="K516">
        <v>11.472244178998686</v>
      </c>
      <c r="L516">
        <v>0</v>
      </c>
      <c r="M516">
        <v>0</v>
      </c>
      <c r="N516">
        <v>0</v>
      </c>
      <c r="O516">
        <v>0.93813063277230135</v>
      </c>
      <c r="P516">
        <v>0</v>
      </c>
      <c r="Q516">
        <v>0.25</v>
      </c>
      <c r="R516">
        <v>0</v>
      </c>
      <c r="S516">
        <v>0</v>
      </c>
      <c r="T516">
        <v>0</v>
      </c>
      <c r="U516">
        <v>0</v>
      </c>
      <c r="V516">
        <v>0</v>
      </c>
      <c r="W516">
        <v>0</v>
      </c>
      <c r="X516">
        <v>0</v>
      </c>
      <c r="Y516">
        <v>1</v>
      </c>
      <c r="Z516">
        <v>0</v>
      </c>
      <c r="AA516">
        <v>0</v>
      </c>
      <c r="AB516">
        <v>0</v>
      </c>
      <c r="AC516">
        <v>0</v>
      </c>
      <c r="AD516">
        <v>0</v>
      </c>
      <c r="AE516" t="s">
        <v>245</v>
      </c>
      <c r="AF516">
        <v>10</v>
      </c>
      <c r="AG516" t="s">
        <v>200</v>
      </c>
      <c r="AH516">
        <v>46236</v>
      </c>
      <c r="AI516" t="s">
        <v>149</v>
      </c>
    </row>
    <row r="517" spans="1:35" x14ac:dyDescent="0.25">
      <c r="A517" s="1">
        <v>46237</v>
      </c>
      <c r="B517" t="s">
        <v>13</v>
      </c>
      <c r="C517" t="s">
        <v>11</v>
      </c>
      <c r="D517">
        <v>4.6446665947112775</v>
      </c>
      <c r="E517">
        <v>0</v>
      </c>
      <c r="F517">
        <v>0</v>
      </c>
      <c r="G517">
        <v>1.8823529411764703</v>
      </c>
      <c r="H517">
        <v>0</v>
      </c>
      <c r="I517">
        <v>0</v>
      </c>
      <c r="J517">
        <v>0.40527191840203147</v>
      </c>
      <c r="K517">
        <v>0</v>
      </c>
      <c r="L517">
        <v>0</v>
      </c>
      <c r="M517">
        <v>0</v>
      </c>
      <c r="N517">
        <v>0</v>
      </c>
      <c r="O517">
        <v>0</v>
      </c>
      <c r="P517">
        <v>0</v>
      </c>
      <c r="Q517">
        <v>0</v>
      </c>
      <c r="R517">
        <v>0</v>
      </c>
      <c r="S517">
        <v>0</v>
      </c>
      <c r="T517">
        <v>0.40527191840203147</v>
      </c>
      <c r="U517">
        <v>0.59472808159796853</v>
      </c>
      <c r="V517">
        <v>0</v>
      </c>
      <c r="W517">
        <v>0</v>
      </c>
      <c r="X517">
        <v>0</v>
      </c>
      <c r="Y517">
        <v>0</v>
      </c>
      <c r="Z517">
        <v>0</v>
      </c>
      <c r="AA517">
        <v>0</v>
      </c>
      <c r="AB517">
        <v>0</v>
      </c>
      <c r="AC517">
        <v>0</v>
      </c>
      <c r="AD517">
        <v>0</v>
      </c>
      <c r="AE517" t="s">
        <v>245</v>
      </c>
      <c r="AF517">
        <v>10</v>
      </c>
      <c r="AG517" t="s">
        <v>204</v>
      </c>
      <c r="AH517">
        <v>46237</v>
      </c>
      <c r="AI517" t="s">
        <v>149</v>
      </c>
    </row>
    <row r="518" spans="1:35" x14ac:dyDescent="0.25">
      <c r="A518" s="1">
        <v>46237</v>
      </c>
      <c r="B518" t="s">
        <v>13</v>
      </c>
      <c r="C518" t="s">
        <v>10</v>
      </c>
      <c r="D518">
        <v>2.3281859518348624</v>
      </c>
      <c r="E518">
        <v>0</v>
      </c>
      <c r="F518">
        <v>0</v>
      </c>
      <c r="G518">
        <v>4.9411764705882346</v>
      </c>
      <c r="H518">
        <v>0</v>
      </c>
      <c r="I518">
        <v>0</v>
      </c>
      <c r="J518">
        <v>2.1223289603195368</v>
      </c>
      <c r="K518">
        <v>1.1223289603195368</v>
      </c>
      <c r="L518">
        <v>0</v>
      </c>
      <c r="M518">
        <v>0</v>
      </c>
      <c r="N518">
        <v>0</v>
      </c>
      <c r="O518">
        <v>0</v>
      </c>
      <c r="P518">
        <v>0</v>
      </c>
      <c r="Q518">
        <v>0</v>
      </c>
      <c r="R518">
        <v>0</v>
      </c>
      <c r="S518">
        <v>0</v>
      </c>
      <c r="T518">
        <v>0</v>
      </c>
      <c r="U518">
        <v>0</v>
      </c>
      <c r="V518">
        <v>0</v>
      </c>
      <c r="W518">
        <v>0</v>
      </c>
      <c r="X518">
        <v>0</v>
      </c>
      <c r="Y518">
        <v>0</v>
      </c>
      <c r="Z518">
        <v>0</v>
      </c>
      <c r="AA518">
        <v>0</v>
      </c>
      <c r="AB518">
        <v>0</v>
      </c>
      <c r="AC518">
        <v>1</v>
      </c>
      <c r="AD518">
        <v>0</v>
      </c>
      <c r="AE518" t="s">
        <v>245</v>
      </c>
      <c r="AF518">
        <v>10</v>
      </c>
      <c r="AG518" t="s">
        <v>203</v>
      </c>
      <c r="AH518">
        <v>46237</v>
      </c>
      <c r="AI518" t="s">
        <v>149</v>
      </c>
    </row>
    <row r="519" spans="1:35" x14ac:dyDescent="0.25">
      <c r="A519" s="1">
        <v>46237</v>
      </c>
      <c r="B519" t="s">
        <v>13</v>
      </c>
      <c r="C519" t="s">
        <v>12</v>
      </c>
      <c r="D519">
        <v>4.4591172661527425</v>
      </c>
      <c r="E519">
        <v>0</v>
      </c>
      <c r="F519">
        <v>0</v>
      </c>
      <c r="G519">
        <v>4.9273356401384065</v>
      </c>
      <c r="H519">
        <v>0</v>
      </c>
      <c r="I519">
        <v>0</v>
      </c>
      <c r="J519">
        <v>1.1050024805446832</v>
      </c>
      <c r="K519">
        <v>0.1050024805446832</v>
      </c>
      <c r="L519">
        <v>0</v>
      </c>
      <c r="M519">
        <v>0</v>
      </c>
      <c r="N519">
        <v>0</v>
      </c>
      <c r="O519">
        <v>0</v>
      </c>
      <c r="P519">
        <v>0</v>
      </c>
      <c r="Q519">
        <v>0</v>
      </c>
      <c r="R519">
        <v>0</v>
      </c>
      <c r="S519">
        <v>0</v>
      </c>
      <c r="T519">
        <v>0</v>
      </c>
      <c r="U519">
        <v>0</v>
      </c>
      <c r="V519">
        <v>0</v>
      </c>
      <c r="W519">
        <v>0</v>
      </c>
      <c r="X519">
        <v>0</v>
      </c>
      <c r="Y519">
        <v>0</v>
      </c>
      <c r="Z519">
        <v>0</v>
      </c>
      <c r="AA519">
        <v>0</v>
      </c>
      <c r="AB519">
        <v>0</v>
      </c>
      <c r="AC519">
        <v>1</v>
      </c>
      <c r="AD519">
        <v>0</v>
      </c>
      <c r="AE519" t="s">
        <v>245</v>
      </c>
      <c r="AF519">
        <v>10</v>
      </c>
      <c r="AG519" t="s">
        <v>205</v>
      </c>
      <c r="AH519">
        <v>46237</v>
      </c>
      <c r="AI519" t="s">
        <v>149</v>
      </c>
    </row>
    <row r="520" spans="1:35" x14ac:dyDescent="0.25">
      <c r="A520" s="1">
        <v>46238</v>
      </c>
      <c r="B520" t="s">
        <v>13</v>
      </c>
      <c r="C520" t="s">
        <v>12</v>
      </c>
      <c r="D520">
        <v>3.8778434439085263</v>
      </c>
      <c r="E520">
        <v>0</v>
      </c>
      <c r="F520">
        <v>0</v>
      </c>
      <c r="G520">
        <v>4.9273356401384065</v>
      </c>
      <c r="H520">
        <v>0</v>
      </c>
      <c r="I520">
        <v>0</v>
      </c>
      <c r="J520">
        <v>1.2706381037322343</v>
      </c>
      <c r="K520">
        <v>0.27063810373223429</v>
      </c>
      <c r="L520">
        <v>0</v>
      </c>
      <c r="M520">
        <v>0</v>
      </c>
      <c r="N520">
        <v>0</v>
      </c>
      <c r="O520">
        <v>0</v>
      </c>
      <c r="P520">
        <v>0</v>
      </c>
      <c r="Q520">
        <v>0</v>
      </c>
      <c r="R520">
        <v>0</v>
      </c>
      <c r="S520">
        <v>0</v>
      </c>
      <c r="T520">
        <v>0</v>
      </c>
      <c r="U520">
        <v>0</v>
      </c>
      <c r="V520">
        <v>0</v>
      </c>
      <c r="W520">
        <v>0</v>
      </c>
      <c r="X520">
        <v>0</v>
      </c>
      <c r="Y520">
        <v>0</v>
      </c>
      <c r="Z520">
        <v>0</v>
      </c>
      <c r="AA520">
        <v>0</v>
      </c>
      <c r="AB520">
        <v>0</v>
      </c>
      <c r="AC520">
        <v>1</v>
      </c>
      <c r="AD520">
        <v>0</v>
      </c>
      <c r="AE520" t="s">
        <v>245</v>
      </c>
      <c r="AF520">
        <v>10</v>
      </c>
      <c r="AG520" t="s">
        <v>206</v>
      </c>
      <c r="AH520">
        <v>46238</v>
      </c>
      <c r="AI520" t="s">
        <v>149</v>
      </c>
    </row>
    <row r="521" spans="1:35" x14ac:dyDescent="0.25">
      <c r="A521" s="1">
        <v>46238</v>
      </c>
      <c r="B521" t="s">
        <v>13</v>
      </c>
      <c r="C521" t="s">
        <v>11</v>
      </c>
      <c r="D521">
        <v>81.486508314220174</v>
      </c>
      <c r="E521">
        <v>0</v>
      </c>
      <c r="F521">
        <v>0</v>
      </c>
      <c r="G521">
        <v>1.8823529411764703</v>
      </c>
      <c r="H521">
        <v>0</v>
      </c>
      <c r="I521">
        <v>0</v>
      </c>
      <c r="J521">
        <v>2.3100179159940538E-2</v>
      </c>
      <c r="K521">
        <v>0</v>
      </c>
      <c r="L521">
        <v>0</v>
      </c>
      <c r="M521">
        <v>0</v>
      </c>
      <c r="N521">
        <v>0</v>
      </c>
      <c r="O521">
        <v>0</v>
      </c>
      <c r="P521">
        <v>0</v>
      </c>
      <c r="Q521">
        <v>0</v>
      </c>
      <c r="R521">
        <v>0</v>
      </c>
      <c r="S521">
        <v>0</v>
      </c>
      <c r="T521">
        <v>2.3100179159940538E-2</v>
      </c>
      <c r="U521">
        <v>0.97689982084005944</v>
      </c>
      <c r="V521">
        <v>0</v>
      </c>
      <c r="W521">
        <v>0</v>
      </c>
      <c r="X521">
        <v>0</v>
      </c>
      <c r="Y521">
        <v>0</v>
      </c>
      <c r="Z521">
        <v>0</v>
      </c>
      <c r="AA521">
        <v>0</v>
      </c>
      <c r="AB521">
        <v>0</v>
      </c>
      <c r="AC521">
        <v>0</v>
      </c>
      <c r="AD521">
        <v>0</v>
      </c>
      <c r="AE521" t="s">
        <v>245</v>
      </c>
      <c r="AF521">
        <v>10</v>
      </c>
      <c r="AG521" t="s">
        <v>207</v>
      </c>
      <c r="AH521">
        <v>46238</v>
      </c>
      <c r="AI521" t="s">
        <v>149</v>
      </c>
    </row>
    <row r="522" spans="1:35" x14ac:dyDescent="0.25">
      <c r="A522" s="1">
        <v>46238</v>
      </c>
      <c r="B522" t="s">
        <v>13</v>
      </c>
      <c r="C522" t="s">
        <v>10</v>
      </c>
      <c r="D522">
        <v>3.0041109055933704</v>
      </c>
      <c r="E522">
        <v>0</v>
      </c>
      <c r="F522">
        <v>0</v>
      </c>
      <c r="G522">
        <v>4.7058823529411749</v>
      </c>
      <c r="H522">
        <v>0</v>
      </c>
      <c r="I522">
        <v>0</v>
      </c>
      <c r="J522">
        <v>1.5664808992834676</v>
      </c>
      <c r="K522">
        <v>0.56648089928346756</v>
      </c>
      <c r="L522">
        <v>0</v>
      </c>
      <c r="M522">
        <v>0</v>
      </c>
      <c r="N522">
        <v>0</v>
      </c>
      <c r="O522">
        <v>0</v>
      </c>
      <c r="P522">
        <v>0</v>
      </c>
      <c r="Q522">
        <v>0</v>
      </c>
      <c r="R522">
        <v>0</v>
      </c>
      <c r="S522">
        <v>0</v>
      </c>
      <c r="T522">
        <v>0</v>
      </c>
      <c r="U522">
        <v>0</v>
      </c>
      <c r="V522">
        <v>0</v>
      </c>
      <c r="W522">
        <v>0</v>
      </c>
      <c r="X522">
        <v>0</v>
      </c>
      <c r="Y522">
        <v>0</v>
      </c>
      <c r="Z522">
        <v>0</v>
      </c>
      <c r="AA522">
        <v>0</v>
      </c>
      <c r="AB522">
        <v>0</v>
      </c>
      <c r="AC522">
        <v>1</v>
      </c>
      <c r="AD522">
        <v>0</v>
      </c>
      <c r="AE522" t="s">
        <v>245</v>
      </c>
      <c r="AF522">
        <v>10</v>
      </c>
      <c r="AG522" t="s">
        <v>208</v>
      </c>
      <c r="AH522">
        <v>46238</v>
      </c>
      <c r="AI522" t="s">
        <v>149</v>
      </c>
    </row>
    <row r="523" spans="1:35" x14ac:dyDescent="0.25">
      <c r="A523" s="1">
        <v>46239</v>
      </c>
      <c r="B523" t="s">
        <v>13</v>
      </c>
      <c r="C523" t="s">
        <v>10</v>
      </c>
      <c r="D523">
        <v>3.4952210729769835</v>
      </c>
      <c r="E523">
        <v>0</v>
      </c>
      <c r="F523">
        <v>0</v>
      </c>
      <c r="G523">
        <v>2.8235294117647065</v>
      </c>
      <c r="H523">
        <v>0</v>
      </c>
      <c r="I523">
        <v>0</v>
      </c>
      <c r="J523">
        <v>0.80782570052423686</v>
      </c>
      <c r="K523">
        <v>0</v>
      </c>
      <c r="L523">
        <v>0</v>
      </c>
      <c r="M523">
        <v>0</v>
      </c>
      <c r="N523">
        <v>0</v>
      </c>
      <c r="O523">
        <v>0</v>
      </c>
      <c r="P523">
        <v>0</v>
      </c>
      <c r="Q523">
        <v>0</v>
      </c>
      <c r="R523">
        <v>0</v>
      </c>
      <c r="S523">
        <v>0</v>
      </c>
      <c r="T523">
        <v>0.80782570052423686</v>
      </c>
      <c r="U523">
        <v>0.19217429947576314</v>
      </c>
      <c r="V523">
        <v>0</v>
      </c>
      <c r="W523">
        <v>0</v>
      </c>
      <c r="X523">
        <v>0</v>
      </c>
      <c r="Y523">
        <v>0</v>
      </c>
      <c r="Z523">
        <v>0</v>
      </c>
      <c r="AA523">
        <v>0</v>
      </c>
      <c r="AB523">
        <v>0</v>
      </c>
      <c r="AC523">
        <v>0</v>
      </c>
      <c r="AD523">
        <v>0</v>
      </c>
      <c r="AE523" t="s">
        <v>245</v>
      </c>
      <c r="AF523">
        <v>10</v>
      </c>
      <c r="AG523" t="s">
        <v>211</v>
      </c>
      <c r="AH523">
        <v>46239</v>
      </c>
      <c r="AI523" t="s">
        <v>149</v>
      </c>
    </row>
    <row r="524" spans="1:35" x14ac:dyDescent="0.25">
      <c r="A524" s="1">
        <v>46239</v>
      </c>
      <c r="B524" t="s">
        <v>13</v>
      </c>
      <c r="C524" t="s">
        <v>12</v>
      </c>
      <c r="D524">
        <v>1.863769909915987</v>
      </c>
      <c r="E524">
        <v>0</v>
      </c>
      <c r="F524">
        <v>0</v>
      </c>
      <c r="G524">
        <v>5.8166089965397889</v>
      </c>
      <c r="H524">
        <v>0</v>
      </c>
      <c r="I524">
        <v>0</v>
      </c>
      <c r="J524">
        <v>3.1208836271007208</v>
      </c>
      <c r="K524">
        <v>2.1208836271007208</v>
      </c>
      <c r="L524">
        <v>0</v>
      </c>
      <c r="M524">
        <v>0</v>
      </c>
      <c r="N524">
        <v>0</v>
      </c>
      <c r="O524">
        <v>0</v>
      </c>
      <c r="P524">
        <v>0</v>
      </c>
      <c r="Q524">
        <v>0</v>
      </c>
      <c r="R524">
        <v>0</v>
      </c>
      <c r="S524">
        <v>0</v>
      </c>
      <c r="T524">
        <v>0</v>
      </c>
      <c r="U524">
        <v>0</v>
      </c>
      <c r="V524">
        <v>0</v>
      </c>
      <c r="W524">
        <v>0</v>
      </c>
      <c r="X524">
        <v>0</v>
      </c>
      <c r="Y524">
        <v>0</v>
      </c>
      <c r="Z524">
        <v>0</v>
      </c>
      <c r="AA524">
        <v>0</v>
      </c>
      <c r="AB524">
        <v>0</v>
      </c>
      <c r="AC524">
        <v>1</v>
      </c>
      <c r="AD524">
        <v>0</v>
      </c>
      <c r="AE524" t="s">
        <v>245</v>
      </c>
      <c r="AF524">
        <v>10</v>
      </c>
      <c r="AG524" t="s">
        <v>210</v>
      </c>
      <c r="AH524">
        <v>46239</v>
      </c>
      <c r="AI524" t="s">
        <v>149</v>
      </c>
    </row>
    <row r="525" spans="1:35" x14ac:dyDescent="0.25">
      <c r="A525" s="1">
        <v>46239</v>
      </c>
      <c r="B525" t="s">
        <v>13</v>
      </c>
      <c r="C525" t="s">
        <v>11</v>
      </c>
      <c r="D525">
        <v>8.6747313109231641</v>
      </c>
      <c r="E525">
        <v>0</v>
      </c>
      <c r="F525">
        <v>0</v>
      </c>
      <c r="G525">
        <v>2.8823529411764706</v>
      </c>
      <c r="H525">
        <v>0</v>
      </c>
      <c r="I525">
        <v>0</v>
      </c>
      <c r="J525">
        <v>0.33226999636830606</v>
      </c>
      <c r="K525">
        <v>0</v>
      </c>
      <c r="L525">
        <v>0</v>
      </c>
      <c r="M525">
        <v>0</v>
      </c>
      <c r="N525">
        <v>0</v>
      </c>
      <c r="O525">
        <v>0</v>
      </c>
      <c r="P525">
        <v>0</v>
      </c>
      <c r="Q525">
        <v>0</v>
      </c>
      <c r="R525">
        <v>0</v>
      </c>
      <c r="S525">
        <v>0</v>
      </c>
      <c r="T525">
        <v>0.33226999636830606</v>
      </c>
      <c r="U525">
        <v>0.66773000363169399</v>
      </c>
      <c r="V525">
        <v>0</v>
      </c>
      <c r="W525">
        <v>0</v>
      </c>
      <c r="X525">
        <v>0</v>
      </c>
      <c r="Y525">
        <v>0</v>
      </c>
      <c r="Z525">
        <v>0</v>
      </c>
      <c r="AA525">
        <v>0</v>
      </c>
      <c r="AB525">
        <v>0</v>
      </c>
      <c r="AC525">
        <v>0</v>
      </c>
      <c r="AD525">
        <v>0</v>
      </c>
      <c r="AE525" t="s">
        <v>245</v>
      </c>
      <c r="AF525">
        <v>10</v>
      </c>
      <c r="AG525" t="s">
        <v>209</v>
      </c>
      <c r="AH525">
        <v>46239</v>
      </c>
      <c r="AI525" t="s">
        <v>149</v>
      </c>
    </row>
    <row r="526" spans="1:35" x14ac:dyDescent="0.25">
      <c r="A526" s="1">
        <v>46240</v>
      </c>
      <c r="B526" t="s">
        <v>13</v>
      </c>
      <c r="C526" t="s">
        <v>10</v>
      </c>
      <c r="D526">
        <v>4.9224725939917242</v>
      </c>
      <c r="E526">
        <v>0</v>
      </c>
      <c r="F526">
        <v>0</v>
      </c>
      <c r="G526">
        <v>6.7654798761609918</v>
      </c>
      <c r="H526">
        <v>0</v>
      </c>
      <c r="I526">
        <v>0</v>
      </c>
      <c r="J526">
        <v>1.3744068142540411</v>
      </c>
      <c r="K526">
        <v>0.3744068142540411</v>
      </c>
      <c r="L526">
        <v>0</v>
      </c>
      <c r="M526">
        <v>0</v>
      </c>
      <c r="N526">
        <v>0</v>
      </c>
      <c r="O526">
        <v>0</v>
      </c>
      <c r="P526">
        <v>0</v>
      </c>
      <c r="Q526">
        <v>0</v>
      </c>
      <c r="R526">
        <v>0</v>
      </c>
      <c r="S526">
        <v>0</v>
      </c>
      <c r="T526">
        <v>0</v>
      </c>
      <c r="U526">
        <v>0</v>
      </c>
      <c r="V526">
        <v>0</v>
      </c>
      <c r="W526">
        <v>0</v>
      </c>
      <c r="X526">
        <v>0</v>
      </c>
      <c r="Y526">
        <v>0</v>
      </c>
      <c r="Z526">
        <v>0</v>
      </c>
      <c r="AA526">
        <v>0</v>
      </c>
      <c r="AB526">
        <v>0</v>
      </c>
      <c r="AC526">
        <v>1</v>
      </c>
      <c r="AD526">
        <v>0</v>
      </c>
      <c r="AE526" t="s">
        <v>245</v>
      </c>
      <c r="AF526">
        <v>10</v>
      </c>
      <c r="AG526" t="s">
        <v>213</v>
      </c>
      <c r="AH526">
        <v>46240</v>
      </c>
      <c r="AI526" t="s">
        <v>149</v>
      </c>
    </row>
    <row r="527" spans="1:35" x14ac:dyDescent="0.25">
      <c r="A527" s="1">
        <v>46240</v>
      </c>
      <c r="B527" t="s">
        <v>13</v>
      </c>
      <c r="C527" t="s">
        <v>11</v>
      </c>
      <c r="D527">
        <v>5.1336140717754981</v>
      </c>
      <c r="E527">
        <v>0</v>
      </c>
      <c r="F527">
        <v>0</v>
      </c>
      <c r="G527">
        <v>1.8823529411764703</v>
      </c>
      <c r="H527">
        <v>0</v>
      </c>
      <c r="I527">
        <v>0</v>
      </c>
      <c r="J527">
        <v>0.36667207835618326</v>
      </c>
      <c r="K527">
        <v>0</v>
      </c>
      <c r="L527">
        <v>0</v>
      </c>
      <c r="M527">
        <v>0</v>
      </c>
      <c r="N527">
        <v>0</v>
      </c>
      <c r="O527">
        <v>0</v>
      </c>
      <c r="P527">
        <v>0</v>
      </c>
      <c r="Q527">
        <v>0</v>
      </c>
      <c r="R527">
        <v>0</v>
      </c>
      <c r="S527">
        <v>0</v>
      </c>
      <c r="T527">
        <v>0.36667207835618326</v>
      </c>
      <c r="U527">
        <v>0.63332792164381679</v>
      </c>
      <c r="V527">
        <v>0</v>
      </c>
      <c r="W527">
        <v>0</v>
      </c>
      <c r="X527">
        <v>0</v>
      </c>
      <c r="Y527">
        <v>0</v>
      </c>
      <c r="Z527">
        <v>0</v>
      </c>
      <c r="AA527">
        <v>0</v>
      </c>
      <c r="AB527">
        <v>0</v>
      </c>
      <c r="AC527">
        <v>0</v>
      </c>
      <c r="AD527">
        <v>0</v>
      </c>
      <c r="AE527" t="s">
        <v>245</v>
      </c>
      <c r="AF527">
        <v>10</v>
      </c>
      <c r="AG527" t="s">
        <v>212</v>
      </c>
      <c r="AH527">
        <v>46240</v>
      </c>
      <c r="AI527" t="s">
        <v>149</v>
      </c>
    </row>
    <row r="528" spans="1:35" x14ac:dyDescent="0.25">
      <c r="A528" s="1">
        <v>46240</v>
      </c>
      <c r="B528" t="s">
        <v>13</v>
      </c>
      <c r="C528" t="s">
        <v>12</v>
      </c>
      <c r="D528">
        <v>1.4046370750134916</v>
      </c>
      <c r="E528">
        <v>0</v>
      </c>
      <c r="F528">
        <v>0</v>
      </c>
      <c r="G528">
        <v>5.0442542342014178</v>
      </c>
      <c r="H528">
        <v>0</v>
      </c>
      <c r="I528">
        <v>0</v>
      </c>
      <c r="J528">
        <v>3.5911441638068449</v>
      </c>
      <c r="K528">
        <v>2.5911441638068449</v>
      </c>
      <c r="L528">
        <v>0</v>
      </c>
      <c r="M528">
        <v>0</v>
      </c>
      <c r="N528">
        <v>0</v>
      </c>
      <c r="O528">
        <v>0</v>
      </c>
      <c r="P528">
        <v>0</v>
      </c>
      <c r="Q528">
        <v>0</v>
      </c>
      <c r="R528">
        <v>0</v>
      </c>
      <c r="S528">
        <v>0</v>
      </c>
      <c r="T528">
        <v>0</v>
      </c>
      <c r="U528">
        <v>0</v>
      </c>
      <c r="V528">
        <v>0</v>
      </c>
      <c r="W528">
        <v>0</v>
      </c>
      <c r="X528">
        <v>0</v>
      </c>
      <c r="Y528">
        <v>0</v>
      </c>
      <c r="Z528">
        <v>0</v>
      </c>
      <c r="AA528">
        <v>0</v>
      </c>
      <c r="AB528">
        <v>0</v>
      </c>
      <c r="AC528">
        <v>1</v>
      </c>
      <c r="AD528">
        <v>0</v>
      </c>
      <c r="AE528" t="s">
        <v>245</v>
      </c>
      <c r="AF528">
        <v>10</v>
      </c>
      <c r="AG528" t="s">
        <v>214</v>
      </c>
      <c r="AH528">
        <v>46240</v>
      </c>
      <c r="AI528" t="s">
        <v>149</v>
      </c>
    </row>
    <row r="529" spans="1:35" x14ac:dyDescent="0.25">
      <c r="A529" s="1">
        <v>46241</v>
      </c>
      <c r="B529" t="s">
        <v>13</v>
      </c>
      <c r="C529" t="s">
        <v>12</v>
      </c>
      <c r="D529">
        <v>7.1293135096240308</v>
      </c>
      <c r="E529">
        <v>0</v>
      </c>
      <c r="F529">
        <v>0</v>
      </c>
      <c r="G529">
        <v>3.986159169550171</v>
      </c>
      <c r="H529">
        <v>0</v>
      </c>
      <c r="I529">
        <v>0</v>
      </c>
      <c r="J529">
        <v>0.55912244063459393</v>
      </c>
      <c r="K529">
        <v>0</v>
      </c>
      <c r="L529">
        <v>0</v>
      </c>
      <c r="M529">
        <v>0</v>
      </c>
      <c r="N529">
        <v>0</v>
      </c>
      <c r="O529">
        <v>0</v>
      </c>
      <c r="P529">
        <v>0</v>
      </c>
      <c r="Q529">
        <v>0</v>
      </c>
      <c r="R529">
        <v>0</v>
      </c>
      <c r="S529">
        <v>0</v>
      </c>
      <c r="T529">
        <v>0.55912244063459393</v>
      </c>
      <c r="U529">
        <v>0.44087755936540607</v>
      </c>
      <c r="V529">
        <v>0</v>
      </c>
      <c r="W529">
        <v>0</v>
      </c>
      <c r="X529">
        <v>0</v>
      </c>
      <c r="Y529">
        <v>0</v>
      </c>
      <c r="Z529">
        <v>0</v>
      </c>
      <c r="AA529">
        <v>0</v>
      </c>
      <c r="AB529">
        <v>0</v>
      </c>
      <c r="AC529">
        <v>0</v>
      </c>
      <c r="AD529">
        <v>0</v>
      </c>
      <c r="AE529" t="s">
        <v>245</v>
      </c>
      <c r="AF529">
        <v>10</v>
      </c>
      <c r="AG529" t="s">
        <v>215</v>
      </c>
      <c r="AH529">
        <v>46241</v>
      </c>
      <c r="AI529" t="s">
        <v>149</v>
      </c>
    </row>
    <row r="530" spans="1:35" x14ac:dyDescent="0.25">
      <c r="A530" s="1">
        <v>46241</v>
      </c>
      <c r="B530" t="s">
        <v>13</v>
      </c>
      <c r="C530" t="s">
        <v>10</v>
      </c>
      <c r="D530">
        <v>4.7757660550458709</v>
      </c>
      <c r="E530">
        <v>0</v>
      </c>
      <c r="F530">
        <v>0</v>
      </c>
      <c r="G530">
        <v>4.705882352941174</v>
      </c>
      <c r="H530">
        <v>0</v>
      </c>
      <c r="I530">
        <v>0</v>
      </c>
      <c r="J530">
        <v>0.98536701729121323</v>
      </c>
      <c r="K530">
        <v>0</v>
      </c>
      <c r="L530">
        <v>0</v>
      </c>
      <c r="M530">
        <v>0</v>
      </c>
      <c r="N530">
        <v>0</v>
      </c>
      <c r="O530">
        <v>0</v>
      </c>
      <c r="P530">
        <v>0</v>
      </c>
      <c r="Q530">
        <v>0</v>
      </c>
      <c r="R530">
        <v>0</v>
      </c>
      <c r="S530">
        <v>0</v>
      </c>
      <c r="T530">
        <v>0.98536701729121323</v>
      </c>
      <c r="U530">
        <v>1.4632982708786768E-2</v>
      </c>
      <c r="V530">
        <v>0</v>
      </c>
      <c r="W530">
        <v>0</v>
      </c>
      <c r="X530">
        <v>0</v>
      </c>
      <c r="Y530">
        <v>0</v>
      </c>
      <c r="Z530">
        <v>0</v>
      </c>
      <c r="AA530">
        <v>0</v>
      </c>
      <c r="AB530">
        <v>0</v>
      </c>
      <c r="AC530">
        <v>0</v>
      </c>
      <c r="AD530">
        <v>0</v>
      </c>
      <c r="AE530" t="s">
        <v>245</v>
      </c>
      <c r="AF530">
        <v>10</v>
      </c>
      <c r="AG530" t="s">
        <v>217</v>
      </c>
      <c r="AH530">
        <v>46241</v>
      </c>
      <c r="AI530" t="s">
        <v>149</v>
      </c>
    </row>
    <row r="531" spans="1:35" x14ac:dyDescent="0.25">
      <c r="A531" s="1">
        <v>46242</v>
      </c>
      <c r="B531" t="s">
        <v>13</v>
      </c>
      <c r="C531" t="s">
        <v>11</v>
      </c>
      <c r="D531">
        <v>1.5143325418240687</v>
      </c>
      <c r="E531">
        <v>0</v>
      </c>
      <c r="F531">
        <v>0</v>
      </c>
      <c r="G531">
        <v>1.8823529411764703</v>
      </c>
      <c r="H531">
        <v>0</v>
      </c>
      <c r="I531">
        <v>0</v>
      </c>
      <c r="J531">
        <v>1.2430248239327326</v>
      </c>
      <c r="K531">
        <v>0.24302482393273261</v>
      </c>
      <c r="L531">
        <v>0</v>
      </c>
      <c r="M531">
        <v>0</v>
      </c>
      <c r="N531">
        <v>0</v>
      </c>
      <c r="O531">
        <v>0</v>
      </c>
      <c r="P531">
        <v>0</v>
      </c>
      <c r="Q531">
        <v>0</v>
      </c>
      <c r="R531">
        <v>0</v>
      </c>
      <c r="S531">
        <v>0</v>
      </c>
      <c r="T531">
        <v>0</v>
      </c>
      <c r="U531">
        <v>0</v>
      </c>
      <c r="V531">
        <v>0</v>
      </c>
      <c r="W531">
        <v>0</v>
      </c>
      <c r="X531">
        <v>0</v>
      </c>
      <c r="Y531">
        <v>0</v>
      </c>
      <c r="Z531">
        <v>0</v>
      </c>
      <c r="AA531">
        <v>0</v>
      </c>
      <c r="AB531">
        <v>0</v>
      </c>
      <c r="AC531">
        <v>1</v>
      </c>
      <c r="AD531">
        <v>0</v>
      </c>
      <c r="AE531" t="s">
        <v>245</v>
      </c>
      <c r="AF531">
        <v>10</v>
      </c>
      <c r="AG531" t="s">
        <v>220</v>
      </c>
      <c r="AH531">
        <v>46242</v>
      </c>
      <c r="AI531" t="s">
        <v>149</v>
      </c>
    </row>
    <row r="532" spans="1:35" x14ac:dyDescent="0.25">
      <c r="A532" s="1">
        <v>46242</v>
      </c>
      <c r="B532" t="s">
        <v>13</v>
      </c>
      <c r="C532" t="s">
        <v>12</v>
      </c>
      <c r="D532">
        <v>3.4764767606583913</v>
      </c>
      <c r="E532">
        <v>0</v>
      </c>
      <c r="F532">
        <v>0</v>
      </c>
      <c r="G532">
        <v>4.9273356401384065</v>
      </c>
      <c r="H532">
        <v>0</v>
      </c>
      <c r="I532">
        <v>0</v>
      </c>
      <c r="J532">
        <v>1.4173359925481697</v>
      </c>
      <c r="K532">
        <v>0.41733599254816967</v>
      </c>
      <c r="L532">
        <v>0</v>
      </c>
      <c r="M532">
        <v>0</v>
      </c>
      <c r="N532">
        <v>0</v>
      </c>
      <c r="O532">
        <v>0</v>
      </c>
      <c r="P532">
        <v>0</v>
      </c>
      <c r="Q532">
        <v>0</v>
      </c>
      <c r="R532">
        <v>0</v>
      </c>
      <c r="S532">
        <v>0</v>
      </c>
      <c r="T532">
        <v>0</v>
      </c>
      <c r="U532">
        <v>0</v>
      </c>
      <c r="V532">
        <v>0</v>
      </c>
      <c r="W532">
        <v>0</v>
      </c>
      <c r="X532">
        <v>0</v>
      </c>
      <c r="Y532">
        <v>0</v>
      </c>
      <c r="Z532">
        <v>0</v>
      </c>
      <c r="AA532">
        <v>0</v>
      </c>
      <c r="AB532">
        <v>0</v>
      </c>
      <c r="AC532">
        <v>1</v>
      </c>
      <c r="AD532">
        <v>0</v>
      </c>
      <c r="AE532" t="s">
        <v>245</v>
      </c>
      <c r="AF532">
        <v>10</v>
      </c>
      <c r="AG532" t="s">
        <v>218</v>
      </c>
      <c r="AH532">
        <v>46242</v>
      </c>
      <c r="AI532" t="s">
        <v>149</v>
      </c>
    </row>
    <row r="533" spans="1:35" x14ac:dyDescent="0.25">
      <c r="A533" s="1">
        <v>46243</v>
      </c>
      <c r="B533" t="s">
        <v>13</v>
      </c>
      <c r="C533" t="s">
        <v>10</v>
      </c>
      <c r="D533">
        <v>20.872263142707769</v>
      </c>
      <c r="E533">
        <v>0</v>
      </c>
      <c r="F533">
        <v>0</v>
      </c>
      <c r="G533">
        <v>4.705882352941174</v>
      </c>
      <c r="H533">
        <v>0</v>
      </c>
      <c r="I533">
        <v>0</v>
      </c>
      <c r="J533">
        <v>0.2254610494686719</v>
      </c>
      <c r="K533">
        <v>0</v>
      </c>
      <c r="L533">
        <v>0</v>
      </c>
      <c r="M533">
        <v>0</v>
      </c>
      <c r="N533">
        <v>0</v>
      </c>
      <c r="O533">
        <v>0</v>
      </c>
      <c r="P533">
        <v>0</v>
      </c>
      <c r="Q533">
        <v>0</v>
      </c>
      <c r="R533">
        <v>0</v>
      </c>
      <c r="S533">
        <v>0</v>
      </c>
      <c r="T533">
        <v>0.2254610494686719</v>
      </c>
      <c r="U533">
        <v>0.77453895053132804</v>
      </c>
      <c r="V533">
        <v>0</v>
      </c>
      <c r="W533">
        <v>0</v>
      </c>
      <c r="X533">
        <v>0</v>
      </c>
      <c r="Y533">
        <v>0</v>
      </c>
      <c r="Z533">
        <v>0</v>
      </c>
      <c r="AA533">
        <v>0</v>
      </c>
      <c r="AB533">
        <v>0</v>
      </c>
      <c r="AC533">
        <v>0</v>
      </c>
      <c r="AD533">
        <v>0</v>
      </c>
      <c r="AE533" t="s">
        <v>245</v>
      </c>
      <c r="AF533">
        <v>10</v>
      </c>
      <c r="AG533" t="s">
        <v>222</v>
      </c>
      <c r="AH533">
        <v>46243</v>
      </c>
      <c r="AI533" t="s">
        <v>149</v>
      </c>
    </row>
    <row r="534" spans="1:35" x14ac:dyDescent="0.25">
      <c r="A534" s="1">
        <v>46244</v>
      </c>
      <c r="B534" t="s">
        <v>13</v>
      </c>
      <c r="C534" t="s">
        <v>12</v>
      </c>
      <c r="D534">
        <v>4.6391650995008078</v>
      </c>
      <c r="E534">
        <v>0</v>
      </c>
      <c r="F534">
        <v>0</v>
      </c>
      <c r="G534">
        <v>5.8131487889273332</v>
      </c>
      <c r="H534">
        <v>0</v>
      </c>
      <c r="I534">
        <v>0</v>
      </c>
      <c r="J534">
        <v>1.2530592605020352</v>
      </c>
      <c r="K534">
        <v>0.2530592605020352</v>
      </c>
      <c r="L534">
        <v>0</v>
      </c>
      <c r="M534">
        <v>0</v>
      </c>
      <c r="N534">
        <v>0</v>
      </c>
      <c r="O534">
        <v>0</v>
      </c>
      <c r="P534">
        <v>0</v>
      </c>
      <c r="Q534">
        <v>0</v>
      </c>
      <c r="R534">
        <v>0</v>
      </c>
      <c r="S534">
        <v>0</v>
      </c>
      <c r="T534">
        <v>0</v>
      </c>
      <c r="U534">
        <v>0</v>
      </c>
      <c r="V534">
        <v>0</v>
      </c>
      <c r="W534">
        <v>0</v>
      </c>
      <c r="X534">
        <v>0</v>
      </c>
      <c r="Y534">
        <v>0</v>
      </c>
      <c r="Z534">
        <v>0</v>
      </c>
      <c r="AA534">
        <v>0</v>
      </c>
      <c r="AB534">
        <v>0</v>
      </c>
      <c r="AC534">
        <v>1</v>
      </c>
      <c r="AD534">
        <v>0</v>
      </c>
      <c r="AE534" t="s">
        <v>245</v>
      </c>
      <c r="AF534">
        <v>10</v>
      </c>
      <c r="AG534" t="s">
        <v>226</v>
      </c>
      <c r="AH534">
        <v>46244</v>
      </c>
      <c r="AI534" t="s">
        <v>149</v>
      </c>
    </row>
    <row r="535" spans="1:35" x14ac:dyDescent="0.25">
      <c r="A535" s="1">
        <v>46244</v>
      </c>
      <c r="B535" t="s">
        <v>13</v>
      </c>
      <c r="C535" t="s">
        <v>11</v>
      </c>
      <c r="D535">
        <v>4.6446665947112775</v>
      </c>
      <c r="E535">
        <v>0</v>
      </c>
      <c r="F535">
        <v>0</v>
      </c>
      <c r="G535">
        <v>2.8235294117647056</v>
      </c>
      <c r="H535">
        <v>0</v>
      </c>
      <c r="I535">
        <v>0</v>
      </c>
      <c r="J535">
        <v>0.60790787760304721</v>
      </c>
      <c r="K535">
        <v>0</v>
      </c>
      <c r="L535">
        <v>0</v>
      </c>
      <c r="M535">
        <v>0</v>
      </c>
      <c r="N535">
        <v>0</v>
      </c>
      <c r="O535">
        <v>0</v>
      </c>
      <c r="P535">
        <v>0</v>
      </c>
      <c r="Q535">
        <v>0</v>
      </c>
      <c r="R535">
        <v>0</v>
      </c>
      <c r="S535">
        <v>0</v>
      </c>
      <c r="T535">
        <v>0.60790787760304721</v>
      </c>
      <c r="U535">
        <v>0.39209212239695279</v>
      </c>
      <c r="V535">
        <v>0</v>
      </c>
      <c r="W535">
        <v>0</v>
      </c>
      <c r="X535">
        <v>0</v>
      </c>
      <c r="Y535">
        <v>0</v>
      </c>
      <c r="Z535">
        <v>0</v>
      </c>
      <c r="AA535">
        <v>0</v>
      </c>
      <c r="AB535">
        <v>0</v>
      </c>
      <c r="AC535">
        <v>0</v>
      </c>
      <c r="AD535">
        <v>0</v>
      </c>
      <c r="AE535" t="s">
        <v>245</v>
      </c>
      <c r="AF535">
        <v>10</v>
      </c>
      <c r="AG535" t="s">
        <v>225</v>
      </c>
      <c r="AH535">
        <v>46244</v>
      </c>
      <c r="AI535" t="s">
        <v>149</v>
      </c>
    </row>
    <row r="536" spans="1:35" x14ac:dyDescent="0.25">
      <c r="A536" s="1">
        <v>46245</v>
      </c>
      <c r="B536" t="s">
        <v>13</v>
      </c>
      <c r="C536" t="s">
        <v>10</v>
      </c>
      <c r="D536">
        <v>3.7443870648366122</v>
      </c>
      <c r="E536">
        <v>0</v>
      </c>
      <c r="F536">
        <v>0</v>
      </c>
      <c r="G536">
        <v>6.5882352941176467</v>
      </c>
      <c r="H536">
        <v>0</v>
      </c>
      <c r="I536">
        <v>0</v>
      </c>
      <c r="J536">
        <v>1.7594963287816845</v>
      </c>
      <c r="K536">
        <v>0.75949632878168449</v>
      </c>
      <c r="L536">
        <v>0</v>
      </c>
      <c r="M536">
        <v>0</v>
      </c>
      <c r="N536">
        <v>0</v>
      </c>
      <c r="O536">
        <v>0</v>
      </c>
      <c r="P536">
        <v>0</v>
      </c>
      <c r="Q536">
        <v>0</v>
      </c>
      <c r="R536">
        <v>0</v>
      </c>
      <c r="S536">
        <v>0</v>
      </c>
      <c r="T536">
        <v>0</v>
      </c>
      <c r="U536">
        <v>0</v>
      </c>
      <c r="V536">
        <v>0</v>
      </c>
      <c r="W536">
        <v>0</v>
      </c>
      <c r="X536">
        <v>0</v>
      </c>
      <c r="Y536">
        <v>0</v>
      </c>
      <c r="Z536">
        <v>0</v>
      </c>
      <c r="AA536">
        <v>0</v>
      </c>
      <c r="AB536">
        <v>0</v>
      </c>
      <c r="AC536">
        <v>1</v>
      </c>
      <c r="AD536">
        <v>0</v>
      </c>
      <c r="AE536" t="s">
        <v>245</v>
      </c>
      <c r="AF536">
        <v>10</v>
      </c>
      <c r="AG536" t="s">
        <v>228</v>
      </c>
      <c r="AH536">
        <v>46245</v>
      </c>
      <c r="AI536" t="s">
        <v>149</v>
      </c>
    </row>
    <row r="537" spans="1:35" x14ac:dyDescent="0.25">
      <c r="A537" s="1">
        <v>46245</v>
      </c>
      <c r="B537" t="s">
        <v>13</v>
      </c>
      <c r="C537" t="s">
        <v>12</v>
      </c>
      <c r="D537">
        <v>3.2477412526586451</v>
      </c>
      <c r="E537">
        <v>0</v>
      </c>
      <c r="F537">
        <v>0</v>
      </c>
      <c r="G537">
        <v>5.9238754325259491</v>
      </c>
      <c r="H537">
        <v>0</v>
      </c>
      <c r="I537">
        <v>0</v>
      </c>
      <c r="J537">
        <v>1.8239985798365508</v>
      </c>
      <c r="K537">
        <v>0.82399857983655078</v>
      </c>
      <c r="L537">
        <v>0</v>
      </c>
      <c r="M537">
        <v>0</v>
      </c>
      <c r="N537">
        <v>0</v>
      </c>
      <c r="O537">
        <v>0</v>
      </c>
      <c r="P537">
        <v>0</v>
      </c>
      <c r="Q537">
        <v>0</v>
      </c>
      <c r="R537">
        <v>0</v>
      </c>
      <c r="S537">
        <v>0</v>
      </c>
      <c r="T537">
        <v>0</v>
      </c>
      <c r="U537">
        <v>0</v>
      </c>
      <c r="V537">
        <v>0</v>
      </c>
      <c r="W537">
        <v>0</v>
      </c>
      <c r="X537">
        <v>0</v>
      </c>
      <c r="Y537">
        <v>0</v>
      </c>
      <c r="Z537">
        <v>0</v>
      </c>
      <c r="AA537">
        <v>0</v>
      </c>
      <c r="AB537">
        <v>0</v>
      </c>
      <c r="AC537">
        <v>1</v>
      </c>
      <c r="AD537">
        <v>0</v>
      </c>
      <c r="AE537" t="s">
        <v>245</v>
      </c>
      <c r="AF537">
        <v>10</v>
      </c>
      <c r="AG537" t="s">
        <v>227</v>
      </c>
      <c r="AH537">
        <v>46245</v>
      </c>
      <c r="AI537" t="s">
        <v>149</v>
      </c>
    </row>
    <row r="538" spans="1:35" x14ac:dyDescent="0.25">
      <c r="A538" s="1">
        <v>46245</v>
      </c>
      <c r="B538" t="s">
        <v>13</v>
      </c>
      <c r="C538" t="s">
        <v>11</v>
      </c>
      <c r="D538">
        <v>98.201689506880726</v>
      </c>
      <c r="E538">
        <v>0</v>
      </c>
      <c r="F538">
        <v>0</v>
      </c>
      <c r="G538">
        <v>2.8235294117647056</v>
      </c>
      <c r="H538">
        <v>0</v>
      </c>
      <c r="I538">
        <v>0</v>
      </c>
      <c r="J538">
        <v>2.8752350656521736E-2</v>
      </c>
      <c r="K538">
        <v>0</v>
      </c>
      <c r="L538">
        <v>0</v>
      </c>
      <c r="M538">
        <v>0</v>
      </c>
      <c r="N538">
        <v>0</v>
      </c>
      <c r="O538">
        <v>0</v>
      </c>
      <c r="P538">
        <v>0</v>
      </c>
      <c r="Q538">
        <v>0</v>
      </c>
      <c r="R538">
        <v>0</v>
      </c>
      <c r="S538">
        <v>0</v>
      </c>
      <c r="T538">
        <v>2.8752350656521736E-2</v>
      </c>
      <c r="U538">
        <v>0.97124764934347829</v>
      </c>
      <c r="V538">
        <v>0</v>
      </c>
      <c r="W538">
        <v>0</v>
      </c>
      <c r="X538">
        <v>0</v>
      </c>
      <c r="Y538">
        <v>0</v>
      </c>
      <c r="Z538">
        <v>0</v>
      </c>
      <c r="AA538">
        <v>0</v>
      </c>
      <c r="AB538">
        <v>0</v>
      </c>
      <c r="AC538">
        <v>0</v>
      </c>
      <c r="AD538">
        <v>0</v>
      </c>
      <c r="AE538" t="s">
        <v>245</v>
      </c>
      <c r="AF538">
        <v>10</v>
      </c>
      <c r="AG538" t="s">
        <v>229</v>
      </c>
      <c r="AH538">
        <v>46245</v>
      </c>
      <c r="AI538" t="s">
        <v>149</v>
      </c>
    </row>
    <row r="539" spans="1:35" x14ac:dyDescent="0.25">
      <c r="A539" s="1">
        <v>46246</v>
      </c>
      <c r="B539" t="s">
        <v>13</v>
      </c>
      <c r="C539" t="s">
        <v>10</v>
      </c>
      <c r="D539">
        <v>2.9851464171276301</v>
      </c>
      <c r="E539">
        <v>0</v>
      </c>
      <c r="F539">
        <v>0</v>
      </c>
      <c r="G539">
        <v>5.6470588235294112</v>
      </c>
      <c r="H539">
        <v>0</v>
      </c>
      <c r="I539">
        <v>0</v>
      </c>
      <c r="J539">
        <v>1.8917192105314313</v>
      </c>
      <c r="K539">
        <v>0.89171921053143133</v>
      </c>
      <c r="L539">
        <v>0</v>
      </c>
      <c r="M539">
        <v>0</v>
      </c>
      <c r="N539">
        <v>0</v>
      </c>
      <c r="O539">
        <v>0</v>
      </c>
      <c r="P539">
        <v>0</v>
      </c>
      <c r="Q539">
        <v>0</v>
      </c>
      <c r="R539">
        <v>0</v>
      </c>
      <c r="S539">
        <v>0</v>
      </c>
      <c r="T539">
        <v>0</v>
      </c>
      <c r="U539">
        <v>0</v>
      </c>
      <c r="V539">
        <v>0</v>
      </c>
      <c r="W539">
        <v>0</v>
      </c>
      <c r="X539">
        <v>0</v>
      </c>
      <c r="Y539">
        <v>0</v>
      </c>
      <c r="Z539">
        <v>0</v>
      </c>
      <c r="AA539">
        <v>0</v>
      </c>
      <c r="AB539">
        <v>0</v>
      </c>
      <c r="AC539">
        <v>1</v>
      </c>
      <c r="AD539">
        <v>0</v>
      </c>
      <c r="AE539" t="s">
        <v>245</v>
      </c>
      <c r="AF539">
        <v>10</v>
      </c>
      <c r="AG539" t="s">
        <v>230</v>
      </c>
      <c r="AH539">
        <v>46246</v>
      </c>
      <c r="AI539" t="s">
        <v>149</v>
      </c>
    </row>
    <row r="540" spans="1:35" x14ac:dyDescent="0.25">
      <c r="A540" s="1">
        <v>46246</v>
      </c>
      <c r="B540" t="s">
        <v>13</v>
      </c>
      <c r="C540" t="s">
        <v>11</v>
      </c>
      <c r="D540">
        <v>175.88748400229358</v>
      </c>
      <c r="E540">
        <v>0</v>
      </c>
      <c r="F540">
        <v>0</v>
      </c>
      <c r="G540">
        <v>0.94117647058823517</v>
      </c>
      <c r="H540">
        <v>0</v>
      </c>
      <c r="I540">
        <v>0</v>
      </c>
      <c r="J540">
        <v>5.3510144620407566E-3</v>
      </c>
      <c r="K540">
        <v>0</v>
      </c>
      <c r="L540">
        <v>0</v>
      </c>
      <c r="M540">
        <v>0</v>
      </c>
      <c r="N540">
        <v>0</v>
      </c>
      <c r="O540">
        <v>0</v>
      </c>
      <c r="P540">
        <v>0</v>
      </c>
      <c r="Q540">
        <v>0</v>
      </c>
      <c r="R540">
        <v>0</v>
      </c>
      <c r="S540">
        <v>0</v>
      </c>
      <c r="T540">
        <v>5.3510144620407566E-3</v>
      </c>
      <c r="U540">
        <v>0.99464898553795922</v>
      </c>
      <c r="V540">
        <v>0</v>
      </c>
      <c r="W540">
        <v>0</v>
      </c>
      <c r="X540">
        <v>0</v>
      </c>
      <c r="Y540">
        <v>0</v>
      </c>
      <c r="Z540">
        <v>0</v>
      </c>
      <c r="AA540">
        <v>0</v>
      </c>
      <c r="AB540">
        <v>0</v>
      </c>
      <c r="AC540">
        <v>0</v>
      </c>
      <c r="AD540">
        <v>0</v>
      </c>
      <c r="AE540" t="s">
        <v>245</v>
      </c>
      <c r="AF540">
        <v>10</v>
      </c>
      <c r="AG540" t="s">
        <v>231</v>
      </c>
      <c r="AH540">
        <v>46246</v>
      </c>
      <c r="AI540" t="s">
        <v>149</v>
      </c>
    </row>
    <row r="541" spans="1:35" x14ac:dyDescent="0.25">
      <c r="A541" s="1">
        <v>46246</v>
      </c>
      <c r="B541" t="s">
        <v>13</v>
      </c>
      <c r="C541" t="s">
        <v>12</v>
      </c>
      <c r="D541">
        <v>2.1225626911314985</v>
      </c>
      <c r="E541">
        <v>0</v>
      </c>
      <c r="F541">
        <v>0</v>
      </c>
      <c r="G541">
        <v>4.0415224913494789</v>
      </c>
      <c r="H541">
        <v>0</v>
      </c>
      <c r="I541">
        <v>0</v>
      </c>
      <c r="J541">
        <v>1.9040768540009618</v>
      </c>
      <c r="K541">
        <v>0.90407685400096183</v>
      </c>
      <c r="L541">
        <v>0</v>
      </c>
      <c r="M541">
        <v>0</v>
      </c>
      <c r="N541">
        <v>0</v>
      </c>
      <c r="O541">
        <v>0</v>
      </c>
      <c r="P541">
        <v>0</v>
      </c>
      <c r="Q541">
        <v>0</v>
      </c>
      <c r="R541">
        <v>0</v>
      </c>
      <c r="S541">
        <v>0</v>
      </c>
      <c r="T541">
        <v>0</v>
      </c>
      <c r="U541">
        <v>0</v>
      </c>
      <c r="V541">
        <v>0</v>
      </c>
      <c r="W541">
        <v>0</v>
      </c>
      <c r="X541">
        <v>0</v>
      </c>
      <c r="Y541">
        <v>0</v>
      </c>
      <c r="Z541">
        <v>0</v>
      </c>
      <c r="AA541">
        <v>0</v>
      </c>
      <c r="AB541">
        <v>0</v>
      </c>
      <c r="AC541">
        <v>1</v>
      </c>
      <c r="AD541">
        <v>0</v>
      </c>
      <c r="AE541" t="s">
        <v>245</v>
      </c>
      <c r="AF541">
        <v>10</v>
      </c>
      <c r="AG541" t="s">
        <v>232</v>
      </c>
      <c r="AH541">
        <v>46246</v>
      </c>
      <c r="AI541" t="s">
        <v>149</v>
      </c>
    </row>
    <row r="542" spans="1:35" x14ac:dyDescent="0.25">
      <c r="A542" s="1">
        <v>46247</v>
      </c>
      <c r="B542" t="s">
        <v>13</v>
      </c>
      <c r="C542" t="s">
        <v>12</v>
      </c>
      <c r="D542">
        <v>0.66798296456197137</v>
      </c>
      <c r="E542">
        <v>0</v>
      </c>
      <c r="F542">
        <v>0</v>
      </c>
      <c r="G542">
        <v>3.986159169550171</v>
      </c>
      <c r="H542">
        <v>0</v>
      </c>
      <c r="I542">
        <v>0</v>
      </c>
      <c r="J542">
        <v>5.9674563290159472</v>
      </c>
      <c r="K542">
        <v>4.9674563290159472</v>
      </c>
      <c r="L542">
        <v>0</v>
      </c>
      <c r="M542">
        <v>0</v>
      </c>
      <c r="N542">
        <v>0</v>
      </c>
      <c r="O542">
        <v>0</v>
      </c>
      <c r="P542">
        <v>0</v>
      </c>
      <c r="Q542">
        <v>0</v>
      </c>
      <c r="R542">
        <v>0</v>
      </c>
      <c r="S542">
        <v>0</v>
      </c>
      <c r="T542">
        <v>0</v>
      </c>
      <c r="U542">
        <v>0</v>
      </c>
      <c r="V542">
        <v>0</v>
      </c>
      <c r="W542">
        <v>0</v>
      </c>
      <c r="X542">
        <v>0</v>
      </c>
      <c r="Y542">
        <v>0</v>
      </c>
      <c r="Z542">
        <v>0</v>
      </c>
      <c r="AA542">
        <v>0</v>
      </c>
      <c r="AB542">
        <v>0</v>
      </c>
      <c r="AC542">
        <v>1</v>
      </c>
      <c r="AD542">
        <v>0</v>
      </c>
      <c r="AE542" t="s">
        <v>245</v>
      </c>
      <c r="AF542">
        <v>10</v>
      </c>
      <c r="AG542" t="s">
        <v>233</v>
      </c>
      <c r="AH542">
        <v>46247</v>
      </c>
      <c r="AI542" t="s">
        <v>149</v>
      </c>
    </row>
    <row r="543" spans="1:35" x14ac:dyDescent="0.25">
      <c r="A543" s="1">
        <v>46247</v>
      </c>
      <c r="B543" t="s">
        <v>13</v>
      </c>
      <c r="C543" t="s">
        <v>11</v>
      </c>
      <c r="D543">
        <v>83.314731257167423</v>
      </c>
      <c r="E543">
        <v>0</v>
      </c>
      <c r="F543">
        <v>0</v>
      </c>
      <c r="G543">
        <v>1.8823529411764703</v>
      </c>
      <c r="H543">
        <v>0</v>
      </c>
      <c r="I543">
        <v>0</v>
      </c>
      <c r="J543">
        <v>2.2593278676807046E-2</v>
      </c>
      <c r="K543">
        <v>0</v>
      </c>
      <c r="L543">
        <v>0</v>
      </c>
      <c r="M543">
        <v>0</v>
      </c>
      <c r="N543">
        <v>0</v>
      </c>
      <c r="O543">
        <v>0</v>
      </c>
      <c r="P543">
        <v>0</v>
      </c>
      <c r="Q543">
        <v>0</v>
      </c>
      <c r="R543">
        <v>0</v>
      </c>
      <c r="S543">
        <v>0</v>
      </c>
      <c r="T543">
        <v>2.2593278676807046E-2</v>
      </c>
      <c r="U543">
        <v>0.97740672132319295</v>
      </c>
      <c r="V543">
        <v>0</v>
      </c>
      <c r="W543">
        <v>0</v>
      </c>
      <c r="X543">
        <v>0</v>
      </c>
      <c r="Y543">
        <v>0</v>
      </c>
      <c r="Z543">
        <v>0</v>
      </c>
      <c r="AA543">
        <v>0</v>
      </c>
      <c r="AB543">
        <v>0</v>
      </c>
      <c r="AC543">
        <v>0</v>
      </c>
      <c r="AD543">
        <v>0</v>
      </c>
      <c r="AE543" t="s">
        <v>245</v>
      </c>
      <c r="AF543">
        <v>10</v>
      </c>
      <c r="AG543" t="s">
        <v>234</v>
      </c>
      <c r="AH543">
        <v>46247</v>
      </c>
      <c r="AI543" t="s">
        <v>149</v>
      </c>
    </row>
    <row r="544" spans="1:35" x14ac:dyDescent="0.25">
      <c r="A544" s="1">
        <v>46247</v>
      </c>
      <c r="B544" t="s">
        <v>13</v>
      </c>
      <c r="C544" t="s">
        <v>10</v>
      </c>
      <c r="D544">
        <v>3.3261634639115205</v>
      </c>
      <c r="E544">
        <v>0</v>
      </c>
      <c r="F544">
        <v>0</v>
      </c>
      <c r="G544">
        <v>3.7647058823529393</v>
      </c>
      <c r="H544">
        <v>0</v>
      </c>
      <c r="I544">
        <v>0</v>
      </c>
      <c r="J544">
        <v>1.1318463218057537</v>
      </c>
      <c r="K544">
        <v>0.13184632180575373</v>
      </c>
      <c r="L544">
        <v>0</v>
      </c>
      <c r="M544">
        <v>0</v>
      </c>
      <c r="N544">
        <v>0</v>
      </c>
      <c r="O544">
        <v>0</v>
      </c>
      <c r="P544">
        <v>0</v>
      </c>
      <c r="Q544">
        <v>0</v>
      </c>
      <c r="R544">
        <v>0</v>
      </c>
      <c r="S544">
        <v>0</v>
      </c>
      <c r="T544">
        <v>0</v>
      </c>
      <c r="U544">
        <v>0</v>
      </c>
      <c r="V544">
        <v>0</v>
      </c>
      <c r="W544">
        <v>0</v>
      </c>
      <c r="X544">
        <v>0</v>
      </c>
      <c r="Y544">
        <v>0</v>
      </c>
      <c r="Z544">
        <v>0</v>
      </c>
      <c r="AA544">
        <v>0</v>
      </c>
      <c r="AB544">
        <v>0</v>
      </c>
      <c r="AC544">
        <v>1</v>
      </c>
      <c r="AD544">
        <v>0</v>
      </c>
      <c r="AE544" t="s">
        <v>245</v>
      </c>
      <c r="AF544">
        <v>10</v>
      </c>
      <c r="AG544" t="s">
        <v>235</v>
      </c>
      <c r="AH544">
        <v>46247</v>
      </c>
      <c r="AI544" t="s">
        <v>149</v>
      </c>
    </row>
    <row r="545" spans="1:35" x14ac:dyDescent="0.25">
      <c r="A545" s="1">
        <v>46248</v>
      </c>
      <c r="B545" t="s">
        <v>13</v>
      </c>
      <c r="C545" t="s">
        <v>12</v>
      </c>
      <c r="D545">
        <v>2.1602246880345199</v>
      </c>
      <c r="E545">
        <v>0</v>
      </c>
      <c r="F545">
        <v>0</v>
      </c>
      <c r="G545">
        <v>2.9896193771626298</v>
      </c>
      <c r="H545">
        <v>0</v>
      </c>
      <c r="I545">
        <v>0</v>
      </c>
      <c r="J545">
        <v>1.3839390845415873</v>
      </c>
      <c r="K545">
        <v>0.38393908454158732</v>
      </c>
      <c r="L545">
        <v>0</v>
      </c>
      <c r="M545">
        <v>0</v>
      </c>
      <c r="N545">
        <v>0</v>
      </c>
      <c r="O545">
        <v>0</v>
      </c>
      <c r="P545">
        <v>0</v>
      </c>
      <c r="Q545">
        <v>0</v>
      </c>
      <c r="R545">
        <v>0</v>
      </c>
      <c r="S545">
        <v>0</v>
      </c>
      <c r="T545">
        <v>0</v>
      </c>
      <c r="U545">
        <v>0</v>
      </c>
      <c r="V545">
        <v>0</v>
      </c>
      <c r="W545">
        <v>0</v>
      </c>
      <c r="X545">
        <v>0</v>
      </c>
      <c r="Y545">
        <v>0</v>
      </c>
      <c r="Z545">
        <v>0</v>
      </c>
      <c r="AA545">
        <v>0</v>
      </c>
      <c r="AB545">
        <v>0</v>
      </c>
      <c r="AC545">
        <v>1</v>
      </c>
      <c r="AD545">
        <v>0</v>
      </c>
      <c r="AE545" t="s">
        <v>245</v>
      </c>
      <c r="AF545">
        <v>10</v>
      </c>
      <c r="AG545" t="s">
        <v>236</v>
      </c>
      <c r="AH545">
        <v>46248</v>
      </c>
      <c r="AI545" t="s">
        <v>149</v>
      </c>
    </row>
    <row r="546" spans="1:35" x14ac:dyDescent="0.25">
      <c r="A546" s="1">
        <v>46248</v>
      </c>
      <c r="B546" t="s">
        <v>13</v>
      </c>
      <c r="C546" t="s">
        <v>11</v>
      </c>
      <c r="D546">
        <v>34.863531150920799</v>
      </c>
      <c r="E546">
        <v>0</v>
      </c>
      <c r="F546">
        <v>0</v>
      </c>
      <c r="G546">
        <v>1.8823529411764703</v>
      </c>
      <c r="H546">
        <v>0</v>
      </c>
      <c r="I546">
        <v>0</v>
      </c>
      <c r="J546">
        <v>5.3992033481288788E-2</v>
      </c>
      <c r="K546">
        <v>0</v>
      </c>
      <c r="L546">
        <v>0</v>
      </c>
      <c r="M546">
        <v>0</v>
      </c>
      <c r="N546">
        <v>0</v>
      </c>
      <c r="O546">
        <v>0</v>
      </c>
      <c r="P546">
        <v>0</v>
      </c>
      <c r="Q546">
        <v>0</v>
      </c>
      <c r="R546">
        <v>0</v>
      </c>
      <c r="S546">
        <v>0</v>
      </c>
      <c r="T546">
        <v>5.3992033481288788E-2</v>
      </c>
      <c r="U546">
        <v>0.94600796651871122</v>
      </c>
      <c r="V546">
        <v>0</v>
      </c>
      <c r="W546">
        <v>0</v>
      </c>
      <c r="X546">
        <v>0</v>
      </c>
      <c r="Y546">
        <v>0</v>
      </c>
      <c r="Z546">
        <v>0</v>
      </c>
      <c r="AA546">
        <v>0</v>
      </c>
      <c r="AB546">
        <v>0</v>
      </c>
      <c r="AC546">
        <v>0</v>
      </c>
      <c r="AD546">
        <v>0</v>
      </c>
      <c r="AE546" t="s">
        <v>245</v>
      </c>
      <c r="AF546">
        <v>10</v>
      </c>
      <c r="AG546" t="s">
        <v>237</v>
      </c>
      <c r="AH546">
        <v>46248</v>
      </c>
      <c r="AI546" t="s">
        <v>149</v>
      </c>
    </row>
    <row r="547" spans="1:35" x14ac:dyDescent="0.25">
      <c r="A547" s="1">
        <v>46248</v>
      </c>
      <c r="B547" t="s">
        <v>13</v>
      </c>
      <c r="C547" t="s">
        <v>10</v>
      </c>
      <c r="D547">
        <v>2.4127467182760478</v>
      </c>
      <c r="E547">
        <v>0</v>
      </c>
      <c r="F547">
        <v>0</v>
      </c>
      <c r="G547">
        <v>2.8235294117647065</v>
      </c>
      <c r="H547">
        <v>0</v>
      </c>
      <c r="I547">
        <v>0</v>
      </c>
      <c r="J547">
        <v>1.1702552076341319</v>
      </c>
      <c r="K547">
        <v>0.17025520763413193</v>
      </c>
      <c r="L547">
        <v>0</v>
      </c>
      <c r="M547">
        <v>0</v>
      </c>
      <c r="N547">
        <v>0</v>
      </c>
      <c r="O547">
        <v>0</v>
      </c>
      <c r="P547">
        <v>0</v>
      </c>
      <c r="Q547">
        <v>0</v>
      </c>
      <c r="R547">
        <v>0</v>
      </c>
      <c r="S547">
        <v>0</v>
      </c>
      <c r="T547">
        <v>0</v>
      </c>
      <c r="U547">
        <v>0</v>
      </c>
      <c r="V547">
        <v>0</v>
      </c>
      <c r="W547">
        <v>0</v>
      </c>
      <c r="X547">
        <v>0</v>
      </c>
      <c r="Y547">
        <v>0</v>
      </c>
      <c r="Z547">
        <v>0</v>
      </c>
      <c r="AA547">
        <v>0</v>
      </c>
      <c r="AB547">
        <v>0</v>
      </c>
      <c r="AC547">
        <v>1</v>
      </c>
      <c r="AD547">
        <v>0</v>
      </c>
      <c r="AE547" t="s">
        <v>245</v>
      </c>
      <c r="AF547">
        <v>10</v>
      </c>
      <c r="AG547" t="s">
        <v>238</v>
      </c>
      <c r="AH547">
        <v>46248</v>
      </c>
      <c r="AI547" t="s">
        <v>149</v>
      </c>
    </row>
    <row r="548" spans="1:35" x14ac:dyDescent="0.25">
      <c r="A548" s="1">
        <v>46249</v>
      </c>
      <c r="B548" t="s">
        <v>13</v>
      </c>
      <c r="C548" t="s">
        <v>12</v>
      </c>
      <c r="D548">
        <v>34.034356327576894</v>
      </c>
      <c r="E548">
        <v>0</v>
      </c>
      <c r="F548">
        <v>0</v>
      </c>
      <c r="G548">
        <v>4.1003460207612443</v>
      </c>
      <c r="H548">
        <v>0</v>
      </c>
      <c r="I548">
        <v>0</v>
      </c>
      <c r="J548">
        <v>0.12047667307986876</v>
      </c>
      <c r="K548">
        <v>0</v>
      </c>
      <c r="L548">
        <v>0</v>
      </c>
      <c r="M548">
        <v>0</v>
      </c>
      <c r="N548">
        <v>0</v>
      </c>
      <c r="O548">
        <v>0</v>
      </c>
      <c r="P548">
        <v>0</v>
      </c>
      <c r="Q548">
        <v>0</v>
      </c>
      <c r="R548">
        <v>0</v>
      </c>
      <c r="S548">
        <v>0</v>
      </c>
      <c r="T548">
        <v>0.12047667307986876</v>
      </c>
      <c r="U548">
        <v>0.87952332692013124</v>
      </c>
      <c r="V548">
        <v>0</v>
      </c>
      <c r="W548">
        <v>0</v>
      </c>
      <c r="X548">
        <v>0</v>
      </c>
      <c r="Y548">
        <v>0</v>
      </c>
      <c r="Z548">
        <v>0</v>
      </c>
      <c r="AA548">
        <v>0</v>
      </c>
      <c r="AB548">
        <v>0</v>
      </c>
      <c r="AC548">
        <v>0</v>
      </c>
      <c r="AD548">
        <v>0</v>
      </c>
      <c r="AE548" t="s">
        <v>245</v>
      </c>
      <c r="AF548">
        <v>10</v>
      </c>
      <c r="AG548" t="s">
        <v>239</v>
      </c>
      <c r="AH548">
        <v>46249</v>
      </c>
      <c r="AI548" t="s">
        <v>149</v>
      </c>
    </row>
    <row r="549" spans="1:35" x14ac:dyDescent="0.25">
      <c r="A549" s="1">
        <v>46249</v>
      </c>
      <c r="B549" t="s">
        <v>13</v>
      </c>
      <c r="C549" t="s">
        <v>11</v>
      </c>
      <c r="D549">
        <v>3.520956934700485</v>
      </c>
      <c r="E549">
        <v>0</v>
      </c>
      <c r="F549">
        <v>0</v>
      </c>
      <c r="G549">
        <v>2.8823529411764706</v>
      </c>
      <c r="H549">
        <v>0</v>
      </c>
      <c r="I549">
        <v>0</v>
      </c>
      <c r="J549">
        <v>0.81862771815516733</v>
      </c>
      <c r="K549">
        <v>0</v>
      </c>
      <c r="L549">
        <v>0</v>
      </c>
      <c r="M549">
        <v>0</v>
      </c>
      <c r="N549">
        <v>0</v>
      </c>
      <c r="O549">
        <v>0</v>
      </c>
      <c r="P549">
        <v>0</v>
      </c>
      <c r="Q549">
        <v>0</v>
      </c>
      <c r="R549">
        <v>0</v>
      </c>
      <c r="S549">
        <v>0</v>
      </c>
      <c r="T549">
        <v>0.81862771815516733</v>
      </c>
      <c r="U549">
        <v>0.18137228184483267</v>
      </c>
      <c r="V549">
        <v>0</v>
      </c>
      <c r="W549">
        <v>0</v>
      </c>
      <c r="X549">
        <v>0</v>
      </c>
      <c r="Y549">
        <v>0</v>
      </c>
      <c r="Z549">
        <v>0</v>
      </c>
      <c r="AA549">
        <v>0</v>
      </c>
      <c r="AB549">
        <v>0</v>
      </c>
      <c r="AC549">
        <v>0</v>
      </c>
      <c r="AD549">
        <v>0</v>
      </c>
      <c r="AE549" t="s">
        <v>245</v>
      </c>
      <c r="AF549">
        <v>10</v>
      </c>
      <c r="AG549" t="s">
        <v>240</v>
      </c>
      <c r="AH549">
        <v>46249</v>
      </c>
      <c r="AI549" t="s">
        <v>149</v>
      </c>
    </row>
    <row r="550" spans="1:35" x14ac:dyDescent="0.25">
      <c r="A550" s="1">
        <v>46250</v>
      </c>
      <c r="B550" t="s">
        <v>13</v>
      </c>
      <c r="C550" t="s">
        <v>10</v>
      </c>
      <c r="D550">
        <v>2.3224751798884684</v>
      </c>
      <c r="E550">
        <v>0</v>
      </c>
      <c r="F550">
        <v>0</v>
      </c>
      <c r="G550">
        <v>4.1323529411764692</v>
      </c>
      <c r="H550">
        <v>0</v>
      </c>
      <c r="I550">
        <v>0</v>
      </c>
      <c r="J550">
        <v>1.7792883114362996</v>
      </c>
      <c r="K550">
        <v>0.77928831143629962</v>
      </c>
      <c r="L550">
        <v>0</v>
      </c>
      <c r="M550">
        <v>0</v>
      </c>
      <c r="N550">
        <v>0</v>
      </c>
      <c r="O550">
        <v>0</v>
      </c>
      <c r="P550">
        <v>0</v>
      </c>
      <c r="Q550">
        <v>0</v>
      </c>
      <c r="R550">
        <v>0</v>
      </c>
      <c r="S550">
        <v>0</v>
      </c>
      <c r="T550">
        <v>0</v>
      </c>
      <c r="U550">
        <v>0</v>
      </c>
      <c r="V550">
        <v>0</v>
      </c>
      <c r="W550">
        <v>0</v>
      </c>
      <c r="X550">
        <v>0</v>
      </c>
      <c r="Y550">
        <v>0</v>
      </c>
      <c r="Z550">
        <v>0</v>
      </c>
      <c r="AA550">
        <v>0</v>
      </c>
      <c r="AB550">
        <v>0</v>
      </c>
      <c r="AC550">
        <v>1</v>
      </c>
      <c r="AD550">
        <v>0</v>
      </c>
      <c r="AE550" t="s">
        <v>245</v>
      </c>
      <c r="AF550">
        <v>10</v>
      </c>
      <c r="AG550" t="s">
        <v>242</v>
      </c>
      <c r="AH550">
        <v>46250</v>
      </c>
      <c r="AI550" t="s">
        <v>149</v>
      </c>
    </row>
    <row r="551" spans="1:35" x14ac:dyDescent="0.25">
      <c r="A551" s="1">
        <v>46250</v>
      </c>
      <c r="B551" t="s">
        <v>13</v>
      </c>
      <c r="C551" t="s">
        <v>11</v>
      </c>
      <c r="D551">
        <v>50.145543577981634</v>
      </c>
      <c r="E551">
        <v>0</v>
      </c>
      <c r="F551">
        <v>0</v>
      </c>
      <c r="G551">
        <v>0</v>
      </c>
      <c r="H551">
        <v>0</v>
      </c>
      <c r="I551">
        <v>0</v>
      </c>
      <c r="J551">
        <v>0</v>
      </c>
      <c r="K551">
        <v>0</v>
      </c>
      <c r="L551">
        <v>0</v>
      </c>
      <c r="M551">
        <v>0</v>
      </c>
      <c r="N551">
        <v>0</v>
      </c>
      <c r="O551">
        <v>0</v>
      </c>
      <c r="P551">
        <v>0</v>
      </c>
      <c r="Q551">
        <v>0</v>
      </c>
      <c r="R551">
        <v>0</v>
      </c>
      <c r="S551">
        <v>0</v>
      </c>
      <c r="T551">
        <v>0</v>
      </c>
      <c r="U551">
        <v>1</v>
      </c>
      <c r="V551">
        <v>0</v>
      </c>
      <c r="W551">
        <v>0</v>
      </c>
      <c r="X551">
        <v>0</v>
      </c>
      <c r="Y551">
        <v>0</v>
      </c>
      <c r="Z551">
        <v>0</v>
      </c>
      <c r="AA551">
        <v>0</v>
      </c>
      <c r="AB551">
        <v>0</v>
      </c>
      <c r="AC551">
        <v>0</v>
      </c>
      <c r="AD551">
        <v>0</v>
      </c>
      <c r="AE551" t="s">
        <v>245</v>
      </c>
      <c r="AF551">
        <v>10</v>
      </c>
      <c r="AG551" t="s">
        <v>243</v>
      </c>
      <c r="AH551">
        <v>46250</v>
      </c>
      <c r="AI551" t="s">
        <v>149</v>
      </c>
    </row>
    <row r="552" spans="1:35" x14ac:dyDescent="0.25">
      <c r="A552" s="1">
        <v>46223</v>
      </c>
      <c r="B552" t="s">
        <v>13</v>
      </c>
      <c r="C552" t="s">
        <v>12</v>
      </c>
      <c r="D552">
        <v>2.6935134000419843</v>
      </c>
      <c r="E552">
        <v>2.8499999999999996</v>
      </c>
      <c r="F552">
        <v>2.8499999999999996</v>
      </c>
      <c r="G552">
        <v>1.7716262975778552</v>
      </c>
      <c r="H552">
        <v>1.0580975761826825</v>
      </c>
      <c r="I552">
        <v>1.0580975761826825</v>
      </c>
      <c r="J552">
        <v>0.65773806714688721</v>
      </c>
      <c r="K552">
        <v>0</v>
      </c>
      <c r="L552">
        <v>0</v>
      </c>
      <c r="M552">
        <v>0</v>
      </c>
      <c r="N552">
        <v>0</v>
      </c>
      <c r="O552">
        <v>0</v>
      </c>
      <c r="P552">
        <v>0</v>
      </c>
      <c r="Q552">
        <v>0</v>
      </c>
      <c r="R552">
        <v>0</v>
      </c>
      <c r="S552">
        <v>5.809757618268252E-2</v>
      </c>
      <c r="T552">
        <v>0</v>
      </c>
      <c r="U552">
        <v>0</v>
      </c>
      <c r="V552">
        <v>0</v>
      </c>
      <c r="W552">
        <v>0.34226193285311279</v>
      </c>
      <c r="X552">
        <v>0</v>
      </c>
      <c r="Y552">
        <v>0.65773806714688721</v>
      </c>
      <c r="Z552">
        <v>0</v>
      </c>
      <c r="AA552">
        <v>0</v>
      </c>
      <c r="AB552">
        <v>0</v>
      </c>
      <c r="AC552">
        <v>0</v>
      </c>
      <c r="AD552">
        <v>0</v>
      </c>
      <c r="AE552" t="s">
        <v>246</v>
      </c>
      <c r="AF552">
        <v>10</v>
      </c>
      <c r="AG552" t="s">
        <v>162</v>
      </c>
      <c r="AH552">
        <v>46223</v>
      </c>
      <c r="AI552" t="s">
        <v>149</v>
      </c>
    </row>
    <row r="553" spans="1:35" x14ac:dyDescent="0.25">
      <c r="A553" s="1">
        <v>46223</v>
      </c>
      <c r="B553" t="s">
        <v>13</v>
      </c>
      <c r="C553" t="s">
        <v>10</v>
      </c>
      <c r="D553">
        <v>2.6281031573873226</v>
      </c>
      <c r="E553">
        <v>5.6999999999999993</v>
      </c>
      <c r="F553">
        <v>5.6999999999999993</v>
      </c>
      <c r="G553">
        <v>0</v>
      </c>
      <c r="H553">
        <v>2.1688646368305204</v>
      </c>
      <c r="I553">
        <v>2.1688646368305204</v>
      </c>
      <c r="J553">
        <v>0</v>
      </c>
      <c r="K553">
        <v>0</v>
      </c>
      <c r="L553">
        <v>0</v>
      </c>
      <c r="M553">
        <v>0</v>
      </c>
      <c r="N553">
        <v>0</v>
      </c>
      <c r="O553">
        <v>0</v>
      </c>
      <c r="P553">
        <v>0</v>
      </c>
      <c r="Q553">
        <v>0</v>
      </c>
      <c r="R553">
        <v>0</v>
      </c>
      <c r="S553">
        <v>0</v>
      </c>
      <c r="T553">
        <v>0</v>
      </c>
      <c r="U553">
        <v>0</v>
      </c>
      <c r="V553">
        <v>0</v>
      </c>
      <c r="W553">
        <v>0</v>
      </c>
      <c r="X553">
        <v>0</v>
      </c>
      <c r="Y553">
        <v>0</v>
      </c>
      <c r="Z553">
        <v>1</v>
      </c>
      <c r="AA553">
        <v>0</v>
      </c>
      <c r="AB553">
        <v>0</v>
      </c>
      <c r="AC553">
        <v>0</v>
      </c>
      <c r="AD553">
        <v>0</v>
      </c>
      <c r="AE553" t="s">
        <v>246</v>
      </c>
      <c r="AF553">
        <v>10</v>
      </c>
      <c r="AG553" t="s">
        <v>163</v>
      </c>
      <c r="AH553">
        <v>46223</v>
      </c>
      <c r="AI553" t="s">
        <v>149</v>
      </c>
    </row>
    <row r="554" spans="1:35" x14ac:dyDescent="0.25">
      <c r="A554" s="1">
        <v>46223</v>
      </c>
      <c r="B554" t="s">
        <v>13</v>
      </c>
      <c r="C554" t="s">
        <v>11</v>
      </c>
      <c r="D554">
        <v>2.4372591552890133</v>
      </c>
      <c r="E554">
        <v>0</v>
      </c>
      <c r="F554">
        <v>0</v>
      </c>
      <c r="G554">
        <v>2.0078431372549019</v>
      </c>
      <c r="H554">
        <v>0</v>
      </c>
      <c r="I554">
        <v>0</v>
      </c>
      <c r="J554">
        <v>0.82381191712738044</v>
      </c>
      <c r="K554">
        <v>0</v>
      </c>
      <c r="L554">
        <v>0</v>
      </c>
      <c r="M554">
        <v>0</v>
      </c>
      <c r="N554">
        <v>0</v>
      </c>
      <c r="O554">
        <v>0</v>
      </c>
      <c r="P554">
        <v>0</v>
      </c>
      <c r="Q554">
        <v>0</v>
      </c>
      <c r="R554">
        <v>0</v>
      </c>
      <c r="S554">
        <v>0</v>
      </c>
      <c r="T554">
        <v>0.82381191712738044</v>
      </c>
      <c r="U554">
        <v>0.17618808287261956</v>
      </c>
      <c r="V554">
        <v>0</v>
      </c>
      <c r="W554">
        <v>0</v>
      </c>
      <c r="X554">
        <v>0</v>
      </c>
      <c r="Y554">
        <v>0</v>
      </c>
      <c r="Z554">
        <v>0</v>
      </c>
      <c r="AA554">
        <v>0</v>
      </c>
      <c r="AB554">
        <v>0</v>
      </c>
      <c r="AC554">
        <v>0</v>
      </c>
      <c r="AD554">
        <v>0</v>
      </c>
      <c r="AE554" t="s">
        <v>246</v>
      </c>
      <c r="AF554">
        <v>10</v>
      </c>
      <c r="AG554" t="s">
        <v>161</v>
      </c>
      <c r="AH554">
        <v>46223</v>
      </c>
      <c r="AI554" t="s">
        <v>149</v>
      </c>
    </row>
    <row r="555" spans="1:35" x14ac:dyDescent="0.25">
      <c r="A555" s="1">
        <v>46224</v>
      </c>
      <c r="B555" t="s">
        <v>13</v>
      </c>
      <c r="C555" t="s">
        <v>12</v>
      </c>
      <c r="D555">
        <v>2.9464208242950107</v>
      </c>
      <c r="E555">
        <v>0.95</v>
      </c>
      <c r="F555">
        <v>0.95</v>
      </c>
      <c r="G555">
        <v>1.7716262975778552</v>
      </c>
      <c r="H555">
        <v>0.32242509018626225</v>
      </c>
      <c r="I555">
        <v>0.32242509018626225</v>
      </c>
      <c r="J555">
        <v>0.60128080923462512</v>
      </c>
      <c r="K555">
        <v>0</v>
      </c>
      <c r="L555">
        <v>0</v>
      </c>
      <c r="M555">
        <v>0</v>
      </c>
      <c r="N555">
        <v>0</v>
      </c>
      <c r="O555">
        <v>0</v>
      </c>
      <c r="P555">
        <v>0</v>
      </c>
      <c r="Q555">
        <v>0</v>
      </c>
      <c r="R555">
        <v>0</v>
      </c>
      <c r="S555">
        <v>0</v>
      </c>
      <c r="T555">
        <v>0.27885571904836287</v>
      </c>
      <c r="U555">
        <v>0.39871919076537488</v>
      </c>
      <c r="V555">
        <v>0</v>
      </c>
      <c r="W555">
        <v>0</v>
      </c>
      <c r="X555">
        <v>0</v>
      </c>
      <c r="Y555">
        <v>0.32242509018626225</v>
      </c>
      <c r="Z555">
        <v>0</v>
      </c>
      <c r="AA555">
        <v>0</v>
      </c>
      <c r="AB555">
        <v>0</v>
      </c>
      <c r="AC555">
        <v>0</v>
      </c>
      <c r="AD555">
        <v>0</v>
      </c>
      <c r="AE555" t="s">
        <v>246</v>
      </c>
      <c r="AF555">
        <v>10</v>
      </c>
      <c r="AG555" t="s">
        <v>166</v>
      </c>
      <c r="AH555">
        <v>46224</v>
      </c>
      <c r="AI555" t="s">
        <v>149</v>
      </c>
    </row>
    <row r="556" spans="1:35" x14ac:dyDescent="0.25">
      <c r="A556" s="1">
        <v>46224</v>
      </c>
      <c r="B556" t="s">
        <v>13</v>
      </c>
      <c r="C556" t="s">
        <v>11</v>
      </c>
      <c r="D556">
        <v>2.4468546637744035</v>
      </c>
      <c r="E556">
        <v>0</v>
      </c>
      <c r="F556">
        <v>0</v>
      </c>
      <c r="G556">
        <v>2.0078431372549019</v>
      </c>
      <c r="H556">
        <v>0</v>
      </c>
      <c r="I556">
        <v>0</v>
      </c>
      <c r="J556">
        <v>0.82058128215825332</v>
      </c>
      <c r="K556">
        <v>0</v>
      </c>
      <c r="L556">
        <v>0</v>
      </c>
      <c r="M556">
        <v>0</v>
      </c>
      <c r="N556">
        <v>0</v>
      </c>
      <c r="O556">
        <v>0</v>
      </c>
      <c r="P556">
        <v>0</v>
      </c>
      <c r="Q556">
        <v>0</v>
      </c>
      <c r="R556">
        <v>0</v>
      </c>
      <c r="S556">
        <v>0</v>
      </c>
      <c r="T556">
        <v>0.82058128215825332</v>
      </c>
      <c r="U556">
        <v>0.17941871784174668</v>
      </c>
      <c r="V556">
        <v>0</v>
      </c>
      <c r="W556">
        <v>0</v>
      </c>
      <c r="X556">
        <v>0</v>
      </c>
      <c r="Y556">
        <v>0</v>
      </c>
      <c r="Z556">
        <v>0</v>
      </c>
      <c r="AA556">
        <v>0</v>
      </c>
      <c r="AB556">
        <v>0</v>
      </c>
      <c r="AC556">
        <v>0</v>
      </c>
      <c r="AD556">
        <v>0</v>
      </c>
      <c r="AE556" t="s">
        <v>246</v>
      </c>
      <c r="AF556">
        <v>10</v>
      </c>
      <c r="AG556" t="s">
        <v>164</v>
      </c>
      <c r="AH556">
        <v>46224</v>
      </c>
      <c r="AI556" t="s">
        <v>149</v>
      </c>
    </row>
    <row r="557" spans="1:35" x14ac:dyDescent="0.25">
      <c r="A557" s="1">
        <v>46224</v>
      </c>
      <c r="B557" t="s">
        <v>13</v>
      </c>
      <c r="C557" t="s">
        <v>10</v>
      </c>
      <c r="D557">
        <v>3.6211146875656017</v>
      </c>
      <c r="E557">
        <v>5.6999999999999993</v>
      </c>
      <c r="F557">
        <v>5.6999999999999993</v>
      </c>
      <c r="G557">
        <v>0.23529411764705879</v>
      </c>
      <c r="H557">
        <v>1.5741009307363274</v>
      </c>
      <c r="I557">
        <v>1.5741009307363274</v>
      </c>
      <c r="J557">
        <v>6.4978366593862844E-2</v>
      </c>
      <c r="K557">
        <v>0</v>
      </c>
      <c r="L557">
        <v>0</v>
      </c>
      <c r="M557">
        <v>0.3241009307363274</v>
      </c>
      <c r="N557">
        <v>0</v>
      </c>
      <c r="O557">
        <v>0</v>
      </c>
      <c r="P557">
        <v>0</v>
      </c>
      <c r="Q557">
        <v>0</v>
      </c>
      <c r="R557">
        <v>0</v>
      </c>
      <c r="S557">
        <v>0.25</v>
      </c>
      <c r="T557">
        <v>0</v>
      </c>
      <c r="U557">
        <v>0</v>
      </c>
      <c r="V557">
        <v>0</v>
      </c>
      <c r="W557">
        <v>0.9350216334061372</v>
      </c>
      <c r="X557">
        <v>0</v>
      </c>
      <c r="Y557">
        <v>6.4978366593862844E-2</v>
      </c>
      <c r="Z557">
        <v>0</v>
      </c>
      <c r="AA557">
        <v>0</v>
      </c>
      <c r="AB557">
        <v>0</v>
      </c>
      <c r="AC557">
        <v>0</v>
      </c>
      <c r="AD557">
        <v>0</v>
      </c>
      <c r="AE557" t="s">
        <v>246</v>
      </c>
      <c r="AF557">
        <v>10</v>
      </c>
      <c r="AG557" t="s">
        <v>165</v>
      </c>
      <c r="AH557">
        <v>46224</v>
      </c>
      <c r="AI557" t="s">
        <v>149</v>
      </c>
    </row>
    <row r="558" spans="1:35" x14ac:dyDescent="0.25">
      <c r="A558" s="1">
        <v>46225</v>
      </c>
      <c r="B558" t="s">
        <v>13</v>
      </c>
      <c r="C558" t="s">
        <v>12</v>
      </c>
      <c r="D558">
        <v>2.6093411062906724</v>
      </c>
      <c r="E558">
        <v>4.75</v>
      </c>
      <c r="F558">
        <v>4.75</v>
      </c>
      <c r="G558">
        <v>1.7716262975778552</v>
      </c>
      <c r="H558">
        <v>1.8203829267659055</v>
      </c>
      <c r="I558">
        <v>1.8203829267659055</v>
      </c>
      <c r="J558">
        <v>0.67895542415162546</v>
      </c>
      <c r="K558">
        <v>0</v>
      </c>
      <c r="L558">
        <v>0</v>
      </c>
      <c r="M558">
        <v>0.57038292676590552</v>
      </c>
      <c r="N558">
        <v>0</v>
      </c>
      <c r="O558">
        <v>0</v>
      </c>
      <c r="P558">
        <v>0</v>
      </c>
      <c r="Q558">
        <v>0</v>
      </c>
      <c r="R558">
        <v>0</v>
      </c>
      <c r="S558">
        <v>0.25</v>
      </c>
      <c r="T558">
        <v>0</v>
      </c>
      <c r="U558">
        <v>0</v>
      </c>
      <c r="V558">
        <v>0</v>
      </c>
      <c r="W558">
        <v>0.32104457584837454</v>
      </c>
      <c r="X558">
        <v>0</v>
      </c>
      <c r="Y558">
        <v>0.67895542415162546</v>
      </c>
      <c r="Z558">
        <v>0</v>
      </c>
      <c r="AA558">
        <v>0</v>
      </c>
      <c r="AB558">
        <v>0</v>
      </c>
      <c r="AC558">
        <v>0</v>
      </c>
      <c r="AD558">
        <v>0</v>
      </c>
      <c r="AE558" t="s">
        <v>246</v>
      </c>
      <c r="AF558">
        <v>10</v>
      </c>
      <c r="AG558" t="s">
        <v>168</v>
      </c>
      <c r="AH558">
        <v>46225</v>
      </c>
      <c r="AI558" t="s">
        <v>149</v>
      </c>
    </row>
    <row r="559" spans="1:35" x14ac:dyDescent="0.25">
      <c r="A559" s="1">
        <v>46225</v>
      </c>
      <c r="B559" t="s">
        <v>13</v>
      </c>
      <c r="C559" t="s">
        <v>10</v>
      </c>
      <c r="D559">
        <v>4.2877304772234277</v>
      </c>
      <c r="E559">
        <v>3.8</v>
      </c>
      <c r="F559">
        <v>3.8</v>
      </c>
      <c r="G559">
        <v>0.23529411764705879</v>
      </c>
      <c r="H559">
        <v>0.88624973518875105</v>
      </c>
      <c r="I559">
        <v>0.88624973518875105</v>
      </c>
      <c r="J559">
        <v>5.4876144593730705E-2</v>
      </c>
      <c r="K559">
        <v>0</v>
      </c>
      <c r="L559">
        <v>0</v>
      </c>
      <c r="M559">
        <v>0</v>
      </c>
      <c r="N559">
        <v>0</v>
      </c>
      <c r="O559">
        <v>0</v>
      </c>
      <c r="P559">
        <v>0</v>
      </c>
      <c r="Q559">
        <v>0</v>
      </c>
      <c r="R559">
        <v>0</v>
      </c>
      <c r="S559">
        <v>0</v>
      </c>
      <c r="T559">
        <v>0</v>
      </c>
      <c r="U559">
        <v>0.11375026481124895</v>
      </c>
      <c r="V559">
        <v>0</v>
      </c>
      <c r="W559">
        <v>0.83137359059502036</v>
      </c>
      <c r="X559">
        <v>0</v>
      </c>
      <c r="Y559">
        <v>5.4876144593730705E-2</v>
      </c>
      <c r="Z559">
        <v>0</v>
      </c>
      <c r="AA559">
        <v>0</v>
      </c>
      <c r="AB559">
        <v>0</v>
      </c>
      <c r="AC559">
        <v>0</v>
      </c>
      <c r="AD559">
        <v>0</v>
      </c>
      <c r="AE559" t="s">
        <v>246</v>
      </c>
      <c r="AF559">
        <v>10</v>
      </c>
      <c r="AG559" t="s">
        <v>167</v>
      </c>
      <c r="AH559">
        <v>46225</v>
      </c>
      <c r="AI559" t="s">
        <v>149</v>
      </c>
    </row>
    <row r="560" spans="1:35" x14ac:dyDescent="0.25">
      <c r="A560" s="1">
        <v>46225</v>
      </c>
      <c r="B560" t="s">
        <v>13</v>
      </c>
      <c r="C560" t="s">
        <v>11</v>
      </c>
      <c r="D560">
        <v>1.5873185382946773</v>
      </c>
      <c r="E560">
        <v>0</v>
      </c>
      <c r="F560">
        <v>0</v>
      </c>
      <c r="G560">
        <v>2.0078431372549019</v>
      </c>
      <c r="H560">
        <v>0</v>
      </c>
      <c r="I560">
        <v>0</v>
      </c>
      <c r="J560">
        <v>1.264927668149086</v>
      </c>
      <c r="K560">
        <v>0.26492766814908597</v>
      </c>
      <c r="L560">
        <v>0</v>
      </c>
      <c r="M560">
        <v>0</v>
      </c>
      <c r="N560">
        <v>0</v>
      </c>
      <c r="O560">
        <v>0</v>
      </c>
      <c r="P560">
        <v>0</v>
      </c>
      <c r="Q560">
        <v>0</v>
      </c>
      <c r="R560">
        <v>0</v>
      </c>
      <c r="S560">
        <v>0</v>
      </c>
      <c r="T560">
        <v>0</v>
      </c>
      <c r="U560">
        <v>0</v>
      </c>
      <c r="V560">
        <v>0</v>
      </c>
      <c r="W560">
        <v>0</v>
      </c>
      <c r="X560">
        <v>0</v>
      </c>
      <c r="Y560">
        <v>0</v>
      </c>
      <c r="Z560">
        <v>0</v>
      </c>
      <c r="AA560">
        <v>0</v>
      </c>
      <c r="AB560">
        <v>0</v>
      </c>
      <c r="AC560">
        <v>1</v>
      </c>
      <c r="AD560">
        <v>0</v>
      </c>
      <c r="AE560" t="s">
        <v>246</v>
      </c>
      <c r="AF560">
        <v>10</v>
      </c>
      <c r="AG560" t="s">
        <v>169</v>
      </c>
      <c r="AH560">
        <v>46225</v>
      </c>
      <c r="AI560" t="s">
        <v>149</v>
      </c>
    </row>
    <row r="561" spans="1:35" x14ac:dyDescent="0.25">
      <c r="A561" s="1">
        <v>46226</v>
      </c>
      <c r="B561" t="s">
        <v>13</v>
      </c>
      <c r="C561" t="s">
        <v>12</v>
      </c>
      <c r="D561">
        <v>1.4824190049681616</v>
      </c>
      <c r="E561">
        <v>3.8</v>
      </c>
      <c r="F561">
        <v>3.8</v>
      </c>
      <c r="G561">
        <v>1.7716262975778552</v>
      </c>
      <c r="H561">
        <v>2.5633778218335874</v>
      </c>
      <c r="I561">
        <v>2.5633778218335874</v>
      </c>
      <c r="J561">
        <v>1.1950914631021645</v>
      </c>
      <c r="K561">
        <v>0</v>
      </c>
      <c r="L561">
        <v>0</v>
      </c>
      <c r="M561">
        <v>1.3133778218335874</v>
      </c>
      <c r="N561">
        <v>0</v>
      </c>
      <c r="O561">
        <v>0</v>
      </c>
      <c r="P561">
        <v>0</v>
      </c>
      <c r="Q561">
        <v>0.19509146310216452</v>
      </c>
      <c r="R561">
        <v>0</v>
      </c>
      <c r="S561">
        <v>5.490853689783548E-2</v>
      </c>
      <c r="T561">
        <v>0</v>
      </c>
      <c r="U561">
        <v>0</v>
      </c>
      <c r="V561">
        <v>0</v>
      </c>
      <c r="W561">
        <v>0</v>
      </c>
      <c r="X561">
        <v>0</v>
      </c>
      <c r="Y561">
        <v>1</v>
      </c>
      <c r="Z561">
        <v>0</v>
      </c>
      <c r="AA561">
        <v>0</v>
      </c>
      <c r="AB561">
        <v>0</v>
      </c>
      <c r="AC561">
        <v>0</v>
      </c>
      <c r="AD561">
        <v>0</v>
      </c>
      <c r="AE561" t="s">
        <v>246</v>
      </c>
      <c r="AF561">
        <v>10</v>
      </c>
      <c r="AG561" t="s">
        <v>170</v>
      </c>
      <c r="AH561">
        <v>46226</v>
      </c>
      <c r="AI561" t="s">
        <v>149</v>
      </c>
    </row>
    <row r="562" spans="1:35" x14ac:dyDescent="0.25">
      <c r="A562" s="1">
        <v>46226</v>
      </c>
      <c r="B562" t="s">
        <v>13</v>
      </c>
      <c r="C562" t="s">
        <v>11</v>
      </c>
      <c r="D562">
        <v>2.621629996901147</v>
      </c>
      <c r="E562">
        <v>0</v>
      </c>
      <c r="F562">
        <v>0</v>
      </c>
      <c r="G562">
        <v>2.0078431372549019</v>
      </c>
      <c r="H562">
        <v>0</v>
      </c>
      <c r="I562">
        <v>0</v>
      </c>
      <c r="J562">
        <v>0.76587586334770308</v>
      </c>
      <c r="K562">
        <v>0</v>
      </c>
      <c r="L562">
        <v>0</v>
      </c>
      <c r="M562">
        <v>0</v>
      </c>
      <c r="N562">
        <v>0</v>
      </c>
      <c r="O562">
        <v>0</v>
      </c>
      <c r="P562">
        <v>0</v>
      </c>
      <c r="Q562">
        <v>0</v>
      </c>
      <c r="R562">
        <v>0</v>
      </c>
      <c r="S562">
        <v>0</v>
      </c>
      <c r="T562">
        <v>0.76587586334770308</v>
      </c>
      <c r="U562">
        <v>0.23412413665229692</v>
      </c>
      <c r="V562">
        <v>0</v>
      </c>
      <c r="W562">
        <v>0</v>
      </c>
      <c r="X562">
        <v>0</v>
      </c>
      <c r="Y562">
        <v>0</v>
      </c>
      <c r="Z562">
        <v>0</v>
      </c>
      <c r="AA562">
        <v>0</v>
      </c>
      <c r="AB562">
        <v>0</v>
      </c>
      <c r="AC562">
        <v>0</v>
      </c>
      <c r="AD562">
        <v>0</v>
      </c>
      <c r="AE562" t="s">
        <v>246</v>
      </c>
      <c r="AF562">
        <v>10</v>
      </c>
      <c r="AG562" t="s">
        <v>172</v>
      </c>
      <c r="AH562">
        <v>46226</v>
      </c>
      <c r="AI562" t="s">
        <v>149</v>
      </c>
    </row>
    <row r="563" spans="1:35" x14ac:dyDescent="0.25">
      <c r="A563" s="1">
        <v>46226</v>
      </c>
      <c r="B563" t="s">
        <v>13</v>
      </c>
      <c r="C563" t="s">
        <v>10</v>
      </c>
      <c r="D563">
        <v>8.4736907344282635</v>
      </c>
      <c r="E563">
        <v>2.8499999999999996</v>
      </c>
      <c r="F563">
        <v>2.8499999999999996</v>
      </c>
      <c r="G563">
        <v>0.23529411764705879</v>
      </c>
      <c r="H563">
        <v>0.33633514478178494</v>
      </c>
      <c r="I563">
        <v>0.33633514478178494</v>
      </c>
      <c r="J563">
        <v>2.7767607412324868E-2</v>
      </c>
      <c r="K563">
        <v>0</v>
      </c>
      <c r="L563">
        <v>0</v>
      </c>
      <c r="M563">
        <v>0</v>
      </c>
      <c r="N563">
        <v>0</v>
      </c>
      <c r="O563">
        <v>0</v>
      </c>
      <c r="P563">
        <v>0</v>
      </c>
      <c r="Q563">
        <v>0</v>
      </c>
      <c r="R563">
        <v>0</v>
      </c>
      <c r="S563">
        <v>0</v>
      </c>
      <c r="T563">
        <v>0</v>
      </c>
      <c r="U563">
        <v>0.66366485521821506</v>
      </c>
      <c r="V563">
        <v>0</v>
      </c>
      <c r="W563">
        <v>0.30856753736946008</v>
      </c>
      <c r="X563">
        <v>0</v>
      </c>
      <c r="Y563">
        <v>2.7767607412324868E-2</v>
      </c>
      <c r="Z563">
        <v>0</v>
      </c>
      <c r="AA563">
        <v>0</v>
      </c>
      <c r="AB563">
        <v>0</v>
      </c>
      <c r="AC563">
        <v>0</v>
      </c>
      <c r="AD563">
        <v>0</v>
      </c>
      <c r="AE563" t="s">
        <v>246</v>
      </c>
      <c r="AF563">
        <v>10</v>
      </c>
      <c r="AG563" t="s">
        <v>171</v>
      </c>
      <c r="AH563">
        <v>46226</v>
      </c>
      <c r="AI563" t="s">
        <v>149</v>
      </c>
    </row>
    <row r="564" spans="1:35" x14ac:dyDescent="0.25">
      <c r="A564" s="1">
        <v>46227</v>
      </c>
      <c r="B564" t="s">
        <v>13</v>
      </c>
      <c r="C564" t="s">
        <v>12</v>
      </c>
      <c r="D564">
        <v>1.6822125813449025</v>
      </c>
      <c r="E564">
        <v>3.8</v>
      </c>
      <c r="F564">
        <v>3.8</v>
      </c>
      <c r="G564">
        <v>1.7716262975778552</v>
      </c>
      <c r="H564">
        <v>2.2589297227595098</v>
      </c>
      <c r="I564">
        <v>2.2589297227595098</v>
      </c>
      <c r="J564">
        <v>1.0531524476897371</v>
      </c>
      <c r="K564">
        <v>0</v>
      </c>
      <c r="L564">
        <v>0</v>
      </c>
      <c r="M564">
        <v>1.0089297227595098</v>
      </c>
      <c r="N564">
        <v>0</v>
      </c>
      <c r="O564">
        <v>0</v>
      </c>
      <c r="P564">
        <v>0</v>
      </c>
      <c r="Q564">
        <v>5.3152447689737148E-2</v>
      </c>
      <c r="R564">
        <v>0</v>
      </c>
      <c r="S564">
        <v>0.19684755231026285</v>
      </c>
      <c r="T564">
        <v>0</v>
      </c>
      <c r="U564">
        <v>0</v>
      </c>
      <c r="V564">
        <v>0</v>
      </c>
      <c r="W564">
        <v>0</v>
      </c>
      <c r="X564">
        <v>0</v>
      </c>
      <c r="Y564">
        <v>1</v>
      </c>
      <c r="Z564">
        <v>0</v>
      </c>
      <c r="AA564">
        <v>0</v>
      </c>
      <c r="AB564">
        <v>0</v>
      </c>
      <c r="AC564">
        <v>0</v>
      </c>
      <c r="AD564">
        <v>0</v>
      </c>
      <c r="AE564" t="s">
        <v>246</v>
      </c>
      <c r="AF564">
        <v>10</v>
      </c>
      <c r="AG564" t="s">
        <v>175</v>
      </c>
      <c r="AH564">
        <v>46227</v>
      </c>
      <c r="AI564" t="s">
        <v>149</v>
      </c>
    </row>
    <row r="565" spans="1:35" x14ac:dyDescent="0.25">
      <c r="A565" s="1">
        <v>46227</v>
      </c>
      <c r="B565" t="s">
        <v>13</v>
      </c>
      <c r="C565" t="s">
        <v>11</v>
      </c>
      <c r="D565">
        <v>2.446854663774404</v>
      </c>
      <c r="E565">
        <v>0</v>
      </c>
      <c r="F565">
        <v>0</v>
      </c>
      <c r="G565">
        <v>2.0078431372549019</v>
      </c>
      <c r="H565">
        <v>0</v>
      </c>
      <c r="I565">
        <v>0</v>
      </c>
      <c r="J565">
        <v>0.82058128215825321</v>
      </c>
      <c r="K565">
        <v>0</v>
      </c>
      <c r="L565">
        <v>0</v>
      </c>
      <c r="M565">
        <v>0</v>
      </c>
      <c r="N565">
        <v>0</v>
      </c>
      <c r="O565">
        <v>0</v>
      </c>
      <c r="P565">
        <v>0</v>
      </c>
      <c r="Q565">
        <v>0</v>
      </c>
      <c r="R565">
        <v>0</v>
      </c>
      <c r="S565">
        <v>0</v>
      </c>
      <c r="T565">
        <v>0.82058128215825321</v>
      </c>
      <c r="U565">
        <v>0.17941871784174679</v>
      </c>
      <c r="V565">
        <v>0</v>
      </c>
      <c r="W565">
        <v>0</v>
      </c>
      <c r="X565">
        <v>0</v>
      </c>
      <c r="Y565">
        <v>0</v>
      </c>
      <c r="Z565">
        <v>0</v>
      </c>
      <c r="AA565">
        <v>0</v>
      </c>
      <c r="AB565">
        <v>0</v>
      </c>
      <c r="AC565">
        <v>0</v>
      </c>
      <c r="AD565">
        <v>0</v>
      </c>
      <c r="AE565" t="s">
        <v>246</v>
      </c>
      <c r="AF565">
        <v>10</v>
      </c>
      <c r="AG565" t="s">
        <v>174</v>
      </c>
      <c r="AH565">
        <v>46227</v>
      </c>
      <c r="AI565" t="s">
        <v>149</v>
      </c>
    </row>
    <row r="566" spans="1:35" x14ac:dyDescent="0.25">
      <c r="A566" s="1">
        <v>46227</v>
      </c>
      <c r="B566" t="s">
        <v>13</v>
      </c>
      <c r="C566" t="s">
        <v>10</v>
      </c>
      <c r="D566">
        <v>10.399132321041217</v>
      </c>
      <c r="E566">
        <v>2.8499999999999996</v>
      </c>
      <c r="F566">
        <v>2.8499999999999996</v>
      </c>
      <c r="G566">
        <v>0.23529411764705879</v>
      </c>
      <c r="H566">
        <v>0.27406132665832283</v>
      </c>
      <c r="I566">
        <v>0.27406132665832283</v>
      </c>
      <c r="J566">
        <v>2.2626322118334187E-2</v>
      </c>
      <c r="K566">
        <v>0</v>
      </c>
      <c r="L566">
        <v>0</v>
      </c>
      <c r="M566">
        <v>0</v>
      </c>
      <c r="N566">
        <v>0</v>
      </c>
      <c r="O566">
        <v>0</v>
      </c>
      <c r="P566">
        <v>0</v>
      </c>
      <c r="Q566">
        <v>0</v>
      </c>
      <c r="R566">
        <v>0</v>
      </c>
      <c r="S566">
        <v>0</v>
      </c>
      <c r="T566">
        <v>0</v>
      </c>
      <c r="U566">
        <v>0.72593867334167717</v>
      </c>
      <c r="V566">
        <v>0</v>
      </c>
      <c r="W566">
        <v>0.25143500453998863</v>
      </c>
      <c r="X566">
        <v>0</v>
      </c>
      <c r="Y566">
        <v>2.2626322118334187E-2</v>
      </c>
      <c r="Z566">
        <v>0</v>
      </c>
      <c r="AA566">
        <v>0</v>
      </c>
      <c r="AB566">
        <v>0</v>
      </c>
      <c r="AC566">
        <v>0</v>
      </c>
      <c r="AD566">
        <v>0</v>
      </c>
      <c r="AE566" t="s">
        <v>246</v>
      </c>
      <c r="AF566">
        <v>10</v>
      </c>
      <c r="AG566" t="s">
        <v>173</v>
      </c>
      <c r="AH566">
        <v>46227</v>
      </c>
      <c r="AI566" t="s">
        <v>149</v>
      </c>
    </row>
    <row r="567" spans="1:35" x14ac:dyDescent="0.25">
      <c r="A567" s="1">
        <v>46228</v>
      </c>
      <c r="B567" t="s">
        <v>13</v>
      </c>
      <c r="C567" t="s">
        <v>10</v>
      </c>
      <c r="D567">
        <v>1.3865509761388286</v>
      </c>
      <c r="E567">
        <v>2.8499999999999996</v>
      </c>
      <c r="F567">
        <v>2.8499999999999996</v>
      </c>
      <c r="G567">
        <v>0.23529411764705879</v>
      </c>
      <c r="H567">
        <v>2.0554599499374215</v>
      </c>
      <c r="I567">
        <v>2.0554599499374215</v>
      </c>
      <c r="J567">
        <v>0.16969741588750642</v>
      </c>
      <c r="K567">
        <v>0</v>
      </c>
      <c r="L567">
        <v>0</v>
      </c>
      <c r="M567">
        <v>0.80545994993742154</v>
      </c>
      <c r="N567">
        <v>0</v>
      </c>
      <c r="O567">
        <v>0</v>
      </c>
      <c r="P567">
        <v>0</v>
      </c>
      <c r="Q567">
        <v>0</v>
      </c>
      <c r="R567">
        <v>0</v>
      </c>
      <c r="S567">
        <v>0.25</v>
      </c>
      <c r="T567">
        <v>0</v>
      </c>
      <c r="U567">
        <v>0</v>
      </c>
      <c r="V567">
        <v>0</v>
      </c>
      <c r="W567">
        <v>0.83030258411249358</v>
      </c>
      <c r="X567">
        <v>0</v>
      </c>
      <c r="Y567">
        <v>0.16969741588750642</v>
      </c>
      <c r="Z567">
        <v>0</v>
      </c>
      <c r="AA567">
        <v>0</v>
      </c>
      <c r="AB567">
        <v>0</v>
      </c>
      <c r="AC567">
        <v>0</v>
      </c>
      <c r="AD567">
        <v>0</v>
      </c>
      <c r="AE567" t="s">
        <v>246</v>
      </c>
      <c r="AF567">
        <v>10</v>
      </c>
      <c r="AG567" t="s">
        <v>176</v>
      </c>
      <c r="AH567">
        <v>46228</v>
      </c>
      <c r="AI567" t="s">
        <v>149</v>
      </c>
    </row>
    <row r="568" spans="1:35" x14ac:dyDescent="0.25">
      <c r="A568" s="1">
        <v>46228</v>
      </c>
      <c r="B568" t="s">
        <v>13</v>
      </c>
      <c r="C568" t="s">
        <v>11</v>
      </c>
      <c r="D568">
        <v>2.4468546637744035</v>
      </c>
      <c r="E568">
        <v>0</v>
      </c>
      <c r="F568">
        <v>0</v>
      </c>
      <c r="G568">
        <v>2.0078431372549019</v>
      </c>
      <c r="H568">
        <v>0</v>
      </c>
      <c r="I568">
        <v>0</v>
      </c>
      <c r="J568">
        <v>0.82058128215825332</v>
      </c>
      <c r="K568">
        <v>0</v>
      </c>
      <c r="L568">
        <v>0</v>
      </c>
      <c r="M568">
        <v>0</v>
      </c>
      <c r="N568">
        <v>0</v>
      </c>
      <c r="O568">
        <v>0</v>
      </c>
      <c r="P568">
        <v>0</v>
      </c>
      <c r="Q568">
        <v>0</v>
      </c>
      <c r="R568">
        <v>0</v>
      </c>
      <c r="S568">
        <v>0</v>
      </c>
      <c r="T568">
        <v>0.82058128215825332</v>
      </c>
      <c r="U568">
        <v>0.17941871784174668</v>
      </c>
      <c r="V568">
        <v>0</v>
      </c>
      <c r="W568">
        <v>0</v>
      </c>
      <c r="X568">
        <v>0</v>
      </c>
      <c r="Y568">
        <v>0</v>
      </c>
      <c r="Z568">
        <v>0</v>
      </c>
      <c r="AA568">
        <v>0</v>
      </c>
      <c r="AB568">
        <v>0</v>
      </c>
      <c r="AC568">
        <v>0</v>
      </c>
      <c r="AD568">
        <v>0</v>
      </c>
      <c r="AE568" t="s">
        <v>246</v>
      </c>
      <c r="AF568">
        <v>10</v>
      </c>
      <c r="AG568" t="s">
        <v>177</v>
      </c>
      <c r="AH568">
        <v>46228</v>
      </c>
      <c r="AI568" t="s">
        <v>149</v>
      </c>
    </row>
    <row r="569" spans="1:35" x14ac:dyDescent="0.25">
      <c r="A569" s="1">
        <v>46228</v>
      </c>
      <c r="B569" t="s">
        <v>13</v>
      </c>
      <c r="C569" t="s">
        <v>12</v>
      </c>
      <c r="D569">
        <v>2.4468546637744035</v>
      </c>
      <c r="E569">
        <v>2.8499999999999996</v>
      </c>
      <c r="F569">
        <v>2.8499999999999996</v>
      </c>
      <c r="G569">
        <v>1.7716262975778552</v>
      </c>
      <c r="H569">
        <v>1.1647606382978721</v>
      </c>
      <c r="I569">
        <v>1.1647606382978721</v>
      </c>
      <c r="J569">
        <v>0.72404230778669432</v>
      </c>
      <c r="K569">
        <v>0</v>
      </c>
      <c r="L569">
        <v>0</v>
      </c>
      <c r="M569">
        <v>0</v>
      </c>
      <c r="N569">
        <v>0</v>
      </c>
      <c r="O569">
        <v>0</v>
      </c>
      <c r="P569">
        <v>0</v>
      </c>
      <c r="Q569">
        <v>0</v>
      </c>
      <c r="R569">
        <v>0</v>
      </c>
      <c r="S569">
        <v>0.16476063829787213</v>
      </c>
      <c r="T569">
        <v>0</v>
      </c>
      <c r="U569">
        <v>0</v>
      </c>
      <c r="V569">
        <v>0</v>
      </c>
      <c r="W569">
        <v>0.27595769221330568</v>
      </c>
      <c r="X569">
        <v>0</v>
      </c>
      <c r="Y569">
        <v>0.72404230778669432</v>
      </c>
      <c r="Z569">
        <v>0</v>
      </c>
      <c r="AA569">
        <v>0</v>
      </c>
      <c r="AB569">
        <v>0</v>
      </c>
      <c r="AC569">
        <v>0</v>
      </c>
      <c r="AD569">
        <v>0</v>
      </c>
      <c r="AE569" t="s">
        <v>246</v>
      </c>
      <c r="AF569">
        <v>10</v>
      </c>
      <c r="AG569" t="s">
        <v>178</v>
      </c>
      <c r="AH569">
        <v>46228</v>
      </c>
      <c r="AI569" t="s">
        <v>149</v>
      </c>
    </row>
    <row r="570" spans="1:35" x14ac:dyDescent="0.25">
      <c r="A570" s="1">
        <v>46229</v>
      </c>
      <c r="B570" t="s">
        <v>13</v>
      </c>
      <c r="C570" t="s">
        <v>10</v>
      </c>
      <c r="D570">
        <v>0</v>
      </c>
      <c r="E570">
        <v>4.75</v>
      </c>
      <c r="F570">
        <v>4.75</v>
      </c>
      <c r="G570">
        <v>0.23529411764705879</v>
      </c>
      <c r="H570">
        <v>0</v>
      </c>
      <c r="I570">
        <v>0</v>
      </c>
      <c r="J570">
        <v>0</v>
      </c>
      <c r="K570">
        <v>0</v>
      </c>
      <c r="L570">
        <v>0</v>
      </c>
      <c r="M570">
        <v>0</v>
      </c>
      <c r="N570">
        <v>0</v>
      </c>
      <c r="O570">
        <v>0</v>
      </c>
      <c r="P570">
        <v>0</v>
      </c>
      <c r="Q570">
        <v>0</v>
      </c>
      <c r="R570">
        <v>0</v>
      </c>
      <c r="S570">
        <v>0</v>
      </c>
      <c r="T570">
        <v>0</v>
      </c>
      <c r="U570">
        <v>0</v>
      </c>
      <c r="V570">
        <v>0</v>
      </c>
      <c r="W570">
        <v>0</v>
      </c>
      <c r="X570">
        <v>0</v>
      </c>
      <c r="Y570">
        <v>0</v>
      </c>
      <c r="Z570">
        <v>0</v>
      </c>
      <c r="AA570">
        <v>1</v>
      </c>
      <c r="AB570">
        <v>0</v>
      </c>
      <c r="AC570">
        <v>0</v>
      </c>
      <c r="AD570">
        <v>0</v>
      </c>
      <c r="AE570" t="s">
        <v>246</v>
      </c>
      <c r="AF570">
        <v>10</v>
      </c>
      <c r="AG570" t="s">
        <v>181</v>
      </c>
      <c r="AH570">
        <v>46229</v>
      </c>
      <c r="AI570" t="s">
        <v>149</v>
      </c>
    </row>
    <row r="571" spans="1:35" x14ac:dyDescent="0.25">
      <c r="A571" s="1">
        <v>46229</v>
      </c>
      <c r="B571" t="s">
        <v>13</v>
      </c>
      <c r="C571" t="s">
        <v>11</v>
      </c>
      <c r="D571">
        <v>0.92436731742588596</v>
      </c>
      <c r="E571">
        <v>0</v>
      </c>
      <c r="F571">
        <v>0</v>
      </c>
      <c r="G571">
        <v>2.0078431372549019</v>
      </c>
      <c r="H571">
        <v>0</v>
      </c>
      <c r="I571">
        <v>0</v>
      </c>
      <c r="J571">
        <v>2.1721269233600817</v>
      </c>
      <c r="K571">
        <v>1.1721269233600817</v>
      </c>
      <c r="L571">
        <v>0</v>
      </c>
      <c r="M571">
        <v>0</v>
      </c>
      <c r="N571">
        <v>0</v>
      </c>
      <c r="O571">
        <v>0</v>
      </c>
      <c r="P571">
        <v>0</v>
      </c>
      <c r="Q571">
        <v>0</v>
      </c>
      <c r="R571">
        <v>0</v>
      </c>
      <c r="S571">
        <v>0</v>
      </c>
      <c r="T571">
        <v>0</v>
      </c>
      <c r="U571">
        <v>0</v>
      </c>
      <c r="V571">
        <v>0</v>
      </c>
      <c r="W571">
        <v>0</v>
      </c>
      <c r="X571">
        <v>0</v>
      </c>
      <c r="Y571">
        <v>0</v>
      </c>
      <c r="Z571">
        <v>0</v>
      </c>
      <c r="AA571">
        <v>0</v>
      </c>
      <c r="AB571">
        <v>0</v>
      </c>
      <c r="AC571">
        <v>1</v>
      </c>
      <c r="AD571">
        <v>0</v>
      </c>
      <c r="AE571" t="s">
        <v>246</v>
      </c>
      <c r="AF571">
        <v>10</v>
      </c>
      <c r="AG571" t="s">
        <v>179</v>
      </c>
      <c r="AH571">
        <v>46229</v>
      </c>
      <c r="AI571" t="s">
        <v>149</v>
      </c>
    </row>
    <row r="572" spans="1:35" x14ac:dyDescent="0.25">
      <c r="A572" s="1">
        <v>46229</v>
      </c>
      <c r="B572" t="s">
        <v>13</v>
      </c>
      <c r="C572" t="s">
        <v>12</v>
      </c>
      <c r="D572">
        <v>2.8166015907447579</v>
      </c>
      <c r="E572">
        <v>1.9</v>
      </c>
      <c r="F572">
        <v>1.9</v>
      </c>
      <c r="G572">
        <v>1.7716262975778552</v>
      </c>
      <c r="H572">
        <v>0.67457179824201097</v>
      </c>
      <c r="I572">
        <v>0.67457179824201097</v>
      </c>
      <c r="J572">
        <v>0.62899428282627889</v>
      </c>
      <c r="K572">
        <v>0</v>
      </c>
      <c r="L572">
        <v>0</v>
      </c>
      <c r="M572">
        <v>0</v>
      </c>
      <c r="N572">
        <v>0</v>
      </c>
      <c r="O572">
        <v>0</v>
      </c>
      <c r="P572">
        <v>0</v>
      </c>
      <c r="Q572">
        <v>0</v>
      </c>
      <c r="R572">
        <v>0</v>
      </c>
      <c r="S572">
        <v>0</v>
      </c>
      <c r="T572">
        <v>0</v>
      </c>
      <c r="U572">
        <v>0.32542820175798903</v>
      </c>
      <c r="V572">
        <v>0</v>
      </c>
      <c r="W572">
        <v>4.5577515415732073E-2</v>
      </c>
      <c r="X572">
        <v>0</v>
      </c>
      <c r="Y572">
        <v>0.62899428282627889</v>
      </c>
      <c r="Z572">
        <v>0</v>
      </c>
      <c r="AA572">
        <v>0</v>
      </c>
      <c r="AB572">
        <v>0</v>
      </c>
      <c r="AC572">
        <v>0</v>
      </c>
      <c r="AD572">
        <v>0</v>
      </c>
      <c r="AE572" t="s">
        <v>246</v>
      </c>
      <c r="AF572">
        <v>10</v>
      </c>
      <c r="AG572" t="s">
        <v>180</v>
      </c>
      <c r="AH572">
        <v>46229</v>
      </c>
      <c r="AI572" t="s">
        <v>149</v>
      </c>
    </row>
    <row r="573" spans="1:35" x14ac:dyDescent="0.25">
      <c r="A573" s="1">
        <v>46230</v>
      </c>
      <c r="B573" t="s">
        <v>13</v>
      </c>
      <c r="C573" t="s">
        <v>10</v>
      </c>
      <c r="D573">
        <v>1.4415752201097356</v>
      </c>
      <c r="E573">
        <v>4.75</v>
      </c>
      <c r="F573">
        <v>4.75</v>
      </c>
      <c r="G573">
        <v>0.23529411764705879</v>
      </c>
      <c r="H573">
        <v>3.2950066938847771</v>
      </c>
      <c r="I573">
        <v>3.2950066938847771</v>
      </c>
      <c r="J573">
        <v>0.1632201458271097</v>
      </c>
      <c r="K573">
        <v>0</v>
      </c>
      <c r="L573">
        <v>0</v>
      </c>
      <c r="M573">
        <v>2.0450066938847771</v>
      </c>
      <c r="N573">
        <v>0</v>
      </c>
      <c r="O573">
        <v>0</v>
      </c>
      <c r="P573">
        <v>0</v>
      </c>
      <c r="Q573">
        <v>0</v>
      </c>
      <c r="R573">
        <v>0</v>
      </c>
      <c r="S573">
        <v>0.25</v>
      </c>
      <c r="T573">
        <v>0</v>
      </c>
      <c r="U573">
        <v>0</v>
      </c>
      <c r="V573">
        <v>0</v>
      </c>
      <c r="W573">
        <v>0.83677985417289036</v>
      </c>
      <c r="X573">
        <v>0</v>
      </c>
      <c r="Y573">
        <v>0.1632201458271097</v>
      </c>
      <c r="Z573">
        <v>0</v>
      </c>
      <c r="AA573">
        <v>0</v>
      </c>
      <c r="AB573">
        <v>0</v>
      </c>
      <c r="AC573">
        <v>0</v>
      </c>
      <c r="AD573">
        <v>0</v>
      </c>
      <c r="AE573" t="s">
        <v>246</v>
      </c>
      <c r="AF573">
        <v>10</v>
      </c>
      <c r="AG573" t="s">
        <v>183</v>
      </c>
      <c r="AH573">
        <v>46230</v>
      </c>
      <c r="AI573" t="s">
        <v>149</v>
      </c>
    </row>
    <row r="574" spans="1:35" x14ac:dyDescent="0.25">
      <c r="A574" s="1">
        <v>46230</v>
      </c>
      <c r="B574" t="s">
        <v>13</v>
      </c>
      <c r="C574" t="s">
        <v>11</v>
      </c>
      <c r="D574">
        <v>4.8076870932754874</v>
      </c>
      <c r="E574">
        <v>0</v>
      </c>
      <c r="F574">
        <v>0</v>
      </c>
      <c r="G574">
        <v>2.0078431372549019</v>
      </c>
      <c r="H574">
        <v>0</v>
      </c>
      <c r="I574">
        <v>0</v>
      </c>
      <c r="J574">
        <v>0.41763182551195405</v>
      </c>
      <c r="K574">
        <v>0</v>
      </c>
      <c r="L574">
        <v>0</v>
      </c>
      <c r="M574">
        <v>0</v>
      </c>
      <c r="N574">
        <v>0</v>
      </c>
      <c r="O574">
        <v>0</v>
      </c>
      <c r="P574">
        <v>0</v>
      </c>
      <c r="Q574">
        <v>0</v>
      </c>
      <c r="R574">
        <v>0</v>
      </c>
      <c r="S574">
        <v>0</v>
      </c>
      <c r="T574">
        <v>0.41763182551195405</v>
      </c>
      <c r="U574">
        <v>0.58236817448804601</v>
      </c>
      <c r="V574">
        <v>0</v>
      </c>
      <c r="W574">
        <v>0</v>
      </c>
      <c r="X574">
        <v>0</v>
      </c>
      <c r="Y574">
        <v>0</v>
      </c>
      <c r="Z574">
        <v>0</v>
      </c>
      <c r="AA574">
        <v>0</v>
      </c>
      <c r="AB574">
        <v>0</v>
      </c>
      <c r="AC574">
        <v>0</v>
      </c>
      <c r="AD574">
        <v>0</v>
      </c>
      <c r="AE574" t="s">
        <v>246</v>
      </c>
      <c r="AF574">
        <v>10</v>
      </c>
      <c r="AG574" t="s">
        <v>184</v>
      </c>
      <c r="AH574">
        <v>46230</v>
      </c>
      <c r="AI574" t="s">
        <v>149</v>
      </c>
    </row>
    <row r="575" spans="1:35" x14ac:dyDescent="0.25">
      <c r="A575" s="1">
        <v>46230</v>
      </c>
      <c r="B575" t="s">
        <v>13</v>
      </c>
      <c r="C575" t="s">
        <v>12</v>
      </c>
      <c r="D575">
        <v>2.3930131994952721</v>
      </c>
      <c r="E575">
        <v>3.8</v>
      </c>
      <c r="F575">
        <v>3.8</v>
      </c>
      <c r="G575">
        <v>1.7716262975778552</v>
      </c>
      <c r="H575">
        <v>1.5879561386462413</v>
      </c>
      <c r="I575">
        <v>1.5879561386462413</v>
      </c>
      <c r="J575">
        <v>0.74033285648049152</v>
      </c>
      <c r="K575">
        <v>0</v>
      </c>
      <c r="L575">
        <v>0</v>
      </c>
      <c r="M575">
        <v>0.3379561386462413</v>
      </c>
      <c r="N575">
        <v>0</v>
      </c>
      <c r="O575">
        <v>0</v>
      </c>
      <c r="P575">
        <v>0</v>
      </c>
      <c r="Q575">
        <v>0</v>
      </c>
      <c r="R575">
        <v>0</v>
      </c>
      <c r="S575">
        <v>0.25</v>
      </c>
      <c r="T575">
        <v>0</v>
      </c>
      <c r="U575">
        <v>0</v>
      </c>
      <c r="V575">
        <v>0</v>
      </c>
      <c r="W575">
        <v>0.25966714351950848</v>
      </c>
      <c r="X575">
        <v>0</v>
      </c>
      <c r="Y575">
        <v>0.74033285648049152</v>
      </c>
      <c r="Z575">
        <v>0</v>
      </c>
      <c r="AA575">
        <v>0</v>
      </c>
      <c r="AB575">
        <v>0</v>
      </c>
      <c r="AC575">
        <v>0</v>
      </c>
      <c r="AD575">
        <v>0</v>
      </c>
      <c r="AE575" t="s">
        <v>246</v>
      </c>
      <c r="AF575">
        <v>10</v>
      </c>
      <c r="AG575" t="s">
        <v>182</v>
      </c>
      <c r="AH575">
        <v>46230</v>
      </c>
      <c r="AI575" t="s">
        <v>149</v>
      </c>
    </row>
    <row r="576" spans="1:35" x14ac:dyDescent="0.25">
      <c r="A576" s="1">
        <v>46231</v>
      </c>
      <c r="B576" t="s">
        <v>13</v>
      </c>
      <c r="C576" t="s">
        <v>12</v>
      </c>
      <c r="D576">
        <v>6.501642392314845</v>
      </c>
      <c r="E576">
        <v>1.9</v>
      </c>
      <c r="F576">
        <v>1.9</v>
      </c>
      <c r="G576">
        <v>1.7716262975778552</v>
      </c>
      <c r="H576">
        <v>0.29223385190269191</v>
      </c>
      <c r="I576">
        <v>0.29223385190269191</v>
      </c>
      <c r="J576">
        <v>0.27248904056488493</v>
      </c>
      <c r="K576">
        <v>0</v>
      </c>
      <c r="L576">
        <v>0</v>
      </c>
      <c r="M576">
        <v>0</v>
      </c>
      <c r="N576">
        <v>0</v>
      </c>
      <c r="O576">
        <v>0</v>
      </c>
      <c r="P576">
        <v>0</v>
      </c>
      <c r="Q576">
        <v>0</v>
      </c>
      <c r="R576">
        <v>0</v>
      </c>
      <c r="S576">
        <v>0</v>
      </c>
      <c r="T576">
        <v>0</v>
      </c>
      <c r="U576">
        <v>0.70776614809730809</v>
      </c>
      <c r="V576">
        <v>0</v>
      </c>
      <c r="W576">
        <v>1.9744811337806978E-2</v>
      </c>
      <c r="X576">
        <v>0</v>
      </c>
      <c r="Y576">
        <v>0.27248904056488493</v>
      </c>
      <c r="Z576">
        <v>0</v>
      </c>
      <c r="AA576">
        <v>0</v>
      </c>
      <c r="AB576">
        <v>0</v>
      </c>
      <c r="AC576">
        <v>0</v>
      </c>
      <c r="AD576">
        <v>0</v>
      </c>
      <c r="AE576" t="s">
        <v>246</v>
      </c>
      <c r="AF576">
        <v>10</v>
      </c>
      <c r="AG576" t="s">
        <v>185</v>
      </c>
      <c r="AH576">
        <v>46231</v>
      </c>
      <c r="AI576" t="s">
        <v>149</v>
      </c>
    </row>
    <row r="577" spans="1:35" x14ac:dyDescent="0.25">
      <c r="A577" s="1">
        <v>46231</v>
      </c>
      <c r="B577" t="s">
        <v>13</v>
      </c>
      <c r="C577" t="s">
        <v>10</v>
      </c>
      <c r="D577">
        <v>4.1727610784009919</v>
      </c>
      <c r="E577">
        <v>4.75</v>
      </c>
      <c r="F577">
        <v>4.75</v>
      </c>
      <c r="G577">
        <v>0.23529411764705879</v>
      </c>
      <c r="H577">
        <v>1.1383350042701719</v>
      </c>
      <c r="I577">
        <v>1.1383350042701719</v>
      </c>
      <c r="J577">
        <v>5.6388111666633892E-2</v>
      </c>
      <c r="K577">
        <v>0</v>
      </c>
      <c r="L577">
        <v>0</v>
      </c>
      <c r="M577">
        <v>0</v>
      </c>
      <c r="N577">
        <v>0</v>
      </c>
      <c r="O577">
        <v>0</v>
      </c>
      <c r="P577">
        <v>0</v>
      </c>
      <c r="Q577">
        <v>0</v>
      </c>
      <c r="R577">
        <v>0</v>
      </c>
      <c r="S577">
        <v>0.13833500427017187</v>
      </c>
      <c r="T577">
        <v>0</v>
      </c>
      <c r="U577">
        <v>0</v>
      </c>
      <c r="V577">
        <v>0</v>
      </c>
      <c r="W577">
        <v>0.94361188833336607</v>
      </c>
      <c r="X577">
        <v>0</v>
      </c>
      <c r="Y577">
        <v>5.6388111666633892E-2</v>
      </c>
      <c r="Z577">
        <v>0</v>
      </c>
      <c r="AA577">
        <v>0</v>
      </c>
      <c r="AB577">
        <v>0</v>
      </c>
      <c r="AC577">
        <v>0</v>
      </c>
      <c r="AD577">
        <v>0</v>
      </c>
      <c r="AE577" t="s">
        <v>246</v>
      </c>
      <c r="AF577">
        <v>10</v>
      </c>
      <c r="AG577" t="s">
        <v>187</v>
      </c>
      <c r="AH577">
        <v>46231</v>
      </c>
      <c r="AI577" t="s">
        <v>149</v>
      </c>
    </row>
    <row r="578" spans="1:35" x14ac:dyDescent="0.25">
      <c r="A578" s="1">
        <v>46232</v>
      </c>
      <c r="B578" t="s">
        <v>13</v>
      </c>
      <c r="C578" t="s">
        <v>12</v>
      </c>
      <c r="D578">
        <v>2.6297508709656223</v>
      </c>
      <c r="E578">
        <v>4.75</v>
      </c>
      <c r="F578">
        <v>4.75</v>
      </c>
      <c r="G578">
        <v>1.7716262975778552</v>
      </c>
      <c r="H578">
        <v>1.8062547492401211</v>
      </c>
      <c r="I578">
        <v>1.8062547492401211</v>
      </c>
      <c r="J578">
        <v>0.67368598186919848</v>
      </c>
      <c r="K578">
        <v>0</v>
      </c>
      <c r="L578">
        <v>0</v>
      </c>
      <c r="M578">
        <v>0.55625474924012108</v>
      </c>
      <c r="N578">
        <v>0</v>
      </c>
      <c r="O578">
        <v>0</v>
      </c>
      <c r="P578">
        <v>0</v>
      </c>
      <c r="Q578">
        <v>0</v>
      </c>
      <c r="R578">
        <v>0</v>
      </c>
      <c r="S578">
        <v>0.25</v>
      </c>
      <c r="T578">
        <v>0</v>
      </c>
      <c r="U578">
        <v>0</v>
      </c>
      <c r="V578">
        <v>0</v>
      </c>
      <c r="W578">
        <v>0.32631401813080152</v>
      </c>
      <c r="X578">
        <v>0</v>
      </c>
      <c r="Y578">
        <v>0.67368598186919848</v>
      </c>
      <c r="Z578">
        <v>0</v>
      </c>
      <c r="AA578">
        <v>0</v>
      </c>
      <c r="AB578">
        <v>0</v>
      </c>
      <c r="AC578">
        <v>0</v>
      </c>
      <c r="AD578">
        <v>0</v>
      </c>
      <c r="AE578" t="s">
        <v>246</v>
      </c>
      <c r="AF578">
        <v>10</v>
      </c>
      <c r="AG578" t="s">
        <v>189</v>
      </c>
      <c r="AH578">
        <v>46232</v>
      </c>
      <c r="AI578" t="s">
        <v>149</v>
      </c>
    </row>
    <row r="579" spans="1:35" x14ac:dyDescent="0.25">
      <c r="A579" s="1">
        <v>46232</v>
      </c>
      <c r="B579" t="s">
        <v>13</v>
      </c>
      <c r="C579" t="s">
        <v>11</v>
      </c>
      <c r="D579">
        <v>4.4996245619889859</v>
      </c>
      <c r="E579">
        <v>0</v>
      </c>
      <c r="F579">
        <v>0</v>
      </c>
      <c r="G579">
        <v>2.0078431372549019</v>
      </c>
      <c r="H579">
        <v>0</v>
      </c>
      <c r="I579">
        <v>0</v>
      </c>
      <c r="J579">
        <v>0.44622459265076275</v>
      </c>
      <c r="K579">
        <v>0</v>
      </c>
      <c r="L579">
        <v>0</v>
      </c>
      <c r="M579">
        <v>0</v>
      </c>
      <c r="N579">
        <v>0</v>
      </c>
      <c r="O579">
        <v>0</v>
      </c>
      <c r="P579">
        <v>0</v>
      </c>
      <c r="Q579">
        <v>0</v>
      </c>
      <c r="R579">
        <v>0</v>
      </c>
      <c r="S579">
        <v>0</v>
      </c>
      <c r="T579">
        <v>0.44622459265076275</v>
      </c>
      <c r="U579">
        <v>0.55377540734923725</v>
      </c>
      <c r="V579">
        <v>0</v>
      </c>
      <c r="W579">
        <v>0</v>
      </c>
      <c r="X579">
        <v>0</v>
      </c>
      <c r="Y579">
        <v>0</v>
      </c>
      <c r="Z579">
        <v>0</v>
      </c>
      <c r="AA579">
        <v>0</v>
      </c>
      <c r="AB579">
        <v>0</v>
      </c>
      <c r="AC579">
        <v>0</v>
      </c>
      <c r="AD579">
        <v>0</v>
      </c>
      <c r="AE579" t="s">
        <v>246</v>
      </c>
      <c r="AF579">
        <v>10</v>
      </c>
      <c r="AG579" t="s">
        <v>188</v>
      </c>
      <c r="AH579">
        <v>46232</v>
      </c>
      <c r="AI579" t="s">
        <v>149</v>
      </c>
    </row>
    <row r="580" spans="1:35" x14ac:dyDescent="0.25">
      <c r="A580" s="1">
        <v>46232</v>
      </c>
      <c r="B580" t="s">
        <v>13</v>
      </c>
      <c r="C580" t="s">
        <v>10</v>
      </c>
      <c r="D580">
        <v>2.4446699721103191</v>
      </c>
      <c r="E580">
        <v>3.8</v>
      </c>
      <c r="F580">
        <v>3.8</v>
      </c>
      <c r="G580">
        <v>0.23529411764705879</v>
      </c>
      <c r="H580">
        <v>1.5544020433644528</v>
      </c>
      <c r="I580">
        <v>1.5544020433644528</v>
      </c>
      <c r="J580">
        <v>9.6247804542690565E-2</v>
      </c>
      <c r="K580">
        <v>0</v>
      </c>
      <c r="L580">
        <v>0</v>
      </c>
      <c r="M580">
        <v>0.30440204336445276</v>
      </c>
      <c r="N580">
        <v>0</v>
      </c>
      <c r="O580">
        <v>0</v>
      </c>
      <c r="P580">
        <v>0</v>
      </c>
      <c r="Q580">
        <v>0</v>
      </c>
      <c r="R580">
        <v>0</v>
      </c>
      <c r="S580">
        <v>0.25</v>
      </c>
      <c r="T580">
        <v>0</v>
      </c>
      <c r="U580">
        <v>0</v>
      </c>
      <c r="V580">
        <v>0</v>
      </c>
      <c r="W580">
        <v>0.90375219545730945</v>
      </c>
      <c r="X580">
        <v>0</v>
      </c>
      <c r="Y580">
        <v>9.6247804542690565E-2</v>
      </c>
      <c r="Z580">
        <v>0</v>
      </c>
      <c r="AA580">
        <v>0</v>
      </c>
      <c r="AB580">
        <v>0</v>
      </c>
      <c r="AC580">
        <v>0</v>
      </c>
      <c r="AD580">
        <v>0</v>
      </c>
      <c r="AE580" t="s">
        <v>246</v>
      </c>
      <c r="AF580">
        <v>10</v>
      </c>
      <c r="AG580" t="s">
        <v>190</v>
      </c>
      <c r="AH580">
        <v>46232</v>
      </c>
      <c r="AI580" t="s">
        <v>149</v>
      </c>
    </row>
    <row r="581" spans="1:35" x14ac:dyDescent="0.25">
      <c r="A581" s="1">
        <v>46233</v>
      </c>
      <c r="B581" t="s">
        <v>13</v>
      </c>
      <c r="C581" t="s">
        <v>12</v>
      </c>
      <c r="D581">
        <v>2.5281481904326979</v>
      </c>
      <c r="E581">
        <v>3.8</v>
      </c>
      <c r="F581">
        <v>3.8</v>
      </c>
      <c r="G581">
        <v>1.7716262975778552</v>
      </c>
      <c r="H581">
        <v>1.5030764471720393</v>
      </c>
      <c r="I581">
        <v>1.5030764471720393</v>
      </c>
      <c r="J581">
        <v>0.70076046344207288</v>
      </c>
      <c r="K581">
        <v>0</v>
      </c>
      <c r="L581">
        <v>0</v>
      </c>
      <c r="M581">
        <v>0.25307644717203925</v>
      </c>
      <c r="N581">
        <v>0</v>
      </c>
      <c r="O581">
        <v>0</v>
      </c>
      <c r="P581">
        <v>0</v>
      </c>
      <c r="Q581">
        <v>0</v>
      </c>
      <c r="R581">
        <v>0</v>
      </c>
      <c r="S581">
        <v>0.25</v>
      </c>
      <c r="T581">
        <v>0</v>
      </c>
      <c r="U581">
        <v>0</v>
      </c>
      <c r="V581">
        <v>0</v>
      </c>
      <c r="W581">
        <v>0.29923953655792712</v>
      </c>
      <c r="X581">
        <v>0</v>
      </c>
      <c r="Y581">
        <v>0.70076046344207288</v>
      </c>
      <c r="Z581">
        <v>0</v>
      </c>
      <c r="AA581">
        <v>0</v>
      </c>
      <c r="AB581">
        <v>0</v>
      </c>
      <c r="AC581">
        <v>0</v>
      </c>
      <c r="AD581">
        <v>0</v>
      </c>
      <c r="AE581" t="s">
        <v>246</v>
      </c>
      <c r="AF581">
        <v>10</v>
      </c>
      <c r="AG581" t="s">
        <v>191</v>
      </c>
      <c r="AH581">
        <v>46233</v>
      </c>
      <c r="AI581" t="s">
        <v>149</v>
      </c>
    </row>
    <row r="582" spans="1:35" x14ac:dyDescent="0.25">
      <c r="A582" s="1">
        <v>46233</v>
      </c>
      <c r="B582" t="s">
        <v>13</v>
      </c>
      <c r="C582" t="s">
        <v>11</v>
      </c>
      <c r="D582">
        <v>3.1541485900216917</v>
      </c>
      <c r="E582">
        <v>0</v>
      </c>
      <c r="F582">
        <v>0</v>
      </c>
      <c r="G582">
        <v>2.0078431372549019</v>
      </c>
      <c r="H582">
        <v>0</v>
      </c>
      <c r="I582">
        <v>0</v>
      </c>
      <c r="J582">
        <v>0.63657214615912994</v>
      </c>
      <c r="K582">
        <v>0</v>
      </c>
      <c r="L582">
        <v>0</v>
      </c>
      <c r="M582">
        <v>0</v>
      </c>
      <c r="N582">
        <v>0</v>
      </c>
      <c r="O582">
        <v>0</v>
      </c>
      <c r="P582">
        <v>0</v>
      </c>
      <c r="Q582">
        <v>0</v>
      </c>
      <c r="R582">
        <v>0</v>
      </c>
      <c r="S582">
        <v>0</v>
      </c>
      <c r="T582">
        <v>0.63657214615912994</v>
      </c>
      <c r="U582">
        <v>0.36342785384087006</v>
      </c>
      <c r="V582">
        <v>0</v>
      </c>
      <c r="W582">
        <v>0</v>
      </c>
      <c r="X582">
        <v>0</v>
      </c>
      <c r="Y582">
        <v>0</v>
      </c>
      <c r="Z582">
        <v>0</v>
      </c>
      <c r="AA582">
        <v>0</v>
      </c>
      <c r="AB582">
        <v>0</v>
      </c>
      <c r="AC582">
        <v>0</v>
      </c>
      <c r="AD582">
        <v>0</v>
      </c>
      <c r="AE582" t="s">
        <v>246</v>
      </c>
      <c r="AF582">
        <v>10</v>
      </c>
      <c r="AG582" t="s">
        <v>193</v>
      </c>
      <c r="AH582">
        <v>46233</v>
      </c>
      <c r="AI582" t="s">
        <v>149</v>
      </c>
    </row>
    <row r="583" spans="1:35" x14ac:dyDescent="0.25">
      <c r="A583" s="1">
        <v>46233</v>
      </c>
      <c r="B583" t="s">
        <v>13</v>
      </c>
      <c r="C583" t="s">
        <v>10</v>
      </c>
      <c r="D583">
        <v>2.1834779464931304</v>
      </c>
      <c r="E583">
        <v>2.8499999999999996</v>
      </c>
      <c r="F583">
        <v>2.8499999999999996</v>
      </c>
      <c r="G583">
        <v>0.23529411764705879</v>
      </c>
      <c r="H583">
        <v>1.3052570577034524</v>
      </c>
      <c r="I583">
        <v>1.3052570577034524</v>
      </c>
      <c r="J583">
        <v>0.10776116059471227</v>
      </c>
      <c r="K583">
        <v>0</v>
      </c>
      <c r="L583">
        <v>0</v>
      </c>
      <c r="M583">
        <v>5.525705770345235E-2</v>
      </c>
      <c r="N583">
        <v>0</v>
      </c>
      <c r="O583">
        <v>0</v>
      </c>
      <c r="P583">
        <v>0</v>
      </c>
      <c r="Q583">
        <v>0</v>
      </c>
      <c r="R583">
        <v>0</v>
      </c>
      <c r="S583">
        <v>0.25</v>
      </c>
      <c r="T583">
        <v>0</v>
      </c>
      <c r="U583">
        <v>0</v>
      </c>
      <c r="V583">
        <v>0</v>
      </c>
      <c r="W583">
        <v>0.8922388394052877</v>
      </c>
      <c r="X583">
        <v>0</v>
      </c>
      <c r="Y583">
        <v>0.10776116059471227</v>
      </c>
      <c r="Z583">
        <v>0</v>
      </c>
      <c r="AA583">
        <v>0</v>
      </c>
      <c r="AB583">
        <v>0</v>
      </c>
      <c r="AC583">
        <v>0</v>
      </c>
      <c r="AD583">
        <v>0</v>
      </c>
      <c r="AE583" t="s">
        <v>246</v>
      </c>
      <c r="AF583">
        <v>10</v>
      </c>
      <c r="AG583" t="s">
        <v>192</v>
      </c>
      <c r="AH583">
        <v>46233</v>
      </c>
      <c r="AI583" t="s">
        <v>149</v>
      </c>
    </row>
    <row r="584" spans="1:35" x14ac:dyDescent="0.25">
      <c r="A584" s="1">
        <v>46234</v>
      </c>
      <c r="B584" t="s">
        <v>13</v>
      </c>
      <c r="C584" t="s">
        <v>10</v>
      </c>
      <c r="D584">
        <v>2.4228230554694763</v>
      </c>
      <c r="E584">
        <v>3.8</v>
      </c>
      <c r="F584">
        <v>3.8</v>
      </c>
      <c r="G584">
        <v>0.23529411764705879</v>
      </c>
      <c r="H584">
        <v>1.5684182926283341</v>
      </c>
      <c r="I584">
        <v>1.5684182926283341</v>
      </c>
      <c r="J584">
        <v>9.7115683754076407E-2</v>
      </c>
      <c r="K584">
        <v>0</v>
      </c>
      <c r="L584">
        <v>0</v>
      </c>
      <c r="M584">
        <v>0.3184182926283341</v>
      </c>
      <c r="N584">
        <v>0</v>
      </c>
      <c r="O584">
        <v>0</v>
      </c>
      <c r="P584">
        <v>0</v>
      </c>
      <c r="Q584">
        <v>0</v>
      </c>
      <c r="R584">
        <v>0</v>
      </c>
      <c r="S584">
        <v>0.25</v>
      </c>
      <c r="T584">
        <v>0</v>
      </c>
      <c r="U584">
        <v>0</v>
      </c>
      <c r="V584">
        <v>0</v>
      </c>
      <c r="W584">
        <v>0.90288431624592358</v>
      </c>
      <c r="X584">
        <v>0</v>
      </c>
      <c r="Y584">
        <v>9.7115683754076407E-2</v>
      </c>
      <c r="Z584">
        <v>0</v>
      </c>
      <c r="AA584">
        <v>0</v>
      </c>
      <c r="AB584">
        <v>0</v>
      </c>
      <c r="AC584">
        <v>0</v>
      </c>
      <c r="AD584">
        <v>0</v>
      </c>
      <c r="AE584" t="s">
        <v>246</v>
      </c>
      <c r="AF584">
        <v>10</v>
      </c>
      <c r="AG584" t="s">
        <v>194</v>
      </c>
      <c r="AH584">
        <v>46234</v>
      </c>
      <c r="AI584" t="s">
        <v>149</v>
      </c>
    </row>
    <row r="585" spans="1:35" x14ac:dyDescent="0.25">
      <c r="A585" s="1">
        <v>46234</v>
      </c>
      <c r="B585" t="s">
        <v>13</v>
      </c>
      <c r="C585" t="s">
        <v>11</v>
      </c>
      <c r="D585">
        <v>4.6834327548806938</v>
      </c>
      <c r="E585">
        <v>0</v>
      </c>
      <c r="F585">
        <v>0</v>
      </c>
      <c r="G585">
        <v>2.0078431372549019</v>
      </c>
      <c r="H585">
        <v>0</v>
      </c>
      <c r="I585">
        <v>0</v>
      </c>
      <c r="J585">
        <v>0.42871185353574054</v>
      </c>
      <c r="K585">
        <v>0</v>
      </c>
      <c r="L585">
        <v>0</v>
      </c>
      <c r="M585">
        <v>0</v>
      </c>
      <c r="N585">
        <v>0</v>
      </c>
      <c r="O585">
        <v>0</v>
      </c>
      <c r="P585">
        <v>0</v>
      </c>
      <c r="Q585">
        <v>0</v>
      </c>
      <c r="R585">
        <v>0</v>
      </c>
      <c r="S585">
        <v>0</v>
      </c>
      <c r="T585">
        <v>0.42871185353574054</v>
      </c>
      <c r="U585">
        <v>0.57128814646425941</v>
      </c>
      <c r="V585">
        <v>0</v>
      </c>
      <c r="W585">
        <v>0</v>
      </c>
      <c r="X585">
        <v>0</v>
      </c>
      <c r="Y585">
        <v>0</v>
      </c>
      <c r="Z585">
        <v>0</v>
      </c>
      <c r="AA585">
        <v>0</v>
      </c>
      <c r="AB585">
        <v>0</v>
      </c>
      <c r="AC585">
        <v>0</v>
      </c>
      <c r="AD585">
        <v>0</v>
      </c>
      <c r="AE585" t="s">
        <v>246</v>
      </c>
      <c r="AF585">
        <v>10</v>
      </c>
      <c r="AG585" t="s">
        <v>195</v>
      </c>
      <c r="AH585">
        <v>46234</v>
      </c>
      <c r="AI585" t="s">
        <v>149</v>
      </c>
    </row>
    <row r="586" spans="1:35" x14ac:dyDescent="0.25">
      <c r="A586" s="1">
        <v>46234</v>
      </c>
      <c r="B586" t="s">
        <v>13</v>
      </c>
      <c r="C586" t="s">
        <v>12</v>
      </c>
      <c r="D586">
        <v>2.4616840859790972</v>
      </c>
      <c r="E586">
        <v>2.8499999999999996</v>
      </c>
      <c r="F586">
        <v>2.8499999999999996</v>
      </c>
      <c r="G586">
        <v>1.7716262975778552</v>
      </c>
      <c r="H586">
        <v>1.1577440079466801</v>
      </c>
      <c r="I586">
        <v>1.1577440079466801</v>
      </c>
      <c r="J586">
        <v>0.7196806071373768</v>
      </c>
      <c r="K586">
        <v>0</v>
      </c>
      <c r="L586">
        <v>0</v>
      </c>
      <c r="M586">
        <v>0</v>
      </c>
      <c r="N586">
        <v>0</v>
      </c>
      <c r="O586">
        <v>0</v>
      </c>
      <c r="P586">
        <v>0</v>
      </c>
      <c r="Q586">
        <v>0</v>
      </c>
      <c r="R586">
        <v>0</v>
      </c>
      <c r="S586">
        <v>0.15774400794668009</v>
      </c>
      <c r="T586">
        <v>0</v>
      </c>
      <c r="U586">
        <v>0</v>
      </c>
      <c r="V586">
        <v>0</v>
      </c>
      <c r="W586">
        <v>0.2803193928626232</v>
      </c>
      <c r="X586">
        <v>0</v>
      </c>
      <c r="Y586">
        <v>0.7196806071373768</v>
      </c>
      <c r="Z586">
        <v>0</v>
      </c>
      <c r="AA586">
        <v>0</v>
      </c>
      <c r="AB586">
        <v>0</v>
      </c>
      <c r="AC586">
        <v>0</v>
      </c>
      <c r="AD586">
        <v>0</v>
      </c>
      <c r="AE586" t="s">
        <v>246</v>
      </c>
      <c r="AF586">
        <v>10</v>
      </c>
      <c r="AG586" t="s">
        <v>196</v>
      </c>
      <c r="AH586">
        <v>46234</v>
      </c>
      <c r="AI586" t="s">
        <v>149</v>
      </c>
    </row>
    <row r="587" spans="1:35" x14ac:dyDescent="0.25">
      <c r="A587" s="1">
        <v>46235</v>
      </c>
      <c r="B587" t="s">
        <v>13</v>
      </c>
      <c r="C587" t="s">
        <v>12</v>
      </c>
      <c r="D587">
        <v>2.3652928416485901</v>
      </c>
      <c r="E587">
        <v>0.95</v>
      </c>
      <c r="F587">
        <v>0.95</v>
      </c>
      <c r="G587">
        <v>1.7716262975778552</v>
      </c>
      <c r="H587">
        <v>0.40164159941305938</v>
      </c>
      <c r="I587">
        <v>0.40164159941305938</v>
      </c>
      <c r="J587">
        <v>0.74900928391726995</v>
      </c>
      <c r="K587">
        <v>0</v>
      </c>
      <c r="L587">
        <v>0</v>
      </c>
      <c r="M587">
        <v>0</v>
      </c>
      <c r="N587">
        <v>0</v>
      </c>
      <c r="O587">
        <v>0</v>
      </c>
      <c r="P587">
        <v>0</v>
      </c>
      <c r="Q587">
        <v>0</v>
      </c>
      <c r="R587">
        <v>0</v>
      </c>
      <c r="S587">
        <v>0</v>
      </c>
      <c r="T587">
        <v>0.34736768450421057</v>
      </c>
      <c r="U587">
        <v>0.25099071608273005</v>
      </c>
      <c r="V587">
        <v>0</v>
      </c>
      <c r="W587">
        <v>0</v>
      </c>
      <c r="X587">
        <v>0</v>
      </c>
      <c r="Y587">
        <v>0.40164159941305938</v>
      </c>
      <c r="Z587">
        <v>0</v>
      </c>
      <c r="AA587">
        <v>0</v>
      </c>
      <c r="AB587">
        <v>0</v>
      </c>
      <c r="AC587">
        <v>0</v>
      </c>
      <c r="AD587">
        <v>0</v>
      </c>
      <c r="AE587" t="s">
        <v>246</v>
      </c>
      <c r="AF587">
        <v>10</v>
      </c>
      <c r="AG587" t="s">
        <v>198</v>
      </c>
      <c r="AH587">
        <v>46235</v>
      </c>
      <c r="AI587" t="s">
        <v>149</v>
      </c>
    </row>
    <row r="588" spans="1:35" x14ac:dyDescent="0.25">
      <c r="A588" s="1">
        <v>46235</v>
      </c>
      <c r="B588" t="s">
        <v>13</v>
      </c>
      <c r="C588" t="s">
        <v>11</v>
      </c>
      <c r="D588">
        <v>0</v>
      </c>
      <c r="E588">
        <v>0</v>
      </c>
      <c r="F588">
        <v>0</v>
      </c>
      <c r="G588">
        <v>2.0078431372549019</v>
      </c>
      <c r="H588">
        <v>0</v>
      </c>
      <c r="I588">
        <v>0</v>
      </c>
      <c r="J588">
        <v>0</v>
      </c>
      <c r="K588">
        <v>0</v>
      </c>
      <c r="L588">
        <v>0</v>
      </c>
      <c r="M588">
        <v>0</v>
      </c>
      <c r="N588">
        <v>0</v>
      </c>
      <c r="O588">
        <v>0</v>
      </c>
      <c r="P588">
        <v>0</v>
      </c>
      <c r="Q588">
        <v>0</v>
      </c>
      <c r="R588">
        <v>0</v>
      </c>
      <c r="S588">
        <v>0</v>
      </c>
      <c r="T588">
        <v>0</v>
      </c>
      <c r="U588">
        <v>0</v>
      </c>
      <c r="V588">
        <v>0</v>
      </c>
      <c r="W588">
        <v>0</v>
      </c>
      <c r="X588">
        <v>0</v>
      </c>
      <c r="Y588">
        <v>0</v>
      </c>
      <c r="Z588">
        <v>0</v>
      </c>
      <c r="AA588">
        <v>0</v>
      </c>
      <c r="AB588">
        <v>1</v>
      </c>
      <c r="AC588">
        <v>0</v>
      </c>
      <c r="AD588">
        <v>0</v>
      </c>
      <c r="AE588" t="s">
        <v>246</v>
      </c>
      <c r="AF588">
        <v>10</v>
      </c>
      <c r="AG588" t="s">
        <v>199</v>
      </c>
      <c r="AH588">
        <v>46235</v>
      </c>
      <c r="AI588" t="s">
        <v>149</v>
      </c>
    </row>
    <row r="589" spans="1:35" x14ac:dyDescent="0.25">
      <c r="A589" s="1">
        <v>46235</v>
      </c>
      <c r="B589" t="s">
        <v>13</v>
      </c>
      <c r="C589" t="s">
        <v>10</v>
      </c>
      <c r="D589">
        <v>2.3029220364935563</v>
      </c>
      <c r="E589">
        <v>4.75</v>
      </c>
      <c r="F589">
        <v>4.75</v>
      </c>
      <c r="G589">
        <v>0.23529411764705879</v>
      </c>
      <c r="H589">
        <v>2.0625969636524824</v>
      </c>
      <c r="I589">
        <v>2.0625969636524824</v>
      </c>
      <c r="J589">
        <v>0.10217198581560281</v>
      </c>
      <c r="K589">
        <v>0</v>
      </c>
      <c r="L589">
        <v>0</v>
      </c>
      <c r="M589">
        <v>0.81259696365248235</v>
      </c>
      <c r="N589">
        <v>0</v>
      </c>
      <c r="O589">
        <v>0</v>
      </c>
      <c r="P589">
        <v>0</v>
      </c>
      <c r="Q589">
        <v>0</v>
      </c>
      <c r="R589">
        <v>0</v>
      </c>
      <c r="S589">
        <v>0.25</v>
      </c>
      <c r="T589">
        <v>0</v>
      </c>
      <c r="U589">
        <v>0</v>
      </c>
      <c r="V589">
        <v>0</v>
      </c>
      <c r="W589">
        <v>0.89782801418439717</v>
      </c>
      <c r="X589">
        <v>0</v>
      </c>
      <c r="Y589">
        <v>0.10217198581560281</v>
      </c>
      <c r="Z589">
        <v>0</v>
      </c>
      <c r="AA589">
        <v>0</v>
      </c>
      <c r="AB589">
        <v>0</v>
      </c>
      <c r="AC589">
        <v>0</v>
      </c>
      <c r="AD589">
        <v>0</v>
      </c>
      <c r="AE589" t="s">
        <v>246</v>
      </c>
      <c r="AF589">
        <v>10</v>
      </c>
      <c r="AG589" t="s">
        <v>197</v>
      </c>
      <c r="AH589">
        <v>46235</v>
      </c>
      <c r="AI589" t="s">
        <v>149</v>
      </c>
    </row>
    <row r="590" spans="1:35" x14ac:dyDescent="0.25">
      <c r="A590" s="1">
        <v>46236</v>
      </c>
      <c r="B590" t="s">
        <v>13</v>
      </c>
      <c r="C590" t="s">
        <v>12</v>
      </c>
      <c r="D590">
        <v>1.1523896158421381</v>
      </c>
      <c r="E590">
        <v>0.95</v>
      </c>
      <c r="F590">
        <v>0.95</v>
      </c>
      <c r="G590">
        <v>1.7716262975778552</v>
      </c>
      <c r="H590">
        <v>0.82437396774506966</v>
      </c>
      <c r="I590">
        <v>0.82437396774506966</v>
      </c>
      <c r="J590">
        <v>1.5373501055744885</v>
      </c>
      <c r="K590">
        <v>0.53735010557448848</v>
      </c>
      <c r="L590">
        <v>0</v>
      </c>
      <c r="M590">
        <v>0</v>
      </c>
      <c r="N590">
        <v>0</v>
      </c>
      <c r="O590">
        <v>0</v>
      </c>
      <c r="P590">
        <v>0</v>
      </c>
      <c r="Q590">
        <v>0</v>
      </c>
      <c r="R590">
        <v>0</v>
      </c>
      <c r="S590">
        <v>0</v>
      </c>
      <c r="T590">
        <v>0.17562603225493034</v>
      </c>
      <c r="U590">
        <v>0</v>
      </c>
      <c r="V590">
        <v>0</v>
      </c>
      <c r="W590">
        <v>0</v>
      </c>
      <c r="X590">
        <v>0</v>
      </c>
      <c r="Y590">
        <v>0.82437396774506966</v>
      </c>
      <c r="Z590">
        <v>0</v>
      </c>
      <c r="AA590">
        <v>0</v>
      </c>
      <c r="AB590">
        <v>0</v>
      </c>
      <c r="AC590">
        <v>0</v>
      </c>
      <c r="AD590">
        <v>0</v>
      </c>
      <c r="AE590" t="s">
        <v>246</v>
      </c>
      <c r="AF590">
        <v>10</v>
      </c>
      <c r="AG590" t="s">
        <v>200</v>
      </c>
      <c r="AH590">
        <v>46236</v>
      </c>
      <c r="AI590" t="s">
        <v>149</v>
      </c>
    </row>
    <row r="591" spans="1:35" x14ac:dyDescent="0.25">
      <c r="A591" s="1">
        <v>46236</v>
      </c>
      <c r="B591" t="s">
        <v>13</v>
      </c>
      <c r="C591" t="s">
        <v>11</v>
      </c>
      <c r="D591">
        <v>2.8546637744034702</v>
      </c>
      <c r="E591">
        <v>0</v>
      </c>
      <c r="F591">
        <v>0</v>
      </c>
      <c r="G591">
        <v>2.0078431372549019</v>
      </c>
      <c r="H591">
        <v>0</v>
      </c>
      <c r="I591">
        <v>0</v>
      </c>
      <c r="J591">
        <v>0.70335538470707448</v>
      </c>
      <c r="K591">
        <v>0</v>
      </c>
      <c r="L591">
        <v>0</v>
      </c>
      <c r="M591">
        <v>0</v>
      </c>
      <c r="N591">
        <v>0</v>
      </c>
      <c r="O591">
        <v>0</v>
      </c>
      <c r="P591">
        <v>0</v>
      </c>
      <c r="Q591">
        <v>0</v>
      </c>
      <c r="R591">
        <v>0</v>
      </c>
      <c r="S591">
        <v>0</v>
      </c>
      <c r="T591">
        <v>0.70335538470707448</v>
      </c>
      <c r="U591">
        <v>0.29664461529292552</v>
      </c>
      <c r="V591">
        <v>0</v>
      </c>
      <c r="W591">
        <v>0</v>
      </c>
      <c r="X591">
        <v>0</v>
      </c>
      <c r="Y591">
        <v>0</v>
      </c>
      <c r="Z591">
        <v>0</v>
      </c>
      <c r="AA591">
        <v>0</v>
      </c>
      <c r="AB591">
        <v>0</v>
      </c>
      <c r="AC591">
        <v>0</v>
      </c>
      <c r="AD591">
        <v>0</v>
      </c>
      <c r="AE591" t="s">
        <v>246</v>
      </c>
      <c r="AF591">
        <v>10</v>
      </c>
      <c r="AG591" t="s">
        <v>201</v>
      </c>
      <c r="AH591">
        <v>46236</v>
      </c>
      <c r="AI591" t="s">
        <v>149</v>
      </c>
    </row>
    <row r="592" spans="1:35" x14ac:dyDescent="0.25">
      <c r="A592" s="1">
        <v>46236</v>
      </c>
      <c r="B592" t="s">
        <v>13</v>
      </c>
      <c r="C592" t="s">
        <v>10</v>
      </c>
      <c r="D592">
        <v>11.18562132011156</v>
      </c>
      <c r="E592">
        <v>4.75</v>
      </c>
      <c r="F592">
        <v>4.75</v>
      </c>
      <c r="G592">
        <v>0.23529411764705879</v>
      </c>
      <c r="H592">
        <v>0.42465231604609927</v>
      </c>
      <c r="I592">
        <v>0.42465231604609927</v>
      </c>
      <c r="J592">
        <v>2.1035408844388814E-2</v>
      </c>
      <c r="K592">
        <v>0</v>
      </c>
      <c r="L592">
        <v>0</v>
      </c>
      <c r="M592">
        <v>0</v>
      </c>
      <c r="N592">
        <v>0</v>
      </c>
      <c r="O592">
        <v>0</v>
      </c>
      <c r="P592">
        <v>0</v>
      </c>
      <c r="Q592">
        <v>0</v>
      </c>
      <c r="R592">
        <v>0</v>
      </c>
      <c r="S592">
        <v>0</v>
      </c>
      <c r="T592">
        <v>0</v>
      </c>
      <c r="U592">
        <v>0.57534768395390068</v>
      </c>
      <c r="V592">
        <v>0</v>
      </c>
      <c r="W592">
        <v>0.40361690720171045</v>
      </c>
      <c r="X592">
        <v>0</v>
      </c>
      <c r="Y592">
        <v>2.1035408844388814E-2</v>
      </c>
      <c r="Z592">
        <v>0</v>
      </c>
      <c r="AA592">
        <v>0</v>
      </c>
      <c r="AB592">
        <v>0</v>
      </c>
      <c r="AC592">
        <v>0</v>
      </c>
      <c r="AD592">
        <v>0</v>
      </c>
      <c r="AE592" t="s">
        <v>246</v>
      </c>
      <c r="AF592">
        <v>10</v>
      </c>
      <c r="AG592" t="s">
        <v>202</v>
      </c>
      <c r="AH592">
        <v>46236</v>
      </c>
      <c r="AI592" t="s">
        <v>149</v>
      </c>
    </row>
    <row r="593" spans="1:35" x14ac:dyDescent="0.25">
      <c r="A593" s="1">
        <v>46237</v>
      </c>
      <c r="B593" t="s">
        <v>13</v>
      </c>
      <c r="C593" t="s">
        <v>10</v>
      </c>
      <c r="D593">
        <v>2.060509190546866</v>
      </c>
      <c r="E593">
        <v>0</v>
      </c>
      <c r="F593">
        <v>0</v>
      </c>
      <c r="G593">
        <v>0.23529411764705879</v>
      </c>
      <c r="H593">
        <v>0</v>
      </c>
      <c r="I593">
        <v>0</v>
      </c>
      <c r="J593">
        <v>0.11419221944096787</v>
      </c>
      <c r="K593">
        <v>0</v>
      </c>
      <c r="L593">
        <v>0</v>
      </c>
      <c r="M593">
        <v>0</v>
      </c>
      <c r="N593">
        <v>0</v>
      </c>
      <c r="O593">
        <v>0</v>
      </c>
      <c r="P593">
        <v>0</v>
      </c>
      <c r="Q593">
        <v>0</v>
      </c>
      <c r="R593">
        <v>0</v>
      </c>
      <c r="S593">
        <v>0</v>
      </c>
      <c r="T593">
        <v>0.11419221944096787</v>
      </c>
      <c r="U593">
        <v>0.88580778055903209</v>
      </c>
      <c r="V593">
        <v>0</v>
      </c>
      <c r="W593">
        <v>0</v>
      </c>
      <c r="X593">
        <v>0</v>
      </c>
      <c r="Y593">
        <v>0</v>
      </c>
      <c r="Z593">
        <v>0</v>
      </c>
      <c r="AA593">
        <v>0</v>
      </c>
      <c r="AB593">
        <v>0</v>
      </c>
      <c r="AC593">
        <v>0</v>
      </c>
      <c r="AD593">
        <v>0</v>
      </c>
      <c r="AE593" t="s">
        <v>246</v>
      </c>
      <c r="AF593">
        <v>10</v>
      </c>
      <c r="AG593" t="s">
        <v>203</v>
      </c>
      <c r="AH593">
        <v>46237</v>
      </c>
      <c r="AI593" t="s">
        <v>149</v>
      </c>
    </row>
    <row r="594" spans="1:35" x14ac:dyDescent="0.25">
      <c r="A594" s="1">
        <v>46237</v>
      </c>
      <c r="B594" t="s">
        <v>13</v>
      </c>
      <c r="C594" t="s">
        <v>11</v>
      </c>
      <c r="D594">
        <v>2.7059540728551124</v>
      </c>
      <c r="E594">
        <v>0</v>
      </c>
      <c r="F594">
        <v>0</v>
      </c>
      <c r="G594">
        <v>2.0078431372549019</v>
      </c>
      <c r="H594">
        <v>0</v>
      </c>
      <c r="I594">
        <v>0</v>
      </c>
      <c r="J594">
        <v>0.74200931841255602</v>
      </c>
      <c r="K594">
        <v>0</v>
      </c>
      <c r="L594">
        <v>0</v>
      </c>
      <c r="M594">
        <v>0</v>
      </c>
      <c r="N594">
        <v>0</v>
      </c>
      <c r="O594">
        <v>0</v>
      </c>
      <c r="P594">
        <v>0</v>
      </c>
      <c r="Q594">
        <v>0</v>
      </c>
      <c r="R594">
        <v>0</v>
      </c>
      <c r="S594">
        <v>0</v>
      </c>
      <c r="T594">
        <v>0.74200931841255602</v>
      </c>
      <c r="U594">
        <v>0.25799068158744398</v>
      </c>
      <c r="V594">
        <v>0</v>
      </c>
      <c r="W594">
        <v>0</v>
      </c>
      <c r="X594">
        <v>0</v>
      </c>
      <c r="Y594">
        <v>0</v>
      </c>
      <c r="Z594">
        <v>0</v>
      </c>
      <c r="AA594">
        <v>0</v>
      </c>
      <c r="AB594">
        <v>0</v>
      </c>
      <c r="AC594">
        <v>0</v>
      </c>
      <c r="AD594">
        <v>0</v>
      </c>
      <c r="AE594" t="s">
        <v>246</v>
      </c>
      <c r="AF594">
        <v>10</v>
      </c>
      <c r="AG594" t="s">
        <v>204</v>
      </c>
      <c r="AH594">
        <v>46237</v>
      </c>
      <c r="AI594" t="s">
        <v>149</v>
      </c>
    </row>
    <row r="595" spans="1:35" x14ac:dyDescent="0.25">
      <c r="A595" s="1">
        <v>46237</v>
      </c>
      <c r="B595" t="s">
        <v>13</v>
      </c>
      <c r="C595" t="s">
        <v>12</v>
      </c>
      <c r="D595">
        <v>2.9609087795410445</v>
      </c>
      <c r="E595">
        <v>0</v>
      </c>
      <c r="F595">
        <v>0</v>
      </c>
      <c r="G595">
        <v>1.7716262975778552</v>
      </c>
      <c r="H595">
        <v>0</v>
      </c>
      <c r="I595">
        <v>0</v>
      </c>
      <c r="J595">
        <v>0.59833869581502808</v>
      </c>
      <c r="K595">
        <v>0</v>
      </c>
      <c r="L595">
        <v>0</v>
      </c>
      <c r="M595">
        <v>0</v>
      </c>
      <c r="N595">
        <v>0</v>
      </c>
      <c r="O595">
        <v>0</v>
      </c>
      <c r="P595">
        <v>0</v>
      </c>
      <c r="Q595">
        <v>0</v>
      </c>
      <c r="R595">
        <v>0</v>
      </c>
      <c r="S595">
        <v>0</v>
      </c>
      <c r="T595">
        <v>0.59833869581502808</v>
      </c>
      <c r="U595">
        <v>0.40166130418497192</v>
      </c>
      <c r="V595">
        <v>0</v>
      </c>
      <c r="W595">
        <v>0</v>
      </c>
      <c r="X595">
        <v>0</v>
      </c>
      <c r="Y595">
        <v>0</v>
      </c>
      <c r="Z595">
        <v>0</v>
      </c>
      <c r="AA595">
        <v>0</v>
      </c>
      <c r="AB595">
        <v>0</v>
      </c>
      <c r="AC595">
        <v>0</v>
      </c>
      <c r="AD595">
        <v>0</v>
      </c>
      <c r="AE595" t="s">
        <v>246</v>
      </c>
      <c r="AF595">
        <v>10</v>
      </c>
      <c r="AG595" t="s">
        <v>205</v>
      </c>
      <c r="AH595">
        <v>46237</v>
      </c>
      <c r="AI595" t="s">
        <v>149</v>
      </c>
    </row>
    <row r="596" spans="1:35" x14ac:dyDescent="0.25">
      <c r="A596" s="1">
        <v>46238</v>
      </c>
      <c r="B596" t="s">
        <v>13</v>
      </c>
      <c r="C596" t="s">
        <v>10</v>
      </c>
      <c r="D596">
        <v>2.4940825571009313</v>
      </c>
      <c r="E596">
        <v>0</v>
      </c>
      <c r="F596">
        <v>0</v>
      </c>
      <c r="G596">
        <v>0.23529411764705879</v>
      </c>
      <c r="H596">
        <v>0</v>
      </c>
      <c r="I596">
        <v>0</v>
      </c>
      <c r="J596">
        <v>9.4340949932531379E-2</v>
      </c>
      <c r="K596">
        <v>0</v>
      </c>
      <c r="L596">
        <v>0</v>
      </c>
      <c r="M596">
        <v>0</v>
      </c>
      <c r="N596">
        <v>0</v>
      </c>
      <c r="O596">
        <v>0</v>
      </c>
      <c r="P596">
        <v>0</v>
      </c>
      <c r="Q596">
        <v>0</v>
      </c>
      <c r="R596">
        <v>0</v>
      </c>
      <c r="S596">
        <v>0</v>
      </c>
      <c r="T596">
        <v>9.4340949932531379E-2</v>
      </c>
      <c r="U596">
        <v>0.90565905006746861</v>
      </c>
      <c r="V596">
        <v>0</v>
      </c>
      <c r="W596">
        <v>0</v>
      </c>
      <c r="X596">
        <v>0</v>
      </c>
      <c r="Y596">
        <v>0</v>
      </c>
      <c r="Z596">
        <v>0</v>
      </c>
      <c r="AA596">
        <v>0</v>
      </c>
      <c r="AB596">
        <v>0</v>
      </c>
      <c r="AC596">
        <v>0</v>
      </c>
      <c r="AD596">
        <v>0</v>
      </c>
      <c r="AE596" t="s">
        <v>246</v>
      </c>
      <c r="AF596">
        <v>10</v>
      </c>
      <c r="AG596" t="s">
        <v>208</v>
      </c>
      <c r="AH596">
        <v>46238</v>
      </c>
      <c r="AI596" t="s">
        <v>149</v>
      </c>
    </row>
    <row r="597" spans="1:35" x14ac:dyDescent="0.25">
      <c r="A597" s="1">
        <v>46238</v>
      </c>
      <c r="B597" t="s">
        <v>13</v>
      </c>
      <c r="C597" t="s">
        <v>11</v>
      </c>
      <c r="D597">
        <v>5.9952718275488053</v>
      </c>
      <c r="E597">
        <v>0</v>
      </c>
      <c r="F597">
        <v>0</v>
      </c>
      <c r="G597">
        <v>2.0078431372549019</v>
      </c>
      <c r="H597">
        <v>0</v>
      </c>
      <c r="I597">
        <v>0</v>
      </c>
      <c r="J597">
        <v>0.33490443719810747</v>
      </c>
      <c r="K597">
        <v>0</v>
      </c>
      <c r="L597">
        <v>0</v>
      </c>
      <c r="M597">
        <v>0</v>
      </c>
      <c r="N597">
        <v>0</v>
      </c>
      <c r="O597">
        <v>0</v>
      </c>
      <c r="P597">
        <v>0</v>
      </c>
      <c r="Q597">
        <v>0</v>
      </c>
      <c r="R597">
        <v>0</v>
      </c>
      <c r="S597">
        <v>0</v>
      </c>
      <c r="T597">
        <v>0.33490443719810747</v>
      </c>
      <c r="U597">
        <v>0.66509556280189253</v>
      </c>
      <c r="V597">
        <v>0</v>
      </c>
      <c r="W597">
        <v>0</v>
      </c>
      <c r="X597">
        <v>0</v>
      </c>
      <c r="Y597">
        <v>0</v>
      </c>
      <c r="Z597">
        <v>0</v>
      </c>
      <c r="AA597">
        <v>0</v>
      </c>
      <c r="AB597">
        <v>0</v>
      </c>
      <c r="AC597">
        <v>0</v>
      </c>
      <c r="AD597">
        <v>0</v>
      </c>
      <c r="AE597" t="s">
        <v>246</v>
      </c>
      <c r="AF597">
        <v>10</v>
      </c>
      <c r="AG597" t="s">
        <v>207</v>
      </c>
      <c r="AH597">
        <v>46238</v>
      </c>
      <c r="AI597" t="s">
        <v>149</v>
      </c>
    </row>
    <row r="598" spans="1:35" x14ac:dyDescent="0.25">
      <c r="A598" s="1">
        <v>46238</v>
      </c>
      <c r="B598" t="s">
        <v>13</v>
      </c>
      <c r="C598" t="s">
        <v>12</v>
      </c>
      <c r="D598">
        <v>1.4211110702599361</v>
      </c>
      <c r="E598">
        <v>0</v>
      </c>
      <c r="F598">
        <v>0</v>
      </c>
      <c r="G598">
        <v>1.7716262975778552</v>
      </c>
      <c r="H598">
        <v>0</v>
      </c>
      <c r="I598">
        <v>0</v>
      </c>
      <c r="J598">
        <v>1.246648720605495</v>
      </c>
      <c r="K598">
        <v>0.24664872060549503</v>
      </c>
      <c r="L598">
        <v>0</v>
      </c>
      <c r="M598">
        <v>0</v>
      </c>
      <c r="N598">
        <v>0</v>
      </c>
      <c r="O598">
        <v>0</v>
      </c>
      <c r="P598">
        <v>0</v>
      </c>
      <c r="Q598">
        <v>0</v>
      </c>
      <c r="R598">
        <v>0</v>
      </c>
      <c r="S598">
        <v>0</v>
      </c>
      <c r="T598">
        <v>0</v>
      </c>
      <c r="U598">
        <v>0</v>
      </c>
      <c r="V598">
        <v>0</v>
      </c>
      <c r="W598">
        <v>0</v>
      </c>
      <c r="X598">
        <v>0</v>
      </c>
      <c r="Y598">
        <v>0</v>
      </c>
      <c r="Z598">
        <v>0</v>
      </c>
      <c r="AA598">
        <v>0</v>
      </c>
      <c r="AB598">
        <v>0</v>
      </c>
      <c r="AC598">
        <v>1</v>
      </c>
      <c r="AD598">
        <v>0</v>
      </c>
      <c r="AE598" t="s">
        <v>246</v>
      </c>
      <c r="AF598">
        <v>10</v>
      </c>
      <c r="AG598" t="s">
        <v>206</v>
      </c>
      <c r="AH598">
        <v>46238</v>
      </c>
      <c r="AI598" t="s">
        <v>149</v>
      </c>
    </row>
    <row r="599" spans="1:35" x14ac:dyDescent="0.25">
      <c r="A599" s="1">
        <v>46239</v>
      </c>
      <c r="B599" t="s">
        <v>13</v>
      </c>
      <c r="C599" t="s">
        <v>11</v>
      </c>
      <c r="D599">
        <v>2.5997830802603037</v>
      </c>
      <c r="E599">
        <v>0</v>
      </c>
      <c r="F599">
        <v>0</v>
      </c>
      <c r="G599">
        <v>2.0078431372549019</v>
      </c>
      <c r="H599">
        <v>0</v>
      </c>
      <c r="I599">
        <v>0</v>
      </c>
      <c r="J599">
        <v>0.77231179497247371</v>
      </c>
      <c r="K599">
        <v>0</v>
      </c>
      <c r="L599">
        <v>0</v>
      </c>
      <c r="M599">
        <v>0</v>
      </c>
      <c r="N599">
        <v>0</v>
      </c>
      <c r="O599">
        <v>0</v>
      </c>
      <c r="P599">
        <v>0</v>
      </c>
      <c r="Q599">
        <v>0</v>
      </c>
      <c r="R599">
        <v>0</v>
      </c>
      <c r="S599">
        <v>0</v>
      </c>
      <c r="T599">
        <v>0.77231179497247371</v>
      </c>
      <c r="U599">
        <v>0.22768820502752629</v>
      </c>
      <c r="V599">
        <v>0</v>
      </c>
      <c r="W599">
        <v>0</v>
      </c>
      <c r="X599">
        <v>0</v>
      </c>
      <c r="Y599">
        <v>0</v>
      </c>
      <c r="Z599">
        <v>0</v>
      </c>
      <c r="AA599">
        <v>0</v>
      </c>
      <c r="AB599">
        <v>0</v>
      </c>
      <c r="AC599">
        <v>0</v>
      </c>
      <c r="AD599">
        <v>0</v>
      </c>
      <c r="AE599" t="s">
        <v>246</v>
      </c>
      <c r="AF599">
        <v>10</v>
      </c>
      <c r="AG599" t="s">
        <v>209</v>
      </c>
      <c r="AH599">
        <v>46239</v>
      </c>
      <c r="AI599" t="s">
        <v>149</v>
      </c>
    </row>
    <row r="600" spans="1:35" x14ac:dyDescent="0.25">
      <c r="A600" s="1">
        <v>46239</v>
      </c>
      <c r="B600" t="s">
        <v>13</v>
      </c>
      <c r="C600" t="s">
        <v>12</v>
      </c>
      <c r="D600">
        <v>2.3290431429260066</v>
      </c>
      <c r="E600">
        <v>0</v>
      </c>
      <c r="F600">
        <v>0</v>
      </c>
      <c r="G600">
        <v>1.7716262975778552</v>
      </c>
      <c r="H600">
        <v>0</v>
      </c>
      <c r="I600">
        <v>0</v>
      </c>
      <c r="J600">
        <v>0.76066701596267494</v>
      </c>
      <c r="K600">
        <v>0</v>
      </c>
      <c r="L600">
        <v>0</v>
      </c>
      <c r="M600">
        <v>0</v>
      </c>
      <c r="N600">
        <v>0</v>
      </c>
      <c r="O600">
        <v>0</v>
      </c>
      <c r="P600">
        <v>0</v>
      </c>
      <c r="Q600">
        <v>0</v>
      </c>
      <c r="R600">
        <v>0</v>
      </c>
      <c r="S600">
        <v>0</v>
      </c>
      <c r="T600">
        <v>0.76066701596267494</v>
      </c>
      <c r="U600">
        <v>0.23933298403732506</v>
      </c>
      <c r="V600">
        <v>0</v>
      </c>
      <c r="W600">
        <v>0</v>
      </c>
      <c r="X600">
        <v>0</v>
      </c>
      <c r="Y600">
        <v>0</v>
      </c>
      <c r="Z600">
        <v>0</v>
      </c>
      <c r="AA600">
        <v>0</v>
      </c>
      <c r="AB600">
        <v>0</v>
      </c>
      <c r="AC600">
        <v>0</v>
      </c>
      <c r="AD600">
        <v>0</v>
      </c>
      <c r="AE600" t="s">
        <v>246</v>
      </c>
      <c r="AF600">
        <v>10</v>
      </c>
      <c r="AG600" t="s">
        <v>210</v>
      </c>
      <c r="AH600">
        <v>46239</v>
      </c>
      <c r="AI600" t="s">
        <v>149</v>
      </c>
    </row>
    <row r="601" spans="1:35" x14ac:dyDescent="0.25">
      <c r="A601" s="1">
        <v>46239</v>
      </c>
      <c r="B601" t="s">
        <v>13</v>
      </c>
      <c r="C601" t="s">
        <v>10</v>
      </c>
      <c r="D601">
        <v>2.8728695382708396</v>
      </c>
      <c r="E601">
        <v>0</v>
      </c>
      <c r="F601">
        <v>0</v>
      </c>
      <c r="G601">
        <v>0.23529411764705879</v>
      </c>
      <c r="H601">
        <v>0</v>
      </c>
      <c r="I601">
        <v>0</v>
      </c>
      <c r="J601">
        <v>8.1902124169787635E-2</v>
      </c>
      <c r="K601">
        <v>0</v>
      </c>
      <c r="L601">
        <v>0</v>
      </c>
      <c r="M601">
        <v>0</v>
      </c>
      <c r="N601">
        <v>0</v>
      </c>
      <c r="O601">
        <v>0</v>
      </c>
      <c r="P601">
        <v>0</v>
      </c>
      <c r="Q601">
        <v>0</v>
      </c>
      <c r="R601">
        <v>0</v>
      </c>
      <c r="S601">
        <v>0</v>
      </c>
      <c r="T601">
        <v>8.1902124169787635E-2</v>
      </c>
      <c r="U601">
        <v>0.91809787583021241</v>
      </c>
      <c r="V601">
        <v>0</v>
      </c>
      <c r="W601">
        <v>0</v>
      </c>
      <c r="X601">
        <v>0</v>
      </c>
      <c r="Y601">
        <v>0</v>
      </c>
      <c r="Z601">
        <v>0</v>
      </c>
      <c r="AA601">
        <v>0</v>
      </c>
      <c r="AB601">
        <v>0</v>
      </c>
      <c r="AC601">
        <v>0</v>
      </c>
      <c r="AD601">
        <v>0</v>
      </c>
      <c r="AE601" t="s">
        <v>246</v>
      </c>
      <c r="AF601">
        <v>10</v>
      </c>
      <c r="AG601" t="s">
        <v>211</v>
      </c>
      <c r="AH601">
        <v>46239</v>
      </c>
      <c r="AI601" t="s">
        <v>149</v>
      </c>
    </row>
    <row r="602" spans="1:35" x14ac:dyDescent="0.25">
      <c r="A602" s="1">
        <v>46240</v>
      </c>
      <c r="B602" t="s">
        <v>13</v>
      </c>
      <c r="C602" t="s">
        <v>11</v>
      </c>
      <c r="D602">
        <v>2.4468546637744035</v>
      </c>
      <c r="E602">
        <v>0</v>
      </c>
      <c r="F602">
        <v>0</v>
      </c>
      <c r="G602">
        <v>1.0666666666666669</v>
      </c>
      <c r="H602">
        <v>0</v>
      </c>
      <c r="I602">
        <v>0</v>
      </c>
      <c r="J602">
        <v>0.43593380614657218</v>
      </c>
      <c r="K602">
        <v>0</v>
      </c>
      <c r="L602">
        <v>0</v>
      </c>
      <c r="M602">
        <v>0</v>
      </c>
      <c r="N602">
        <v>0</v>
      </c>
      <c r="O602">
        <v>0</v>
      </c>
      <c r="P602">
        <v>0</v>
      </c>
      <c r="Q602">
        <v>0</v>
      </c>
      <c r="R602">
        <v>0</v>
      </c>
      <c r="S602">
        <v>0</v>
      </c>
      <c r="T602">
        <v>0.43593380614657218</v>
      </c>
      <c r="U602">
        <v>0.56406619385342782</v>
      </c>
      <c r="V602">
        <v>0</v>
      </c>
      <c r="W602">
        <v>0</v>
      </c>
      <c r="X602">
        <v>0</v>
      </c>
      <c r="Y602">
        <v>0</v>
      </c>
      <c r="Z602">
        <v>0</v>
      </c>
      <c r="AA602">
        <v>0</v>
      </c>
      <c r="AB602">
        <v>0</v>
      </c>
      <c r="AC602">
        <v>0</v>
      </c>
      <c r="AD602">
        <v>0</v>
      </c>
      <c r="AE602" t="s">
        <v>246</v>
      </c>
      <c r="AF602">
        <v>10</v>
      </c>
      <c r="AG602" t="s">
        <v>212</v>
      </c>
      <c r="AH602">
        <v>46240</v>
      </c>
      <c r="AI602" t="s">
        <v>149</v>
      </c>
    </row>
    <row r="603" spans="1:35" x14ac:dyDescent="0.25">
      <c r="A603" s="1">
        <v>46240</v>
      </c>
      <c r="B603" t="s">
        <v>13</v>
      </c>
      <c r="C603" t="s">
        <v>10</v>
      </c>
      <c r="D603">
        <v>4.4325451916124354</v>
      </c>
      <c r="E603">
        <v>0</v>
      </c>
      <c r="F603">
        <v>0</v>
      </c>
      <c r="G603">
        <v>0.23529411764705879</v>
      </c>
      <c r="H603">
        <v>0</v>
      </c>
      <c r="I603">
        <v>0</v>
      </c>
      <c r="J603">
        <v>5.3083298077208185E-2</v>
      </c>
      <c r="K603">
        <v>0</v>
      </c>
      <c r="L603">
        <v>0</v>
      </c>
      <c r="M603">
        <v>0</v>
      </c>
      <c r="N603">
        <v>0</v>
      </c>
      <c r="O603">
        <v>0</v>
      </c>
      <c r="P603">
        <v>0</v>
      </c>
      <c r="Q603">
        <v>0</v>
      </c>
      <c r="R603">
        <v>0</v>
      </c>
      <c r="S603">
        <v>0</v>
      </c>
      <c r="T603">
        <v>5.3083298077208185E-2</v>
      </c>
      <c r="U603">
        <v>0.94691670192279176</v>
      </c>
      <c r="V603">
        <v>0</v>
      </c>
      <c r="W603">
        <v>0</v>
      </c>
      <c r="X603">
        <v>0</v>
      </c>
      <c r="Y603">
        <v>0</v>
      </c>
      <c r="Z603">
        <v>0</v>
      </c>
      <c r="AA603">
        <v>0</v>
      </c>
      <c r="AB603">
        <v>0</v>
      </c>
      <c r="AC603">
        <v>0</v>
      </c>
      <c r="AD603">
        <v>0</v>
      </c>
      <c r="AE603" t="s">
        <v>246</v>
      </c>
      <c r="AF603">
        <v>10</v>
      </c>
      <c r="AG603" t="s">
        <v>213</v>
      </c>
      <c r="AH603">
        <v>46240</v>
      </c>
      <c r="AI603" t="s">
        <v>149</v>
      </c>
    </row>
    <row r="604" spans="1:35" x14ac:dyDescent="0.25">
      <c r="A604" s="1">
        <v>46240</v>
      </c>
      <c r="B604" t="s">
        <v>13</v>
      </c>
      <c r="C604" t="s">
        <v>12</v>
      </c>
      <c r="D604">
        <v>2.3109182935647143</v>
      </c>
      <c r="E604">
        <v>0</v>
      </c>
      <c r="F604">
        <v>0</v>
      </c>
      <c r="G604">
        <v>1.7716262975778552</v>
      </c>
      <c r="H604">
        <v>0</v>
      </c>
      <c r="I604">
        <v>0</v>
      </c>
      <c r="J604">
        <v>0.76663303177414699</v>
      </c>
      <c r="K604">
        <v>0</v>
      </c>
      <c r="L604">
        <v>0</v>
      </c>
      <c r="M604">
        <v>0</v>
      </c>
      <c r="N604">
        <v>0</v>
      </c>
      <c r="O604">
        <v>0</v>
      </c>
      <c r="P604">
        <v>0</v>
      </c>
      <c r="Q604">
        <v>0</v>
      </c>
      <c r="R604">
        <v>0</v>
      </c>
      <c r="S604">
        <v>0</v>
      </c>
      <c r="T604">
        <v>0.76663303177414699</v>
      </c>
      <c r="U604">
        <v>0.23336696822585301</v>
      </c>
      <c r="V604">
        <v>0</v>
      </c>
      <c r="W604">
        <v>0</v>
      </c>
      <c r="X604">
        <v>0</v>
      </c>
      <c r="Y604">
        <v>0</v>
      </c>
      <c r="Z604">
        <v>0</v>
      </c>
      <c r="AA604">
        <v>0</v>
      </c>
      <c r="AB604">
        <v>0</v>
      </c>
      <c r="AC604">
        <v>0</v>
      </c>
      <c r="AD604">
        <v>0</v>
      </c>
      <c r="AE604" t="s">
        <v>246</v>
      </c>
      <c r="AF604">
        <v>10</v>
      </c>
      <c r="AG604" t="s">
        <v>214</v>
      </c>
      <c r="AH604">
        <v>46240</v>
      </c>
      <c r="AI604" t="s">
        <v>149</v>
      </c>
    </row>
    <row r="605" spans="1:35" x14ac:dyDescent="0.25">
      <c r="A605" s="1">
        <v>46241</v>
      </c>
      <c r="B605" t="s">
        <v>13</v>
      </c>
      <c r="C605" t="s">
        <v>12</v>
      </c>
      <c r="D605">
        <v>2.446854663774404</v>
      </c>
      <c r="E605">
        <v>0</v>
      </c>
      <c r="F605">
        <v>0</v>
      </c>
      <c r="G605">
        <v>1.7716262975778552</v>
      </c>
      <c r="H605">
        <v>0</v>
      </c>
      <c r="I605">
        <v>0</v>
      </c>
      <c r="J605">
        <v>0.72404230778669421</v>
      </c>
      <c r="K605">
        <v>0</v>
      </c>
      <c r="L605">
        <v>0</v>
      </c>
      <c r="M605">
        <v>0</v>
      </c>
      <c r="N605">
        <v>0</v>
      </c>
      <c r="O605">
        <v>0</v>
      </c>
      <c r="P605">
        <v>0</v>
      </c>
      <c r="Q605">
        <v>0</v>
      </c>
      <c r="R605">
        <v>0</v>
      </c>
      <c r="S605">
        <v>0</v>
      </c>
      <c r="T605">
        <v>0.72404230778669421</v>
      </c>
      <c r="U605">
        <v>0.27595769221330579</v>
      </c>
      <c r="V605">
        <v>0</v>
      </c>
      <c r="W605">
        <v>0</v>
      </c>
      <c r="X605">
        <v>0</v>
      </c>
      <c r="Y605">
        <v>0</v>
      </c>
      <c r="Z605">
        <v>0</v>
      </c>
      <c r="AA605">
        <v>0</v>
      </c>
      <c r="AB605">
        <v>0</v>
      </c>
      <c r="AC605">
        <v>0</v>
      </c>
      <c r="AD605">
        <v>0</v>
      </c>
      <c r="AE605" t="s">
        <v>246</v>
      </c>
      <c r="AF605">
        <v>10</v>
      </c>
      <c r="AG605" t="s">
        <v>215</v>
      </c>
      <c r="AH605">
        <v>46241</v>
      </c>
      <c r="AI605" t="s">
        <v>149</v>
      </c>
    </row>
    <row r="606" spans="1:35" x14ac:dyDescent="0.25">
      <c r="A606" s="1">
        <v>46241</v>
      </c>
      <c r="B606" t="s">
        <v>13</v>
      </c>
      <c r="C606" t="s">
        <v>10</v>
      </c>
      <c r="D606">
        <v>4.2193678339014573</v>
      </c>
      <c r="E606">
        <v>0</v>
      </c>
      <c r="F606">
        <v>0</v>
      </c>
      <c r="G606">
        <v>0.1176470588235294</v>
      </c>
      <c r="H606">
        <v>0</v>
      </c>
      <c r="I606">
        <v>0</v>
      </c>
      <c r="J606">
        <v>2.7882626842406985E-2</v>
      </c>
      <c r="K606">
        <v>0</v>
      </c>
      <c r="L606">
        <v>0</v>
      </c>
      <c r="M606">
        <v>0</v>
      </c>
      <c r="N606">
        <v>0</v>
      </c>
      <c r="O606">
        <v>0</v>
      </c>
      <c r="P606">
        <v>0</v>
      </c>
      <c r="Q606">
        <v>0</v>
      </c>
      <c r="R606">
        <v>0</v>
      </c>
      <c r="S606">
        <v>0</v>
      </c>
      <c r="T606">
        <v>2.7882626842406985E-2</v>
      </c>
      <c r="U606">
        <v>0.97211737315759306</v>
      </c>
      <c r="V606">
        <v>0</v>
      </c>
      <c r="W606">
        <v>0</v>
      </c>
      <c r="X606">
        <v>0</v>
      </c>
      <c r="Y606">
        <v>0</v>
      </c>
      <c r="Z606">
        <v>0</v>
      </c>
      <c r="AA606">
        <v>0</v>
      </c>
      <c r="AB606">
        <v>0</v>
      </c>
      <c r="AC606">
        <v>0</v>
      </c>
      <c r="AD606">
        <v>0</v>
      </c>
      <c r="AE606" t="s">
        <v>246</v>
      </c>
      <c r="AF606">
        <v>10</v>
      </c>
      <c r="AG606" t="s">
        <v>217</v>
      </c>
      <c r="AH606">
        <v>46241</v>
      </c>
      <c r="AI606" t="s">
        <v>149</v>
      </c>
    </row>
    <row r="607" spans="1:35" x14ac:dyDescent="0.25">
      <c r="A607" s="1">
        <v>46241</v>
      </c>
      <c r="B607" t="s">
        <v>13</v>
      </c>
      <c r="C607" t="s">
        <v>11</v>
      </c>
      <c r="D607">
        <v>2.4468546637744035</v>
      </c>
      <c r="E607">
        <v>0</v>
      </c>
      <c r="F607">
        <v>0</v>
      </c>
      <c r="G607">
        <v>2.0078431372549019</v>
      </c>
      <c r="H607">
        <v>0</v>
      </c>
      <c r="I607">
        <v>0</v>
      </c>
      <c r="J607">
        <v>0.82058128215825332</v>
      </c>
      <c r="K607">
        <v>0</v>
      </c>
      <c r="L607">
        <v>0</v>
      </c>
      <c r="M607">
        <v>0</v>
      </c>
      <c r="N607">
        <v>0</v>
      </c>
      <c r="O607">
        <v>0</v>
      </c>
      <c r="P607">
        <v>0</v>
      </c>
      <c r="Q607">
        <v>0</v>
      </c>
      <c r="R607">
        <v>0</v>
      </c>
      <c r="S607">
        <v>0</v>
      </c>
      <c r="T607">
        <v>0.82058128215825332</v>
      </c>
      <c r="U607">
        <v>0.17941871784174668</v>
      </c>
      <c r="V607">
        <v>0</v>
      </c>
      <c r="W607">
        <v>0</v>
      </c>
      <c r="X607">
        <v>0</v>
      </c>
      <c r="Y607">
        <v>0</v>
      </c>
      <c r="Z607">
        <v>0</v>
      </c>
      <c r="AA607">
        <v>0</v>
      </c>
      <c r="AB607">
        <v>0</v>
      </c>
      <c r="AC607">
        <v>0</v>
      </c>
      <c r="AD607">
        <v>0</v>
      </c>
      <c r="AE607" t="s">
        <v>246</v>
      </c>
      <c r="AF607">
        <v>10</v>
      </c>
      <c r="AG607" t="s">
        <v>216</v>
      </c>
      <c r="AH607">
        <v>46241</v>
      </c>
      <c r="AI607" t="s">
        <v>149</v>
      </c>
    </row>
    <row r="608" spans="1:35" x14ac:dyDescent="0.25">
      <c r="A608" s="1">
        <v>46242</v>
      </c>
      <c r="B608" t="s">
        <v>13</v>
      </c>
      <c r="C608" t="s">
        <v>12</v>
      </c>
      <c r="D608">
        <v>1.2234273318872018</v>
      </c>
      <c r="E608">
        <v>0</v>
      </c>
      <c r="F608">
        <v>0</v>
      </c>
      <c r="G608">
        <v>1.7716262975778552</v>
      </c>
      <c r="H608">
        <v>0</v>
      </c>
      <c r="I608">
        <v>0</v>
      </c>
      <c r="J608">
        <v>1.4480846155733886</v>
      </c>
      <c r="K608">
        <v>0.44808461557338863</v>
      </c>
      <c r="L608">
        <v>0</v>
      </c>
      <c r="M608">
        <v>0</v>
      </c>
      <c r="N608">
        <v>0</v>
      </c>
      <c r="O608">
        <v>0</v>
      </c>
      <c r="P608">
        <v>0</v>
      </c>
      <c r="Q608">
        <v>0</v>
      </c>
      <c r="R608">
        <v>0</v>
      </c>
      <c r="S608">
        <v>0</v>
      </c>
      <c r="T608">
        <v>0</v>
      </c>
      <c r="U608">
        <v>0</v>
      </c>
      <c r="V608">
        <v>0</v>
      </c>
      <c r="W608">
        <v>0</v>
      </c>
      <c r="X608">
        <v>0</v>
      </c>
      <c r="Y608">
        <v>0</v>
      </c>
      <c r="Z608">
        <v>0</v>
      </c>
      <c r="AA608">
        <v>0</v>
      </c>
      <c r="AB608">
        <v>0</v>
      </c>
      <c r="AC608">
        <v>1</v>
      </c>
      <c r="AD608">
        <v>0</v>
      </c>
      <c r="AE608" t="s">
        <v>246</v>
      </c>
      <c r="AF608">
        <v>10</v>
      </c>
      <c r="AG608" t="s">
        <v>218</v>
      </c>
      <c r="AH608">
        <v>46242</v>
      </c>
      <c r="AI608" t="s">
        <v>149</v>
      </c>
    </row>
    <row r="609" spans="1:35" x14ac:dyDescent="0.25">
      <c r="A609" s="1">
        <v>46242</v>
      </c>
      <c r="B609" t="s">
        <v>13</v>
      </c>
      <c r="C609" t="s">
        <v>11</v>
      </c>
      <c r="D609">
        <v>2.446854663774404</v>
      </c>
      <c r="E609">
        <v>0</v>
      </c>
      <c r="F609">
        <v>0</v>
      </c>
      <c r="G609">
        <v>2.0078431372549019</v>
      </c>
      <c r="H609">
        <v>0</v>
      </c>
      <c r="I609">
        <v>0</v>
      </c>
      <c r="J609">
        <v>0.82058128215825321</v>
      </c>
      <c r="K609">
        <v>0</v>
      </c>
      <c r="L609">
        <v>0</v>
      </c>
      <c r="M609">
        <v>0</v>
      </c>
      <c r="N609">
        <v>0</v>
      </c>
      <c r="O609">
        <v>0</v>
      </c>
      <c r="P609">
        <v>0</v>
      </c>
      <c r="Q609">
        <v>0</v>
      </c>
      <c r="R609">
        <v>0</v>
      </c>
      <c r="S609">
        <v>0</v>
      </c>
      <c r="T609">
        <v>0.82058128215825321</v>
      </c>
      <c r="U609">
        <v>0.17941871784174679</v>
      </c>
      <c r="V609">
        <v>0</v>
      </c>
      <c r="W609">
        <v>0</v>
      </c>
      <c r="X609">
        <v>0</v>
      </c>
      <c r="Y609">
        <v>0</v>
      </c>
      <c r="Z609">
        <v>0</v>
      </c>
      <c r="AA609">
        <v>0</v>
      </c>
      <c r="AB609">
        <v>0</v>
      </c>
      <c r="AC609">
        <v>0</v>
      </c>
      <c r="AD609">
        <v>0</v>
      </c>
      <c r="AE609" t="s">
        <v>246</v>
      </c>
      <c r="AF609">
        <v>10</v>
      </c>
      <c r="AG609" t="s">
        <v>220</v>
      </c>
      <c r="AH609">
        <v>46242</v>
      </c>
      <c r="AI609" t="s">
        <v>149</v>
      </c>
    </row>
    <row r="610" spans="1:35" x14ac:dyDescent="0.25">
      <c r="A610" s="1">
        <v>46242</v>
      </c>
      <c r="B610" t="s">
        <v>13</v>
      </c>
      <c r="C610" t="s">
        <v>10</v>
      </c>
      <c r="D610">
        <v>2.5997830802603041</v>
      </c>
      <c r="E610">
        <v>0</v>
      </c>
      <c r="F610">
        <v>0</v>
      </c>
      <c r="G610">
        <v>0.23529411764705879</v>
      </c>
      <c r="H610">
        <v>0</v>
      </c>
      <c r="I610">
        <v>0</v>
      </c>
      <c r="J610">
        <v>9.0505288473336748E-2</v>
      </c>
      <c r="K610">
        <v>0</v>
      </c>
      <c r="L610">
        <v>0</v>
      </c>
      <c r="M610">
        <v>0</v>
      </c>
      <c r="N610">
        <v>0</v>
      </c>
      <c r="O610">
        <v>0</v>
      </c>
      <c r="P610">
        <v>0</v>
      </c>
      <c r="Q610">
        <v>0</v>
      </c>
      <c r="R610">
        <v>0</v>
      </c>
      <c r="S610">
        <v>0</v>
      </c>
      <c r="T610">
        <v>9.0505288473336748E-2</v>
      </c>
      <c r="U610">
        <v>0.90949471152666328</v>
      </c>
      <c r="V610">
        <v>0</v>
      </c>
      <c r="W610">
        <v>0</v>
      </c>
      <c r="X610">
        <v>0</v>
      </c>
      <c r="Y610">
        <v>0</v>
      </c>
      <c r="Z610">
        <v>0</v>
      </c>
      <c r="AA610">
        <v>0</v>
      </c>
      <c r="AB610">
        <v>0</v>
      </c>
      <c r="AC610">
        <v>0</v>
      </c>
      <c r="AD610">
        <v>0</v>
      </c>
      <c r="AE610" t="s">
        <v>246</v>
      </c>
      <c r="AF610">
        <v>10</v>
      </c>
      <c r="AG610" t="s">
        <v>219</v>
      </c>
      <c r="AH610">
        <v>46242</v>
      </c>
      <c r="AI610" t="s">
        <v>149</v>
      </c>
    </row>
    <row r="611" spans="1:35" x14ac:dyDescent="0.25">
      <c r="A611" s="1">
        <v>46243</v>
      </c>
      <c r="B611" t="s">
        <v>13</v>
      </c>
      <c r="C611" t="s">
        <v>11</v>
      </c>
      <c r="D611">
        <v>2.367923868168778</v>
      </c>
      <c r="E611">
        <v>0</v>
      </c>
      <c r="F611">
        <v>0</v>
      </c>
      <c r="G611">
        <v>2.0078431372549019</v>
      </c>
      <c r="H611">
        <v>0</v>
      </c>
      <c r="I611">
        <v>0</v>
      </c>
      <c r="J611">
        <v>0.84793399156352833</v>
      </c>
      <c r="K611">
        <v>0</v>
      </c>
      <c r="L611">
        <v>0</v>
      </c>
      <c r="M611">
        <v>0</v>
      </c>
      <c r="N611">
        <v>0</v>
      </c>
      <c r="O611">
        <v>0</v>
      </c>
      <c r="P611">
        <v>0</v>
      </c>
      <c r="Q611">
        <v>0</v>
      </c>
      <c r="R611">
        <v>0</v>
      </c>
      <c r="S611">
        <v>0</v>
      </c>
      <c r="T611">
        <v>0.84793399156352833</v>
      </c>
      <c r="U611">
        <v>0.15206600843647167</v>
      </c>
      <c r="V611">
        <v>0</v>
      </c>
      <c r="W611">
        <v>0</v>
      </c>
      <c r="X611">
        <v>0</v>
      </c>
      <c r="Y611">
        <v>0</v>
      </c>
      <c r="Z611">
        <v>0</v>
      </c>
      <c r="AA611">
        <v>0</v>
      </c>
      <c r="AB611">
        <v>0</v>
      </c>
      <c r="AC611">
        <v>0</v>
      </c>
      <c r="AD611">
        <v>0</v>
      </c>
      <c r="AE611" t="s">
        <v>246</v>
      </c>
      <c r="AF611">
        <v>10</v>
      </c>
      <c r="AG611" t="s">
        <v>223</v>
      </c>
      <c r="AH611">
        <v>46243</v>
      </c>
      <c r="AI611" t="s">
        <v>149</v>
      </c>
    </row>
    <row r="612" spans="1:35" x14ac:dyDescent="0.25">
      <c r="A612" s="1">
        <v>46243</v>
      </c>
      <c r="B612" t="s">
        <v>13</v>
      </c>
      <c r="C612" t="s">
        <v>10</v>
      </c>
      <c r="D612">
        <v>10.888503253796095</v>
      </c>
      <c r="E612">
        <v>0</v>
      </c>
      <c r="F612">
        <v>0</v>
      </c>
      <c r="G612">
        <v>0.23529411764705879</v>
      </c>
      <c r="H612">
        <v>0</v>
      </c>
      <c r="I612">
        <v>0</v>
      </c>
      <c r="J612">
        <v>2.1609408764701191E-2</v>
      </c>
      <c r="K612">
        <v>0</v>
      </c>
      <c r="L612">
        <v>0</v>
      </c>
      <c r="M612">
        <v>0</v>
      </c>
      <c r="N612">
        <v>0</v>
      </c>
      <c r="O612">
        <v>0</v>
      </c>
      <c r="P612">
        <v>0</v>
      </c>
      <c r="Q612">
        <v>0</v>
      </c>
      <c r="R612">
        <v>0</v>
      </c>
      <c r="S612">
        <v>0</v>
      </c>
      <c r="T612">
        <v>2.1609408764701191E-2</v>
      </c>
      <c r="U612">
        <v>0.97839059123529881</v>
      </c>
      <c r="V612">
        <v>0</v>
      </c>
      <c r="W612">
        <v>0</v>
      </c>
      <c r="X612">
        <v>0</v>
      </c>
      <c r="Y612">
        <v>0</v>
      </c>
      <c r="Z612">
        <v>0</v>
      </c>
      <c r="AA612">
        <v>0</v>
      </c>
      <c r="AB612">
        <v>0</v>
      </c>
      <c r="AC612">
        <v>0</v>
      </c>
      <c r="AD612">
        <v>0</v>
      </c>
      <c r="AE612" t="s">
        <v>246</v>
      </c>
      <c r="AF612">
        <v>10</v>
      </c>
      <c r="AG612" t="s">
        <v>222</v>
      </c>
      <c r="AH612">
        <v>46243</v>
      </c>
      <c r="AI612" t="s">
        <v>149</v>
      </c>
    </row>
    <row r="613" spans="1:35" x14ac:dyDescent="0.25">
      <c r="A613" s="1">
        <v>46243</v>
      </c>
      <c r="B613" t="s">
        <v>13</v>
      </c>
      <c r="C613" t="s">
        <v>12</v>
      </c>
      <c r="D613">
        <v>1.2635609269014911</v>
      </c>
      <c r="E613">
        <v>0</v>
      </c>
      <c r="F613">
        <v>0</v>
      </c>
      <c r="G613">
        <v>1.7716262975778552</v>
      </c>
      <c r="H613">
        <v>0</v>
      </c>
      <c r="I613">
        <v>0</v>
      </c>
      <c r="J613">
        <v>1.4020901247098894</v>
      </c>
      <c r="K613">
        <v>0.40209012470988936</v>
      </c>
      <c r="L613">
        <v>0</v>
      </c>
      <c r="M613">
        <v>0</v>
      </c>
      <c r="N613">
        <v>0</v>
      </c>
      <c r="O613">
        <v>0</v>
      </c>
      <c r="P613">
        <v>0</v>
      </c>
      <c r="Q613">
        <v>0</v>
      </c>
      <c r="R613">
        <v>0</v>
      </c>
      <c r="S613">
        <v>0</v>
      </c>
      <c r="T613">
        <v>0</v>
      </c>
      <c r="U613">
        <v>0</v>
      </c>
      <c r="V613">
        <v>0</v>
      </c>
      <c r="W613">
        <v>0</v>
      </c>
      <c r="X613">
        <v>0</v>
      </c>
      <c r="Y613">
        <v>0</v>
      </c>
      <c r="Z613">
        <v>0</v>
      </c>
      <c r="AA613">
        <v>0</v>
      </c>
      <c r="AB613">
        <v>0</v>
      </c>
      <c r="AC613">
        <v>1</v>
      </c>
      <c r="AD613">
        <v>0</v>
      </c>
      <c r="AE613" t="s">
        <v>246</v>
      </c>
      <c r="AF613">
        <v>10</v>
      </c>
      <c r="AG613" t="s">
        <v>221</v>
      </c>
      <c r="AH613">
        <v>46243</v>
      </c>
      <c r="AI613" t="s">
        <v>149</v>
      </c>
    </row>
    <row r="614" spans="1:35" x14ac:dyDescent="0.25">
      <c r="A614" s="1">
        <v>46244</v>
      </c>
      <c r="B614" t="s">
        <v>13</v>
      </c>
      <c r="C614" t="s">
        <v>12</v>
      </c>
      <c r="D614">
        <v>2.6480698529411764</v>
      </c>
      <c r="E614">
        <v>0</v>
      </c>
      <c r="F614">
        <v>0</v>
      </c>
      <c r="G614">
        <v>1.7716262975778552</v>
      </c>
      <c r="H614">
        <v>0</v>
      </c>
      <c r="I614">
        <v>0</v>
      </c>
      <c r="J614">
        <v>0.6690255151729223</v>
      </c>
      <c r="K614">
        <v>0</v>
      </c>
      <c r="L614">
        <v>0</v>
      </c>
      <c r="M614">
        <v>0</v>
      </c>
      <c r="N614">
        <v>0</v>
      </c>
      <c r="O614">
        <v>0</v>
      </c>
      <c r="P614">
        <v>0</v>
      </c>
      <c r="Q614">
        <v>0</v>
      </c>
      <c r="R614">
        <v>0</v>
      </c>
      <c r="S614">
        <v>0</v>
      </c>
      <c r="T614">
        <v>0.6690255151729223</v>
      </c>
      <c r="U614">
        <v>0.3309744848270777</v>
      </c>
      <c r="V614">
        <v>0</v>
      </c>
      <c r="W614">
        <v>0</v>
      </c>
      <c r="X614">
        <v>0</v>
      </c>
      <c r="Y614">
        <v>0</v>
      </c>
      <c r="Z614">
        <v>0</v>
      </c>
      <c r="AA614">
        <v>0</v>
      </c>
      <c r="AB614">
        <v>0</v>
      </c>
      <c r="AC614">
        <v>0</v>
      </c>
      <c r="AD614">
        <v>0</v>
      </c>
      <c r="AE614" t="s">
        <v>246</v>
      </c>
      <c r="AF614">
        <v>10</v>
      </c>
      <c r="AG614" t="s">
        <v>226</v>
      </c>
      <c r="AH614">
        <v>46244</v>
      </c>
      <c r="AI614" t="s">
        <v>149</v>
      </c>
    </row>
    <row r="615" spans="1:35" x14ac:dyDescent="0.25">
      <c r="A615" s="1">
        <v>46244</v>
      </c>
      <c r="B615" t="s">
        <v>13</v>
      </c>
      <c r="C615" t="s">
        <v>11</v>
      </c>
      <c r="D615">
        <v>2.3738706446885591</v>
      </c>
      <c r="E615">
        <v>0</v>
      </c>
      <c r="F615">
        <v>0</v>
      </c>
      <c r="G615">
        <v>2.0078431372549019</v>
      </c>
      <c r="H615">
        <v>0</v>
      </c>
      <c r="I615">
        <v>0</v>
      </c>
      <c r="J615">
        <v>0.84580983456169812</v>
      </c>
      <c r="K615">
        <v>0</v>
      </c>
      <c r="L615">
        <v>0</v>
      </c>
      <c r="M615">
        <v>0</v>
      </c>
      <c r="N615">
        <v>0</v>
      </c>
      <c r="O615">
        <v>0</v>
      </c>
      <c r="P615">
        <v>0</v>
      </c>
      <c r="Q615">
        <v>0</v>
      </c>
      <c r="R615">
        <v>0</v>
      </c>
      <c r="S615">
        <v>0</v>
      </c>
      <c r="T615">
        <v>0.84580983456169812</v>
      </c>
      <c r="U615">
        <v>0.15419016543830188</v>
      </c>
      <c r="V615">
        <v>0</v>
      </c>
      <c r="W615">
        <v>0</v>
      </c>
      <c r="X615">
        <v>0</v>
      </c>
      <c r="Y615">
        <v>0</v>
      </c>
      <c r="Z615">
        <v>0</v>
      </c>
      <c r="AA615">
        <v>0</v>
      </c>
      <c r="AB615">
        <v>0</v>
      </c>
      <c r="AC615">
        <v>0</v>
      </c>
      <c r="AD615">
        <v>0</v>
      </c>
      <c r="AE615" t="s">
        <v>246</v>
      </c>
      <c r="AF615">
        <v>10</v>
      </c>
      <c r="AG615" t="s">
        <v>225</v>
      </c>
      <c r="AH615">
        <v>46244</v>
      </c>
      <c r="AI615" t="s">
        <v>149</v>
      </c>
    </row>
    <row r="616" spans="1:35" x14ac:dyDescent="0.25">
      <c r="A616" s="1">
        <v>46244</v>
      </c>
      <c r="B616" t="s">
        <v>13</v>
      </c>
      <c r="C616" t="s">
        <v>10</v>
      </c>
      <c r="D616">
        <v>2.6867423759091489</v>
      </c>
      <c r="E616">
        <v>0</v>
      </c>
      <c r="F616">
        <v>0</v>
      </c>
      <c r="G616">
        <v>0.23529411764705879</v>
      </c>
      <c r="H616">
        <v>0</v>
      </c>
      <c r="I616">
        <v>0</v>
      </c>
      <c r="J616">
        <v>8.7575987841945271E-2</v>
      </c>
      <c r="K616">
        <v>0</v>
      </c>
      <c r="L616">
        <v>0</v>
      </c>
      <c r="M616">
        <v>0</v>
      </c>
      <c r="N616">
        <v>0</v>
      </c>
      <c r="O616">
        <v>0</v>
      </c>
      <c r="P616">
        <v>0</v>
      </c>
      <c r="Q616">
        <v>0</v>
      </c>
      <c r="R616">
        <v>0</v>
      </c>
      <c r="S616">
        <v>0</v>
      </c>
      <c r="T616">
        <v>8.7575987841945271E-2</v>
      </c>
      <c r="U616">
        <v>0.91242401215805469</v>
      </c>
      <c r="V616">
        <v>0</v>
      </c>
      <c r="W616">
        <v>0</v>
      </c>
      <c r="X616">
        <v>0</v>
      </c>
      <c r="Y616">
        <v>0</v>
      </c>
      <c r="Z616">
        <v>0</v>
      </c>
      <c r="AA616">
        <v>0</v>
      </c>
      <c r="AB616">
        <v>0</v>
      </c>
      <c r="AC616">
        <v>0</v>
      </c>
      <c r="AD616">
        <v>0</v>
      </c>
      <c r="AE616" t="s">
        <v>246</v>
      </c>
      <c r="AF616">
        <v>10</v>
      </c>
      <c r="AG616" t="s">
        <v>224</v>
      </c>
      <c r="AH616">
        <v>46244</v>
      </c>
      <c r="AI616" t="s">
        <v>149</v>
      </c>
    </row>
    <row r="617" spans="1:35" x14ac:dyDescent="0.25">
      <c r="A617" s="1">
        <v>46245</v>
      </c>
      <c r="B617" t="s">
        <v>13</v>
      </c>
      <c r="C617" t="s">
        <v>11</v>
      </c>
      <c r="D617">
        <v>5.7078282506060996</v>
      </c>
      <c r="E617">
        <v>0</v>
      </c>
      <c r="F617">
        <v>0</v>
      </c>
      <c r="G617">
        <v>2.0078431372549019</v>
      </c>
      <c r="H617">
        <v>0</v>
      </c>
      <c r="I617">
        <v>0</v>
      </c>
      <c r="J617">
        <v>0.35177006894727331</v>
      </c>
      <c r="K617">
        <v>0</v>
      </c>
      <c r="L617">
        <v>0</v>
      </c>
      <c r="M617">
        <v>0</v>
      </c>
      <c r="N617">
        <v>0</v>
      </c>
      <c r="O617">
        <v>0</v>
      </c>
      <c r="P617">
        <v>0</v>
      </c>
      <c r="Q617">
        <v>0</v>
      </c>
      <c r="R617">
        <v>0</v>
      </c>
      <c r="S617">
        <v>0</v>
      </c>
      <c r="T617">
        <v>0.35177006894727331</v>
      </c>
      <c r="U617">
        <v>0.64822993105272664</v>
      </c>
      <c r="V617">
        <v>0</v>
      </c>
      <c r="W617">
        <v>0</v>
      </c>
      <c r="X617">
        <v>0</v>
      </c>
      <c r="Y617">
        <v>0</v>
      </c>
      <c r="Z617">
        <v>0</v>
      </c>
      <c r="AA617">
        <v>0</v>
      </c>
      <c r="AB617">
        <v>0</v>
      </c>
      <c r="AC617">
        <v>0</v>
      </c>
      <c r="AD617">
        <v>0</v>
      </c>
      <c r="AE617" t="s">
        <v>246</v>
      </c>
      <c r="AF617">
        <v>10</v>
      </c>
      <c r="AG617" t="s">
        <v>229</v>
      </c>
      <c r="AH617">
        <v>46245</v>
      </c>
      <c r="AI617" t="s">
        <v>149</v>
      </c>
    </row>
    <row r="618" spans="1:35" x14ac:dyDescent="0.25">
      <c r="A618" s="1">
        <v>46245</v>
      </c>
      <c r="B618" t="s">
        <v>13</v>
      </c>
      <c r="C618" t="s">
        <v>12</v>
      </c>
      <c r="D618">
        <v>1.3638206322677002</v>
      </c>
      <c r="E618">
        <v>0</v>
      </c>
      <c r="F618">
        <v>0</v>
      </c>
      <c r="G618">
        <v>1.7716262975778547</v>
      </c>
      <c r="H618">
        <v>0</v>
      </c>
      <c r="I618">
        <v>0</v>
      </c>
      <c r="J618">
        <v>1.2990170816173043</v>
      </c>
      <c r="K618">
        <v>0.29901708161730434</v>
      </c>
      <c r="L618">
        <v>0</v>
      </c>
      <c r="M618">
        <v>0</v>
      </c>
      <c r="N618">
        <v>0</v>
      </c>
      <c r="O618">
        <v>0</v>
      </c>
      <c r="P618">
        <v>0</v>
      </c>
      <c r="Q618">
        <v>0</v>
      </c>
      <c r="R618">
        <v>0</v>
      </c>
      <c r="S618">
        <v>0</v>
      </c>
      <c r="T618">
        <v>0</v>
      </c>
      <c r="U618">
        <v>0</v>
      </c>
      <c r="V618">
        <v>0</v>
      </c>
      <c r="W618">
        <v>0</v>
      </c>
      <c r="X618">
        <v>0</v>
      </c>
      <c r="Y618">
        <v>0</v>
      </c>
      <c r="Z618">
        <v>0</v>
      </c>
      <c r="AA618">
        <v>0</v>
      </c>
      <c r="AB618">
        <v>0</v>
      </c>
      <c r="AC618">
        <v>1</v>
      </c>
      <c r="AD618">
        <v>0</v>
      </c>
      <c r="AE618" t="s">
        <v>246</v>
      </c>
      <c r="AF618">
        <v>10</v>
      </c>
      <c r="AG618" t="s">
        <v>227</v>
      </c>
      <c r="AH618">
        <v>46245</v>
      </c>
      <c r="AI618" t="s">
        <v>149</v>
      </c>
    </row>
    <row r="619" spans="1:35" x14ac:dyDescent="0.25">
      <c r="A619" s="1">
        <v>46245</v>
      </c>
      <c r="B619" t="s">
        <v>13</v>
      </c>
      <c r="C619" t="s">
        <v>10</v>
      </c>
      <c r="D619">
        <v>2.8315745821105014</v>
      </c>
      <c r="E619">
        <v>0</v>
      </c>
      <c r="F619">
        <v>0</v>
      </c>
      <c r="G619">
        <v>0.23529411764705879</v>
      </c>
      <c r="H619">
        <v>0</v>
      </c>
      <c r="I619">
        <v>0</v>
      </c>
      <c r="J619">
        <v>8.3096563704736809E-2</v>
      </c>
      <c r="K619">
        <v>0</v>
      </c>
      <c r="L619">
        <v>0</v>
      </c>
      <c r="M619">
        <v>0</v>
      </c>
      <c r="N619">
        <v>0</v>
      </c>
      <c r="O619">
        <v>0</v>
      </c>
      <c r="P619">
        <v>0</v>
      </c>
      <c r="Q619">
        <v>0</v>
      </c>
      <c r="R619">
        <v>0</v>
      </c>
      <c r="S619">
        <v>0</v>
      </c>
      <c r="T619">
        <v>8.3096563704736809E-2</v>
      </c>
      <c r="U619">
        <v>0.91690343629526316</v>
      </c>
      <c r="V619">
        <v>0</v>
      </c>
      <c r="W619">
        <v>0</v>
      </c>
      <c r="X619">
        <v>0</v>
      </c>
      <c r="Y619">
        <v>0</v>
      </c>
      <c r="Z619">
        <v>0</v>
      </c>
      <c r="AA619">
        <v>0</v>
      </c>
      <c r="AB619">
        <v>0</v>
      </c>
      <c r="AC619">
        <v>0</v>
      </c>
      <c r="AD619">
        <v>0</v>
      </c>
      <c r="AE619" t="s">
        <v>246</v>
      </c>
      <c r="AF619">
        <v>10</v>
      </c>
      <c r="AG619" t="s">
        <v>228</v>
      </c>
      <c r="AH619">
        <v>46245</v>
      </c>
      <c r="AI619" t="s">
        <v>149</v>
      </c>
    </row>
    <row r="620" spans="1:35" x14ac:dyDescent="0.25">
      <c r="A620" s="1">
        <v>46246</v>
      </c>
      <c r="B620" t="s">
        <v>13</v>
      </c>
      <c r="C620" t="s">
        <v>12</v>
      </c>
      <c r="D620">
        <v>1.388688685186481</v>
      </c>
      <c r="E620">
        <v>0</v>
      </c>
      <c r="F620">
        <v>0</v>
      </c>
      <c r="G620">
        <v>1.7716262975778552</v>
      </c>
      <c r="H620">
        <v>0</v>
      </c>
      <c r="I620">
        <v>0</v>
      </c>
      <c r="J620">
        <v>1.2757548300611026</v>
      </c>
      <c r="K620">
        <v>0.27575483006110257</v>
      </c>
      <c r="L620">
        <v>0</v>
      </c>
      <c r="M620">
        <v>0</v>
      </c>
      <c r="N620">
        <v>0</v>
      </c>
      <c r="O620">
        <v>0</v>
      </c>
      <c r="P620">
        <v>0</v>
      </c>
      <c r="Q620">
        <v>0</v>
      </c>
      <c r="R620">
        <v>0</v>
      </c>
      <c r="S620">
        <v>0</v>
      </c>
      <c r="T620">
        <v>0</v>
      </c>
      <c r="U620">
        <v>0</v>
      </c>
      <c r="V620">
        <v>0</v>
      </c>
      <c r="W620">
        <v>0</v>
      </c>
      <c r="X620">
        <v>0</v>
      </c>
      <c r="Y620">
        <v>0</v>
      </c>
      <c r="Z620">
        <v>0</v>
      </c>
      <c r="AA620">
        <v>0</v>
      </c>
      <c r="AB620">
        <v>0</v>
      </c>
      <c r="AC620">
        <v>1</v>
      </c>
      <c r="AD620">
        <v>0</v>
      </c>
      <c r="AE620" t="s">
        <v>246</v>
      </c>
      <c r="AF620">
        <v>10</v>
      </c>
      <c r="AG620" t="s">
        <v>232</v>
      </c>
      <c r="AH620">
        <v>46246</v>
      </c>
      <c r="AI620" t="s">
        <v>149</v>
      </c>
    </row>
    <row r="621" spans="1:35" x14ac:dyDescent="0.25">
      <c r="A621" s="1">
        <v>46246</v>
      </c>
      <c r="B621" t="s">
        <v>13</v>
      </c>
      <c r="C621" t="s">
        <v>11</v>
      </c>
      <c r="D621">
        <v>2.621629996901147</v>
      </c>
      <c r="E621">
        <v>0</v>
      </c>
      <c r="F621">
        <v>0</v>
      </c>
      <c r="G621">
        <v>2.0078431372549019</v>
      </c>
      <c r="H621">
        <v>0</v>
      </c>
      <c r="I621">
        <v>0</v>
      </c>
      <c r="J621">
        <v>0.76587586334770308</v>
      </c>
      <c r="K621">
        <v>0</v>
      </c>
      <c r="L621">
        <v>0</v>
      </c>
      <c r="M621">
        <v>0</v>
      </c>
      <c r="N621">
        <v>0</v>
      </c>
      <c r="O621">
        <v>0</v>
      </c>
      <c r="P621">
        <v>0</v>
      </c>
      <c r="Q621">
        <v>0</v>
      </c>
      <c r="R621">
        <v>0</v>
      </c>
      <c r="S621">
        <v>0</v>
      </c>
      <c r="T621">
        <v>0.76587586334770308</v>
      </c>
      <c r="U621">
        <v>0.23412413665229692</v>
      </c>
      <c r="V621">
        <v>0</v>
      </c>
      <c r="W621">
        <v>0</v>
      </c>
      <c r="X621">
        <v>0</v>
      </c>
      <c r="Y621">
        <v>0</v>
      </c>
      <c r="Z621">
        <v>0</v>
      </c>
      <c r="AA621">
        <v>0</v>
      </c>
      <c r="AB621">
        <v>0</v>
      </c>
      <c r="AC621">
        <v>0</v>
      </c>
      <c r="AD621">
        <v>0</v>
      </c>
      <c r="AE621" t="s">
        <v>246</v>
      </c>
      <c r="AF621">
        <v>10</v>
      </c>
      <c r="AG621" t="s">
        <v>231</v>
      </c>
      <c r="AH621">
        <v>46246</v>
      </c>
      <c r="AI621" t="s">
        <v>149</v>
      </c>
    </row>
    <row r="622" spans="1:35" x14ac:dyDescent="0.25">
      <c r="A622" s="1">
        <v>46246</v>
      </c>
      <c r="B622" t="s">
        <v>13</v>
      </c>
      <c r="C622" t="s">
        <v>10</v>
      </c>
      <c r="D622">
        <v>6.2279248011569051</v>
      </c>
      <c r="E622">
        <v>0</v>
      </c>
      <c r="F622">
        <v>0</v>
      </c>
      <c r="G622">
        <v>0.23529411764705879</v>
      </c>
      <c r="H622">
        <v>0</v>
      </c>
      <c r="I622">
        <v>0</v>
      </c>
      <c r="J622">
        <v>3.7780500754175828E-2</v>
      </c>
      <c r="K622">
        <v>0</v>
      </c>
      <c r="L622">
        <v>0</v>
      </c>
      <c r="M622">
        <v>0</v>
      </c>
      <c r="N622">
        <v>0</v>
      </c>
      <c r="O622">
        <v>0</v>
      </c>
      <c r="P622">
        <v>0</v>
      </c>
      <c r="Q622">
        <v>0</v>
      </c>
      <c r="R622">
        <v>0</v>
      </c>
      <c r="S622">
        <v>0</v>
      </c>
      <c r="T622">
        <v>3.7780500754175828E-2</v>
      </c>
      <c r="U622">
        <v>0.96221949924582417</v>
      </c>
      <c r="V622">
        <v>0</v>
      </c>
      <c r="W622">
        <v>0</v>
      </c>
      <c r="X622">
        <v>0</v>
      </c>
      <c r="Y622">
        <v>0</v>
      </c>
      <c r="Z622">
        <v>0</v>
      </c>
      <c r="AA622">
        <v>0</v>
      </c>
      <c r="AB622">
        <v>0</v>
      </c>
      <c r="AC622">
        <v>0</v>
      </c>
      <c r="AD622">
        <v>0</v>
      </c>
      <c r="AE622" t="s">
        <v>246</v>
      </c>
      <c r="AF622">
        <v>10</v>
      </c>
      <c r="AG622" t="s">
        <v>230</v>
      </c>
      <c r="AH622">
        <v>46246</v>
      </c>
      <c r="AI622" t="s">
        <v>149</v>
      </c>
    </row>
    <row r="623" spans="1:35" x14ac:dyDescent="0.25">
      <c r="A623" s="1">
        <v>46247</v>
      </c>
      <c r="B623" t="s">
        <v>13</v>
      </c>
      <c r="C623" t="s">
        <v>12</v>
      </c>
      <c r="D623">
        <v>2.6093411062906724</v>
      </c>
      <c r="E623">
        <v>0</v>
      </c>
      <c r="F623">
        <v>0</v>
      </c>
      <c r="G623">
        <v>1.7716262975778552</v>
      </c>
      <c r="H623">
        <v>0</v>
      </c>
      <c r="I623">
        <v>0</v>
      </c>
      <c r="J623">
        <v>0.67895542415162546</v>
      </c>
      <c r="K623">
        <v>0</v>
      </c>
      <c r="L623">
        <v>0</v>
      </c>
      <c r="M623">
        <v>0</v>
      </c>
      <c r="N623">
        <v>0</v>
      </c>
      <c r="O623">
        <v>0</v>
      </c>
      <c r="P623">
        <v>0</v>
      </c>
      <c r="Q623">
        <v>0</v>
      </c>
      <c r="R623">
        <v>0</v>
      </c>
      <c r="S623">
        <v>0</v>
      </c>
      <c r="T623">
        <v>0.67895542415162546</v>
      </c>
      <c r="U623">
        <v>0.32104457584837454</v>
      </c>
      <c r="V623">
        <v>0</v>
      </c>
      <c r="W623">
        <v>0</v>
      </c>
      <c r="X623">
        <v>0</v>
      </c>
      <c r="Y623">
        <v>0</v>
      </c>
      <c r="Z623">
        <v>0</v>
      </c>
      <c r="AA623">
        <v>0</v>
      </c>
      <c r="AB623">
        <v>0</v>
      </c>
      <c r="AC623">
        <v>0</v>
      </c>
      <c r="AD623">
        <v>0</v>
      </c>
      <c r="AE623" t="s">
        <v>246</v>
      </c>
      <c r="AF623">
        <v>10</v>
      </c>
      <c r="AG623" t="s">
        <v>233</v>
      </c>
      <c r="AH623">
        <v>46247</v>
      </c>
      <c r="AI623" t="s">
        <v>149</v>
      </c>
    </row>
    <row r="624" spans="1:35" x14ac:dyDescent="0.25">
      <c r="A624" s="1">
        <v>46247</v>
      </c>
      <c r="B624" t="s">
        <v>13</v>
      </c>
      <c r="C624" t="s">
        <v>11</v>
      </c>
      <c r="D624">
        <v>1.4739386427022001</v>
      </c>
      <c r="E624">
        <v>0</v>
      </c>
      <c r="F624">
        <v>0</v>
      </c>
      <c r="G624">
        <v>2.0078431372549019</v>
      </c>
      <c r="H624">
        <v>0</v>
      </c>
      <c r="I624">
        <v>0</v>
      </c>
      <c r="J624">
        <v>1.3622297964682468</v>
      </c>
      <c r="K624">
        <v>0.36222979646824682</v>
      </c>
      <c r="L624">
        <v>0</v>
      </c>
      <c r="M624">
        <v>0</v>
      </c>
      <c r="N624">
        <v>0</v>
      </c>
      <c r="O624">
        <v>0</v>
      </c>
      <c r="P624">
        <v>0</v>
      </c>
      <c r="Q624">
        <v>0</v>
      </c>
      <c r="R624">
        <v>0</v>
      </c>
      <c r="S624">
        <v>0</v>
      </c>
      <c r="T624">
        <v>0</v>
      </c>
      <c r="U624">
        <v>0</v>
      </c>
      <c r="V624">
        <v>0</v>
      </c>
      <c r="W624">
        <v>0</v>
      </c>
      <c r="X624">
        <v>0</v>
      </c>
      <c r="Y624">
        <v>0</v>
      </c>
      <c r="Z624">
        <v>0</v>
      </c>
      <c r="AA624">
        <v>0</v>
      </c>
      <c r="AB624">
        <v>0</v>
      </c>
      <c r="AC624">
        <v>1</v>
      </c>
      <c r="AD624">
        <v>0</v>
      </c>
      <c r="AE624" t="s">
        <v>246</v>
      </c>
      <c r="AF624">
        <v>10</v>
      </c>
      <c r="AG624" t="s">
        <v>234</v>
      </c>
      <c r="AH624">
        <v>46247</v>
      </c>
      <c r="AI624" t="s">
        <v>149</v>
      </c>
    </row>
    <row r="625" spans="1:35" x14ac:dyDescent="0.25">
      <c r="A625" s="1">
        <v>46247</v>
      </c>
      <c r="B625" t="s">
        <v>13</v>
      </c>
      <c r="C625" t="s">
        <v>10</v>
      </c>
      <c r="D625">
        <v>10.967516268980477</v>
      </c>
      <c r="E625">
        <v>0</v>
      </c>
      <c r="F625">
        <v>0</v>
      </c>
      <c r="G625">
        <v>0.23529411764705879</v>
      </c>
      <c r="H625">
        <v>0</v>
      </c>
      <c r="I625">
        <v>0</v>
      </c>
      <c r="J625">
        <v>2.1453728617895306E-2</v>
      </c>
      <c r="K625">
        <v>0</v>
      </c>
      <c r="L625">
        <v>0</v>
      </c>
      <c r="M625">
        <v>0</v>
      </c>
      <c r="N625">
        <v>0</v>
      </c>
      <c r="O625">
        <v>0</v>
      </c>
      <c r="P625">
        <v>0</v>
      </c>
      <c r="Q625">
        <v>0</v>
      </c>
      <c r="R625">
        <v>0</v>
      </c>
      <c r="S625">
        <v>0</v>
      </c>
      <c r="T625">
        <v>2.1453728617895306E-2</v>
      </c>
      <c r="U625">
        <v>0.9785462713821047</v>
      </c>
      <c r="V625">
        <v>0</v>
      </c>
      <c r="W625">
        <v>0</v>
      </c>
      <c r="X625">
        <v>0</v>
      </c>
      <c r="Y625">
        <v>0</v>
      </c>
      <c r="Z625">
        <v>0</v>
      </c>
      <c r="AA625">
        <v>0</v>
      </c>
      <c r="AB625">
        <v>0</v>
      </c>
      <c r="AC625">
        <v>0</v>
      </c>
      <c r="AD625">
        <v>0</v>
      </c>
      <c r="AE625" t="s">
        <v>246</v>
      </c>
      <c r="AF625">
        <v>10</v>
      </c>
      <c r="AG625" t="s">
        <v>235</v>
      </c>
      <c r="AH625">
        <v>46247</v>
      </c>
      <c r="AI625" t="s">
        <v>149</v>
      </c>
    </row>
    <row r="626" spans="1:35" x14ac:dyDescent="0.25">
      <c r="A626" s="1">
        <v>46248</v>
      </c>
      <c r="B626" t="s">
        <v>13</v>
      </c>
      <c r="C626" t="s">
        <v>11</v>
      </c>
      <c r="D626">
        <v>2.446854663774404</v>
      </c>
      <c r="E626">
        <v>0</v>
      </c>
      <c r="F626">
        <v>0</v>
      </c>
      <c r="G626">
        <v>2.0078431372549019</v>
      </c>
      <c r="H626">
        <v>0</v>
      </c>
      <c r="I626">
        <v>0</v>
      </c>
      <c r="J626">
        <v>0.82058128215825321</v>
      </c>
      <c r="K626">
        <v>0</v>
      </c>
      <c r="L626">
        <v>0</v>
      </c>
      <c r="M626">
        <v>0</v>
      </c>
      <c r="N626">
        <v>0</v>
      </c>
      <c r="O626">
        <v>0</v>
      </c>
      <c r="P626">
        <v>0</v>
      </c>
      <c r="Q626">
        <v>0</v>
      </c>
      <c r="R626">
        <v>0</v>
      </c>
      <c r="S626">
        <v>0</v>
      </c>
      <c r="T626">
        <v>0.82058128215825321</v>
      </c>
      <c r="U626">
        <v>0.17941871784174679</v>
      </c>
      <c r="V626">
        <v>0</v>
      </c>
      <c r="W626">
        <v>0</v>
      </c>
      <c r="X626">
        <v>0</v>
      </c>
      <c r="Y626">
        <v>0</v>
      </c>
      <c r="Z626">
        <v>0</v>
      </c>
      <c r="AA626">
        <v>0</v>
      </c>
      <c r="AB626">
        <v>0</v>
      </c>
      <c r="AC626">
        <v>0</v>
      </c>
      <c r="AD626">
        <v>0</v>
      </c>
      <c r="AE626" t="s">
        <v>246</v>
      </c>
      <c r="AF626">
        <v>10</v>
      </c>
      <c r="AG626" t="s">
        <v>237</v>
      </c>
      <c r="AH626">
        <v>46248</v>
      </c>
      <c r="AI626" t="s">
        <v>149</v>
      </c>
    </row>
    <row r="627" spans="1:35" x14ac:dyDescent="0.25">
      <c r="A627" s="1">
        <v>46248</v>
      </c>
      <c r="B627" t="s">
        <v>13</v>
      </c>
      <c r="C627" t="s">
        <v>12</v>
      </c>
      <c r="D627">
        <v>1.4732104121475054</v>
      </c>
      <c r="E627">
        <v>0</v>
      </c>
      <c r="F627">
        <v>0</v>
      </c>
      <c r="G627">
        <v>1.7716262975778552</v>
      </c>
      <c r="H627">
        <v>0</v>
      </c>
      <c r="I627">
        <v>0</v>
      </c>
      <c r="J627">
        <v>1.2025616184692502</v>
      </c>
      <c r="K627">
        <v>0.20256161846925025</v>
      </c>
      <c r="L627">
        <v>0</v>
      </c>
      <c r="M627">
        <v>0</v>
      </c>
      <c r="N627">
        <v>0</v>
      </c>
      <c r="O627">
        <v>0</v>
      </c>
      <c r="P627">
        <v>0</v>
      </c>
      <c r="Q627">
        <v>0</v>
      </c>
      <c r="R627">
        <v>0</v>
      </c>
      <c r="S627">
        <v>0</v>
      </c>
      <c r="T627">
        <v>0</v>
      </c>
      <c r="U627">
        <v>0</v>
      </c>
      <c r="V627">
        <v>0</v>
      </c>
      <c r="W627">
        <v>0</v>
      </c>
      <c r="X627">
        <v>0</v>
      </c>
      <c r="Y627">
        <v>0</v>
      </c>
      <c r="Z627">
        <v>0</v>
      </c>
      <c r="AA627">
        <v>0</v>
      </c>
      <c r="AB627">
        <v>0</v>
      </c>
      <c r="AC627">
        <v>1</v>
      </c>
      <c r="AD627">
        <v>0</v>
      </c>
      <c r="AE627" t="s">
        <v>246</v>
      </c>
      <c r="AF627">
        <v>10</v>
      </c>
      <c r="AG627" t="s">
        <v>236</v>
      </c>
      <c r="AH627">
        <v>46248</v>
      </c>
      <c r="AI627" t="s">
        <v>149</v>
      </c>
    </row>
    <row r="628" spans="1:35" x14ac:dyDescent="0.25">
      <c r="A628" s="1">
        <v>46248</v>
      </c>
      <c r="B628" t="s">
        <v>13</v>
      </c>
      <c r="C628" t="s">
        <v>10</v>
      </c>
      <c r="D628">
        <v>12.272505422993492</v>
      </c>
      <c r="E628">
        <v>0</v>
      </c>
      <c r="F628">
        <v>0</v>
      </c>
      <c r="G628">
        <v>0.23529411764705879</v>
      </c>
      <c r="H628">
        <v>0</v>
      </c>
      <c r="I628">
        <v>0</v>
      </c>
      <c r="J628">
        <v>1.9172459863510592E-2</v>
      </c>
      <c r="K628">
        <v>0</v>
      </c>
      <c r="L628">
        <v>0</v>
      </c>
      <c r="M628">
        <v>0</v>
      </c>
      <c r="N628">
        <v>0</v>
      </c>
      <c r="O628">
        <v>0</v>
      </c>
      <c r="P628">
        <v>0</v>
      </c>
      <c r="Q628">
        <v>0</v>
      </c>
      <c r="R628">
        <v>0</v>
      </c>
      <c r="S628">
        <v>0</v>
      </c>
      <c r="T628">
        <v>1.9172459863510592E-2</v>
      </c>
      <c r="U628">
        <v>0.98082754013648943</v>
      </c>
      <c r="V628">
        <v>0</v>
      </c>
      <c r="W628">
        <v>0</v>
      </c>
      <c r="X628">
        <v>0</v>
      </c>
      <c r="Y628">
        <v>0</v>
      </c>
      <c r="Z628">
        <v>0</v>
      </c>
      <c r="AA628">
        <v>0</v>
      </c>
      <c r="AB628">
        <v>0</v>
      </c>
      <c r="AC628">
        <v>0</v>
      </c>
      <c r="AD628">
        <v>0</v>
      </c>
      <c r="AE628" t="s">
        <v>246</v>
      </c>
      <c r="AF628">
        <v>10</v>
      </c>
      <c r="AG628" t="s">
        <v>238</v>
      </c>
      <c r="AH628">
        <v>46248</v>
      </c>
      <c r="AI628" t="s">
        <v>149</v>
      </c>
    </row>
    <row r="629" spans="1:35" x14ac:dyDescent="0.25">
      <c r="A629" s="1">
        <v>46249</v>
      </c>
      <c r="B629" t="s">
        <v>13</v>
      </c>
      <c r="C629" t="s">
        <v>12</v>
      </c>
      <c r="D629">
        <v>1.1812401825117811</v>
      </c>
      <c r="E629">
        <v>0</v>
      </c>
      <c r="F629">
        <v>0</v>
      </c>
      <c r="G629">
        <v>1.7716262975778552</v>
      </c>
      <c r="H629">
        <v>0</v>
      </c>
      <c r="I629">
        <v>0</v>
      </c>
      <c r="J629">
        <v>1.4998019232724382</v>
      </c>
      <c r="K629">
        <v>0.49980192327243822</v>
      </c>
      <c r="L629">
        <v>0</v>
      </c>
      <c r="M629">
        <v>0</v>
      </c>
      <c r="N629">
        <v>0</v>
      </c>
      <c r="O629">
        <v>0</v>
      </c>
      <c r="P629">
        <v>0</v>
      </c>
      <c r="Q629">
        <v>0</v>
      </c>
      <c r="R629">
        <v>0</v>
      </c>
      <c r="S629">
        <v>0</v>
      </c>
      <c r="T629">
        <v>0</v>
      </c>
      <c r="U629">
        <v>0</v>
      </c>
      <c r="V629">
        <v>0</v>
      </c>
      <c r="W629">
        <v>0</v>
      </c>
      <c r="X629">
        <v>0</v>
      </c>
      <c r="Y629">
        <v>0</v>
      </c>
      <c r="Z629">
        <v>0</v>
      </c>
      <c r="AA629">
        <v>0</v>
      </c>
      <c r="AB629">
        <v>0</v>
      </c>
      <c r="AC629">
        <v>1</v>
      </c>
      <c r="AD629">
        <v>0</v>
      </c>
      <c r="AE629" t="s">
        <v>246</v>
      </c>
      <c r="AF629">
        <v>10</v>
      </c>
      <c r="AG629" t="s">
        <v>239</v>
      </c>
      <c r="AH629">
        <v>46249</v>
      </c>
      <c r="AI629" t="s">
        <v>149</v>
      </c>
    </row>
    <row r="630" spans="1:35" x14ac:dyDescent="0.25">
      <c r="A630" s="1">
        <v>46249</v>
      </c>
      <c r="B630" t="s">
        <v>13</v>
      </c>
      <c r="C630" t="s">
        <v>11</v>
      </c>
      <c r="D630">
        <v>14.681127982646419</v>
      </c>
      <c r="E630">
        <v>0</v>
      </c>
      <c r="F630">
        <v>0</v>
      </c>
      <c r="G630">
        <v>2.0078431372549019</v>
      </c>
      <c r="H630">
        <v>0</v>
      </c>
      <c r="I630">
        <v>0</v>
      </c>
      <c r="J630">
        <v>0.13676354702637558</v>
      </c>
      <c r="K630">
        <v>0</v>
      </c>
      <c r="L630">
        <v>0</v>
      </c>
      <c r="M630">
        <v>0</v>
      </c>
      <c r="N630">
        <v>0</v>
      </c>
      <c r="O630">
        <v>0</v>
      </c>
      <c r="P630">
        <v>0</v>
      </c>
      <c r="Q630">
        <v>0</v>
      </c>
      <c r="R630">
        <v>0</v>
      </c>
      <c r="S630">
        <v>0</v>
      </c>
      <c r="T630">
        <v>0.13676354702637558</v>
      </c>
      <c r="U630">
        <v>0.86323645297362439</v>
      </c>
      <c r="V630">
        <v>0</v>
      </c>
      <c r="W630">
        <v>0</v>
      </c>
      <c r="X630">
        <v>0</v>
      </c>
      <c r="Y630">
        <v>0</v>
      </c>
      <c r="Z630">
        <v>0</v>
      </c>
      <c r="AA630">
        <v>0</v>
      </c>
      <c r="AB630">
        <v>0</v>
      </c>
      <c r="AC630">
        <v>0</v>
      </c>
      <c r="AD630">
        <v>0</v>
      </c>
      <c r="AE630" t="s">
        <v>246</v>
      </c>
      <c r="AF630">
        <v>10</v>
      </c>
      <c r="AG630" t="s">
        <v>240</v>
      </c>
      <c r="AH630">
        <v>46249</v>
      </c>
      <c r="AI630" t="s">
        <v>149</v>
      </c>
    </row>
    <row r="631" spans="1:35" x14ac:dyDescent="0.25">
      <c r="A631" s="1">
        <v>46249</v>
      </c>
      <c r="B631" t="s">
        <v>13</v>
      </c>
      <c r="C631" t="s">
        <v>10</v>
      </c>
      <c r="D631">
        <v>1.6312364425162689</v>
      </c>
      <c r="E631">
        <v>0</v>
      </c>
      <c r="F631">
        <v>0</v>
      </c>
      <c r="G631">
        <v>0.23529411764705879</v>
      </c>
      <c r="H631">
        <v>0</v>
      </c>
      <c r="I631">
        <v>0</v>
      </c>
      <c r="J631">
        <v>0.14424280350438046</v>
      </c>
      <c r="K631">
        <v>0</v>
      </c>
      <c r="L631">
        <v>0</v>
      </c>
      <c r="M631">
        <v>0</v>
      </c>
      <c r="N631">
        <v>0</v>
      </c>
      <c r="O631">
        <v>0</v>
      </c>
      <c r="P631">
        <v>0</v>
      </c>
      <c r="Q631">
        <v>0</v>
      </c>
      <c r="R631">
        <v>0</v>
      </c>
      <c r="S631">
        <v>0</v>
      </c>
      <c r="T631">
        <v>0.14424280350438046</v>
      </c>
      <c r="U631">
        <v>0.85575719649561954</v>
      </c>
      <c r="V631">
        <v>0</v>
      </c>
      <c r="W631">
        <v>0</v>
      </c>
      <c r="X631">
        <v>0</v>
      </c>
      <c r="Y631">
        <v>0</v>
      </c>
      <c r="Z631">
        <v>0</v>
      </c>
      <c r="AA631">
        <v>0</v>
      </c>
      <c r="AB631">
        <v>0</v>
      </c>
      <c r="AC631">
        <v>0</v>
      </c>
      <c r="AD631">
        <v>0</v>
      </c>
      <c r="AE631" t="s">
        <v>246</v>
      </c>
      <c r="AF631">
        <v>10</v>
      </c>
      <c r="AG631" t="s">
        <v>241</v>
      </c>
      <c r="AH631">
        <v>46249</v>
      </c>
      <c r="AI631" t="s">
        <v>149</v>
      </c>
    </row>
    <row r="632" spans="1:35" x14ac:dyDescent="0.25">
      <c r="A632" s="1">
        <v>46249</v>
      </c>
      <c r="B632" t="s">
        <v>13</v>
      </c>
      <c r="D632">
        <v>0</v>
      </c>
      <c r="E632">
        <v>0</v>
      </c>
      <c r="F632">
        <v>0</v>
      </c>
      <c r="G632">
        <v>0</v>
      </c>
      <c r="H632">
        <v>0</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c r="AD632">
        <v>0</v>
      </c>
      <c r="AE632" t="s">
        <v>246</v>
      </c>
      <c r="AF632">
        <v>0</v>
      </c>
      <c r="AG632" t="s">
        <v>247</v>
      </c>
      <c r="AH632">
        <v>46249</v>
      </c>
      <c r="AI632" t="s">
        <v>149</v>
      </c>
    </row>
    <row r="633" spans="1:35" x14ac:dyDescent="0.25">
      <c r="A633" s="1">
        <v>46250</v>
      </c>
      <c r="B633" t="s">
        <v>13</v>
      </c>
      <c r="D633">
        <v>0</v>
      </c>
      <c r="E633">
        <v>0</v>
      </c>
      <c r="F633">
        <v>0</v>
      </c>
      <c r="G633">
        <v>0</v>
      </c>
      <c r="H633">
        <v>0</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c r="AD633">
        <v>0</v>
      </c>
      <c r="AE633" t="s">
        <v>246</v>
      </c>
      <c r="AF633">
        <v>0</v>
      </c>
      <c r="AG633" t="s">
        <v>248</v>
      </c>
      <c r="AH633">
        <v>46250</v>
      </c>
      <c r="AI633" t="s">
        <v>149</v>
      </c>
    </row>
    <row r="634" spans="1:35" x14ac:dyDescent="0.25">
      <c r="A634" s="1">
        <v>46223</v>
      </c>
      <c r="B634" t="s">
        <v>13</v>
      </c>
      <c r="C634" t="s">
        <v>11</v>
      </c>
      <c r="D634">
        <v>1.8426966292134832</v>
      </c>
      <c r="E634">
        <v>0</v>
      </c>
      <c r="F634">
        <v>0</v>
      </c>
      <c r="G634">
        <v>1.0127450980392154</v>
      </c>
      <c r="H634">
        <v>0</v>
      </c>
      <c r="I634">
        <v>0</v>
      </c>
      <c r="J634">
        <v>0.54959947393591568</v>
      </c>
      <c r="K634">
        <v>0</v>
      </c>
      <c r="L634">
        <v>0</v>
      </c>
      <c r="M634">
        <v>0</v>
      </c>
      <c r="N634">
        <v>0</v>
      </c>
      <c r="O634">
        <v>0</v>
      </c>
      <c r="P634">
        <v>0</v>
      </c>
      <c r="Q634">
        <v>0</v>
      </c>
      <c r="R634">
        <v>0</v>
      </c>
      <c r="S634">
        <v>0</v>
      </c>
      <c r="T634">
        <v>0.54959947393591568</v>
      </c>
      <c r="U634">
        <v>0.45040052606408432</v>
      </c>
      <c r="V634">
        <v>0</v>
      </c>
      <c r="W634">
        <v>0</v>
      </c>
      <c r="X634">
        <v>0</v>
      </c>
      <c r="Y634">
        <v>0</v>
      </c>
      <c r="Z634">
        <v>0</v>
      </c>
      <c r="AA634">
        <v>0</v>
      </c>
      <c r="AB634">
        <v>0</v>
      </c>
      <c r="AC634">
        <v>0</v>
      </c>
      <c r="AD634">
        <v>0</v>
      </c>
      <c r="AE634" t="s">
        <v>249</v>
      </c>
      <c r="AF634">
        <v>10</v>
      </c>
      <c r="AG634" t="s">
        <v>161</v>
      </c>
      <c r="AH634">
        <v>46223</v>
      </c>
      <c r="AI634" t="s">
        <v>149</v>
      </c>
    </row>
    <row r="635" spans="1:35" x14ac:dyDescent="0.25">
      <c r="A635" s="1">
        <v>46223</v>
      </c>
      <c r="B635" t="s">
        <v>13</v>
      </c>
      <c r="C635" t="s">
        <v>12</v>
      </c>
      <c r="D635">
        <v>2.6014540647719757</v>
      </c>
      <c r="E635">
        <v>2.8499999999999996</v>
      </c>
      <c r="F635">
        <v>2.8499999999999996</v>
      </c>
      <c r="G635">
        <v>2.0220588235294117</v>
      </c>
      <c r="H635">
        <v>1.0955411585365855</v>
      </c>
      <c r="I635">
        <v>1.0955411585365855</v>
      </c>
      <c r="J635">
        <v>0.77728023373983757</v>
      </c>
      <c r="K635">
        <v>0</v>
      </c>
      <c r="L635">
        <v>0</v>
      </c>
      <c r="M635">
        <v>0</v>
      </c>
      <c r="N635">
        <v>0</v>
      </c>
      <c r="O635">
        <v>0</v>
      </c>
      <c r="P635">
        <v>0</v>
      </c>
      <c r="Q635">
        <v>0</v>
      </c>
      <c r="R635">
        <v>0</v>
      </c>
      <c r="S635">
        <v>9.5541158536585513E-2</v>
      </c>
      <c r="T635">
        <v>0</v>
      </c>
      <c r="U635">
        <v>0</v>
      </c>
      <c r="V635">
        <v>0</v>
      </c>
      <c r="W635">
        <v>0.22271976626016243</v>
      </c>
      <c r="X635">
        <v>0</v>
      </c>
      <c r="Y635">
        <v>0.77728023373983757</v>
      </c>
      <c r="Z635">
        <v>0</v>
      </c>
      <c r="AA635">
        <v>0</v>
      </c>
      <c r="AB635">
        <v>0</v>
      </c>
      <c r="AC635">
        <v>0</v>
      </c>
      <c r="AD635">
        <v>0</v>
      </c>
      <c r="AE635" t="s">
        <v>249</v>
      </c>
      <c r="AF635">
        <v>10</v>
      </c>
      <c r="AG635" t="s">
        <v>162</v>
      </c>
      <c r="AH635">
        <v>46223</v>
      </c>
      <c r="AI635" t="s">
        <v>149</v>
      </c>
    </row>
    <row r="636" spans="1:35" x14ac:dyDescent="0.25">
      <c r="A636" s="1">
        <v>46223</v>
      </c>
      <c r="B636" t="s">
        <v>13</v>
      </c>
      <c r="C636" t="s">
        <v>10</v>
      </c>
      <c r="D636">
        <v>1.3820224719101124</v>
      </c>
      <c r="E636">
        <v>5.6999999999999993</v>
      </c>
      <c r="F636">
        <v>5.6999999999999993</v>
      </c>
      <c r="G636">
        <v>0.94117647058823517</v>
      </c>
      <c r="H636">
        <v>4.1243902439024387</v>
      </c>
      <c r="I636">
        <v>4.1243902439024387</v>
      </c>
      <c r="J636">
        <v>0.68101386896221894</v>
      </c>
      <c r="K636">
        <v>0</v>
      </c>
      <c r="L636">
        <v>0</v>
      </c>
      <c r="M636">
        <v>2.8743902439024387</v>
      </c>
      <c r="N636">
        <v>0</v>
      </c>
      <c r="O636">
        <v>0</v>
      </c>
      <c r="P636">
        <v>0</v>
      </c>
      <c r="Q636">
        <v>0</v>
      </c>
      <c r="R636">
        <v>0</v>
      </c>
      <c r="S636">
        <v>0.25</v>
      </c>
      <c r="T636">
        <v>0</v>
      </c>
      <c r="U636">
        <v>0</v>
      </c>
      <c r="V636">
        <v>0</v>
      </c>
      <c r="W636">
        <v>0.31898613103778106</v>
      </c>
      <c r="X636">
        <v>0</v>
      </c>
      <c r="Y636">
        <v>0.68101386896221894</v>
      </c>
      <c r="Z636">
        <v>0</v>
      </c>
      <c r="AA636">
        <v>0</v>
      </c>
      <c r="AB636">
        <v>0</v>
      </c>
      <c r="AC636">
        <v>0</v>
      </c>
      <c r="AD636">
        <v>0</v>
      </c>
      <c r="AE636" t="s">
        <v>249</v>
      </c>
      <c r="AF636">
        <v>10</v>
      </c>
      <c r="AG636" t="s">
        <v>163</v>
      </c>
      <c r="AH636">
        <v>46223</v>
      </c>
      <c r="AI636" t="s">
        <v>149</v>
      </c>
    </row>
    <row r="637" spans="1:35" x14ac:dyDescent="0.25">
      <c r="A637" s="1">
        <v>46224</v>
      </c>
      <c r="B637" t="s">
        <v>13</v>
      </c>
      <c r="C637" t="s">
        <v>11</v>
      </c>
      <c r="D637">
        <v>1.8426966292134832</v>
      </c>
      <c r="E637">
        <v>0</v>
      </c>
      <c r="F637">
        <v>0</v>
      </c>
      <c r="G637">
        <v>0.94999999999999973</v>
      </c>
      <c r="H637">
        <v>0</v>
      </c>
      <c r="I637">
        <v>0</v>
      </c>
      <c r="J637">
        <v>0.51554878048780473</v>
      </c>
      <c r="K637">
        <v>0</v>
      </c>
      <c r="L637">
        <v>0</v>
      </c>
      <c r="M637">
        <v>0</v>
      </c>
      <c r="N637">
        <v>0</v>
      </c>
      <c r="O637">
        <v>0</v>
      </c>
      <c r="P637">
        <v>0</v>
      </c>
      <c r="Q637">
        <v>0</v>
      </c>
      <c r="R637">
        <v>0</v>
      </c>
      <c r="S637">
        <v>0</v>
      </c>
      <c r="T637">
        <v>0.51554878048780473</v>
      </c>
      <c r="U637">
        <v>0.48445121951219527</v>
      </c>
      <c r="V637">
        <v>0</v>
      </c>
      <c r="W637">
        <v>0</v>
      </c>
      <c r="X637">
        <v>0</v>
      </c>
      <c r="Y637">
        <v>0</v>
      </c>
      <c r="Z637">
        <v>0</v>
      </c>
      <c r="AA637">
        <v>0</v>
      </c>
      <c r="AB637">
        <v>0</v>
      </c>
      <c r="AC637">
        <v>0</v>
      </c>
      <c r="AD637">
        <v>0</v>
      </c>
      <c r="AE637" t="s">
        <v>249</v>
      </c>
      <c r="AF637">
        <v>10</v>
      </c>
      <c r="AG637" t="s">
        <v>164</v>
      </c>
      <c r="AH637">
        <v>46224</v>
      </c>
      <c r="AI637" t="s">
        <v>149</v>
      </c>
    </row>
    <row r="638" spans="1:35" x14ac:dyDescent="0.25">
      <c r="A638" s="1">
        <v>46224</v>
      </c>
      <c r="B638" t="s">
        <v>13</v>
      </c>
      <c r="C638" t="s">
        <v>10</v>
      </c>
      <c r="D638">
        <v>1.3820224719101126</v>
      </c>
      <c r="E638">
        <v>5.6999999999999993</v>
      </c>
      <c r="F638">
        <v>5.6999999999999993</v>
      </c>
      <c r="G638">
        <v>1.0896139705882353</v>
      </c>
      <c r="H638">
        <v>4.1243902439024378</v>
      </c>
      <c r="I638">
        <v>4.1243902439024378</v>
      </c>
      <c r="J638">
        <v>0.78841986489717819</v>
      </c>
      <c r="K638">
        <v>0</v>
      </c>
      <c r="L638">
        <v>0</v>
      </c>
      <c r="M638">
        <v>2.8743902439024378</v>
      </c>
      <c r="N638">
        <v>0</v>
      </c>
      <c r="O638">
        <v>0</v>
      </c>
      <c r="P638">
        <v>0</v>
      </c>
      <c r="Q638">
        <v>0</v>
      </c>
      <c r="R638">
        <v>0</v>
      </c>
      <c r="S638">
        <v>0.25</v>
      </c>
      <c r="T638">
        <v>0</v>
      </c>
      <c r="U638">
        <v>0</v>
      </c>
      <c r="V638">
        <v>0</v>
      </c>
      <c r="W638">
        <v>0.21158013510282181</v>
      </c>
      <c r="X638">
        <v>0</v>
      </c>
      <c r="Y638">
        <v>0.78841986489717819</v>
      </c>
      <c r="Z638">
        <v>0</v>
      </c>
      <c r="AA638">
        <v>0</v>
      </c>
      <c r="AB638">
        <v>0</v>
      </c>
      <c r="AC638">
        <v>0</v>
      </c>
      <c r="AD638">
        <v>0</v>
      </c>
      <c r="AE638" t="s">
        <v>249</v>
      </c>
      <c r="AF638">
        <v>10</v>
      </c>
      <c r="AG638" t="s">
        <v>165</v>
      </c>
      <c r="AH638">
        <v>46224</v>
      </c>
      <c r="AI638" t="s">
        <v>149</v>
      </c>
    </row>
    <row r="639" spans="1:35" x14ac:dyDescent="0.25">
      <c r="A639" s="1">
        <v>46224</v>
      </c>
      <c r="B639" t="s">
        <v>13</v>
      </c>
      <c r="C639" t="s">
        <v>12</v>
      </c>
      <c r="D639">
        <v>2.6014540647719757</v>
      </c>
      <c r="E639">
        <v>0.95</v>
      </c>
      <c r="F639">
        <v>0.95</v>
      </c>
      <c r="G639">
        <v>1.1362456747404843</v>
      </c>
      <c r="H639">
        <v>0.36518038617886184</v>
      </c>
      <c r="I639">
        <v>0.36518038617886184</v>
      </c>
      <c r="J639">
        <v>0.43677329925872793</v>
      </c>
      <c r="K639">
        <v>0</v>
      </c>
      <c r="L639">
        <v>0</v>
      </c>
      <c r="M639">
        <v>0</v>
      </c>
      <c r="N639">
        <v>0</v>
      </c>
      <c r="O639">
        <v>0</v>
      </c>
      <c r="P639">
        <v>0</v>
      </c>
      <c r="Q639">
        <v>0</v>
      </c>
      <c r="R639">
        <v>0</v>
      </c>
      <c r="S639">
        <v>0</v>
      </c>
      <c r="T639">
        <v>7.1592913079866094E-2</v>
      </c>
      <c r="U639">
        <v>0.56322670074127212</v>
      </c>
      <c r="V639">
        <v>0</v>
      </c>
      <c r="W639">
        <v>0</v>
      </c>
      <c r="X639">
        <v>0</v>
      </c>
      <c r="Y639">
        <v>0.36518038617886184</v>
      </c>
      <c r="Z639">
        <v>0</v>
      </c>
      <c r="AA639">
        <v>0</v>
      </c>
      <c r="AB639">
        <v>0</v>
      </c>
      <c r="AC639">
        <v>0</v>
      </c>
      <c r="AD639">
        <v>0</v>
      </c>
      <c r="AE639" t="s">
        <v>249</v>
      </c>
      <c r="AF639">
        <v>10</v>
      </c>
      <c r="AG639" t="s">
        <v>166</v>
      </c>
      <c r="AH639">
        <v>46224</v>
      </c>
      <c r="AI639" t="s">
        <v>149</v>
      </c>
    </row>
    <row r="640" spans="1:35" x14ac:dyDescent="0.25">
      <c r="A640" s="1">
        <v>46225</v>
      </c>
      <c r="B640" t="s">
        <v>13</v>
      </c>
      <c r="C640" t="s">
        <v>12</v>
      </c>
      <c r="D640">
        <v>2.6014540647719762</v>
      </c>
      <c r="E640">
        <v>4.75</v>
      </c>
      <c r="F640">
        <v>4.75</v>
      </c>
      <c r="G640">
        <v>1.8823529411764703</v>
      </c>
      <c r="H640">
        <v>1.825901930894309</v>
      </c>
      <c r="I640">
        <v>1.825901930894309</v>
      </c>
      <c r="J640">
        <v>0.72357723577235766</v>
      </c>
      <c r="K640">
        <v>0</v>
      </c>
      <c r="L640">
        <v>0</v>
      </c>
      <c r="M640">
        <v>0.57590193089430897</v>
      </c>
      <c r="N640">
        <v>0</v>
      </c>
      <c r="O640">
        <v>0</v>
      </c>
      <c r="P640">
        <v>0</v>
      </c>
      <c r="Q640">
        <v>0</v>
      </c>
      <c r="R640">
        <v>0</v>
      </c>
      <c r="S640">
        <v>0.25</v>
      </c>
      <c r="T640">
        <v>0</v>
      </c>
      <c r="U640">
        <v>0</v>
      </c>
      <c r="V640">
        <v>0</v>
      </c>
      <c r="W640">
        <v>0.27642276422764234</v>
      </c>
      <c r="X640">
        <v>0</v>
      </c>
      <c r="Y640">
        <v>0.72357723577235766</v>
      </c>
      <c r="Z640">
        <v>0</v>
      </c>
      <c r="AA640">
        <v>0</v>
      </c>
      <c r="AB640">
        <v>0</v>
      </c>
      <c r="AC640">
        <v>0</v>
      </c>
      <c r="AD640">
        <v>0</v>
      </c>
      <c r="AE640" t="s">
        <v>249</v>
      </c>
      <c r="AF640">
        <v>10</v>
      </c>
      <c r="AG640" t="s">
        <v>168</v>
      </c>
      <c r="AH640">
        <v>46225</v>
      </c>
      <c r="AI640" t="s">
        <v>149</v>
      </c>
    </row>
    <row r="641" spans="1:35" x14ac:dyDescent="0.25">
      <c r="A641" s="1">
        <v>46225</v>
      </c>
      <c r="B641" t="s">
        <v>13</v>
      </c>
      <c r="C641" t="s">
        <v>11</v>
      </c>
      <c r="D641">
        <v>1.8426966292134832</v>
      </c>
      <c r="E641">
        <v>0</v>
      </c>
      <c r="F641">
        <v>0</v>
      </c>
      <c r="G641">
        <v>6.2745098039215685E-2</v>
      </c>
      <c r="H641">
        <v>0</v>
      </c>
      <c r="I641">
        <v>0</v>
      </c>
      <c r="J641">
        <v>3.4050693448110951E-2</v>
      </c>
      <c r="K641">
        <v>0</v>
      </c>
      <c r="L641">
        <v>0</v>
      </c>
      <c r="M641">
        <v>0</v>
      </c>
      <c r="N641">
        <v>0</v>
      </c>
      <c r="O641">
        <v>0</v>
      </c>
      <c r="P641">
        <v>0</v>
      </c>
      <c r="Q641">
        <v>0</v>
      </c>
      <c r="R641">
        <v>0</v>
      </c>
      <c r="S641">
        <v>0</v>
      </c>
      <c r="T641">
        <v>3.4050693448110951E-2</v>
      </c>
      <c r="U641">
        <v>0.96594930655188904</v>
      </c>
      <c r="V641">
        <v>0</v>
      </c>
      <c r="W641">
        <v>0</v>
      </c>
      <c r="X641">
        <v>0</v>
      </c>
      <c r="Y641">
        <v>0</v>
      </c>
      <c r="Z641">
        <v>0</v>
      </c>
      <c r="AA641">
        <v>0</v>
      </c>
      <c r="AB641">
        <v>0</v>
      </c>
      <c r="AC641">
        <v>0</v>
      </c>
      <c r="AD641">
        <v>0</v>
      </c>
      <c r="AE641" t="s">
        <v>249</v>
      </c>
      <c r="AF641">
        <v>10</v>
      </c>
      <c r="AG641" t="s">
        <v>169</v>
      </c>
      <c r="AH641">
        <v>46225</v>
      </c>
      <c r="AI641" t="s">
        <v>149</v>
      </c>
    </row>
    <row r="642" spans="1:35" x14ac:dyDescent="0.25">
      <c r="A642" s="1">
        <v>46225</v>
      </c>
      <c r="B642" t="s">
        <v>13</v>
      </c>
      <c r="C642" t="s">
        <v>10</v>
      </c>
      <c r="D642">
        <v>2.7640449438202253</v>
      </c>
      <c r="E642">
        <v>3.8</v>
      </c>
      <c r="F642">
        <v>3.8</v>
      </c>
      <c r="G642">
        <v>1.0896139705882353</v>
      </c>
      <c r="H642">
        <v>1.3747967479674794</v>
      </c>
      <c r="I642">
        <v>1.3747967479674794</v>
      </c>
      <c r="J642">
        <v>0.3942099324485891</v>
      </c>
      <c r="K642">
        <v>0</v>
      </c>
      <c r="L642">
        <v>0</v>
      </c>
      <c r="M642">
        <v>0.12479674796747942</v>
      </c>
      <c r="N642">
        <v>0</v>
      </c>
      <c r="O642">
        <v>0</v>
      </c>
      <c r="P642">
        <v>0</v>
      </c>
      <c r="Q642">
        <v>0</v>
      </c>
      <c r="R642">
        <v>0</v>
      </c>
      <c r="S642">
        <v>0.25</v>
      </c>
      <c r="T642">
        <v>0</v>
      </c>
      <c r="U642">
        <v>0</v>
      </c>
      <c r="V642">
        <v>0</v>
      </c>
      <c r="W642">
        <v>0.60579006755141096</v>
      </c>
      <c r="X642">
        <v>0</v>
      </c>
      <c r="Y642">
        <v>0.3942099324485891</v>
      </c>
      <c r="Z642">
        <v>0</v>
      </c>
      <c r="AA642">
        <v>0</v>
      </c>
      <c r="AB642">
        <v>0</v>
      </c>
      <c r="AC642">
        <v>0</v>
      </c>
      <c r="AD642">
        <v>0</v>
      </c>
      <c r="AE642" t="s">
        <v>249</v>
      </c>
      <c r="AF642">
        <v>10</v>
      </c>
      <c r="AG642" t="s">
        <v>167</v>
      </c>
      <c r="AH642">
        <v>46225</v>
      </c>
      <c r="AI642" t="s">
        <v>149</v>
      </c>
    </row>
    <row r="643" spans="1:35" x14ac:dyDescent="0.25">
      <c r="A643" s="1">
        <v>46226</v>
      </c>
      <c r="B643" t="s">
        <v>13</v>
      </c>
      <c r="C643" t="s">
        <v>12</v>
      </c>
      <c r="D643">
        <v>2.2762723066754793</v>
      </c>
      <c r="E643">
        <v>3.8</v>
      </c>
      <c r="F643">
        <v>3.8</v>
      </c>
      <c r="G643">
        <v>2.0484429065743943</v>
      </c>
      <c r="H643">
        <v>1.6693960511033681</v>
      </c>
      <c r="I643">
        <v>1.6693960511033681</v>
      </c>
      <c r="J643">
        <v>0.89991118398578929</v>
      </c>
      <c r="K643">
        <v>0</v>
      </c>
      <c r="L643">
        <v>0</v>
      </c>
      <c r="M643">
        <v>0.41939605110336808</v>
      </c>
      <c r="N643">
        <v>0</v>
      </c>
      <c r="O643">
        <v>0</v>
      </c>
      <c r="P643">
        <v>0</v>
      </c>
      <c r="Q643">
        <v>0</v>
      </c>
      <c r="R643">
        <v>0</v>
      </c>
      <c r="S643">
        <v>0.25</v>
      </c>
      <c r="T643">
        <v>0</v>
      </c>
      <c r="U643">
        <v>0</v>
      </c>
      <c r="V643">
        <v>0</v>
      </c>
      <c r="W643">
        <v>0.10008881601421071</v>
      </c>
      <c r="X643">
        <v>0</v>
      </c>
      <c r="Y643">
        <v>0.89991118398578929</v>
      </c>
      <c r="Z643">
        <v>0</v>
      </c>
      <c r="AA643">
        <v>0</v>
      </c>
      <c r="AB643">
        <v>0</v>
      </c>
      <c r="AC643">
        <v>0</v>
      </c>
      <c r="AD643">
        <v>0</v>
      </c>
      <c r="AE643" t="s">
        <v>249</v>
      </c>
      <c r="AF643">
        <v>10</v>
      </c>
      <c r="AG643" t="s">
        <v>170</v>
      </c>
      <c r="AH643">
        <v>46226</v>
      </c>
      <c r="AI643" t="s">
        <v>149</v>
      </c>
    </row>
    <row r="644" spans="1:35" x14ac:dyDescent="0.25">
      <c r="A644" s="1">
        <v>46226</v>
      </c>
      <c r="B644" t="s">
        <v>13</v>
      </c>
      <c r="C644" t="s">
        <v>10</v>
      </c>
      <c r="D644">
        <v>1.3820224719101126</v>
      </c>
      <c r="E644">
        <v>2.8499999999999996</v>
      </c>
      <c r="F644">
        <v>2.8499999999999996</v>
      </c>
      <c r="G644">
        <v>1.7647058823529416</v>
      </c>
      <c r="H644">
        <v>2.0621951219512189</v>
      </c>
      <c r="I644">
        <v>2.0621951219512189</v>
      </c>
      <c r="J644">
        <v>1.2769010043041606</v>
      </c>
      <c r="K644">
        <v>0</v>
      </c>
      <c r="L644">
        <v>0</v>
      </c>
      <c r="M644">
        <v>0.78529411764705825</v>
      </c>
      <c r="N644">
        <v>0</v>
      </c>
      <c r="O644">
        <v>2.6901004304160647E-2</v>
      </c>
      <c r="P644">
        <v>0</v>
      </c>
      <c r="Q644">
        <v>0.25</v>
      </c>
      <c r="R644">
        <v>0</v>
      </c>
      <c r="S644">
        <v>0</v>
      </c>
      <c r="T644">
        <v>0</v>
      </c>
      <c r="U644">
        <v>0</v>
      </c>
      <c r="V644">
        <v>0</v>
      </c>
      <c r="W644">
        <v>0</v>
      </c>
      <c r="X644">
        <v>0</v>
      </c>
      <c r="Y644">
        <v>1</v>
      </c>
      <c r="Z644">
        <v>0</v>
      </c>
      <c r="AA644">
        <v>0</v>
      </c>
      <c r="AB644">
        <v>0</v>
      </c>
      <c r="AC644">
        <v>0</v>
      </c>
      <c r="AD644">
        <v>0</v>
      </c>
      <c r="AE644" t="s">
        <v>249</v>
      </c>
      <c r="AF644">
        <v>10</v>
      </c>
      <c r="AG644" t="s">
        <v>171</v>
      </c>
      <c r="AH644">
        <v>46226</v>
      </c>
      <c r="AI644" t="s">
        <v>149</v>
      </c>
    </row>
    <row r="645" spans="1:35" x14ac:dyDescent="0.25">
      <c r="A645" s="1">
        <v>46226</v>
      </c>
      <c r="B645" t="s">
        <v>13</v>
      </c>
      <c r="C645" t="s">
        <v>11</v>
      </c>
      <c r="D645">
        <v>1.8426966292134832</v>
      </c>
      <c r="E645">
        <v>0</v>
      </c>
      <c r="F645">
        <v>0</v>
      </c>
      <c r="G645">
        <v>6.2745098039215685E-2</v>
      </c>
      <c r="H645">
        <v>0</v>
      </c>
      <c r="I645">
        <v>0</v>
      </c>
      <c r="J645">
        <v>3.4050693448110951E-2</v>
      </c>
      <c r="K645">
        <v>0</v>
      </c>
      <c r="L645">
        <v>0</v>
      </c>
      <c r="M645">
        <v>0</v>
      </c>
      <c r="N645">
        <v>0</v>
      </c>
      <c r="O645">
        <v>0</v>
      </c>
      <c r="P645">
        <v>0</v>
      </c>
      <c r="Q645">
        <v>0</v>
      </c>
      <c r="R645">
        <v>0</v>
      </c>
      <c r="S645">
        <v>0</v>
      </c>
      <c r="T645">
        <v>3.4050693448110951E-2</v>
      </c>
      <c r="U645">
        <v>0.96594930655188904</v>
      </c>
      <c r="V645">
        <v>0</v>
      </c>
      <c r="W645">
        <v>0</v>
      </c>
      <c r="X645">
        <v>0</v>
      </c>
      <c r="Y645">
        <v>0</v>
      </c>
      <c r="Z645">
        <v>0</v>
      </c>
      <c r="AA645">
        <v>0</v>
      </c>
      <c r="AB645">
        <v>0</v>
      </c>
      <c r="AC645">
        <v>0</v>
      </c>
      <c r="AD645">
        <v>0</v>
      </c>
      <c r="AE645" t="s">
        <v>249</v>
      </c>
      <c r="AF645">
        <v>10</v>
      </c>
      <c r="AG645" t="s">
        <v>172</v>
      </c>
      <c r="AH645">
        <v>46226</v>
      </c>
      <c r="AI645" t="s">
        <v>149</v>
      </c>
    </row>
    <row r="646" spans="1:35" x14ac:dyDescent="0.25">
      <c r="A646" s="1">
        <v>46227</v>
      </c>
      <c r="B646" t="s">
        <v>13</v>
      </c>
      <c r="C646" t="s">
        <v>10</v>
      </c>
      <c r="D646">
        <v>5.5280898876404505</v>
      </c>
      <c r="E646">
        <v>2.8499999999999996</v>
      </c>
      <c r="F646">
        <v>2.8499999999999996</v>
      </c>
      <c r="G646">
        <v>1.7647058823529416</v>
      </c>
      <c r="H646">
        <v>0.51554878048780473</v>
      </c>
      <c r="I646">
        <v>0.51554878048780473</v>
      </c>
      <c r="J646">
        <v>0.31922525107604016</v>
      </c>
      <c r="K646">
        <v>0</v>
      </c>
      <c r="L646">
        <v>0</v>
      </c>
      <c r="M646">
        <v>0</v>
      </c>
      <c r="N646">
        <v>0</v>
      </c>
      <c r="O646">
        <v>0</v>
      </c>
      <c r="P646">
        <v>0</v>
      </c>
      <c r="Q646">
        <v>0</v>
      </c>
      <c r="R646">
        <v>0</v>
      </c>
      <c r="S646">
        <v>0</v>
      </c>
      <c r="T646">
        <v>0</v>
      </c>
      <c r="U646">
        <v>0.48445121951219527</v>
      </c>
      <c r="V646">
        <v>0</v>
      </c>
      <c r="W646">
        <v>0.19632352941176456</v>
      </c>
      <c r="X646">
        <v>0</v>
      </c>
      <c r="Y646">
        <v>0.31922525107604016</v>
      </c>
      <c r="Z646">
        <v>0</v>
      </c>
      <c r="AA646">
        <v>0</v>
      </c>
      <c r="AB646">
        <v>0</v>
      </c>
      <c r="AC646">
        <v>0</v>
      </c>
      <c r="AD646">
        <v>0</v>
      </c>
      <c r="AE646" t="s">
        <v>249</v>
      </c>
      <c r="AF646">
        <v>10</v>
      </c>
      <c r="AG646" t="s">
        <v>173</v>
      </c>
      <c r="AH646">
        <v>46227</v>
      </c>
      <c r="AI646" t="s">
        <v>149</v>
      </c>
    </row>
    <row r="647" spans="1:35" x14ac:dyDescent="0.25">
      <c r="A647" s="1">
        <v>46227</v>
      </c>
      <c r="B647" t="s">
        <v>13</v>
      </c>
      <c r="C647" t="s">
        <v>11</v>
      </c>
      <c r="D647">
        <v>1.8426966292134832</v>
      </c>
      <c r="E647">
        <v>0</v>
      </c>
      <c r="F647">
        <v>0</v>
      </c>
      <c r="G647">
        <v>1.0127450980392154</v>
      </c>
      <c r="H647">
        <v>0</v>
      </c>
      <c r="I647">
        <v>0</v>
      </c>
      <c r="J647">
        <v>0.54959947393591568</v>
      </c>
      <c r="K647">
        <v>0</v>
      </c>
      <c r="L647">
        <v>0</v>
      </c>
      <c r="M647">
        <v>0</v>
      </c>
      <c r="N647">
        <v>0</v>
      </c>
      <c r="O647">
        <v>0</v>
      </c>
      <c r="P647">
        <v>0</v>
      </c>
      <c r="Q647">
        <v>0</v>
      </c>
      <c r="R647">
        <v>0</v>
      </c>
      <c r="S647">
        <v>0</v>
      </c>
      <c r="T647">
        <v>0.54959947393591568</v>
      </c>
      <c r="U647">
        <v>0.45040052606408432</v>
      </c>
      <c r="V647">
        <v>0</v>
      </c>
      <c r="W647">
        <v>0</v>
      </c>
      <c r="X647">
        <v>0</v>
      </c>
      <c r="Y647">
        <v>0</v>
      </c>
      <c r="Z647">
        <v>0</v>
      </c>
      <c r="AA647">
        <v>0</v>
      </c>
      <c r="AB647">
        <v>0</v>
      </c>
      <c r="AC647">
        <v>0</v>
      </c>
      <c r="AD647">
        <v>0</v>
      </c>
      <c r="AE647" t="s">
        <v>249</v>
      </c>
      <c r="AF647">
        <v>10</v>
      </c>
      <c r="AG647" t="s">
        <v>174</v>
      </c>
      <c r="AH647">
        <v>46227</v>
      </c>
      <c r="AI647" t="s">
        <v>149</v>
      </c>
    </row>
    <row r="648" spans="1:35" x14ac:dyDescent="0.25">
      <c r="A648" s="1">
        <v>46227</v>
      </c>
      <c r="B648" t="s">
        <v>13</v>
      </c>
      <c r="C648" t="s">
        <v>12</v>
      </c>
      <c r="D648">
        <v>2.2762723066754802</v>
      </c>
      <c r="E648">
        <v>3.8</v>
      </c>
      <c r="F648">
        <v>3.8</v>
      </c>
      <c r="G648">
        <v>2.1881487889273359</v>
      </c>
      <c r="H648">
        <v>1.6693960511033674</v>
      </c>
      <c r="I648">
        <v>1.6693960511033674</v>
      </c>
      <c r="J648">
        <v>0.96128603880576591</v>
      </c>
      <c r="K648">
        <v>0</v>
      </c>
      <c r="L648">
        <v>0</v>
      </c>
      <c r="M648">
        <v>0.41939605110336742</v>
      </c>
      <c r="N648">
        <v>0</v>
      </c>
      <c r="O648">
        <v>0</v>
      </c>
      <c r="P648">
        <v>0</v>
      </c>
      <c r="Q648">
        <v>0</v>
      </c>
      <c r="R648">
        <v>0</v>
      </c>
      <c r="S648">
        <v>0.25</v>
      </c>
      <c r="T648">
        <v>0</v>
      </c>
      <c r="U648">
        <v>0</v>
      </c>
      <c r="V648">
        <v>0</v>
      </c>
      <c r="W648">
        <v>3.8713961194234092E-2</v>
      </c>
      <c r="X648">
        <v>0</v>
      </c>
      <c r="Y648">
        <v>0.96128603880576591</v>
      </c>
      <c r="Z648">
        <v>0</v>
      </c>
      <c r="AA648">
        <v>0</v>
      </c>
      <c r="AB648">
        <v>0</v>
      </c>
      <c r="AC648">
        <v>0</v>
      </c>
      <c r="AD648">
        <v>0</v>
      </c>
      <c r="AE648" t="s">
        <v>249</v>
      </c>
      <c r="AF648">
        <v>10</v>
      </c>
      <c r="AG648" t="s">
        <v>175</v>
      </c>
      <c r="AH648">
        <v>46227</v>
      </c>
      <c r="AI648" t="s">
        <v>149</v>
      </c>
    </row>
    <row r="649" spans="1:35" x14ac:dyDescent="0.25">
      <c r="A649" s="1">
        <v>46228</v>
      </c>
      <c r="B649" t="s">
        <v>13</v>
      </c>
      <c r="C649" t="s">
        <v>12</v>
      </c>
      <c r="D649">
        <v>2.6014540647719757</v>
      </c>
      <c r="E649">
        <v>2.8499999999999996</v>
      </c>
      <c r="F649">
        <v>2.8499999999999996</v>
      </c>
      <c r="G649">
        <v>2.0635813148788924</v>
      </c>
      <c r="H649">
        <v>1.0955411585365855</v>
      </c>
      <c r="I649">
        <v>1.0955411585365855</v>
      </c>
      <c r="J649">
        <v>0.79324149629363938</v>
      </c>
      <c r="K649">
        <v>0</v>
      </c>
      <c r="L649">
        <v>0</v>
      </c>
      <c r="M649">
        <v>0</v>
      </c>
      <c r="N649">
        <v>0</v>
      </c>
      <c r="O649">
        <v>0</v>
      </c>
      <c r="P649">
        <v>0</v>
      </c>
      <c r="Q649">
        <v>0</v>
      </c>
      <c r="R649">
        <v>0</v>
      </c>
      <c r="S649">
        <v>9.5541158536585513E-2</v>
      </c>
      <c r="T649">
        <v>0</v>
      </c>
      <c r="U649">
        <v>0</v>
      </c>
      <c r="V649">
        <v>0</v>
      </c>
      <c r="W649">
        <v>0.20675850370636062</v>
      </c>
      <c r="X649">
        <v>0</v>
      </c>
      <c r="Y649">
        <v>0.79324149629363938</v>
      </c>
      <c r="Z649">
        <v>0</v>
      </c>
      <c r="AA649">
        <v>0</v>
      </c>
      <c r="AB649">
        <v>0</v>
      </c>
      <c r="AC649">
        <v>0</v>
      </c>
      <c r="AD649">
        <v>0</v>
      </c>
      <c r="AE649" t="s">
        <v>249</v>
      </c>
      <c r="AF649">
        <v>10</v>
      </c>
      <c r="AG649" t="s">
        <v>178</v>
      </c>
      <c r="AH649">
        <v>46228</v>
      </c>
      <c r="AI649" t="s">
        <v>149</v>
      </c>
    </row>
    <row r="650" spans="1:35" x14ac:dyDescent="0.25">
      <c r="A650" s="1">
        <v>46228</v>
      </c>
      <c r="B650" t="s">
        <v>13</v>
      </c>
      <c r="C650" t="s">
        <v>10</v>
      </c>
      <c r="D650">
        <v>1.3820224719101126</v>
      </c>
      <c r="E650">
        <v>2.8499999999999996</v>
      </c>
      <c r="F650">
        <v>2.8499999999999996</v>
      </c>
      <c r="G650">
        <v>1.7954963235294119</v>
      </c>
      <c r="H650">
        <v>2.0621951219512189</v>
      </c>
      <c r="I650">
        <v>2.0621951219512189</v>
      </c>
      <c r="J650">
        <v>1.2991802666188426</v>
      </c>
      <c r="K650">
        <v>0</v>
      </c>
      <c r="L650">
        <v>0</v>
      </c>
      <c r="M650">
        <v>0.76301485533237634</v>
      </c>
      <c r="N650">
        <v>0</v>
      </c>
      <c r="O650">
        <v>4.9180266618842561E-2</v>
      </c>
      <c r="P650">
        <v>0</v>
      </c>
      <c r="Q650">
        <v>0.25</v>
      </c>
      <c r="R650">
        <v>0</v>
      </c>
      <c r="S650">
        <v>0</v>
      </c>
      <c r="T650">
        <v>0</v>
      </c>
      <c r="U650">
        <v>0</v>
      </c>
      <c r="V650">
        <v>0</v>
      </c>
      <c r="W650">
        <v>0</v>
      </c>
      <c r="X650">
        <v>0</v>
      </c>
      <c r="Y650">
        <v>1</v>
      </c>
      <c r="Z650">
        <v>0</v>
      </c>
      <c r="AA650">
        <v>0</v>
      </c>
      <c r="AB650">
        <v>0</v>
      </c>
      <c r="AC650">
        <v>0</v>
      </c>
      <c r="AD650">
        <v>0</v>
      </c>
      <c r="AE650" t="s">
        <v>249</v>
      </c>
      <c r="AF650">
        <v>10</v>
      </c>
      <c r="AG650" t="s">
        <v>176</v>
      </c>
      <c r="AH650">
        <v>46228</v>
      </c>
      <c r="AI650" t="s">
        <v>149</v>
      </c>
    </row>
    <row r="651" spans="1:35" x14ac:dyDescent="0.25">
      <c r="A651" s="1">
        <v>46228</v>
      </c>
      <c r="B651" t="s">
        <v>13</v>
      </c>
      <c r="C651" t="s">
        <v>11</v>
      </c>
      <c r="D651">
        <v>1.8426966292134832</v>
      </c>
      <c r="E651">
        <v>0</v>
      </c>
      <c r="F651">
        <v>0</v>
      </c>
      <c r="G651">
        <v>1.0127450980392154</v>
      </c>
      <c r="H651">
        <v>0</v>
      </c>
      <c r="I651">
        <v>0</v>
      </c>
      <c r="J651">
        <v>0.54959947393591568</v>
      </c>
      <c r="K651">
        <v>0</v>
      </c>
      <c r="L651">
        <v>0</v>
      </c>
      <c r="M651">
        <v>0</v>
      </c>
      <c r="N651">
        <v>0</v>
      </c>
      <c r="O651">
        <v>0</v>
      </c>
      <c r="P651">
        <v>0</v>
      </c>
      <c r="Q651">
        <v>0</v>
      </c>
      <c r="R651">
        <v>0</v>
      </c>
      <c r="S651">
        <v>0</v>
      </c>
      <c r="T651">
        <v>0.54959947393591568</v>
      </c>
      <c r="U651">
        <v>0.45040052606408432</v>
      </c>
      <c r="V651">
        <v>0</v>
      </c>
      <c r="W651">
        <v>0</v>
      </c>
      <c r="X651">
        <v>0</v>
      </c>
      <c r="Y651">
        <v>0</v>
      </c>
      <c r="Z651">
        <v>0</v>
      </c>
      <c r="AA651">
        <v>0</v>
      </c>
      <c r="AB651">
        <v>0</v>
      </c>
      <c r="AC651">
        <v>0</v>
      </c>
      <c r="AD651">
        <v>0</v>
      </c>
      <c r="AE651" t="s">
        <v>249</v>
      </c>
      <c r="AF651">
        <v>10</v>
      </c>
      <c r="AG651" t="s">
        <v>177</v>
      </c>
      <c r="AH651">
        <v>46228</v>
      </c>
      <c r="AI651" t="s">
        <v>149</v>
      </c>
    </row>
    <row r="652" spans="1:35" x14ac:dyDescent="0.25">
      <c r="A652" s="1">
        <v>46229</v>
      </c>
      <c r="B652" t="s">
        <v>13</v>
      </c>
      <c r="C652" t="s">
        <v>10</v>
      </c>
      <c r="D652">
        <v>1.3820224719101126</v>
      </c>
      <c r="E652">
        <v>4.75</v>
      </c>
      <c r="F652">
        <v>4.75</v>
      </c>
      <c r="G652">
        <v>1.9131433823529416</v>
      </c>
      <c r="H652">
        <v>3.4369918699186983</v>
      </c>
      <c r="I652">
        <v>3.4369918699186983</v>
      </c>
      <c r="J652">
        <v>1.38430700023912</v>
      </c>
      <c r="K652">
        <v>0</v>
      </c>
      <c r="L652">
        <v>0</v>
      </c>
      <c r="M652">
        <v>2.0526848696795783</v>
      </c>
      <c r="N652">
        <v>0</v>
      </c>
      <c r="O652">
        <v>0.13430700023912001</v>
      </c>
      <c r="P652">
        <v>0</v>
      </c>
      <c r="Q652">
        <v>0.25</v>
      </c>
      <c r="R652">
        <v>0</v>
      </c>
      <c r="S652">
        <v>0</v>
      </c>
      <c r="T652">
        <v>0</v>
      </c>
      <c r="U652">
        <v>0</v>
      </c>
      <c r="V652">
        <v>0</v>
      </c>
      <c r="W652">
        <v>0</v>
      </c>
      <c r="X652">
        <v>0</v>
      </c>
      <c r="Y652">
        <v>1</v>
      </c>
      <c r="Z652">
        <v>0</v>
      </c>
      <c r="AA652">
        <v>0</v>
      </c>
      <c r="AB652">
        <v>0</v>
      </c>
      <c r="AC652">
        <v>0</v>
      </c>
      <c r="AD652">
        <v>0</v>
      </c>
      <c r="AE652" t="s">
        <v>249</v>
      </c>
      <c r="AF652">
        <v>10</v>
      </c>
      <c r="AG652" t="s">
        <v>181</v>
      </c>
      <c r="AH652">
        <v>46229</v>
      </c>
      <c r="AI652" t="s">
        <v>149</v>
      </c>
    </row>
    <row r="653" spans="1:35" x14ac:dyDescent="0.25">
      <c r="A653" s="1">
        <v>46229</v>
      </c>
      <c r="B653" t="s">
        <v>13</v>
      </c>
      <c r="C653" t="s">
        <v>11</v>
      </c>
      <c r="D653">
        <v>1.8426966292134832</v>
      </c>
      <c r="E653">
        <v>0</v>
      </c>
      <c r="F653">
        <v>0</v>
      </c>
      <c r="G653">
        <v>6.2745098039215685E-2</v>
      </c>
      <c r="H653">
        <v>0</v>
      </c>
      <c r="I653">
        <v>0</v>
      </c>
      <c r="J653">
        <v>3.4050693448110951E-2</v>
      </c>
      <c r="K653">
        <v>0</v>
      </c>
      <c r="L653">
        <v>0</v>
      </c>
      <c r="M653">
        <v>0</v>
      </c>
      <c r="N653">
        <v>0</v>
      </c>
      <c r="O653">
        <v>0</v>
      </c>
      <c r="P653">
        <v>0</v>
      </c>
      <c r="Q653">
        <v>0</v>
      </c>
      <c r="R653">
        <v>0</v>
      </c>
      <c r="S653">
        <v>0</v>
      </c>
      <c r="T653">
        <v>3.4050693448110951E-2</v>
      </c>
      <c r="U653">
        <v>0.96594930655188904</v>
      </c>
      <c r="V653">
        <v>0</v>
      </c>
      <c r="W653">
        <v>0</v>
      </c>
      <c r="X653">
        <v>0</v>
      </c>
      <c r="Y653">
        <v>0</v>
      </c>
      <c r="Z653">
        <v>0</v>
      </c>
      <c r="AA653">
        <v>0</v>
      </c>
      <c r="AB653">
        <v>0</v>
      </c>
      <c r="AC653">
        <v>0</v>
      </c>
      <c r="AD653">
        <v>0</v>
      </c>
      <c r="AE653" t="s">
        <v>249</v>
      </c>
      <c r="AF653">
        <v>10</v>
      </c>
      <c r="AG653" t="s">
        <v>179</v>
      </c>
      <c r="AH653">
        <v>46229</v>
      </c>
      <c r="AI653" t="s">
        <v>149</v>
      </c>
    </row>
    <row r="654" spans="1:35" x14ac:dyDescent="0.25">
      <c r="A654" s="1">
        <v>46229</v>
      </c>
      <c r="B654" t="s">
        <v>13</v>
      </c>
      <c r="C654" t="s">
        <v>12</v>
      </c>
      <c r="D654">
        <v>2.6014540647719762</v>
      </c>
      <c r="E654">
        <v>1.9</v>
      </c>
      <c r="F654">
        <v>1.9</v>
      </c>
      <c r="G654">
        <v>2.0484429065743948</v>
      </c>
      <c r="H654">
        <v>0.73036077235772356</v>
      </c>
      <c r="I654">
        <v>0.73036077235772356</v>
      </c>
      <c r="J654">
        <v>0.78742228598756592</v>
      </c>
      <c r="K654">
        <v>0</v>
      </c>
      <c r="L654">
        <v>0</v>
      </c>
      <c r="M654">
        <v>0</v>
      </c>
      <c r="N654">
        <v>0</v>
      </c>
      <c r="O654">
        <v>0</v>
      </c>
      <c r="P654">
        <v>0</v>
      </c>
      <c r="Q654">
        <v>0</v>
      </c>
      <c r="R654">
        <v>0</v>
      </c>
      <c r="S654">
        <v>0</v>
      </c>
      <c r="T654">
        <v>5.7061513629842353E-2</v>
      </c>
      <c r="U654">
        <v>0.21257771401243408</v>
      </c>
      <c r="V654">
        <v>0</v>
      </c>
      <c r="W654">
        <v>0</v>
      </c>
      <c r="X654">
        <v>0</v>
      </c>
      <c r="Y654">
        <v>0.73036077235772356</v>
      </c>
      <c r="Z654">
        <v>0</v>
      </c>
      <c r="AA654">
        <v>0</v>
      </c>
      <c r="AB654">
        <v>0</v>
      </c>
      <c r="AC654">
        <v>0</v>
      </c>
      <c r="AD654">
        <v>0</v>
      </c>
      <c r="AE654" t="s">
        <v>249</v>
      </c>
      <c r="AF654">
        <v>10</v>
      </c>
      <c r="AG654" t="s">
        <v>180</v>
      </c>
      <c r="AH654">
        <v>46229</v>
      </c>
      <c r="AI654" t="s">
        <v>149</v>
      </c>
    </row>
    <row r="655" spans="1:35" x14ac:dyDescent="0.25">
      <c r="A655" s="1">
        <v>46230</v>
      </c>
      <c r="B655" t="s">
        <v>13</v>
      </c>
      <c r="C655" t="s">
        <v>12</v>
      </c>
      <c r="D655">
        <v>2.6014540647719766</v>
      </c>
      <c r="E655">
        <v>3.8</v>
      </c>
      <c r="F655">
        <v>3.8</v>
      </c>
      <c r="G655">
        <v>1.7162629757785473</v>
      </c>
      <c r="H655">
        <v>1.4607215447154469</v>
      </c>
      <c r="I655">
        <v>1.4607215447154469</v>
      </c>
      <c r="J655">
        <v>0.65973218555714974</v>
      </c>
      <c r="K655">
        <v>0</v>
      </c>
      <c r="L655">
        <v>0</v>
      </c>
      <c r="M655">
        <v>0.21072154471544691</v>
      </c>
      <c r="N655">
        <v>0</v>
      </c>
      <c r="O655">
        <v>0</v>
      </c>
      <c r="P655">
        <v>0</v>
      </c>
      <c r="Q655">
        <v>0</v>
      </c>
      <c r="R655">
        <v>0</v>
      </c>
      <c r="S655">
        <v>0.25</v>
      </c>
      <c r="T655">
        <v>0</v>
      </c>
      <c r="U655">
        <v>0</v>
      </c>
      <c r="V655">
        <v>0</v>
      </c>
      <c r="W655">
        <v>0.34026781444285026</v>
      </c>
      <c r="X655">
        <v>0</v>
      </c>
      <c r="Y655">
        <v>0.65973218555714974</v>
      </c>
      <c r="Z655">
        <v>0</v>
      </c>
      <c r="AA655">
        <v>0</v>
      </c>
      <c r="AB655">
        <v>0</v>
      </c>
      <c r="AC655">
        <v>0</v>
      </c>
      <c r="AD655">
        <v>0</v>
      </c>
      <c r="AE655" t="s">
        <v>249</v>
      </c>
      <c r="AF655">
        <v>10</v>
      </c>
      <c r="AG655" t="s">
        <v>182</v>
      </c>
      <c r="AH655">
        <v>46230</v>
      </c>
      <c r="AI655" t="s">
        <v>149</v>
      </c>
    </row>
    <row r="656" spans="1:35" x14ac:dyDescent="0.25">
      <c r="A656" s="1">
        <v>46230</v>
      </c>
      <c r="B656" t="s">
        <v>13</v>
      </c>
      <c r="C656" t="s">
        <v>10</v>
      </c>
      <c r="D656">
        <v>1.0365168539325844</v>
      </c>
      <c r="E656">
        <v>4.75</v>
      </c>
      <c r="F656">
        <v>4.75</v>
      </c>
      <c r="G656">
        <v>0.1176470588235294</v>
      </c>
      <c r="H656">
        <v>4.5826558265582653</v>
      </c>
      <c r="I656">
        <v>4.5826558265582653</v>
      </c>
      <c r="J656">
        <v>0.11350231149370314</v>
      </c>
      <c r="K656">
        <v>0</v>
      </c>
      <c r="L656">
        <v>0</v>
      </c>
      <c r="M656">
        <v>3.3326558265582653</v>
      </c>
      <c r="N656">
        <v>0</v>
      </c>
      <c r="O656">
        <v>0</v>
      </c>
      <c r="P656">
        <v>0</v>
      </c>
      <c r="Q656">
        <v>0</v>
      </c>
      <c r="R656">
        <v>0</v>
      </c>
      <c r="S656">
        <v>0.25</v>
      </c>
      <c r="T656">
        <v>0</v>
      </c>
      <c r="U656">
        <v>0</v>
      </c>
      <c r="V656">
        <v>0</v>
      </c>
      <c r="W656">
        <v>0.88649768850629684</v>
      </c>
      <c r="X656">
        <v>0</v>
      </c>
      <c r="Y656">
        <v>0.11350231149370314</v>
      </c>
      <c r="Z656">
        <v>0</v>
      </c>
      <c r="AA656">
        <v>0</v>
      </c>
      <c r="AB656">
        <v>0</v>
      </c>
      <c r="AC656">
        <v>0</v>
      </c>
      <c r="AD656">
        <v>0</v>
      </c>
      <c r="AE656" t="s">
        <v>249</v>
      </c>
      <c r="AF656">
        <v>10</v>
      </c>
      <c r="AG656" t="s">
        <v>183</v>
      </c>
      <c r="AH656">
        <v>46230</v>
      </c>
      <c r="AI656" t="s">
        <v>149</v>
      </c>
    </row>
    <row r="657" spans="1:35" x14ac:dyDescent="0.25">
      <c r="A657" s="1">
        <v>46230</v>
      </c>
      <c r="B657" t="s">
        <v>13</v>
      </c>
      <c r="C657" t="s">
        <v>11</v>
      </c>
      <c r="D657">
        <v>1.8426966292134832</v>
      </c>
      <c r="E657">
        <v>0</v>
      </c>
      <c r="F657">
        <v>0</v>
      </c>
      <c r="G657">
        <v>6.2745098039215685E-2</v>
      </c>
      <c r="H657">
        <v>0</v>
      </c>
      <c r="I657">
        <v>0</v>
      </c>
      <c r="J657">
        <v>3.4050693448110951E-2</v>
      </c>
      <c r="K657">
        <v>0</v>
      </c>
      <c r="L657">
        <v>0</v>
      </c>
      <c r="M657">
        <v>0</v>
      </c>
      <c r="N657">
        <v>0</v>
      </c>
      <c r="O657">
        <v>0</v>
      </c>
      <c r="P657">
        <v>0</v>
      </c>
      <c r="Q657">
        <v>0</v>
      </c>
      <c r="R657">
        <v>0</v>
      </c>
      <c r="S657">
        <v>0</v>
      </c>
      <c r="T657">
        <v>3.4050693448110951E-2</v>
      </c>
      <c r="U657">
        <v>0.96594930655188904</v>
      </c>
      <c r="V657">
        <v>0</v>
      </c>
      <c r="W657">
        <v>0</v>
      </c>
      <c r="X657">
        <v>0</v>
      </c>
      <c r="Y657">
        <v>0</v>
      </c>
      <c r="Z657">
        <v>0</v>
      </c>
      <c r="AA657">
        <v>0</v>
      </c>
      <c r="AB657">
        <v>0</v>
      </c>
      <c r="AC657">
        <v>0</v>
      </c>
      <c r="AD657">
        <v>0</v>
      </c>
      <c r="AE657" t="s">
        <v>249</v>
      </c>
      <c r="AF657">
        <v>10</v>
      </c>
      <c r="AG657" t="s">
        <v>184</v>
      </c>
      <c r="AH657">
        <v>46230</v>
      </c>
      <c r="AI657" t="s">
        <v>149</v>
      </c>
    </row>
    <row r="658" spans="1:35" x14ac:dyDescent="0.25">
      <c r="A658" s="1">
        <v>46231</v>
      </c>
      <c r="B658" t="s">
        <v>13</v>
      </c>
      <c r="C658" t="s">
        <v>12</v>
      </c>
      <c r="D658">
        <v>2.6014540647719762</v>
      </c>
      <c r="E658">
        <v>1.9</v>
      </c>
      <c r="F658">
        <v>1.9</v>
      </c>
      <c r="G658">
        <v>1.7162629757785468</v>
      </c>
      <c r="H658">
        <v>0.73036077235772356</v>
      </c>
      <c r="I658">
        <v>0.73036077235772356</v>
      </c>
      <c r="J658">
        <v>0.65973218555714974</v>
      </c>
      <c r="K658">
        <v>0</v>
      </c>
      <c r="L658">
        <v>0</v>
      </c>
      <c r="M658">
        <v>0</v>
      </c>
      <c r="N658">
        <v>0</v>
      </c>
      <c r="O658">
        <v>0</v>
      </c>
      <c r="P658">
        <v>0</v>
      </c>
      <c r="Q658">
        <v>0</v>
      </c>
      <c r="R658">
        <v>0</v>
      </c>
      <c r="S658">
        <v>0</v>
      </c>
      <c r="T658">
        <v>0</v>
      </c>
      <c r="U658">
        <v>0.26963922764227644</v>
      </c>
      <c r="V658">
        <v>0</v>
      </c>
      <c r="W658">
        <v>7.0628586800573823E-2</v>
      </c>
      <c r="X658">
        <v>0</v>
      </c>
      <c r="Y658">
        <v>0.65973218555714974</v>
      </c>
      <c r="Z658">
        <v>0</v>
      </c>
      <c r="AA658">
        <v>0</v>
      </c>
      <c r="AB658">
        <v>0</v>
      </c>
      <c r="AC658">
        <v>0</v>
      </c>
      <c r="AD658">
        <v>0</v>
      </c>
      <c r="AE658" t="s">
        <v>249</v>
      </c>
      <c r="AF658">
        <v>10</v>
      </c>
      <c r="AG658" t="s">
        <v>185</v>
      </c>
      <c r="AH658">
        <v>46231</v>
      </c>
      <c r="AI658" t="s">
        <v>149</v>
      </c>
    </row>
    <row r="659" spans="1:35" x14ac:dyDescent="0.25">
      <c r="A659" s="1">
        <v>46231</v>
      </c>
      <c r="B659" t="s">
        <v>13</v>
      </c>
      <c r="C659" t="s">
        <v>11</v>
      </c>
      <c r="D659">
        <v>1.8426966292134832</v>
      </c>
      <c r="E659">
        <v>0</v>
      </c>
      <c r="F659">
        <v>0</v>
      </c>
      <c r="G659">
        <v>6.2745098039215685E-2</v>
      </c>
      <c r="H659">
        <v>0</v>
      </c>
      <c r="I659">
        <v>0</v>
      </c>
      <c r="J659">
        <v>3.4050693448110951E-2</v>
      </c>
      <c r="K659">
        <v>0</v>
      </c>
      <c r="L659">
        <v>0</v>
      </c>
      <c r="M659">
        <v>0</v>
      </c>
      <c r="N659">
        <v>0</v>
      </c>
      <c r="O659">
        <v>0</v>
      </c>
      <c r="P659">
        <v>0</v>
      </c>
      <c r="Q659">
        <v>0</v>
      </c>
      <c r="R659">
        <v>0</v>
      </c>
      <c r="S659">
        <v>0</v>
      </c>
      <c r="T659">
        <v>3.4050693448110951E-2</v>
      </c>
      <c r="U659">
        <v>0.96594930655188904</v>
      </c>
      <c r="V659">
        <v>0</v>
      </c>
      <c r="W659">
        <v>0</v>
      </c>
      <c r="X659">
        <v>0</v>
      </c>
      <c r="Y659">
        <v>0</v>
      </c>
      <c r="Z659">
        <v>0</v>
      </c>
      <c r="AA659">
        <v>0</v>
      </c>
      <c r="AB659">
        <v>0</v>
      </c>
      <c r="AC659">
        <v>0</v>
      </c>
      <c r="AD659">
        <v>0</v>
      </c>
      <c r="AE659" t="s">
        <v>249</v>
      </c>
      <c r="AF659">
        <v>10</v>
      </c>
      <c r="AG659" t="s">
        <v>186</v>
      </c>
      <c r="AH659">
        <v>46231</v>
      </c>
      <c r="AI659" t="s">
        <v>149</v>
      </c>
    </row>
    <row r="660" spans="1:35" x14ac:dyDescent="0.25">
      <c r="A660" s="1">
        <v>46231</v>
      </c>
      <c r="B660" t="s">
        <v>13</v>
      </c>
      <c r="C660" t="s">
        <v>10</v>
      </c>
      <c r="D660">
        <v>1.3820224719101126</v>
      </c>
      <c r="E660">
        <v>4.75</v>
      </c>
      <c r="F660">
        <v>4.75</v>
      </c>
      <c r="G660">
        <v>2.6176470588235294</v>
      </c>
      <c r="H660">
        <v>3.4369918699186983</v>
      </c>
      <c r="I660">
        <v>3.4369918699186983</v>
      </c>
      <c r="J660">
        <v>1.8940698230511714</v>
      </c>
      <c r="K660">
        <v>0</v>
      </c>
      <c r="L660">
        <v>0</v>
      </c>
      <c r="M660">
        <v>1.5429220468675269</v>
      </c>
      <c r="N660">
        <v>0</v>
      </c>
      <c r="O660">
        <v>0.64406982305117144</v>
      </c>
      <c r="P660">
        <v>0</v>
      </c>
      <c r="Q660">
        <v>0.25</v>
      </c>
      <c r="R660">
        <v>0</v>
      </c>
      <c r="S660">
        <v>0</v>
      </c>
      <c r="T660">
        <v>0</v>
      </c>
      <c r="U660">
        <v>0</v>
      </c>
      <c r="V660">
        <v>0</v>
      </c>
      <c r="W660">
        <v>0</v>
      </c>
      <c r="X660">
        <v>0</v>
      </c>
      <c r="Y660">
        <v>1</v>
      </c>
      <c r="Z660">
        <v>0</v>
      </c>
      <c r="AA660">
        <v>0</v>
      </c>
      <c r="AB660">
        <v>0</v>
      </c>
      <c r="AC660">
        <v>0</v>
      </c>
      <c r="AD660">
        <v>0</v>
      </c>
      <c r="AE660" t="s">
        <v>249</v>
      </c>
      <c r="AF660">
        <v>10</v>
      </c>
      <c r="AG660" t="s">
        <v>187</v>
      </c>
      <c r="AH660">
        <v>46231</v>
      </c>
      <c r="AI660" t="s">
        <v>149</v>
      </c>
    </row>
    <row r="661" spans="1:35" x14ac:dyDescent="0.25">
      <c r="A661" s="1">
        <v>46232</v>
      </c>
      <c r="B661" t="s">
        <v>13</v>
      </c>
      <c r="C661" t="s">
        <v>12</v>
      </c>
      <c r="D661">
        <v>2.2762723066754793</v>
      </c>
      <c r="E661">
        <v>4.75</v>
      </c>
      <c r="F661">
        <v>4.75</v>
      </c>
      <c r="G661">
        <v>2.0484429065743943</v>
      </c>
      <c r="H661">
        <v>2.08674506387921</v>
      </c>
      <c r="I661">
        <v>2.08674506387921</v>
      </c>
      <c r="J661">
        <v>0.89991118398578929</v>
      </c>
      <c r="K661">
        <v>0</v>
      </c>
      <c r="L661">
        <v>0</v>
      </c>
      <c r="M661">
        <v>0.83674506387920999</v>
      </c>
      <c r="N661">
        <v>0</v>
      </c>
      <c r="O661">
        <v>0</v>
      </c>
      <c r="P661">
        <v>0</v>
      </c>
      <c r="Q661">
        <v>0</v>
      </c>
      <c r="R661">
        <v>0</v>
      </c>
      <c r="S661">
        <v>0.25</v>
      </c>
      <c r="T661">
        <v>0</v>
      </c>
      <c r="U661">
        <v>0</v>
      </c>
      <c r="V661">
        <v>0</v>
      </c>
      <c r="W661">
        <v>0.10008881601421071</v>
      </c>
      <c r="X661">
        <v>0</v>
      </c>
      <c r="Y661">
        <v>0.89991118398578929</v>
      </c>
      <c r="Z661">
        <v>0</v>
      </c>
      <c r="AA661">
        <v>0</v>
      </c>
      <c r="AB661">
        <v>0</v>
      </c>
      <c r="AC661">
        <v>0</v>
      </c>
      <c r="AD661">
        <v>0</v>
      </c>
      <c r="AE661" t="s">
        <v>249</v>
      </c>
      <c r="AF661">
        <v>10</v>
      </c>
      <c r="AG661" t="s">
        <v>189</v>
      </c>
      <c r="AH661">
        <v>46232</v>
      </c>
      <c r="AI661" t="s">
        <v>149</v>
      </c>
    </row>
    <row r="662" spans="1:35" x14ac:dyDescent="0.25">
      <c r="A662" s="1">
        <v>46232</v>
      </c>
      <c r="B662" t="s">
        <v>13</v>
      </c>
      <c r="C662" t="s">
        <v>10</v>
      </c>
      <c r="D662">
        <v>2.7640449438202253</v>
      </c>
      <c r="E662">
        <v>3.8</v>
      </c>
      <c r="F662">
        <v>3.8</v>
      </c>
      <c r="G662">
        <v>1.7647058823529416</v>
      </c>
      <c r="H662">
        <v>1.3747967479674794</v>
      </c>
      <c r="I662">
        <v>1.3747967479674794</v>
      </c>
      <c r="J662">
        <v>0.63845050215208032</v>
      </c>
      <c r="K662">
        <v>0</v>
      </c>
      <c r="L662">
        <v>0</v>
      </c>
      <c r="M662">
        <v>0.12479674796747942</v>
      </c>
      <c r="N662">
        <v>0</v>
      </c>
      <c r="O662">
        <v>0</v>
      </c>
      <c r="P662">
        <v>0</v>
      </c>
      <c r="Q662">
        <v>0</v>
      </c>
      <c r="R662">
        <v>0</v>
      </c>
      <c r="S662">
        <v>0.25</v>
      </c>
      <c r="T662">
        <v>0</v>
      </c>
      <c r="U662">
        <v>0</v>
      </c>
      <c r="V662">
        <v>0</v>
      </c>
      <c r="W662">
        <v>0.36154949784791968</v>
      </c>
      <c r="X662">
        <v>0</v>
      </c>
      <c r="Y662">
        <v>0.63845050215208032</v>
      </c>
      <c r="Z662">
        <v>0</v>
      </c>
      <c r="AA662">
        <v>0</v>
      </c>
      <c r="AB662">
        <v>0</v>
      </c>
      <c r="AC662">
        <v>0</v>
      </c>
      <c r="AD662">
        <v>0</v>
      </c>
      <c r="AE662" t="s">
        <v>249</v>
      </c>
      <c r="AF662">
        <v>10</v>
      </c>
      <c r="AG662" t="s">
        <v>190</v>
      </c>
      <c r="AH662">
        <v>46232</v>
      </c>
      <c r="AI662" t="s">
        <v>149</v>
      </c>
    </row>
    <row r="663" spans="1:35" x14ac:dyDescent="0.25">
      <c r="A663" s="1">
        <v>46232</v>
      </c>
      <c r="B663" t="s">
        <v>13</v>
      </c>
      <c r="C663" t="s">
        <v>11</v>
      </c>
      <c r="D663">
        <v>1.8426966292134832</v>
      </c>
      <c r="E663">
        <v>0</v>
      </c>
      <c r="F663">
        <v>0</v>
      </c>
      <c r="G663">
        <v>6.2745098039215685E-2</v>
      </c>
      <c r="H663">
        <v>0</v>
      </c>
      <c r="I663">
        <v>0</v>
      </c>
      <c r="J663">
        <v>3.4050693448110951E-2</v>
      </c>
      <c r="K663">
        <v>0</v>
      </c>
      <c r="L663">
        <v>0</v>
      </c>
      <c r="M663">
        <v>0</v>
      </c>
      <c r="N663">
        <v>0</v>
      </c>
      <c r="O663">
        <v>0</v>
      </c>
      <c r="P663">
        <v>0</v>
      </c>
      <c r="Q663">
        <v>0</v>
      </c>
      <c r="R663">
        <v>0</v>
      </c>
      <c r="S663">
        <v>0</v>
      </c>
      <c r="T663">
        <v>3.4050693448110951E-2</v>
      </c>
      <c r="U663">
        <v>0.96594930655188904</v>
      </c>
      <c r="V663">
        <v>0</v>
      </c>
      <c r="W663">
        <v>0</v>
      </c>
      <c r="X663">
        <v>0</v>
      </c>
      <c r="Y663">
        <v>0</v>
      </c>
      <c r="Z663">
        <v>0</v>
      </c>
      <c r="AA663">
        <v>0</v>
      </c>
      <c r="AB663">
        <v>0</v>
      </c>
      <c r="AC663">
        <v>0</v>
      </c>
      <c r="AD663">
        <v>0</v>
      </c>
      <c r="AE663" t="s">
        <v>249</v>
      </c>
      <c r="AF663">
        <v>10</v>
      </c>
      <c r="AG663" t="s">
        <v>188</v>
      </c>
      <c r="AH663">
        <v>46232</v>
      </c>
      <c r="AI663" t="s">
        <v>149</v>
      </c>
    </row>
    <row r="664" spans="1:35" x14ac:dyDescent="0.25">
      <c r="A664" s="1">
        <v>46233</v>
      </c>
      <c r="B664" t="s">
        <v>13</v>
      </c>
      <c r="C664" t="s">
        <v>12</v>
      </c>
      <c r="D664">
        <v>2.2762723066754802</v>
      </c>
      <c r="E664">
        <v>3.8</v>
      </c>
      <c r="F664">
        <v>3.8</v>
      </c>
      <c r="G664">
        <v>2.0635813148788924</v>
      </c>
      <c r="H664">
        <v>1.6693960511033674</v>
      </c>
      <c r="I664">
        <v>1.6693960511033674</v>
      </c>
      <c r="J664">
        <v>0.90656171004987307</v>
      </c>
      <c r="K664">
        <v>0</v>
      </c>
      <c r="L664">
        <v>0</v>
      </c>
      <c r="M664">
        <v>0.41939605110336742</v>
      </c>
      <c r="N664">
        <v>0</v>
      </c>
      <c r="O664">
        <v>0</v>
      </c>
      <c r="P664">
        <v>0</v>
      </c>
      <c r="Q664">
        <v>0</v>
      </c>
      <c r="R664">
        <v>0</v>
      </c>
      <c r="S664">
        <v>0.25</v>
      </c>
      <c r="T664">
        <v>0</v>
      </c>
      <c r="U664">
        <v>0</v>
      </c>
      <c r="V664">
        <v>0</v>
      </c>
      <c r="W664">
        <v>9.3438289950126929E-2</v>
      </c>
      <c r="X664">
        <v>0</v>
      </c>
      <c r="Y664">
        <v>0.90656171004987307</v>
      </c>
      <c r="Z664">
        <v>0</v>
      </c>
      <c r="AA664">
        <v>0</v>
      </c>
      <c r="AB664">
        <v>0</v>
      </c>
      <c r="AC664">
        <v>0</v>
      </c>
      <c r="AD664">
        <v>0</v>
      </c>
      <c r="AE664" t="s">
        <v>249</v>
      </c>
      <c r="AF664">
        <v>10</v>
      </c>
      <c r="AG664" t="s">
        <v>191</v>
      </c>
      <c r="AH664">
        <v>46233</v>
      </c>
      <c r="AI664" t="s">
        <v>149</v>
      </c>
    </row>
    <row r="665" spans="1:35" x14ac:dyDescent="0.25">
      <c r="A665" s="1">
        <v>46233</v>
      </c>
      <c r="B665" t="s">
        <v>13</v>
      </c>
      <c r="C665" t="s">
        <v>11</v>
      </c>
      <c r="D665">
        <v>1.8426966292134832</v>
      </c>
      <c r="E665">
        <v>0</v>
      </c>
      <c r="F665">
        <v>0</v>
      </c>
      <c r="G665">
        <v>1.0127450980392154</v>
      </c>
      <c r="H665">
        <v>0</v>
      </c>
      <c r="I665">
        <v>0</v>
      </c>
      <c r="J665">
        <v>0.54959947393591568</v>
      </c>
      <c r="K665">
        <v>0</v>
      </c>
      <c r="L665">
        <v>0</v>
      </c>
      <c r="M665">
        <v>0</v>
      </c>
      <c r="N665">
        <v>0</v>
      </c>
      <c r="O665">
        <v>0</v>
      </c>
      <c r="P665">
        <v>0</v>
      </c>
      <c r="Q665">
        <v>0</v>
      </c>
      <c r="R665">
        <v>0</v>
      </c>
      <c r="S665">
        <v>0</v>
      </c>
      <c r="T665">
        <v>0.54959947393591568</v>
      </c>
      <c r="U665">
        <v>0.45040052606408432</v>
      </c>
      <c r="V665">
        <v>0</v>
      </c>
      <c r="W665">
        <v>0</v>
      </c>
      <c r="X665">
        <v>0</v>
      </c>
      <c r="Y665">
        <v>0</v>
      </c>
      <c r="Z665">
        <v>0</v>
      </c>
      <c r="AA665">
        <v>0</v>
      </c>
      <c r="AB665">
        <v>0</v>
      </c>
      <c r="AC665">
        <v>0</v>
      </c>
      <c r="AD665">
        <v>0</v>
      </c>
      <c r="AE665" t="s">
        <v>249</v>
      </c>
      <c r="AF665">
        <v>10</v>
      </c>
      <c r="AG665" t="s">
        <v>193</v>
      </c>
      <c r="AH665">
        <v>46233</v>
      </c>
      <c r="AI665" t="s">
        <v>149</v>
      </c>
    </row>
    <row r="666" spans="1:35" x14ac:dyDescent="0.25">
      <c r="A666" s="1">
        <v>46233</v>
      </c>
      <c r="B666" t="s">
        <v>13</v>
      </c>
      <c r="C666" t="s">
        <v>10</v>
      </c>
      <c r="D666">
        <v>2.7640449438202253</v>
      </c>
      <c r="E666">
        <v>2.8499999999999996</v>
      </c>
      <c r="F666">
        <v>2.8499999999999996</v>
      </c>
      <c r="G666">
        <v>1.6470588235294119</v>
      </c>
      <c r="H666">
        <v>1.0310975609756095</v>
      </c>
      <c r="I666">
        <v>1.0310975609756095</v>
      </c>
      <c r="J666">
        <v>0.5958871353419416</v>
      </c>
      <c r="K666">
        <v>0</v>
      </c>
      <c r="L666">
        <v>0</v>
      </c>
      <c r="M666">
        <v>0</v>
      </c>
      <c r="N666">
        <v>0</v>
      </c>
      <c r="O666">
        <v>0</v>
      </c>
      <c r="P666">
        <v>0</v>
      </c>
      <c r="Q666">
        <v>0</v>
      </c>
      <c r="R666">
        <v>0</v>
      </c>
      <c r="S666">
        <v>3.1097560975609451E-2</v>
      </c>
      <c r="T666">
        <v>0</v>
      </c>
      <c r="U666">
        <v>0</v>
      </c>
      <c r="V666">
        <v>0</v>
      </c>
      <c r="W666">
        <v>0.4041128646580584</v>
      </c>
      <c r="X666">
        <v>0</v>
      </c>
      <c r="Y666">
        <v>0.5958871353419416</v>
      </c>
      <c r="Z666">
        <v>0</v>
      </c>
      <c r="AA666">
        <v>0</v>
      </c>
      <c r="AB666">
        <v>0</v>
      </c>
      <c r="AC666">
        <v>0</v>
      </c>
      <c r="AD666">
        <v>0</v>
      </c>
      <c r="AE666" t="s">
        <v>249</v>
      </c>
      <c r="AF666">
        <v>10</v>
      </c>
      <c r="AG666" t="s">
        <v>192</v>
      </c>
      <c r="AH666">
        <v>46233</v>
      </c>
      <c r="AI666" t="s">
        <v>149</v>
      </c>
    </row>
    <row r="667" spans="1:35" x14ac:dyDescent="0.25">
      <c r="A667" s="1">
        <v>46234</v>
      </c>
      <c r="B667" t="s">
        <v>13</v>
      </c>
      <c r="C667" t="s">
        <v>10</v>
      </c>
      <c r="D667">
        <v>5.1825842696629234</v>
      </c>
      <c r="E667">
        <v>3.8</v>
      </c>
      <c r="F667">
        <v>3.8</v>
      </c>
      <c r="G667">
        <v>1.9131433823529425</v>
      </c>
      <c r="H667">
        <v>0.73322493224932217</v>
      </c>
      <c r="I667">
        <v>0.73322493224932217</v>
      </c>
      <c r="J667">
        <v>0.3691485333970988</v>
      </c>
      <c r="K667">
        <v>0</v>
      </c>
      <c r="L667">
        <v>0</v>
      </c>
      <c r="M667">
        <v>0</v>
      </c>
      <c r="N667">
        <v>0</v>
      </c>
      <c r="O667">
        <v>0</v>
      </c>
      <c r="P667">
        <v>0</v>
      </c>
      <c r="Q667">
        <v>0</v>
      </c>
      <c r="R667">
        <v>0</v>
      </c>
      <c r="S667">
        <v>0</v>
      </c>
      <c r="T667">
        <v>0</v>
      </c>
      <c r="U667">
        <v>0.26677506775067783</v>
      </c>
      <c r="V667">
        <v>0</v>
      </c>
      <c r="W667">
        <v>0.36407639885222337</v>
      </c>
      <c r="X667">
        <v>0</v>
      </c>
      <c r="Y667">
        <v>0.3691485333970988</v>
      </c>
      <c r="Z667">
        <v>0</v>
      </c>
      <c r="AA667">
        <v>0</v>
      </c>
      <c r="AB667">
        <v>0</v>
      </c>
      <c r="AC667">
        <v>0</v>
      </c>
      <c r="AD667">
        <v>0</v>
      </c>
      <c r="AE667" t="s">
        <v>249</v>
      </c>
      <c r="AF667">
        <v>10</v>
      </c>
      <c r="AG667" t="s">
        <v>194</v>
      </c>
      <c r="AH667">
        <v>46234</v>
      </c>
      <c r="AI667" t="s">
        <v>149</v>
      </c>
    </row>
    <row r="668" spans="1:35" x14ac:dyDescent="0.25">
      <c r="A668" s="1">
        <v>46234</v>
      </c>
      <c r="B668" t="s">
        <v>13</v>
      </c>
      <c r="C668" t="s">
        <v>11</v>
      </c>
      <c r="D668">
        <v>1.8426966292134832</v>
      </c>
      <c r="E668">
        <v>0</v>
      </c>
      <c r="F668">
        <v>0</v>
      </c>
      <c r="G668">
        <v>1.0127450980392154</v>
      </c>
      <c r="H668">
        <v>0</v>
      </c>
      <c r="I668">
        <v>0</v>
      </c>
      <c r="J668">
        <v>0.54959947393591568</v>
      </c>
      <c r="K668">
        <v>0</v>
      </c>
      <c r="L668">
        <v>0</v>
      </c>
      <c r="M668">
        <v>0</v>
      </c>
      <c r="N668">
        <v>0</v>
      </c>
      <c r="O668">
        <v>0</v>
      </c>
      <c r="P668">
        <v>0</v>
      </c>
      <c r="Q668">
        <v>0</v>
      </c>
      <c r="R668">
        <v>0</v>
      </c>
      <c r="S668">
        <v>0</v>
      </c>
      <c r="T668">
        <v>0.54959947393591568</v>
      </c>
      <c r="U668">
        <v>0.45040052606408432</v>
      </c>
      <c r="V668">
        <v>0</v>
      </c>
      <c r="W668">
        <v>0</v>
      </c>
      <c r="X668">
        <v>0</v>
      </c>
      <c r="Y668">
        <v>0</v>
      </c>
      <c r="Z668">
        <v>0</v>
      </c>
      <c r="AA668">
        <v>0</v>
      </c>
      <c r="AB668">
        <v>0</v>
      </c>
      <c r="AC668">
        <v>0</v>
      </c>
      <c r="AD668">
        <v>0</v>
      </c>
      <c r="AE668" t="s">
        <v>249</v>
      </c>
      <c r="AF668">
        <v>10</v>
      </c>
      <c r="AG668" t="s">
        <v>195</v>
      </c>
      <c r="AH668">
        <v>46234</v>
      </c>
      <c r="AI668" t="s">
        <v>149</v>
      </c>
    </row>
    <row r="669" spans="1:35" x14ac:dyDescent="0.25">
      <c r="A669" s="1">
        <v>46234</v>
      </c>
      <c r="B669" t="s">
        <v>13</v>
      </c>
      <c r="C669" t="s">
        <v>12</v>
      </c>
      <c r="D669">
        <v>2.6014540647719757</v>
      </c>
      <c r="E669">
        <v>2.8499999999999996</v>
      </c>
      <c r="F669">
        <v>2.8499999999999996</v>
      </c>
      <c r="G669">
        <v>2.188148788927335</v>
      </c>
      <c r="H669">
        <v>1.0955411585365855</v>
      </c>
      <c r="I669">
        <v>1.0955411585365855</v>
      </c>
      <c r="J669">
        <v>0.84112528395504538</v>
      </c>
      <c r="K669">
        <v>0</v>
      </c>
      <c r="L669">
        <v>0</v>
      </c>
      <c r="M669">
        <v>0</v>
      </c>
      <c r="N669">
        <v>0</v>
      </c>
      <c r="O669">
        <v>0</v>
      </c>
      <c r="P669">
        <v>0</v>
      </c>
      <c r="Q669">
        <v>0</v>
      </c>
      <c r="R669">
        <v>0</v>
      </c>
      <c r="S669">
        <v>9.5541158536585513E-2</v>
      </c>
      <c r="T669">
        <v>0</v>
      </c>
      <c r="U669">
        <v>0</v>
      </c>
      <c r="V669">
        <v>0</v>
      </c>
      <c r="W669">
        <v>0.15887471604495462</v>
      </c>
      <c r="X669">
        <v>0</v>
      </c>
      <c r="Y669">
        <v>0.84112528395504538</v>
      </c>
      <c r="Z669">
        <v>0</v>
      </c>
      <c r="AA669">
        <v>0</v>
      </c>
      <c r="AB669">
        <v>0</v>
      </c>
      <c r="AC669">
        <v>0</v>
      </c>
      <c r="AD669">
        <v>0</v>
      </c>
      <c r="AE669" t="s">
        <v>249</v>
      </c>
      <c r="AF669">
        <v>10</v>
      </c>
      <c r="AG669" t="s">
        <v>196</v>
      </c>
      <c r="AH669">
        <v>46234</v>
      </c>
      <c r="AI669" t="s">
        <v>149</v>
      </c>
    </row>
    <row r="670" spans="1:35" x14ac:dyDescent="0.25">
      <c r="A670" s="1">
        <v>46235</v>
      </c>
      <c r="B670" t="s">
        <v>13</v>
      </c>
      <c r="C670" t="s">
        <v>11</v>
      </c>
      <c r="D670">
        <v>1.8426966292134832</v>
      </c>
      <c r="E670">
        <v>0</v>
      </c>
      <c r="F670">
        <v>0</v>
      </c>
      <c r="G670">
        <v>1.0127450980392154</v>
      </c>
      <c r="H670">
        <v>0</v>
      </c>
      <c r="I670">
        <v>0</v>
      </c>
      <c r="J670">
        <v>0.54959947393591568</v>
      </c>
      <c r="K670">
        <v>0</v>
      </c>
      <c r="L670">
        <v>0</v>
      </c>
      <c r="M670">
        <v>0</v>
      </c>
      <c r="N670">
        <v>0</v>
      </c>
      <c r="O670">
        <v>0</v>
      </c>
      <c r="P670">
        <v>0</v>
      </c>
      <c r="Q670">
        <v>0</v>
      </c>
      <c r="R670">
        <v>0</v>
      </c>
      <c r="S670">
        <v>0</v>
      </c>
      <c r="T670">
        <v>0.54959947393591568</v>
      </c>
      <c r="U670">
        <v>0.45040052606408432</v>
      </c>
      <c r="V670">
        <v>0</v>
      </c>
      <c r="W670">
        <v>0</v>
      </c>
      <c r="X670">
        <v>0</v>
      </c>
      <c r="Y670">
        <v>0</v>
      </c>
      <c r="Z670">
        <v>0</v>
      </c>
      <c r="AA670">
        <v>0</v>
      </c>
      <c r="AB670">
        <v>0</v>
      </c>
      <c r="AC670">
        <v>0</v>
      </c>
      <c r="AD670">
        <v>0</v>
      </c>
      <c r="AE670" t="s">
        <v>249</v>
      </c>
      <c r="AF670">
        <v>10</v>
      </c>
      <c r="AG670" t="s">
        <v>199</v>
      </c>
      <c r="AH670">
        <v>46235</v>
      </c>
      <c r="AI670" t="s">
        <v>149</v>
      </c>
    </row>
    <row r="671" spans="1:35" x14ac:dyDescent="0.25">
      <c r="A671" s="1">
        <v>46235</v>
      </c>
      <c r="B671" t="s">
        <v>13</v>
      </c>
      <c r="C671" t="s">
        <v>10</v>
      </c>
      <c r="D671">
        <v>1.3820224719101133</v>
      </c>
      <c r="E671">
        <v>4.75</v>
      </c>
      <c r="F671">
        <v>4.75</v>
      </c>
      <c r="G671">
        <v>1.9131433823529425</v>
      </c>
      <c r="H671">
        <v>3.436991869918697</v>
      </c>
      <c r="I671">
        <v>3.436991869918697</v>
      </c>
      <c r="J671">
        <v>1.38430700023912</v>
      </c>
      <c r="K671">
        <v>0</v>
      </c>
      <c r="L671">
        <v>0</v>
      </c>
      <c r="M671">
        <v>2.052684869679577</v>
      </c>
      <c r="N671">
        <v>0</v>
      </c>
      <c r="O671">
        <v>0.13430700023912001</v>
      </c>
      <c r="P671">
        <v>0</v>
      </c>
      <c r="Q671">
        <v>0.25</v>
      </c>
      <c r="R671">
        <v>0</v>
      </c>
      <c r="S671">
        <v>0</v>
      </c>
      <c r="T671">
        <v>0</v>
      </c>
      <c r="U671">
        <v>0</v>
      </c>
      <c r="V671">
        <v>0</v>
      </c>
      <c r="W671">
        <v>0</v>
      </c>
      <c r="X671">
        <v>0</v>
      </c>
      <c r="Y671">
        <v>1</v>
      </c>
      <c r="Z671">
        <v>0</v>
      </c>
      <c r="AA671">
        <v>0</v>
      </c>
      <c r="AB671">
        <v>0</v>
      </c>
      <c r="AC671">
        <v>0</v>
      </c>
      <c r="AD671">
        <v>0</v>
      </c>
      <c r="AE671" t="s">
        <v>249</v>
      </c>
      <c r="AF671">
        <v>10</v>
      </c>
      <c r="AG671" t="s">
        <v>197</v>
      </c>
      <c r="AH671">
        <v>46235</v>
      </c>
      <c r="AI671" t="s">
        <v>149</v>
      </c>
    </row>
    <row r="672" spans="1:35" x14ac:dyDescent="0.25">
      <c r="A672" s="1">
        <v>46235</v>
      </c>
      <c r="B672" t="s">
        <v>13</v>
      </c>
      <c r="C672" t="s">
        <v>12</v>
      </c>
      <c r="D672">
        <v>2.2762723066754802</v>
      </c>
      <c r="E672">
        <v>0.95</v>
      </c>
      <c r="F672">
        <v>0.95</v>
      </c>
      <c r="G672">
        <v>2.188148788927335</v>
      </c>
      <c r="H672">
        <v>0.41734901277584185</v>
      </c>
      <c r="I672">
        <v>0.41734901277584185</v>
      </c>
      <c r="J672">
        <v>0.96128603880576546</v>
      </c>
      <c r="K672">
        <v>0</v>
      </c>
      <c r="L672">
        <v>0</v>
      </c>
      <c r="M672">
        <v>0</v>
      </c>
      <c r="N672">
        <v>0</v>
      </c>
      <c r="O672">
        <v>0</v>
      </c>
      <c r="P672">
        <v>0</v>
      </c>
      <c r="Q672">
        <v>0</v>
      </c>
      <c r="R672">
        <v>0</v>
      </c>
      <c r="S672">
        <v>0</v>
      </c>
      <c r="T672">
        <v>0.54393702602992366</v>
      </c>
      <c r="U672">
        <v>3.8713961194234536E-2</v>
      </c>
      <c r="V672">
        <v>0</v>
      </c>
      <c r="W672">
        <v>0</v>
      </c>
      <c r="X672">
        <v>0</v>
      </c>
      <c r="Y672">
        <v>0.41734901277584185</v>
      </c>
      <c r="Z672">
        <v>0</v>
      </c>
      <c r="AA672">
        <v>0</v>
      </c>
      <c r="AB672">
        <v>0</v>
      </c>
      <c r="AC672">
        <v>0</v>
      </c>
      <c r="AD672">
        <v>0</v>
      </c>
      <c r="AE672" t="s">
        <v>249</v>
      </c>
      <c r="AF672">
        <v>10</v>
      </c>
      <c r="AG672" t="s">
        <v>198</v>
      </c>
      <c r="AH672">
        <v>46235</v>
      </c>
      <c r="AI672" t="s">
        <v>149</v>
      </c>
    </row>
    <row r="673" spans="1:35" x14ac:dyDescent="0.25">
      <c r="A673" s="1">
        <v>46236</v>
      </c>
      <c r="B673" t="s">
        <v>13</v>
      </c>
      <c r="C673" t="s">
        <v>12</v>
      </c>
      <c r="D673">
        <v>2.6014540647719762</v>
      </c>
      <c r="E673">
        <v>0.95</v>
      </c>
      <c r="F673">
        <v>0.95</v>
      </c>
      <c r="G673">
        <v>1.8823529411764703</v>
      </c>
      <c r="H673">
        <v>0.36518038617886178</v>
      </c>
      <c r="I673">
        <v>0.36518038617886178</v>
      </c>
      <c r="J673">
        <v>0.72357723577235766</v>
      </c>
      <c r="K673">
        <v>0</v>
      </c>
      <c r="L673">
        <v>0</v>
      </c>
      <c r="M673">
        <v>0</v>
      </c>
      <c r="N673">
        <v>0</v>
      </c>
      <c r="O673">
        <v>0</v>
      </c>
      <c r="P673">
        <v>0</v>
      </c>
      <c r="Q673">
        <v>0</v>
      </c>
      <c r="R673">
        <v>0</v>
      </c>
      <c r="S673">
        <v>0</v>
      </c>
      <c r="T673">
        <v>0.35839684959349588</v>
      </c>
      <c r="U673">
        <v>0.27642276422764234</v>
      </c>
      <c r="V673">
        <v>0</v>
      </c>
      <c r="W673">
        <v>0</v>
      </c>
      <c r="X673">
        <v>0</v>
      </c>
      <c r="Y673">
        <v>0.36518038617886178</v>
      </c>
      <c r="Z673">
        <v>0</v>
      </c>
      <c r="AA673">
        <v>0</v>
      </c>
      <c r="AB673">
        <v>0</v>
      </c>
      <c r="AC673">
        <v>0</v>
      </c>
      <c r="AD673">
        <v>0</v>
      </c>
      <c r="AE673" t="s">
        <v>249</v>
      </c>
      <c r="AF673">
        <v>10</v>
      </c>
      <c r="AG673" t="s">
        <v>200</v>
      </c>
      <c r="AH673">
        <v>46236</v>
      </c>
      <c r="AI673" t="s">
        <v>149</v>
      </c>
    </row>
    <row r="674" spans="1:35" x14ac:dyDescent="0.25">
      <c r="A674" s="1">
        <v>46236</v>
      </c>
      <c r="B674" t="s">
        <v>13</v>
      </c>
      <c r="C674" t="s">
        <v>11</v>
      </c>
      <c r="D674">
        <v>1.8426966292134832</v>
      </c>
      <c r="E674">
        <v>0</v>
      </c>
      <c r="F674">
        <v>0</v>
      </c>
      <c r="G674">
        <v>6.2745098039215685E-2</v>
      </c>
      <c r="H674">
        <v>0</v>
      </c>
      <c r="I674">
        <v>0</v>
      </c>
      <c r="J674">
        <v>3.4050693448110951E-2</v>
      </c>
      <c r="K674">
        <v>0</v>
      </c>
      <c r="L674">
        <v>0</v>
      </c>
      <c r="M674">
        <v>0</v>
      </c>
      <c r="N674">
        <v>0</v>
      </c>
      <c r="O674">
        <v>0</v>
      </c>
      <c r="P674">
        <v>0</v>
      </c>
      <c r="Q674">
        <v>0</v>
      </c>
      <c r="R674">
        <v>0</v>
      </c>
      <c r="S674">
        <v>0</v>
      </c>
      <c r="T674">
        <v>3.4050693448110951E-2</v>
      </c>
      <c r="U674">
        <v>0.96594930655188904</v>
      </c>
      <c r="V674">
        <v>0</v>
      </c>
      <c r="W674">
        <v>0</v>
      </c>
      <c r="X674">
        <v>0</v>
      </c>
      <c r="Y674">
        <v>0</v>
      </c>
      <c r="Z674">
        <v>0</v>
      </c>
      <c r="AA674">
        <v>0</v>
      </c>
      <c r="AB674">
        <v>0</v>
      </c>
      <c r="AC674">
        <v>0</v>
      </c>
      <c r="AD674">
        <v>0</v>
      </c>
      <c r="AE674" t="s">
        <v>249</v>
      </c>
      <c r="AF674">
        <v>10</v>
      </c>
      <c r="AG674" t="s">
        <v>201</v>
      </c>
      <c r="AH674">
        <v>46236</v>
      </c>
      <c r="AI674" t="s">
        <v>149</v>
      </c>
    </row>
    <row r="675" spans="1:35" x14ac:dyDescent="0.25">
      <c r="A675" s="1">
        <v>46236</v>
      </c>
      <c r="B675" t="s">
        <v>13</v>
      </c>
      <c r="C675" t="s">
        <v>10</v>
      </c>
      <c r="D675">
        <v>1.3820224719101133</v>
      </c>
      <c r="E675">
        <v>4.75</v>
      </c>
      <c r="F675">
        <v>4.75</v>
      </c>
      <c r="G675">
        <v>1.0896139705882353</v>
      </c>
      <c r="H675">
        <v>3.436991869918697</v>
      </c>
      <c r="I675">
        <v>3.436991869918697</v>
      </c>
      <c r="J675">
        <v>0.78841986489717786</v>
      </c>
      <c r="K675">
        <v>0</v>
      </c>
      <c r="L675">
        <v>0</v>
      </c>
      <c r="M675">
        <v>2.186991869918697</v>
      </c>
      <c r="N675">
        <v>0</v>
      </c>
      <c r="O675">
        <v>0</v>
      </c>
      <c r="P675">
        <v>0</v>
      </c>
      <c r="Q675">
        <v>0</v>
      </c>
      <c r="R675">
        <v>0</v>
      </c>
      <c r="S675">
        <v>0.25</v>
      </c>
      <c r="T675">
        <v>0</v>
      </c>
      <c r="U675">
        <v>0</v>
      </c>
      <c r="V675">
        <v>0</v>
      </c>
      <c r="W675">
        <v>0.21158013510282214</v>
      </c>
      <c r="X675">
        <v>0</v>
      </c>
      <c r="Y675">
        <v>0.78841986489717786</v>
      </c>
      <c r="Z675">
        <v>0</v>
      </c>
      <c r="AA675">
        <v>0</v>
      </c>
      <c r="AB675">
        <v>0</v>
      </c>
      <c r="AC675">
        <v>0</v>
      </c>
      <c r="AD675">
        <v>0</v>
      </c>
      <c r="AE675" t="s">
        <v>249</v>
      </c>
      <c r="AF675">
        <v>10</v>
      </c>
      <c r="AG675" t="s">
        <v>202</v>
      </c>
      <c r="AH675">
        <v>46236</v>
      </c>
      <c r="AI675" t="s">
        <v>149</v>
      </c>
    </row>
    <row r="676" spans="1:35" x14ac:dyDescent="0.25">
      <c r="A676" s="1">
        <v>46237</v>
      </c>
      <c r="B676" t="s">
        <v>13</v>
      </c>
      <c r="C676" t="s">
        <v>10</v>
      </c>
      <c r="D676">
        <v>1.3820224719101126</v>
      </c>
      <c r="E676">
        <v>0</v>
      </c>
      <c r="F676">
        <v>0</v>
      </c>
      <c r="G676">
        <v>2.5882352941176476</v>
      </c>
      <c r="H676">
        <v>0</v>
      </c>
      <c r="I676">
        <v>0</v>
      </c>
      <c r="J676">
        <v>1.8727881396461024</v>
      </c>
      <c r="K676">
        <v>0.87278813964610236</v>
      </c>
      <c r="L676">
        <v>0</v>
      </c>
      <c r="M676">
        <v>0</v>
      </c>
      <c r="N676">
        <v>0</v>
      </c>
      <c r="O676">
        <v>0</v>
      </c>
      <c r="P676">
        <v>0</v>
      </c>
      <c r="Q676">
        <v>0</v>
      </c>
      <c r="R676">
        <v>0</v>
      </c>
      <c r="S676">
        <v>0</v>
      </c>
      <c r="T676">
        <v>0</v>
      </c>
      <c r="U676">
        <v>0</v>
      </c>
      <c r="V676">
        <v>0</v>
      </c>
      <c r="W676">
        <v>0</v>
      </c>
      <c r="X676">
        <v>0</v>
      </c>
      <c r="Y676">
        <v>0</v>
      </c>
      <c r="Z676">
        <v>0</v>
      </c>
      <c r="AA676">
        <v>0</v>
      </c>
      <c r="AB676">
        <v>0</v>
      </c>
      <c r="AC676">
        <v>1</v>
      </c>
      <c r="AD676">
        <v>0</v>
      </c>
      <c r="AE676" t="s">
        <v>249</v>
      </c>
      <c r="AF676">
        <v>10</v>
      </c>
      <c r="AG676" t="s">
        <v>203</v>
      </c>
      <c r="AH676">
        <v>46237</v>
      </c>
      <c r="AI676" t="s">
        <v>149</v>
      </c>
    </row>
    <row r="677" spans="1:35" x14ac:dyDescent="0.25">
      <c r="A677" s="1">
        <v>46237</v>
      </c>
      <c r="B677" t="s">
        <v>13</v>
      </c>
      <c r="C677" t="s">
        <v>11</v>
      </c>
      <c r="D677">
        <v>1.8426966292134832</v>
      </c>
      <c r="E677">
        <v>0</v>
      </c>
      <c r="F677">
        <v>0</v>
      </c>
      <c r="G677">
        <v>6.2745098039215685E-2</v>
      </c>
      <c r="H677">
        <v>0</v>
      </c>
      <c r="I677">
        <v>0</v>
      </c>
      <c r="J677">
        <v>3.4050693448110951E-2</v>
      </c>
      <c r="K677">
        <v>0</v>
      </c>
      <c r="L677">
        <v>0</v>
      </c>
      <c r="M677">
        <v>0</v>
      </c>
      <c r="N677">
        <v>0</v>
      </c>
      <c r="O677">
        <v>0</v>
      </c>
      <c r="P677">
        <v>0</v>
      </c>
      <c r="Q677">
        <v>0</v>
      </c>
      <c r="R677">
        <v>0</v>
      </c>
      <c r="S677">
        <v>0</v>
      </c>
      <c r="T677">
        <v>3.4050693448110951E-2</v>
      </c>
      <c r="U677">
        <v>0.96594930655188904</v>
      </c>
      <c r="V677">
        <v>0</v>
      </c>
      <c r="W677">
        <v>0</v>
      </c>
      <c r="X677">
        <v>0</v>
      </c>
      <c r="Y677">
        <v>0</v>
      </c>
      <c r="Z677">
        <v>0</v>
      </c>
      <c r="AA677">
        <v>0</v>
      </c>
      <c r="AB677">
        <v>0</v>
      </c>
      <c r="AC677">
        <v>0</v>
      </c>
      <c r="AD677">
        <v>0</v>
      </c>
      <c r="AE677" t="s">
        <v>249</v>
      </c>
      <c r="AF677">
        <v>10</v>
      </c>
      <c r="AG677" t="s">
        <v>204</v>
      </c>
      <c r="AH677">
        <v>46237</v>
      </c>
      <c r="AI677" t="s">
        <v>149</v>
      </c>
    </row>
    <row r="678" spans="1:35" x14ac:dyDescent="0.25">
      <c r="A678" s="1">
        <v>46237</v>
      </c>
      <c r="B678" t="s">
        <v>13</v>
      </c>
      <c r="C678" t="s">
        <v>12</v>
      </c>
      <c r="D678">
        <v>2.6014540647719766</v>
      </c>
      <c r="E678">
        <v>0</v>
      </c>
      <c r="F678">
        <v>0</v>
      </c>
      <c r="G678">
        <v>2.214532871972319</v>
      </c>
      <c r="H678">
        <v>0</v>
      </c>
      <c r="I678">
        <v>0</v>
      </c>
      <c r="J678">
        <v>0.85126733620277395</v>
      </c>
      <c r="K678">
        <v>0</v>
      </c>
      <c r="L678">
        <v>0</v>
      </c>
      <c r="M678">
        <v>0</v>
      </c>
      <c r="N678">
        <v>0</v>
      </c>
      <c r="O678">
        <v>0</v>
      </c>
      <c r="P678">
        <v>0</v>
      </c>
      <c r="Q678">
        <v>0</v>
      </c>
      <c r="R678">
        <v>0</v>
      </c>
      <c r="S678">
        <v>0</v>
      </c>
      <c r="T678">
        <v>0.85126733620277395</v>
      </c>
      <c r="U678">
        <v>0.14873266379722605</v>
      </c>
      <c r="V678">
        <v>0</v>
      </c>
      <c r="W678">
        <v>0</v>
      </c>
      <c r="X678">
        <v>0</v>
      </c>
      <c r="Y678">
        <v>0</v>
      </c>
      <c r="Z678">
        <v>0</v>
      </c>
      <c r="AA678">
        <v>0</v>
      </c>
      <c r="AB678">
        <v>0</v>
      </c>
      <c r="AC678">
        <v>0</v>
      </c>
      <c r="AD678">
        <v>0</v>
      </c>
      <c r="AE678" t="s">
        <v>249</v>
      </c>
      <c r="AF678">
        <v>10</v>
      </c>
      <c r="AG678" t="s">
        <v>205</v>
      </c>
      <c r="AH678">
        <v>46237</v>
      </c>
      <c r="AI678" t="s">
        <v>149</v>
      </c>
    </row>
    <row r="679" spans="1:35" x14ac:dyDescent="0.25">
      <c r="A679" s="1">
        <v>46238</v>
      </c>
      <c r="B679" t="s">
        <v>13</v>
      </c>
      <c r="C679" t="s">
        <v>12</v>
      </c>
      <c r="D679">
        <v>2.6014540647719766</v>
      </c>
      <c r="E679">
        <v>0</v>
      </c>
      <c r="F679">
        <v>0</v>
      </c>
      <c r="G679">
        <v>1.5501730103806233</v>
      </c>
      <c r="H679">
        <v>0</v>
      </c>
      <c r="I679">
        <v>0</v>
      </c>
      <c r="J679">
        <v>0.59588713534194171</v>
      </c>
      <c r="K679">
        <v>0</v>
      </c>
      <c r="L679">
        <v>0</v>
      </c>
      <c r="M679">
        <v>0</v>
      </c>
      <c r="N679">
        <v>0</v>
      </c>
      <c r="O679">
        <v>0</v>
      </c>
      <c r="P679">
        <v>0</v>
      </c>
      <c r="Q679">
        <v>0</v>
      </c>
      <c r="R679">
        <v>0</v>
      </c>
      <c r="S679">
        <v>0</v>
      </c>
      <c r="T679">
        <v>0.59588713534194171</v>
      </c>
      <c r="U679">
        <v>0.40411286465805829</v>
      </c>
      <c r="V679">
        <v>0</v>
      </c>
      <c r="W679">
        <v>0</v>
      </c>
      <c r="X679">
        <v>0</v>
      </c>
      <c r="Y679">
        <v>0</v>
      </c>
      <c r="Z679">
        <v>0</v>
      </c>
      <c r="AA679">
        <v>0</v>
      </c>
      <c r="AB679">
        <v>0</v>
      </c>
      <c r="AC679">
        <v>0</v>
      </c>
      <c r="AD679">
        <v>0</v>
      </c>
      <c r="AE679" t="s">
        <v>249</v>
      </c>
      <c r="AF679">
        <v>10</v>
      </c>
      <c r="AG679" t="s">
        <v>206</v>
      </c>
      <c r="AH679">
        <v>46238</v>
      </c>
      <c r="AI679" t="s">
        <v>149</v>
      </c>
    </row>
    <row r="680" spans="1:35" x14ac:dyDescent="0.25">
      <c r="A680" s="1">
        <v>46238</v>
      </c>
      <c r="B680" t="s">
        <v>13</v>
      </c>
      <c r="C680" t="s">
        <v>11</v>
      </c>
      <c r="D680">
        <v>1.8426966292134832</v>
      </c>
      <c r="E680">
        <v>0</v>
      </c>
      <c r="F680">
        <v>0</v>
      </c>
      <c r="G680">
        <v>6.2745098039215685E-2</v>
      </c>
      <c r="H680">
        <v>0</v>
      </c>
      <c r="I680">
        <v>0</v>
      </c>
      <c r="J680">
        <v>3.4050693448110951E-2</v>
      </c>
      <c r="K680">
        <v>0</v>
      </c>
      <c r="L680">
        <v>0</v>
      </c>
      <c r="M680">
        <v>0</v>
      </c>
      <c r="N680">
        <v>0</v>
      </c>
      <c r="O680">
        <v>0</v>
      </c>
      <c r="P680">
        <v>0</v>
      </c>
      <c r="Q680">
        <v>0</v>
      </c>
      <c r="R680">
        <v>0</v>
      </c>
      <c r="S680">
        <v>0</v>
      </c>
      <c r="T680">
        <v>3.4050693448110951E-2</v>
      </c>
      <c r="U680">
        <v>0.96594930655188904</v>
      </c>
      <c r="V680">
        <v>0</v>
      </c>
      <c r="W680">
        <v>0</v>
      </c>
      <c r="X680">
        <v>0</v>
      </c>
      <c r="Y680">
        <v>0</v>
      </c>
      <c r="Z680">
        <v>0</v>
      </c>
      <c r="AA680">
        <v>0</v>
      </c>
      <c r="AB680">
        <v>0</v>
      </c>
      <c r="AC680">
        <v>0</v>
      </c>
      <c r="AD680">
        <v>0</v>
      </c>
      <c r="AE680" t="s">
        <v>249</v>
      </c>
      <c r="AF680">
        <v>10</v>
      </c>
      <c r="AG680" t="s">
        <v>207</v>
      </c>
      <c r="AH680">
        <v>46238</v>
      </c>
      <c r="AI680" t="s">
        <v>149</v>
      </c>
    </row>
    <row r="681" spans="1:35" x14ac:dyDescent="0.25">
      <c r="A681" s="1">
        <v>46238</v>
      </c>
      <c r="B681" t="s">
        <v>13</v>
      </c>
      <c r="C681" t="s">
        <v>10</v>
      </c>
      <c r="D681">
        <v>1.3820224719101126</v>
      </c>
      <c r="E681">
        <v>0</v>
      </c>
      <c r="F681">
        <v>0</v>
      </c>
      <c r="G681">
        <v>3.2941176470588225</v>
      </c>
      <c r="H681">
        <v>0</v>
      </c>
      <c r="I681">
        <v>0</v>
      </c>
      <c r="J681">
        <v>2.3835485413677655</v>
      </c>
      <c r="K681">
        <v>1.3835485413677655</v>
      </c>
      <c r="L681">
        <v>0</v>
      </c>
      <c r="M681">
        <v>0</v>
      </c>
      <c r="N681">
        <v>0</v>
      </c>
      <c r="O681">
        <v>0</v>
      </c>
      <c r="P681">
        <v>0</v>
      </c>
      <c r="Q681">
        <v>0</v>
      </c>
      <c r="R681">
        <v>0</v>
      </c>
      <c r="S681">
        <v>0</v>
      </c>
      <c r="T681">
        <v>0</v>
      </c>
      <c r="U681">
        <v>0</v>
      </c>
      <c r="V681">
        <v>0</v>
      </c>
      <c r="W681">
        <v>0</v>
      </c>
      <c r="X681">
        <v>0</v>
      </c>
      <c r="Y681">
        <v>0</v>
      </c>
      <c r="Z681">
        <v>0</v>
      </c>
      <c r="AA681">
        <v>0</v>
      </c>
      <c r="AB681">
        <v>0</v>
      </c>
      <c r="AC681">
        <v>1</v>
      </c>
      <c r="AD681">
        <v>0</v>
      </c>
      <c r="AE681" t="s">
        <v>249</v>
      </c>
      <c r="AF681">
        <v>10</v>
      </c>
      <c r="AG681" t="s">
        <v>208</v>
      </c>
      <c r="AH681">
        <v>46238</v>
      </c>
      <c r="AI681" t="s">
        <v>149</v>
      </c>
    </row>
    <row r="682" spans="1:35" x14ac:dyDescent="0.25">
      <c r="A682" s="1">
        <v>46239</v>
      </c>
      <c r="B682" t="s">
        <v>13</v>
      </c>
      <c r="C682" t="s">
        <v>11</v>
      </c>
      <c r="D682">
        <v>1.8426966292134832</v>
      </c>
      <c r="E682">
        <v>0</v>
      </c>
      <c r="F682">
        <v>0</v>
      </c>
      <c r="G682">
        <v>6.2745098039215685E-2</v>
      </c>
      <c r="H682">
        <v>0</v>
      </c>
      <c r="I682">
        <v>0</v>
      </c>
      <c r="J682">
        <v>3.4050693448110951E-2</v>
      </c>
      <c r="K682">
        <v>0</v>
      </c>
      <c r="L682">
        <v>0</v>
      </c>
      <c r="M682">
        <v>0</v>
      </c>
      <c r="N682">
        <v>0</v>
      </c>
      <c r="O682">
        <v>0</v>
      </c>
      <c r="P682">
        <v>0</v>
      </c>
      <c r="Q682">
        <v>0</v>
      </c>
      <c r="R682">
        <v>0</v>
      </c>
      <c r="S682">
        <v>0</v>
      </c>
      <c r="T682">
        <v>3.4050693448110951E-2</v>
      </c>
      <c r="U682">
        <v>0.96594930655188904</v>
      </c>
      <c r="V682">
        <v>0</v>
      </c>
      <c r="W682">
        <v>0</v>
      </c>
      <c r="X682">
        <v>0</v>
      </c>
      <c r="Y682">
        <v>0</v>
      </c>
      <c r="Z682">
        <v>0</v>
      </c>
      <c r="AA682">
        <v>0</v>
      </c>
      <c r="AB682">
        <v>0</v>
      </c>
      <c r="AC682">
        <v>0</v>
      </c>
      <c r="AD682">
        <v>0</v>
      </c>
      <c r="AE682" t="s">
        <v>249</v>
      </c>
      <c r="AF682">
        <v>10</v>
      </c>
      <c r="AG682" t="s">
        <v>209</v>
      </c>
      <c r="AH682">
        <v>46239</v>
      </c>
      <c r="AI682" t="s">
        <v>149</v>
      </c>
    </row>
    <row r="683" spans="1:35" x14ac:dyDescent="0.25">
      <c r="A683" s="1">
        <v>46239</v>
      </c>
      <c r="B683" t="s">
        <v>13</v>
      </c>
      <c r="C683" t="s">
        <v>12</v>
      </c>
      <c r="D683">
        <v>2.6014540647719762</v>
      </c>
      <c r="E683">
        <v>0</v>
      </c>
      <c r="F683">
        <v>0</v>
      </c>
      <c r="G683">
        <v>2.2113388341762041</v>
      </c>
      <c r="H683">
        <v>0</v>
      </c>
      <c r="I683">
        <v>0</v>
      </c>
      <c r="J683">
        <v>0.85003954677555815</v>
      </c>
      <c r="K683">
        <v>0</v>
      </c>
      <c r="L683">
        <v>0</v>
      </c>
      <c r="M683">
        <v>0</v>
      </c>
      <c r="N683">
        <v>0</v>
      </c>
      <c r="O683">
        <v>0</v>
      </c>
      <c r="P683">
        <v>0</v>
      </c>
      <c r="Q683">
        <v>0</v>
      </c>
      <c r="R683">
        <v>0</v>
      </c>
      <c r="S683">
        <v>0</v>
      </c>
      <c r="T683">
        <v>0.85003954677555815</v>
      </c>
      <c r="U683">
        <v>0.14996045322444185</v>
      </c>
      <c r="V683">
        <v>0</v>
      </c>
      <c r="W683">
        <v>0</v>
      </c>
      <c r="X683">
        <v>0</v>
      </c>
      <c r="Y683">
        <v>0</v>
      </c>
      <c r="Z683">
        <v>0</v>
      </c>
      <c r="AA683">
        <v>0</v>
      </c>
      <c r="AB683">
        <v>0</v>
      </c>
      <c r="AC683">
        <v>0</v>
      </c>
      <c r="AD683">
        <v>0</v>
      </c>
      <c r="AE683" t="s">
        <v>249</v>
      </c>
      <c r="AF683">
        <v>10</v>
      </c>
      <c r="AG683" t="s">
        <v>210</v>
      </c>
      <c r="AH683">
        <v>46239</v>
      </c>
      <c r="AI683" t="s">
        <v>149</v>
      </c>
    </row>
    <row r="684" spans="1:35" x14ac:dyDescent="0.25">
      <c r="A684" s="1">
        <v>46239</v>
      </c>
      <c r="B684" t="s">
        <v>13</v>
      </c>
      <c r="C684" t="s">
        <v>10</v>
      </c>
      <c r="D684">
        <v>2.7640449438202253</v>
      </c>
      <c r="E684">
        <v>0</v>
      </c>
      <c r="F684">
        <v>0</v>
      </c>
      <c r="G684">
        <v>2.3416289592760191</v>
      </c>
      <c r="H684">
        <v>0</v>
      </c>
      <c r="I684">
        <v>0</v>
      </c>
      <c r="J684">
        <v>0.84717470477872214</v>
      </c>
      <c r="K684">
        <v>0</v>
      </c>
      <c r="L684">
        <v>0</v>
      </c>
      <c r="M684">
        <v>0</v>
      </c>
      <c r="N684">
        <v>0</v>
      </c>
      <c r="O684">
        <v>0</v>
      </c>
      <c r="P684">
        <v>0</v>
      </c>
      <c r="Q684">
        <v>0</v>
      </c>
      <c r="R684">
        <v>0</v>
      </c>
      <c r="S684">
        <v>0</v>
      </c>
      <c r="T684">
        <v>0.84717470477872214</v>
      </c>
      <c r="U684">
        <v>0.15282529522127786</v>
      </c>
      <c r="V684">
        <v>0</v>
      </c>
      <c r="W684">
        <v>0</v>
      </c>
      <c r="X684">
        <v>0</v>
      </c>
      <c r="Y684">
        <v>0</v>
      </c>
      <c r="Z684">
        <v>0</v>
      </c>
      <c r="AA684">
        <v>0</v>
      </c>
      <c r="AB684">
        <v>0</v>
      </c>
      <c r="AC684">
        <v>0</v>
      </c>
      <c r="AD684">
        <v>0</v>
      </c>
      <c r="AE684" t="s">
        <v>249</v>
      </c>
      <c r="AF684">
        <v>10</v>
      </c>
      <c r="AG684" t="s">
        <v>211</v>
      </c>
      <c r="AH684">
        <v>46239</v>
      </c>
      <c r="AI684" t="s">
        <v>149</v>
      </c>
    </row>
    <row r="685" spans="1:35" x14ac:dyDescent="0.25">
      <c r="A685" s="1">
        <v>46240</v>
      </c>
      <c r="B685" t="s">
        <v>13</v>
      </c>
      <c r="C685" t="s">
        <v>11</v>
      </c>
      <c r="D685">
        <v>1.8426966292134832</v>
      </c>
      <c r="E685">
        <v>0</v>
      </c>
      <c r="F685">
        <v>0</v>
      </c>
      <c r="G685">
        <v>6.2745098039215685E-2</v>
      </c>
      <c r="H685">
        <v>0</v>
      </c>
      <c r="I685">
        <v>0</v>
      </c>
      <c r="J685">
        <v>3.4050693448110951E-2</v>
      </c>
      <c r="K685">
        <v>0</v>
      </c>
      <c r="L685">
        <v>0</v>
      </c>
      <c r="M685">
        <v>0</v>
      </c>
      <c r="N685">
        <v>0</v>
      </c>
      <c r="O685">
        <v>0</v>
      </c>
      <c r="P685">
        <v>0</v>
      </c>
      <c r="Q685">
        <v>0</v>
      </c>
      <c r="R685">
        <v>0</v>
      </c>
      <c r="S685">
        <v>0</v>
      </c>
      <c r="T685">
        <v>3.4050693448110951E-2</v>
      </c>
      <c r="U685">
        <v>0.96594930655188904</v>
      </c>
      <c r="V685">
        <v>0</v>
      </c>
      <c r="W685">
        <v>0</v>
      </c>
      <c r="X685">
        <v>0</v>
      </c>
      <c r="Y685">
        <v>0</v>
      </c>
      <c r="Z685">
        <v>0</v>
      </c>
      <c r="AA685">
        <v>0</v>
      </c>
      <c r="AB685">
        <v>0</v>
      </c>
      <c r="AC685">
        <v>0</v>
      </c>
      <c r="AD685">
        <v>0</v>
      </c>
      <c r="AE685" t="s">
        <v>249</v>
      </c>
      <c r="AF685">
        <v>10</v>
      </c>
      <c r="AG685" t="s">
        <v>212</v>
      </c>
      <c r="AH685">
        <v>46240</v>
      </c>
      <c r="AI685" t="s">
        <v>149</v>
      </c>
    </row>
    <row r="686" spans="1:35" x14ac:dyDescent="0.25">
      <c r="A686" s="1">
        <v>46240</v>
      </c>
      <c r="B686" t="s">
        <v>13</v>
      </c>
      <c r="C686" t="s">
        <v>10</v>
      </c>
      <c r="D686">
        <v>1.3820224719101126</v>
      </c>
      <c r="E686">
        <v>0</v>
      </c>
      <c r="F686">
        <v>0</v>
      </c>
      <c r="G686">
        <v>2.514705882352942</v>
      </c>
      <c r="H686">
        <v>0</v>
      </c>
      <c r="I686">
        <v>0</v>
      </c>
      <c r="J686">
        <v>1.8195839311334292</v>
      </c>
      <c r="K686">
        <v>0.8195839311334292</v>
      </c>
      <c r="L686">
        <v>0</v>
      </c>
      <c r="M686">
        <v>0</v>
      </c>
      <c r="N686">
        <v>0</v>
      </c>
      <c r="O686">
        <v>0</v>
      </c>
      <c r="P686">
        <v>0</v>
      </c>
      <c r="Q686">
        <v>0</v>
      </c>
      <c r="R686">
        <v>0</v>
      </c>
      <c r="S686">
        <v>0</v>
      </c>
      <c r="T686">
        <v>0</v>
      </c>
      <c r="U686">
        <v>0</v>
      </c>
      <c r="V686">
        <v>0</v>
      </c>
      <c r="W686">
        <v>0</v>
      </c>
      <c r="X686">
        <v>0</v>
      </c>
      <c r="Y686">
        <v>0</v>
      </c>
      <c r="Z686">
        <v>0</v>
      </c>
      <c r="AA686">
        <v>0</v>
      </c>
      <c r="AB686">
        <v>0</v>
      </c>
      <c r="AC686">
        <v>1</v>
      </c>
      <c r="AD686">
        <v>0</v>
      </c>
      <c r="AE686" t="s">
        <v>249</v>
      </c>
      <c r="AF686">
        <v>10</v>
      </c>
      <c r="AG686" t="s">
        <v>213</v>
      </c>
      <c r="AH686">
        <v>46240</v>
      </c>
      <c r="AI686" t="s">
        <v>149</v>
      </c>
    </row>
    <row r="687" spans="1:35" x14ac:dyDescent="0.25">
      <c r="A687" s="1">
        <v>46240</v>
      </c>
      <c r="B687" t="s">
        <v>13</v>
      </c>
      <c r="C687" t="s">
        <v>12</v>
      </c>
      <c r="D687">
        <v>2.2762723066754793</v>
      </c>
      <c r="E687">
        <v>0</v>
      </c>
      <c r="F687">
        <v>0</v>
      </c>
      <c r="G687">
        <v>2.0484429065743943</v>
      </c>
      <c r="H687">
        <v>0</v>
      </c>
      <c r="I687">
        <v>0</v>
      </c>
      <c r="J687">
        <v>0.89991118398578929</v>
      </c>
      <c r="K687">
        <v>0</v>
      </c>
      <c r="L687">
        <v>0</v>
      </c>
      <c r="M687">
        <v>0</v>
      </c>
      <c r="N687">
        <v>0</v>
      </c>
      <c r="O687">
        <v>0</v>
      </c>
      <c r="P687">
        <v>0</v>
      </c>
      <c r="Q687">
        <v>0</v>
      </c>
      <c r="R687">
        <v>0</v>
      </c>
      <c r="S687">
        <v>0</v>
      </c>
      <c r="T687">
        <v>0.89991118398578929</v>
      </c>
      <c r="U687">
        <v>0.10008881601421071</v>
      </c>
      <c r="V687">
        <v>0</v>
      </c>
      <c r="W687">
        <v>0</v>
      </c>
      <c r="X687">
        <v>0</v>
      </c>
      <c r="Y687">
        <v>0</v>
      </c>
      <c r="Z687">
        <v>0</v>
      </c>
      <c r="AA687">
        <v>0</v>
      </c>
      <c r="AB687">
        <v>0</v>
      </c>
      <c r="AC687">
        <v>0</v>
      </c>
      <c r="AD687">
        <v>0</v>
      </c>
      <c r="AE687" t="s">
        <v>249</v>
      </c>
      <c r="AF687">
        <v>10</v>
      </c>
      <c r="AG687" t="s">
        <v>214</v>
      </c>
      <c r="AH687">
        <v>46240</v>
      </c>
      <c r="AI687" t="s">
        <v>149</v>
      </c>
    </row>
    <row r="688" spans="1:35" x14ac:dyDescent="0.25">
      <c r="A688" s="1">
        <v>46241</v>
      </c>
      <c r="B688" t="s">
        <v>13</v>
      </c>
      <c r="C688" t="s">
        <v>12</v>
      </c>
      <c r="D688">
        <v>2.2762723066754802</v>
      </c>
      <c r="E688">
        <v>0</v>
      </c>
      <c r="F688">
        <v>0</v>
      </c>
      <c r="G688">
        <v>2.269896193771626</v>
      </c>
      <c r="H688">
        <v>0</v>
      </c>
      <c r="I688">
        <v>0</v>
      </c>
      <c r="J688">
        <v>0.99719887955182018</v>
      </c>
      <c r="K688">
        <v>0</v>
      </c>
      <c r="L688">
        <v>0</v>
      </c>
      <c r="M688">
        <v>0</v>
      </c>
      <c r="N688">
        <v>0</v>
      </c>
      <c r="O688">
        <v>0</v>
      </c>
      <c r="P688">
        <v>0</v>
      </c>
      <c r="Q688">
        <v>0</v>
      </c>
      <c r="R688">
        <v>0</v>
      </c>
      <c r="S688">
        <v>0</v>
      </c>
      <c r="T688">
        <v>0.99719887955182018</v>
      </c>
      <c r="U688">
        <v>2.8011204481798169E-3</v>
      </c>
      <c r="V688">
        <v>0</v>
      </c>
      <c r="W688">
        <v>0</v>
      </c>
      <c r="X688">
        <v>0</v>
      </c>
      <c r="Y688">
        <v>0</v>
      </c>
      <c r="Z688">
        <v>0</v>
      </c>
      <c r="AA688">
        <v>0</v>
      </c>
      <c r="AB688">
        <v>0</v>
      </c>
      <c r="AC688">
        <v>0</v>
      </c>
      <c r="AD688">
        <v>0</v>
      </c>
      <c r="AE688" t="s">
        <v>249</v>
      </c>
      <c r="AF688">
        <v>10</v>
      </c>
      <c r="AG688" t="s">
        <v>215</v>
      </c>
      <c r="AH688">
        <v>46241</v>
      </c>
      <c r="AI688" t="s">
        <v>149</v>
      </c>
    </row>
    <row r="689" spans="1:35" x14ac:dyDescent="0.25">
      <c r="A689" s="1">
        <v>46241</v>
      </c>
      <c r="B689" t="s">
        <v>13</v>
      </c>
      <c r="C689" t="s">
        <v>11</v>
      </c>
      <c r="D689">
        <v>1.8426966292134832</v>
      </c>
      <c r="E689">
        <v>0</v>
      </c>
      <c r="F689">
        <v>0</v>
      </c>
      <c r="G689">
        <v>6.2745098039215685E-2</v>
      </c>
      <c r="H689">
        <v>0</v>
      </c>
      <c r="I689">
        <v>0</v>
      </c>
      <c r="J689">
        <v>3.4050693448110951E-2</v>
      </c>
      <c r="K689">
        <v>0</v>
      </c>
      <c r="L689">
        <v>0</v>
      </c>
      <c r="M689">
        <v>0</v>
      </c>
      <c r="N689">
        <v>0</v>
      </c>
      <c r="O689">
        <v>0</v>
      </c>
      <c r="P689">
        <v>0</v>
      </c>
      <c r="Q689">
        <v>0</v>
      </c>
      <c r="R689">
        <v>0</v>
      </c>
      <c r="S689">
        <v>0</v>
      </c>
      <c r="T689">
        <v>3.4050693448110951E-2</v>
      </c>
      <c r="U689">
        <v>0.96594930655188904</v>
      </c>
      <c r="V689">
        <v>0</v>
      </c>
      <c r="W689">
        <v>0</v>
      </c>
      <c r="X689">
        <v>0</v>
      </c>
      <c r="Y689">
        <v>0</v>
      </c>
      <c r="Z689">
        <v>0</v>
      </c>
      <c r="AA689">
        <v>0</v>
      </c>
      <c r="AB689">
        <v>0</v>
      </c>
      <c r="AC689">
        <v>0</v>
      </c>
      <c r="AD689">
        <v>0</v>
      </c>
      <c r="AE689" t="s">
        <v>249</v>
      </c>
      <c r="AF689">
        <v>10</v>
      </c>
      <c r="AG689" t="s">
        <v>216</v>
      </c>
      <c r="AH689">
        <v>46241</v>
      </c>
      <c r="AI689" t="s">
        <v>149</v>
      </c>
    </row>
    <row r="690" spans="1:35" x14ac:dyDescent="0.25">
      <c r="A690" s="1">
        <v>46241</v>
      </c>
      <c r="B690" t="s">
        <v>13</v>
      </c>
      <c r="C690" t="s">
        <v>10</v>
      </c>
      <c r="D690">
        <v>5.5280898876404505</v>
      </c>
      <c r="E690">
        <v>0</v>
      </c>
      <c r="F690">
        <v>0</v>
      </c>
      <c r="G690">
        <v>4.0294117647058805</v>
      </c>
      <c r="H690">
        <v>0</v>
      </c>
      <c r="I690">
        <v>0</v>
      </c>
      <c r="J690">
        <v>0.7288976566236246</v>
      </c>
      <c r="K690">
        <v>0</v>
      </c>
      <c r="L690">
        <v>0</v>
      </c>
      <c r="M690">
        <v>0</v>
      </c>
      <c r="N690">
        <v>0</v>
      </c>
      <c r="O690">
        <v>0</v>
      </c>
      <c r="P690">
        <v>0</v>
      </c>
      <c r="Q690">
        <v>0</v>
      </c>
      <c r="R690">
        <v>0</v>
      </c>
      <c r="S690">
        <v>0</v>
      </c>
      <c r="T690">
        <v>0.7288976566236246</v>
      </c>
      <c r="U690">
        <v>0.2711023433763754</v>
      </c>
      <c r="V690">
        <v>0</v>
      </c>
      <c r="W690">
        <v>0</v>
      </c>
      <c r="X690">
        <v>0</v>
      </c>
      <c r="Y690">
        <v>0</v>
      </c>
      <c r="Z690">
        <v>0</v>
      </c>
      <c r="AA690">
        <v>0</v>
      </c>
      <c r="AB690">
        <v>0</v>
      </c>
      <c r="AC690">
        <v>0</v>
      </c>
      <c r="AD690">
        <v>0</v>
      </c>
      <c r="AE690" t="s">
        <v>249</v>
      </c>
      <c r="AF690">
        <v>10</v>
      </c>
      <c r="AG690" t="s">
        <v>217</v>
      </c>
      <c r="AH690">
        <v>46241</v>
      </c>
      <c r="AI690" t="s">
        <v>149</v>
      </c>
    </row>
    <row r="691" spans="1:35" x14ac:dyDescent="0.25">
      <c r="A691" s="1">
        <v>46242</v>
      </c>
      <c r="B691" t="s">
        <v>13</v>
      </c>
      <c r="C691" t="s">
        <v>12</v>
      </c>
      <c r="D691">
        <v>2.6014540647719766</v>
      </c>
      <c r="E691">
        <v>0</v>
      </c>
      <c r="F691">
        <v>0</v>
      </c>
      <c r="G691">
        <v>1.9238754325259515</v>
      </c>
      <c r="H691">
        <v>0</v>
      </c>
      <c r="I691">
        <v>0</v>
      </c>
      <c r="J691">
        <v>0.73953849832615959</v>
      </c>
      <c r="K691">
        <v>0</v>
      </c>
      <c r="L691">
        <v>0</v>
      </c>
      <c r="M691">
        <v>0</v>
      </c>
      <c r="N691">
        <v>0</v>
      </c>
      <c r="O691">
        <v>0</v>
      </c>
      <c r="P691">
        <v>0</v>
      </c>
      <c r="Q691">
        <v>0</v>
      </c>
      <c r="R691">
        <v>0</v>
      </c>
      <c r="S691">
        <v>0</v>
      </c>
      <c r="T691">
        <v>0.73953849832615959</v>
      </c>
      <c r="U691">
        <v>0.26046150167384041</v>
      </c>
      <c r="V691">
        <v>0</v>
      </c>
      <c r="W691">
        <v>0</v>
      </c>
      <c r="X691">
        <v>0</v>
      </c>
      <c r="Y691">
        <v>0</v>
      </c>
      <c r="Z691">
        <v>0</v>
      </c>
      <c r="AA691">
        <v>0</v>
      </c>
      <c r="AB691">
        <v>0</v>
      </c>
      <c r="AC691">
        <v>0</v>
      </c>
      <c r="AD691">
        <v>0</v>
      </c>
      <c r="AE691" t="s">
        <v>249</v>
      </c>
      <c r="AF691">
        <v>10</v>
      </c>
      <c r="AG691" t="s">
        <v>218</v>
      </c>
      <c r="AH691">
        <v>46242</v>
      </c>
      <c r="AI691" t="s">
        <v>149</v>
      </c>
    </row>
    <row r="692" spans="1:35" x14ac:dyDescent="0.25">
      <c r="A692" s="1">
        <v>46242</v>
      </c>
      <c r="B692" t="s">
        <v>13</v>
      </c>
      <c r="C692" t="s">
        <v>11</v>
      </c>
      <c r="D692">
        <v>1.8426966292134832</v>
      </c>
      <c r="E692">
        <v>0</v>
      </c>
      <c r="F692">
        <v>0</v>
      </c>
      <c r="G692">
        <v>6.2745098039215685E-2</v>
      </c>
      <c r="H692">
        <v>0</v>
      </c>
      <c r="I692">
        <v>0</v>
      </c>
      <c r="J692">
        <v>3.4050693448110951E-2</v>
      </c>
      <c r="K692">
        <v>0</v>
      </c>
      <c r="L692">
        <v>0</v>
      </c>
      <c r="M692">
        <v>0</v>
      </c>
      <c r="N692">
        <v>0</v>
      </c>
      <c r="O692">
        <v>0</v>
      </c>
      <c r="P692">
        <v>0</v>
      </c>
      <c r="Q692">
        <v>0</v>
      </c>
      <c r="R692">
        <v>0</v>
      </c>
      <c r="S692">
        <v>0</v>
      </c>
      <c r="T692">
        <v>3.4050693448110951E-2</v>
      </c>
      <c r="U692">
        <v>0.96594930655188904</v>
      </c>
      <c r="V692">
        <v>0</v>
      </c>
      <c r="W692">
        <v>0</v>
      </c>
      <c r="X692">
        <v>0</v>
      </c>
      <c r="Y692">
        <v>0</v>
      </c>
      <c r="Z692">
        <v>0</v>
      </c>
      <c r="AA692">
        <v>0</v>
      </c>
      <c r="AB692">
        <v>0</v>
      </c>
      <c r="AC692">
        <v>0</v>
      </c>
      <c r="AD692">
        <v>0</v>
      </c>
      <c r="AE692" t="s">
        <v>249</v>
      </c>
      <c r="AF692">
        <v>10</v>
      </c>
      <c r="AG692" t="s">
        <v>220</v>
      </c>
      <c r="AH692">
        <v>46242</v>
      </c>
      <c r="AI692" t="s">
        <v>149</v>
      </c>
    </row>
    <row r="693" spans="1:35" x14ac:dyDescent="0.25">
      <c r="A693" s="1">
        <v>46242</v>
      </c>
      <c r="B693" t="s">
        <v>13</v>
      </c>
      <c r="C693" t="s">
        <v>10</v>
      </c>
      <c r="D693">
        <v>1.3820224719101126</v>
      </c>
      <c r="E693">
        <v>0</v>
      </c>
      <c r="F693">
        <v>0</v>
      </c>
      <c r="G693">
        <v>1.6470588235294119</v>
      </c>
      <c r="H693">
        <v>0</v>
      </c>
      <c r="I693">
        <v>0</v>
      </c>
      <c r="J693">
        <v>1.1917742706838832</v>
      </c>
      <c r="K693">
        <v>0.1917742706838832</v>
      </c>
      <c r="L693">
        <v>0</v>
      </c>
      <c r="M693">
        <v>0</v>
      </c>
      <c r="N693">
        <v>0</v>
      </c>
      <c r="O693">
        <v>0</v>
      </c>
      <c r="P693">
        <v>0</v>
      </c>
      <c r="Q693">
        <v>0</v>
      </c>
      <c r="R693">
        <v>0</v>
      </c>
      <c r="S693">
        <v>0</v>
      </c>
      <c r="T693">
        <v>0</v>
      </c>
      <c r="U693">
        <v>0</v>
      </c>
      <c r="V693">
        <v>0</v>
      </c>
      <c r="W693">
        <v>0</v>
      </c>
      <c r="X693">
        <v>0</v>
      </c>
      <c r="Y693">
        <v>0</v>
      </c>
      <c r="Z693">
        <v>0</v>
      </c>
      <c r="AA693">
        <v>0</v>
      </c>
      <c r="AB693">
        <v>0</v>
      </c>
      <c r="AC693">
        <v>1</v>
      </c>
      <c r="AD693">
        <v>0</v>
      </c>
      <c r="AE693" t="s">
        <v>249</v>
      </c>
      <c r="AF693">
        <v>10</v>
      </c>
      <c r="AG693" t="s">
        <v>219</v>
      </c>
      <c r="AH693">
        <v>46242</v>
      </c>
      <c r="AI693" t="s">
        <v>149</v>
      </c>
    </row>
    <row r="694" spans="1:35" x14ac:dyDescent="0.25">
      <c r="A694" s="1">
        <v>46243</v>
      </c>
      <c r="B694" t="s">
        <v>13</v>
      </c>
      <c r="C694" t="s">
        <v>10</v>
      </c>
      <c r="D694">
        <v>1.3820224719101126</v>
      </c>
      <c r="E694">
        <v>0</v>
      </c>
      <c r="F694">
        <v>0</v>
      </c>
      <c r="G694">
        <v>1.6911764705882355</v>
      </c>
      <c r="H694">
        <v>0</v>
      </c>
      <c r="I694">
        <v>0</v>
      </c>
      <c r="J694">
        <v>1.2236967957914873</v>
      </c>
      <c r="K694">
        <v>0.22369679579148727</v>
      </c>
      <c r="L694">
        <v>0</v>
      </c>
      <c r="M694">
        <v>0</v>
      </c>
      <c r="N694">
        <v>0</v>
      </c>
      <c r="O694">
        <v>0</v>
      </c>
      <c r="P694">
        <v>0</v>
      </c>
      <c r="Q694">
        <v>0</v>
      </c>
      <c r="R694">
        <v>0</v>
      </c>
      <c r="S694">
        <v>0</v>
      </c>
      <c r="T694">
        <v>0</v>
      </c>
      <c r="U694">
        <v>0</v>
      </c>
      <c r="V694">
        <v>0</v>
      </c>
      <c r="W694">
        <v>0</v>
      </c>
      <c r="X694">
        <v>0</v>
      </c>
      <c r="Y694">
        <v>0</v>
      </c>
      <c r="Z694">
        <v>0</v>
      </c>
      <c r="AA694">
        <v>0</v>
      </c>
      <c r="AB694">
        <v>0</v>
      </c>
      <c r="AC694">
        <v>1</v>
      </c>
      <c r="AD694">
        <v>0</v>
      </c>
      <c r="AE694" t="s">
        <v>249</v>
      </c>
      <c r="AF694">
        <v>10</v>
      </c>
      <c r="AG694" t="s">
        <v>222</v>
      </c>
      <c r="AH694">
        <v>46243</v>
      </c>
      <c r="AI694" t="s">
        <v>149</v>
      </c>
    </row>
    <row r="695" spans="1:35" x14ac:dyDescent="0.25">
      <c r="A695" s="1">
        <v>46243</v>
      </c>
      <c r="B695" t="s">
        <v>13</v>
      </c>
      <c r="C695" t="s">
        <v>11</v>
      </c>
      <c r="D695">
        <v>1.8426966292134832</v>
      </c>
      <c r="E695">
        <v>0</v>
      </c>
      <c r="F695">
        <v>0</v>
      </c>
      <c r="G695">
        <v>6.2745098039215685E-2</v>
      </c>
      <c r="H695">
        <v>0</v>
      </c>
      <c r="I695">
        <v>0</v>
      </c>
      <c r="J695">
        <v>3.4050693448110951E-2</v>
      </c>
      <c r="K695">
        <v>0</v>
      </c>
      <c r="L695">
        <v>0</v>
      </c>
      <c r="M695">
        <v>0</v>
      </c>
      <c r="N695">
        <v>0</v>
      </c>
      <c r="O695">
        <v>0</v>
      </c>
      <c r="P695">
        <v>0</v>
      </c>
      <c r="Q695">
        <v>0</v>
      </c>
      <c r="R695">
        <v>0</v>
      </c>
      <c r="S695">
        <v>0</v>
      </c>
      <c r="T695">
        <v>3.4050693448110951E-2</v>
      </c>
      <c r="U695">
        <v>0.96594930655188904</v>
      </c>
      <c r="V695">
        <v>0</v>
      </c>
      <c r="W695">
        <v>0</v>
      </c>
      <c r="X695">
        <v>0</v>
      </c>
      <c r="Y695">
        <v>0</v>
      </c>
      <c r="Z695">
        <v>0</v>
      </c>
      <c r="AA695">
        <v>0</v>
      </c>
      <c r="AB695">
        <v>0</v>
      </c>
      <c r="AC695">
        <v>0</v>
      </c>
      <c r="AD695">
        <v>0</v>
      </c>
      <c r="AE695" t="s">
        <v>249</v>
      </c>
      <c r="AF695">
        <v>10</v>
      </c>
      <c r="AG695" t="s">
        <v>223</v>
      </c>
      <c r="AH695">
        <v>46243</v>
      </c>
      <c r="AI695" t="s">
        <v>149</v>
      </c>
    </row>
    <row r="696" spans="1:35" x14ac:dyDescent="0.25">
      <c r="A696" s="1">
        <v>46243</v>
      </c>
      <c r="B696" t="s">
        <v>13</v>
      </c>
      <c r="C696" t="s">
        <v>12</v>
      </c>
      <c r="D696">
        <v>2.6014540647719766</v>
      </c>
      <c r="E696">
        <v>0</v>
      </c>
      <c r="F696">
        <v>0</v>
      </c>
      <c r="G696">
        <v>1.882352941176471</v>
      </c>
      <c r="H696">
        <v>0</v>
      </c>
      <c r="I696">
        <v>0</v>
      </c>
      <c r="J696">
        <v>0.72357723577235777</v>
      </c>
      <c r="K696">
        <v>0</v>
      </c>
      <c r="L696">
        <v>0</v>
      </c>
      <c r="M696">
        <v>0</v>
      </c>
      <c r="N696">
        <v>0</v>
      </c>
      <c r="O696">
        <v>0</v>
      </c>
      <c r="P696">
        <v>0</v>
      </c>
      <c r="Q696">
        <v>0</v>
      </c>
      <c r="R696">
        <v>0</v>
      </c>
      <c r="S696">
        <v>0</v>
      </c>
      <c r="T696">
        <v>0.72357723577235777</v>
      </c>
      <c r="U696">
        <v>0.27642276422764223</v>
      </c>
      <c r="V696">
        <v>0</v>
      </c>
      <c r="W696">
        <v>0</v>
      </c>
      <c r="X696">
        <v>0</v>
      </c>
      <c r="Y696">
        <v>0</v>
      </c>
      <c r="Z696">
        <v>0</v>
      </c>
      <c r="AA696">
        <v>0</v>
      </c>
      <c r="AB696">
        <v>0</v>
      </c>
      <c r="AC696">
        <v>0</v>
      </c>
      <c r="AD696">
        <v>0</v>
      </c>
      <c r="AE696" t="s">
        <v>249</v>
      </c>
      <c r="AF696">
        <v>10</v>
      </c>
      <c r="AG696" t="s">
        <v>221</v>
      </c>
      <c r="AH696">
        <v>46243</v>
      </c>
      <c r="AI696" t="s">
        <v>149</v>
      </c>
    </row>
    <row r="697" spans="1:35" x14ac:dyDescent="0.25">
      <c r="A697" s="1">
        <v>46244</v>
      </c>
      <c r="B697" t="s">
        <v>13</v>
      </c>
      <c r="C697" t="s">
        <v>10</v>
      </c>
      <c r="D697">
        <v>1.0365168539325842</v>
      </c>
      <c r="E697">
        <v>0</v>
      </c>
      <c r="F697">
        <v>0</v>
      </c>
      <c r="G697">
        <v>3.2205882352941169</v>
      </c>
      <c r="H697">
        <v>0</v>
      </c>
      <c r="I697">
        <v>0</v>
      </c>
      <c r="J697">
        <v>3.1071257771401237</v>
      </c>
      <c r="K697">
        <v>2.1071257771401237</v>
      </c>
      <c r="L697">
        <v>0</v>
      </c>
      <c r="M697">
        <v>0</v>
      </c>
      <c r="N697">
        <v>0</v>
      </c>
      <c r="O697">
        <v>0</v>
      </c>
      <c r="P697">
        <v>0</v>
      </c>
      <c r="Q697">
        <v>0</v>
      </c>
      <c r="R697">
        <v>0</v>
      </c>
      <c r="S697">
        <v>0</v>
      </c>
      <c r="T697">
        <v>0</v>
      </c>
      <c r="U697">
        <v>0</v>
      </c>
      <c r="V697">
        <v>0</v>
      </c>
      <c r="W697">
        <v>0</v>
      </c>
      <c r="X697">
        <v>0</v>
      </c>
      <c r="Y697">
        <v>0</v>
      </c>
      <c r="Z697">
        <v>0</v>
      </c>
      <c r="AA697">
        <v>0</v>
      </c>
      <c r="AB697">
        <v>0</v>
      </c>
      <c r="AC697">
        <v>1</v>
      </c>
      <c r="AD697">
        <v>0</v>
      </c>
      <c r="AE697" t="s">
        <v>249</v>
      </c>
      <c r="AF697">
        <v>10</v>
      </c>
      <c r="AG697" t="s">
        <v>224</v>
      </c>
      <c r="AH697">
        <v>46244</v>
      </c>
      <c r="AI697" t="s">
        <v>149</v>
      </c>
    </row>
    <row r="698" spans="1:35" x14ac:dyDescent="0.25">
      <c r="A698" s="1">
        <v>46244</v>
      </c>
      <c r="B698" t="s">
        <v>13</v>
      </c>
      <c r="C698" t="s">
        <v>11</v>
      </c>
      <c r="D698">
        <v>1.8426966292134832</v>
      </c>
      <c r="E698">
        <v>0</v>
      </c>
      <c r="F698">
        <v>0</v>
      </c>
      <c r="G698">
        <v>6.2745098039215685E-2</v>
      </c>
      <c r="H698">
        <v>0</v>
      </c>
      <c r="I698">
        <v>0</v>
      </c>
      <c r="J698">
        <v>3.4050693448110951E-2</v>
      </c>
      <c r="K698">
        <v>0</v>
      </c>
      <c r="L698">
        <v>0</v>
      </c>
      <c r="M698">
        <v>0</v>
      </c>
      <c r="N698">
        <v>0</v>
      </c>
      <c r="O698">
        <v>0</v>
      </c>
      <c r="P698">
        <v>0</v>
      </c>
      <c r="Q698">
        <v>0</v>
      </c>
      <c r="R698">
        <v>0</v>
      </c>
      <c r="S698">
        <v>0</v>
      </c>
      <c r="T698">
        <v>3.4050693448110951E-2</v>
      </c>
      <c r="U698">
        <v>0.96594930655188904</v>
      </c>
      <c r="V698">
        <v>0</v>
      </c>
      <c r="W698">
        <v>0</v>
      </c>
      <c r="X698">
        <v>0</v>
      </c>
      <c r="Y698">
        <v>0</v>
      </c>
      <c r="Z698">
        <v>0</v>
      </c>
      <c r="AA698">
        <v>0</v>
      </c>
      <c r="AB698">
        <v>0</v>
      </c>
      <c r="AC698">
        <v>0</v>
      </c>
      <c r="AD698">
        <v>0</v>
      </c>
      <c r="AE698" t="s">
        <v>249</v>
      </c>
      <c r="AF698">
        <v>10</v>
      </c>
      <c r="AG698" t="s">
        <v>225</v>
      </c>
      <c r="AH698">
        <v>46244</v>
      </c>
      <c r="AI698" t="s">
        <v>149</v>
      </c>
    </row>
    <row r="699" spans="1:35" x14ac:dyDescent="0.25">
      <c r="A699" s="1">
        <v>46244</v>
      </c>
      <c r="B699" t="s">
        <v>13</v>
      </c>
      <c r="C699" t="s">
        <v>12</v>
      </c>
      <c r="D699">
        <v>2.6014540647719766</v>
      </c>
      <c r="E699">
        <v>0</v>
      </c>
      <c r="F699">
        <v>0</v>
      </c>
      <c r="G699">
        <v>1.3840830449826986</v>
      </c>
      <c r="H699">
        <v>0</v>
      </c>
      <c r="I699">
        <v>0</v>
      </c>
      <c r="J699">
        <v>0.53204208512673345</v>
      </c>
      <c r="K699">
        <v>0</v>
      </c>
      <c r="L699">
        <v>0</v>
      </c>
      <c r="M699">
        <v>0</v>
      </c>
      <c r="N699">
        <v>0</v>
      </c>
      <c r="O699">
        <v>0</v>
      </c>
      <c r="P699">
        <v>0</v>
      </c>
      <c r="Q699">
        <v>0</v>
      </c>
      <c r="R699">
        <v>0</v>
      </c>
      <c r="S699">
        <v>0</v>
      </c>
      <c r="T699">
        <v>0.53204208512673345</v>
      </c>
      <c r="U699">
        <v>0.46795791487326655</v>
      </c>
      <c r="V699">
        <v>0</v>
      </c>
      <c r="W699">
        <v>0</v>
      </c>
      <c r="X699">
        <v>0</v>
      </c>
      <c r="Y699">
        <v>0</v>
      </c>
      <c r="Z699">
        <v>0</v>
      </c>
      <c r="AA699">
        <v>0</v>
      </c>
      <c r="AB699">
        <v>0</v>
      </c>
      <c r="AC699">
        <v>0</v>
      </c>
      <c r="AD699">
        <v>0</v>
      </c>
      <c r="AE699" t="s">
        <v>249</v>
      </c>
      <c r="AF699">
        <v>10</v>
      </c>
      <c r="AG699" t="s">
        <v>226</v>
      </c>
      <c r="AH699">
        <v>46244</v>
      </c>
      <c r="AI699" t="s">
        <v>149</v>
      </c>
    </row>
    <row r="700" spans="1:35" x14ac:dyDescent="0.25">
      <c r="A700" s="1">
        <v>46245</v>
      </c>
      <c r="B700" t="s">
        <v>13</v>
      </c>
      <c r="C700" t="s">
        <v>12</v>
      </c>
      <c r="D700">
        <v>2.6014540647719762</v>
      </c>
      <c r="E700">
        <v>0</v>
      </c>
      <c r="F700">
        <v>0</v>
      </c>
      <c r="G700">
        <v>1.2179930795847749</v>
      </c>
      <c r="H700">
        <v>0</v>
      </c>
      <c r="I700">
        <v>0</v>
      </c>
      <c r="J700">
        <v>0.46819703491152553</v>
      </c>
      <c r="K700">
        <v>0</v>
      </c>
      <c r="L700">
        <v>0</v>
      </c>
      <c r="M700">
        <v>0</v>
      </c>
      <c r="N700">
        <v>0</v>
      </c>
      <c r="O700">
        <v>0</v>
      </c>
      <c r="P700">
        <v>0</v>
      </c>
      <c r="Q700">
        <v>0</v>
      </c>
      <c r="R700">
        <v>0</v>
      </c>
      <c r="S700">
        <v>0</v>
      </c>
      <c r="T700">
        <v>0.46819703491152553</v>
      </c>
      <c r="U700">
        <v>0.53180296508847447</v>
      </c>
      <c r="V700">
        <v>0</v>
      </c>
      <c r="W700">
        <v>0</v>
      </c>
      <c r="X700">
        <v>0</v>
      </c>
      <c r="Y700">
        <v>0</v>
      </c>
      <c r="Z700">
        <v>0</v>
      </c>
      <c r="AA700">
        <v>0</v>
      </c>
      <c r="AB700">
        <v>0</v>
      </c>
      <c r="AC700">
        <v>0</v>
      </c>
      <c r="AD700">
        <v>0</v>
      </c>
      <c r="AE700" t="s">
        <v>249</v>
      </c>
      <c r="AF700">
        <v>10</v>
      </c>
      <c r="AG700" t="s">
        <v>227</v>
      </c>
      <c r="AH700">
        <v>46245</v>
      </c>
      <c r="AI700" t="s">
        <v>149</v>
      </c>
    </row>
    <row r="701" spans="1:35" x14ac:dyDescent="0.25">
      <c r="A701" s="1">
        <v>46245</v>
      </c>
      <c r="B701" t="s">
        <v>13</v>
      </c>
      <c r="C701" t="s">
        <v>11</v>
      </c>
      <c r="D701">
        <v>1.8426966292134832</v>
      </c>
      <c r="E701">
        <v>0</v>
      </c>
      <c r="F701">
        <v>0</v>
      </c>
      <c r="G701">
        <v>6.2745098039215685E-2</v>
      </c>
      <c r="H701">
        <v>0</v>
      </c>
      <c r="I701">
        <v>0</v>
      </c>
      <c r="J701">
        <v>3.4050693448110951E-2</v>
      </c>
      <c r="K701">
        <v>0</v>
      </c>
      <c r="L701">
        <v>0</v>
      </c>
      <c r="M701">
        <v>0</v>
      </c>
      <c r="N701">
        <v>0</v>
      </c>
      <c r="O701">
        <v>0</v>
      </c>
      <c r="P701">
        <v>0</v>
      </c>
      <c r="Q701">
        <v>0</v>
      </c>
      <c r="R701">
        <v>0</v>
      </c>
      <c r="S701">
        <v>0</v>
      </c>
      <c r="T701">
        <v>3.4050693448110951E-2</v>
      </c>
      <c r="U701">
        <v>0.96594930655188904</v>
      </c>
      <c r="V701">
        <v>0</v>
      </c>
      <c r="W701">
        <v>0</v>
      </c>
      <c r="X701">
        <v>0</v>
      </c>
      <c r="Y701">
        <v>0</v>
      </c>
      <c r="Z701">
        <v>0</v>
      </c>
      <c r="AA701">
        <v>0</v>
      </c>
      <c r="AB701">
        <v>0</v>
      </c>
      <c r="AC701">
        <v>0</v>
      </c>
      <c r="AD701">
        <v>0</v>
      </c>
      <c r="AE701" t="s">
        <v>249</v>
      </c>
      <c r="AF701">
        <v>10</v>
      </c>
      <c r="AG701" t="s">
        <v>229</v>
      </c>
      <c r="AH701">
        <v>46245</v>
      </c>
      <c r="AI701" t="s">
        <v>149</v>
      </c>
    </row>
    <row r="702" spans="1:35" x14ac:dyDescent="0.25">
      <c r="A702" s="1">
        <v>46245</v>
      </c>
      <c r="B702" t="s">
        <v>13</v>
      </c>
      <c r="C702" t="s">
        <v>10</v>
      </c>
      <c r="D702">
        <v>1.3820224719101126</v>
      </c>
      <c r="E702">
        <v>0</v>
      </c>
      <c r="F702">
        <v>0</v>
      </c>
      <c r="G702">
        <v>3.1470588235294112</v>
      </c>
      <c r="H702">
        <v>0</v>
      </c>
      <c r="I702">
        <v>0</v>
      </c>
      <c r="J702">
        <v>2.2771401243424192</v>
      </c>
      <c r="K702">
        <v>1.2771401243424192</v>
      </c>
      <c r="L702">
        <v>0</v>
      </c>
      <c r="M702">
        <v>0</v>
      </c>
      <c r="N702">
        <v>0</v>
      </c>
      <c r="O702">
        <v>0</v>
      </c>
      <c r="P702">
        <v>0</v>
      </c>
      <c r="Q702">
        <v>0</v>
      </c>
      <c r="R702">
        <v>0</v>
      </c>
      <c r="S702">
        <v>0</v>
      </c>
      <c r="T702">
        <v>0</v>
      </c>
      <c r="U702">
        <v>0</v>
      </c>
      <c r="V702">
        <v>0</v>
      </c>
      <c r="W702">
        <v>0</v>
      </c>
      <c r="X702">
        <v>0</v>
      </c>
      <c r="Y702">
        <v>0</v>
      </c>
      <c r="Z702">
        <v>0</v>
      </c>
      <c r="AA702">
        <v>0</v>
      </c>
      <c r="AB702">
        <v>0</v>
      </c>
      <c r="AC702">
        <v>1</v>
      </c>
      <c r="AD702">
        <v>0</v>
      </c>
      <c r="AE702" t="s">
        <v>249</v>
      </c>
      <c r="AF702">
        <v>10</v>
      </c>
      <c r="AG702" t="s">
        <v>228</v>
      </c>
      <c r="AH702">
        <v>46245</v>
      </c>
      <c r="AI702" t="s">
        <v>149</v>
      </c>
    </row>
    <row r="703" spans="1:35" x14ac:dyDescent="0.25">
      <c r="A703" s="1">
        <v>46246</v>
      </c>
      <c r="B703" t="s">
        <v>13</v>
      </c>
      <c r="C703" t="s">
        <v>10</v>
      </c>
      <c r="D703">
        <v>2.7640449438202253</v>
      </c>
      <c r="E703">
        <v>0</v>
      </c>
      <c r="F703">
        <v>0</v>
      </c>
      <c r="G703">
        <v>3.2205882352941169</v>
      </c>
      <c r="H703">
        <v>0</v>
      </c>
      <c r="I703">
        <v>0</v>
      </c>
      <c r="J703">
        <v>1.1651721664275461</v>
      </c>
      <c r="K703">
        <v>0.16517216642754606</v>
      </c>
      <c r="L703">
        <v>0</v>
      </c>
      <c r="M703">
        <v>0</v>
      </c>
      <c r="N703">
        <v>0</v>
      </c>
      <c r="O703">
        <v>0</v>
      </c>
      <c r="P703">
        <v>0</v>
      </c>
      <c r="Q703">
        <v>0</v>
      </c>
      <c r="R703">
        <v>0</v>
      </c>
      <c r="S703">
        <v>0</v>
      </c>
      <c r="T703">
        <v>0</v>
      </c>
      <c r="U703">
        <v>0</v>
      </c>
      <c r="V703">
        <v>0</v>
      </c>
      <c r="W703">
        <v>0</v>
      </c>
      <c r="X703">
        <v>0</v>
      </c>
      <c r="Y703">
        <v>0</v>
      </c>
      <c r="Z703">
        <v>0</v>
      </c>
      <c r="AA703">
        <v>0</v>
      </c>
      <c r="AB703">
        <v>0</v>
      </c>
      <c r="AC703">
        <v>1</v>
      </c>
      <c r="AD703">
        <v>0</v>
      </c>
      <c r="AE703" t="s">
        <v>249</v>
      </c>
      <c r="AF703">
        <v>10</v>
      </c>
      <c r="AG703" t="s">
        <v>230</v>
      </c>
      <c r="AH703">
        <v>46246</v>
      </c>
      <c r="AI703" t="s">
        <v>149</v>
      </c>
    </row>
    <row r="704" spans="1:35" x14ac:dyDescent="0.25">
      <c r="A704" s="1">
        <v>46246</v>
      </c>
      <c r="B704" t="s">
        <v>13</v>
      </c>
      <c r="C704" t="s">
        <v>11</v>
      </c>
      <c r="D704">
        <v>1.8426966292134832</v>
      </c>
      <c r="E704">
        <v>0</v>
      </c>
      <c r="F704">
        <v>0</v>
      </c>
      <c r="G704">
        <v>6.2745098039215685E-2</v>
      </c>
      <c r="H704">
        <v>0</v>
      </c>
      <c r="I704">
        <v>0</v>
      </c>
      <c r="J704">
        <v>3.4050693448110951E-2</v>
      </c>
      <c r="K704">
        <v>0</v>
      </c>
      <c r="L704">
        <v>0</v>
      </c>
      <c r="M704">
        <v>0</v>
      </c>
      <c r="N704">
        <v>0</v>
      </c>
      <c r="O704">
        <v>0</v>
      </c>
      <c r="P704">
        <v>0</v>
      </c>
      <c r="Q704">
        <v>0</v>
      </c>
      <c r="R704">
        <v>0</v>
      </c>
      <c r="S704">
        <v>0</v>
      </c>
      <c r="T704">
        <v>3.4050693448110951E-2</v>
      </c>
      <c r="U704">
        <v>0.96594930655188904</v>
      </c>
      <c r="V704">
        <v>0</v>
      </c>
      <c r="W704">
        <v>0</v>
      </c>
      <c r="X704">
        <v>0</v>
      </c>
      <c r="Y704">
        <v>0</v>
      </c>
      <c r="Z704">
        <v>0</v>
      </c>
      <c r="AA704">
        <v>0</v>
      </c>
      <c r="AB704">
        <v>0</v>
      </c>
      <c r="AC704">
        <v>0</v>
      </c>
      <c r="AD704">
        <v>0</v>
      </c>
      <c r="AE704" t="s">
        <v>249</v>
      </c>
      <c r="AF704">
        <v>10</v>
      </c>
      <c r="AG704" t="s">
        <v>231</v>
      </c>
      <c r="AH704">
        <v>46246</v>
      </c>
      <c r="AI704" t="s">
        <v>149</v>
      </c>
    </row>
    <row r="705" spans="1:35" x14ac:dyDescent="0.25">
      <c r="A705" s="1">
        <v>46246</v>
      </c>
      <c r="B705" t="s">
        <v>13</v>
      </c>
      <c r="C705" t="s">
        <v>12</v>
      </c>
      <c r="D705">
        <v>2.2762723066754802</v>
      </c>
      <c r="E705">
        <v>0</v>
      </c>
      <c r="F705">
        <v>0</v>
      </c>
      <c r="G705">
        <v>1.3840830449826986</v>
      </c>
      <c r="H705">
        <v>0</v>
      </c>
      <c r="I705">
        <v>0</v>
      </c>
      <c r="J705">
        <v>0.60804809728769516</v>
      </c>
      <c r="K705">
        <v>0</v>
      </c>
      <c r="L705">
        <v>0</v>
      </c>
      <c r="M705">
        <v>0</v>
      </c>
      <c r="N705">
        <v>0</v>
      </c>
      <c r="O705">
        <v>0</v>
      </c>
      <c r="P705">
        <v>0</v>
      </c>
      <c r="Q705">
        <v>0</v>
      </c>
      <c r="R705">
        <v>0</v>
      </c>
      <c r="S705">
        <v>0</v>
      </c>
      <c r="T705">
        <v>0.60804809728769516</v>
      </c>
      <c r="U705">
        <v>0.39195190271230484</v>
      </c>
      <c r="V705">
        <v>0</v>
      </c>
      <c r="W705">
        <v>0</v>
      </c>
      <c r="X705">
        <v>0</v>
      </c>
      <c r="Y705">
        <v>0</v>
      </c>
      <c r="Z705">
        <v>0</v>
      </c>
      <c r="AA705">
        <v>0</v>
      </c>
      <c r="AB705">
        <v>0</v>
      </c>
      <c r="AC705">
        <v>0</v>
      </c>
      <c r="AD705">
        <v>0</v>
      </c>
      <c r="AE705" t="s">
        <v>249</v>
      </c>
      <c r="AF705">
        <v>10</v>
      </c>
      <c r="AG705" t="s">
        <v>232</v>
      </c>
      <c r="AH705">
        <v>46246</v>
      </c>
      <c r="AI705" t="s">
        <v>149</v>
      </c>
    </row>
    <row r="706" spans="1:35" x14ac:dyDescent="0.25">
      <c r="A706" s="1">
        <v>46247</v>
      </c>
      <c r="B706" t="s">
        <v>13</v>
      </c>
      <c r="C706" t="s">
        <v>12</v>
      </c>
      <c r="D706">
        <v>2.2762723066754802</v>
      </c>
      <c r="E706">
        <v>0</v>
      </c>
      <c r="F706">
        <v>0</v>
      </c>
      <c r="G706">
        <v>3.0449826989619377</v>
      </c>
      <c r="H706">
        <v>0</v>
      </c>
      <c r="I706">
        <v>0</v>
      </c>
      <c r="J706">
        <v>1.3377058140329297</v>
      </c>
      <c r="K706">
        <v>0.33770581403292965</v>
      </c>
      <c r="L706">
        <v>0</v>
      </c>
      <c r="M706">
        <v>0</v>
      </c>
      <c r="N706">
        <v>0</v>
      </c>
      <c r="O706">
        <v>0</v>
      </c>
      <c r="P706">
        <v>0</v>
      </c>
      <c r="Q706">
        <v>0</v>
      </c>
      <c r="R706">
        <v>0</v>
      </c>
      <c r="S706">
        <v>0</v>
      </c>
      <c r="T706">
        <v>0</v>
      </c>
      <c r="U706">
        <v>0</v>
      </c>
      <c r="V706">
        <v>0</v>
      </c>
      <c r="W706">
        <v>0</v>
      </c>
      <c r="X706">
        <v>0</v>
      </c>
      <c r="Y706">
        <v>0</v>
      </c>
      <c r="Z706">
        <v>0</v>
      </c>
      <c r="AA706">
        <v>0</v>
      </c>
      <c r="AB706">
        <v>0</v>
      </c>
      <c r="AC706">
        <v>1</v>
      </c>
      <c r="AD706">
        <v>0</v>
      </c>
      <c r="AE706" t="s">
        <v>249</v>
      </c>
      <c r="AF706">
        <v>10</v>
      </c>
      <c r="AG706" t="s">
        <v>233</v>
      </c>
      <c r="AH706">
        <v>46247</v>
      </c>
      <c r="AI706" t="s">
        <v>149</v>
      </c>
    </row>
    <row r="707" spans="1:35" x14ac:dyDescent="0.25">
      <c r="A707" s="1">
        <v>46247</v>
      </c>
      <c r="B707" t="s">
        <v>13</v>
      </c>
      <c r="C707" t="s">
        <v>11</v>
      </c>
      <c r="D707">
        <v>1.8426966292134832</v>
      </c>
      <c r="E707">
        <v>0</v>
      </c>
      <c r="F707">
        <v>0</v>
      </c>
      <c r="G707">
        <v>6.2745098039215685E-2</v>
      </c>
      <c r="H707">
        <v>0</v>
      </c>
      <c r="I707">
        <v>0</v>
      </c>
      <c r="J707">
        <v>3.4050693448110951E-2</v>
      </c>
      <c r="K707">
        <v>0</v>
      </c>
      <c r="L707">
        <v>0</v>
      </c>
      <c r="M707">
        <v>0</v>
      </c>
      <c r="N707">
        <v>0</v>
      </c>
      <c r="O707">
        <v>0</v>
      </c>
      <c r="P707">
        <v>0</v>
      </c>
      <c r="Q707">
        <v>0</v>
      </c>
      <c r="R707">
        <v>0</v>
      </c>
      <c r="S707">
        <v>0</v>
      </c>
      <c r="T707">
        <v>3.4050693448110951E-2</v>
      </c>
      <c r="U707">
        <v>0.96594930655188904</v>
      </c>
      <c r="V707">
        <v>0</v>
      </c>
      <c r="W707">
        <v>0</v>
      </c>
      <c r="X707">
        <v>0</v>
      </c>
      <c r="Y707">
        <v>0</v>
      </c>
      <c r="Z707">
        <v>0</v>
      </c>
      <c r="AA707">
        <v>0</v>
      </c>
      <c r="AB707">
        <v>0</v>
      </c>
      <c r="AC707">
        <v>0</v>
      </c>
      <c r="AD707">
        <v>0</v>
      </c>
      <c r="AE707" t="s">
        <v>249</v>
      </c>
      <c r="AF707">
        <v>10</v>
      </c>
      <c r="AG707" t="s">
        <v>234</v>
      </c>
      <c r="AH707">
        <v>46247</v>
      </c>
      <c r="AI707" t="s">
        <v>149</v>
      </c>
    </row>
    <row r="708" spans="1:35" x14ac:dyDescent="0.25">
      <c r="A708" s="1">
        <v>46247</v>
      </c>
      <c r="B708" t="s">
        <v>13</v>
      </c>
      <c r="C708" t="s">
        <v>10</v>
      </c>
      <c r="D708">
        <v>2.7640449438202253</v>
      </c>
      <c r="E708">
        <v>0</v>
      </c>
      <c r="F708">
        <v>0</v>
      </c>
      <c r="G708">
        <v>2.7058823529411775</v>
      </c>
      <c r="H708">
        <v>0</v>
      </c>
      <c r="I708">
        <v>0</v>
      </c>
      <c r="J708">
        <v>0.97895743663319001</v>
      </c>
      <c r="K708">
        <v>0</v>
      </c>
      <c r="L708">
        <v>0</v>
      </c>
      <c r="M708">
        <v>0</v>
      </c>
      <c r="N708">
        <v>0</v>
      </c>
      <c r="O708">
        <v>0</v>
      </c>
      <c r="P708">
        <v>0</v>
      </c>
      <c r="Q708">
        <v>0</v>
      </c>
      <c r="R708">
        <v>0</v>
      </c>
      <c r="S708">
        <v>0</v>
      </c>
      <c r="T708">
        <v>0.97895743663319001</v>
      </c>
      <c r="U708">
        <v>2.1042563366809985E-2</v>
      </c>
      <c r="V708">
        <v>0</v>
      </c>
      <c r="W708">
        <v>0</v>
      </c>
      <c r="X708">
        <v>0</v>
      </c>
      <c r="Y708">
        <v>0</v>
      </c>
      <c r="Z708">
        <v>0</v>
      </c>
      <c r="AA708">
        <v>0</v>
      </c>
      <c r="AB708">
        <v>0</v>
      </c>
      <c r="AC708">
        <v>0</v>
      </c>
      <c r="AD708">
        <v>0</v>
      </c>
      <c r="AE708" t="s">
        <v>249</v>
      </c>
      <c r="AF708">
        <v>10</v>
      </c>
      <c r="AG708" t="s">
        <v>235</v>
      </c>
      <c r="AH708">
        <v>46247</v>
      </c>
      <c r="AI708" t="s">
        <v>149</v>
      </c>
    </row>
    <row r="709" spans="1:35" x14ac:dyDescent="0.25">
      <c r="A709" s="1">
        <v>46248</v>
      </c>
      <c r="B709" t="s">
        <v>13</v>
      </c>
      <c r="C709" t="s">
        <v>12</v>
      </c>
      <c r="D709">
        <v>2.6014540647719762</v>
      </c>
      <c r="E709">
        <v>0</v>
      </c>
      <c r="F709">
        <v>0</v>
      </c>
      <c r="G709">
        <v>3.1003460207612448</v>
      </c>
      <c r="H709">
        <v>0</v>
      </c>
      <c r="I709">
        <v>0</v>
      </c>
      <c r="J709">
        <v>1.191774270683883</v>
      </c>
      <c r="K709">
        <v>0.19177427068388297</v>
      </c>
      <c r="L709">
        <v>0</v>
      </c>
      <c r="M709">
        <v>0</v>
      </c>
      <c r="N709">
        <v>0</v>
      </c>
      <c r="O709">
        <v>0</v>
      </c>
      <c r="P709">
        <v>0</v>
      </c>
      <c r="Q709">
        <v>0</v>
      </c>
      <c r="R709">
        <v>0</v>
      </c>
      <c r="S709">
        <v>0</v>
      </c>
      <c r="T709">
        <v>0</v>
      </c>
      <c r="U709">
        <v>0</v>
      </c>
      <c r="V709">
        <v>0</v>
      </c>
      <c r="W709">
        <v>0</v>
      </c>
      <c r="X709">
        <v>0</v>
      </c>
      <c r="Y709">
        <v>0</v>
      </c>
      <c r="Z709">
        <v>0</v>
      </c>
      <c r="AA709">
        <v>0</v>
      </c>
      <c r="AB709">
        <v>0</v>
      </c>
      <c r="AC709">
        <v>1</v>
      </c>
      <c r="AD709">
        <v>0</v>
      </c>
      <c r="AE709" t="s">
        <v>249</v>
      </c>
      <c r="AF709">
        <v>10</v>
      </c>
      <c r="AG709" t="s">
        <v>236</v>
      </c>
      <c r="AH709">
        <v>46248</v>
      </c>
      <c r="AI709" t="s">
        <v>149</v>
      </c>
    </row>
    <row r="710" spans="1:35" x14ac:dyDescent="0.25">
      <c r="A710" s="1">
        <v>46248</v>
      </c>
      <c r="B710" t="s">
        <v>13</v>
      </c>
      <c r="C710" t="s">
        <v>11</v>
      </c>
      <c r="D710">
        <v>1.8426966292134832</v>
      </c>
      <c r="E710">
        <v>0</v>
      </c>
      <c r="F710">
        <v>0</v>
      </c>
      <c r="G710">
        <v>6.2745098039215685E-2</v>
      </c>
      <c r="H710">
        <v>0</v>
      </c>
      <c r="I710">
        <v>0</v>
      </c>
      <c r="J710">
        <v>3.4050693448110951E-2</v>
      </c>
      <c r="K710">
        <v>0</v>
      </c>
      <c r="L710">
        <v>0</v>
      </c>
      <c r="M710">
        <v>0</v>
      </c>
      <c r="N710">
        <v>0</v>
      </c>
      <c r="O710">
        <v>0</v>
      </c>
      <c r="P710">
        <v>0</v>
      </c>
      <c r="Q710">
        <v>0</v>
      </c>
      <c r="R710">
        <v>0</v>
      </c>
      <c r="S710">
        <v>0</v>
      </c>
      <c r="T710">
        <v>3.4050693448110951E-2</v>
      </c>
      <c r="U710">
        <v>0.96594930655188904</v>
      </c>
      <c r="V710">
        <v>0</v>
      </c>
      <c r="W710">
        <v>0</v>
      </c>
      <c r="X710">
        <v>0</v>
      </c>
      <c r="Y710">
        <v>0</v>
      </c>
      <c r="Z710">
        <v>0</v>
      </c>
      <c r="AA710">
        <v>0</v>
      </c>
      <c r="AB710">
        <v>0</v>
      </c>
      <c r="AC710">
        <v>0</v>
      </c>
      <c r="AD710">
        <v>0</v>
      </c>
      <c r="AE710" t="s">
        <v>249</v>
      </c>
      <c r="AF710">
        <v>10</v>
      </c>
      <c r="AG710" t="s">
        <v>237</v>
      </c>
      <c r="AH710">
        <v>46248</v>
      </c>
      <c r="AI710" t="s">
        <v>149</v>
      </c>
    </row>
    <row r="711" spans="1:35" x14ac:dyDescent="0.25">
      <c r="A711" s="1">
        <v>46248</v>
      </c>
      <c r="B711" t="s">
        <v>13</v>
      </c>
      <c r="C711" t="s">
        <v>10</v>
      </c>
      <c r="D711">
        <v>5.1825842696629225</v>
      </c>
      <c r="E711">
        <v>0</v>
      </c>
      <c r="F711">
        <v>0</v>
      </c>
      <c r="G711">
        <v>3.3970588235294112</v>
      </c>
      <c r="H711">
        <v>0</v>
      </c>
      <c r="I711">
        <v>0</v>
      </c>
      <c r="J711">
        <v>0.65547584887613553</v>
      </c>
      <c r="K711">
        <v>0</v>
      </c>
      <c r="L711">
        <v>0</v>
      </c>
      <c r="M711">
        <v>0</v>
      </c>
      <c r="N711">
        <v>0</v>
      </c>
      <c r="O711">
        <v>0</v>
      </c>
      <c r="P711">
        <v>0</v>
      </c>
      <c r="Q711">
        <v>0</v>
      </c>
      <c r="R711">
        <v>0</v>
      </c>
      <c r="S711">
        <v>0</v>
      </c>
      <c r="T711">
        <v>0.65547584887613553</v>
      </c>
      <c r="U711">
        <v>0.34452415112386447</v>
      </c>
      <c r="V711">
        <v>0</v>
      </c>
      <c r="W711">
        <v>0</v>
      </c>
      <c r="X711">
        <v>0</v>
      </c>
      <c r="Y711">
        <v>0</v>
      </c>
      <c r="Z711">
        <v>0</v>
      </c>
      <c r="AA711">
        <v>0</v>
      </c>
      <c r="AB711">
        <v>0</v>
      </c>
      <c r="AC711">
        <v>0</v>
      </c>
      <c r="AD711">
        <v>0</v>
      </c>
      <c r="AE711" t="s">
        <v>249</v>
      </c>
      <c r="AF711">
        <v>10</v>
      </c>
      <c r="AG711" t="s">
        <v>238</v>
      </c>
      <c r="AH711">
        <v>46248</v>
      </c>
      <c r="AI711" t="s">
        <v>149</v>
      </c>
    </row>
    <row r="712" spans="1:35" x14ac:dyDescent="0.25">
      <c r="A712" s="1">
        <v>46249</v>
      </c>
      <c r="B712" t="s">
        <v>13</v>
      </c>
      <c r="C712" t="s">
        <v>12</v>
      </c>
      <c r="D712">
        <v>2.2762723066754802</v>
      </c>
      <c r="E712">
        <v>0</v>
      </c>
      <c r="F712">
        <v>0</v>
      </c>
      <c r="G712">
        <v>1.882352941176471</v>
      </c>
      <c r="H712">
        <v>0</v>
      </c>
      <c r="I712">
        <v>0</v>
      </c>
      <c r="J712">
        <v>0.82694541231126584</v>
      </c>
      <c r="K712">
        <v>0</v>
      </c>
      <c r="L712">
        <v>0</v>
      </c>
      <c r="M712">
        <v>0</v>
      </c>
      <c r="N712">
        <v>0</v>
      </c>
      <c r="O712">
        <v>0</v>
      </c>
      <c r="P712">
        <v>0</v>
      </c>
      <c r="Q712">
        <v>0</v>
      </c>
      <c r="R712">
        <v>0</v>
      </c>
      <c r="S712">
        <v>0</v>
      </c>
      <c r="T712">
        <v>0.82694541231126584</v>
      </c>
      <c r="U712">
        <v>0.17305458768873416</v>
      </c>
      <c r="V712">
        <v>0</v>
      </c>
      <c r="W712">
        <v>0</v>
      </c>
      <c r="X712">
        <v>0</v>
      </c>
      <c r="Y712">
        <v>0</v>
      </c>
      <c r="Z712">
        <v>0</v>
      </c>
      <c r="AA712">
        <v>0</v>
      </c>
      <c r="AB712">
        <v>0</v>
      </c>
      <c r="AC712">
        <v>0</v>
      </c>
      <c r="AD712">
        <v>0</v>
      </c>
      <c r="AE712" t="s">
        <v>249</v>
      </c>
      <c r="AF712">
        <v>10</v>
      </c>
      <c r="AG712" t="s">
        <v>239</v>
      </c>
      <c r="AH712">
        <v>46249</v>
      </c>
      <c r="AI712" t="s">
        <v>149</v>
      </c>
    </row>
    <row r="713" spans="1:35" x14ac:dyDescent="0.25">
      <c r="A713" s="1">
        <v>46249</v>
      </c>
      <c r="B713" t="s">
        <v>13</v>
      </c>
      <c r="C713" t="s">
        <v>10</v>
      </c>
      <c r="D713">
        <v>1.3820224719101126</v>
      </c>
      <c r="E713">
        <v>0</v>
      </c>
      <c r="F713">
        <v>0</v>
      </c>
      <c r="G713">
        <v>1.6911764705882355</v>
      </c>
      <c r="H713">
        <v>0</v>
      </c>
      <c r="I713">
        <v>0</v>
      </c>
      <c r="J713">
        <v>1.2236967957914873</v>
      </c>
      <c r="K713">
        <v>0.22369679579148727</v>
      </c>
      <c r="L713">
        <v>0</v>
      </c>
      <c r="M713">
        <v>0</v>
      </c>
      <c r="N713">
        <v>0</v>
      </c>
      <c r="O713">
        <v>0</v>
      </c>
      <c r="P713">
        <v>0</v>
      </c>
      <c r="Q713">
        <v>0</v>
      </c>
      <c r="R713">
        <v>0</v>
      </c>
      <c r="S713">
        <v>0</v>
      </c>
      <c r="T713">
        <v>0</v>
      </c>
      <c r="U713">
        <v>0</v>
      </c>
      <c r="V713">
        <v>0</v>
      </c>
      <c r="W713">
        <v>0</v>
      </c>
      <c r="X713">
        <v>0</v>
      </c>
      <c r="Y713">
        <v>0</v>
      </c>
      <c r="Z713">
        <v>0</v>
      </c>
      <c r="AA713">
        <v>0</v>
      </c>
      <c r="AB713">
        <v>0</v>
      </c>
      <c r="AC713">
        <v>1</v>
      </c>
      <c r="AD713">
        <v>0</v>
      </c>
      <c r="AE713" t="s">
        <v>249</v>
      </c>
      <c r="AF713">
        <v>10</v>
      </c>
      <c r="AG713" t="s">
        <v>241</v>
      </c>
      <c r="AH713">
        <v>46249</v>
      </c>
      <c r="AI713" t="s">
        <v>149</v>
      </c>
    </row>
    <row r="714" spans="1:35" x14ac:dyDescent="0.25">
      <c r="A714" s="1">
        <v>46249</v>
      </c>
      <c r="B714" t="s">
        <v>13</v>
      </c>
      <c r="C714" t="s">
        <v>11</v>
      </c>
      <c r="D714">
        <v>1.8426966292134832</v>
      </c>
      <c r="E714">
        <v>0</v>
      </c>
      <c r="F714">
        <v>0</v>
      </c>
      <c r="G714">
        <v>6.2745098039215685E-2</v>
      </c>
      <c r="H714">
        <v>0</v>
      </c>
      <c r="I714">
        <v>0</v>
      </c>
      <c r="J714">
        <v>3.4050693448110951E-2</v>
      </c>
      <c r="K714">
        <v>0</v>
      </c>
      <c r="L714">
        <v>0</v>
      </c>
      <c r="M714">
        <v>0</v>
      </c>
      <c r="N714">
        <v>0</v>
      </c>
      <c r="O714">
        <v>0</v>
      </c>
      <c r="P714">
        <v>0</v>
      </c>
      <c r="Q714">
        <v>0</v>
      </c>
      <c r="R714">
        <v>0</v>
      </c>
      <c r="S714">
        <v>0</v>
      </c>
      <c r="T714">
        <v>3.4050693448110951E-2</v>
      </c>
      <c r="U714">
        <v>0.96594930655188904</v>
      </c>
      <c r="V714">
        <v>0</v>
      </c>
      <c r="W714">
        <v>0</v>
      </c>
      <c r="X714">
        <v>0</v>
      </c>
      <c r="Y714">
        <v>0</v>
      </c>
      <c r="Z714">
        <v>0</v>
      </c>
      <c r="AA714">
        <v>0</v>
      </c>
      <c r="AB714">
        <v>0</v>
      </c>
      <c r="AC714">
        <v>0</v>
      </c>
      <c r="AD714">
        <v>0</v>
      </c>
      <c r="AE714" t="s">
        <v>249</v>
      </c>
      <c r="AF714">
        <v>10</v>
      </c>
      <c r="AG714" t="s">
        <v>240</v>
      </c>
      <c r="AH714">
        <v>46249</v>
      </c>
      <c r="AI714" t="s">
        <v>149</v>
      </c>
    </row>
    <row r="715" spans="1:35" x14ac:dyDescent="0.25">
      <c r="A715" s="1">
        <v>46250</v>
      </c>
      <c r="B715" t="s">
        <v>13</v>
      </c>
      <c r="C715" t="s">
        <v>10</v>
      </c>
      <c r="D715">
        <v>1.3820224719101126</v>
      </c>
      <c r="E715">
        <v>0</v>
      </c>
      <c r="F715">
        <v>0</v>
      </c>
      <c r="G715">
        <v>1.7647058823529416</v>
      </c>
      <c r="H715">
        <v>0</v>
      </c>
      <c r="I715">
        <v>0</v>
      </c>
      <c r="J715">
        <v>1.2769010043041606</v>
      </c>
      <c r="K715">
        <v>0.27690100430416065</v>
      </c>
      <c r="L715">
        <v>0</v>
      </c>
      <c r="M715">
        <v>0</v>
      </c>
      <c r="N715">
        <v>0</v>
      </c>
      <c r="O715">
        <v>0</v>
      </c>
      <c r="P715">
        <v>0</v>
      </c>
      <c r="Q715">
        <v>0</v>
      </c>
      <c r="R715">
        <v>0</v>
      </c>
      <c r="S715">
        <v>0</v>
      </c>
      <c r="T715">
        <v>0</v>
      </c>
      <c r="U715">
        <v>0</v>
      </c>
      <c r="V715">
        <v>0</v>
      </c>
      <c r="W715">
        <v>0</v>
      </c>
      <c r="X715">
        <v>0</v>
      </c>
      <c r="Y715">
        <v>0</v>
      </c>
      <c r="Z715">
        <v>0</v>
      </c>
      <c r="AA715">
        <v>0</v>
      </c>
      <c r="AB715">
        <v>0</v>
      </c>
      <c r="AC715">
        <v>1</v>
      </c>
      <c r="AD715">
        <v>0</v>
      </c>
      <c r="AE715" t="s">
        <v>249</v>
      </c>
      <c r="AF715">
        <v>10</v>
      </c>
      <c r="AG715" t="s">
        <v>242</v>
      </c>
      <c r="AH715">
        <v>46250</v>
      </c>
      <c r="AI715" t="s">
        <v>149</v>
      </c>
    </row>
    <row r="716" spans="1:35" x14ac:dyDescent="0.25">
      <c r="A716" s="1">
        <v>46250</v>
      </c>
      <c r="B716" t="s">
        <v>13</v>
      </c>
      <c r="C716" t="s">
        <v>11</v>
      </c>
      <c r="D716">
        <v>1.8426966292134832</v>
      </c>
      <c r="E716">
        <v>0</v>
      </c>
      <c r="F716">
        <v>0</v>
      </c>
      <c r="G716">
        <v>6.2745098039215685E-2</v>
      </c>
      <c r="H716">
        <v>0</v>
      </c>
      <c r="I716">
        <v>0</v>
      </c>
      <c r="J716">
        <v>3.4050693448110951E-2</v>
      </c>
      <c r="K716">
        <v>0</v>
      </c>
      <c r="L716">
        <v>0</v>
      </c>
      <c r="M716">
        <v>0</v>
      </c>
      <c r="N716">
        <v>0</v>
      </c>
      <c r="O716">
        <v>0</v>
      </c>
      <c r="P716">
        <v>0</v>
      </c>
      <c r="Q716">
        <v>0</v>
      </c>
      <c r="R716">
        <v>0</v>
      </c>
      <c r="S716">
        <v>0</v>
      </c>
      <c r="T716">
        <v>3.4050693448110951E-2</v>
      </c>
      <c r="U716">
        <v>0.96594930655188904</v>
      </c>
      <c r="V716">
        <v>0</v>
      </c>
      <c r="W716">
        <v>0</v>
      </c>
      <c r="X716">
        <v>0</v>
      </c>
      <c r="Y716">
        <v>0</v>
      </c>
      <c r="Z716">
        <v>0</v>
      </c>
      <c r="AA716">
        <v>0</v>
      </c>
      <c r="AB716">
        <v>0</v>
      </c>
      <c r="AC716">
        <v>0</v>
      </c>
      <c r="AD716">
        <v>0</v>
      </c>
      <c r="AE716" t="s">
        <v>249</v>
      </c>
      <c r="AF716">
        <v>10</v>
      </c>
      <c r="AG716" t="s">
        <v>243</v>
      </c>
      <c r="AH716">
        <v>46250</v>
      </c>
      <c r="AI716" t="s">
        <v>149</v>
      </c>
    </row>
    <row r="717" spans="1:35" x14ac:dyDescent="0.25">
      <c r="A717" s="1">
        <v>46250</v>
      </c>
      <c r="B717" t="s">
        <v>13</v>
      </c>
      <c r="C717" t="s">
        <v>12</v>
      </c>
      <c r="D717">
        <v>2.6014540647719766</v>
      </c>
      <c r="E717">
        <v>0</v>
      </c>
      <c r="F717">
        <v>0</v>
      </c>
      <c r="G717">
        <v>2.0484429065743948</v>
      </c>
      <c r="H717">
        <v>0</v>
      </c>
      <c r="I717">
        <v>0</v>
      </c>
      <c r="J717">
        <v>0.78742228598756581</v>
      </c>
      <c r="K717">
        <v>0</v>
      </c>
      <c r="L717">
        <v>0</v>
      </c>
      <c r="M717">
        <v>0</v>
      </c>
      <c r="N717">
        <v>0</v>
      </c>
      <c r="O717">
        <v>0</v>
      </c>
      <c r="P717">
        <v>0</v>
      </c>
      <c r="Q717">
        <v>0</v>
      </c>
      <c r="R717">
        <v>0</v>
      </c>
      <c r="S717">
        <v>0</v>
      </c>
      <c r="T717">
        <v>0.78742228598756581</v>
      </c>
      <c r="U717">
        <v>0.21257771401243419</v>
      </c>
      <c r="V717">
        <v>0</v>
      </c>
      <c r="W717">
        <v>0</v>
      </c>
      <c r="X717">
        <v>0</v>
      </c>
      <c r="Y717">
        <v>0</v>
      </c>
      <c r="Z717">
        <v>0</v>
      </c>
      <c r="AA717">
        <v>0</v>
      </c>
      <c r="AB717">
        <v>0</v>
      </c>
      <c r="AC717">
        <v>0</v>
      </c>
      <c r="AD717">
        <v>0</v>
      </c>
      <c r="AE717" t="s">
        <v>249</v>
      </c>
      <c r="AF717">
        <v>10</v>
      </c>
      <c r="AG717" t="s">
        <v>244</v>
      </c>
      <c r="AH717">
        <v>46250</v>
      </c>
      <c r="AI717" t="s">
        <v>149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630CC-77D4-431C-9BA5-C101708360B5}">
  <dimension ref="A1:S717"/>
  <sheetViews>
    <sheetView workbookViewId="0">
      <selection activeCell="V13" sqref="V13"/>
    </sheetView>
  </sheetViews>
  <sheetFormatPr defaultRowHeight="15" x14ac:dyDescent="0.25"/>
  <cols>
    <col min="1" max="1" width="10.7109375" bestFit="1" customWidth="1"/>
    <col min="2" max="3" width="6.7109375" bestFit="1" customWidth="1"/>
    <col min="4" max="4" width="12" bestFit="1" customWidth="1"/>
    <col min="5" max="5" width="9.5703125" bestFit="1" customWidth="1"/>
    <col min="6" max="6" width="8.5703125" bestFit="1" customWidth="1"/>
    <col min="7" max="7" width="10.140625" bestFit="1" customWidth="1"/>
    <col min="8" max="8" width="18.140625" bestFit="1" customWidth="1"/>
    <col min="9" max="9" width="27.42578125" bestFit="1" customWidth="1"/>
    <col min="10" max="10" width="12" bestFit="1" customWidth="1"/>
    <col min="11" max="11" width="19.5703125" bestFit="1" customWidth="1"/>
    <col min="12" max="12" width="19.140625" bestFit="1" customWidth="1"/>
    <col min="13" max="13" width="12.28515625" bestFit="1" customWidth="1"/>
    <col min="14" max="14" width="17" bestFit="1" customWidth="1"/>
    <col min="15" max="15" width="13.85546875" bestFit="1" customWidth="1"/>
    <col min="16" max="16" width="25" bestFit="1" customWidth="1"/>
    <col min="17" max="17" width="24.28515625" bestFit="1" customWidth="1"/>
    <col min="18" max="18" width="12.7109375" bestFit="1" customWidth="1"/>
    <col min="19" max="19" width="17.7109375" bestFit="1" customWidth="1"/>
    <col min="20" max="20" width="17.7109375" customWidth="1"/>
    <col min="21" max="21" width="24.28515625" bestFit="1" customWidth="1"/>
    <col min="22" max="22" width="12.7109375" bestFit="1" customWidth="1"/>
    <col min="23" max="23" width="17.7109375" bestFit="1" customWidth="1"/>
    <col min="24" max="24" width="12.7109375" bestFit="1" customWidth="1"/>
    <col min="25" max="25" width="17.7109375" customWidth="1"/>
  </cols>
  <sheetData>
    <row r="1" spans="1:19" x14ac:dyDescent="0.25">
      <c r="A1" t="s">
        <v>0</v>
      </c>
      <c r="B1" t="s">
        <v>14</v>
      </c>
      <c r="C1" t="s">
        <v>15</v>
      </c>
      <c r="D1" t="s">
        <v>2</v>
      </c>
      <c r="E1" t="s">
        <v>135</v>
      </c>
      <c r="F1" t="s">
        <v>153</v>
      </c>
      <c r="G1" t="s">
        <v>145</v>
      </c>
      <c r="H1" t="s">
        <v>38</v>
      </c>
      <c r="I1" t="s">
        <v>138</v>
      </c>
      <c r="J1" t="s">
        <v>39</v>
      </c>
      <c r="K1" t="s">
        <v>139</v>
      </c>
      <c r="L1" t="s">
        <v>40</v>
      </c>
      <c r="M1" t="s">
        <v>124</v>
      </c>
      <c r="N1" t="s">
        <v>132</v>
      </c>
      <c r="O1" t="s">
        <v>133</v>
      </c>
      <c r="P1" t="s">
        <v>41</v>
      </c>
      <c r="Q1" t="s">
        <v>42</v>
      </c>
      <c r="R1" t="s">
        <v>43</v>
      </c>
      <c r="S1" t="s">
        <v>44</v>
      </c>
    </row>
    <row r="2" spans="1:19" x14ac:dyDescent="0.25">
      <c r="A2" s="1">
        <v>46223</v>
      </c>
      <c r="B2" t="s">
        <v>148</v>
      </c>
      <c r="C2" t="s">
        <v>10</v>
      </c>
      <c r="D2">
        <v>11.872563775972576</v>
      </c>
      <c r="E2" t="s">
        <v>245</v>
      </c>
      <c r="F2">
        <v>46223</v>
      </c>
      <c r="G2" t="s">
        <v>149</v>
      </c>
      <c r="H2">
        <v>0</v>
      </c>
      <c r="I2">
        <v>0</v>
      </c>
      <c r="J2">
        <v>1.5563873053843402</v>
      </c>
      <c r="K2">
        <v>1.5563873053843402</v>
      </c>
      <c r="L2">
        <v>0</v>
      </c>
      <c r="M2" t="s">
        <v>125</v>
      </c>
      <c r="N2" t="s">
        <v>125</v>
      </c>
      <c r="O2">
        <v>27.57</v>
      </c>
      <c r="P2">
        <v>0</v>
      </c>
      <c r="Q2">
        <v>326.11294487179157</v>
      </c>
      <c r="R2">
        <v>0</v>
      </c>
      <c r="S2">
        <v>326.11294487179157</v>
      </c>
    </row>
    <row r="3" spans="1:19" x14ac:dyDescent="0.25">
      <c r="A3" s="1">
        <v>46230</v>
      </c>
      <c r="B3" t="s">
        <v>148</v>
      </c>
      <c r="C3" t="s">
        <v>10</v>
      </c>
      <c r="D3">
        <v>4.5818289453651788</v>
      </c>
      <c r="E3" t="s">
        <v>245</v>
      </c>
      <c r="F3">
        <v>46230</v>
      </c>
      <c r="G3" t="s">
        <v>149</v>
      </c>
      <c r="H3">
        <v>1.6641005139925114</v>
      </c>
      <c r="I3">
        <v>1.6641005139925114</v>
      </c>
      <c r="J3">
        <v>0</v>
      </c>
      <c r="K3">
        <v>0</v>
      </c>
      <c r="L3">
        <v>0</v>
      </c>
      <c r="M3" t="s">
        <v>125</v>
      </c>
      <c r="N3" t="s">
        <v>125</v>
      </c>
      <c r="O3">
        <v>27.57</v>
      </c>
      <c r="P3">
        <v>290.88476984589096</v>
      </c>
      <c r="Q3">
        <v>0</v>
      </c>
      <c r="R3">
        <v>0</v>
      </c>
      <c r="S3">
        <v>290.88476984589096</v>
      </c>
    </row>
    <row r="4" spans="1:19" x14ac:dyDescent="0.25">
      <c r="A4" s="1">
        <v>46237</v>
      </c>
      <c r="B4" t="s">
        <v>148</v>
      </c>
      <c r="C4" t="s">
        <v>10</v>
      </c>
      <c r="D4">
        <v>4.7490255103890311</v>
      </c>
      <c r="E4" t="s">
        <v>245</v>
      </c>
      <c r="F4">
        <v>46237</v>
      </c>
      <c r="G4" t="s">
        <v>149</v>
      </c>
      <c r="H4">
        <v>1.8168849228772974</v>
      </c>
      <c r="I4">
        <v>1.8168849228772974</v>
      </c>
      <c r="J4">
        <v>0</v>
      </c>
      <c r="K4">
        <v>0</v>
      </c>
      <c r="L4">
        <v>0</v>
      </c>
      <c r="M4" t="s">
        <v>125</v>
      </c>
      <c r="N4" t="s">
        <v>125</v>
      </c>
      <c r="O4">
        <v>27.57</v>
      </c>
      <c r="P4">
        <v>317.59148451895157</v>
      </c>
      <c r="Q4">
        <v>0</v>
      </c>
      <c r="R4">
        <v>0</v>
      </c>
      <c r="S4">
        <v>317.59148451895157</v>
      </c>
    </row>
    <row r="5" spans="1:19" x14ac:dyDescent="0.25">
      <c r="A5" s="1">
        <v>46223</v>
      </c>
      <c r="B5" t="s">
        <v>148</v>
      </c>
      <c r="C5" t="s">
        <v>12</v>
      </c>
      <c r="D5">
        <v>18.990475234079359</v>
      </c>
      <c r="E5" t="s">
        <v>245</v>
      </c>
      <c r="F5">
        <v>46223</v>
      </c>
      <c r="G5" t="s">
        <v>149</v>
      </c>
      <c r="H5">
        <v>0</v>
      </c>
      <c r="I5">
        <v>0</v>
      </c>
      <c r="J5">
        <v>8.5826933713342619</v>
      </c>
      <c r="K5">
        <v>8.5826933713342619</v>
      </c>
      <c r="L5">
        <v>0</v>
      </c>
      <c r="M5" t="s">
        <v>125</v>
      </c>
      <c r="N5" t="s">
        <v>125</v>
      </c>
      <c r="O5">
        <v>28.36</v>
      </c>
      <c r="P5">
        <v>0</v>
      </c>
      <c r="Q5">
        <v>1849.8793984839015</v>
      </c>
      <c r="R5">
        <v>0</v>
      </c>
      <c r="S5">
        <v>1849.8793984839015</v>
      </c>
    </row>
    <row r="6" spans="1:19" x14ac:dyDescent="0.25">
      <c r="A6" s="1">
        <v>46230</v>
      </c>
      <c r="B6" t="s">
        <v>148</v>
      </c>
      <c r="C6" t="s">
        <v>12</v>
      </c>
      <c r="D6">
        <v>9.0790193580966765</v>
      </c>
      <c r="E6" t="s">
        <v>245</v>
      </c>
      <c r="F6">
        <v>46230</v>
      </c>
      <c r="G6" t="s">
        <v>149</v>
      </c>
      <c r="H6">
        <v>0.13987622728264393</v>
      </c>
      <c r="I6">
        <v>0.13987622728264393</v>
      </c>
      <c r="J6">
        <v>0</v>
      </c>
      <c r="K6">
        <v>0</v>
      </c>
      <c r="L6">
        <v>0</v>
      </c>
      <c r="M6" t="s">
        <v>125</v>
      </c>
      <c r="N6" t="s">
        <v>125</v>
      </c>
      <c r="O6">
        <v>28.36</v>
      </c>
      <c r="P6">
        <v>24.450364529006158</v>
      </c>
      <c r="Q6">
        <v>0</v>
      </c>
      <c r="R6">
        <v>0</v>
      </c>
      <c r="S6">
        <v>24.450364529006158</v>
      </c>
    </row>
    <row r="7" spans="1:19" x14ac:dyDescent="0.25">
      <c r="A7" s="1">
        <v>46237</v>
      </c>
      <c r="B7" t="s">
        <v>148</v>
      </c>
      <c r="C7" t="s">
        <v>12</v>
      </c>
      <c r="D7">
        <v>12.732661490277971</v>
      </c>
      <c r="E7" t="s">
        <v>245</v>
      </c>
      <c r="F7">
        <v>46237</v>
      </c>
      <c r="G7" t="s">
        <v>149</v>
      </c>
      <c r="H7">
        <v>0</v>
      </c>
      <c r="I7">
        <v>0</v>
      </c>
      <c r="J7">
        <v>1.4238379608662068</v>
      </c>
      <c r="K7">
        <v>1.4238379608662068</v>
      </c>
      <c r="L7">
        <v>0</v>
      </c>
      <c r="M7" t="s">
        <v>125</v>
      </c>
      <c r="N7" t="s">
        <v>125</v>
      </c>
      <c r="O7">
        <v>28.36</v>
      </c>
      <c r="P7">
        <v>0</v>
      </c>
      <c r="Q7">
        <v>306.88833873325871</v>
      </c>
      <c r="R7">
        <v>0</v>
      </c>
      <c r="S7">
        <v>306.88833873325871</v>
      </c>
    </row>
    <row r="8" spans="1:19" x14ac:dyDescent="0.25">
      <c r="A8" s="1">
        <v>46244</v>
      </c>
      <c r="B8" t="s">
        <v>148</v>
      </c>
      <c r="C8" t="s">
        <v>12</v>
      </c>
      <c r="D8">
        <v>15.004819938038011</v>
      </c>
      <c r="E8" t="s">
        <v>245</v>
      </c>
      <c r="F8">
        <v>46244</v>
      </c>
      <c r="G8" t="s">
        <v>149</v>
      </c>
      <c r="H8">
        <v>0</v>
      </c>
      <c r="I8">
        <v>0</v>
      </c>
      <c r="J8">
        <v>2.7584964086262467</v>
      </c>
      <c r="K8">
        <v>2.7584964086262467</v>
      </c>
      <c r="L8">
        <v>0</v>
      </c>
      <c r="M8" t="s">
        <v>125</v>
      </c>
      <c r="N8" t="s">
        <v>125</v>
      </c>
      <c r="O8">
        <v>28.36</v>
      </c>
      <c r="P8">
        <v>0</v>
      </c>
      <c r="Q8">
        <v>594.55528192966665</v>
      </c>
      <c r="R8">
        <v>0</v>
      </c>
      <c r="S8">
        <v>594.55528192966665</v>
      </c>
    </row>
    <row r="9" spans="1:19" x14ac:dyDescent="0.25">
      <c r="A9" s="1">
        <v>46224</v>
      </c>
      <c r="B9" t="s">
        <v>148</v>
      </c>
      <c r="C9" t="s">
        <v>10</v>
      </c>
      <c r="D9">
        <v>9.6459556744530079</v>
      </c>
      <c r="E9" t="s">
        <v>245</v>
      </c>
      <c r="F9">
        <v>46224</v>
      </c>
      <c r="G9" t="s">
        <v>149</v>
      </c>
      <c r="H9">
        <v>0.35203468757451195</v>
      </c>
      <c r="I9">
        <v>0.35203468757451195</v>
      </c>
      <c r="J9">
        <v>0</v>
      </c>
      <c r="K9">
        <v>0</v>
      </c>
      <c r="L9">
        <v>0</v>
      </c>
      <c r="M9" t="s">
        <v>126</v>
      </c>
      <c r="N9" t="s">
        <v>126</v>
      </c>
      <c r="O9">
        <v>27.57</v>
      </c>
      <c r="P9">
        <v>61.53566338802468</v>
      </c>
      <c r="Q9">
        <v>0</v>
      </c>
      <c r="R9">
        <v>0</v>
      </c>
      <c r="S9">
        <v>61.53566338802468</v>
      </c>
    </row>
    <row r="10" spans="1:19" x14ac:dyDescent="0.25">
      <c r="A10" s="1">
        <v>46231</v>
      </c>
      <c r="B10" t="s">
        <v>148</v>
      </c>
      <c r="C10" t="s">
        <v>10</v>
      </c>
      <c r="D10">
        <v>6.7039391937448398</v>
      </c>
      <c r="E10" t="s">
        <v>245</v>
      </c>
      <c r="F10">
        <v>46231</v>
      </c>
      <c r="G10" t="s">
        <v>149</v>
      </c>
      <c r="H10">
        <v>0.27606877878337777</v>
      </c>
      <c r="I10">
        <v>0.27606877878337777</v>
      </c>
      <c r="J10">
        <v>0</v>
      </c>
      <c r="K10">
        <v>0</v>
      </c>
      <c r="L10">
        <v>0</v>
      </c>
      <c r="M10" t="s">
        <v>126</v>
      </c>
      <c r="N10" t="s">
        <v>126</v>
      </c>
      <c r="O10">
        <v>27.57</v>
      </c>
      <c r="P10">
        <v>48.256822531334429</v>
      </c>
      <c r="Q10">
        <v>0</v>
      </c>
      <c r="R10">
        <v>0</v>
      </c>
      <c r="S10">
        <v>48.256822531334429</v>
      </c>
    </row>
    <row r="11" spans="1:19" x14ac:dyDescent="0.25">
      <c r="A11" s="1">
        <v>46238</v>
      </c>
      <c r="B11" t="s">
        <v>148</v>
      </c>
      <c r="C11" t="s">
        <v>10</v>
      </c>
      <c r="D11">
        <v>6.7231273851402555</v>
      </c>
      <c r="E11" t="s">
        <v>245</v>
      </c>
      <c r="F11">
        <v>46238</v>
      </c>
      <c r="G11" t="s">
        <v>149</v>
      </c>
      <c r="H11">
        <v>0.95221646833725604</v>
      </c>
      <c r="I11">
        <v>0.95221646833725604</v>
      </c>
      <c r="J11">
        <v>0</v>
      </c>
      <c r="K11">
        <v>0</v>
      </c>
      <c r="L11">
        <v>0</v>
      </c>
      <c r="M11" t="s">
        <v>126</v>
      </c>
      <c r="N11" t="s">
        <v>126</v>
      </c>
      <c r="O11">
        <v>27.57</v>
      </c>
      <c r="P11">
        <v>166.44743866535237</v>
      </c>
      <c r="Q11">
        <v>0</v>
      </c>
      <c r="R11">
        <v>0</v>
      </c>
      <c r="S11">
        <v>166.44743866535237</v>
      </c>
    </row>
    <row r="12" spans="1:19" x14ac:dyDescent="0.25">
      <c r="A12" s="1">
        <v>46245</v>
      </c>
      <c r="B12" t="s">
        <v>148</v>
      </c>
      <c r="C12" t="s">
        <v>10</v>
      </c>
      <c r="D12">
        <v>6.4465751177755974</v>
      </c>
      <c r="E12" t="s">
        <v>245</v>
      </c>
      <c r="F12">
        <v>46245</v>
      </c>
      <c r="G12" t="s">
        <v>149</v>
      </c>
      <c r="H12">
        <v>0.74511268300893274</v>
      </c>
      <c r="I12">
        <v>0.74511268300893274</v>
      </c>
      <c r="J12">
        <v>0</v>
      </c>
      <c r="K12">
        <v>0</v>
      </c>
      <c r="L12">
        <v>0.74657511777559848</v>
      </c>
      <c r="M12" t="s">
        <v>126</v>
      </c>
      <c r="N12" t="s">
        <v>126</v>
      </c>
      <c r="O12">
        <v>27.57</v>
      </c>
      <c r="P12">
        <v>130.24569698996143</v>
      </c>
      <c r="Q12">
        <v>0</v>
      </c>
      <c r="R12">
        <v>0</v>
      </c>
      <c r="S12">
        <v>130.24569698996143</v>
      </c>
    </row>
    <row r="13" spans="1:19" x14ac:dyDescent="0.25">
      <c r="A13" s="1">
        <v>46224</v>
      </c>
      <c r="B13" t="s">
        <v>148</v>
      </c>
      <c r="C13" t="s">
        <v>11</v>
      </c>
      <c r="D13">
        <v>104.20847446967396</v>
      </c>
      <c r="E13" t="s">
        <v>245</v>
      </c>
      <c r="F13">
        <v>46224</v>
      </c>
      <c r="G13" t="s">
        <v>149</v>
      </c>
      <c r="H13">
        <v>0</v>
      </c>
      <c r="I13">
        <v>0</v>
      </c>
      <c r="J13">
        <v>98.604307803007288</v>
      </c>
      <c r="K13">
        <v>98.604307803007288</v>
      </c>
      <c r="L13">
        <v>0</v>
      </c>
      <c r="M13" t="s">
        <v>126</v>
      </c>
      <c r="N13" t="s">
        <v>126</v>
      </c>
      <c r="O13">
        <v>29.417999999999999</v>
      </c>
      <c r="P13">
        <v>0</v>
      </c>
      <c r="Q13">
        <v>22045.635604811399</v>
      </c>
      <c r="R13">
        <v>0</v>
      </c>
      <c r="S13">
        <v>22045.635604811399</v>
      </c>
    </row>
    <row r="14" spans="1:19" x14ac:dyDescent="0.25">
      <c r="A14" s="1">
        <v>46238</v>
      </c>
      <c r="B14" t="s">
        <v>148</v>
      </c>
      <c r="C14" t="s">
        <v>11</v>
      </c>
      <c r="D14">
        <v>121.57655354795295</v>
      </c>
      <c r="E14" t="s">
        <v>245</v>
      </c>
      <c r="F14">
        <v>46238</v>
      </c>
      <c r="G14" t="s">
        <v>149</v>
      </c>
      <c r="H14">
        <v>0</v>
      </c>
      <c r="I14">
        <v>0</v>
      </c>
      <c r="J14">
        <v>116.88905354795295</v>
      </c>
      <c r="K14">
        <v>116.88905354795295</v>
      </c>
      <c r="L14">
        <v>0</v>
      </c>
      <c r="M14" t="s">
        <v>126</v>
      </c>
      <c r="N14" t="s">
        <v>126</v>
      </c>
      <c r="O14">
        <v>29.417999999999999</v>
      </c>
      <c r="P14">
        <v>0</v>
      </c>
      <c r="Q14">
        <v>26133.680547279964</v>
      </c>
      <c r="R14">
        <v>0</v>
      </c>
      <c r="S14">
        <v>26133.680547279964</v>
      </c>
    </row>
    <row r="15" spans="1:19" x14ac:dyDescent="0.25">
      <c r="A15" s="1">
        <v>46245</v>
      </c>
      <c r="B15" t="s">
        <v>148</v>
      </c>
      <c r="C15" t="s">
        <v>11</v>
      </c>
      <c r="D15">
        <v>84.233307927160865</v>
      </c>
      <c r="E15" t="s">
        <v>245</v>
      </c>
      <c r="F15">
        <v>46245</v>
      </c>
      <c r="G15" t="s">
        <v>149</v>
      </c>
      <c r="H15">
        <v>0</v>
      </c>
      <c r="I15">
        <v>0</v>
      </c>
      <c r="J15">
        <v>79.545807927160865</v>
      </c>
      <c r="K15">
        <v>79.545807927160865</v>
      </c>
      <c r="L15">
        <v>0</v>
      </c>
      <c r="M15" t="s">
        <v>126</v>
      </c>
      <c r="N15" t="s">
        <v>126</v>
      </c>
      <c r="O15">
        <v>29.417999999999999</v>
      </c>
      <c r="P15">
        <v>0</v>
      </c>
      <c r="Q15">
        <v>17784.597189769258</v>
      </c>
      <c r="R15">
        <v>0</v>
      </c>
      <c r="S15">
        <v>17784.597189769258</v>
      </c>
    </row>
    <row r="16" spans="1:19" x14ac:dyDescent="0.25">
      <c r="A16" s="1">
        <v>46224</v>
      </c>
      <c r="B16" t="s">
        <v>148</v>
      </c>
      <c r="C16" t="s">
        <v>12</v>
      </c>
      <c r="D16">
        <v>1.5839463047091378</v>
      </c>
      <c r="E16" t="s">
        <v>245</v>
      </c>
      <c r="F16">
        <v>46224</v>
      </c>
      <c r="G16" t="s">
        <v>149</v>
      </c>
      <c r="H16">
        <v>7.3235773260471113</v>
      </c>
      <c r="I16">
        <v>7.3235773260471113</v>
      </c>
      <c r="J16">
        <v>0</v>
      </c>
      <c r="K16">
        <v>0</v>
      </c>
      <c r="L16">
        <v>0</v>
      </c>
      <c r="M16" t="s">
        <v>126</v>
      </c>
      <c r="N16" t="s">
        <v>126</v>
      </c>
      <c r="O16">
        <v>28.36</v>
      </c>
      <c r="P16">
        <v>1280.1613165930351</v>
      </c>
      <c r="Q16">
        <v>0</v>
      </c>
      <c r="R16">
        <v>0</v>
      </c>
      <c r="S16">
        <v>1280.1613165930351</v>
      </c>
    </row>
    <row r="17" spans="1:19" x14ac:dyDescent="0.25">
      <c r="A17" s="1">
        <v>46231</v>
      </c>
      <c r="B17" t="s">
        <v>148</v>
      </c>
      <c r="C17" t="s">
        <v>12</v>
      </c>
      <c r="D17">
        <v>14.58321711695292</v>
      </c>
      <c r="E17" t="s">
        <v>245</v>
      </c>
      <c r="F17">
        <v>46231</v>
      </c>
      <c r="G17" t="s">
        <v>149</v>
      </c>
      <c r="H17">
        <v>0</v>
      </c>
      <c r="I17">
        <v>0</v>
      </c>
      <c r="J17">
        <v>3.3332171169529188</v>
      </c>
      <c r="K17">
        <v>3.3332171169529188</v>
      </c>
      <c r="L17">
        <v>0</v>
      </c>
      <c r="M17" t="s">
        <v>126</v>
      </c>
      <c r="N17" t="s">
        <v>126</v>
      </c>
      <c r="O17">
        <v>28.36</v>
      </c>
      <c r="P17">
        <v>0</v>
      </c>
      <c r="Q17">
        <v>718.42828451956427</v>
      </c>
      <c r="R17">
        <v>0</v>
      </c>
      <c r="S17">
        <v>718.42828451956427</v>
      </c>
    </row>
    <row r="18" spans="1:19" x14ac:dyDescent="0.25">
      <c r="A18" s="1">
        <v>46238</v>
      </c>
      <c r="B18" t="s">
        <v>148</v>
      </c>
      <c r="C18" t="s">
        <v>12</v>
      </c>
      <c r="D18">
        <v>12.406068484880596</v>
      </c>
      <c r="E18" t="s">
        <v>245</v>
      </c>
      <c r="F18">
        <v>46238</v>
      </c>
      <c r="G18" t="s">
        <v>149</v>
      </c>
      <c r="H18">
        <v>0</v>
      </c>
      <c r="I18">
        <v>0</v>
      </c>
      <c r="J18">
        <v>0.21856848488059563</v>
      </c>
      <c r="K18">
        <v>0.21856848488059563</v>
      </c>
      <c r="L18">
        <v>0</v>
      </c>
      <c r="M18" t="s">
        <v>126</v>
      </c>
      <c r="N18" t="s">
        <v>126</v>
      </c>
      <c r="O18">
        <v>28.36</v>
      </c>
      <c r="P18">
        <v>0</v>
      </c>
      <c r="Q18">
        <v>47.109376957224057</v>
      </c>
      <c r="R18">
        <v>0</v>
      </c>
      <c r="S18">
        <v>47.109376957224057</v>
      </c>
    </row>
    <row r="19" spans="1:19" x14ac:dyDescent="0.25">
      <c r="A19" s="1">
        <v>46245</v>
      </c>
      <c r="B19" t="s">
        <v>148</v>
      </c>
      <c r="C19" t="s">
        <v>12</v>
      </c>
      <c r="D19">
        <v>10.550264018932976</v>
      </c>
      <c r="E19" t="s">
        <v>245</v>
      </c>
      <c r="F19">
        <v>46245</v>
      </c>
      <c r="G19" t="s">
        <v>149</v>
      </c>
      <c r="H19">
        <v>0.15518436108602796</v>
      </c>
      <c r="I19">
        <v>0.15518436108602796</v>
      </c>
      <c r="J19">
        <v>0</v>
      </c>
      <c r="K19">
        <v>0</v>
      </c>
      <c r="L19">
        <v>0.10026401893297715</v>
      </c>
      <c r="M19" t="s">
        <v>126</v>
      </c>
      <c r="N19" t="s">
        <v>126</v>
      </c>
      <c r="O19">
        <v>28.36</v>
      </c>
      <c r="P19">
        <v>27.126226317837684</v>
      </c>
      <c r="Q19">
        <v>0</v>
      </c>
      <c r="R19">
        <v>0</v>
      </c>
      <c r="S19">
        <v>27.126226317837684</v>
      </c>
    </row>
    <row r="20" spans="1:19" x14ac:dyDescent="0.25">
      <c r="A20" s="1">
        <v>46225</v>
      </c>
      <c r="B20" t="s">
        <v>148</v>
      </c>
      <c r="C20" t="s">
        <v>10</v>
      </c>
      <c r="D20">
        <v>4.8165472001102021</v>
      </c>
      <c r="E20" t="s">
        <v>245</v>
      </c>
      <c r="F20">
        <v>46225</v>
      </c>
      <c r="G20" t="s">
        <v>149</v>
      </c>
      <c r="H20">
        <v>1.5382270095471533</v>
      </c>
      <c r="I20">
        <v>1.5382270095471533</v>
      </c>
      <c r="J20">
        <v>0</v>
      </c>
      <c r="K20">
        <v>0</v>
      </c>
      <c r="L20">
        <v>6.6547200110201973E-2</v>
      </c>
      <c r="M20" t="s">
        <v>127</v>
      </c>
      <c r="N20" t="s">
        <v>127</v>
      </c>
      <c r="O20">
        <v>27.57</v>
      </c>
      <c r="P20">
        <v>268.88208126884234</v>
      </c>
      <c r="Q20">
        <v>0</v>
      </c>
      <c r="R20">
        <v>0</v>
      </c>
      <c r="S20">
        <v>268.88208126884234</v>
      </c>
    </row>
    <row r="21" spans="1:19" x14ac:dyDescent="0.25">
      <c r="A21" s="1">
        <v>46232</v>
      </c>
      <c r="B21" t="s">
        <v>148</v>
      </c>
      <c r="C21" t="s">
        <v>10</v>
      </c>
      <c r="D21">
        <v>6.5889915552909413</v>
      </c>
      <c r="E21" t="s">
        <v>245</v>
      </c>
      <c r="F21">
        <v>46232</v>
      </c>
      <c r="G21" t="s">
        <v>149</v>
      </c>
      <c r="H21">
        <v>1.0993444683379405</v>
      </c>
      <c r="I21">
        <v>1.0993444683379405</v>
      </c>
      <c r="J21">
        <v>0</v>
      </c>
      <c r="K21">
        <v>0</v>
      </c>
      <c r="L21">
        <v>0</v>
      </c>
      <c r="M21" t="s">
        <v>127</v>
      </c>
      <c r="N21" t="s">
        <v>127</v>
      </c>
      <c r="O21">
        <v>27.57</v>
      </c>
      <c r="P21">
        <v>192.16541306547199</v>
      </c>
      <c r="Q21">
        <v>0</v>
      </c>
      <c r="R21">
        <v>0</v>
      </c>
      <c r="S21">
        <v>192.16541306547199</v>
      </c>
    </row>
    <row r="22" spans="1:19" x14ac:dyDescent="0.25">
      <c r="A22" s="1">
        <v>46239</v>
      </c>
      <c r="B22" t="s">
        <v>148</v>
      </c>
      <c r="C22" t="s">
        <v>10</v>
      </c>
      <c r="D22">
        <v>9.5830614364405253</v>
      </c>
      <c r="E22" t="s">
        <v>245</v>
      </c>
      <c r="F22">
        <v>46239</v>
      </c>
      <c r="G22" t="s">
        <v>149</v>
      </c>
      <c r="H22">
        <v>0.32682792589239362</v>
      </c>
      <c r="I22">
        <v>0.32682792589239362</v>
      </c>
      <c r="J22">
        <v>0</v>
      </c>
      <c r="K22">
        <v>0</v>
      </c>
      <c r="L22">
        <v>0</v>
      </c>
      <c r="M22" t="s">
        <v>127</v>
      </c>
      <c r="N22" t="s">
        <v>127</v>
      </c>
      <c r="O22">
        <v>27.57</v>
      </c>
      <c r="P22">
        <v>57.129521445990406</v>
      </c>
      <c r="Q22">
        <v>0</v>
      </c>
      <c r="R22">
        <v>0</v>
      </c>
      <c r="S22">
        <v>57.129521445990406</v>
      </c>
    </row>
    <row r="23" spans="1:19" x14ac:dyDescent="0.25">
      <c r="A23" s="1">
        <v>46246</v>
      </c>
      <c r="B23" t="s">
        <v>148</v>
      </c>
      <c r="C23" t="s">
        <v>10</v>
      </c>
      <c r="D23">
        <v>6.6480730337969662</v>
      </c>
      <c r="E23" t="s">
        <v>245</v>
      </c>
      <c r="F23">
        <v>46246</v>
      </c>
      <c r="G23" t="s">
        <v>149</v>
      </c>
      <c r="H23">
        <v>0.70106788417047028</v>
      </c>
      <c r="I23">
        <v>0.70106788417047028</v>
      </c>
      <c r="J23">
        <v>0</v>
      </c>
      <c r="K23">
        <v>0</v>
      </c>
      <c r="L23">
        <v>0</v>
      </c>
      <c r="M23" t="s">
        <v>127</v>
      </c>
      <c r="N23" t="s">
        <v>127</v>
      </c>
      <c r="O23">
        <v>27.57</v>
      </c>
      <c r="P23">
        <v>122.5466661529982</v>
      </c>
      <c r="Q23">
        <v>0</v>
      </c>
      <c r="R23">
        <v>0</v>
      </c>
      <c r="S23">
        <v>122.5466661529982</v>
      </c>
    </row>
    <row r="24" spans="1:19" x14ac:dyDescent="0.25">
      <c r="A24" s="1">
        <v>46225</v>
      </c>
      <c r="B24" t="s">
        <v>148</v>
      </c>
      <c r="C24" t="s">
        <v>11</v>
      </c>
      <c r="D24">
        <v>14.404627140516496</v>
      </c>
      <c r="E24" t="s">
        <v>245</v>
      </c>
      <c r="F24">
        <v>46225</v>
      </c>
      <c r="G24" t="s">
        <v>149</v>
      </c>
      <c r="H24">
        <v>0</v>
      </c>
      <c r="I24">
        <v>0</v>
      </c>
      <c r="J24">
        <v>8.7513533309926874</v>
      </c>
      <c r="K24">
        <v>8.7513533309926874</v>
      </c>
      <c r="L24">
        <v>0</v>
      </c>
      <c r="M24" t="s">
        <v>127</v>
      </c>
      <c r="N24" t="s">
        <v>127</v>
      </c>
      <c r="O24">
        <v>29.417999999999999</v>
      </c>
      <c r="P24">
        <v>0</v>
      </c>
      <c r="Q24">
        <v>1956.5995734126855</v>
      </c>
      <c r="R24">
        <v>0</v>
      </c>
      <c r="S24">
        <v>1956.5995734126855</v>
      </c>
    </row>
    <row r="25" spans="1:19" x14ac:dyDescent="0.25">
      <c r="A25" s="1">
        <v>46232</v>
      </c>
      <c r="B25" t="s">
        <v>148</v>
      </c>
      <c r="C25" t="s">
        <v>11</v>
      </c>
      <c r="D25">
        <v>100.60731768454488</v>
      </c>
      <c r="E25" t="s">
        <v>245</v>
      </c>
      <c r="F25">
        <v>46232</v>
      </c>
      <c r="G25" t="s">
        <v>149</v>
      </c>
      <c r="H25">
        <v>0</v>
      </c>
      <c r="I25">
        <v>0</v>
      </c>
      <c r="J25">
        <v>95.919817684544881</v>
      </c>
      <c r="K25">
        <v>95.919817684544881</v>
      </c>
      <c r="L25">
        <v>0</v>
      </c>
      <c r="M25" t="s">
        <v>127</v>
      </c>
      <c r="N25" t="s">
        <v>127</v>
      </c>
      <c r="O25">
        <v>29.417999999999999</v>
      </c>
      <c r="P25">
        <v>0</v>
      </c>
      <c r="Q25">
        <v>21445.445894493951</v>
      </c>
      <c r="R25">
        <v>0</v>
      </c>
      <c r="S25">
        <v>21445.445894493951</v>
      </c>
    </row>
    <row r="26" spans="1:19" x14ac:dyDescent="0.25">
      <c r="A26" s="1">
        <v>46239</v>
      </c>
      <c r="B26" t="s">
        <v>148</v>
      </c>
      <c r="C26" t="s">
        <v>11</v>
      </c>
      <c r="D26">
        <v>20.121463536908973</v>
      </c>
      <c r="E26" t="s">
        <v>245</v>
      </c>
      <c r="F26">
        <v>46239</v>
      </c>
      <c r="G26" t="s">
        <v>149</v>
      </c>
      <c r="H26">
        <v>0</v>
      </c>
      <c r="I26">
        <v>0</v>
      </c>
      <c r="J26">
        <v>14.517296870242307</v>
      </c>
      <c r="K26">
        <v>14.517296870242307</v>
      </c>
      <c r="L26">
        <v>0</v>
      </c>
      <c r="M26" t="s">
        <v>127</v>
      </c>
      <c r="N26" t="s">
        <v>127</v>
      </c>
      <c r="O26">
        <v>29.417999999999999</v>
      </c>
      <c r="P26">
        <v>0</v>
      </c>
      <c r="Q26">
        <v>3245.73077889879</v>
      </c>
      <c r="R26">
        <v>0</v>
      </c>
      <c r="S26">
        <v>3245.73077889879</v>
      </c>
    </row>
    <row r="27" spans="1:19" x14ac:dyDescent="0.25">
      <c r="A27" s="1">
        <v>46246</v>
      </c>
      <c r="B27" t="s">
        <v>148</v>
      </c>
      <c r="C27" t="s">
        <v>11</v>
      </c>
      <c r="D27">
        <v>129.97925271325423</v>
      </c>
      <c r="E27" t="s">
        <v>245</v>
      </c>
      <c r="F27">
        <v>46246</v>
      </c>
      <c r="G27" t="s">
        <v>149</v>
      </c>
      <c r="H27">
        <v>0</v>
      </c>
      <c r="I27">
        <v>0</v>
      </c>
      <c r="J27">
        <v>124.37508604658755</v>
      </c>
      <c r="K27">
        <v>124.37508604658755</v>
      </c>
      <c r="L27">
        <v>0</v>
      </c>
      <c r="M27" t="s">
        <v>127</v>
      </c>
      <c r="N27" t="s">
        <v>127</v>
      </c>
      <c r="O27">
        <v>29.417999999999999</v>
      </c>
      <c r="P27">
        <v>0</v>
      </c>
      <c r="Q27">
        <v>27807.383738020693</v>
      </c>
      <c r="R27">
        <v>0</v>
      </c>
      <c r="S27">
        <v>27807.383738020693</v>
      </c>
    </row>
    <row r="28" spans="1:19" x14ac:dyDescent="0.25">
      <c r="A28" s="1">
        <v>46225</v>
      </c>
      <c r="B28" t="s">
        <v>148</v>
      </c>
      <c r="C28" t="s">
        <v>12</v>
      </c>
      <c r="D28">
        <v>10.479928925473422</v>
      </c>
      <c r="E28" t="s">
        <v>245</v>
      </c>
      <c r="F28">
        <v>46225</v>
      </c>
      <c r="G28" t="s">
        <v>149</v>
      </c>
      <c r="H28">
        <v>0.24990490479252925</v>
      </c>
      <c r="I28">
        <v>0.24990490479252925</v>
      </c>
      <c r="J28">
        <v>0</v>
      </c>
      <c r="K28">
        <v>0</v>
      </c>
      <c r="L28">
        <v>2.9928925473422394E-2</v>
      </c>
      <c r="M28" t="s">
        <v>127</v>
      </c>
      <c r="N28" t="s">
        <v>127</v>
      </c>
      <c r="O28">
        <v>28.36</v>
      </c>
      <c r="P28">
        <v>43.683377357734109</v>
      </c>
      <c r="Q28">
        <v>0</v>
      </c>
      <c r="R28">
        <v>0</v>
      </c>
      <c r="S28">
        <v>43.683377357734109</v>
      </c>
    </row>
    <row r="29" spans="1:19" x14ac:dyDescent="0.25">
      <c r="A29" s="1">
        <v>46232</v>
      </c>
      <c r="B29" t="s">
        <v>148</v>
      </c>
      <c r="C29" t="s">
        <v>12</v>
      </c>
      <c r="D29">
        <v>6.4145605235112502</v>
      </c>
      <c r="E29" t="s">
        <v>245</v>
      </c>
      <c r="F29">
        <v>46232</v>
      </c>
      <c r="G29" t="s">
        <v>149</v>
      </c>
      <c r="H29">
        <v>0.90054742268063248</v>
      </c>
      <c r="I29">
        <v>0.90054742268063248</v>
      </c>
      <c r="J29">
        <v>0</v>
      </c>
      <c r="K29">
        <v>0</v>
      </c>
      <c r="L29">
        <v>0.71456052351125066</v>
      </c>
      <c r="M29" t="s">
        <v>127</v>
      </c>
      <c r="N29" t="s">
        <v>127</v>
      </c>
      <c r="O29">
        <v>28.36</v>
      </c>
      <c r="P29">
        <v>157.41568948457456</v>
      </c>
      <c r="Q29">
        <v>0</v>
      </c>
      <c r="R29">
        <v>0</v>
      </c>
      <c r="S29">
        <v>157.41568948457456</v>
      </c>
    </row>
    <row r="30" spans="1:19" x14ac:dyDescent="0.25">
      <c r="A30" s="1">
        <v>46239</v>
      </c>
      <c r="B30" t="s">
        <v>148</v>
      </c>
      <c r="C30" t="s">
        <v>12</v>
      </c>
      <c r="D30">
        <v>4.5219070995087289</v>
      </c>
      <c r="E30" t="s">
        <v>245</v>
      </c>
      <c r="F30">
        <v>46239</v>
      </c>
      <c r="G30" t="s">
        <v>149</v>
      </c>
      <c r="H30">
        <v>1.8656368636399634</v>
      </c>
      <c r="I30">
        <v>1.8656368636399634</v>
      </c>
      <c r="J30">
        <v>0</v>
      </c>
      <c r="K30">
        <v>0</v>
      </c>
      <c r="L30">
        <v>0</v>
      </c>
      <c r="M30" t="s">
        <v>127</v>
      </c>
      <c r="N30" t="s">
        <v>127</v>
      </c>
      <c r="O30">
        <v>28.36</v>
      </c>
      <c r="P30">
        <v>326.1133237642656</v>
      </c>
      <c r="Q30">
        <v>0</v>
      </c>
      <c r="R30">
        <v>0</v>
      </c>
      <c r="S30">
        <v>326.1133237642656</v>
      </c>
    </row>
    <row r="31" spans="1:19" x14ac:dyDescent="0.25">
      <c r="A31" s="1">
        <v>46246</v>
      </c>
      <c r="B31" t="s">
        <v>148</v>
      </c>
      <c r="C31" t="s">
        <v>12</v>
      </c>
      <c r="D31">
        <v>10.167972099188113</v>
      </c>
      <c r="E31" t="s">
        <v>245</v>
      </c>
      <c r="F31">
        <v>46246</v>
      </c>
      <c r="G31" t="s">
        <v>149</v>
      </c>
      <c r="H31">
        <v>0.18566019716794768</v>
      </c>
      <c r="I31">
        <v>0.18566019716794768</v>
      </c>
      <c r="J31">
        <v>0</v>
      </c>
      <c r="K31">
        <v>0</v>
      </c>
      <c r="L31">
        <v>0.66797209918811307</v>
      </c>
      <c r="M31" t="s">
        <v>127</v>
      </c>
      <c r="N31" t="s">
        <v>127</v>
      </c>
      <c r="O31">
        <v>28.36</v>
      </c>
      <c r="P31">
        <v>32.45340246495725</v>
      </c>
      <c r="Q31">
        <v>0</v>
      </c>
      <c r="R31">
        <v>0</v>
      </c>
      <c r="S31">
        <v>32.45340246495725</v>
      </c>
    </row>
    <row r="32" spans="1:19" x14ac:dyDescent="0.25">
      <c r="A32" s="1">
        <v>46226</v>
      </c>
      <c r="B32" t="s">
        <v>148</v>
      </c>
      <c r="C32" t="s">
        <v>12</v>
      </c>
      <c r="D32">
        <v>17.26023193497435</v>
      </c>
      <c r="E32" t="s">
        <v>245</v>
      </c>
      <c r="F32">
        <v>46226</v>
      </c>
      <c r="G32" t="s">
        <v>149</v>
      </c>
      <c r="H32">
        <v>0</v>
      </c>
      <c r="I32">
        <v>0</v>
      </c>
      <c r="J32">
        <v>5.0349715183076844</v>
      </c>
      <c r="K32">
        <v>5.0349715183076844</v>
      </c>
      <c r="L32">
        <v>0</v>
      </c>
      <c r="M32" t="s">
        <v>128</v>
      </c>
      <c r="N32" t="s">
        <v>128</v>
      </c>
      <c r="O32">
        <v>28.36</v>
      </c>
      <c r="P32">
        <v>0</v>
      </c>
      <c r="Q32">
        <v>1085.217621169965</v>
      </c>
      <c r="R32">
        <v>0</v>
      </c>
      <c r="S32">
        <v>1085.217621169965</v>
      </c>
    </row>
    <row r="33" spans="1:19" x14ac:dyDescent="0.25">
      <c r="A33" s="1">
        <v>46233</v>
      </c>
      <c r="B33" t="s">
        <v>148</v>
      </c>
      <c r="C33" t="s">
        <v>12</v>
      </c>
      <c r="D33">
        <v>8.3260201222355779</v>
      </c>
      <c r="E33" t="s">
        <v>245</v>
      </c>
      <c r="F33">
        <v>46233</v>
      </c>
      <c r="G33" t="s">
        <v>149</v>
      </c>
      <c r="H33">
        <v>0.46378459589016652</v>
      </c>
      <c r="I33">
        <v>0.46378459589016652</v>
      </c>
      <c r="J33">
        <v>0</v>
      </c>
      <c r="K33">
        <v>0</v>
      </c>
      <c r="L33">
        <v>0.72602012223557777</v>
      </c>
      <c r="M33" t="s">
        <v>128</v>
      </c>
      <c r="N33" t="s">
        <v>128</v>
      </c>
      <c r="O33">
        <v>28.36</v>
      </c>
      <c r="P33">
        <v>81.06954736160111</v>
      </c>
      <c r="Q33">
        <v>0</v>
      </c>
      <c r="R33">
        <v>0</v>
      </c>
      <c r="S33">
        <v>81.06954736160111</v>
      </c>
    </row>
    <row r="34" spans="1:19" x14ac:dyDescent="0.25">
      <c r="A34" s="1">
        <v>46240</v>
      </c>
      <c r="B34" t="s">
        <v>148</v>
      </c>
      <c r="C34" t="s">
        <v>12</v>
      </c>
      <c r="D34">
        <v>2.1330715616460858</v>
      </c>
      <c r="E34" t="s">
        <v>245</v>
      </c>
      <c r="F34">
        <v>46240</v>
      </c>
      <c r="G34" t="s">
        <v>149</v>
      </c>
      <c r="H34">
        <v>5.1433319454853237</v>
      </c>
      <c r="I34">
        <v>5.1433319454853237</v>
      </c>
      <c r="J34">
        <v>0</v>
      </c>
      <c r="K34">
        <v>0</v>
      </c>
      <c r="L34">
        <v>0.23307156164608578</v>
      </c>
      <c r="M34" t="s">
        <v>128</v>
      </c>
      <c r="N34" t="s">
        <v>128</v>
      </c>
      <c r="O34">
        <v>28.36</v>
      </c>
      <c r="P34">
        <v>899.05442407083444</v>
      </c>
      <c r="Q34">
        <v>0</v>
      </c>
      <c r="R34">
        <v>0</v>
      </c>
      <c r="S34">
        <v>899.05442407083444</v>
      </c>
    </row>
    <row r="35" spans="1:19" x14ac:dyDescent="0.25">
      <c r="A35" s="1">
        <v>46247</v>
      </c>
      <c r="B35" t="s">
        <v>148</v>
      </c>
      <c r="C35" t="s">
        <v>12</v>
      </c>
      <c r="D35">
        <v>1.7647714358942432</v>
      </c>
      <c r="E35" t="s">
        <v>245</v>
      </c>
      <c r="F35">
        <v>46247</v>
      </c>
      <c r="G35" t="s">
        <v>149</v>
      </c>
      <c r="H35">
        <v>6.1125686814550217</v>
      </c>
      <c r="I35">
        <v>6.1125686814550217</v>
      </c>
      <c r="J35">
        <v>0</v>
      </c>
      <c r="K35">
        <v>0</v>
      </c>
      <c r="L35">
        <v>0</v>
      </c>
      <c r="M35" t="s">
        <v>128</v>
      </c>
      <c r="N35" t="s">
        <v>128</v>
      </c>
      <c r="O35">
        <v>28.36</v>
      </c>
      <c r="P35">
        <v>1068.4770055183378</v>
      </c>
      <c r="Q35">
        <v>0</v>
      </c>
      <c r="R35">
        <v>0</v>
      </c>
      <c r="S35">
        <v>1068.4770055183378</v>
      </c>
    </row>
    <row r="36" spans="1:19" x14ac:dyDescent="0.25">
      <c r="A36" s="1">
        <v>46226</v>
      </c>
      <c r="B36" t="s">
        <v>148</v>
      </c>
      <c r="C36" t="s">
        <v>11</v>
      </c>
      <c r="D36">
        <v>2.1100528037865955</v>
      </c>
      <c r="E36" t="s">
        <v>245</v>
      </c>
      <c r="F36">
        <v>46226</v>
      </c>
      <c r="G36" t="s">
        <v>149</v>
      </c>
      <c r="H36">
        <v>0.76733333875554677</v>
      </c>
      <c r="I36">
        <v>0.76733333875554677</v>
      </c>
      <c r="J36">
        <v>0</v>
      </c>
      <c r="K36">
        <v>0</v>
      </c>
      <c r="L36">
        <v>0.21005280378659552</v>
      </c>
      <c r="M36" t="s">
        <v>128</v>
      </c>
      <c r="N36" t="s">
        <v>128</v>
      </c>
      <c r="O36">
        <v>29.417999999999999</v>
      </c>
      <c r="P36">
        <v>134.12986761446956</v>
      </c>
      <c r="Q36">
        <v>0</v>
      </c>
      <c r="R36">
        <v>0</v>
      </c>
      <c r="S36">
        <v>134.12986761446956</v>
      </c>
    </row>
    <row r="37" spans="1:19" x14ac:dyDescent="0.25">
      <c r="A37" s="1">
        <v>46233</v>
      </c>
      <c r="B37" t="s">
        <v>148</v>
      </c>
      <c r="C37" t="s">
        <v>11</v>
      </c>
      <c r="D37">
        <v>14.622665930241103</v>
      </c>
      <c r="E37" t="s">
        <v>245</v>
      </c>
      <c r="F37">
        <v>46233</v>
      </c>
      <c r="G37" t="s">
        <v>149</v>
      </c>
      <c r="H37">
        <v>0</v>
      </c>
      <c r="I37">
        <v>0</v>
      </c>
      <c r="J37">
        <v>9.9351659302411033</v>
      </c>
      <c r="K37">
        <v>9.9351659302411033</v>
      </c>
      <c r="L37">
        <v>0</v>
      </c>
      <c r="M37" t="s">
        <v>128</v>
      </c>
      <c r="N37" t="s">
        <v>128</v>
      </c>
      <c r="O37">
        <v>29.417999999999999</v>
      </c>
      <c r="P37">
        <v>0</v>
      </c>
      <c r="Q37">
        <v>2221.272606152329</v>
      </c>
      <c r="R37">
        <v>0</v>
      </c>
      <c r="S37">
        <v>2221.272606152329</v>
      </c>
    </row>
    <row r="38" spans="1:19" x14ac:dyDescent="0.25">
      <c r="A38" s="1">
        <v>46240</v>
      </c>
      <c r="B38" t="s">
        <v>148</v>
      </c>
      <c r="C38" t="s">
        <v>11</v>
      </c>
      <c r="D38">
        <v>16.063256526280863</v>
      </c>
      <c r="E38" t="s">
        <v>245</v>
      </c>
      <c r="F38">
        <v>46240</v>
      </c>
      <c r="G38" t="s">
        <v>149</v>
      </c>
      <c r="H38">
        <v>0</v>
      </c>
      <c r="I38">
        <v>0</v>
      </c>
      <c r="J38">
        <v>10.459089859614197</v>
      </c>
      <c r="K38">
        <v>10.459089859614197</v>
      </c>
      <c r="L38">
        <v>0</v>
      </c>
      <c r="M38" t="s">
        <v>128</v>
      </c>
      <c r="N38" t="s">
        <v>128</v>
      </c>
      <c r="O38">
        <v>29.417999999999999</v>
      </c>
      <c r="P38">
        <v>0</v>
      </c>
      <c r="Q38">
        <v>2338.4098417249911</v>
      </c>
      <c r="R38">
        <v>0</v>
      </c>
      <c r="S38">
        <v>2338.4098417249911</v>
      </c>
    </row>
    <row r="39" spans="1:19" x14ac:dyDescent="0.25">
      <c r="A39" s="1">
        <v>46226</v>
      </c>
      <c r="B39" t="s">
        <v>148</v>
      </c>
      <c r="C39" t="s">
        <v>10</v>
      </c>
      <c r="D39">
        <v>3.3519695968724199</v>
      </c>
      <c r="E39" t="s">
        <v>245</v>
      </c>
      <c r="F39">
        <v>46226</v>
      </c>
      <c r="G39" t="s">
        <v>149</v>
      </c>
      <c r="H39">
        <v>2.3473567617400897</v>
      </c>
      <c r="I39">
        <v>2.3473567617400897</v>
      </c>
      <c r="J39">
        <v>0</v>
      </c>
      <c r="K39">
        <v>0</v>
      </c>
      <c r="L39">
        <v>0.50196959687242038</v>
      </c>
      <c r="M39" t="s">
        <v>128</v>
      </c>
      <c r="N39" t="s">
        <v>128</v>
      </c>
      <c r="O39">
        <v>27.57</v>
      </c>
      <c r="P39">
        <v>410.31796195216765</v>
      </c>
      <c r="Q39">
        <v>0</v>
      </c>
      <c r="R39">
        <v>0</v>
      </c>
      <c r="S39">
        <v>410.31796195216765</v>
      </c>
    </row>
    <row r="40" spans="1:19" x14ac:dyDescent="0.25">
      <c r="A40" s="1">
        <v>46233</v>
      </c>
      <c r="B40" t="s">
        <v>148</v>
      </c>
      <c r="C40" t="s">
        <v>10</v>
      </c>
      <c r="D40">
        <v>5.1847011750184917</v>
      </c>
      <c r="E40" t="s">
        <v>245</v>
      </c>
      <c r="F40">
        <v>46233</v>
      </c>
      <c r="G40" t="s">
        <v>149</v>
      </c>
      <c r="H40">
        <v>1.1698454009665999</v>
      </c>
      <c r="I40">
        <v>1.1698454009665999</v>
      </c>
      <c r="J40">
        <v>0</v>
      </c>
      <c r="K40">
        <v>0</v>
      </c>
      <c r="L40">
        <v>0</v>
      </c>
      <c r="M40" t="s">
        <v>128</v>
      </c>
      <c r="N40" t="s">
        <v>128</v>
      </c>
      <c r="O40">
        <v>27.57</v>
      </c>
      <c r="P40">
        <v>204.48897608896166</v>
      </c>
      <c r="Q40">
        <v>0</v>
      </c>
      <c r="R40">
        <v>0</v>
      </c>
      <c r="S40">
        <v>204.48897608896166</v>
      </c>
    </row>
    <row r="41" spans="1:19" x14ac:dyDescent="0.25">
      <c r="A41" s="1">
        <v>46240</v>
      </c>
      <c r="B41" t="s">
        <v>148</v>
      </c>
      <c r="C41" t="s">
        <v>10</v>
      </c>
      <c r="D41">
        <v>15.192380187263486</v>
      </c>
      <c r="E41" t="s">
        <v>245</v>
      </c>
      <c r="F41">
        <v>46240</v>
      </c>
      <c r="G41" t="s">
        <v>149</v>
      </c>
      <c r="H41">
        <v>0</v>
      </c>
      <c r="I41">
        <v>0</v>
      </c>
      <c r="J41">
        <v>3.02571352059682</v>
      </c>
      <c r="K41">
        <v>3.02571352059682</v>
      </c>
      <c r="L41">
        <v>0</v>
      </c>
      <c r="M41" t="s">
        <v>128</v>
      </c>
      <c r="N41" t="s">
        <v>128</v>
      </c>
      <c r="O41">
        <v>27.57</v>
      </c>
      <c r="P41">
        <v>0</v>
      </c>
      <c r="Q41">
        <v>633.98380539769289</v>
      </c>
      <c r="R41">
        <v>0</v>
      </c>
      <c r="S41">
        <v>633.98380539769289</v>
      </c>
    </row>
    <row r="42" spans="1:19" x14ac:dyDescent="0.25">
      <c r="A42" s="1">
        <v>46227</v>
      </c>
      <c r="B42" t="s">
        <v>148</v>
      </c>
      <c r="C42" t="s">
        <v>10</v>
      </c>
      <c r="D42">
        <v>9.6861471564298931</v>
      </c>
      <c r="E42" t="s">
        <v>245</v>
      </c>
      <c r="F42">
        <v>46227</v>
      </c>
      <c r="G42" t="s">
        <v>149</v>
      </c>
      <c r="H42">
        <v>0.15930167953441443</v>
      </c>
      <c r="I42">
        <v>0.15930167953441443</v>
      </c>
      <c r="J42">
        <v>0</v>
      </c>
      <c r="K42">
        <v>0</v>
      </c>
      <c r="L42">
        <v>0</v>
      </c>
      <c r="M42" t="s">
        <v>129</v>
      </c>
      <c r="N42" t="s">
        <v>129</v>
      </c>
      <c r="O42">
        <v>27.57</v>
      </c>
      <c r="P42">
        <v>27.84593358261564</v>
      </c>
      <c r="Q42">
        <v>0</v>
      </c>
      <c r="R42">
        <v>0</v>
      </c>
      <c r="S42">
        <v>27.84593358261564</v>
      </c>
    </row>
    <row r="43" spans="1:19" x14ac:dyDescent="0.25">
      <c r="A43" s="1">
        <v>46234</v>
      </c>
      <c r="B43" t="s">
        <v>148</v>
      </c>
      <c r="C43" t="s">
        <v>10</v>
      </c>
      <c r="D43">
        <v>5.4470622379231743</v>
      </c>
      <c r="E43" t="s">
        <v>245</v>
      </c>
      <c r="F43">
        <v>46234</v>
      </c>
      <c r="G43" t="s">
        <v>149</v>
      </c>
      <c r="H43">
        <v>1.2482437311164221</v>
      </c>
      <c r="I43">
        <v>1.2482437311164221</v>
      </c>
      <c r="J43">
        <v>0</v>
      </c>
      <c r="K43">
        <v>0</v>
      </c>
      <c r="L43">
        <v>0.69706223792317445</v>
      </c>
      <c r="M43" t="s">
        <v>129</v>
      </c>
      <c r="N43" t="s">
        <v>129</v>
      </c>
      <c r="O43">
        <v>27.57</v>
      </c>
      <c r="P43">
        <v>218.19300419915058</v>
      </c>
      <c r="Q43">
        <v>0</v>
      </c>
      <c r="R43">
        <v>0</v>
      </c>
      <c r="S43">
        <v>218.19300419915058</v>
      </c>
    </row>
    <row r="44" spans="1:19" x14ac:dyDescent="0.25">
      <c r="A44" s="1">
        <v>46241</v>
      </c>
      <c r="B44" t="s">
        <v>148</v>
      </c>
      <c r="C44" t="s">
        <v>10</v>
      </c>
      <c r="D44">
        <v>10.972274579690296</v>
      </c>
      <c r="E44" t="s">
        <v>245</v>
      </c>
      <c r="F44">
        <v>46241</v>
      </c>
      <c r="G44" t="s">
        <v>149</v>
      </c>
      <c r="H44">
        <v>0.19965920470520815</v>
      </c>
      <c r="I44">
        <v>0.19965920470520815</v>
      </c>
      <c r="J44">
        <v>0</v>
      </c>
      <c r="K44">
        <v>0</v>
      </c>
      <c r="L44">
        <v>0</v>
      </c>
      <c r="M44" t="s">
        <v>129</v>
      </c>
      <c r="N44" t="s">
        <v>129</v>
      </c>
      <c r="O44">
        <v>27.57</v>
      </c>
      <c r="P44">
        <v>34.900428982470387</v>
      </c>
      <c r="Q44">
        <v>0</v>
      </c>
      <c r="R44">
        <v>0</v>
      </c>
      <c r="S44">
        <v>34.900428982470387</v>
      </c>
    </row>
    <row r="45" spans="1:19" x14ac:dyDescent="0.25">
      <c r="A45" s="1">
        <v>46227</v>
      </c>
      <c r="B45" t="s">
        <v>148</v>
      </c>
      <c r="C45" t="s">
        <v>11</v>
      </c>
      <c r="D45">
        <v>82.29205934767721</v>
      </c>
      <c r="E45" t="s">
        <v>245</v>
      </c>
      <c r="F45">
        <v>46227</v>
      </c>
      <c r="G45" t="s">
        <v>149</v>
      </c>
      <c r="H45">
        <v>0</v>
      </c>
      <c r="I45">
        <v>0</v>
      </c>
      <c r="J45">
        <v>75.759321252439108</v>
      </c>
      <c r="K45">
        <v>75.759321252439108</v>
      </c>
      <c r="L45">
        <v>0</v>
      </c>
      <c r="M45" t="s">
        <v>129</v>
      </c>
      <c r="N45" t="s">
        <v>129</v>
      </c>
      <c r="O45">
        <v>29.417999999999999</v>
      </c>
      <c r="P45">
        <v>0</v>
      </c>
      <c r="Q45">
        <v>16938.026615792325</v>
      </c>
      <c r="R45">
        <v>0</v>
      </c>
      <c r="S45">
        <v>16938.026615792325</v>
      </c>
    </row>
    <row r="46" spans="1:19" x14ac:dyDescent="0.25">
      <c r="A46" s="1">
        <v>46234</v>
      </c>
      <c r="B46" t="s">
        <v>148</v>
      </c>
      <c r="C46" t="s">
        <v>11</v>
      </c>
      <c r="D46">
        <v>15.344059345332782</v>
      </c>
      <c r="E46" t="s">
        <v>245</v>
      </c>
      <c r="F46">
        <v>46234</v>
      </c>
      <c r="G46" t="s">
        <v>149</v>
      </c>
      <c r="H46">
        <v>0</v>
      </c>
      <c r="I46">
        <v>0</v>
      </c>
      <c r="J46">
        <v>9.7279879167613554</v>
      </c>
      <c r="K46">
        <v>9.7279879167613554</v>
      </c>
      <c r="L46">
        <v>0</v>
      </c>
      <c r="M46" t="s">
        <v>129</v>
      </c>
      <c r="N46" t="s">
        <v>129</v>
      </c>
      <c r="O46">
        <v>29.417999999999999</v>
      </c>
      <c r="P46">
        <v>0</v>
      </c>
      <c r="Q46">
        <v>2174.9524088681701</v>
      </c>
      <c r="R46">
        <v>0</v>
      </c>
      <c r="S46">
        <v>2174.9524088681701</v>
      </c>
    </row>
    <row r="47" spans="1:19" x14ac:dyDescent="0.25">
      <c r="A47" s="1">
        <v>46227</v>
      </c>
      <c r="B47" t="s">
        <v>148</v>
      </c>
      <c r="C47" t="s">
        <v>12</v>
      </c>
      <c r="D47">
        <v>0.33760844860585532</v>
      </c>
      <c r="E47" t="s">
        <v>245</v>
      </c>
      <c r="F47">
        <v>46227</v>
      </c>
      <c r="G47" t="s">
        <v>149</v>
      </c>
      <c r="H47">
        <v>35.011356189227897</v>
      </c>
      <c r="I47">
        <v>35.011356189227897</v>
      </c>
      <c r="J47">
        <v>0</v>
      </c>
      <c r="K47">
        <v>0</v>
      </c>
      <c r="L47">
        <v>0</v>
      </c>
      <c r="M47" t="s">
        <v>129</v>
      </c>
      <c r="N47" t="s">
        <v>129</v>
      </c>
      <c r="O47">
        <v>28.36</v>
      </c>
      <c r="P47">
        <v>6119.9850618770361</v>
      </c>
      <c r="Q47">
        <v>0</v>
      </c>
      <c r="R47">
        <v>0</v>
      </c>
      <c r="S47">
        <v>6119.9850618770361</v>
      </c>
    </row>
    <row r="48" spans="1:19" x14ac:dyDescent="0.25">
      <c r="A48" s="1">
        <v>46234</v>
      </c>
      <c r="B48" t="s">
        <v>148</v>
      </c>
      <c r="C48" t="s">
        <v>12</v>
      </c>
      <c r="D48">
        <v>9.4895347716240384</v>
      </c>
      <c r="E48" t="s">
        <v>245</v>
      </c>
      <c r="F48">
        <v>46234</v>
      </c>
      <c r="G48" t="s">
        <v>149</v>
      </c>
      <c r="H48">
        <v>0.28375607364730637</v>
      </c>
      <c r="I48">
        <v>0.28375607364730637</v>
      </c>
      <c r="J48">
        <v>0</v>
      </c>
      <c r="K48">
        <v>0</v>
      </c>
      <c r="L48">
        <v>0.93953477162403898</v>
      </c>
      <c r="M48" t="s">
        <v>129</v>
      </c>
      <c r="N48" t="s">
        <v>129</v>
      </c>
      <c r="O48">
        <v>28.36</v>
      </c>
      <c r="P48">
        <v>49.600561673549151</v>
      </c>
      <c r="Q48">
        <v>0</v>
      </c>
      <c r="R48">
        <v>0</v>
      </c>
      <c r="S48">
        <v>49.600561673549151</v>
      </c>
    </row>
    <row r="49" spans="1:19" x14ac:dyDescent="0.25">
      <c r="A49" s="1">
        <v>46241</v>
      </c>
      <c r="B49" t="s">
        <v>148</v>
      </c>
      <c r="C49" t="s">
        <v>12</v>
      </c>
      <c r="D49">
        <v>37.404202701790382</v>
      </c>
      <c r="E49" t="s">
        <v>245</v>
      </c>
      <c r="F49">
        <v>46241</v>
      </c>
      <c r="G49" t="s">
        <v>149</v>
      </c>
      <c r="H49">
        <v>0</v>
      </c>
      <c r="I49">
        <v>0</v>
      </c>
      <c r="J49">
        <v>24.296359564535475</v>
      </c>
      <c r="K49">
        <v>24.296359564535475</v>
      </c>
      <c r="L49">
        <v>0</v>
      </c>
      <c r="M49" t="s">
        <v>129</v>
      </c>
      <c r="N49" t="s">
        <v>129</v>
      </c>
      <c r="O49">
        <v>28.36</v>
      </c>
      <c r="P49">
        <v>0</v>
      </c>
      <c r="Q49">
        <v>5236.7401551017183</v>
      </c>
      <c r="R49">
        <v>0</v>
      </c>
      <c r="S49">
        <v>5236.7401551017183</v>
      </c>
    </row>
    <row r="50" spans="1:19" x14ac:dyDescent="0.25">
      <c r="A50" s="1">
        <v>46228</v>
      </c>
      <c r="B50" t="s">
        <v>148</v>
      </c>
      <c r="C50" t="s">
        <v>11</v>
      </c>
      <c r="D50">
        <v>4.2201056075731902</v>
      </c>
      <c r="E50" t="s">
        <v>245</v>
      </c>
      <c r="F50">
        <v>46228</v>
      </c>
      <c r="G50" t="s">
        <v>149</v>
      </c>
      <c r="H50">
        <v>0.1107541933519498</v>
      </c>
      <c r="I50">
        <v>0.1107541933519498</v>
      </c>
      <c r="J50">
        <v>0</v>
      </c>
      <c r="K50">
        <v>0</v>
      </c>
      <c r="L50">
        <v>0.42010560757319049</v>
      </c>
      <c r="M50" t="s">
        <v>119</v>
      </c>
      <c r="N50" t="s">
        <v>119</v>
      </c>
      <c r="O50">
        <v>32.272000000000013</v>
      </c>
      <c r="P50">
        <v>19.359832997920826</v>
      </c>
      <c r="Q50">
        <v>0</v>
      </c>
      <c r="R50">
        <v>0</v>
      </c>
      <c r="S50">
        <v>19.359832997920826</v>
      </c>
    </row>
    <row r="51" spans="1:19" x14ac:dyDescent="0.25">
      <c r="A51" s="1">
        <v>46242</v>
      </c>
      <c r="B51" t="s">
        <v>148</v>
      </c>
      <c r="C51" t="s">
        <v>11</v>
      </c>
      <c r="D51">
        <v>5.3551684951273595</v>
      </c>
      <c r="E51" t="s">
        <v>245</v>
      </c>
      <c r="F51">
        <v>46242</v>
      </c>
      <c r="G51" t="s">
        <v>149</v>
      </c>
      <c r="H51">
        <v>4.6496794968425181E-2</v>
      </c>
      <c r="I51">
        <v>4.6496794968425181E-2</v>
      </c>
      <c r="J51">
        <v>0</v>
      </c>
      <c r="K51">
        <v>0</v>
      </c>
      <c r="L51">
        <v>0.60516849512735948</v>
      </c>
      <c r="M51" t="s">
        <v>119</v>
      </c>
      <c r="N51" t="s">
        <v>119</v>
      </c>
      <c r="O51">
        <v>32.272000000000013</v>
      </c>
      <c r="P51">
        <v>8.1276397604807205</v>
      </c>
      <c r="Q51">
        <v>0</v>
      </c>
      <c r="R51">
        <v>0</v>
      </c>
      <c r="S51">
        <v>8.1276397604807205</v>
      </c>
    </row>
    <row r="52" spans="1:19" x14ac:dyDescent="0.25">
      <c r="A52" s="1">
        <v>46228</v>
      </c>
      <c r="B52" t="s">
        <v>148</v>
      </c>
      <c r="C52" t="s">
        <v>12</v>
      </c>
      <c r="D52">
        <v>14.982653726765909</v>
      </c>
      <c r="E52" t="s">
        <v>245</v>
      </c>
      <c r="F52">
        <v>46228</v>
      </c>
      <c r="G52" t="s">
        <v>149</v>
      </c>
      <c r="H52">
        <v>0</v>
      </c>
      <c r="I52">
        <v>0</v>
      </c>
      <c r="J52">
        <v>2.6777364473541447</v>
      </c>
      <c r="K52">
        <v>2.6777364473541447</v>
      </c>
      <c r="L52">
        <v>0</v>
      </c>
      <c r="M52" t="s">
        <v>119</v>
      </c>
      <c r="N52" t="s">
        <v>119</v>
      </c>
      <c r="O52">
        <v>33.160000000000011</v>
      </c>
      <c r="P52">
        <v>0</v>
      </c>
      <c r="Q52">
        <v>674.83242851640227</v>
      </c>
      <c r="R52">
        <v>0</v>
      </c>
      <c r="S52">
        <v>674.83242851640227</v>
      </c>
    </row>
    <row r="53" spans="1:19" x14ac:dyDescent="0.25">
      <c r="A53" s="1">
        <v>46235</v>
      </c>
      <c r="B53" t="s">
        <v>148</v>
      </c>
      <c r="C53" t="s">
        <v>12</v>
      </c>
      <c r="D53">
        <v>32.391655041239552</v>
      </c>
      <c r="E53" t="s">
        <v>245</v>
      </c>
      <c r="F53">
        <v>46235</v>
      </c>
      <c r="G53" t="s">
        <v>149</v>
      </c>
      <c r="H53">
        <v>0</v>
      </c>
      <c r="I53">
        <v>0</v>
      </c>
      <c r="J53">
        <v>21.082831511827788</v>
      </c>
      <c r="K53">
        <v>21.082831511827788</v>
      </c>
      <c r="L53">
        <v>0</v>
      </c>
      <c r="M53" t="s">
        <v>119</v>
      </c>
      <c r="N53" t="s">
        <v>119</v>
      </c>
      <c r="O53">
        <v>33.160000000000011</v>
      </c>
      <c r="P53">
        <v>0</v>
      </c>
      <c r="Q53">
        <v>5313.2108662847932</v>
      </c>
      <c r="R53">
        <v>0</v>
      </c>
      <c r="S53">
        <v>5313.2108662847932</v>
      </c>
    </row>
    <row r="54" spans="1:19" x14ac:dyDescent="0.25">
      <c r="A54" s="1">
        <v>46242</v>
      </c>
      <c r="B54" t="s">
        <v>148</v>
      </c>
      <c r="C54" t="s">
        <v>12</v>
      </c>
      <c r="D54">
        <v>11.028542654457937</v>
      </c>
      <c r="E54" t="s">
        <v>245</v>
      </c>
      <c r="F54">
        <v>46242</v>
      </c>
      <c r="G54" t="s">
        <v>149</v>
      </c>
      <c r="H54">
        <v>0.19353849447712057</v>
      </c>
      <c r="I54">
        <v>0.19353849447712057</v>
      </c>
      <c r="J54">
        <v>0</v>
      </c>
      <c r="K54">
        <v>0</v>
      </c>
      <c r="L54">
        <v>0</v>
      </c>
      <c r="M54" t="s">
        <v>119</v>
      </c>
      <c r="N54" t="s">
        <v>119</v>
      </c>
      <c r="O54">
        <v>33.160000000000011</v>
      </c>
      <c r="P54">
        <v>33.830528834600671</v>
      </c>
      <c r="Q54">
        <v>0</v>
      </c>
      <c r="R54">
        <v>0</v>
      </c>
      <c r="S54">
        <v>33.830528834600671</v>
      </c>
    </row>
    <row r="55" spans="1:19" x14ac:dyDescent="0.25">
      <c r="A55" s="1">
        <v>46229</v>
      </c>
      <c r="B55" t="s">
        <v>148</v>
      </c>
      <c r="C55" t="s">
        <v>10</v>
      </c>
      <c r="D55">
        <v>10.99709873032308</v>
      </c>
      <c r="E55" t="s">
        <v>245</v>
      </c>
      <c r="F55">
        <v>46229</v>
      </c>
      <c r="G55" t="s">
        <v>149</v>
      </c>
      <c r="H55">
        <v>2.299709003971917E-2</v>
      </c>
      <c r="I55">
        <v>2.299709003971917E-2</v>
      </c>
      <c r="J55">
        <v>0</v>
      </c>
      <c r="K55">
        <v>0</v>
      </c>
      <c r="L55">
        <v>0</v>
      </c>
      <c r="M55" t="s">
        <v>120</v>
      </c>
      <c r="N55" t="s">
        <v>120</v>
      </c>
      <c r="O55">
        <v>42.790000000000006</v>
      </c>
      <c r="P55">
        <v>4.0198913389429105</v>
      </c>
      <c r="Q55">
        <v>0</v>
      </c>
      <c r="R55">
        <v>0</v>
      </c>
      <c r="S55">
        <v>4.0198913389429105</v>
      </c>
    </row>
    <row r="56" spans="1:19" x14ac:dyDescent="0.25">
      <c r="A56" s="1">
        <v>46236</v>
      </c>
      <c r="B56" t="s">
        <v>148</v>
      </c>
      <c r="C56" t="s">
        <v>10</v>
      </c>
      <c r="D56">
        <v>24.195272150086296</v>
      </c>
      <c r="E56" t="s">
        <v>245</v>
      </c>
      <c r="F56">
        <v>46236</v>
      </c>
      <c r="G56" t="s">
        <v>149</v>
      </c>
      <c r="H56">
        <v>0</v>
      </c>
      <c r="I56">
        <v>0</v>
      </c>
      <c r="J56">
        <v>12.007772150086296</v>
      </c>
      <c r="K56">
        <v>12.007772150086296</v>
      </c>
      <c r="L56">
        <v>0</v>
      </c>
      <c r="M56" t="s">
        <v>120</v>
      </c>
      <c r="N56" t="s">
        <v>120</v>
      </c>
      <c r="O56">
        <v>42.790000000000006</v>
      </c>
      <c r="P56">
        <v>0</v>
      </c>
      <c r="Q56">
        <v>3904.9755342966646</v>
      </c>
      <c r="R56">
        <v>0</v>
      </c>
      <c r="S56">
        <v>3904.9755342966646</v>
      </c>
    </row>
    <row r="57" spans="1:19" x14ac:dyDescent="0.25">
      <c r="A57" s="1">
        <v>46243</v>
      </c>
      <c r="B57" t="s">
        <v>148</v>
      </c>
      <c r="C57" t="s">
        <v>10</v>
      </c>
      <c r="D57">
        <v>68.70331929129155</v>
      </c>
      <c r="E57" t="s">
        <v>245</v>
      </c>
      <c r="F57">
        <v>46243</v>
      </c>
      <c r="G57" t="s">
        <v>149</v>
      </c>
      <c r="H57">
        <v>0</v>
      </c>
      <c r="I57">
        <v>0</v>
      </c>
      <c r="J57">
        <v>55.599152624624885</v>
      </c>
      <c r="K57">
        <v>55.599152624624885</v>
      </c>
      <c r="L57">
        <v>0</v>
      </c>
      <c r="M57" t="s">
        <v>120</v>
      </c>
      <c r="N57" t="s">
        <v>120</v>
      </c>
      <c r="O57">
        <v>42.790000000000006</v>
      </c>
      <c r="P57">
        <v>0</v>
      </c>
      <c r="Q57">
        <v>18081.066830138512</v>
      </c>
      <c r="R57">
        <v>0</v>
      </c>
      <c r="S57">
        <v>18081.066830138512</v>
      </c>
    </row>
    <row r="58" spans="1:19" x14ac:dyDescent="0.25">
      <c r="A58" s="1">
        <v>46229</v>
      </c>
      <c r="B58" t="s">
        <v>148</v>
      </c>
      <c r="C58" t="s">
        <v>11</v>
      </c>
      <c r="D58">
        <v>79.548990702754637</v>
      </c>
      <c r="E58" t="s">
        <v>245</v>
      </c>
      <c r="F58">
        <v>46229</v>
      </c>
      <c r="G58" t="s">
        <v>149</v>
      </c>
      <c r="H58">
        <v>0</v>
      </c>
      <c r="I58">
        <v>0</v>
      </c>
      <c r="J58">
        <v>74.861490702754637</v>
      </c>
      <c r="K58">
        <v>74.861490702754637</v>
      </c>
      <c r="L58">
        <v>0</v>
      </c>
      <c r="M58" t="s">
        <v>120</v>
      </c>
      <c r="N58" t="s">
        <v>120</v>
      </c>
      <c r="O58">
        <v>36.574000000000012</v>
      </c>
      <c r="P58">
        <v>0</v>
      </c>
      <c r="Q58">
        <v>20808.679623315373</v>
      </c>
      <c r="R58">
        <v>0</v>
      </c>
      <c r="S58">
        <v>20808.679623315373</v>
      </c>
    </row>
    <row r="59" spans="1:19" x14ac:dyDescent="0.25">
      <c r="A59" s="1">
        <v>46236</v>
      </c>
      <c r="B59" t="s">
        <v>148</v>
      </c>
      <c r="C59" t="s">
        <v>11</v>
      </c>
      <c r="D59">
        <v>14.629699439587061</v>
      </c>
      <c r="E59" t="s">
        <v>245</v>
      </c>
      <c r="F59">
        <v>46236</v>
      </c>
      <c r="G59" t="s">
        <v>149</v>
      </c>
      <c r="H59">
        <v>0</v>
      </c>
      <c r="I59">
        <v>0</v>
      </c>
      <c r="J59">
        <v>9.9421994395870623</v>
      </c>
      <c r="K59">
        <v>9.9421994395870623</v>
      </c>
      <c r="L59">
        <v>0</v>
      </c>
      <c r="M59" t="s">
        <v>120</v>
      </c>
      <c r="N59" t="s">
        <v>120</v>
      </c>
      <c r="O59">
        <v>36.574000000000012</v>
      </c>
      <c r="P59">
        <v>0</v>
      </c>
      <c r="Q59">
        <v>2763.5576175062756</v>
      </c>
      <c r="R59">
        <v>0</v>
      </c>
      <c r="S59">
        <v>2763.5576175062756</v>
      </c>
    </row>
    <row r="60" spans="1:19" x14ac:dyDescent="0.25">
      <c r="A60" s="1">
        <v>46229</v>
      </c>
      <c r="B60" t="s">
        <v>148</v>
      </c>
      <c r="C60" t="s">
        <v>12</v>
      </c>
      <c r="D60">
        <v>1.3970004769897464</v>
      </c>
      <c r="E60" t="s">
        <v>245</v>
      </c>
      <c r="F60">
        <v>46229</v>
      </c>
      <c r="G60" t="s">
        <v>149</v>
      </c>
      <c r="H60">
        <v>8.2571848611914156</v>
      </c>
      <c r="I60">
        <v>8.2571848611914156</v>
      </c>
      <c r="J60">
        <v>0</v>
      </c>
      <c r="K60">
        <v>0</v>
      </c>
      <c r="L60">
        <v>0</v>
      </c>
      <c r="M60" t="s">
        <v>120</v>
      </c>
      <c r="N60" t="s">
        <v>120</v>
      </c>
      <c r="O60">
        <v>37.610000000000007</v>
      </c>
      <c r="P60">
        <v>1443.3559137362595</v>
      </c>
      <c r="Q60">
        <v>0</v>
      </c>
      <c r="R60">
        <v>0</v>
      </c>
      <c r="S60">
        <v>1443.3559137362595</v>
      </c>
    </row>
    <row r="61" spans="1:19" x14ac:dyDescent="0.25">
      <c r="A61" s="1">
        <v>46236</v>
      </c>
      <c r="B61" t="s">
        <v>148</v>
      </c>
      <c r="C61" t="s">
        <v>12</v>
      </c>
      <c r="D61">
        <v>0.68576716123064352</v>
      </c>
      <c r="E61" t="s">
        <v>245</v>
      </c>
      <c r="F61">
        <v>46236</v>
      </c>
      <c r="G61" t="s">
        <v>149</v>
      </c>
      <c r="H61">
        <v>15.404985009505722</v>
      </c>
      <c r="I61">
        <v>15.404985009505722</v>
      </c>
      <c r="J61">
        <v>0</v>
      </c>
      <c r="K61">
        <v>0</v>
      </c>
      <c r="L61">
        <v>0</v>
      </c>
      <c r="M61" t="s">
        <v>120</v>
      </c>
      <c r="N61" t="s">
        <v>120</v>
      </c>
      <c r="O61">
        <v>37.610000000000007</v>
      </c>
      <c r="P61">
        <v>2692.7913796616003</v>
      </c>
      <c r="Q61">
        <v>0</v>
      </c>
      <c r="R61">
        <v>0</v>
      </c>
      <c r="S61">
        <v>2692.7913796616003</v>
      </c>
    </row>
    <row r="62" spans="1:19" x14ac:dyDescent="0.25">
      <c r="A62" s="1">
        <v>46230</v>
      </c>
      <c r="B62" t="s">
        <v>148</v>
      </c>
      <c r="C62" t="s">
        <v>11</v>
      </c>
      <c r="D62">
        <v>17.645668247132704</v>
      </c>
      <c r="E62" t="s">
        <v>245</v>
      </c>
      <c r="F62">
        <v>46230</v>
      </c>
      <c r="G62" t="s">
        <v>149</v>
      </c>
      <c r="H62">
        <v>0</v>
      </c>
      <c r="I62">
        <v>0</v>
      </c>
      <c r="J62">
        <v>12.041501580466038</v>
      </c>
      <c r="K62">
        <v>12.041501580466038</v>
      </c>
      <c r="L62">
        <v>0</v>
      </c>
      <c r="M62" t="s">
        <v>125</v>
      </c>
      <c r="N62" t="s">
        <v>125</v>
      </c>
      <c r="O62">
        <v>29.417999999999999</v>
      </c>
      <c r="P62">
        <v>0</v>
      </c>
      <c r="Q62">
        <v>2692.2003905555393</v>
      </c>
      <c r="R62">
        <v>0</v>
      </c>
      <c r="S62">
        <v>2692.2003905555393</v>
      </c>
    </row>
    <row r="63" spans="1:19" x14ac:dyDescent="0.25">
      <c r="A63" s="1">
        <v>46237</v>
      </c>
      <c r="B63" t="s">
        <v>148</v>
      </c>
      <c r="C63" t="s">
        <v>11</v>
      </c>
      <c r="D63">
        <v>15.192380187263488</v>
      </c>
      <c r="E63" t="s">
        <v>245</v>
      </c>
      <c r="F63">
        <v>46237</v>
      </c>
      <c r="G63" t="s">
        <v>149</v>
      </c>
      <c r="H63">
        <v>0</v>
      </c>
      <c r="I63">
        <v>0</v>
      </c>
      <c r="J63">
        <v>10.504880187263488</v>
      </c>
      <c r="K63">
        <v>10.504880187263488</v>
      </c>
      <c r="L63">
        <v>0</v>
      </c>
      <c r="M63" t="s">
        <v>125</v>
      </c>
      <c r="N63" t="s">
        <v>125</v>
      </c>
      <c r="O63">
        <v>29.417999999999999</v>
      </c>
      <c r="P63">
        <v>0</v>
      </c>
      <c r="Q63">
        <v>2348.6474966517712</v>
      </c>
      <c r="R63">
        <v>0</v>
      </c>
      <c r="S63">
        <v>2348.6474966517712</v>
      </c>
    </row>
    <row r="64" spans="1:19" x14ac:dyDescent="0.25">
      <c r="A64" s="1">
        <v>46244</v>
      </c>
      <c r="B64" t="s">
        <v>148</v>
      </c>
      <c r="C64" t="s">
        <v>11</v>
      </c>
      <c r="D64">
        <v>15.192380187263488</v>
      </c>
      <c r="E64" t="s">
        <v>245</v>
      </c>
      <c r="F64">
        <v>46244</v>
      </c>
      <c r="G64" t="s">
        <v>149</v>
      </c>
      <c r="H64">
        <v>0</v>
      </c>
      <c r="I64">
        <v>0</v>
      </c>
      <c r="J64">
        <v>10.50488018726349</v>
      </c>
      <c r="K64">
        <v>10.50488018726349</v>
      </c>
      <c r="L64">
        <v>0</v>
      </c>
      <c r="M64" t="s">
        <v>125</v>
      </c>
      <c r="N64" t="s">
        <v>125</v>
      </c>
      <c r="O64">
        <v>29.417999999999999</v>
      </c>
      <c r="P64">
        <v>0</v>
      </c>
      <c r="Q64">
        <v>2348.6474966517717</v>
      </c>
      <c r="R64">
        <v>0</v>
      </c>
      <c r="S64">
        <v>2348.6474966517717</v>
      </c>
    </row>
    <row r="65" spans="1:19" x14ac:dyDescent="0.25">
      <c r="A65" s="1">
        <v>46235</v>
      </c>
      <c r="B65" t="s">
        <v>148</v>
      </c>
      <c r="C65" t="s">
        <v>10</v>
      </c>
      <c r="D65">
        <v>5.5142713272289683</v>
      </c>
      <c r="E65" t="s">
        <v>245</v>
      </c>
      <c r="F65">
        <v>46235</v>
      </c>
      <c r="G65" t="s">
        <v>149</v>
      </c>
      <c r="H65">
        <v>1.4308025702599154</v>
      </c>
      <c r="I65">
        <v>1.4308025702599154</v>
      </c>
      <c r="J65">
        <v>0</v>
      </c>
      <c r="K65">
        <v>0</v>
      </c>
      <c r="L65">
        <v>0</v>
      </c>
      <c r="M65" t="s">
        <v>119</v>
      </c>
      <c r="N65" t="s">
        <v>119</v>
      </c>
      <c r="O65">
        <v>37.600000000000009</v>
      </c>
      <c r="P65">
        <v>250.10428928143321</v>
      </c>
      <c r="Q65">
        <v>0</v>
      </c>
      <c r="R65">
        <v>0</v>
      </c>
      <c r="S65">
        <v>250.10428928143321</v>
      </c>
    </row>
    <row r="66" spans="1:19" x14ac:dyDescent="0.25">
      <c r="A66" s="1">
        <v>46247</v>
      </c>
      <c r="B66" t="s">
        <v>148</v>
      </c>
      <c r="C66" t="s">
        <v>11</v>
      </c>
      <c r="D66">
        <v>78.937075389656528</v>
      </c>
      <c r="E66" t="s">
        <v>245</v>
      </c>
      <c r="F66">
        <v>46247</v>
      </c>
      <c r="G66" t="s">
        <v>149</v>
      </c>
      <c r="H66">
        <v>0</v>
      </c>
      <c r="I66">
        <v>0</v>
      </c>
      <c r="J66">
        <v>74.249575389656528</v>
      </c>
      <c r="K66">
        <v>74.249575389656528</v>
      </c>
      <c r="L66">
        <v>0</v>
      </c>
      <c r="M66" t="s">
        <v>128</v>
      </c>
      <c r="N66" t="s">
        <v>128</v>
      </c>
      <c r="O66">
        <v>29.417999999999999</v>
      </c>
      <c r="P66">
        <v>0</v>
      </c>
      <c r="Q66">
        <v>16600.482466978159</v>
      </c>
      <c r="R66">
        <v>0</v>
      </c>
      <c r="S66">
        <v>16600.482466978159</v>
      </c>
    </row>
    <row r="67" spans="1:19" x14ac:dyDescent="0.25">
      <c r="A67" s="1">
        <v>46247</v>
      </c>
      <c r="B67" t="s">
        <v>148</v>
      </c>
      <c r="C67" t="s">
        <v>10</v>
      </c>
      <c r="D67">
        <v>8.5390234440066308</v>
      </c>
      <c r="E67" t="s">
        <v>245</v>
      </c>
      <c r="F67">
        <v>46247</v>
      </c>
      <c r="G67" t="s">
        <v>149</v>
      </c>
      <c r="H67">
        <v>0.42483115855668574</v>
      </c>
      <c r="I67">
        <v>0.42483115855668574</v>
      </c>
      <c r="J67">
        <v>0</v>
      </c>
      <c r="K67">
        <v>0</v>
      </c>
      <c r="L67">
        <v>0</v>
      </c>
      <c r="M67" t="s">
        <v>128</v>
      </c>
      <c r="N67" t="s">
        <v>128</v>
      </c>
      <c r="O67">
        <v>27.57</v>
      </c>
      <c r="P67">
        <v>74.260486515708664</v>
      </c>
      <c r="Q67">
        <v>0</v>
      </c>
      <c r="R67">
        <v>0</v>
      </c>
      <c r="S67">
        <v>74.260486515708664</v>
      </c>
    </row>
    <row r="68" spans="1:19" x14ac:dyDescent="0.25">
      <c r="A68" s="1">
        <v>46248</v>
      </c>
      <c r="B68" t="s">
        <v>148</v>
      </c>
      <c r="C68" t="s">
        <v>12</v>
      </c>
      <c r="D68">
        <v>5.0048971767008359</v>
      </c>
      <c r="E68" t="s">
        <v>245</v>
      </c>
      <c r="F68">
        <v>46248</v>
      </c>
      <c r="G68" t="s">
        <v>149</v>
      </c>
      <c r="H68">
        <v>1.4358495369977815</v>
      </c>
      <c r="I68">
        <v>1.4358495369977815</v>
      </c>
      <c r="J68">
        <v>0</v>
      </c>
      <c r="K68">
        <v>0</v>
      </c>
      <c r="L68">
        <v>0.25489717670083606</v>
      </c>
      <c r="M68" t="s">
        <v>129</v>
      </c>
      <c r="N68" t="s">
        <v>129</v>
      </c>
      <c r="O68">
        <v>28.36</v>
      </c>
      <c r="P68">
        <v>250.98649906721221</v>
      </c>
      <c r="Q68">
        <v>0</v>
      </c>
      <c r="R68">
        <v>0</v>
      </c>
      <c r="S68">
        <v>250.98649906721221</v>
      </c>
    </row>
    <row r="69" spans="1:19" x14ac:dyDescent="0.25">
      <c r="A69" s="1">
        <v>46248</v>
      </c>
      <c r="B69" t="s">
        <v>148</v>
      </c>
      <c r="C69" t="s">
        <v>10</v>
      </c>
      <c r="D69">
        <v>11.230331612245342</v>
      </c>
      <c r="E69" t="s">
        <v>245</v>
      </c>
      <c r="F69">
        <v>46248</v>
      </c>
      <c r="G69" t="s">
        <v>149</v>
      </c>
      <c r="H69">
        <v>0</v>
      </c>
      <c r="I69">
        <v>0</v>
      </c>
      <c r="J69">
        <v>0.85900808283357744</v>
      </c>
      <c r="K69">
        <v>0.85900808283357744</v>
      </c>
      <c r="L69">
        <v>0</v>
      </c>
      <c r="M69" t="s">
        <v>129</v>
      </c>
      <c r="N69" t="s">
        <v>129</v>
      </c>
      <c r="O69">
        <v>27.57</v>
      </c>
      <c r="P69">
        <v>0</v>
      </c>
      <c r="Q69">
        <v>179.98968161228512</v>
      </c>
      <c r="R69">
        <v>0</v>
      </c>
      <c r="S69">
        <v>179.98968161228512</v>
      </c>
    </row>
    <row r="70" spans="1:19" x14ac:dyDescent="0.25">
      <c r="A70" s="1">
        <v>46248</v>
      </c>
      <c r="B70" t="s">
        <v>148</v>
      </c>
      <c r="C70" t="s">
        <v>11</v>
      </c>
      <c r="D70">
        <v>88.186140179587767</v>
      </c>
      <c r="E70" t="s">
        <v>245</v>
      </c>
      <c r="F70">
        <v>46248</v>
      </c>
      <c r="G70" t="s">
        <v>149</v>
      </c>
      <c r="H70">
        <v>0</v>
      </c>
      <c r="I70">
        <v>0</v>
      </c>
      <c r="J70">
        <v>84.436140179587767</v>
      </c>
      <c r="K70">
        <v>84.436140179587767</v>
      </c>
      <c r="L70">
        <v>0</v>
      </c>
      <c r="M70" t="s">
        <v>129</v>
      </c>
      <c r="N70" t="s">
        <v>129</v>
      </c>
      <c r="O70">
        <v>29.417999999999999</v>
      </c>
      <c r="P70">
        <v>0</v>
      </c>
      <c r="Q70">
        <v>18877.962025703659</v>
      </c>
      <c r="R70">
        <v>0</v>
      </c>
      <c r="S70">
        <v>18877.962025703659</v>
      </c>
    </row>
    <row r="71" spans="1:19" x14ac:dyDescent="0.25">
      <c r="A71" s="1">
        <v>46249</v>
      </c>
      <c r="B71" t="s">
        <v>148</v>
      </c>
      <c r="C71" t="s">
        <v>12</v>
      </c>
      <c r="D71">
        <v>88.200207198279671</v>
      </c>
      <c r="E71" t="s">
        <v>245</v>
      </c>
      <c r="F71">
        <v>46249</v>
      </c>
      <c r="G71" t="s">
        <v>149</v>
      </c>
      <c r="H71">
        <v>0</v>
      </c>
      <c r="I71">
        <v>0</v>
      </c>
      <c r="J71">
        <v>75.953883668867917</v>
      </c>
      <c r="K71">
        <v>75.953883668867917</v>
      </c>
      <c r="L71">
        <v>0</v>
      </c>
      <c r="M71" t="s">
        <v>119</v>
      </c>
      <c r="N71" t="s">
        <v>119</v>
      </c>
      <c r="O71">
        <v>33.160000000000011</v>
      </c>
      <c r="P71">
        <v>0</v>
      </c>
      <c r="Q71">
        <v>19141.593946693425</v>
      </c>
      <c r="R71">
        <v>0</v>
      </c>
      <c r="S71">
        <v>19141.593946693425</v>
      </c>
    </row>
    <row r="72" spans="1:19" x14ac:dyDescent="0.25">
      <c r="A72" s="1">
        <v>46249</v>
      </c>
      <c r="B72" t="s">
        <v>148</v>
      </c>
      <c r="C72" t="s">
        <v>11</v>
      </c>
      <c r="D72">
        <v>15.192380187263488</v>
      </c>
      <c r="E72" t="s">
        <v>245</v>
      </c>
      <c r="F72">
        <v>46249</v>
      </c>
      <c r="G72" t="s">
        <v>149</v>
      </c>
      <c r="H72">
        <v>0</v>
      </c>
      <c r="I72">
        <v>0</v>
      </c>
      <c r="J72">
        <v>10.446286437263488</v>
      </c>
      <c r="K72">
        <v>10.446286437263488</v>
      </c>
      <c r="L72">
        <v>0</v>
      </c>
      <c r="M72" t="s">
        <v>119</v>
      </c>
      <c r="N72" t="s">
        <v>119</v>
      </c>
      <c r="O72">
        <v>32.272000000000013</v>
      </c>
      <c r="P72">
        <v>0</v>
      </c>
      <c r="Q72">
        <v>2562.1314248655922</v>
      </c>
      <c r="R72">
        <v>0</v>
      </c>
      <c r="S72">
        <v>2562.1314248655922</v>
      </c>
    </row>
    <row r="73" spans="1:19" x14ac:dyDescent="0.25">
      <c r="A73" s="1">
        <v>46250</v>
      </c>
      <c r="B73" t="s">
        <v>148</v>
      </c>
      <c r="C73" t="s">
        <v>10</v>
      </c>
      <c r="D73">
        <v>9.8213366867157887</v>
      </c>
      <c r="E73" t="s">
        <v>245</v>
      </c>
      <c r="F73">
        <v>46250</v>
      </c>
      <c r="G73" t="s">
        <v>149</v>
      </c>
      <c r="H73">
        <v>0.24092070038538171</v>
      </c>
      <c r="I73">
        <v>0.24092070038538171</v>
      </c>
      <c r="J73">
        <v>0</v>
      </c>
      <c r="K73">
        <v>0</v>
      </c>
      <c r="L73">
        <v>0.32133668671578919</v>
      </c>
      <c r="M73" t="s">
        <v>120</v>
      </c>
      <c r="N73" t="s">
        <v>120</v>
      </c>
      <c r="O73">
        <v>42.790000000000006</v>
      </c>
      <c r="P73">
        <v>42.112938427364725</v>
      </c>
      <c r="Q73">
        <v>0</v>
      </c>
      <c r="R73">
        <v>0</v>
      </c>
      <c r="S73">
        <v>42.112938427364725</v>
      </c>
    </row>
    <row r="74" spans="1:19" x14ac:dyDescent="0.25">
      <c r="A74" s="1">
        <v>46250</v>
      </c>
      <c r="B74" t="s">
        <v>148</v>
      </c>
      <c r="C74" t="s">
        <v>11</v>
      </c>
      <c r="D74">
        <v>76.805922057832063</v>
      </c>
      <c r="E74" t="s">
        <v>245</v>
      </c>
      <c r="F74">
        <v>46250</v>
      </c>
      <c r="G74" t="s">
        <v>149</v>
      </c>
      <c r="H74">
        <v>0</v>
      </c>
      <c r="I74">
        <v>0</v>
      </c>
      <c r="J74">
        <v>72.059828307832063</v>
      </c>
      <c r="K74">
        <v>72.059828307832063</v>
      </c>
      <c r="L74">
        <v>0</v>
      </c>
      <c r="M74" t="s">
        <v>120</v>
      </c>
      <c r="N74" t="s">
        <v>120</v>
      </c>
      <c r="O74">
        <v>36.574000000000012</v>
      </c>
      <c r="P74">
        <v>0</v>
      </c>
      <c r="Q74">
        <v>20029.922820032945</v>
      </c>
      <c r="R74">
        <v>0</v>
      </c>
      <c r="S74">
        <v>20029.922820032945</v>
      </c>
    </row>
    <row r="75" spans="1:19" x14ac:dyDescent="0.25">
      <c r="A75" s="1">
        <v>46223</v>
      </c>
      <c r="B75" t="s">
        <v>148</v>
      </c>
      <c r="C75" t="s">
        <v>10</v>
      </c>
      <c r="D75">
        <v>9.4468105946884986</v>
      </c>
      <c r="E75" t="s">
        <v>246</v>
      </c>
      <c r="F75">
        <v>46223</v>
      </c>
      <c r="G75" t="s">
        <v>149</v>
      </c>
      <c r="H75">
        <v>0</v>
      </c>
      <c r="I75">
        <v>0</v>
      </c>
      <c r="J75">
        <v>6.1223314280218313</v>
      </c>
      <c r="K75">
        <v>6.1223314280218313</v>
      </c>
      <c r="L75">
        <v>0</v>
      </c>
      <c r="M75" t="s">
        <v>125</v>
      </c>
      <c r="N75" t="s">
        <v>125</v>
      </c>
      <c r="O75">
        <v>27.57</v>
      </c>
      <c r="P75">
        <v>0</v>
      </c>
      <c r="Q75">
        <v>1282.8243487762704</v>
      </c>
      <c r="R75">
        <v>0</v>
      </c>
      <c r="S75">
        <v>1282.8243487762704</v>
      </c>
    </row>
    <row r="76" spans="1:19" x14ac:dyDescent="0.25">
      <c r="A76" s="1">
        <v>46223</v>
      </c>
      <c r="B76" t="s">
        <v>148</v>
      </c>
      <c r="C76" t="s">
        <v>12</v>
      </c>
      <c r="D76">
        <v>8.9053233069929512</v>
      </c>
      <c r="E76" t="s">
        <v>246</v>
      </c>
      <c r="F76">
        <v>46223</v>
      </c>
      <c r="G76" t="s">
        <v>149</v>
      </c>
      <c r="H76">
        <v>0</v>
      </c>
      <c r="I76">
        <v>0</v>
      </c>
      <c r="J76">
        <v>1.9295439086951727</v>
      </c>
      <c r="K76">
        <v>1.9295439086951727</v>
      </c>
      <c r="L76">
        <v>0.32577939829777941</v>
      </c>
      <c r="M76" t="s">
        <v>125</v>
      </c>
      <c r="N76" t="s">
        <v>125</v>
      </c>
      <c r="O76">
        <v>28.36</v>
      </c>
      <c r="P76">
        <v>0</v>
      </c>
      <c r="Q76">
        <v>415.8861759045227</v>
      </c>
      <c r="R76">
        <v>0</v>
      </c>
      <c r="S76">
        <v>415.8861759045227</v>
      </c>
    </row>
    <row r="77" spans="1:19" x14ac:dyDescent="0.25">
      <c r="A77" s="1">
        <v>46223</v>
      </c>
      <c r="B77" t="s">
        <v>148</v>
      </c>
      <c r="C77" t="s">
        <v>11</v>
      </c>
      <c r="D77">
        <v>4.2706818558845079</v>
      </c>
      <c r="E77" t="s">
        <v>246</v>
      </c>
      <c r="F77">
        <v>46223</v>
      </c>
      <c r="G77" t="s">
        <v>149</v>
      </c>
      <c r="H77">
        <v>0.90615118312490583</v>
      </c>
      <c r="I77">
        <v>0.90615118312490583</v>
      </c>
      <c r="J77">
        <v>0</v>
      </c>
      <c r="K77">
        <v>0</v>
      </c>
      <c r="L77">
        <v>0</v>
      </c>
      <c r="M77" t="s">
        <v>125</v>
      </c>
      <c r="N77" t="s">
        <v>125</v>
      </c>
      <c r="O77">
        <v>29.417999999999999</v>
      </c>
      <c r="P77">
        <v>158.39522681023354</v>
      </c>
      <c r="Q77">
        <v>0</v>
      </c>
      <c r="R77">
        <v>0</v>
      </c>
      <c r="S77">
        <v>158.39522681023354</v>
      </c>
    </row>
    <row r="78" spans="1:19" x14ac:dyDescent="0.25">
      <c r="A78" s="1">
        <v>46224</v>
      </c>
      <c r="B78" t="s">
        <v>148</v>
      </c>
      <c r="C78" t="s">
        <v>10</v>
      </c>
      <c r="D78">
        <v>9.2250131793293342</v>
      </c>
      <c r="E78" t="s">
        <v>246</v>
      </c>
      <c r="F78">
        <v>46224</v>
      </c>
      <c r="G78" t="s">
        <v>149</v>
      </c>
      <c r="H78">
        <v>0</v>
      </c>
      <c r="I78">
        <v>0</v>
      </c>
      <c r="J78">
        <v>0.93379900135045135</v>
      </c>
      <c r="K78">
        <v>0.93379900135045135</v>
      </c>
      <c r="L78">
        <v>0</v>
      </c>
      <c r="M78" t="s">
        <v>126</v>
      </c>
      <c r="N78" t="s">
        <v>126</v>
      </c>
      <c r="O78">
        <v>27.57</v>
      </c>
      <c r="P78">
        <v>0</v>
      </c>
      <c r="Q78">
        <v>195.66077235096276</v>
      </c>
      <c r="R78">
        <v>0</v>
      </c>
      <c r="S78">
        <v>195.66077235096276</v>
      </c>
    </row>
    <row r="79" spans="1:19" x14ac:dyDescent="0.25">
      <c r="A79" s="1">
        <v>46224</v>
      </c>
      <c r="B79" t="s">
        <v>148</v>
      </c>
      <c r="C79" t="s">
        <v>12</v>
      </c>
      <c r="D79">
        <v>9.4829839489538728</v>
      </c>
      <c r="E79" t="s">
        <v>246</v>
      </c>
      <c r="F79">
        <v>46224</v>
      </c>
      <c r="G79" t="s">
        <v>149</v>
      </c>
      <c r="H79">
        <v>6.2976789859686022E-2</v>
      </c>
      <c r="I79">
        <v>6.2976789859686022E-2</v>
      </c>
      <c r="J79">
        <v>0</v>
      </c>
      <c r="K79">
        <v>0</v>
      </c>
      <c r="L79">
        <v>2.8329839489538737</v>
      </c>
      <c r="M79" t="s">
        <v>126</v>
      </c>
      <c r="N79" t="s">
        <v>126</v>
      </c>
      <c r="O79">
        <v>28.36</v>
      </c>
      <c r="P79">
        <v>11.008342867473116</v>
      </c>
      <c r="Q79">
        <v>0</v>
      </c>
      <c r="R79">
        <v>0</v>
      </c>
      <c r="S79">
        <v>11.008342867473116</v>
      </c>
    </row>
    <row r="80" spans="1:19" x14ac:dyDescent="0.25">
      <c r="A80" s="1">
        <v>46224</v>
      </c>
      <c r="B80" t="s">
        <v>148</v>
      </c>
      <c r="C80" t="s">
        <v>11</v>
      </c>
      <c r="D80">
        <v>3.947533224447151</v>
      </c>
      <c r="E80" t="s">
        <v>246</v>
      </c>
      <c r="F80">
        <v>46224</v>
      </c>
      <c r="G80" t="s">
        <v>149</v>
      </c>
      <c r="H80">
        <v>1.6114088527634007</v>
      </c>
      <c r="I80">
        <v>1.6114088527634007</v>
      </c>
      <c r="J80">
        <v>0</v>
      </c>
      <c r="K80">
        <v>0</v>
      </c>
      <c r="L80">
        <v>0.14753322444715114</v>
      </c>
      <c r="M80" t="s">
        <v>126</v>
      </c>
      <c r="N80" t="s">
        <v>126</v>
      </c>
      <c r="O80">
        <v>29.417999999999999</v>
      </c>
      <c r="P80">
        <v>281.67426746304244</v>
      </c>
      <c r="Q80">
        <v>0</v>
      </c>
      <c r="R80">
        <v>0</v>
      </c>
      <c r="S80">
        <v>281.67426746304244</v>
      </c>
    </row>
    <row r="81" spans="1:19" x14ac:dyDescent="0.25">
      <c r="A81" s="1">
        <v>46225</v>
      </c>
      <c r="B81" t="s">
        <v>148</v>
      </c>
      <c r="C81" t="s">
        <v>10</v>
      </c>
      <c r="D81">
        <v>12.022770803240158</v>
      </c>
      <c r="E81" t="s">
        <v>246</v>
      </c>
      <c r="F81">
        <v>46225</v>
      </c>
      <c r="G81" t="s">
        <v>149</v>
      </c>
      <c r="H81">
        <v>0</v>
      </c>
      <c r="I81">
        <v>0</v>
      </c>
      <c r="J81">
        <v>0.97514636885101558</v>
      </c>
      <c r="K81">
        <v>0.97514636885101558</v>
      </c>
      <c r="L81">
        <v>0</v>
      </c>
      <c r="M81" t="s">
        <v>127</v>
      </c>
      <c r="N81" t="s">
        <v>127</v>
      </c>
      <c r="O81">
        <v>27.57</v>
      </c>
      <c r="P81">
        <v>0</v>
      </c>
      <c r="Q81">
        <v>204.32436895809099</v>
      </c>
      <c r="R81">
        <v>0</v>
      </c>
      <c r="S81">
        <v>204.32436895809099</v>
      </c>
    </row>
    <row r="82" spans="1:19" x14ac:dyDescent="0.25">
      <c r="A82" s="1">
        <v>46225</v>
      </c>
      <c r="B82" t="s">
        <v>148</v>
      </c>
      <c r="C82" t="s">
        <v>11</v>
      </c>
      <c r="D82">
        <v>2.8864131651695564</v>
      </c>
      <c r="E82" t="s">
        <v>246</v>
      </c>
      <c r="F82">
        <v>46225</v>
      </c>
      <c r="G82" t="s">
        <v>149</v>
      </c>
      <c r="H82">
        <v>2.9595420961564853</v>
      </c>
      <c r="I82">
        <v>2.9595420961564853</v>
      </c>
      <c r="J82">
        <v>0</v>
      </c>
      <c r="K82">
        <v>0</v>
      </c>
      <c r="L82">
        <v>0</v>
      </c>
      <c r="M82" t="s">
        <v>127</v>
      </c>
      <c r="N82" t="s">
        <v>127</v>
      </c>
      <c r="O82">
        <v>29.417999999999999</v>
      </c>
      <c r="P82">
        <v>517.32795840815356</v>
      </c>
      <c r="Q82">
        <v>0</v>
      </c>
      <c r="R82">
        <v>0</v>
      </c>
      <c r="S82">
        <v>517.32795840815356</v>
      </c>
    </row>
    <row r="83" spans="1:19" x14ac:dyDescent="0.25">
      <c r="A83" s="1">
        <v>46225</v>
      </c>
      <c r="B83" t="s">
        <v>148</v>
      </c>
      <c r="C83" t="s">
        <v>12</v>
      </c>
      <c r="D83">
        <v>8.5652758248615619</v>
      </c>
      <c r="E83" t="s">
        <v>246</v>
      </c>
      <c r="F83">
        <v>46225</v>
      </c>
      <c r="G83" t="s">
        <v>149</v>
      </c>
      <c r="H83">
        <v>0.50734924936610315</v>
      </c>
      <c r="I83">
        <v>0.50734924936610315</v>
      </c>
      <c r="J83">
        <v>0</v>
      </c>
      <c r="K83">
        <v>0</v>
      </c>
      <c r="L83">
        <v>0.96527582486156205</v>
      </c>
      <c r="M83" t="s">
        <v>127</v>
      </c>
      <c r="N83" t="s">
        <v>127</v>
      </c>
      <c r="O83">
        <v>28.36</v>
      </c>
      <c r="P83">
        <v>88.684648789194839</v>
      </c>
      <c r="Q83">
        <v>0</v>
      </c>
      <c r="R83">
        <v>0</v>
      </c>
      <c r="S83">
        <v>88.684648789194839</v>
      </c>
    </row>
    <row r="84" spans="1:19" x14ac:dyDescent="0.25">
      <c r="A84" s="1">
        <v>46226</v>
      </c>
      <c r="B84" t="s">
        <v>148</v>
      </c>
      <c r="C84" t="s">
        <v>12</v>
      </c>
      <c r="D84">
        <v>4.616276517404482</v>
      </c>
      <c r="E84" t="s">
        <v>246</v>
      </c>
      <c r="F84">
        <v>46226</v>
      </c>
      <c r="G84" t="s">
        <v>149</v>
      </c>
      <c r="H84">
        <v>1.6136111396077579</v>
      </c>
      <c r="I84">
        <v>1.6136111396077579</v>
      </c>
      <c r="J84">
        <v>0</v>
      </c>
      <c r="K84">
        <v>0</v>
      </c>
      <c r="L84">
        <v>0</v>
      </c>
      <c r="M84" t="s">
        <v>128</v>
      </c>
      <c r="N84" t="s">
        <v>128</v>
      </c>
      <c r="O84">
        <v>28.36</v>
      </c>
      <c r="P84">
        <v>282.05922720343608</v>
      </c>
      <c r="Q84">
        <v>0</v>
      </c>
      <c r="R84">
        <v>0</v>
      </c>
      <c r="S84">
        <v>282.05922720343608</v>
      </c>
    </row>
    <row r="85" spans="1:19" x14ac:dyDescent="0.25">
      <c r="A85" s="1">
        <v>46226</v>
      </c>
      <c r="B85" t="s">
        <v>148</v>
      </c>
      <c r="C85" t="s">
        <v>10</v>
      </c>
      <c r="D85">
        <v>15.827233773958223</v>
      </c>
      <c r="E85" t="s">
        <v>246</v>
      </c>
      <c r="F85">
        <v>46226</v>
      </c>
      <c r="G85" t="s">
        <v>149</v>
      </c>
      <c r="H85">
        <v>0</v>
      </c>
      <c r="I85">
        <v>0</v>
      </c>
      <c r="J85">
        <v>4.6754426729024132</v>
      </c>
      <c r="K85">
        <v>4.6754426729024132</v>
      </c>
      <c r="L85">
        <v>0</v>
      </c>
      <c r="M85" t="s">
        <v>128</v>
      </c>
      <c r="N85" t="s">
        <v>128</v>
      </c>
      <c r="O85">
        <v>27.57</v>
      </c>
      <c r="P85">
        <v>0</v>
      </c>
      <c r="Q85">
        <v>979.65485413858835</v>
      </c>
      <c r="R85">
        <v>0</v>
      </c>
      <c r="S85">
        <v>979.65485413858835</v>
      </c>
    </row>
    <row r="86" spans="1:19" x14ac:dyDescent="0.25">
      <c r="A86" s="1">
        <v>46226</v>
      </c>
      <c r="B86" t="s">
        <v>148</v>
      </c>
      <c r="C86" t="s">
        <v>11</v>
      </c>
      <c r="D86">
        <v>8.0054415554989138</v>
      </c>
      <c r="E86" t="s">
        <v>246</v>
      </c>
      <c r="F86">
        <v>46226</v>
      </c>
      <c r="G86" t="s">
        <v>149</v>
      </c>
      <c r="H86">
        <v>0.50580005102601766</v>
      </c>
      <c r="I86">
        <v>0.50580005102601766</v>
      </c>
      <c r="J86">
        <v>0</v>
      </c>
      <c r="K86">
        <v>0</v>
      </c>
      <c r="L86">
        <v>5.1554415554989141</v>
      </c>
      <c r="M86" t="s">
        <v>128</v>
      </c>
      <c r="N86" t="s">
        <v>128</v>
      </c>
      <c r="O86">
        <v>29.417999999999999</v>
      </c>
      <c r="P86">
        <v>88.413848919347885</v>
      </c>
      <c r="Q86">
        <v>0</v>
      </c>
      <c r="R86">
        <v>0</v>
      </c>
      <c r="S86">
        <v>88.413848919347885</v>
      </c>
    </row>
    <row r="87" spans="1:19" x14ac:dyDescent="0.25">
      <c r="A87" s="1">
        <v>46227</v>
      </c>
      <c r="B87" t="s">
        <v>148</v>
      </c>
      <c r="C87" t="s">
        <v>12</v>
      </c>
      <c r="D87">
        <v>9.7501102573751055</v>
      </c>
      <c r="E87" t="s">
        <v>246</v>
      </c>
      <c r="F87">
        <v>46227</v>
      </c>
      <c r="G87" t="s">
        <v>149</v>
      </c>
      <c r="H87">
        <v>0.66605421993212532</v>
      </c>
      <c r="I87">
        <v>0.66605421993212532</v>
      </c>
      <c r="J87">
        <v>0</v>
      </c>
      <c r="K87">
        <v>0</v>
      </c>
      <c r="L87">
        <v>3.100110257375106</v>
      </c>
      <c r="M87" t="s">
        <v>129</v>
      </c>
      <c r="N87" t="s">
        <v>129</v>
      </c>
      <c r="O87">
        <v>28.36</v>
      </c>
      <c r="P87">
        <v>116.42627764413551</v>
      </c>
      <c r="Q87">
        <v>0</v>
      </c>
      <c r="R87">
        <v>0</v>
      </c>
      <c r="S87">
        <v>116.42627764413551</v>
      </c>
    </row>
    <row r="88" spans="1:19" x14ac:dyDescent="0.25">
      <c r="A88" s="1">
        <v>46227</v>
      </c>
      <c r="B88" t="s">
        <v>148</v>
      </c>
      <c r="C88" t="s">
        <v>11</v>
      </c>
      <c r="D88">
        <v>2.70004824675775</v>
      </c>
      <c r="E88" t="s">
        <v>246</v>
      </c>
      <c r="F88">
        <v>46227</v>
      </c>
      <c r="G88" t="s">
        <v>149</v>
      </c>
      <c r="H88">
        <v>4.5361346918634418</v>
      </c>
      <c r="I88">
        <v>4.5361346918634418</v>
      </c>
      <c r="J88">
        <v>0</v>
      </c>
      <c r="K88">
        <v>0</v>
      </c>
      <c r="L88">
        <v>0</v>
      </c>
      <c r="M88" t="s">
        <v>129</v>
      </c>
      <c r="N88" t="s">
        <v>129</v>
      </c>
      <c r="O88">
        <v>29.417999999999999</v>
      </c>
      <c r="P88">
        <v>792.91634413772965</v>
      </c>
      <c r="Q88">
        <v>0</v>
      </c>
      <c r="R88">
        <v>0</v>
      </c>
      <c r="S88">
        <v>792.91634413772965</v>
      </c>
    </row>
    <row r="89" spans="1:19" x14ac:dyDescent="0.25">
      <c r="A89" s="1">
        <v>46227</v>
      </c>
      <c r="B89" t="s">
        <v>148</v>
      </c>
      <c r="C89" t="s">
        <v>10</v>
      </c>
      <c r="D89">
        <v>16.653655790636421</v>
      </c>
      <c r="E89" t="s">
        <v>246</v>
      </c>
      <c r="F89">
        <v>46227</v>
      </c>
      <c r="G89" t="s">
        <v>149</v>
      </c>
      <c r="H89">
        <v>0</v>
      </c>
      <c r="I89">
        <v>0</v>
      </c>
      <c r="J89">
        <v>4.5094270924555122</v>
      </c>
      <c r="K89">
        <v>4.5094270924555122</v>
      </c>
      <c r="L89">
        <v>3.5942286981809097</v>
      </c>
      <c r="M89" t="s">
        <v>129</v>
      </c>
      <c r="N89" t="s">
        <v>129</v>
      </c>
      <c r="O89">
        <v>27.57</v>
      </c>
      <c r="P89">
        <v>0</v>
      </c>
      <c r="Q89">
        <v>944.86927753638838</v>
      </c>
      <c r="R89">
        <v>0</v>
      </c>
      <c r="S89">
        <v>944.86927753638838</v>
      </c>
    </row>
    <row r="90" spans="1:19" x14ac:dyDescent="0.25">
      <c r="A90" s="1">
        <v>46228</v>
      </c>
      <c r="B90" t="s">
        <v>148</v>
      </c>
      <c r="C90" t="s">
        <v>12</v>
      </c>
      <c r="D90">
        <v>10.414715375682748</v>
      </c>
      <c r="E90" t="s">
        <v>246</v>
      </c>
      <c r="F90">
        <v>46228</v>
      </c>
      <c r="G90" t="s">
        <v>149</v>
      </c>
      <c r="H90">
        <v>0.36793826115183115</v>
      </c>
      <c r="I90">
        <v>0.36793826115183115</v>
      </c>
      <c r="J90">
        <v>0</v>
      </c>
      <c r="K90">
        <v>0</v>
      </c>
      <c r="L90">
        <v>3.7647153756827483</v>
      </c>
      <c r="M90" t="s">
        <v>119</v>
      </c>
      <c r="N90" t="s">
        <v>119</v>
      </c>
      <c r="O90">
        <v>33.160000000000011</v>
      </c>
      <c r="P90">
        <v>64.315608049340085</v>
      </c>
      <c r="Q90">
        <v>0</v>
      </c>
      <c r="R90">
        <v>0</v>
      </c>
      <c r="S90">
        <v>64.315608049340085</v>
      </c>
    </row>
    <row r="91" spans="1:19" x14ac:dyDescent="0.25">
      <c r="A91" s="1">
        <v>46228</v>
      </c>
      <c r="B91" t="s">
        <v>148</v>
      </c>
      <c r="C91" t="s">
        <v>10</v>
      </c>
      <c r="D91">
        <v>4.7039273373552</v>
      </c>
      <c r="E91" t="s">
        <v>246</v>
      </c>
      <c r="F91">
        <v>46228</v>
      </c>
      <c r="G91" t="s">
        <v>149</v>
      </c>
      <c r="H91">
        <v>1.9817040911601822</v>
      </c>
      <c r="I91">
        <v>1.9817040911601822</v>
      </c>
      <c r="J91">
        <v>0</v>
      </c>
      <c r="K91">
        <v>0</v>
      </c>
      <c r="L91">
        <v>0</v>
      </c>
      <c r="M91" t="s">
        <v>119</v>
      </c>
      <c r="N91" t="s">
        <v>119</v>
      </c>
      <c r="O91">
        <v>37.600000000000009</v>
      </c>
      <c r="P91">
        <v>346.40187513479981</v>
      </c>
      <c r="Q91">
        <v>0</v>
      </c>
      <c r="R91">
        <v>0</v>
      </c>
      <c r="S91">
        <v>346.40187513479981</v>
      </c>
    </row>
    <row r="92" spans="1:19" x14ac:dyDescent="0.25">
      <c r="A92" s="1">
        <v>46228</v>
      </c>
      <c r="B92" t="s">
        <v>148</v>
      </c>
      <c r="C92" t="s">
        <v>11</v>
      </c>
      <c r="D92">
        <v>3.947533224447151</v>
      </c>
      <c r="E92" t="s">
        <v>246</v>
      </c>
      <c r="F92">
        <v>46228</v>
      </c>
      <c r="G92" t="s">
        <v>149</v>
      </c>
      <c r="H92">
        <v>2.3383923899491026</v>
      </c>
      <c r="I92">
        <v>2.3383923899491026</v>
      </c>
      <c r="J92">
        <v>0</v>
      </c>
      <c r="K92">
        <v>0</v>
      </c>
      <c r="L92">
        <v>2.0475332244471511</v>
      </c>
      <c r="M92" t="s">
        <v>119</v>
      </c>
      <c r="N92" t="s">
        <v>119</v>
      </c>
      <c r="O92">
        <v>32.272000000000013</v>
      </c>
      <c r="P92">
        <v>408.75098976310312</v>
      </c>
      <c r="Q92">
        <v>0</v>
      </c>
      <c r="R92">
        <v>0</v>
      </c>
      <c r="S92">
        <v>408.75098976310312</v>
      </c>
    </row>
    <row r="93" spans="1:19" x14ac:dyDescent="0.25">
      <c r="A93" s="1">
        <v>46229</v>
      </c>
      <c r="B93" t="s">
        <v>148</v>
      </c>
      <c r="C93" t="s">
        <v>10</v>
      </c>
      <c r="D93">
        <v>9.9337595944147097</v>
      </c>
      <c r="E93" t="s">
        <v>246</v>
      </c>
      <c r="F93">
        <v>46229</v>
      </c>
      <c r="G93" t="s">
        <v>149</v>
      </c>
      <c r="H93">
        <v>0.30544098748679316</v>
      </c>
      <c r="I93">
        <v>0.30544098748679316</v>
      </c>
      <c r="J93">
        <v>0</v>
      </c>
      <c r="K93">
        <v>0</v>
      </c>
      <c r="L93">
        <v>0</v>
      </c>
      <c r="M93" t="s">
        <v>120</v>
      </c>
      <c r="N93" t="s">
        <v>120</v>
      </c>
      <c r="O93">
        <v>42.790000000000006</v>
      </c>
      <c r="P93">
        <v>53.391084612691436</v>
      </c>
      <c r="Q93">
        <v>0</v>
      </c>
      <c r="R93">
        <v>0</v>
      </c>
      <c r="S93">
        <v>53.391084612691436</v>
      </c>
    </row>
    <row r="94" spans="1:19" x14ac:dyDescent="0.25">
      <c r="A94" s="1">
        <v>46229</v>
      </c>
      <c r="B94" t="s">
        <v>148</v>
      </c>
      <c r="C94" t="s">
        <v>12</v>
      </c>
      <c r="D94">
        <v>9.6026342746008826</v>
      </c>
      <c r="E94" t="s">
        <v>246</v>
      </c>
      <c r="F94">
        <v>46229</v>
      </c>
      <c r="G94" t="s">
        <v>149</v>
      </c>
      <c r="H94">
        <v>0.45938347852900585</v>
      </c>
      <c r="I94">
        <v>0.45938347852900585</v>
      </c>
      <c r="J94">
        <v>0</v>
      </c>
      <c r="K94">
        <v>0</v>
      </c>
      <c r="L94">
        <v>2.0026342746008829</v>
      </c>
      <c r="M94" t="s">
        <v>120</v>
      </c>
      <c r="N94" t="s">
        <v>120</v>
      </c>
      <c r="O94">
        <v>37.610000000000007</v>
      </c>
      <c r="P94">
        <v>80.300232046870221</v>
      </c>
      <c r="Q94">
        <v>0</v>
      </c>
      <c r="R94">
        <v>0</v>
      </c>
      <c r="S94">
        <v>80.300232046870221</v>
      </c>
    </row>
    <row r="95" spans="1:19" x14ac:dyDescent="0.25">
      <c r="A95" s="1">
        <v>46229</v>
      </c>
      <c r="B95" t="s">
        <v>148</v>
      </c>
      <c r="C95" t="s">
        <v>11</v>
      </c>
      <c r="D95">
        <v>1.4803249591676819</v>
      </c>
      <c r="E95" t="s">
        <v>246</v>
      </c>
      <c r="F95">
        <v>46229</v>
      </c>
      <c r="G95" t="s">
        <v>149</v>
      </c>
      <c r="H95">
        <v>8.4734114214020284</v>
      </c>
      <c r="I95">
        <v>8.4734114214020284</v>
      </c>
      <c r="J95">
        <v>0</v>
      </c>
      <c r="K95">
        <v>0</v>
      </c>
      <c r="L95">
        <v>0</v>
      </c>
      <c r="M95" t="s">
        <v>120</v>
      </c>
      <c r="N95" t="s">
        <v>120</v>
      </c>
      <c r="O95">
        <v>36.574000000000012</v>
      </c>
      <c r="P95">
        <v>1481.1523164610746</v>
      </c>
      <c r="Q95">
        <v>0</v>
      </c>
      <c r="R95">
        <v>0</v>
      </c>
      <c r="S95">
        <v>1481.1523164610746</v>
      </c>
    </row>
    <row r="96" spans="1:19" x14ac:dyDescent="0.25">
      <c r="A96" s="1">
        <v>46230</v>
      </c>
      <c r="B96" t="s">
        <v>148</v>
      </c>
      <c r="C96" t="s">
        <v>10</v>
      </c>
      <c r="D96">
        <v>5.5512185968788081</v>
      </c>
      <c r="E96" t="s">
        <v>246</v>
      </c>
      <c r="F96">
        <v>46230</v>
      </c>
      <c r="G96" t="s">
        <v>149</v>
      </c>
      <c r="H96">
        <v>1.3687262378958973</v>
      </c>
      <c r="I96">
        <v>1.3687262378958973</v>
      </c>
      <c r="J96">
        <v>0</v>
      </c>
      <c r="K96">
        <v>0</v>
      </c>
      <c r="L96">
        <v>0</v>
      </c>
      <c r="M96" t="s">
        <v>125</v>
      </c>
      <c r="N96" t="s">
        <v>125</v>
      </c>
      <c r="O96">
        <v>27.57</v>
      </c>
      <c r="P96">
        <v>239.25334638420281</v>
      </c>
      <c r="Q96">
        <v>0</v>
      </c>
      <c r="R96">
        <v>0</v>
      </c>
      <c r="S96">
        <v>239.25334638420281</v>
      </c>
    </row>
    <row r="97" spans="1:19" x14ac:dyDescent="0.25">
      <c r="A97" s="1">
        <v>46230</v>
      </c>
      <c r="B97" t="s">
        <v>148</v>
      </c>
      <c r="C97" t="s">
        <v>11</v>
      </c>
      <c r="D97">
        <v>12.360484256579683</v>
      </c>
      <c r="E97" t="s">
        <v>246</v>
      </c>
      <c r="F97">
        <v>46230</v>
      </c>
      <c r="G97" t="s">
        <v>149</v>
      </c>
      <c r="H97">
        <v>5.0697507204541692E-2</v>
      </c>
      <c r="I97">
        <v>5.0697507204541692E-2</v>
      </c>
      <c r="J97">
        <v>0</v>
      </c>
      <c r="K97">
        <v>0</v>
      </c>
      <c r="L97">
        <v>7.6104842565796833</v>
      </c>
      <c r="M97" t="s">
        <v>125</v>
      </c>
      <c r="N97" t="s">
        <v>125</v>
      </c>
      <c r="O97">
        <v>29.417999999999999</v>
      </c>
      <c r="P97">
        <v>8.8619242593538878</v>
      </c>
      <c r="Q97">
        <v>0</v>
      </c>
      <c r="R97">
        <v>0</v>
      </c>
      <c r="S97">
        <v>8.8619242593538878</v>
      </c>
    </row>
    <row r="98" spans="1:19" x14ac:dyDescent="0.25">
      <c r="A98" s="1">
        <v>46230</v>
      </c>
      <c r="B98" t="s">
        <v>148</v>
      </c>
      <c r="C98" t="s">
        <v>12</v>
      </c>
      <c r="D98">
        <v>7.4795366357946031</v>
      </c>
      <c r="E98" t="s">
        <v>246</v>
      </c>
      <c r="F98">
        <v>46230</v>
      </c>
      <c r="G98" t="s">
        <v>149</v>
      </c>
      <c r="H98">
        <v>0.65783559919475421</v>
      </c>
      <c r="I98">
        <v>0.65783559919475421</v>
      </c>
      <c r="J98">
        <v>0</v>
      </c>
      <c r="K98">
        <v>0</v>
      </c>
      <c r="L98">
        <v>0.82953663579460346</v>
      </c>
      <c r="M98" t="s">
        <v>125</v>
      </c>
      <c r="N98" t="s">
        <v>125</v>
      </c>
      <c r="O98">
        <v>28.36</v>
      </c>
      <c r="P98">
        <v>114.98966273924303</v>
      </c>
      <c r="Q98">
        <v>0</v>
      </c>
      <c r="R98">
        <v>0</v>
      </c>
      <c r="S98">
        <v>114.98966273924303</v>
      </c>
    </row>
    <row r="99" spans="1:19" x14ac:dyDescent="0.25">
      <c r="A99" s="1">
        <v>46231</v>
      </c>
      <c r="B99" t="s">
        <v>148</v>
      </c>
      <c r="C99" t="s">
        <v>12</v>
      </c>
      <c r="D99">
        <v>16.454980598748126</v>
      </c>
      <c r="E99" t="s">
        <v>246</v>
      </c>
      <c r="F99">
        <v>46231</v>
      </c>
      <c r="G99" t="s">
        <v>149</v>
      </c>
      <c r="H99">
        <v>0</v>
      </c>
      <c r="I99">
        <v>0</v>
      </c>
      <c r="J99">
        <v>4.097717212624449</v>
      </c>
      <c r="K99">
        <v>4.097717212624449</v>
      </c>
      <c r="L99">
        <v>5.7072633861236772</v>
      </c>
      <c r="M99" t="s">
        <v>126</v>
      </c>
      <c r="N99" t="s">
        <v>126</v>
      </c>
      <c r="O99">
        <v>28.36</v>
      </c>
      <c r="P99">
        <v>0</v>
      </c>
      <c r="Q99">
        <v>883.20557714022323</v>
      </c>
      <c r="R99">
        <v>0</v>
      </c>
      <c r="S99">
        <v>883.20557714022323</v>
      </c>
    </row>
    <row r="100" spans="1:19" x14ac:dyDescent="0.25">
      <c r="A100" s="1">
        <v>46231</v>
      </c>
      <c r="B100" t="s">
        <v>148</v>
      </c>
      <c r="C100" t="s">
        <v>11</v>
      </c>
      <c r="D100">
        <v>0.31721249125021761</v>
      </c>
      <c r="E100" t="s">
        <v>246</v>
      </c>
      <c r="F100">
        <v>46231</v>
      </c>
      <c r="G100" t="s">
        <v>149</v>
      </c>
      <c r="H100">
        <v>34.569874260410508</v>
      </c>
      <c r="I100">
        <v>34.569874260410508</v>
      </c>
      <c r="J100">
        <v>0</v>
      </c>
      <c r="K100">
        <v>0</v>
      </c>
      <c r="L100">
        <v>0</v>
      </c>
      <c r="M100" t="s">
        <v>126</v>
      </c>
      <c r="N100" t="s">
        <v>126</v>
      </c>
      <c r="O100">
        <v>29.417999999999999</v>
      </c>
      <c r="P100">
        <v>6042.8140207197566</v>
      </c>
      <c r="Q100">
        <v>0</v>
      </c>
      <c r="R100">
        <v>0</v>
      </c>
      <c r="S100">
        <v>6042.8140207197566</v>
      </c>
    </row>
    <row r="101" spans="1:19" x14ac:dyDescent="0.25">
      <c r="A101" s="1">
        <v>46231</v>
      </c>
      <c r="B101" t="s">
        <v>148</v>
      </c>
      <c r="C101" t="s">
        <v>10</v>
      </c>
      <c r="D101">
        <v>11.102437193757616</v>
      </c>
      <c r="E101" t="s">
        <v>246</v>
      </c>
      <c r="F101">
        <v>46231</v>
      </c>
      <c r="G101" t="s">
        <v>149</v>
      </c>
      <c r="H101">
        <v>0.2532465203555696</v>
      </c>
      <c r="I101">
        <v>0.2532465203555696</v>
      </c>
      <c r="J101">
        <v>0</v>
      </c>
      <c r="K101">
        <v>0</v>
      </c>
      <c r="L101">
        <v>0</v>
      </c>
      <c r="M101" t="s">
        <v>126</v>
      </c>
      <c r="N101" t="s">
        <v>126</v>
      </c>
      <c r="O101">
        <v>27.57</v>
      </c>
      <c r="P101">
        <v>44.267491758153568</v>
      </c>
      <c r="Q101">
        <v>0</v>
      </c>
      <c r="R101">
        <v>0</v>
      </c>
      <c r="S101">
        <v>44.267491758153568</v>
      </c>
    </row>
    <row r="102" spans="1:19" x14ac:dyDescent="0.25">
      <c r="A102" s="1">
        <v>46232</v>
      </c>
      <c r="B102" t="s">
        <v>148</v>
      </c>
      <c r="C102" t="s">
        <v>12</v>
      </c>
      <c r="D102">
        <v>5.0667828823124736</v>
      </c>
      <c r="E102" t="s">
        <v>246</v>
      </c>
      <c r="F102">
        <v>46232</v>
      </c>
      <c r="G102" t="s">
        <v>149</v>
      </c>
      <c r="H102">
        <v>1.8689589988441173</v>
      </c>
      <c r="I102">
        <v>1.8689589988441173</v>
      </c>
      <c r="J102">
        <v>0</v>
      </c>
      <c r="K102">
        <v>0</v>
      </c>
      <c r="L102">
        <v>0.31678288231247376</v>
      </c>
      <c r="M102" t="s">
        <v>127</v>
      </c>
      <c r="N102" t="s">
        <v>127</v>
      </c>
      <c r="O102">
        <v>28.36</v>
      </c>
      <c r="P102">
        <v>326.69403299795169</v>
      </c>
      <c r="Q102">
        <v>0</v>
      </c>
      <c r="R102">
        <v>0</v>
      </c>
      <c r="S102">
        <v>326.69403299795169</v>
      </c>
    </row>
    <row r="103" spans="1:19" x14ac:dyDescent="0.25">
      <c r="A103" s="1">
        <v>46232</v>
      </c>
      <c r="B103" t="s">
        <v>148</v>
      </c>
      <c r="C103" t="s">
        <v>11</v>
      </c>
      <c r="D103">
        <v>10.643313851158617</v>
      </c>
      <c r="E103" t="s">
        <v>246</v>
      </c>
      <c r="F103">
        <v>46232</v>
      </c>
      <c r="G103" t="s">
        <v>149</v>
      </c>
      <c r="H103">
        <v>0.24187770631446526</v>
      </c>
      <c r="I103">
        <v>0.24187770631446526</v>
      </c>
      <c r="J103">
        <v>0</v>
      </c>
      <c r="K103">
        <v>0</v>
      </c>
      <c r="L103">
        <v>7.7933138511586169</v>
      </c>
      <c r="M103" t="s">
        <v>127</v>
      </c>
      <c r="N103" t="s">
        <v>127</v>
      </c>
      <c r="O103">
        <v>29.417999999999999</v>
      </c>
      <c r="P103">
        <v>42.280223063768524</v>
      </c>
      <c r="Q103">
        <v>0</v>
      </c>
      <c r="R103">
        <v>0</v>
      </c>
      <c r="S103">
        <v>42.280223063768524</v>
      </c>
    </row>
    <row r="104" spans="1:19" x14ac:dyDescent="0.25">
      <c r="A104" s="1">
        <v>46232</v>
      </c>
      <c r="B104" t="s">
        <v>148</v>
      </c>
      <c r="C104" t="s">
        <v>10</v>
      </c>
      <c r="D104">
        <v>7.7299675499395102</v>
      </c>
      <c r="E104" t="s">
        <v>246</v>
      </c>
      <c r="F104">
        <v>46232</v>
      </c>
      <c r="G104" t="s">
        <v>149</v>
      </c>
      <c r="H104">
        <v>0.59686798660156914</v>
      </c>
      <c r="I104">
        <v>0.59686798660156914</v>
      </c>
      <c r="J104">
        <v>0</v>
      </c>
      <c r="K104">
        <v>0</v>
      </c>
      <c r="L104">
        <v>0</v>
      </c>
      <c r="M104" t="s">
        <v>127</v>
      </c>
      <c r="N104" t="s">
        <v>127</v>
      </c>
      <c r="O104">
        <v>27.57</v>
      </c>
      <c r="P104">
        <v>104.33252405795427</v>
      </c>
      <c r="Q104">
        <v>0</v>
      </c>
      <c r="R104">
        <v>0</v>
      </c>
      <c r="S104">
        <v>104.33252405795427</v>
      </c>
    </row>
    <row r="105" spans="1:19" x14ac:dyDescent="0.25">
      <c r="A105" s="1">
        <v>46233</v>
      </c>
      <c r="B105" t="s">
        <v>148</v>
      </c>
      <c r="C105" t="s">
        <v>10</v>
      </c>
      <c r="D105">
        <v>7.421102755827456</v>
      </c>
      <c r="E105" t="s">
        <v>246</v>
      </c>
      <c r="F105">
        <v>46233</v>
      </c>
      <c r="G105" t="s">
        <v>149</v>
      </c>
      <c r="H105">
        <v>0.86535182534344868</v>
      </c>
      <c r="I105">
        <v>0.86535182534344868</v>
      </c>
      <c r="J105">
        <v>0</v>
      </c>
      <c r="K105">
        <v>0</v>
      </c>
      <c r="L105">
        <v>0</v>
      </c>
      <c r="M105" t="s">
        <v>128</v>
      </c>
      <c r="N105" t="s">
        <v>128</v>
      </c>
      <c r="O105">
        <v>27.57</v>
      </c>
      <c r="P105">
        <v>151.26349907003481</v>
      </c>
      <c r="Q105">
        <v>0</v>
      </c>
      <c r="R105">
        <v>0</v>
      </c>
      <c r="S105">
        <v>151.26349907003481</v>
      </c>
    </row>
    <row r="106" spans="1:19" x14ac:dyDescent="0.25">
      <c r="A106" s="1">
        <v>46233</v>
      </c>
      <c r="B106" t="s">
        <v>148</v>
      </c>
      <c r="C106" t="s">
        <v>12</v>
      </c>
      <c r="D106">
        <v>4.8293883149317187</v>
      </c>
      <c r="E106" t="s">
        <v>246</v>
      </c>
      <c r="F106">
        <v>46233</v>
      </c>
      <c r="G106" t="s">
        <v>149</v>
      </c>
      <c r="H106">
        <v>2.0502750080378607</v>
      </c>
      <c r="I106">
        <v>2.0502750080378607</v>
      </c>
      <c r="J106">
        <v>0</v>
      </c>
      <c r="K106">
        <v>0</v>
      </c>
      <c r="L106">
        <v>0</v>
      </c>
      <c r="M106" t="s">
        <v>128</v>
      </c>
      <c r="N106" t="s">
        <v>128</v>
      </c>
      <c r="O106">
        <v>28.36</v>
      </c>
      <c r="P106">
        <v>358.38807140501802</v>
      </c>
      <c r="Q106">
        <v>0</v>
      </c>
      <c r="R106">
        <v>0</v>
      </c>
      <c r="S106">
        <v>358.38807140501802</v>
      </c>
    </row>
    <row r="107" spans="1:19" x14ac:dyDescent="0.25">
      <c r="A107" s="1">
        <v>46233</v>
      </c>
      <c r="B107" t="s">
        <v>148</v>
      </c>
      <c r="C107" t="s">
        <v>11</v>
      </c>
      <c r="D107">
        <v>11.670080599152742</v>
      </c>
      <c r="E107" t="s">
        <v>246</v>
      </c>
      <c r="F107">
        <v>46233</v>
      </c>
      <c r="G107" t="s">
        <v>149</v>
      </c>
      <c r="H107">
        <v>0.13426024377845436</v>
      </c>
      <c r="I107">
        <v>0.13426024377845436</v>
      </c>
      <c r="J107">
        <v>0</v>
      </c>
      <c r="K107">
        <v>0</v>
      </c>
      <c r="L107">
        <v>9.7700805991527417</v>
      </c>
      <c r="M107" t="s">
        <v>128</v>
      </c>
      <c r="N107" t="s">
        <v>128</v>
      </c>
      <c r="O107">
        <v>29.417999999999999</v>
      </c>
      <c r="P107">
        <v>23.468690612473818</v>
      </c>
      <c r="Q107">
        <v>0</v>
      </c>
      <c r="R107">
        <v>0</v>
      </c>
      <c r="S107">
        <v>23.468690612473818</v>
      </c>
    </row>
    <row r="108" spans="1:19" x14ac:dyDescent="0.25">
      <c r="A108" s="1">
        <v>46234</v>
      </c>
      <c r="B108" t="s">
        <v>148</v>
      </c>
      <c r="C108" t="s">
        <v>10</v>
      </c>
      <c r="D108">
        <v>7.6398124208473428</v>
      </c>
      <c r="E108" t="s">
        <v>246</v>
      </c>
      <c r="F108">
        <v>46234</v>
      </c>
      <c r="G108" t="s">
        <v>149</v>
      </c>
      <c r="H108">
        <v>0.61039683119068955</v>
      </c>
      <c r="I108">
        <v>0.61039683119068955</v>
      </c>
      <c r="J108">
        <v>0</v>
      </c>
      <c r="K108">
        <v>0</v>
      </c>
      <c r="L108">
        <v>0</v>
      </c>
      <c r="M108" t="s">
        <v>129</v>
      </c>
      <c r="N108" t="s">
        <v>129</v>
      </c>
      <c r="O108">
        <v>27.57</v>
      </c>
      <c r="P108">
        <v>106.69736609213253</v>
      </c>
      <c r="Q108">
        <v>0</v>
      </c>
      <c r="R108">
        <v>0</v>
      </c>
      <c r="S108">
        <v>106.69736609213253</v>
      </c>
    </row>
    <row r="109" spans="1:19" x14ac:dyDescent="0.25">
      <c r="A109" s="1">
        <v>46234</v>
      </c>
      <c r="B109" t="s">
        <v>148</v>
      </c>
      <c r="C109" t="s">
        <v>11</v>
      </c>
      <c r="D109">
        <v>11.46203030124774</v>
      </c>
      <c r="E109" t="s">
        <v>246</v>
      </c>
      <c r="F109">
        <v>46234</v>
      </c>
      <c r="G109" t="s">
        <v>149</v>
      </c>
      <c r="H109">
        <v>0.13112887721975763</v>
      </c>
      <c r="I109">
        <v>0.13112887721975763</v>
      </c>
      <c r="J109">
        <v>0</v>
      </c>
      <c r="K109">
        <v>0</v>
      </c>
      <c r="L109">
        <v>6.71203030124774</v>
      </c>
      <c r="M109" t="s">
        <v>129</v>
      </c>
      <c r="N109" t="s">
        <v>129</v>
      </c>
      <c r="O109">
        <v>29.417999999999999</v>
      </c>
      <c r="P109">
        <v>22.921327738013634</v>
      </c>
      <c r="Q109">
        <v>0</v>
      </c>
      <c r="R109">
        <v>0</v>
      </c>
      <c r="S109">
        <v>22.921327738013634</v>
      </c>
    </row>
    <row r="110" spans="1:19" x14ac:dyDescent="0.25">
      <c r="A110" s="1">
        <v>46234</v>
      </c>
      <c r="B110" t="s">
        <v>148</v>
      </c>
      <c r="C110" t="s">
        <v>12</v>
      </c>
      <c r="D110">
        <v>4.7651886631272067</v>
      </c>
      <c r="E110" t="s">
        <v>246</v>
      </c>
      <c r="F110">
        <v>46234</v>
      </c>
      <c r="G110" t="s">
        <v>149</v>
      </c>
      <c r="H110">
        <v>1.56245650904054</v>
      </c>
      <c r="I110">
        <v>1.56245650904054</v>
      </c>
      <c r="J110">
        <v>0</v>
      </c>
      <c r="K110">
        <v>0</v>
      </c>
      <c r="L110">
        <v>0</v>
      </c>
      <c r="M110" t="s">
        <v>129</v>
      </c>
      <c r="N110" t="s">
        <v>129</v>
      </c>
      <c r="O110">
        <v>28.36</v>
      </c>
      <c r="P110">
        <v>273.11739778028635</v>
      </c>
      <c r="Q110">
        <v>0</v>
      </c>
      <c r="R110">
        <v>0</v>
      </c>
      <c r="S110">
        <v>273.11739778028635</v>
      </c>
    </row>
    <row r="111" spans="1:19" x14ac:dyDescent="0.25">
      <c r="A111" s="1">
        <v>46235</v>
      </c>
      <c r="B111" t="s">
        <v>148</v>
      </c>
      <c r="C111" t="s">
        <v>10</v>
      </c>
      <c r="D111">
        <v>7.4211027558274596</v>
      </c>
      <c r="E111" t="s">
        <v>246</v>
      </c>
      <c r="F111">
        <v>46235</v>
      </c>
      <c r="G111" t="s">
        <v>149</v>
      </c>
      <c r="H111">
        <v>0.86235143376950196</v>
      </c>
      <c r="I111">
        <v>0.86235143376950196</v>
      </c>
      <c r="J111">
        <v>0</v>
      </c>
      <c r="K111">
        <v>0</v>
      </c>
      <c r="L111">
        <v>0</v>
      </c>
      <c r="M111" t="s">
        <v>119</v>
      </c>
      <c r="N111" t="s">
        <v>119</v>
      </c>
      <c r="O111">
        <v>37.600000000000009</v>
      </c>
      <c r="P111">
        <v>150.73903062290896</v>
      </c>
      <c r="Q111">
        <v>0</v>
      </c>
      <c r="R111">
        <v>0</v>
      </c>
      <c r="S111">
        <v>150.73903062290896</v>
      </c>
    </row>
    <row r="112" spans="1:19" x14ac:dyDescent="0.25">
      <c r="A112" s="1">
        <v>46235</v>
      </c>
      <c r="B112" t="s">
        <v>148</v>
      </c>
      <c r="C112" t="s">
        <v>12</v>
      </c>
      <c r="D112">
        <v>4.8422208532774444</v>
      </c>
      <c r="E112" t="s">
        <v>246</v>
      </c>
      <c r="F112">
        <v>46235</v>
      </c>
      <c r="G112" t="s">
        <v>149</v>
      </c>
      <c r="H112">
        <v>1.888869476886927</v>
      </c>
      <c r="I112">
        <v>1.888869476886927</v>
      </c>
      <c r="J112">
        <v>0</v>
      </c>
      <c r="K112">
        <v>0</v>
      </c>
      <c r="L112">
        <v>0</v>
      </c>
      <c r="M112" t="s">
        <v>119</v>
      </c>
      <c r="N112" t="s">
        <v>119</v>
      </c>
      <c r="O112">
        <v>33.160000000000011</v>
      </c>
      <c r="P112">
        <v>330.17438455983483</v>
      </c>
      <c r="Q112">
        <v>0</v>
      </c>
      <c r="R112">
        <v>0</v>
      </c>
      <c r="S112">
        <v>330.17438455983483</v>
      </c>
    </row>
    <row r="113" spans="1:19" x14ac:dyDescent="0.25">
      <c r="A113" s="1">
        <v>46235</v>
      </c>
      <c r="B113" t="s">
        <v>148</v>
      </c>
      <c r="C113" t="s">
        <v>11</v>
      </c>
      <c r="D113">
        <v>10.254203452299052</v>
      </c>
      <c r="E113" t="s">
        <v>246</v>
      </c>
      <c r="F113">
        <v>46235</v>
      </c>
      <c r="G113" t="s">
        <v>149</v>
      </c>
      <c r="H113">
        <v>0.36047195171305768</v>
      </c>
      <c r="I113">
        <v>0.36047195171305768</v>
      </c>
      <c r="J113">
        <v>0</v>
      </c>
      <c r="K113">
        <v>0</v>
      </c>
      <c r="L113">
        <v>7.4042034522990523</v>
      </c>
      <c r="M113" t="s">
        <v>119</v>
      </c>
      <c r="N113" t="s">
        <v>119</v>
      </c>
      <c r="O113">
        <v>32.272000000000013</v>
      </c>
      <c r="P113">
        <v>63.01049715944248</v>
      </c>
      <c r="Q113">
        <v>0</v>
      </c>
      <c r="R113">
        <v>0</v>
      </c>
      <c r="S113">
        <v>63.01049715944248</v>
      </c>
    </row>
    <row r="114" spans="1:19" x14ac:dyDescent="0.25">
      <c r="A114" s="1">
        <v>46236</v>
      </c>
      <c r="B114" t="s">
        <v>148</v>
      </c>
      <c r="C114" t="s">
        <v>12</v>
      </c>
      <c r="D114">
        <v>2.4211104266387213</v>
      </c>
      <c r="E114" t="s">
        <v>246</v>
      </c>
      <c r="F114">
        <v>46236</v>
      </c>
      <c r="G114" t="s">
        <v>149</v>
      </c>
      <c r="H114">
        <v>4.8280443303708109</v>
      </c>
      <c r="I114">
        <v>4.8280443303708109</v>
      </c>
      <c r="J114">
        <v>0</v>
      </c>
      <c r="K114">
        <v>0</v>
      </c>
      <c r="L114">
        <v>0</v>
      </c>
      <c r="M114" t="s">
        <v>120</v>
      </c>
      <c r="N114" t="s">
        <v>120</v>
      </c>
      <c r="O114">
        <v>37.610000000000007</v>
      </c>
      <c r="P114">
        <v>843.9421489488177</v>
      </c>
      <c r="Q114">
        <v>0</v>
      </c>
      <c r="R114">
        <v>0</v>
      </c>
      <c r="S114">
        <v>843.9421489488177</v>
      </c>
    </row>
    <row r="115" spans="1:19" x14ac:dyDescent="0.25">
      <c r="A115" s="1">
        <v>46236</v>
      </c>
      <c r="B115" t="s">
        <v>148</v>
      </c>
      <c r="C115" t="s">
        <v>11</v>
      </c>
      <c r="D115">
        <v>10.275373046530325</v>
      </c>
      <c r="E115" t="s">
        <v>246</v>
      </c>
      <c r="F115">
        <v>46236</v>
      </c>
      <c r="G115" t="s">
        <v>149</v>
      </c>
      <c r="H115">
        <v>0.52143224110602771</v>
      </c>
      <c r="I115">
        <v>0.52143224110602771</v>
      </c>
      <c r="J115">
        <v>0</v>
      </c>
      <c r="K115">
        <v>0</v>
      </c>
      <c r="L115">
        <v>6.4753730465303239</v>
      </c>
      <c r="M115" t="s">
        <v>120</v>
      </c>
      <c r="N115" t="s">
        <v>120</v>
      </c>
      <c r="O115">
        <v>36.574000000000012</v>
      </c>
      <c r="P115">
        <v>91.146355745333636</v>
      </c>
      <c r="Q115">
        <v>0</v>
      </c>
      <c r="R115">
        <v>0</v>
      </c>
      <c r="S115">
        <v>91.146355745333636</v>
      </c>
    </row>
    <row r="116" spans="1:19" x14ac:dyDescent="0.25">
      <c r="A116" s="1">
        <v>46236</v>
      </c>
      <c r="B116" t="s">
        <v>148</v>
      </c>
      <c r="C116" t="s">
        <v>10</v>
      </c>
      <c r="D116">
        <v>37.130556870551786</v>
      </c>
      <c r="E116" t="s">
        <v>246</v>
      </c>
      <c r="F116">
        <v>46236</v>
      </c>
      <c r="G116" t="s">
        <v>149</v>
      </c>
      <c r="H116">
        <v>0</v>
      </c>
      <c r="I116">
        <v>0</v>
      </c>
      <c r="J116">
        <v>22.380368333598536</v>
      </c>
      <c r="K116">
        <v>22.380368333598536</v>
      </c>
      <c r="L116">
        <v>0</v>
      </c>
      <c r="M116" t="s">
        <v>120</v>
      </c>
      <c r="N116" t="s">
        <v>120</v>
      </c>
      <c r="O116">
        <v>42.790000000000006</v>
      </c>
      <c r="P116">
        <v>0</v>
      </c>
      <c r="Q116">
        <v>7278.1853035595796</v>
      </c>
      <c r="R116">
        <v>0</v>
      </c>
      <c r="S116">
        <v>7278.1853035595796</v>
      </c>
    </row>
    <row r="117" spans="1:19" x14ac:dyDescent="0.25">
      <c r="A117" s="1">
        <v>46237</v>
      </c>
      <c r="B117" t="s">
        <v>148</v>
      </c>
      <c r="C117" t="s">
        <v>10</v>
      </c>
      <c r="D117">
        <v>6.8398394235226956</v>
      </c>
      <c r="E117" t="s">
        <v>246</v>
      </c>
      <c r="F117">
        <v>46237</v>
      </c>
      <c r="G117" t="s">
        <v>149</v>
      </c>
      <c r="H117">
        <v>1.2848772283891745</v>
      </c>
      <c r="I117">
        <v>1.2848772283891745</v>
      </c>
      <c r="J117">
        <v>0</v>
      </c>
      <c r="K117">
        <v>0</v>
      </c>
      <c r="L117">
        <v>0</v>
      </c>
      <c r="M117" t="s">
        <v>125</v>
      </c>
      <c r="N117" t="s">
        <v>125</v>
      </c>
      <c r="O117">
        <v>27.57</v>
      </c>
      <c r="P117">
        <v>224.59653952242769</v>
      </c>
      <c r="Q117">
        <v>0</v>
      </c>
      <c r="R117">
        <v>0</v>
      </c>
      <c r="S117">
        <v>224.59653952242769</v>
      </c>
    </row>
    <row r="118" spans="1:19" x14ac:dyDescent="0.25">
      <c r="A118" s="1">
        <v>46237</v>
      </c>
      <c r="B118" t="s">
        <v>148</v>
      </c>
      <c r="C118" t="s">
        <v>11</v>
      </c>
      <c r="D118">
        <v>10.036461565266054</v>
      </c>
      <c r="E118" t="s">
        <v>246</v>
      </c>
      <c r="F118">
        <v>46237</v>
      </c>
      <c r="G118" t="s">
        <v>149</v>
      </c>
      <c r="H118">
        <v>0.66435523709209954</v>
      </c>
      <c r="I118">
        <v>0.66435523709209954</v>
      </c>
      <c r="J118">
        <v>0</v>
      </c>
      <c r="K118">
        <v>0</v>
      </c>
      <c r="L118">
        <v>6.2364615652660538</v>
      </c>
      <c r="M118" t="s">
        <v>125</v>
      </c>
      <c r="N118" t="s">
        <v>125</v>
      </c>
      <c r="O118">
        <v>29.417999999999999</v>
      </c>
      <c r="P118">
        <v>116.12929544369899</v>
      </c>
      <c r="Q118">
        <v>0</v>
      </c>
      <c r="R118">
        <v>0</v>
      </c>
      <c r="S118">
        <v>116.12929544369899</v>
      </c>
    </row>
    <row r="119" spans="1:19" x14ac:dyDescent="0.25">
      <c r="A119" s="1">
        <v>46237</v>
      </c>
      <c r="B119" t="s">
        <v>148</v>
      </c>
      <c r="C119" t="s">
        <v>12</v>
      </c>
      <c r="D119">
        <v>6.1493065447778257</v>
      </c>
      <c r="E119" t="s">
        <v>246</v>
      </c>
      <c r="F119">
        <v>46237</v>
      </c>
      <c r="G119" t="s">
        <v>149</v>
      </c>
      <c r="H119">
        <v>1.542831694898918</v>
      </c>
      <c r="I119">
        <v>1.542831694898918</v>
      </c>
      <c r="J119">
        <v>0</v>
      </c>
      <c r="K119">
        <v>0</v>
      </c>
      <c r="L119">
        <v>1.3993065447778255</v>
      </c>
      <c r="M119" t="s">
        <v>125</v>
      </c>
      <c r="N119" t="s">
        <v>125</v>
      </c>
      <c r="O119">
        <v>28.36</v>
      </c>
      <c r="P119">
        <v>269.68698026833084</v>
      </c>
      <c r="Q119">
        <v>0</v>
      </c>
      <c r="R119">
        <v>0</v>
      </c>
      <c r="S119">
        <v>269.68698026833084</v>
      </c>
    </row>
    <row r="120" spans="1:19" x14ac:dyDescent="0.25">
      <c r="A120" s="1">
        <v>46238</v>
      </c>
      <c r="B120" t="s">
        <v>148</v>
      </c>
      <c r="C120" t="s">
        <v>10</v>
      </c>
      <c r="D120">
        <v>7.8645127861663822</v>
      </c>
      <c r="E120" t="s">
        <v>246</v>
      </c>
      <c r="F120">
        <v>46238</v>
      </c>
      <c r="G120" t="s">
        <v>149</v>
      </c>
      <c r="H120">
        <v>1.0223103254316159</v>
      </c>
      <c r="I120">
        <v>1.0223103254316159</v>
      </c>
      <c r="J120">
        <v>0</v>
      </c>
      <c r="K120">
        <v>0</v>
      </c>
      <c r="L120">
        <v>0</v>
      </c>
      <c r="M120" t="s">
        <v>126</v>
      </c>
      <c r="N120" t="s">
        <v>126</v>
      </c>
      <c r="O120">
        <v>27.57</v>
      </c>
      <c r="P120">
        <v>178.69984488544645</v>
      </c>
      <c r="Q120">
        <v>0</v>
      </c>
      <c r="R120">
        <v>0</v>
      </c>
      <c r="S120">
        <v>178.69984488544645</v>
      </c>
    </row>
    <row r="121" spans="1:19" x14ac:dyDescent="0.25">
      <c r="A121" s="1">
        <v>46238</v>
      </c>
      <c r="B121" t="s">
        <v>148</v>
      </c>
      <c r="C121" t="s">
        <v>11</v>
      </c>
      <c r="D121">
        <v>12.65265365641541</v>
      </c>
      <c r="E121" t="s">
        <v>246</v>
      </c>
      <c r="F121">
        <v>46238</v>
      </c>
      <c r="G121" t="s">
        <v>149</v>
      </c>
      <c r="H121">
        <v>0.16160318921828321</v>
      </c>
      <c r="I121">
        <v>0.16160318921828321</v>
      </c>
      <c r="J121">
        <v>0</v>
      </c>
      <c r="K121">
        <v>0</v>
      </c>
      <c r="L121">
        <v>7.90265365641541</v>
      </c>
      <c r="M121" t="s">
        <v>126</v>
      </c>
      <c r="N121" t="s">
        <v>126</v>
      </c>
      <c r="O121">
        <v>29.417999999999999</v>
      </c>
      <c r="P121">
        <v>28.248237475355904</v>
      </c>
      <c r="Q121">
        <v>0</v>
      </c>
      <c r="R121">
        <v>0</v>
      </c>
      <c r="S121">
        <v>28.248237475355904</v>
      </c>
    </row>
    <row r="122" spans="1:19" x14ac:dyDescent="0.25">
      <c r="A122" s="1">
        <v>46238</v>
      </c>
      <c r="B122" t="s">
        <v>148</v>
      </c>
      <c r="C122" t="s">
        <v>12</v>
      </c>
      <c r="D122">
        <v>4.3999686459471556</v>
      </c>
      <c r="E122" t="s">
        <v>246</v>
      </c>
      <c r="F122">
        <v>46238</v>
      </c>
      <c r="G122" t="s">
        <v>149</v>
      </c>
      <c r="H122">
        <v>2.0486048046397256</v>
      </c>
      <c r="I122">
        <v>2.0486048046397256</v>
      </c>
      <c r="J122">
        <v>0</v>
      </c>
      <c r="K122">
        <v>0</v>
      </c>
      <c r="L122">
        <v>0</v>
      </c>
      <c r="M122" t="s">
        <v>126</v>
      </c>
      <c r="N122" t="s">
        <v>126</v>
      </c>
      <c r="O122">
        <v>28.36</v>
      </c>
      <c r="P122">
        <v>358.09611985102401</v>
      </c>
      <c r="Q122">
        <v>0</v>
      </c>
      <c r="R122">
        <v>0</v>
      </c>
      <c r="S122">
        <v>358.09611985102401</v>
      </c>
    </row>
    <row r="123" spans="1:19" x14ac:dyDescent="0.25">
      <c r="A123" s="1">
        <v>46239</v>
      </c>
      <c r="B123" t="s">
        <v>148</v>
      </c>
      <c r="C123" t="s">
        <v>11</v>
      </c>
      <c r="D123">
        <v>4.1797410611793371</v>
      </c>
      <c r="E123" t="s">
        <v>246</v>
      </c>
      <c r="F123">
        <v>46239</v>
      </c>
      <c r="G123" t="s">
        <v>149</v>
      </c>
      <c r="H123">
        <v>2.9866580557016658</v>
      </c>
      <c r="I123">
        <v>2.9866580557016658</v>
      </c>
      <c r="J123">
        <v>0</v>
      </c>
      <c r="K123">
        <v>0</v>
      </c>
      <c r="L123">
        <v>1.3297410611793374</v>
      </c>
      <c r="M123" t="s">
        <v>127</v>
      </c>
      <c r="N123" t="s">
        <v>127</v>
      </c>
      <c r="O123">
        <v>29.417999999999999</v>
      </c>
      <c r="P123">
        <v>522.06782813665109</v>
      </c>
      <c r="Q123">
        <v>0</v>
      </c>
      <c r="R123">
        <v>0</v>
      </c>
      <c r="S123">
        <v>522.06782813665109</v>
      </c>
    </row>
    <row r="124" spans="1:19" x14ac:dyDescent="0.25">
      <c r="A124" s="1">
        <v>46239</v>
      </c>
      <c r="B124" t="s">
        <v>148</v>
      </c>
      <c r="C124" t="s">
        <v>12</v>
      </c>
      <c r="D124">
        <v>7.3764180240878749</v>
      </c>
      <c r="E124" t="s">
        <v>246</v>
      </c>
      <c r="F124">
        <v>46239</v>
      </c>
      <c r="G124" t="s">
        <v>149</v>
      </c>
      <c r="H124">
        <v>1.0453563403732247</v>
      </c>
      <c r="I124">
        <v>1.0453563403732247</v>
      </c>
      <c r="J124">
        <v>0</v>
      </c>
      <c r="K124">
        <v>0</v>
      </c>
      <c r="L124">
        <v>1.6764180240878759</v>
      </c>
      <c r="M124" t="s">
        <v>127</v>
      </c>
      <c r="N124" t="s">
        <v>127</v>
      </c>
      <c r="O124">
        <v>28.36</v>
      </c>
      <c r="P124">
        <v>182.72828829723966</v>
      </c>
      <c r="Q124">
        <v>0</v>
      </c>
      <c r="R124">
        <v>0</v>
      </c>
      <c r="S124">
        <v>182.72828829723966</v>
      </c>
    </row>
    <row r="125" spans="1:19" x14ac:dyDescent="0.25">
      <c r="A125" s="1">
        <v>46239</v>
      </c>
      <c r="B125" t="s">
        <v>148</v>
      </c>
      <c r="C125" t="s">
        <v>10</v>
      </c>
      <c r="D125">
        <v>11.085741799481289</v>
      </c>
      <c r="E125" t="s">
        <v>246</v>
      </c>
      <c r="F125">
        <v>46239</v>
      </c>
      <c r="G125" t="s">
        <v>149</v>
      </c>
      <c r="H125">
        <v>0.26562664716256679</v>
      </c>
      <c r="I125">
        <v>0.26562664716256679</v>
      </c>
      <c r="J125">
        <v>0</v>
      </c>
      <c r="K125">
        <v>0</v>
      </c>
      <c r="L125">
        <v>2.5357417994812903</v>
      </c>
      <c r="M125" t="s">
        <v>127</v>
      </c>
      <c r="N125" t="s">
        <v>127</v>
      </c>
      <c r="O125">
        <v>27.57</v>
      </c>
      <c r="P125">
        <v>46.431537924016673</v>
      </c>
      <c r="Q125">
        <v>0</v>
      </c>
      <c r="R125">
        <v>0</v>
      </c>
      <c r="S125">
        <v>46.431537924016673</v>
      </c>
    </row>
    <row r="126" spans="1:19" x14ac:dyDescent="0.25">
      <c r="A126" s="1">
        <v>46240</v>
      </c>
      <c r="B126" t="s">
        <v>148</v>
      </c>
      <c r="C126" t="s">
        <v>10</v>
      </c>
      <c r="D126">
        <v>11.05958568178171</v>
      </c>
      <c r="E126" t="s">
        <v>246</v>
      </c>
      <c r="F126">
        <v>46240</v>
      </c>
      <c r="G126" t="s">
        <v>149</v>
      </c>
      <c r="H126">
        <v>0.30316529019080551</v>
      </c>
      <c r="I126">
        <v>0.30316529019080551</v>
      </c>
      <c r="J126">
        <v>0</v>
      </c>
      <c r="K126">
        <v>0</v>
      </c>
      <c r="L126">
        <v>0</v>
      </c>
      <c r="M126" t="s">
        <v>128</v>
      </c>
      <c r="N126" t="s">
        <v>128</v>
      </c>
      <c r="O126">
        <v>27.57</v>
      </c>
      <c r="P126">
        <v>52.993292725352802</v>
      </c>
      <c r="Q126">
        <v>0</v>
      </c>
      <c r="R126">
        <v>0</v>
      </c>
      <c r="S126">
        <v>52.993292725352802</v>
      </c>
    </row>
    <row r="127" spans="1:19" x14ac:dyDescent="0.25">
      <c r="A127" s="1">
        <v>46240</v>
      </c>
      <c r="B127" t="s">
        <v>148</v>
      </c>
      <c r="C127" t="s">
        <v>11</v>
      </c>
      <c r="D127">
        <v>3.947533224447151</v>
      </c>
      <c r="E127" t="s">
        <v>246</v>
      </c>
      <c r="F127">
        <v>46240</v>
      </c>
      <c r="G127" t="s">
        <v>149</v>
      </c>
      <c r="H127">
        <v>2.9888195038059484</v>
      </c>
      <c r="I127">
        <v>2.9888195038059484</v>
      </c>
      <c r="J127">
        <v>0</v>
      </c>
      <c r="K127">
        <v>0</v>
      </c>
      <c r="L127">
        <v>1.0975332244471516</v>
      </c>
      <c r="M127" t="s">
        <v>128</v>
      </c>
      <c r="N127" t="s">
        <v>128</v>
      </c>
      <c r="O127">
        <v>29.417999999999999</v>
      </c>
      <c r="P127">
        <v>522.44564926527971</v>
      </c>
      <c r="Q127">
        <v>0</v>
      </c>
      <c r="R127">
        <v>0</v>
      </c>
      <c r="S127">
        <v>522.44564926527971</v>
      </c>
    </row>
    <row r="128" spans="1:19" x14ac:dyDescent="0.25">
      <c r="A128" s="1">
        <v>46240</v>
      </c>
      <c r="B128" t="s">
        <v>148</v>
      </c>
      <c r="C128" t="s">
        <v>12</v>
      </c>
      <c r="D128">
        <v>7.5345332287048574</v>
      </c>
      <c r="E128" t="s">
        <v>246</v>
      </c>
      <c r="F128">
        <v>46240</v>
      </c>
      <c r="G128" t="s">
        <v>149</v>
      </c>
      <c r="H128">
        <v>0.88026923675443514</v>
      </c>
      <c r="I128">
        <v>0.88026923675443514</v>
      </c>
      <c r="J128">
        <v>0</v>
      </c>
      <c r="K128">
        <v>0</v>
      </c>
      <c r="L128">
        <v>2.7845332287048574</v>
      </c>
      <c r="M128" t="s">
        <v>128</v>
      </c>
      <c r="N128" t="s">
        <v>128</v>
      </c>
      <c r="O128">
        <v>28.36</v>
      </c>
      <c r="P128">
        <v>153.87106258467526</v>
      </c>
      <c r="Q128">
        <v>0</v>
      </c>
      <c r="R128">
        <v>0</v>
      </c>
      <c r="S128">
        <v>153.87106258467526</v>
      </c>
    </row>
    <row r="129" spans="1:19" x14ac:dyDescent="0.25">
      <c r="A129" s="1">
        <v>46241</v>
      </c>
      <c r="B129" t="s">
        <v>148</v>
      </c>
      <c r="C129" t="s">
        <v>11</v>
      </c>
      <c r="D129">
        <v>3.947533224447151</v>
      </c>
      <c r="E129" t="s">
        <v>246</v>
      </c>
      <c r="F129">
        <v>46241</v>
      </c>
      <c r="G129" t="s">
        <v>149</v>
      </c>
      <c r="H129">
        <v>2.5046543545466458</v>
      </c>
      <c r="I129">
        <v>2.5046543545466458</v>
      </c>
      <c r="J129">
        <v>0</v>
      </c>
      <c r="K129">
        <v>0</v>
      </c>
      <c r="L129">
        <v>0.14753322444715114</v>
      </c>
      <c r="M129" t="s">
        <v>129</v>
      </c>
      <c r="N129" t="s">
        <v>129</v>
      </c>
      <c r="O129">
        <v>29.417999999999999</v>
      </c>
      <c r="P129">
        <v>437.81358117475366</v>
      </c>
      <c r="Q129">
        <v>0</v>
      </c>
      <c r="R129">
        <v>0</v>
      </c>
      <c r="S129">
        <v>437.81358117475366</v>
      </c>
    </row>
    <row r="130" spans="1:19" x14ac:dyDescent="0.25">
      <c r="A130" s="1">
        <v>46241</v>
      </c>
      <c r="B130" t="s">
        <v>148</v>
      </c>
      <c r="C130" t="s">
        <v>12</v>
      </c>
      <c r="D130">
        <v>8.0638754354660573</v>
      </c>
      <c r="E130" t="s">
        <v>246</v>
      </c>
      <c r="F130">
        <v>46241</v>
      </c>
      <c r="G130" t="s">
        <v>149</v>
      </c>
      <c r="H130">
        <v>0.5107199986683737</v>
      </c>
      <c r="I130">
        <v>0.5107199986683737</v>
      </c>
      <c r="J130">
        <v>0</v>
      </c>
      <c r="K130">
        <v>0</v>
      </c>
      <c r="L130">
        <v>2.3638754354660576</v>
      </c>
      <c r="M130" t="s">
        <v>129</v>
      </c>
      <c r="N130" t="s">
        <v>129</v>
      </c>
      <c r="O130">
        <v>28.36</v>
      </c>
      <c r="P130">
        <v>89.273855767231709</v>
      </c>
      <c r="Q130">
        <v>0</v>
      </c>
      <c r="R130">
        <v>0</v>
      </c>
      <c r="S130">
        <v>89.273855767231709</v>
      </c>
    </row>
    <row r="131" spans="1:19" x14ac:dyDescent="0.25">
      <c r="A131" s="1">
        <v>46241</v>
      </c>
      <c r="B131" t="s">
        <v>148</v>
      </c>
      <c r="C131" t="s">
        <v>10</v>
      </c>
      <c r="D131">
        <v>10.568184576915144</v>
      </c>
      <c r="E131" t="s">
        <v>246</v>
      </c>
      <c r="F131">
        <v>46241</v>
      </c>
      <c r="G131" t="s">
        <v>149</v>
      </c>
      <c r="H131">
        <v>0.27642670570187811</v>
      </c>
      <c r="I131">
        <v>0.27642670570187811</v>
      </c>
      <c r="J131">
        <v>0</v>
      </c>
      <c r="K131">
        <v>0</v>
      </c>
      <c r="L131">
        <v>2.0181845769151452</v>
      </c>
      <c r="M131" t="s">
        <v>129</v>
      </c>
      <c r="N131" t="s">
        <v>129</v>
      </c>
      <c r="O131">
        <v>27.57</v>
      </c>
      <c r="P131">
        <v>48.319388156688291</v>
      </c>
      <c r="Q131">
        <v>0</v>
      </c>
      <c r="R131">
        <v>0</v>
      </c>
      <c r="S131">
        <v>48.319388156688291</v>
      </c>
    </row>
    <row r="132" spans="1:19" x14ac:dyDescent="0.25">
      <c r="A132" s="1">
        <v>46242</v>
      </c>
      <c r="B132" t="s">
        <v>148</v>
      </c>
      <c r="C132" t="s">
        <v>12</v>
      </c>
      <c r="D132">
        <v>8.3487406003058897</v>
      </c>
      <c r="E132" t="s">
        <v>246</v>
      </c>
      <c r="F132">
        <v>46242</v>
      </c>
      <c r="G132" t="s">
        <v>149</v>
      </c>
      <c r="H132">
        <v>0.4808958070552356</v>
      </c>
      <c r="I132">
        <v>0.4808958070552356</v>
      </c>
      <c r="J132">
        <v>0</v>
      </c>
      <c r="K132">
        <v>0</v>
      </c>
      <c r="L132">
        <v>1.6987406003058902</v>
      </c>
      <c r="M132" t="s">
        <v>119</v>
      </c>
      <c r="N132" t="s">
        <v>119</v>
      </c>
      <c r="O132">
        <v>33.160000000000011</v>
      </c>
      <c r="P132">
        <v>84.060587073255178</v>
      </c>
      <c r="Q132">
        <v>0</v>
      </c>
      <c r="R132">
        <v>0</v>
      </c>
      <c r="S132">
        <v>84.060587073255178</v>
      </c>
    </row>
    <row r="133" spans="1:19" x14ac:dyDescent="0.25">
      <c r="A133" s="1">
        <v>46242</v>
      </c>
      <c r="B133" t="s">
        <v>148</v>
      </c>
      <c r="C133" t="s">
        <v>11</v>
      </c>
      <c r="D133">
        <v>2.704078169514105</v>
      </c>
      <c r="E133" t="s">
        <v>246</v>
      </c>
      <c r="F133">
        <v>46242</v>
      </c>
      <c r="G133" t="s">
        <v>149</v>
      </c>
      <c r="H133">
        <v>4.1129000152671891</v>
      </c>
      <c r="I133">
        <v>4.1129000152671891</v>
      </c>
      <c r="J133">
        <v>0</v>
      </c>
      <c r="K133">
        <v>0</v>
      </c>
      <c r="L133">
        <v>0</v>
      </c>
      <c r="M133" t="s">
        <v>119</v>
      </c>
      <c r="N133" t="s">
        <v>119</v>
      </c>
      <c r="O133">
        <v>32.272000000000013</v>
      </c>
      <c r="P133">
        <v>718.93492266870453</v>
      </c>
      <c r="Q133">
        <v>0</v>
      </c>
      <c r="R133">
        <v>0</v>
      </c>
      <c r="S133">
        <v>718.93492266870453</v>
      </c>
    </row>
    <row r="134" spans="1:19" x14ac:dyDescent="0.25">
      <c r="A134" s="1">
        <v>46242</v>
      </c>
      <c r="B134" t="s">
        <v>148</v>
      </c>
      <c r="C134" t="s">
        <v>10</v>
      </c>
      <c r="D134">
        <v>12.855453592771978</v>
      </c>
      <c r="E134" t="s">
        <v>246</v>
      </c>
      <c r="F134">
        <v>46242</v>
      </c>
      <c r="G134" t="s">
        <v>149</v>
      </c>
      <c r="H134">
        <v>2.9275869614930006E-2</v>
      </c>
      <c r="I134">
        <v>2.9275869614930006E-2</v>
      </c>
      <c r="J134">
        <v>0</v>
      </c>
      <c r="K134">
        <v>0</v>
      </c>
      <c r="L134">
        <v>0</v>
      </c>
      <c r="M134" t="s">
        <v>119</v>
      </c>
      <c r="N134" t="s">
        <v>119</v>
      </c>
      <c r="O134">
        <v>37.600000000000009</v>
      </c>
      <c r="P134">
        <v>5.1174220086897648</v>
      </c>
      <c r="Q134">
        <v>0</v>
      </c>
      <c r="R134">
        <v>0</v>
      </c>
      <c r="S134">
        <v>5.1174220086897648</v>
      </c>
    </row>
    <row r="135" spans="1:19" x14ac:dyDescent="0.25">
      <c r="A135" s="1">
        <v>46243</v>
      </c>
      <c r="B135" t="s">
        <v>148</v>
      </c>
      <c r="C135" t="s">
        <v>10</v>
      </c>
      <c r="D135">
        <v>22.088006627580935</v>
      </c>
      <c r="E135" t="s">
        <v>246</v>
      </c>
      <c r="F135">
        <v>46243</v>
      </c>
      <c r="G135" t="s">
        <v>149</v>
      </c>
      <c r="H135">
        <v>0</v>
      </c>
      <c r="I135">
        <v>0</v>
      </c>
      <c r="J135">
        <v>8.1081509874081945</v>
      </c>
      <c r="K135">
        <v>8.1081509874081945</v>
      </c>
      <c r="L135">
        <v>0</v>
      </c>
      <c r="M135" t="s">
        <v>120</v>
      </c>
      <c r="N135" t="s">
        <v>120</v>
      </c>
      <c r="O135">
        <v>42.790000000000006</v>
      </c>
      <c r="P135">
        <v>0</v>
      </c>
      <c r="Q135">
        <v>2636.8031337090947</v>
      </c>
      <c r="R135">
        <v>0</v>
      </c>
      <c r="S135">
        <v>2636.8031337090947</v>
      </c>
    </row>
    <row r="136" spans="1:19" x14ac:dyDescent="0.25">
      <c r="A136" s="1">
        <v>46243</v>
      </c>
      <c r="B136" t="s">
        <v>148</v>
      </c>
      <c r="C136" t="s">
        <v>11</v>
      </c>
      <c r="D136">
        <v>8.1223093154332027</v>
      </c>
      <c r="E136" t="s">
        <v>246</v>
      </c>
      <c r="F136">
        <v>46243</v>
      </c>
      <c r="G136" t="s">
        <v>149</v>
      </c>
      <c r="H136">
        <v>0.70072032667359974</v>
      </c>
      <c r="I136">
        <v>0.70072032667359974</v>
      </c>
      <c r="J136">
        <v>0</v>
      </c>
      <c r="K136">
        <v>0</v>
      </c>
      <c r="L136">
        <v>3.3723093154332031</v>
      </c>
      <c r="M136" t="s">
        <v>120</v>
      </c>
      <c r="N136" t="s">
        <v>120</v>
      </c>
      <c r="O136">
        <v>36.574000000000012</v>
      </c>
      <c r="P136">
        <v>122.48591310254523</v>
      </c>
      <c r="Q136">
        <v>0</v>
      </c>
      <c r="R136">
        <v>0</v>
      </c>
      <c r="S136">
        <v>122.48591310254523</v>
      </c>
    </row>
    <row r="137" spans="1:19" x14ac:dyDescent="0.25">
      <c r="A137" s="1">
        <v>46243</v>
      </c>
      <c r="B137" t="s">
        <v>148</v>
      </c>
      <c r="C137" t="s">
        <v>12</v>
      </c>
      <c r="D137">
        <v>4.6539757948026406</v>
      </c>
      <c r="E137" t="s">
        <v>246</v>
      </c>
      <c r="F137">
        <v>46243</v>
      </c>
      <c r="G137" t="s">
        <v>149</v>
      </c>
      <c r="H137">
        <v>1.6544281532818554</v>
      </c>
      <c r="I137">
        <v>1.6544281532818554</v>
      </c>
      <c r="J137">
        <v>0</v>
      </c>
      <c r="K137">
        <v>0</v>
      </c>
      <c r="L137">
        <v>0</v>
      </c>
      <c r="M137" t="s">
        <v>120</v>
      </c>
      <c r="N137" t="s">
        <v>120</v>
      </c>
      <c r="O137">
        <v>37.610000000000007</v>
      </c>
      <c r="P137">
        <v>289.19404119366834</v>
      </c>
      <c r="Q137">
        <v>0</v>
      </c>
      <c r="R137">
        <v>0</v>
      </c>
      <c r="S137">
        <v>289.19404119366834</v>
      </c>
    </row>
    <row r="138" spans="1:19" x14ac:dyDescent="0.25">
      <c r="A138" s="1">
        <v>46244</v>
      </c>
      <c r="B138" t="s">
        <v>148</v>
      </c>
      <c r="C138" t="s">
        <v>10</v>
      </c>
      <c r="D138">
        <v>8.7261260750937026</v>
      </c>
      <c r="E138" t="s">
        <v>246</v>
      </c>
      <c r="F138">
        <v>46244</v>
      </c>
      <c r="G138" t="s">
        <v>149</v>
      </c>
      <c r="H138">
        <v>0.59567608238861269</v>
      </c>
      <c r="I138">
        <v>0.59567608238861269</v>
      </c>
      <c r="J138">
        <v>0</v>
      </c>
      <c r="K138">
        <v>0</v>
      </c>
      <c r="L138">
        <v>0</v>
      </c>
      <c r="M138" t="s">
        <v>125</v>
      </c>
      <c r="N138" t="s">
        <v>125</v>
      </c>
      <c r="O138">
        <v>27.57</v>
      </c>
      <c r="P138">
        <v>104.1241792015295</v>
      </c>
      <c r="Q138">
        <v>0</v>
      </c>
      <c r="R138">
        <v>0</v>
      </c>
      <c r="S138">
        <v>104.1241792015295</v>
      </c>
    </row>
    <row r="139" spans="1:19" x14ac:dyDescent="0.25">
      <c r="A139" s="1">
        <v>46244</v>
      </c>
      <c r="B139" t="s">
        <v>148</v>
      </c>
      <c r="C139" t="s">
        <v>12</v>
      </c>
      <c r="D139">
        <v>6.7783300761888601</v>
      </c>
      <c r="E139" t="s">
        <v>246</v>
      </c>
      <c r="F139">
        <v>46244</v>
      </c>
      <c r="G139" t="s">
        <v>149</v>
      </c>
      <c r="H139">
        <v>1.3173022230245648</v>
      </c>
      <c r="I139">
        <v>1.3173022230245648</v>
      </c>
      <c r="J139">
        <v>0</v>
      </c>
      <c r="K139">
        <v>0</v>
      </c>
      <c r="L139">
        <v>0.12833007618886064</v>
      </c>
      <c r="M139" t="s">
        <v>125</v>
      </c>
      <c r="N139" t="s">
        <v>125</v>
      </c>
      <c r="O139">
        <v>28.36</v>
      </c>
      <c r="P139">
        <v>230.26442858469392</v>
      </c>
      <c r="Q139">
        <v>0</v>
      </c>
      <c r="R139">
        <v>0</v>
      </c>
      <c r="S139">
        <v>230.26442858469392</v>
      </c>
    </row>
    <row r="140" spans="1:19" x14ac:dyDescent="0.25">
      <c r="A140" s="1">
        <v>46244</v>
      </c>
      <c r="B140" t="s">
        <v>148</v>
      </c>
      <c r="C140" t="s">
        <v>11</v>
      </c>
      <c r="D140">
        <v>7.9603639909528257</v>
      </c>
      <c r="E140" t="s">
        <v>246</v>
      </c>
      <c r="F140">
        <v>46244</v>
      </c>
      <c r="G140" t="s">
        <v>149</v>
      </c>
      <c r="H140">
        <v>0.87775807815803386</v>
      </c>
      <c r="I140">
        <v>0.87775807815803386</v>
      </c>
      <c r="J140">
        <v>0</v>
      </c>
      <c r="K140">
        <v>0</v>
      </c>
      <c r="L140">
        <v>3.2103639909528261</v>
      </c>
      <c r="M140" t="s">
        <v>125</v>
      </c>
      <c r="N140" t="s">
        <v>125</v>
      </c>
      <c r="O140">
        <v>29.417999999999999</v>
      </c>
      <c r="P140">
        <v>153.43211206202432</v>
      </c>
      <c r="Q140">
        <v>0</v>
      </c>
      <c r="R140">
        <v>0</v>
      </c>
      <c r="S140">
        <v>153.43211206202432</v>
      </c>
    </row>
    <row r="141" spans="1:19" x14ac:dyDescent="0.25">
      <c r="A141" s="1">
        <v>46245</v>
      </c>
      <c r="B141" t="s">
        <v>148</v>
      </c>
      <c r="C141" t="s">
        <v>11</v>
      </c>
      <c r="D141">
        <v>11.949728453281219</v>
      </c>
      <c r="E141" t="s">
        <v>246</v>
      </c>
      <c r="F141">
        <v>46245</v>
      </c>
      <c r="G141" t="s">
        <v>149</v>
      </c>
      <c r="H141">
        <v>0.3293199221967289</v>
      </c>
      <c r="I141">
        <v>0.3293199221967289</v>
      </c>
      <c r="J141">
        <v>0</v>
      </c>
      <c r="K141">
        <v>0</v>
      </c>
      <c r="L141">
        <v>7.1997284532812191</v>
      </c>
      <c r="M141" t="s">
        <v>126</v>
      </c>
      <c r="N141" t="s">
        <v>126</v>
      </c>
      <c r="O141">
        <v>29.417999999999999</v>
      </c>
      <c r="P141">
        <v>57.565122399988212</v>
      </c>
      <c r="Q141">
        <v>0</v>
      </c>
      <c r="R141">
        <v>0</v>
      </c>
      <c r="S141">
        <v>57.565122399988212</v>
      </c>
    </row>
    <row r="142" spans="1:19" x14ac:dyDescent="0.25">
      <c r="A142" s="1">
        <v>46245</v>
      </c>
      <c r="B142" t="s">
        <v>148</v>
      </c>
      <c r="C142" t="s">
        <v>12</v>
      </c>
      <c r="D142">
        <v>4.4370132585222226</v>
      </c>
      <c r="E142" t="s">
        <v>246</v>
      </c>
      <c r="F142">
        <v>46245</v>
      </c>
      <c r="G142" t="s">
        <v>149</v>
      </c>
      <c r="H142">
        <v>2.581380166949871</v>
      </c>
      <c r="I142">
        <v>2.581380166949871</v>
      </c>
      <c r="J142">
        <v>0</v>
      </c>
      <c r="K142">
        <v>0</v>
      </c>
      <c r="L142">
        <v>0</v>
      </c>
      <c r="M142" t="s">
        <v>126</v>
      </c>
      <c r="N142" t="s">
        <v>126</v>
      </c>
      <c r="O142">
        <v>28.36</v>
      </c>
      <c r="P142">
        <v>451.22525318283743</v>
      </c>
      <c r="Q142">
        <v>0</v>
      </c>
      <c r="R142">
        <v>0</v>
      </c>
      <c r="S142">
        <v>451.22525318283743</v>
      </c>
    </row>
    <row r="143" spans="1:19" x14ac:dyDescent="0.25">
      <c r="A143" s="1">
        <v>46245</v>
      </c>
      <c r="B143" t="s">
        <v>148</v>
      </c>
      <c r="C143" t="s">
        <v>10</v>
      </c>
      <c r="D143">
        <v>8.479787169349855</v>
      </c>
      <c r="E143" t="s">
        <v>246</v>
      </c>
      <c r="F143">
        <v>46245</v>
      </c>
      <c r="G143" t="s">
        <v>149</v>
      </c>
      <c r="H143">
        <v>0.76132470357371584</v>
      </c>
      <c r="I143">
        <v>0.76132470357371584</v>
      </c>
      <c r="J143">
        <v>0</v>
      </c>
      <c r="K143">
        <v>0</v>
      </c>
      <c r="L143">
        <v>0</v>
      </c>
      <c r="M143" t="s">
        <v>126</v>
      </c>
      <c r="N143" t="s">
        <v>126</v>
      </c>
      <c r="O143">
        <v>27.57</v>
      </c>
      <c r="P143">
        <v>133.07955818468551</v>
      </c>
      <c r="Q143">
        <v>0</v>
      </c>
      <c r="R143">
        <v>0</v>
      </c>
      <c r="S143">
        <v>133.07955818468551</v>
      </c>
    </row>
    <row r="144" spans="1:19" x14ac:dyDescent="0.25">
      <c r="A144" s="1">
        <v>46246</v>
      </c>
      <c r="B144" t="s">
        <v>148</v>
      </c>
      <c r="C144" t="s">
        <v>12</v>
      </c>
      <c r="D144">
        <v>7.8026416191423458</v>
      </c>
      <c r="E144" t="s">
        <v>246</v>
      </c>
      <c r="F144">
        <v>46246</v>
      </c>
      <c r="G144" t="s">
        <v>149</v>
      </c>
      <c r="H144">
        <v>1.0285295802869681</v>
      </c>
      <c r="I144">
        <v>1.0285295802869681</v>
      </c>
      <c r="J144">
        <v>0</v>
      </c>
      <c r="K144">
        <v>0</v>
      </c>
      <c r="L144">
        <v>3.0526416191423462</v>
      </c>
      <c r="M144" t="s">
        <v>127</v>
      </c>
      <c r="N144" t="s">
        <v>127</v>
      </c>
      <c r="O144">
        <v>28.36</v>
      </c>
      <c r="P144">
        <v>179.786970634162</v>
      </c>
      <c r="Q144">
        <v>0</v>
      </c>
      <c r="R144">
        <v>0</v>
      </c>
      <c r="S144">
        <v>179.786970634162</v>
      </c>
    </row>
    <row r="145" spans="1:19" x14ac:dyDescent="0.25">
      <c r="A145" s="1">
        <v>46246</v>
      </c>
      <c r="B145" t="s">
        <v>148</v>
      </c>
      <c r="C145" t="s">
        <v>11</v>
      </c>
      <c r="D145">
        <v>2.8048262384229763</v>
      </c>
      <c r="E145" t="s">
        <v>246</v>
      </c>
      <c r="F145">
        <v>46246</v>
      </c>
      <c r="G145" t="s">
        <v>149</v>
      </c>
      <c r="H145">
        <v>4.5953864130110684</v>
      </c>
      <c r="I145">
        <v>4.5953864130110684</v>
      </c>
      <c r="J145">
        <v>0</v>
      </c>
      <c r="K145">
        <v>0</v>
      </c>
      <c r="L145">
        <v>0</v>
      </c>
      <c r="M145" t="s">
        <v>127</v>
      </c>
      <c r="N145" t="s">
        <v>127</v>
      </c>
      <c r="O145">
        <v>29.417999999999999</v>
      </c>
      <c r="P145">
        <v>803.27354499433466</v>
      </c>
      <c r="Q145">
        <v>0</v>
      </c>
      <c r="R145">
        <v>0</v>
      </c>
      <c r="S145">
        <v>803.27354499433466</v>
      </c>
    </row>
    <row r="146" spans="1:19" x14ac:dyDescent="0.25">
      <c r="A146" s="1">
        <v>46246</v>
      </c>
      <c r="B146" t="s">
        <v>148</v>
      </c>
      <c r="C146" t="s">
        <v>10</v>
      </c>
      <c r="D146">
        <v>13.416418840456574</v>
      </c>
      <c r="E146" t="s">
        <v>246</v>
      </c>
      <c r="F146">
        <v>46246</v>
      </c>
      <c r="G146" t="s">
        <v>149</v>
      </c>
      <c r="H146">
        <v>3.7380921086055174E-2</v>
      </c>
      <c r="I146">
        <v>3.7380921086055174E-2</v>
      </c>
      <c r="J146">
        <v>0</v>
      </c>
      <c r="K146">
        <v>0</v>
      </c>
      <c r="L146">
        <v>0</v>
      </c>
      <c r="M146" t="s">
        <v>127</v>
      </c>
      <c r="N146" t="s">
        <v>127</v>
      </c>
      <c r="O146">
        <v>27.57</v>
      </c>
      <c r="P146">
        <v>6.5341850058424438</v>
      </c>
      <c r="Q146">
        <v>0</v>
      </c>
      <c r="R146">
        <v>0</v>
      </c>
      <c r="S146">
        <v>6.5341850058424438</v>
      </c>
    </row>
    <row r="147" spans="1:19" x14ac:dyDescent="0.25">
      <c r="A147" s="1">
        <v>46247</v>
      </c>
      <c r="B147" t="s">
        <v>148</v>
      </c>
      <c r="C147" t="s">
        <v>12</v>
      </c>
      <c r="D147">
        <v>8.6180548132189827</v>
      </c>
      <c r="E147" t="s">
        <v>246</v>
      </c>
      <c r="F147">
        <v>46247</v>
      </c>
      <c r="G147" t="s">
        <v>149</v>
      </c>
      <c r="H147">
        <v>0.40058788193602046</v>
      </c>
      <c r="I147">
        <v>0.40058788193602046</v>
      </c>
      <c r="J147">
        <v>0</v>
      </c>
      <c r="K147">
        <v>0</v>
      </c>
      <c r="L147">
        <v>2.9180548132189839</v>
      </c>
      <c r="M147" t="s">
        <v>128</v>
      </c>
      <c r="N147" t="s">
        <v>128</v>
      </c>
      <c r="O147">
        <v>28.36</v>
      </c>
      <c r="P147">
        <v>70.022761762416366</v>
      </c>
      <c r="Q147">
        <v>0</v>
      </c>
      <c r="R147">
        <v>0</v>
      </c>
      <c r="S147">
        <v>70.022761762416366</v>
      </c>
    </row>
    <row r="148" spans="1:19" x14ac:dyDescent="0.25">
      <c r="A148" s="1">
        <v>46247</v>
      </c>
      <c r="B148" t="s">
        <v>148</v>
      </c>
      <c r="C148" t="s">
        <v>11</v>
      </c>
      <c r="D148">
        <v>2.686933322699788</v>
      </c>
      <c r="E148" t="s">
        <v>246</v>
      </c>
      <c r="F148">
        <v>46247</v>
      </c>
      <c r="G148" t="s">
        <v>149</v>
      </c>
      <c r="H148">
        <v>4.1249748439749752</v>
      </c>
      <c r="I148">
        <v>4.1249748439749752</v>
      </c>
      <c r="J148">
        <v>0</v>
      </c>
      <c r="K148">
        <v>0</v>
      </c>
      <c r="L148">
        <v>0</v>
      </c>
      <c r="M148" t="s">
        <v>128</v>
      </c>
      <c r="N148" t="s">
        <v>128</v>
      </c>
      <c r="O148">
        <v>29.417999999999999</v>
      </c>
      <c r="P148">
        <v>721.04560272682568</v>
      </c>
      <c r="Q148">
        <v>0</v>
      </c>
      <c r="R148">
        <v>0</v>
      </c>
      <c r="S148">
        <v>721.04560272682568</v>
      </c>
    </row>
    <row r="149" spans="1:19" x14ac:dyDescent="0.25">
      <c r="A149" s="1">
        <v>46247</v>
      </c>
      <c r="B149" t="s">
        <v>148</v>
      </c>
      <c r="C149" t="s">
        <v>10</v>
      </c>
      <c r="D149">
        <v>20.510291868468016</v>
      </c>
      <c r="E149" t="s">
        <v>246</v>
      </c>
      <c r="F149">
        <v>46247</v>
      </c>
      <c r="G149" t="s">
        <v>149</v>
      </c>
      <c r="H149">
        <v>0</v>
      </c>
      <c r="I149">
        <v>0</v>
      </c>
      <c r="J149">
        <v>6.3330400302327119</v>
      </c>
      <c r="K149">
        <v>6.3330400302327119</v>
      </c>
      <c r="L149">
        <v>0</v>
      </c>
      <c r="M149" t="s">
        <v>128</v>
      </c>
      <c r="N149" t="s">
        <v>128</v>
      </c>
      <c r="O149">
        <v>27.57</v>
      </c>
      <c r="P149">
        <v>0</v>
      </c>
      <c r="Q149">
        <v>1326.9745436147205</v>
      </c>
      <c r="R149">
        <v>0</v>
      </c>
      <c r="S149">
        <v>1326.9745436147205</v>
      </c>
    </row>
    <row r="150" spans="1:19" x14ac:dyDescent="0.25">
      <c r="A150" s="1">
        <v>46248</v>
      </c>
      <c r="B150" t="s">
        <v>148</v>
      </c>
      <c r="C150" t="s">
        <v>10</v>
      </c>
      <c r="D150">
        <v>21.620535587843779</v>
      </c>
      <c r="E150" t="s">
        <v>246</v>
      </c>
      <c r="F150">
        <v>46248</v>
      </c>
      <c r="G150" t="s">
        <v>149</v>
      </c>
      <c r="H150">
        <v>0</v>
      </c>
      <c r="I150">
        <v>0</v>
      </c>
      <c r="J150">
        <v>11.109689999608481</v>
      </c>
      <c r="K150">
        <v>11.109689999608481</v>
      </c>
      <c r="L150">
        <v>0</v>
      </c>
      <c r="M150" t="s">
        <v>129</v>
      </c>
      <c r="N150" t="s">
        <v>129</v>
      </c>
      <c r="O150">
        <v>27.57</v>
      </c>
      <c r="P150">
        <v>0</v>
      </c>
      <c r="Q150">
        <v>2327.8355649979644</v>
      </c>
      <c r="R150">
        <v>0</v>
      </c>
      <c r="S150">
        <v>2327.8355649979644</v>
      </c>
    </row>
    <row r="151" spans="1:19" x14ac:dyDescent="0.25">
      <c r="A151" s="1">
        <v>46248</v>
      </c>
      <c r="B151" t="s">
        <v>148</v>
      </c>
      <c r="C151" t="s">
        <v>11</v>
      </c>
      <c r="D151">
        <v>2.70004824675775</v>
      </c>
      <c r="E151" t="s">
        <v>246</v>
      </c>
      <c r="F151">
        <v>46248</v>
      </c>
      <c r="G151" t="s">
        <v>149</v>
      </c>
      <c r="H151">
        <v>2.1467302629181715</v>
      </c>
      <c r="I151">
        <v>2.1467302629181715</v>
      </c>
      <c r="J151">
        <v>0</v>
      </c>
      <c r="K151">
        <v>0</v>
      </c>
      <c r="L151">
        <v>0</v>
      </c>
      <c r="M151" t="s">
        <v>129</v>
      </c>
      <c r="N151" t="s">
        <v>129</v>
      </c>
      <c r="O151">
        <v>29.417999999999999</v>
      </c>
      <c r="P151">
        <v>375.24844995809639</v>
      </c>
      <c r="Q151">
        <v>0</v>
      </c>
      <c r="R151">
        <v>0</v>
      </c>
      <c r="S151">
        <v>375.24844995809639</v>
      </c>
    </row>
    <row r="152" spans="1:19" x14ac:dyDescent="0.25">
      <c r="A152" s="1">
        <v>46248</v>
      </c>
      <c r="B152" t="s">
        <v>148</v>
      </c>
      <c r="C152" t="s">
        <v>12</v>
      </c>
      <c r="D152">
        <v>8.2976109553346369</v>
      </c>
      <c r="E152" t="s">
        <v>246</v>
      </c>
      <c r="F152">
        <v>46248</v>
      </c>
      <c r="G152" t="s">
        <v>149</v>
      </c>
      <c r="H152">
        <v>5.2161018528441572E-2</v>
      </c>
      <c r="I152">
        <v>5.2161018528441572E-2</v>
      </c>
      <c r="J152">
        <v>0</v>
      </c>
      <c r="K152">
        <v>0</v>
      </c>
      <c r="L152">
        <v>1.6476109553346372</v>
      </c>
      <c r="M152" t="s">
        <v>129</v>
      </c>
      <c r="N152" t="s">
        <v>129</v>
      </c>
      <c r="O152">
        <v>28.36</v>
      </c>
      <c r="P152">
        <v>9.1177460387715872</v>
      </c>
      <c r="Q152">
        <v>0</v>
      </c>
      <c r="R152">
        <v>0</v>
      </c>
      <c r="S152">
        <v>9.1177460387715872</v>
      </c>
    </row>
    <row r="153" spans="1:19" x14ac:dyDescent="0.25">
      <c r="A153" s="1">
        <v>46249</v>
      </c>
      <c r="B153" t="s">
        <v>148</v>
      </c>
      <c r="C153" t="s">
        <v>12</v>
      </c>
      <c r="D153">
        <v>9.0260866589250472</v>
      </c>
      <c r="E153" t="s">
        <v>246</v>
      </c>
      <c r="F153">
        <v>46249</v>
      </c>
      <c r="G153" t="s">
        <v>149</v>
      </c>
      <c r="H153">
        <v>0</v>
      </c>
      <c r="I153">
        <v>0</v>
      </c>
      <c r="J153">
        <v>0.19782968305777746</v>
      </c>
      <c r="K153">
        <v>0.19782968305777746</v>
      </c>
      <c r="L153">
        <v>2.1782569758672703</v>
      </c>
      <c r="M153" t="s">
        <v>119</v>
      </c>
      <c r="N153" t="s">
        <v>119</v>
      </c>
      <c r="O153">
        <v>33.160000000000011</v>
      </c>
      <c r="P153">
        <v>0</v>
      </c>
      <c r="Q153">
        <v>49.856245405488856</v>
      </c>
      <c r="R153">
        <v>0</v>
      </c>
      <c r="S153">
        <v>49.856245405488856</v>
      </c>
    </row>
    <row r="154" spans="1:19" x14ac:dyDescent="0.25">
      <c r="A154" s="1">
        <v>46249</v>
      </c>
      <c r="B154" t="s">
        <v>148</v>
      </c>
      <c r="C154" t="s">
        <v>11</v>
      </c>
      <c r="D154">
        <v>4.6534617137472107</v>
      </c>
      <c r="E154" t="s">
        <v>246</v>
      </c>
      <c r="F154">
        <v>46249</v>
      </c>
      <c r="G154" t="s">
        <v>149</v>
      </c>
      <c r="H154">
        <v>0.81559065050011292</v>
      </c>
      <c r="I154">
        <v>0.81559065050011292</v>
      </c>
      <c r="J154">
        <v>0</v>
      </c>
      <c r="K154">
        <v>0</v>
      </c>
      <c r="L154">
        <v>1.8034617137472111</v>
      </c>
      <c r="M154" t="s">
        <v>119</v>
      </c>
      <c r="N154" t="s">
        <v>119</v>
      </c>
      <c r="O154">
        <v>32.272000000000013</v>
      </c>
      <c r="P154">
        <v>142.56524570741973</v>
      </c>
      <c r="Q154">
        <v>0</v>
      </c>
      <c r="R154">
        <v>0</v>
      </c>
      <c r="S154">
        <v>142.56524570741973</v>
      </c>
    </row>
    <row r="155" spans="1:19" x14ac:dyDescent="0.25">
      <c r="A155" s="1">
        <v>46249</v>
      </c>
      <c r="B155" t="s">
        <v>148</v>
      </c>
      <c r="C155" t="s">
        <v>10</v>
      </c>
      <c r="D155">
        <v>5.1860068470841494</v>
      </c>
      <c r="E155" t="s">
        <v>246</v>
      </c>
      <c r="F155">
        <v>46249</v>
      </c>
      <c r="G155" t="s">
        <v>149</v>
      </c>
      <c r="H155">
        <v>0.7942738403441294</v>
      </c>
      <c r="I155">
        <v>0.7942738403441294</v>
      </c>
      <c r="J155">
        <v>0</v>
      </c>
      <c r="K155">
        <v>0</v>
      </c>
      <c r="L155">
        <v>0</v>
      </c>
      <c r="M155" t="s">
        <v>119</v>
      </c>
      <c r="N155" t="s">
        <v>119</v>
      </c>
      <c r="O155">
        <v>37.600000000000009</v>
      </c>
      <c r="P155">
        <v>138.83906729215383</v>
      </c>
      <c r="Q155">
        <v>0</v>
      </c>
      <c r="R155">
        <v>0</v>
      </c>
      <c r="S155">
        <v>138.83906729215383</v>
      </c>
    </row>
    <row r="156" spans="1:19" x14ac:dyDescent="0.25">
      <c r="A156" s="1">
        <v>46249</v>
      </c>
      <c r="B156" t="s">
        <v>148</v>
      </c>
      <c r="D156">
        <v>0</v>
      </c>
      <c r="E156" t="s">
        <v>246</v>
      </c>
      <c r="F156">
        <v>46249</v>
      </c>
      <c r="G156" t="s">
        <v>149</v>
      </c>
      <c r="H156">
        <v>0</v>
      </c>
      <c r="I156">
        <v>0</v>
      </c>
      <c r="J156">
        <v>0</v>
      </c>
      <c r="K156">
        <v>0</v>
      </c>
      <c r="L156">
        <v>0</v>
      </c>
      <c r="M156" t="s">
        <v>119</v>
      </c>
      <c r="P156">
        <v>0</v>
      </c>
      <c r="Q156">
        <v>0</v>
      </c>
      <c r="R156">
        <v>0</v>
      </c>
      <c r="S156">
        <v>0</v>
      </c>
    </row>
    <row r="157" spans="1:19" x14ac:dyDescent="0.25">
      <c r="A157" s="1">
        <v>46250</v>
      </c>
      <c r="B157" t="s">
        <v>148</v>
      </c>
      <c r="D157">
        <v>0</v>
      </c>
      <c r="E157" t="s">
        <v>246</v>
      </c>
      <c r="F157">
        <v>46250</v>
      </c>
      <c r="G157" t="s">
        <v>149</v>
      </c>
      <c r="H157">
        <v>0</v>
      </c>
      <c r="I157">
        <v>0</v>
      </c>
      <c r="J157">
        <v>0</v>
      </c>
      <c r="K157">
        <v>0</v>
      </c>
      <c r="L157">
        <v>0</v>
      </c>
      <c r="M157" t="s">
        <v>120</v>
      </c>
      <c r="P157">
        <v>0</v>
      </c>
      <c r="Q157">
        <v>0</v>
      </c>
      <c r="R157">
        <v>0</v>
      </c>
      <c r="S157">
        <v>0</v>
      </c>
    </row>
    <row r="158" spans="1:19" x14ac:dyDescent="0.25">
      <c r="A158" s="1">
        <v>46223</v>
      </c>
      <c r="B158" t="s">
        <v>148</v>
      </c>
      <c r="C158" t="s">
        <v>11</v>
      </c>
      <c r="D158">
        <v>3.8248954181626535</v>
      </c>
      <c r="E158" t="s">
        <v>249</v>
      </c>
      <c r="F158">
        <v>46223</v>
      </c>
      <c r="G158" t="s">
        <v>149</v>
      </c>
      <c r="H158">
        <v>9.1917590322384335E-2</v>
      </c>
      <c r="I158">
        <v>9.1917590322384335E-2</v>
      </c>
      <c r="J158">
        <v>0</v>
      </c>
      <c r="K158">
        <v>0</v>
      </c>
      <c r="L158">
        <v>0</v>
      </c>
      <c r="M158" t="s">
        <v>125</v>
      </c>
      <c r="N158" t="s">
        <v>125</v>
      </c>
      <c r="O158">
        <v>29.417999999999999</v>
      </c>
      <c r="P158">
        <v>16.067194788352779</v>
      </c>
      <c r="Q158">
        <v>0</v>
      </c>
      <c r="R158">
        <v>0</v>
      </c>
      <c r="S158">
        <v>16.067194788352779</v>
      </c>
    </row>
    <row r="159" spans="1:19" x14ac:dyDescent="0.25">
      <c r="A159" s="1">
        <v>46223</v>
      </c>
      <c r="B159" t="s">
        <v>148</v>
      </c>
      <c r="C159" t="s">
        <v>12</v>
      </c>
      <c r="D159">
        <v>7.4107348726901421</v>
      </c>
      <c r="E159" t="s">
        <v>249</v>
      </c>
      <c r="F159">
        <v>46223</v>
      </c>
      <c r="G159" t="s">
        <v>149</v>
      </c>
      <c r="H159">
        <v>0.13037247995105372</v>
      </c>
      <c r="I159">
        <v>0.13037247995105372</v>
      </c>
      <c r="J159">
        <v>0</v>
      </c>
      <c r="K159">
        <v>0</v>
      </c>
      <c r="L159">
        <v>0.76073487269014228</v>
      </c>
      <c r="M159" t="s">
        <v>125</v>
      </c>
      <c r="N159" t="s">
        <v>125</v>
      </c>
      <c r="O159">
        <v>28.36</v>
      </c>
      <c r="P159">
        <v>22.78910949544419</v>
      </c>
      <c r="Q159">
        <v>0</v>
      </c>
      <c r="R159">
        <v>0</v>
      </c>
      <c r="S159">
        <v>22.78910949544419</v>
      </c>
    </row>
    <row r="160" spans="1:19" x14ac:dyDescent="0.25">
      <c r="A160" s="1">
        <v>46223</v>
      </c>
      <c r="B160" t="s">
        <v>148</v>
      </c>
      <c r="C160" t="s">
        <v>10</v>
      </c>
      <c r="D160">
        <v>10.279406436312131</v>
      </c>
      <c r="E160" t="s">
        <v>249</v>
      </c>
      <c r="F160">
        <v>46223</v>
      </c>
      <c r="G160" t="s">
        <v>149</v>
      </c>
      <c r="H160">
        <v>0</v>
      </c>
      <c r="I160">
        <v>0</v>
      </c>
      <c r="J160">
        <v>1.4835030749675955</v>
      </c>
      <c r="K160">
        <v>1.4835030749675955</v>
      </c>
      <c r="L160">
        <v>0</v>
      </c>
      <c r="M160" t="s">
        <v>125</v>
      </c>
      <c r="N160" t="s">
        <v>125</v>
      </c>
      <c r="O160">
        <v>27.57</v>
      </c>
      <c r="P160">
        <v>0</v>
      </c>
      <c r="Q160">
        <v>310.84136630411024</v>
      </c>
      <c r="R160">
        <v>0</v>
      </c>
      <c r="S160">
        <v>310.84136630411024</v>
      </c>
    </row>
    <row r="161" spans="1:19" x14ac:dyDescent="0.25">
      <c r="A161" s="1">
        <v>46224</v>
      </c>
      <c r="B161" t="s">
        <v>148</v>
      </c>
      <c r="C161" t="s">
        <v>12</v>
      </c>
      <c r="D161">
        <v>7.4107348726901421</v>
      </c>
      <c r="E161" t="s">
        <v>249</v>
      </c>
      <c r="F161">
        <v>46224</v>
      </c>
      <c r="G161" t="s">
        <v>149</v>
      </c>
      <c r="H161">
        <v>3.367537082949501E-2</v>
      </c>
      <c r="I161">
        <v>3.367537082949501E-2</v>
      </c>
      <c r="J161">
        <v>0</v>
      </c>
      <c r="K161">
        <v>0</v>
      </c>
      <c r="L161">
        <v>0</v>
      </c>
      <c r="M161" t="s">
        <v>126</v>
      </c>
      <c r="N161" t="s">
        <v>126</v>
      </c>
      <c r="O161">
        <v>28.36</v>
      </c>
      <c r="P161">
        <v>5.8864548209957279</v>
      </c>
      <c r="Q161">
        <v>0</v>
      </c>
      <c r="R161">
        <v>0</v>
      </c>
      <c r="S161">
        <v>5.8864548209957279</v>
      </c>
    </row>
    <row r="162" spans="1:19" x14ac:dyDescent="0.25">
      <c r="A162" s="1">
        <v>46224</v>
      </c>
      <c r="B162" t="s">
        <v>148</v>
      </c>
      <c r="C162" t="s">
        <v>11</v>
      </c>
      <c r="D162">
        <v>3.8248954181626535</v>
      </c>
      <c r="E162" t="s">
        <v>249</v>
      </c>
      <c r="F162">
        <v>46224</v>
      </c>
      <c r="G162" t="s">
        <v>149</v>
      </c>
      <c r="H162">
        <v>0</v>
      </c>
      <c r="I162">
        <v>0</v>
      </c>
      <c r="J162">
        <v>0.6190130652214777</v>
      </c>
      <c r="K162">
        <v>0.6190130652214777</v>
      </c>
      <c r="L162">
        <v>0</v>
      </c>
      <c r="M162" t="s">
        <v>126</v>
      </c>
      <c r="N162" t="s">
        <v>126</v>
      </c>
      <c r="O162">
        <v>29.417999999999999</v>
      </c>
      <c r="P162">
        <v>0</v>
      </c>
      <c r="Q162">
        <v>138.39696028040927</v>
      </c>
      <c r="R162">
        <v>0</v>
      </c>
      <c r="S162">
        <v>138.39696028040927</v>
      </c>
    </row>
    <row r="163" spans="1:19" x14ac:dyDescent="0.25">
      <c r="A163" s="1">
        <v>46224</v>
      </c>
      <c r="B163" t="s">
        <v>148</v>
      </c>
      <c r="C163" t="s">
        <v>10</v>
      </c>
      <c r="D163">
        <v>10.279406436312131</v>
      </c>
      <c r="E163" t="s">
        <v>249</v>
      </c>
      <c r="F163">
        <v>46224</v>
      </c>
      <c r="G163" t="s">
        <v>149</v>
      </c>
      <c r="H163">
        <v>0</v>
      </c>
      <c r="I163">
        <v>0</v>
      </c>
      <c r="J163">
        <v>0.87352408337095766</v>
      </c>
      <c r="K163">
        <v>0.87352408337095766</v>
      </c>
      <c r="L163">
        <v>0</v>
      </c>
      <c r="M163" t="s">
        <v>126</v>
      </c>
      <c r="N163" t="s">
        <v>126</v>
      </c>
      <c r="O163">
        <v>27.57</v>
      </c>
      <c r="P163">
        <v>0</v>
      </c>
      <c r="Q163">
        <v>183.0312482368835</v>
      </c>
      <c r="R163">
        <v>0</v>
      </c>
      <c r="S163">
        <v>183.0312482368835</v>
      </c>
    </row>
    <row r="164" spans="1:19" x14ac:dyDescent="0.25">
      <c r="A164" s="1">
        <v>46225</v>
      </c>
      <c r="B164" t="s">
        <v>148</v>
      </c>
      <c r="C164" t="s">
        <v>10</v>
      </c>
      <c r="D164">
        <v>9.3231825817714675</v>
      </c>
      <c r="E164" t="s">
        <v>249</v>
      </c>
      <c r="F164">
        <v>46225</v>
      </c>
      <c r="G164" t="s">
        <v>149</v>
      </c>
      <c r="H164">
        <v>0</v>
      </c>
      <c r="I164">
        <v>0</v>
      </c>
      <c r="J164">
        <v>1.847308753979487</v>
      </c>
      <c r="K164">
        <v>1.847308753979487</v>
      </c>
      <c r="L164">
        <v>0</v>
      </c>
      <c r="M164" t="s">
        <v>127</v>
      </c>
      <c r="N164" t="s">
        <v>127</v>
      </c>
      <c r="O164">
        <v>27.57</v>
      </c>
      <c r="P164">
        <v>0</v>
      </c>
      <c r="Q164">
        <v>387.07029783882984</v>
      </c>
      <c r="R164">
        <v>0</v>
      </c>
      <c r="S164">
        <v>387.07029783882984</v>
      </c>
    </row>
    <row r="165" spans="1:19" x14ac:dyDescent="0.25">
      <c r="A165" s="1">
        <v>46225</v>
      </c>
      <c r="B165" t="s">
        <v>148</v>
      </c>
      <c r="C165" t="s">
        <v>12</v>
      </c>
      <c r="D165">
        <v>6.6935669817846444</v>
      </c>
      <c r="E165" t="s">
        <v>249</v>
      </c>
      <c r="F165">
        <v>46225</v>
      </c>
      <c r="G165" t="s">
        <v>149</v>
      </c>
      <c r="H165">
        <v>0</v>
      </c>
      <c r="I165">
        <v>0</v>
      </c>
      <c r="J165">
        <v>6.2823162517809381E-2</v>
      </c>
      <c r="K165">
        <v>6.2823162517809381E-2</v>
      </c>
      <c r="L165">
        <v>0</v>
      </c>
      <c r="M165" t="s">
        <v>127</v>
      </c>
      <c r="N165" t="s">
        <v>127</v>
      </c>
      <c r="O165">
        <v>28.36</v>
      </c>
      <c r="P165">
        <v>0</v>
      </c>
      <c r="Q165">
        <v>13.540653156438561</v>
      </c>
      <c r="R165">
        <v>0</v>
      </c>
      <c r="S165">
        <v>13.540653156438561</v>
      </c>
    </row>
    <row r="166" spans="1:19" x14ac:dyDescent="0.25">
      <c r="A166" s="1">
        <v>46225</v>
      </c>
      <c r="B166" t="s">
        <v>148</v>
      </c>
      <c r="C166" t="s">
        <v>11</v>
      </c>
      <c r="D166">
        <v>3.8248954181626535</v>
      </c>
      <c r="E166" t="s">
        <v>249</v>
      </c>
      <c r="F166">
        <v>46225</v>
      </c>
      <c r="G166" t="s">
        <v>149</v>
      </c>
      <c r="H166">
        <v>0</v>
      </c>
      <c r="I166">
        <v>0</v>
      </c>
      <c r="J166">
        <v>0.6190130652214777</v>
      </c>
      <c r="K166">
        <v>0.6190130652214777</v>
      </c>
      <c r="L166">
        <v>0</v>
      </c>
      <c r="M166" t="s">
        <v>127</v>
      </c>
      <c r="N166" t="s">
        <v>127</v>
      </c>
      <c r="O166">
        <v>29.417999999999999</v>
      </c>
      <c r="P166">
        <v>0</v>
      </c>
      <c r="Q166">
        <v>138.39696028040927</v>
      </c>
      <c r="R166">
        <v>0</v>
      </c>
      <c r="S166">
        <v>138.39696028040927</v>
      </c>
    </row>
    <row r="167" spans="1:19" x14ac:dyDescent="0.25">
      <c r="A167" s="1">
        <v>46226</v>
      </c>
      <c r="B167" t="s">
        <v>148</v>
      </c>
      <c r="C167" t="s">
        <v>12</v>
      </c>
      <c r="D167">
        <v>7.4107348726901421</v>
      </c>
      <c r="E167" t="s">
        <v>249</v>
      </c>
      <c r="F167">
        <v>46226</v>
      </c>
      <c r="G167" t="s">
        <v>149</v>
      </c>
      <c r="H167">
        <v>0</v>
      </c>
      <c r="I167">
        <v>0</v>
      </c>
      <c r="J167">
        <v>1.2509309511215159</v>
      </c>
      <c r="K167">
        <v>1.2509309511215159</v>
      </c>
      <c r="L167">
        <v>0</v>
      </c>
      <c r="M167" t="s">
        <v>128</v>
      </c>
      <c r="N167" t="s">
        <v>128</v>
      </c>
      <c r="O167">
        <v>28.36</v>
      </c>
      <c r="P167">
        <v>0</v>
      </c>
      <c r="Q167">
        <v>269.62065348092699</v>
      </c>
      <c r="R167">
        <v>0</v>
      </c>
      <c r="S167">
        <v>269.62065348092699</v>
      </c>
    </row>
    <row r="168" spans="1:19" x14ac:dyDescent="0.25">
      <c r="A168" s="1">
        <v>46226</v>
      </c>
      <c r="B168" t="s">
        <v>148</v>
      </c>
      <c r="C168" t="s">
        <v>10</v>
      </c>
      <c r="D168">
        <v>10.279406436312131</v>
      </c>
      <c r="E168" t="s">
        <v>249</v>
      </c>
      <c r="F168">
        <v>46226</v>
      </c>
      <c r="G168" t="s">
        <v>149</v>
      </c>
      <c r="H168">
        <v>0</v>
      </c>
      <c r="I168">
        <v>0</v>
      </c>
      <c r="J168">
        <v>1.1524456519984123</v>
      </c>
      <c r="K168">
        <v>1.1524456519984123</v>
      </c>
      <c r="L168">
        <v>0</v>
      </c>
      <c r="M168" t="s">
        <v>128</v>
      </c>
      <c r="N168" t="s">
        <v>128</v>
      </c>
      <c r="O168">
        <v>27.57</v>
      </c>
      <c r="P168">
        <v>0</v>
      </c>
      <c r="Q168">
        <v>241.47424235453133</v>
      </c>
      <c r="R168">
        <v>0</v>
      </c>
      <c r="S168">
        <v>241.47424235453133</v>
      </c>
    </row>
    <row r="169" spans="1:19" x14ac:dyDescent="0.25">
      <c r="A169" s="1">
        <v>46226</v>
      </c>
      <c r="B169" t="s">
        <v>148</v>
      </c>
      <c r="C169" t="s">
        <v>11</v>
      </c>
      <c r="D169">
        <v>3.8248954181626535</v>
      </c>
      <c r="E169" t="s">
        <v>249</v>
      </c>
      <c r="F169">
        <v>46226</v>
      </c>
      <c r="G169" t="s">
        <v>149</v>
      </c>
      <c r="H169">
        <v>0</v>
      </c>
      <c r="I169">
        <v>0</v>
      </c>
      <c r="J169">
        <v>1.5896013005155956</v>
      </c>
      <c r="K169">
        <v>1.5896013005155956</v>
      </c>
      <c r="L169">
        <v>0</v>
      </c>
      <c r="M169" t="s">
        <v>128</v>
      </c>
      <c r="N169" t="s">
        <v>128</v>
      </c>
      <c r="O169">
        <v>29.417999999999999</v>
      </c>
      <c r="P169">
        <v>0</v>
      </c>
      <c r="Q169">
        <v>355.39797204511518</v>
      </c>
      <c r="R169">
        <v>0</v>
      </c>
      <c r="S169">
        <v>355.39797204511518</v>
      </c>
    </row>
    <row r="170" spans="1:19" x14ac:dyDescent="0.25">
      <c r="A170" s="1">
        <v>46227</v>
      </c>
      <c r="B170" t="s">
        <v>148</v>
      </c>
      <c r="C170" t="s">
        <v>10</v>
      </c>
      <c r="D170">
        <v>9.3231825817714675</v>
      </c>
      <c r="E170" t="s">
        <v>249</v>
      </c>
      <c r="F170">
        <v>46227</v>
      </c>
      <c r="G170" t="s">
        <v>149</v>
      </c>
      <c r="H170">
        <v>0</v>
      </c>
      <c r="I170">
        <v>0</v>
      </c>
      <c r="J170">
        <v>1.0349472876538233</v>
      </c>
      <c r="K170">
        <v>1.0349472876538233</v>
      </c>
      <c r="L170">
        <v>0</v>
      </c>
      <c r="M170" t="s">
        <v>129</v>
      </c>
      <c r="N170" t="s">
        <v>129</v>
      </c>
      <c r="O170">
        <v>27.57</v>
      </c>
      <c r="P170">
        <v>0</v>
      </c>
      <c r="Q170">
        <v>216.8545750766809</v>
      </c>
      <c r="R170">
        <v>0</v>
      </c>
      <c r="S170">
        <v>216.8545750766809</v>
      </c>
    </row>
    <row r="171" spans="1:19" x14ac:dyDescent="0.25">
      <c r="A171" s="1">
        <v>46227</v>
      </c>
      <c r="B171" t="s">
        <v>148</v>
      </c>
      <c r="C171" t="s">
        <v>11</v>
      </c>
      <c r="D171">
        <v>3.8248954181626535</v>
      </c>
      <c r="E171" t="s">
        <v>249</v>
      </c>
      <c r="F171">
        <v>46227</v>
      </c>
      <c r="G171" t="s">
        <v>149</v>
      </c>
      <c r="H171">
        <v>0</v>
      </c>
      <c r="I171">
        <v>0</v>
      </c>
      <c r="J171">
        <v>0.6190130652214777</v>
      </c>
      <c r="K171">
        <v>0.6190130652214777</v>
      </c>
      <c r="L171">
        <v>0</v>
      </c>
      <c r="M171" t="s">
        <v>129</v>
      </c>
      <c r="N171" t="s">
        <v>129</v>
      </c>
      <c r="O171">
        <v>29.417999999999999</v>
      </c>
      <c r="P171">
        <v>0</v>
      </c>
      <c r="Q171">
        <v>138.39696028040927</v>
      </c>
      <c r="R171">
        <v>0</v>
      </c>
      <c r="S171">
        <v>138.39696028040927</v>
      </c>
    </row>
    <row r="172" spans="1:19" x14ac:dyDescent="0.25">
      <c r="A172" s="1">
        <v>46227</v>
      </c>
      <c r="B172" t="s">
        <v>148</v>
      </c>
      <c r="C172" t="s">
        <v>12</v>
      </c>
      <c r="D172">
        <v>7.4107348726901421</v>
      </c>
      <c r="E172" t="s">
        <v>249</v>
      </c>
      <c r="F172">
        <v>46227</v>
      </c>
      <c r="G172" t="s">
        <v>149</v>
      </c>
      <c r="H172">
        <v>9.8625383281436552E-3</v>
      </c>
      <c r="I172">
        <v>9.8625383281436552E-3</v>
      </c>
      <c r="J172">
        <v>0</v>
      </c>
      <c r="K172">
        <v>0</v>
      </c>
      <c r="L172">
        <v>0.76073487269014228</v>
      </c>
      <c r="M172" t="s">
        <v>129</v>
      </c>
      <c r="N172" t="s">
        <v>129</v>
      </c>
      <c r="O172">
        <v>28.36</v>
      </c>
      <c r="P172">
        <v>1.7239716997595109</v>
      </c>
      <c r="Q172">
        <v>0</v>
      </c>
      <c r="R172">
        <v>0</v>
      </c>
      <c r="S172">
        <v>1.7239716997595109</v>
      </c>
    </row>
    <row r="173" spans="1:19" x14ac:dyDescent="0.25">
      <c r="A173" s="1">
        <v>46228</v>
      </c>
      <c r="B173" t="s">
        <v>148</v>
      </c>
      <c r="C173" t="s">
        <v>10</v>
      </c>
      <c r="D173">
        <v>9.3231825817714675</v>
      </c>
      <c r="E173" t="s">
        <v>249</v>
      </c>
      <c r="F173">
        <v>46228</v>
      </c>
      <c r="G173" t="s">
        <v>149</v>
      </c>
      <c r="H173">
        <v>5.5673690369946849E-2</v>
      </c>
      <c r="I173">
        <v>5.5673690369946849E-2</v>
      </c>
      <c r="J173">
        <v>0</v>
      </c>
      <c r="K173">
        <v>0</v>
      </c>
      <c r="L173">
        <v>0.77318258177146892</v>
      </c>
      <c r="M173" t="s">
        <v>119</v>
      </c>
      <c r="N173" t="s">
        <v>119</v>
      </c>
      <c r="O173">
        <v>37.600000000000009</v>
      </c>
      <c r="P173">
        <v>9.7317610766667091</v>
      </c>
      <c r="Q173">
        <v>0</v>
      </c>
      <c r="R173">
        <v>0</v>
      </c>
      <c r="S173">
        <v>9.7317610766667091</v>
      </c>
    </row>
    <row r="174" spans="1:19" x14ac:dyDescent="0.25">
      <c r="A174" s="1">
        <v>46228</v>
      </c>
      <c r="B174" t="s">
        <v>148</v>
      </c>
      <c r="C174" t="s">
        <v>11</v>
      </c>
      <c r="D174">
        <v>3.8248954181626535</v>
      </c>
      <c r="E174" t="s">
        <v>249</v>
      </c>
      <c r="F174">
        <v>46228</v>
      </c>
      <c r="G174" t="s">
        <v>149</v>
      </c>
      <c r="H174">
        <v>0</v>
      </c>
      <c r="I174">
        <v>0</v>
      </c>
      <c r="J174">
        <v>2.2954836534567717</v>
      </c>
      <c r="K174">
        <v>2.2954836534567717</v>
      </c>
      <c r="L174">
        <v>0</v>
      </c>
      <c r="M174" t="s">
        <v>119</v>
      </c>
      <c r="N174" t="s">
        <v>119</v>
      </c>
      <c r="O174">
        <v>32.272000000000013</v>
      </c>
      <c r="P174">
        <v>0</v>
      </c>
      <c r="Q174">
        <v>563.00684832911293</v>
      </c>
      <c r="R174">
        <v>0</v>
      </c>
      <c r="S174">
        <v>563.00684832911293</v>
      </c>
    </row>
    <row r="175" spans="1:19" x14ac:dyDescent="0.25">
      <c r="A175" s="1">
        <v>46228</v>
      </c>
      <c r="B175" t="s">
        <v>148</v>
      </c>
      <c r="C175" t="s">
        <v>12</v>
      </c>
      <c r="D175">
        <v>7.4107348726901421</v>
      </c>
      <c r="E175" t="s">
        <v>249</v>
      </c>
      <c r="F175">
        <v>46228</v>
      </c>
      <c r="G175" t="s">
        <v>149</v>
      </c>
      <c r="H175">
        <v>0.13304984868467185</v>
      </c>
      <c r="I175">
        <v>0.13304984868467185</v>
      </c>
      <c r="J175">
        <v>0</v>
      </c>
      <c r="K175">
        <v>0</v>
      </c>
      <c r="L175">
        <v>0.76073487269014228</v>
      </c>
      <c r="M175" t="s">
        <v>119</v>
      </c>
      <c r="N175" t="s">
        <v>119</v>
      </c>
      <c r="O175">
        <v>33.160000000000011</v>
      </c>
      <c r="P175">
        <v>23.257113550080639</v>
      </c>
      <c r="Q175">
        <v>0</v>
      </c>
      <c r="R175">
        <v>0</v>
      </c>
      <c r="S175">
        <v>23.257113550080639</v>
      </c>
    </row>
    <row r="176" spans="1:19" x14ac:dyDescent="0.25">
      <c r="A176" s="1">
        <v>46229</v>
      </c>
      <c r="B176" t="s">
        <v>148</v>
      </c>
      <c r="C176" t="s">
        <v>10</v>
      </c>
      <c r="D176">
        <v>9.4427105635890545</v>
      </c>
      <c r="E176" t="s">
        <v>249</v>
      </c>
      <c r="F176">
        <v>46229</v>
      </c>
      <c r="G176" t="s">
        <v>149</v>
      </c>
      <c r="H176">
        <v>0</v>
      </c>
      <c r="I176">
        <v>0</v>
      </c>
      <c r="J176">
        <v>0.41550468123611634</v>
      </c>
      <c r="K176">
        <v>0.41550468123611634</v>
      </c>
      <c r="L176">
        <v>0</v>
      </c>
      <c r="M176" t="s">
        <v>120</v>
      </c>
      <c r="N176" t="s">
        <v>120</v>
      </c>
      <c r="O176">
        <v>42.790000000000006</v>
      </c>
      <c r="P176">
        <v>0</v>
      </c>
      <c r="Q176">
        <v>135.12378435670999</v>
      </c>
      <c r="R176">
        <v>0</v>
      </c>
      <c r="S176">
        <v>135.12378435670999</v>
      </c>
    </row>
    <row r="177" spans="1:19" x14ac:dyDescent="0.25">
      <c r="A177" s="1">
        <v>46229</v>
      </c>
      <c r="B177" t="s">
        <v>148</v>
      </c>
      <c r="C177" t="s">
        <v>11</v>
      </c>
      <c r="D177">
        <v>3.8248954181626535</v>
      </c>
      <c r="E177" t="s">
        <v>249</v>
      </c>
      <c r="F177">
        <v>46229</v>
      </c>
      <c r="G177" t="s">
        <v>149</v>
      </c>
      <c r="H177">
        <v>0</v>
      </c>
      <c r="I177">
        <v>0</v>
      </c>
      <c r="J177">
        <v>1.2954836534567713</v>
      </c>
      <c r="K177">
        <v>1.2954836534567713</v>
      </c>
      <c r="L177">
        <v>0</v>
      </c>
      <c r="M177" t="s">
        <v>120</v>
      </c>
      <c r="N177" t="s">
        <v>120</v>
      </c>
      <c r="O177">
        <v>36.574000000000012</v>
      </c>
      <c r="P177">
        <v>0</v>
      </c>
      <c r="Q177">
        <v>360.09574547561255</v>
      </c>
      <c r="R177">
        <v>0</v>
      </c>
      <c r="S177">
        <v>360.09574547561255</v>
      </c>
    </row>
    <row r="178" spans="1:19" x14ac:dyDescent="0.25">
      <c r="A178" s="1">
        <v>46229</v>
      </c>
      <c r="B178" t="s">
        <v>148</v>
      </c>
      <c r="C178" t="s">
        <v>12</v>
      </c>
      <c r="D178">
        <v>7.4107348726901421</v>
      </c>
      <c r="E178" t="s">
        <v>249</v>
      </c>
      <c r="F178">
        <v>46229</v>
      </c>
      <c r="G178" t="s">
        <v>149</v>
      </c>
      <c r="H178">
        <v>0.16117324484714746</v>
      </c>
      <c r="I178">
        <v>0.16117324484714746</v>
      </c>
      <c r="J178">
        <v>0</v>
      </c>
      <c r="K178">
        <v>0</v>
      </c>
      <c r="L178">
        <v>0</v>
      </c>
      <c r="M178" t="s">
        <v>120</v>
      </c>
      <c r="N178" t="s">
        <v>120</v>
      </c>
      <c r="O178">
        <v>37.610000000000007</v>
      </c>
      <c r="P178">
        <v>28.173083199281372</v>
      </c>
      <c r="Q178">
        <v>0</v>
      </c>
      <c r="R178">
        <v>0</v>
      </c>
      <c r="S178">
        <v>28.173083199281372</v>
      </c>
    </row>
    <row r="179" spans="1:19" x14ac:dyDescent="0.25">
      <c r="A179" s="1">
        <v>46230</v>
      </c>
      <c r="B179" t="s">
        <v>148</v>
      </c>
      <c r="C179" t="s">
        <v>12</v>
      </c>
      <c r="D179">
        <v>7.4107348726901421</v>
      </c>
      <c r="E179" t="s">
        <v>249</v>
      </c>
      <c r="F179">
        <v>46230</v>
      </c>
      <c r="G179" t="s">
        <v>149</v>
      </c>
      <c r="H179">
        <v>0</v>
      </c>
      <c r="I179">
        <v>0</v>
      </c>
      <c r="J179">
        <v>0.485244676611712</v>
      </c>
      <c r="K179">
        <v>0.485244676611712</v>
      </c>
      <c r="L179">
        <v>0.27549019607843028</v>
      </c>
      <c r="M179" t="s">
        <v>125</v>
      </c>
      <c r="N179" t="s">
        <v>125</v>
      </c>
      <c r="O179">
        <v>28.36</v>
      </c>
      <c r="P179">
        <v>0</v>
      </c>
      <c r="Q179">
        <v>104.58769661818195</v>
      </c>
      <c r="R179">
        <v>0</v>
      </c>
      <c r="S179">
        <v>104.58769661818195</v>
      </c>
    </row>
    <row r="180" spans="1:19" x14ac:dyDescent="0.25">
      <c r="A180" s="1">
        <v>46230</v>
      </c>
      <c r="B180" t="s">
        <v>148</v>
      </c>
      <c r="C180" t="s">
        <v>11</v>
      </c>
      <c r="D180">
        <v>3.8248954181626535</v>
      </c>
      <c r="E180" t="s">
        <v>249</v>
      </c>
      <c r="F180">
        <v>46230</v>
      </c>
      <c r="G180" t="s">
        <v>149</v>
      </c>
      <c r="H180">
        <v>6.1159348341472075E-2</v>
      </c>
      <c r="I180">
        <v>6.1159348341472075E-2</v>
      </c>
      <c r="J180">
        <v>0</v>
      </c>
      <c r="K180">
        <v>0</v>
      </c>
      <c r="L180">
        <v>0</v>
      </c>
      <c r="M180" t="s">
        <v>125</v>
      </c>
      <c r="N180" t="s">
        <v>125</v>
      </c>
      <c r="O180">
        <v>29.417999999999999</v>
      </c>
      <c r="P180">
        <v>10.690654090089318</v>
      </c>
      <c r="Q180">
        <v>0</v>
      </c>
      <c r="R180">
        <v>0</v>
      </c>
      <c r="S180">
        <v>10.690654090089318</v>
      </c>
    </row>
    <row r="181" spans="1:19" x14ac:dyDescent="0.25">
      <c r="A181" s="1">
        <v>46230</v>
      </c>
      <c r="B181" t="s">
        <v>148</v>
      </c>
      <c r="C181" t="s">
        <v>10</v>
      </c>
      <c r="D181">
        <v>10.279406436312131</v>
      </c>
      <c r="E181" t="s">
        <v>249</v>
      </c>
      <c r="F181">
        <v>46230</v>
      </c>
      <c r="G181" t="s">
        <v>149</v>
      </c>
      <c r="H181">
        <v>0</v>
      </c>
      <c r="I181">
        <v>0</v>
      </c>
      <c r="J181">
        <v>2.8078378088611546</v>
      </c>
      <c r="K181">
        <v>2.8078378088611546</v>
      </c>
      <c r="L181">
        <v>0</v>
      </c>
      <c r="M181" t="s">
        <v>125</v>
      </c>
      <c r="N181" t="s">
        <v>125</v>
      </c>
      <c r="O181">
        <v>27.57</v>
      </c>
      <c r="P181">
        <v>0</v>
      </c>
      <c r="Q181">
        <v>588.33187176629542</v>
      </c>
      <c r="R181">
        <v>0</v>
      </c>
      <c r="S181">
        <v>588.33187176629542</v>
      </c>
    </row>
    <row r="182" spans="1:19" x14ac:dyDescent="0.25">
      <c r="A182" s="1">
        <v>46231</v>
      </c>
      <c r="B182" t="s">
        <v>148</v>
      </c>
      <c r="C182" t="s">
        <v>12</v>
      </c>
      <c r="D182">
        <v>7.3509708817813486</v>
      </c>
      <c r="E182" t="s">
        <v>249</v>
      </c>
      <c r="F182">
        <v>46231</v>
      </c>
      <c r="G182" t="s">
        <v>149</v>
      </c>
      <c r="H182">
        <v>0</v>
      </c>
      <c r="I182">
        <v>0</v>
      </c>
      <c r="J182">
        <v>0.69116696021272406</v>
      </c>
      <c r="K182">
        <v>0.69116696021272406</v>
      </c>
      <c r="L182">
        <v>9.8039215686248037E-3</v>
      </c>
      <c r="M182" t="s">
        <v>126</v>
      </c>
      <c r="N182" t="s">
        <v>126</v>
      </c>
      <c r="O182">
        <v>28.36</v>
      </c>
      <c r="P182">
        <v>0</v>
      </c>
      <c r="Q182">
        <v>148.97136193640969</v>
      </c>
      <c r="R182">
        <v>0</v>
      </c>
      <c r="S182">
        <v>148.97136193640969</v>
      </c>
    </row>
    <row r="183" spans="1:19" x14ac:dyDescent="0.25">
      <c r="A183" s="1">
        <v>46231</v>
      </c>
      <c r="B183" t="s">
        <v>148</v>
      </c>
      <c r="C183" t="s">
        <v>11</v>
      </c>
      <c r="D183">
        <v>3.8248954181626535</v>
      </c>
      <c r="E183" t="s">
        <v>249</v>
      </c>
      <c r="F183">
        <v>46231</v>
      </c>
      <c r="G183" t="s">
        <v>149</v>
      </c>
      <c r="H183">
        <v>3.0401106360559815E-2</v>
      </c>
      <c r="I183">
        <v>3.0401106360559815E-2</v>
      </c>
      <c r="J183">
        <v>0</v>
      </c>
      <c r="K183">
        <v>0</v>
      </c>
      <c r="L183">
        <v>2.4895418162653705E-2</v>
      </c>
      <c r="M183" t="s">
        <v>126</v>
      </c>
      <c r="N183" t="s">
        <v>126</v>
      </c>
      <c r="O183">
        <v>29.417999999999999</v>
      </c>
      <c r="P183">
        <v>5.3141133918258552</v>
      </c>
      <c r="Q183">
        <v>0</v>
      </c>
      <c r="R183">
        <v>0</v>
      </c>
      <c r="S183">
        <v>5.3141133918258552</v>
      </c>
    </row>
    <row r="184" spans="1:19" x14ac:dyDescent="0.25">
      <c r="A184" s="1">
        <v>46231</v>
      </c>
      <c r="B184" t="s">
        <v>148</v>
      </c>
      <c r="C184" t="s">
        <v>10</v>
      </c>
      <c r="D184">
        <v>9.3231825817714693</v>
      </c>
      <c r="E184" t="s">
        <v>249</v>
      </c>
      <c r="F184">
        <v>46231</v>
      </c>
      <c r="G184" t="s">
        <v>149</v>
      </c>
      <c r="H184">
        <v>0</v>
      </c>
      <c r="I184">
        <v>0</v>
      </c>
      <c r="J184">
        <v>0.67416297392833946</v>
      </c>
      <c r="K184">
        <v>0.67416297392833946</v>
      </c>
      <c r="L184">
        <v>0</v>
      </c>
      <c r="M184" t="s">
        <v>126</v>
      </c>
      <c r="N184" t="s">
        <v>126</v>
      </c>
      <c r="O184">
        <v>27.57</v>
      </c>
      <c r="P184">
        <v>0</v>
      </c>
      <c r="Q184">
        <v>141.25871625315281</v>
      </c>
      <c r="R184">
        <v>0</v>
      </c>
      <c r="S184">
        <v>141.25871625315281</v>
      </c>
    </row>
    <row r="185" spans="1:19" x14ac:dyDescent="0.25">
      <c r="A185" s="1">
        <v>46232</v>
      </c>
      <c r="B185" t="s">
        <v>148</v>
      </c>
      <c r="C185" t="s">
        <v>12</v>
      </c>
      <c r="D185">
        <v>6.6935669817846444</v>
      </c>
      <c r="E185" t="s">
        <v>249</v>
      </c>
      <c r="F185">
        <v>46232</v>
      </c>
      <c r="G185" t="s">
        <v>149</v>
      </c>
      <c r="H185">
        <v>0</v>
      </c>
      <c r="I185">
        <v>0</v>
      </c>
      <c r="J185">
        <v>1.3420963935493548</v>
      </c>
      <c r="K185">
        <v>1.3420963935493548</v>
      </c>
      <c r="L185">
        <v>0.60147058823528943</v>
      </c>
      <c r="M185" t="s">
        <v>127</v>
      </c>
      <c r="N185" t="s">
        <v>127</v>
      </c>
      <c r="O185">
        <v>28.36</v>
      </c>
      <c r="P185">
        <v>0</v>
      </c>
      <c r="Q185">
        <v>289.27008828005376</v>
      </c>
      <c r="R185">
        <v>0</v>
      </c>
      <c r="S185">
        <v>289.27008828005376</v>
      </c>
    </row>
    <row r="186" spans="1:19" x14ac:dyDescent="0.25">
      <c r="A186" s="1">
        <v>46232</v>
      </c>
      <c r="B186" t="s">
        <v>148</v>
      </c>
      <c r="C186" t="s">
        <v>11</v>
      </c>
      <c r="D186">
        <v>3.8248954181626535</v>
      </c>
      <c r="E186" t="s">
        <v>249</v>
      </c>
      <c r="F186">
        <v>46232</v>
      </c>
      <c r="G186" t="s">
        <v>149</v>
      </c>
      <c r="H186">
        <v>0</v>
      </c>
      <c r="I186">
        <v>0</v>
      </c>
      <c r="J186">
        <v>0.73666012404500669</v>
      </c>
      <c r="K186">
        <v>0.73666012404500669</v>
      </c>
      <c r="L186">
        <v>0.23823529411764705</v>
      </c>
      <c r="M186" t="s">
        <v>127</v>
      </c>
      <c r="N186" t="s">
        <v>127</v>
      </c>
      <c r="O186">
        <v>29.417999999999999</v>
      </c>
      <c r="P186">
        <v>0</v>
      </c>
      <c r="Q186">
        <v>164.70011322158564</v>
      </c>
      <c r="R186">
        <v>0</v>
      </c>
      <c r="S186">
        <v>164.70011322158564</v>
      </c>
    </row>
    <row r="187" spans="1:19" x14ac:dyDescent="0.25">
      <c r="A187" s="1">
        <v>46232</v>
      </c>
      <c r="B187" t="s">
        <v>148</v>
      </c>
      <c r="C187" t="s">
        <v>10</v>
      </c>
      <c r="D187">
        <v>9.3231825817714675</v>
      </c>
      <c r="E187" t="s">
        <v>249</v>
      </c>
      <c r="F187">
        <v>46232</v>
      </c>
      <c r="G187" t="s">
        <v>149</v>
      </c>
      <c r="H187">
        <v>0</v>
      </c>
      <c r="I187">
        <v>0</v>
      </c>
      <c r="J187">
        <v>0.74082964059500034</v>
      </c>
      <c r="K187">
        <v>0.74082964059500034</v>
      </c>
      <c r="L187">
        <v>3.2352941176468523E-2</v>
      </c>
      <c r="M187" t="s">
        <v>127</v>
      </c>
      <c r="N187" t="s">
        <v>127</v>
      </c>
      <c r="O187">
        <v>27.57</v>
      </c>
      <c r="P187">
        <v>0</v>
      </c>
      <c r="Q187">
        <v>155.22751625315161</v>
      </c>
      <c r="R187">
        <v>0</v>
      </c>
      <c r="S187">
        <v>155.22751625315161</v>
      </c>
    </row>
    <row r="188" spans="1:19" x14ac:dyDescent="0.25">
      <c r="A188" s="1">
        <v>46233</v>
      </c>
      <c r="B188" t="s">
        <v>148</v>
      </c>
      <c r="C188" t="s">
        <v>12</v>
      </c>
      <c r="D188">
        <v>7.4107348726901439</v>
      </c>
      <c r="E188" t="s">
        <v>249</v>
      </c>
      <c r="F188">
        <v>46233</v>
      </c>
      <c r="G188" t="s">
        <v>149</v>
      </c>
      <c r="H188">
        <v>9.314130532592535E-2</v>
      </c>
      <c r="I188">
        <v>9.314130532592535E-2</v>
      </c>
      <c r="J188">
        <v>0</v>
      </c>
      <c r="K188">
        <v>0</v>
      </c>
      <c r="L188">
        <v>0.76073487269014406</v>
      </c>
      <c r="M188" t="s">
        <v>128</v>
      </c>
      <c r="N188" t="s">
        <v>128</v>
      </c>
      <c r="O188">
        <v>28.36</v>
      </c>
      <c r="P188">
        <v>16.281100170971747</v>
      </c>
      <c r="Q188">
        <v>0</v>
      </c>
      <c r="R188">
        <v>0</v>
      </c>
      <c r="S188">
        <v>16.281100170971747</v>
      </c>
    </row>
    <row r="189" spans="1:19" x14ac:dyDescent="0.25">
      <c r="A189" s="1">
        <v>46233</v>
      </c>
      <c r="B189" t="s">
        <v>148</v>
      </c>
      <c r="C189" t="s">
        <v>10</v>
      </c>
      <c r="D189">
        <v>10.279406436312131</v>
      </c>
      <c r="E189" t="s">
        <v>249</v>
      </c>
      <c r="F189">
        <v>46233</v>
      </c>
      <c r="G189" t="s">
        <v>149</v>
      </c>
      <c r="H189">
        <v>0</v>
      </c>
      <c r="I189">
        <v>0</v>
      </c>
      <c r="J189">
        <v>0.95391624023370247</v>
      </c>
      <c r="K189">
        <v>0.95391624023370247</v>
      </c>
      <c r="L189">
        <v>0</v>
      </c>
      <c r="M189" t="s">
        <v>128</v>
      </c>
      <c r="N189" t="s">
        <v>128</v>
      </c>
      <c r="O189">
        <v>27.57</v>
      </c>
      <c r="P189">
        <v>0</v>
      </c>
      <c r="Q189">
        <v>199.87597764864813</v>
      </c>
      <c r="R189">
        <v>0</v>
      </c>
      <c r="S189">
        <v>199.87597764864813</v>
      </c>
    </row>
    <row r="190" spans="1:19" x14ac:dyDescent="0.25">
      <c r="A190" s="1">
        <v>46233</v>
      </c>
      <c r="B190" t="s">
        <v>148</v>
      </c>
      <c r="C190" t="s">
        <v>11</v>
      </c>
      <c r="D190">
        <v>3.8248954181626535</v>
      </c>
      <c r="E190" t="s">
        <v>249</v>
      </c>
      <c r="F190">
        <v>46233</v>
      </c>
      <c r="G190" t="s">
        <v>149</v>
      </c>
      <c r="H190">
        <v>0</v>
      </c>
      <c r="I190">
        <v>0</v>
      </c>
      <c r="J190">
        <v>1.3543071828685356</v>
      </c>
      <c r="K190">
        <v>1.3543071828685356</v>
      </c>
      <c r="L190">
        <v>0.57058823529411795</v>
      </c>
      <c r="M190" t="s">
        <v>128</v>
      </c>
      <c r="N190" t="s">
        <v>128</v>
      </c>
      <c r="O190">
        <v>29.417999999999999</v>
      </c>
      <c r="P190">
        <v>0</v>
      </c>
      <c r="Q190">
        <v>302.791666162762</v>
      </c>
      <c r="R190">
        <v>0</v>
      </c>
      <c r="S190">
        <v>302.791666162762</v>
      </c>
    </row>
    <row r="191" spans="1:19" x14ac:dyDescent="0.25">
      <c r="A191" s="1">
        <v>46234</v>
      </c>
      <c r="B191" t="s">
        <v>148</v>
      </c>
      <c r="C191" t="s">
        <v>10</v>
      </c>
      <c r="D191">
        <v>9.3231825817714693</v>
      </c>
      <c r="E191" t="s">
        <v>249</v>
      </c>
      <c r="F191">
        <v>46234</v>
      </c>
      <c r="G191" t="s">
        <v>149</v>
      </c>
      <c r="H191">
        <v>4.4360616182665735E-2</v>
      </c>
      <c r="I191">
        <v>4.4360616182665735E-2</v>
      </c>
      <c r="J191">
        <v>0</v>
      </c>
      <c r="K191">
        <v>0</v>
      </c>
      <c r="L191">
        <v>0</v>
      </c>
      <c r="M191" t="s">
        <v>129</v>
      </c>
      <c r="N191" t="s">
        <v>129</v>
      </c>
      <c r="O191">
        <v>27.57</v>
      </c>
      <c r="P191">
        <v>7.7542357087299703</v>
      </c>
      <c r="Q191">
        <v>0</v>
      </c>
      <c r="R191">
        <v>0</v>
      </c>
      <c r="S191">
        <v>7.7542357087299703</v>
      </c>
    </row>
    <row r="192" spans="1:19" x14ac:dyDescent="0.25">
      <c r="A192" s="1">
        <v>46234</v>
      </c>
      <c r="B192" t="s">
        <v>148</v>
      </c>
      <c r="C192" t="s">
        <v>11</v>
      </c>
      <c r="D192">
        <v>3.8248954181626535</v>
      </c>
      <c r="E192" t="s">
        <v>249</v>
      </c>
      <c r="F192">
        <v>46234</v>
      </c>
      <c r="G192" t="s">
        <v>149</v>
      </c>
      <c r="H192">
        <v>0</v>
      </c>
      <c r="I192">
        <v>0</v>
      </c>
      <c r="J192">
        <v>0.50136600639794782</v>
      </c>
      <c r="K192">
        <v>0.50136600639794782</v>
      </c>
      <c r="L192">
        <v>0</v>
      </c>
      <c r="M192" t="s">
        <v>129</v>
      </c>
      <c r="N192" t="s">
        <v>129</v>
      </c>
      <c r="O192">
        <v>29.417999999999999</v>
      </c>
      <c r="P192">
        <v>0</v>
      </c>
      <c r="Q192">
        <v>112.09380733923268</v>
      </c>
      <c r="R192">
        <v>0</v>
      </c>
      <c r="S192">
        <v>112.09380733923268</v>
      </c>
    </row>
    <row r="193" spans="1:19" x14ac:dyDescent="0.25">
      <c r="A193" s="1">
        <v>46234</v>
      </c>
      <c r="B193" t="s">
        <v>148</v>
      </c>
      <c r="C193" t="s">
        <v>12</v>
      </c>
      <c r="D193">
        <v>7.4107348726901421</v>
      </c>
      <c r="E193" t="s">
        <v>249</v>
      </c>
      <c r="F193">
        <v>46234</v>
      </c>
      <c r="G193" t="s">
        <v>149</v>
      </c>
      <c r="H193">
        <v>0.15273953333625201</v>
      </c>
      <c r="I193">
        <v>0.15273953333625201</v>
      </c>
      <c r="J193">
        <v>0</v>
      </c>
      <c r="K193">
        <v>0</v>
      </c>
      <c r="L193">
        <v>0.76073487269014228</v>
      </c>
      <c r="M193" t="s">
        <v>129</v>
      </c>
      <c r="N193" t="s">
        <v>129</v>
      </c>
      <c r="O193">
        <v>28.36</v>
      </c>
      <c r="P193">
        <v>26.69887042717685</v>
      </c>
      <c r="Q193">
        <v>0</v>
      </c>
      <c r="R193">
        <v>0</v>
      </c>
      <c r="S193">
        <v>26.69887042717685</v>
      </c>
    </row>
    <row r="194" spans="1:19" x14ac:dyDescent="0.25">
      <c r="A194" s="1">
        <v>46235</v>
      </c>
      <c r="B194" t="s">
        <v>148</v>
      </c>
      <c r="C194" t="s">
        <v>10</v>
      </c>
      <c r="D194">
        <v>10.279406436312131</v>
      </c>
      <c r="E194" t="s">
        <v>249</v>
      </c>
      <c r="F194">
        <v>46235</v>
      </c>
      <c r="G194" t="s">
        <v>149</v>
      </c>
      <c r="H194">
        <v>4.0963820467182721E-2</v>
      </c>
      <c r="I194">
        <v>4.0963820467182721E-2</v>
      </c>
      <c r="J194">
        <v>0</v>
      </c>
      <c r="K194">
        <v>0</v>
      </c>
      <c r="L194">
        <v>0</v>
      </c>
      <c r="M194" t="s">
        <v>119</v>
      </c>
      <c r="N194" t="s">
        <v>119</v>
      </c>
      <c r="O194">
        <v>37.600000000000009</v>
      </c>
      <c r="P194">
        <v>7.1604758176635395</v>
      </c>
      <c r="Q194">
        <v>0</v>
      </c>
      <c r="R194">
        <v>0</v>
      </c>
      <c r="S194">
        <v>7.1604758176635395</v>
      </c>
    </row>
    <row r="195" spans="1:19" x14ac:dyDescent="0.25">
      <c r="A195" s="1">
        <v>46235</v>
      </c>
      <c r="B195" t="s">
        <v>148</v>
      </c>
      <c r="C195" t="s">
        <v>12</v>
      </c>
      <c r="D195">
        <v>7.4107348726901421</v>
      </c>
      <c r="E195" t="s">
        <v>249</v>
      </c>
      <c r="F195">
        <v>46235</v>
      </c>
      <c r="G195" t="s">
        <v>149</v>
      </c>
      <c r="H195">
        <v>9.3141305325926016E-2</v>
      </c>
      <c r="I195">
        <v>9.3141305325926016E-2</v>
      </c>
      <c r="J195">
        <v>0</v>
      </c>
      <c r="K195">
        <v>0</v>
      </c>
      <c r="L195">
        <v>0.76073487269014228</v>
      </c>
      <c r="M195" t="s">
        <v>119</v>
      </c>
      <c r="N195" t="s">
        <v>119</v>
      </c>
      <c r="O195">
        <v>33.160000000000011</v>
      </c>
      <c r="P195">
        <v>16.281100170971868</v>
      </c>
      <c r="Q195">
        <v>0</v>
      </c>
      <c r="R195">
        <v>0</v>
      </c>
      <c r="S195">
        <v>16.281100170971868</v>
      </c>
    </row>
    <row r="196" spans="1:19" x14ac:dyDescent="0.25">
      <c r="A196" s="1">
        <v>46235</v>
      </c>
      <c r="B196" t="s">
        <v>148</v>
      </c>
      <c r="C196" t="s">
        <v>11</v>
      </c>
      <c r="D196">
        <v>3.5858394545274885</v>
      </c>
      <c r="E196" t="s">
        <v>249</v>
      </c>
      <c r="F196">
        <v>46235</v>
      </c>
      <c r="G196" t="s">
        <v>149</v>
      </c>
      <c r="H196">
        <v>0</v>
      </c>
      <c r="I196">
        <v>0</v>
      </c>
      <c r="J196">
        <v>1.115251219233371</v>
      </c>
      <c r="K196">
        <v>1.115251219233371</v>
      </c>
      <c r="L196">
        <v>0</v>
      </c>
      <c r="M196" t="s">
        <v>119</v>
      </c>
      <c r="N196" t="s">
        <v>119</v>
      </c>
      <c r="O196">
        <v>32.272000000000013</v>
      </c>
      <c r="P196">
        <v>0</v>
      </c>
      <c r="Q196">
        <v>273.53454383795514</v>
      </c>
      <c r="R196">
        <v>0</v>
      </c>
      <c r="S196">
        <v>273.53454383795514</v>
      </c>
    </row>
    <row r="197" spans="1:19" x14ac:dyDescent="0.25">
      <c r="A197" s="1">
        <v>46236</v>
      </c>
      <c r="B197" t="s">
        <v>148</v>
      </c>
      <c r="C197" t="s">
        <v>12</v>
      </c>
      <c r="D197">
        <v>7.4107348726901421</v>
      </c>
      <c r="E197" t="s">
        <v>249</v>
      </c>
      <c r="F197">
        <v>46236</v>
      </c>
      <c r="G197" t="s">
        <v>149</v>
      </c>
      <c r="H197">
        <v>0.16061099741308738</v>
      </c>
      <c r="I197">
        <v>0.16061099741308738</v>
      </c>
      <c r="J197">
        <v>0</v>
      </c>
      <c r="K197">
        <v>0</v>
      </c>
      <c r="L197">
        <v>0.76073487269014228</v>
      </c>
      <c r="M197" t="s">
        <v>120</v>
      </c>
      <c r="N197" t="s">
        <v>120</v>
      </c>
      <c r="O197">
        <v>37.610000000000007</v>
      </c>
      <c r="P197">
        <v>28.074802347807672</v>
      </c>
      <c r="Q197">
        <v>0</v>
      </c>
      <c r="R197">
        <v>0</v>
      </c>
      <c r="S197">
        <v>28.074802347807672</v>
      </c>
    </row>
    <row r="198" spans="1:19" x14ac:dyDescent="0.25">
      <c r="A198" s="1">
        <v>46236</v>
      </c>
      <c r="B198" t="s">
        <v>148</v>
      </c>
      <c r="C198" t="s">
        <v>11</v>
      </c>
      <c r="D198">
        <v>3.8248954181626535</v>
      </c>
      <c r="E198" t="s">
        <v>249</v>
      </c>
      <c r="F198">
        <v>46236</v>
      </c>
      <c r="G198" t="s">
        <v>149</v>
      </c>
      <c r="H198">
        <v>0</v>
      </c>
      <c r="I198">
        <v>0</v>
      </c>
      <c r="J198">
        <v>1.3248954181626538</v>
      </c>
      <c r="K198">
        <v>1.3248954181626538</v>
      </c>
      <c r="L198">
        <v>0</v>
      </c>
      <c r="M198" t="s">
        <v>120</v>
      </c>
      <c r="N198" t="s">
        <v>120</v>
      </c>
      <c r="O198">
        <v>36.574000000000012</v>
      </c>
      <c r="P198">
        <v>0</v>
      </c>
      <c r="Q198">
        <v>368.27111018149492</v>
      </c>
      <c r="R198">
        <v>0</v>
      </c>
      <c r="S198">
        <v>368.27111018149492</v>
      </c>
    </row>
    <row r="199" spans="1:19" x14ac:dyDescent="0.25">
      <c r="A199" s="1">
        <v>46236</v>
      </c>
      <c r="B199" t="s">
        <v>148</v>
      </c>
      <c r="C199" t="s">
        <v>10</v>
      </c>
      <c r="D199">
        <v>10.279406436312131</v>
      </c>
      <c r="E199" t="s">
        <v>249</v>
      </c>
      <c r="F199">
        <v>46236</v>
      </c>
      <c r="G199" t="s">
        <v>149</v>
      </c>
      <c r="H199">
        <v>2.6657661406293442E-2</v>
      </c>
      <c r="I199">
        <v>2.6657661406293442E-2</v>
      </c>
      <c r="J199">
        <v>0</v>
      </c>
      <c r="K199">
        <v>0</v>
      </c>
      <c r="L199">
        <v>0</v>
      </c>
      <c r="M199" t="s">
        <v>120</v>
      </c>
      <c r="N199" t="s">
        <v>120</v>
      </c>
      <c r="O199">
        <v>42.790000000000006</v>
      </c>
      <c r="P199">
        <v>4.6597592138200934</v>
      </c>
      <c r="Q199">
        <v>0</v>
      </c>
      <c r="R199">
        <v>0</v>
      </c>
      <c r="S199">
        <v>4.6597592138200934</v>
      </c>
    </row>
    <row r="200" spans="1:19" x14ac:dyDescent="0.25">
      <c r="A200" s="1">
        <v>46237</v>
      </c>
      <c r="B200" t="s">
        <v>148</v>
      </c>
      <c r="C200" t="s">
        <v>10</v>
      </c>
      <c r="D200">
        <v>10.279406436312131</v>
      </c>
      <c r="E200" t="s">
        <v>249</v>
      </c>
      <c r="F200">
        <v>46237</v>
      </c>
      <c r="G200" t="s">
        <v>149</v>
      </c>
      <c r="H200">
        <v>0</v>
      </c>
      <c r="I200">
        <v>0</v>
      </c>
      <c r="J200">
        <v>1.1745044755278224</v>
      </c>
      <c r="K200">
        <v>1.1745044755278224</v>
      </c>
      <c r="L200">
        <v>0</v>
      </c>
      <c r="M200" t="s">
        <v>125</v>
      </c>
      <c r="N200" t="s">
        <v>125</v>
      </c>
      <c r="O200">
        <v>27.57</v>
      </c>
      <c r="P200">
        <v>0</v>
      </c>
      <c r="Q200">
        <v>246.0962717662957</v>
      </c>
      <c r="R200">
        <v>0</v>
      </c>
      <c r="S200">
        <v>246.0962717662957</v>
      </c>
    </row>
    <row r="201" spans="1:19" x14ac:dyDescent="0.25">
      <c r="A201" s="1">
        <v>46237</v>
      </c>
      <c r="B201" t="s">
        <v>148</v>
      </c>
      <c r="C201" t="s">
        <v>12</v>
      </c>
      <c r="D201">
        <v>7.4107348726901421</v>
      </c>
      <c r="E201" t="s">
        <v>249</v>
      </c>
      <c r="F201">
        <v>46237</v>
      </c>
      <c r="G201" t="s">
        <v>149</v>
      </c>
      <c r="H201">
        <v>0</v>
      </c>
      <c r="I201">
        <v>0</v>
      </c>
      <c r="J201">
        <v>0.2362250687685753</v>
      </c>
      <c r="K201">
        <v>0.2362250687685753</v>
      </c>
      <c r="L201">
        <v>2.4245098039215667</v>
      </c>
      <c r="M201" t="s">
        <v>125</v>
      </c>
      <c r="N201" t="s">
        <v>125</v>
      </c>
      <c r="O201">
        <v>28.36</v>
      </c>
      <c r="P201">
        <v>0</v>
      </c>
      <c r="Q201">
        <v>50.915006422103644</v>
      </c>
      <c r="R201">
        <v>0</v>
      </c>
      <c r="S201">
        <v>50.915006422103644</v>
      </c>
    </row>
    <row r="202" spans="1:19" x14ac:dyDescent="0.25">
      <c r="A202" s="1">
        <v>46237</v>
      </c>
      <c r="B202" t="s">
        <v>148</v>
      </c>
      <c r="C202" t="s">
        <v>11</v>
      </c>
      <c r="D202">
        <v>3.8248954181626535</v>
      </c>
      <c r="E202" t="s">
        <v>249</v>
      </c>
      <c r="F202">
        <v>46237</v>
      </c>
      <c r="G202" t="s">
        <v>149</v>
      </c>
      <c r="H202">
        <v>9.1917590322384335E-2</v>
      </c>
      <c r="I202">
        <v>9.1917590322384335E-2</v>
      </c>
      <c r="J202">
        <v>0</v>
      </c>
      <c r="K202">
        <v>0</v>
      </c>
      <c r="L202">
        <v>2.4895418162653705E-2</v>
      </c>
      <c r="M202" t="s">
        <v>125</v>
      </c>
      <c r="N202" t="s">
        <v>125</v>
      </c>
      <c r="O202">
        <v>29.417999999999999</v>
      </c>
      <c r="P202">
        <v>16.067194788352779</v>
      </c>
      <c r="Q202">
        <v>0</v>
      </c>
      <c r="R202">
        <v>0</v>
      </c>
      <c r="S202">
        <v>16.067194788352779</v>
      </c>
    </row>
    <row r="203" spans="1:19" x14ac:dyDescent="0.25">
      <c r="A203" s="1">
        <v>46238</v>
      </c>
      <c r="B203" t="s">
        <v>148</v>
      </c>
      <c r="C203" t="s">
        <v>12</v>
      </c>
      <c r="D203">
        <v>7.4107348726901421</v>
      </c>
      <c r="E203" t="s">
        <v>249</v>
      </c>
      <c r="F203">
        <v>46238</v>
      </c>
      <c r="G203" t="s">
        <v>149</v>
      </c>
      <c r="H203">
        <v>8.526984124909065E-2</v>
      </c>
      <c r="I203">
        <v>8.526984124909065E-2</v>
      </c>
      <c r="J203">
        <v>0</v>
      </c>
      <c r="K203">
        <v>0</v>
      </c>
      <c r="L203">
        <v>1.710734872690143</v>
      </c>
      <c r="M203" t="s">
        <v>126</v>
      </c>
      <c r="N203" t="s">
        <v>126</v>
      </c>
      <c r="O203">
        <v>28.36</v>
      </c>
      <c r="P203">
        <v>14.905168250341045</v>
      </c>
      <c r="Q203">
        <v>0</v>
      </c>
      <c r="R203">
        <v>0</v>
      </c>
      <c r="S203">
        <v>14.905168250341045</v>
      </c>
    </row>
    <row r="204" spans="1:19" x14ac:dyDescent="0.25">
      <c r="A204" s="1">
        <v>46238</v>
      </c>
      <c r="B204" t="s">
        <v>148</v>
      </c>
      <c r="C204" t="s">
        <v>11</v>
      </c>
      <c r="D204">
        <v>3.8248954181626535</v>
      </c>
      <c r="E204" t="s">
        <v>249</v>
      </c>
      <c r="F204">
        <v>46238</v>
      </c>
      <c r="G204" t="s">
        <v>149</v>
      </c>
      <c r="H204">
        <v>9.1917590322384335E-2</v>
      </c>
      <c r="I204">
        <v>9.1917590322384335E-2</v>
      </c>
      <c r="J204">
        <v>0</v>
      </c>
      <c r="K204">
        <v>0</v>
      </c>
      <c r="L204">
        <v>0</v>
      </c>
      <c r="M204" t="s">
        <v>126</v>
      </c>
      <c r="N204" t="s">
        <v>126</v>
      </c>
      <c r="O204">
        <v>29.417999999999999</v>
      </c>
      <c r="P204">
        <v>16.067194788352779</v>
      </c>
      <c r="Q204">
        <v>0</v>
      </c>
      <c r="R204">
        <v>0</v>
      </c>
      <c r="S204">
        <v>16.067194788352779</v>
      </c>
    </row>
    <row r="205" spans="1:19" x14ac:dyDescent="0.25">
      <c r="A205" s="1">
        <v>46238</v>
      </c>
      <c r="B205" t="s">
        <v>148</v>
      </c>
      <c r="C205" t="s">
        <v>10</v>
      </c>
      <c r="D205">
        <v>10.279406436312131</v>
      </c>
      <c r="E205" t="s">
        <v>249</v>
      </c>
      <c r="F205">
        <v>46238</v>
      </c>
      <c r="G205" t="s">
        <v>149</v>
      </c>
      <c r="H205">
        <v>0</v>
      </c>
      <c r="I205">
        <v>0</v>
      </c>
      <c r="J205">
        <v>0.87352408337095766</v>
      </c>
      <c r="K205">
        <v>0.87352408337095766</v>
      </c>
      <c r="L205">
        <v>0</v>
      </c>
      <c r="M205" t="s">
        <v>126</v>
      </c>
      <c r="N205" t="s">
        <v>126</v>
      </c>
      <c r="O205">
        <v>27.57</v>
      </c>
      <c r="P205">
        <v>0</v>
      </c>
      <c r="Q205">
        <v>183.0312482368835</v>
      </c>
      <c r="R205">
        <v>0</v>
      </c>
      <c r="S205">
        <v>183.0312482368835</v>
      </c>
    </row>
    <row r="206" spans="1:19" x14ac:dyDescent="0.25">
      <c r="A206" s="1">
        <v>46239</v>
      </c>
      <c r="B206" t="s">
        <v>148</v>
      </c>
      <c r="C206" t="s">
        <v>11</v>
      </c>
      <c r="D206">
        <v>3.8248954181626535</v>
      </c>
      <c r="E206" t="s">
        <v>249</v>
      </c>
      <c r="F206">
        <v>46239</v>
      </c>
      <c r="G206" t="s">
        <v>149</v>
      </c>
      <c r="H206">
        <v>0</v>
      </c>
      <c r="I206">
        <v>0</v>
      </c>
      <c r="J206">
        <v>1.3543071828685356</v>
      </c>
      <c r="K206">
        <v>1.3543071828685356</v>
      </c>
      <c r="L206">
        <v>0</v>
      </c>
      <c r="M206" t="s">
        <v>127</v>
      </c>
      <c r="N206" t="s">
        <v>127</v>
      </c>
      <c r="O206">
        <v>29.417999999999999</v>
      </c>
      <c r="P206">
        <v>0</v>
      </c>
      <c r="Q206">
        <v>302.791666162762</v>
      </c>
      <c r="R206">
        <v>0</v>
      </c>
      <c r="S206">
        <v>302.791666162762</v>
      </c>
    </row>
    <row r="207" spans="1:19" x14ac:dyDescent="0.25">
      <c r="A207" s="1">
        <v>46239</v>
      </c>
      <c r="B207" t="s">
        <v>148</v>
      </c>
      <c r="C207" t="s">
        <v>10</v>
      </c>
      <c r="D207">
        <v>9.3231825817714693</v>
      </c>
      <c r="E207" t="s">
        <v>249</v>
      </c>
      <c r="F207">
        <v>46239</v>
      </c>
      <c r="G207" t="s">
        <v>149</v>
      </c>
      <c r="H207">
        <v>8.8703369739204785E-3</v>
      </c>
      <c r="I207">
        <v>8.8703369739204785E-3</v>
      </c>
      <c r="J207">
        <v>0</v>
      </c>
      <c r="K207">
        <v>0</v>
      </c>
      <c r="L207">
        <v>0.77318258177147003</v>
      </c>
      <c r="M207" t="s">
        <v>127</v>
      </c>
      <c r="N207" t="s">
        <v>127</v>
      </c>
      <c r="O207">
        <v>27.57</v>
      </c>
      <c r="P207">
        <v>1.5505349030412996</v>
      </c>
      <c r="Q207">
        <v>0</v>
      </c>
      <c r="R207">
        <v>0</v>
      </c>
      <c r="S207">
        <v>1.5505349030412996</v>
      </c>
    </row>
    <row r="208" spans="1:19" x14ac:dyDescent="0.25">
      <c r="A208" s="1">
        <v>46239</v>
      </c>
      <c r="B208" t="s">
        <v>148</v>
      </c>
      <c r="C208" t="s">
        <v>12</v>
      </c>
      <c r="D208">
        <v>6.6935669817846444</v>
      </c>
      <c r="E208" t="s">
        <v>249</v>
      </c>
      <c r="F208">
        <v>46239</v>
      </c>
      <c r="G208" t="s">
        <v>149</v>
      </c>
      <c r="H208">
        <v>8.9500871309598162E-2</v>
      </c>
      <c r="I208">
        <v>8.9500871309598162E-2</v>
      </c>
      <c r="J208">
        <v>0</v>
      </c>
      <c r="K208">
        <v>0</v>
      </c>
      <c r="L208">
        <v>0.9935669817846452</v>
      </c>
      <c r="M208" t="s">
        <v>127</v>
      </c>
      <c r="N208" t="s">
        <v>127</v>
      </c>
      <c r="O208">
        <v>28.36</v>
      </c>
      <c r="P208">
        <v>15.644752304917759</v>
      </c>
      <c r="Q208">
        <v>0</v>
      </c>
      <c r="R208">
        <v>0</v>
      </c>
      <c r="S208">
        <v>15.644752304917759</v>
      </c>
    </row>
    <row r="209" spans="1:19" x14ac:dyDescent="0.25">
      <c r="A209" s="1">
        <v>46240</v>
      </c>
      <c r="B209" t="s">
        <v>148</v>
      </c>
      <c r="C209" t="s">
        <v>10</v>
      </c>
      <c r="D209">
        <v>10.279406436312131</v>
      </c>
      <c r="E209" t="s">
        <v>249</v>
      </c>
      <c r="F209">
        <v>46240</v>
      </c>
      <c r="G209" t="s">
        <v>149</v>
      </c>
      <c r="H209">
        <v>0</v>
      </c>
      <c r="I209">
        <v>0</v>
      </c>
      <c r="J209">
        <v>0.35097506376311516</v>
      </c>
      <c r="K209">
        <v>0.35097506376311516</v>
      </c>
      <c r="L209">
        <v>0</v>
      </c>
      <c r="M209" t="s">
        <v>128</v>
      </c>
      <c r="N209" t="s">
        <v>128</v>
      </c>
      <c r="O209">
        <v>27.57</v>
      </c>
      <c r="P209">
        <v>0</v>
      </c>
      <c r="Q209">
        <v>73.540507060413049</v>
      </c>
      <c r="R209">
        <v>0</v>
      </c>
      <c r="S209">
        <v>73.540507060413049</v>
      </c>
    </row>
    <row r="210" spans="1:19" x14ac:dyDescent="0.25">
      <c r="A210" s="1">
        <v>46240</v>
      </c>
      <c r="B210" t="s">
        <v>148</v>
      </c>
      <c r="C210" t="s">
        <v>11</v>
      </c>
      <c r="D210">
        <v>3.8248954181626535</v>
      </c>
      <c r="E210" t="s">
        <v>249</v>
      </c>
      <c r="F210">
        <v>46240</v>
      </c>
      <c r="G210" t="s">
        <v>149</v>
      </c>
      <c r="H210">
        <v>0</v>
      </c>
      <c r="I210">
        <v>0</v>
      </c>
      <c r="J210">
        <v>0.73666012404500669</v>
      </c>
      <c r="K210">
        <v>0.73666012404500669</v>
      </c>
      <c r="L210">
        <v>0.23823529411764705</v>
      </c>
      <c r="M210" t="s">
        <v>128</v>
      </c>
      <c r="N210" t="s">
        <v>128</v>
      </c>
      <c r="O210">
        <v>29.417999999999999</v>
      </c>
      <c r="P210">
        <v>0</v>
      </c>
      <c r="Q210">
        <v>164.70011322158564</v>
      </c>
      <c r="R210">
        <v>0</v>
      </c>
      <c r="S210">
        <v>164.70011322158564</v>
      </c>
    </row>
    <row r="211" spans="1:19" x14ac:dyDescent="0.25">
      <c r="A211" s="1">
        <v>46240</v>
      </c>
      <c r="B211" t="s">
        <v>148</v>
      </c>
      <c r="C211" t="s">
        <v>12</v>
      </c>
      <c r="D211">
        <v>7.4107348726901421</v>
      </c>
      <c r="E211" t="s">
        <v>249</v>
      </c>
      <c r="F211">
        <v>46240</v>
      </c>
      <c r="G211" t="s">
        <v>149</v>
      </c>
      <c r="H211">
        <v>0</v>
      </c>
      <c r="I211">
        <v>0</v>
      </c>
      <c r="J211">
        <v>1.8244603628862228</v>
      </c>
      <c r="K211">
        <v>1.8244603628862228</v>
      </c>
      <c r="L211">
        <v>0.83627450980391915</v>
      </c>
      <c r="M211" t="s">
        <v>128</v>
      </c>
      <c r="N211" t="s">
        <v>128</v>
      </c>
      <c r="O211">
        <v>28.36</v>
      </c>
      <c r="P211">
        <v>0</v>
      </c>
      <c r="Q211">
        <v>393.23688877504486</v>
      </c>
      <c r="R211">
        <v>0</v>
      </c>
      <c r="S211">
        <v>393.23688877504486</v>
      </c>
    </row>
    <row r="212" spans="1:19" x14ac:dyDescent="0.25">
      <c r="A212" s="1">
        <v>46241</v>
      </c>
      <c r="B212" t="s">
        <v>148</v>
      </c>
      <c r="C212" t="s">
        <v>12</v>
      </c>
      <c r="D212">
        <v>7.4107348726901439</v>
      </c>
      <c r="E212" t="s">
        <v>249</v>
      </c>
      <c r="F212">
        <v>46241</v>
      </c>
      <c r="G212" t="s">
        <v>149</v>
      </c>
      <c r="H212">
        <v>0</v>
      </c>
      <c r="I212">
        <v>0</v>
      </c>
      <c r="J212">
        <v>1.1327936962195555</v>
      </c>
      <c r="K212">
        <v>1.1327936962195555</v>
      </c>
      <c r="L212">
        <v>0.57794117647058862</v>
      </c>
      <c r="M212" t="s">
        <v>129</v>
      </c>
      <c r="N212" t="s">
        <v>129</v>
      </c>
      <c r="O212">
        <v>28.36</v>
      </c>
      <c r="P212">
        <v>0</v>
      </c>
      <c r="Q212">
        <v>244.1578221083781</v>
      </c>
      <c r="R212">
        <v>0</v>
      </c>
      <c r="S212">
        <v>244.1578221083781</v>
      </c>
    </row>
    <row r="213" spans="1:19" x14ac:dyDescent="0.25">
      <c r="A213" s="1">
        <v>46241</v>
      </c>
      <c r="B213" t="s">
        <v>148</v>
      </c>
      <c r="C213" t="s">
        <v>10</v>
      </c>
      <c r="D213">
        <v>9.3231825817714675</v>
      </c>
      <c r="E213" t="s">
        <v>249</v>
      </c>
      <c r="F213">
        <v>46241</v>
      </c>
      <c r="G213" t="s">
        <v>149</v>
      </c>
      <c r="H213">
        <v>0</v>
      </c>
      <c r="I213">
        <v>0</v>
      </c>
      <c r="J213">
        <v>6.4359052359707417E-2</v>
      </c>
      <c r="K213">
        <v>6.4359052359707417E-2</v>
      </c>
      <c r="L213">
        <v>0.70882352941176152</v>
      </c>
      <c r="M213" t="s">
        <v>129</v>
      </c>
      <c r="N213" t="s">
        <v>129</v>
      </c>
      <c r="O213">
        <v>27.57</v>
      </c>
      <c r="P213">
        <v>0</v>
      </c>
      <c r="Q213">
        <v>13.485280959034213</v>
      </c>
      <c r="R213">
        <v>0</v>
      </c>
      <c r="S213">
        <v>13.485280959034213</v>
      </c>
    </row>
    <row r="214" spans="1:19" x14ac:dyDescent="0.25">
      <c r="A214" s="1">
        <v>46241</v>
      </c>
      <c r="B214" t="s">
        <v>148</v>
      </c>
      <c r="C214" t="s">
        <v>11</v>
      </c>
      <c r="D214">
        <v>3.8248954181626535</v>
      </c>
      <c r="E214" t="s">
        <v>249</v>
      </c>
      <c r="F214">
        <v>46241</v>
      </c>
      <c r="G214" t="s">
        <v>149</v>
      </c>
      <c r="H214">
        <v>0</v>
      </c>
      <c r="I214">
        <v>0</v>
      </c>
      <c r="J214">
        <v>0.73666012404500669</v>
      </c>
      <c r="K214">
        <v>0.73666012404500669</v>
      </c>
      <c r="L214">
        <v>0</v>
      </c>
      <c r="M214" t="s">
        <v>129</v>
      </c>
      <c r="N214" t="s">
        <v>129</v>
      </c>
      <c r="O214">
        <v>29.417999999999999</v>
      </c>
      <c r="P214">
        <v>0</v>
      </c>
      <c r="Q214">
        <v>164.70011322158564</v>
      </c>
      <c r="R214">
        <v>0</v>
      </c>
      <c r="S214">
        <v>164.70011322158564</v>
      </c>
    </row>
    <row r="215" spans="1:19" x14ac:dyDescent="0.25">
      <c r="A215" s="1">
        <v>46242</v>
      </c>
      <c r="B215" t="s">
        <v>148</v>
      </c>
      <c r="C215" t="s">
        <v>12</v>
      </c>
      <c r="D215">
        <v>7.4107348726901421</v>
      </c>
      <c r="E215" t="s">
        <v>249</v>
      </c>
      <c r="F215">
        <v>46242</v>
      </c>
      <c r="G215" t="s">
        <v>149</v>
      </c>
      <c r="H215">
        <v>0</v>
      </c>
      <c r="I215">
        <v>0</v>
      </c>
      <c r="J215">
        <v>0.11808781386661232</v>
      </c>
      <c r="K215">
        <v>0.11808781386661232</v>
      </c>
      <c r="L215">
        <v>0.6426470588235299</v>
      </c>
      <c r="M215" t="s">
        <v>119</v>
      </c>
      <c r="N215" t="s">
        <v>119</v>
      </c>
      <c r="O215">
        <v>33.160000000000011</v>
      </c>
      <c r="P215">
        <v>0</v>
      </c>
      <c r="Q215">
        <v>29.760018499408179</v>
      </c>
      <c r="R215">
        <v>0</v>
      </c>
      <c r="S215">
        <v>29.760018499408179</v>
      </c>
    </row>
    <row r="216" spans="1:19" x14ac:dyDescent="0.25">
      <c r="A216" s="1">
        <v>46242</v>
      </c>
      <c r="B216" t="s">
        <v>148</v>
      </c>
      <c r="C216" t="s">
        <v>11</v>
      </c>
      <c r="D216">
        <v>3.8248954181626535</v>
      </c>
      <c r="E216" t="s">
        <v>249</v>
      </c>
      <c r="F216">
        <v>46242</v>
      </c>
      <c r="G216" t="s">
        <v>149</v>
      </c>
      <c r="H216">
        <v>9.1917590322384335E-2</v>
      </c>
      <c r="I216">
        <v>9.1917590322384335E-2</v>
      </c>
      <c r="J216">
        <v>0</v>
      </c>
      <c r="K216">
        <v>0</v>
      </c>
      <c r="L216">
        <v>2.4895418162653705E-2</v>
      </c>
      <c r="M216" t="s">
        <v>119</v>
      </c>
      <c r="N216" t="s">
        <v>119</v>
      </c>
      <c r="O216">
        <v>32.272000000000013</v>
      </c>
      <c r="P216">
        <v>16.067194788352779</v>
      </c>
      <c r="Q216">
        <v>0</v>
      </c>
      <c r="R216">
        <v>0</v>
      </c>
      <c r="S216">
        <v>16.067194788352779</v>
      </c>
    </row>
    <row r="217" spans="1:19" x14ac:dyDescent="0.25">
      <c r="A217" s="1">
        <v>46242</v>
      </c>
      <c r="B217" t="s">
        <v>148</v>
      </c>
      <c r="C217" t="s">
        <v>10</v>
      </c>
      <c r="D217">
        <v>9.3231825817714675</v>
      </c>
      <c r="E217" t="s">
        <v>249</v>
      </c>
      <c r="F217">
        <v>46242</v>
      </c>
      <c r="G217" t="s">
        <v>149</v>
      </c>
      <c r="H217">
        <v>0</v>
      </c>
      <c r="I217">
        <v>0</v>
      </c>
      <c r="J217">
        <v>6.4359052359705349E-2</v>
      </c>
      <c r="K217">
        <v>6.4359052359705349E-2</v>
      </c>
      <c r="L217">
        <v>0</v>
      </c>
      <c r="M217" t="s">
        <v>119</v>
      </c>
      <c r="N217" t="s">
        <v>119</v>
      </c>
      <c r="O217">
        <v>37.600000000000009</v>
      </c>
      <c r="P217">
        <v>0</v>
      </c>
      <c r="Q217">
        <v>18.391242802309407</v>
      </c>
      <c r="R217">
        <v>0</v>
      </c>
      <c r="S217">
        <v>18.391242802309407</v>
      </c>
    </row>
    <row r="218" spans="1:19" x14ac:dyDescent="0.25">
      <c r="A218" s="1">
        <v>46243</v>
      </c>
      <c r="B218" t="s">
        <v>148</v>
      </c>
      <c r="C218" t="s">
        <v>10</v>
      </c>
      <c r="D218">
        <v>9.4427105635890545</v>
      </c>
      <c r="E218" t="s">
        <v>249</v>
      </c>
      <c r="F218">
        <v>46243</v>
      </c>
      <c r="G218" t="s">
        <v>149</v>
      </c>
      <c r="H218">
        <v>0</v>
      </c>
      <c r="I218">
        <v>0</v>
      </c>
      <c r="J218">
        <v>0.86035762241258973</v>
      </c>
      <c r="K218">
        <v>0.86035762241258973</v>
      </c>
      <c r="L218">
        <v>0</v>
      </c>
      <c r="M218" t="s">
        <v>120</v>
      </c>
      <c r="N218" t="s">
        <v>120</v>
      </c>
      <c r="O218">
        <v>42.790000000000006</v>
      </c>
      <c r="P218">
        <v>0</v>
      </c>
      <c r="Q218">
        <v>279.79174023906387</v>
      </c>
      <c r="R218">
        <v>0</v>
      </c>
      <c r="S218">
        <v>279.79174023906387</v>
      </c>
    </row>
    <row r="219" spans="1:19" x14ac:dyDescent="0.25">
      <c r="A219" s="1">
        <v>46243</v>
      </c>
      <c r="B219" t="s">
        <v>148</v>
      </c>
      <c r="C219" t="s">
        <v>11</v>
      </c>
      <c r="D219">
        <v>3.8248954181626535</v>
      </c>
      <c r="E219" t="s">
        <v>249</v>
      </c>
      <c r="F219">
        <v>46243</v>
      </c>
      <c r="G219" t="s">
        <v>149</v>
      </c>
      <c r="H219">
        <v>6.1159348341472075E-2</v>
      </c>
      <c r="I219">
        <v>6.1159348341472075E-2</v>
      </c>
      <c r="J219">
        <v>0</v>
      </c>
      <c r="K219">
        <v>0</v>
      </c>
      <c r="L219">
        <v>0</v>
      </c>
      <c r="M219" t="s">
        <v>120</v>
      </c>
      <c r="N219" t="s">
        <v>120</v>
      </c>
      <c r="O219">
        <v>36.574000000000012</v>
      </c>
      <c r="P219">
        <v>10.690654090089318</v>
      </c>
      <c r="Q219">
        <v>0</v>
      </c>
      <c r="R219">
        <v>0</v>
      </c>
      <c r="S219">
        <v>10.690654090089318</v>
      </c>
    </row>
    <row r="220" spans="1:19" x14ac:dyDescent="0.25">
      <c r="A220" s="1">
        <v>46243</v>
      </c>
      <c r="B220" t="s">
        <v>148</v>
      </c>
      <c r="C220" t="s">
        <v>12</v>
      </c>
      <c r="D220">
        <v>7.4107348726901421</v>
      </c>
      <c r="E220" t="s">
        <v>249</v>
      </c>
      <c r="F220">
        <v>46243</v>
      </c>
      <c r="G220" t="s">
        <v>149</v>
      </c>
      <c r="H220">
        <v>0</v>
      </c>
      <c r="I220">
        <v>0</v>
      </c>
      <c r="J220">
        <v>0.42691134327837882</v>
      </c>
      <c r="K220">
        <v>0.42691134327837882</v>
      </c>
      <c r="L220">
        <v>0.33382352941176346</v>
      </c>
      <c r="M220" t="s">
        <v>120</v>
      </c>
      <c r="N220" t="s">
        <v>120</v>
      </c>
      <c r="O220">
        <v>37.610000000000007</v>
      </c>
      <c r="P220">
        <v>0</v>
      </c>
      <c r="Q220">
        <v>122.02663071731871</v>
      </c>
      <c r="R220">
        <v>0</v>
      </c>
      <c r="S220">
        <v>122.02663071731871</v>
      </c>
    </row>
    <row r="221" spans="1:19" x14ac:dyDescent="0.25">
      <c r="A221" s="1">
        <v>46244</v>
      </c>
      <c r="B221" t="s">
        <v>148</v>
      </c>
      <c r="C221" t="s">
        <v>11</v>
      </c>
      <c r="D221">
        <v>3.8248954181626535</v>
      </c>
      <c r="E221" t="s">
        <v>249</v>
      </c>
      <c r="F221">
        <v>46244</v>
      </c>
      <c r="G221" t="s">
        <v>149</v>
      </c>
      <c r="H221">
        <v>9.1917590322384335E-2</v>
      </c>
      <c r="I221">
        <v>9.1917590322384335E-2</v>
      </c>
      <c r="J221">
        <v>0</v>
      </c>
      <c r="K221">
        <v>0</v>
      </c>
      <c r="L221">
        <v>0</v>
      </c>
      <c r="M221" t="s">
        <v>125</v>
      </c>
      <c r="N221" t="s">
        <v>125</v>
      </c>
      <c r="O221">
        <v>29.417999999999999</v>
      </c>
      <c r="P221">
        <v>16.067194788352779</v>
      </c>
      <c r="Q221">
        <v>0</v>
      </c>
      <c r="R221">
        <v>0</v>
      </c>
      <c r="S221">
        <v>16.067194788352779</v>
      </c>
    </row>
    <row r="222" spans="1:19" x14ac:dyDescent="0.25">
      <c r="A222" s="1">
        <v>46244</v>
      </c>
      <c r="B222" t="s">
        <v>148</v>
      </c>
      <c r="C222" t="s">
        <v>12</v>
      </c>
      <c r="D222">
        <v>7.4107348726901421</v>
      </c>
      <c r="E222" t="s">
        <v>249</v>
      </c>
      <c r="F222">
        <v>46244</v>
      </c>
      <c r="G222" t="s">
        <v>149</v>
      </c>
      <c r="H222">
        <v>7.7398377172255062E-2</v>
      </c>
      <c r="I222">
        <v>7.7398377172255062E-2</v>
      </c>
      <c r="J222">
        <v>0</v>
      </c>
      <c r="K222">
        <v>0</v>
      </c>
      <c r="L222">
        <v>0.76073487269014228</v>
      </c>
      <c r="M222" t="s">
        <v>125</v>
      </c>
      <c r="N222" t="s">
        <v>125</v>
      </c>
      <c r="O222">
        <v>28.36</v>
      </c>
      <c r="P222">
        <v>13.529236329710184</v>
      </c>
      <c r="Q222">
        <v>0</v>
      </c>
      <c r="R222">
        <v>0</v>
      </c>
      <c r="S222">
        <v>13.529236329710184</v>
      </c>
    </row>
    <row r="223" spans="1:19" x14ac:dyDescent="0.25">
      <c r="A223" s="1">
        <v>46244</v>
      </c>
      <c r="B223" t="s">
        <v>148</v>
      </c>
      <c r="C223" t="s">
        <v>10</v>
      </c>
      <c r="D223">
        <v>10.279406436312131</v>
      </c>
      <c r="E223" t="s">
        <v>249</v>
      </c>
      <c r="F223">
        <v>46244</v>
      </c>
      <c r="G223" t="s">
        <v>149</v>
      </c>
      <c r="H223">
        <v>0</v>
      </c>
      <c r="I223">
        <v>0</v>
      </c>
      <c r="J223">
        <v>1.6901907500376232</v>
      </c>
      <c r="K223">
        <v>1.6901907500376232</v>
      </c>
      <c r="L223">
        <v>0</v>
      </c>
      <c r="M223" t="s">
        <v>125</v>
      </c>
      <c r="N223" t="s">
        <v>125</v>
      </c>
      <c r="O223">
        <v>27.57</v>
      </c>
      <c r="P223">
        <v>0</v>
      </c>
      <c r="Q223">
        <v>354.14904823688323</v>
      </c>
      <c r="R223">
        <v>0</v>
      </c>
      <c r="S223">
        <v>354.14904823688323</v>
      </c>
    </row>
    <row r="224" spans="1:19" x14ac:dyDescent="0.25">
      <c r="A224" s="1">
        <v>46245</v>
      </c>
      <c r="B224" t="s">
        <v>148</v>
      </c>
      <c r="C224" t="s">
        <v>12</v>
      </c>
      <c r="D224">
        <v>7.3509708817813486</v>
      </c>
      <c r="E224" t="s">
        <v>249</v>
      </c>
      <c r="F224">
        <v>46245</v>
      </c>
      <c r="G224" t="s">
        <v>149</v>
      </c>
      <c r="H224">
        <v>0</v>
      </c>
      <c r="I224">
        <v>0</v>
      </c>
      <c r="J224">
        <v>0.94067676413429147</v>
      </c>
      <c r="K224">
        <v>0.94067676413429147</v>
      </c>
      <c r="L224">
        <v>0.71029411764705808</v>
      </c>
      <c r="M224" t="s">
        <v>126</v>
      </c>
      <c r="N224" t="s">
        <v>126</v>
      </c>
      <c r="O224">
        <v>28.36</v>
      </c>
      <c r="P224">
        <v>0</v>
      </c>
      <c r="Q224">
        <v>202.74970703444865</v>
      </c>
      <c r="R224">
        <v>0</v>
      </c>
      <c r="S224">
        <v>202.74970703444865</v>
      </c>
    </row>
    <row r="225" spans="1:19" x14ac:dyDescent="0.25">
      <c r="A225" s="1">
        <v>46245</v>
      </c>
      <c r="B225" t="s">
        <v>148</v>
      </c>
      <c r="C225" t="s">
        <v>11</v>
      </c>
      <c r="D225">
        <v>3.8248954181626535</v>
      </c>
      <c r="E225" t="s">
        <v>249</v>
      </c>
      <c r="F225">
        <v>46245</v>
      </c>
      <c r="G225" t="s">
        <v>149</v>
      </c>
      <c r="H225">
        <v>6.1159348341472075E-2</v>
      </c>
      <c r="I225">
        <v>6.1159348341472075E-2</v>
      </c>
      <c r="J225">
        <v>0</v>
      </c>
      <c r="K225">
        <v>0</v>
      </c>
      <c r="L225">
        <v>0</v>
      </c>
      <c r="M225" t="s">
        <v>126</v>
      </c>
      <c r="N225" t="s">
        <v>126</v>
      </c>
      <c r="O225">
        <v>29.417999999999999</v>
      </c>
      <c r="P225">
        <v>10.690654090089318</v>
      </c>
      <c r="Q225">
        <v>0</v>
      </c>
      <c r="R225">
        <v>0</v>
      </c>
      <c r="S225">
        <v>10.690654090089318</v>
      </c>
    </row>
    <row r="226" spans="1:19" x14ac:dyDescent="0.25">
      <c r="A226" s="1">
        <v>46245</v>
      </c>
      <c r="B226" t="s">
        <v>148</v>
      </c>
      <c r="C226" t="s">
        <v>10</v>
      </c>
      <c r="D226">
        <v>9.3231825817714675</v>
      </c>
      <c r="E226" t="s">
        <v>249</v>
      </c>
      <c r="F226">
        <v>46245</v>
      </c>
      <c r="G226" t="s">
        <v>149</v>
      </c>
      <c r="H226">
        <v>8.8703369739215887E-3</v>
      </c>
      <c r="I226">
        <v>8.8703369739215887E-3</v>
      </c>
      <c r="J226">
        <v>0</v>
      </c>
      <c r="K226">
        <v>0</v>
      </c>
      <c r="L226">
        <v>0</v>
      </c>
      <c r="M226" t="s">
        <v>126</v>
      </c>
      <c r="N226" t="s">
        <v>126</v>
      </c>
      <c r="O226">
        <v>27.57</v>
      </c>
      <c r="P226">
        <v>1.5505349030414937</v>
      </c>
      <c r="Q226">
        <v>0</v>
      </c>
      <c r="R226">
        <v>0</v>
      </c>
      <c r="S226">
        <v>1.5505349030414937</v>
      </c>
    </row>
    <row r="227" spans="1:19" x14ac:dyDescent="0.25">
      <c r="A227" s="1">
        <v>46246</v>
      </c>
      <c r="B227" t="s">
        <v>148</v>
      </c>
      <c r="C227" t="s">
        <v>10</v>
      </c>
      <c r="D227">
        <v>9.3231825817714675</v>
      </c>
      <c r="E227" t="s">
        <v>249</v>
      </c>
      <c r="F227">
        <v>46246</v>
      </c>
      <c r="G227" t="s">
        <v>149</v>
      </c>
      <c r="H227">
        <v>0</v>
      </c>
      <c r="I227">
        <v>0</v>
      </c>
      <c r="J227">
        <v>1.4839668954969585</v>
      </c>
      <c r="K227">
        <v>1.4839668954969585</v>
      </c>
      <c r="L227">
        <v>0</v>
      </c>
      <c r="M227" t="s">
        <v>127</v>
      </c>
      <c r="N227" t="s">
        <v>127</v>
      </c>
      <c r="O227">
        <v>27.57</v>
      </c>
      <c r="P227">
        <v>0</v>
      </c>
      <c r="Q227">
        <v>310.93855154726867</v>
      </c>
      <c r="R227">
        <v>0</v>
      </c>
      <c r="S227">
        <v>310.93855154726867</v>
      </c>
    </row>
    <row r="228" spans="1:19" x14ac:dyDescent="0.25">
      <c r="A228" s="1">
        <v>46246</v>
      </c>
      <c r="B228" t="s">
        <v>148</v>
      </c>
      <c r="C228" t="s">
        <v>11</v>
      </c>
      <c r="D228">
        <v>3.8248954181626535</v>
      </c>
      <c r="E228" t="s">
        <v>249</v>
      </c>
      <c r="F228">
        <v>46246</v>
      </c>
      <c r="G228" t="s">
        <v>149</v>
      </c>
      <c r="H228">
        <v>0</v>
      </c>
      <c r="I228">
        <v>0</v>
      </c>
      <c r="J228">
        <v>0.73666012404500669</v>
      </c>
      <c r="K228">
        <v>0.73666012404500669</v>
      </c>
      <c r="L228">
        <v>0.23823529411764705</v>
      </c>
      <c r="M228" t="s">
        <v>127</v>
      </c>
      <c r="N228" t="s">
        <v>127</v>
      </c>
      <c r="O228">
        <v>29.417999999999999</v>
      </c>
      <c r="P228">
        <v>0</v>
      </c>
      <c r="Q228">
        <v>164.70011322158564</v>
      </c>
      <c r="R228">
        <v>0</v>
      </c>
      <c r="S228">
        <v>164.70011322158564</v>
      </c>
    </row>
    <row r="229" spans="1:19" x14ac:dyDescent="0.25">
      <c r="A229" s="1">
        <v>46246</v>
      </c>
      <c r="B229" t="s">
        <v>148</v>
      </c>
      <c r="C229" t="s">
        <v>12</v>
      </c>
      <c r="D229">
        <v>6.6935669817846444</v>
      </c>
      <c r="E229" t="s">
        <v>249</v>
      </c>
      <c r="F229">
        <v>46246</v>
      </c>
      <c r="G229" t="s">
        <v>149</v>
      </c>
      <c r="H229">
        <v>0</v>
      </c>
      <c r="I229">
        <v>0</v>
      </c>
      <c r="J229">
        <v>1.2239591386473907</v>
      </c>
      <c r="K229">
        <v>1.2239591386473907</v>
      </c>
      <c r="L229">
        <v>0.71960784313725357</v>
      </c>
      <c r="M229" t="s">
        <v>127</v>
      </c>
      <c r="N229" t="s">
        <v>127</v>
      </c>
      <c r="O229">
        <v>28.36</v>
      </c>
      <c r="P229">
        <v>0</v>
      </c>
      <c r="Q229">
        <v>263.80725690750398</v>
      </c>
      <c r="R229">
        <v>0</v>
      </c>
      <c r="S229">
        <v>263.80725690750398</v>
      </c>
    </row>
    <row r="230" spans="1:19" x14ac:dyDescent="0.25">
      <c r="A230" s="1">
        <v>46247</v>
      </c>
      <c r="B230" t="s">
        <v>148</v>
      </c>
      <c r="C230" t="s">
        <v>12</v>
      </c>
      <c r="D230">
        <v>7.4107348726901421</v>
      </c>
      <c r="E230" t="s">
        <v>249</v>
      </c>
      <c r="F230">
        <v>46247</v>
      </c>
      <c r="G230" t="s">
        <v>149</v>
      </c>
      <c r="H230">
        <v>0</v>
      </c>
      <c r="I230">
        <v>0</v>
      </c>
      <c r="J230">
        <v>0.94210742170975181</v>
      </c>
      <c r="K230">
        <v>0.94210742170975181</v>
      </c>
      <c r="L230">
        <v>0.7686274509803912</v>
      </c>
      <c r="M230" t="s">
        <v>128</v>
      </c>
      <c r="N230" t="s">
        <v>128</v>
      </c>
      <c r="O230">
        <v>28.36</v>
      </c>
      <c r="P230">
        <v>0</v>
      </c>
      <c r="Q230">
        <v>203.05806524563303</v>
      </c>
      <c r="R230">
        <v>0</v>
      </c>
      <c r="S230">
        <v>203.05806524563303</v>
      </c>
    </row>
    <row r="231" spans="1:19" x14ac:dyDescent="0.25">
      <c r="A231" s="1">
        <v>46247</v>
      </c>
      <c r="B231" t="s">
        <v>148</v>
      </c>
      <c r="C231" t="s">
        <v>10</v>
      </c>
      <c r="D231">
        <v>10.279406436312131</v>
      </c>
      <c r="E231" t="s">
        <v>249</v>
      </c>
      <c r="F231">
        <v>46247</v>
      </c>
      <c r="G231" t="s">
        <v>149</v>
      </c>
      <c r="H231">
        <v>0</v>
      </c>
      <c r="I231">
        <v>0</v>
      </c>
      <c r="J231">
        <v>0.2039162402337025</v>
      </c>
      <c r="K231">
        <v>0.2039162402337025</v>
      </c>
      <c r="L231">
        <v>0</v>
      </c>
      <c r="M231" t="s">
        <v>128</v>
      </c>
      <c r="N231" t="s">
        <v>128</v>
      </c>
      <c r="O231">
        <v>27.57</v>
      </c>
      <c r="P231">
        <v>0</v>
      </c>
      <c r="Q231">
        <v>42.726977648648152</v>
      </c>
      <c r="R231">
        <v>0</v>
      </c>
      <c r="S231">
        <v>42.726977648648152</v>
      </c>
    </row>
    <row r="232" spans="1:19" x14ac:dyDescent="0.25">
      <c r="A232" s="1">
        <v>46247</v>
      </c>
      <c r="B232" t="s">
        <v>148</v>
      </c>
      <c r="C232" t="s">
        <v>11</v>
      </c>
      <c r="D232">
        <v>3.8248954181626535</v>
      </c>
      <c r="E232" t="s">
        <v>249</v>
      </c>
      <c r="F232">
        <v>46247</v>
      </c>
      <c r="G232" t="s">
        <v>149</v>
      </c>
      <c r="H232">
        <v>0</v>
      </c>
      <c r="I232">
        <v>0</v>
      </c>
      <c r="J232">
        <v>0.6190130652214777</v>
      </c>
      <c r="K232">
        <v>0.6190130652214777</v>
      </c>
      <c r="L232">
        <v>0</v>
      </c>
      <c r="M232" t="s">
        <v>128</v>
      </c>
      <c r="N232" t="s">
        <v>128</v>
      </c>
      <c r="O232">
        <v>29.417999999999999</v>
      </c>
      <c r="P232">
        <v>0</v>
      </c>
      <c r="Q232">
        <v>138.39696028040927</v>
      </c>
      <c r="R232">
        <v>0</v>
      </c>
      <c r="S232">
        <v>138.39696028040927</v>
      </c>
    </row>
    <row r="233" spans="1:19" x14ac:dyDescent="0.25">
      <c r="A233" s="1">
        <v>46248</v>
      </c>
      <c r="B233" t="s">
        <v>148</v>
      </c>
      <c r="C233" t="s">
        <v>12</v>
      </c>
      <c r="D233">
        <v>7.4107348726901439</v>
      </c>
      <c r="E233" t="s">
        <v>249</v>
      </c>
      <c r="F233">
        <v>46248</v>
      </c>
      <c r="G233" t="s">
        <v>149</v>
      </c>
      <c r="H233">
        <v>0</v>
      </c>
      <c r="I233">
        <v>0</v>
      </c>
      <c r="J233">
        <v>0.2504407550430835</v>
      </c>
      <c r="K233">
        <v>0.2504407550430835</v>
      </c>
      <c r="L233">
        <v>0.51029411764706056</v>
      </c>
      <c r="M233" t="s">
        <v>129</v>
      </c>
      <c r="N233" t="s">
        <v>129</v>
      </c>
      <c r="O233">
        <v>28.36</v>
      </c>
      <c r="P233">
        <v>0</v>
      </c>
      <c r="Q233">
        <v>53.978998578966042</v>
      </c>
      <c r="R233">
        <v>0</v>
      </c>
      <c r="S233">
        <v>53.978998578966042</v>
      </c>
    </row>
    <row r="234" spans="1:19" x14ac:dyDescent="0.25">
      <c r="A234" s="1">
        <v>46248</v>
      </c>
      <c r="B234" t="s">
        <v>148</v>
      </c>
      <c r="C234" t="s">
        <v>11</v>
      </c>
      <c r="D234">
        <v>3.8248954181626535</v>
      </c>
      <c r="E234" t="s">
        <v>249</v>
      </c>
      <c r="F234">
        <v>46248</v>
      </c>
      <c r="G234" t="s">
        <v>149</v>
      </c>
      <c r="H234">
        <v>0</v>
      </c>
      <c r="I234">
        <v>0</v>
      </c>
      <c r="J234">
        <v>0.6190130652214777</v>
      </c>
      <c r="K234">
        <v>0.6190130652214777</v>
      </c>
      <c r="L234">
        <v>0</v>
      </c>
      <c r="M234" t="s">
        <v>129</v>
      </c>
      <c r="N234" t="s">
        <v>129</v>
      </c>
      <c r="O234">
        <v>29.417999999999999</v>
      </c>
      <c r="P234">
        <v>0</v>
      </c>
      <c r="Q234">
        <v>138.39696028040927</v>
      </c>
      <c r="R234">
        <v>0</v>
      </c>
      <c r="S234">
        <v>138.39696028040927</v>
      </c>
    </row>
    <row r="235" spans="1:19" x14ac:dyDescent="0.25">
      <c r="A235" s="1">
        <v>46248</v>
      </c>
      <c r="B235" t="s">
        <v>148</v>
      </c>
      <c r="C235" t="s">
        <v>10</v>
      </c>
      <c r="D235">
        <v>9.3231825817714675</v>
      </c>
      <c r="E235" t="s">
        <v>249</v>
      </c>
      <c r="F235">
        <v>46248</v>
      </c>
      <c r="G235" t="s">
        <v>149</v>
      </c>
      <c r="H235">
        <v>0</v>
      </c>
      <c r="I235">
        <v>0</v>
      </c>
      <c r="J235">
        <v>6.4359052359705349E-2</v>
      </c>
      <c r="K235">
        <v>6.4359052359705349E-2</v>
      </c>
      <c r="L235">
        <v>0</v>
      </c>
      <c r="M235" t="s">
        <v>129</v>
      </c>
      <c r="N235" t="s">
        <v>129</v>
      </c>
      <c r="O235">
        <v>27.57</v>
      </c>
      <c r="P235">
        <v>0</v>
      </c>
      <c r="Q235">
        <v>13.485280959033782</v>
      </c>
      <c r="R235">
        <v>0</v>
      </c>
      <c r="S235">
        <v>13.485280959033782</v>
      </c>
    </row>
    <row r="236" spans="1:19" x14ac:dyDescent="0.25">
      <c r="A236" s="1">
        <v>46249</v>
      </c>
      <c r="B236" t="s">
        <v>148</v>
      </c>
      <c r="C236" t="s">
        <v>12</v>
      </c>
      <c r="D236">
        <v>7.4107348726901421</v>
      </c>
      <c r="E236" t="s">
        <v>249</v>
      </c>
      <c r="F236">
        <v>46249</v>
      </c>
      <c r="G236" t="s">
        <v>149</v>
      </c>
      <c r="H236">
        <v>0</v>
      </c>
      <c r="I236">
        <v>0</v>
      </c>
      <c r="J236">
        <v>0.30926428445484938</v>
      </c>
      <c r="K236">
        <v>0.30926428445484938</v>
      </c>
      <c r="L236">
        <v>0.4514705882352929</v>
      </c>
      <c r="M236" t="s">
        <v>119</v>
      </c>
      <c r="N236" t="s">
        <v>119</v>
      </c>
      <c r="O236">
        <v>33.160000000000011</v>
      </c>
      <c r="P236">
        <v>0</v>
      </c>
      <c r="Q236">
        <v>77.939547911173349</v>
      </c>
      <c r="R236">
        <v>0</v>
      </c>
      <c r="S236">
        <v>77.939547911173349</v>
      </c>
    </row>
    <row r="237" spans="1:19" x14ac:dyDescent="0.25">
      <c r="A237" s="1">
        <v>46249</v>
      </c>
      <c r="B237" t="s">
        <v>148</v>
      </c>
      <c r="C237" t="s">
        <v>11</v>
      </c>
      <c r="D237">
        <v>3.5858394545274885</v>
      </c>
      <c r="E237" t="s">
        <v>249</v>
      </c>
      <c r="F237">
        <v>46249</v>
      </c>
      <c r="G237" t="s">
        <v>149</v>
      </c>
      <c r="H237">
        <v>0</v>
      </c>
      <c r="I237">
        <v>0</v>
      </c>
      <c r="J237">
        <v>0.32113357217454885</v>
      </c>
      <c r="K237">
        <v>0.32113357217454885</v>
      </c>
      <c r="L237">
        <v>0.41470588235293987</v>
      </c>
      <c r="M237" t="s">
        <v>119</v>
      </c>
      <c r="N237" t="s">
        <v>119</v>
      </c>
      <c r="O237">
        <v>32.272000000000013</v>
      </c>
      <c r="P237">
        <v>0</v>
      </c>
      <c r="Q237">
        <v>78.763532073249536</v>
      </c>
      <c r="R237">
        <v>0</v>
      </c>
      <c r="S237">
        <v>78.763532073249536</v>
      </c>
    </row>
    <row r="238" spans="1:19" x14ac:dyDescent="0.25">
      <c r="A238" s="1">
        <v>46249</v>
      </c>
      <c r="B238" t="s">
        <v>148</v>
      </c>
      <c r="C238" t="s">
        <v>10</v>
      </c>
      <c r="D238">
        <v>10.279406436312131</v>
      </c>
      <c r="E238" t="s">
        <v>249</v>
      </c>
      <c r="F238">
        <v>46249</v>
      </c>
      <c r="G238" t="s">
        <v>149</v>
      </c>
      <c r="H238">
        <v>0</v>
      </c>
      <c r="I238">
        <v>0</v>
      </c>
      <c r="J238">
        <v>1.0205829069003713</v>
      </c>
      <c r="K238">
        <v>1.0205829069003713</v>
      </c>
      <c r="L238">
        <v>0</v>
      </c>
      <c r="M238" t="s">
        <v>119</v>
      </c>
      <c r="N238" t="s">
        <v>119</v>
      </c>
      <c r="O238">
        <v>37.600000000000009</v>
      </c>
      <c r="P238">
        <v>0</v>
      </c>
      <c r="Q238">
        <v>291.64177147585019</v>
      </c>
      <c r="R238">
        <v>0</v>
      </c>
      <c r="S238">
        <v>291.64177147585019</v>
      </c>
    </row>
    <row r="239" spans="1:19" x14ac:dyDescent="0.25">
      <c r="A239" s="1">
        <v>46250</v>
      </c>
      <c r="B239" t="s">
        <v>148</v>
      </c>
      <c r="C239" t="s">
        <v>10</v>
      </c>
      <c r="D239">
        <v>10.279406436312131</v>
      </c>
      <c r="E239" t="s">
        <v>249</v>
      </c>
      <c r="F239">
        <v>46250</v>
      </c>
      <c r="G239" t="s">
        <v>149</v>
      </c>
      <c r="H239">
        <v>0</v>
      </c>
      <c r="I239">
        <v>0</v>
      </c>
      <c r="J239">
        <v>1.8372495735670369</v>
      </c>
      <c r="K239">
        <v>1.8372495735670369</v>
      </c>
      <c r="L239">
        <v>0</v>
      </c>
      <c r="M239" t="s">
        <v>120</v>
      </c>
      <c r="N239" t="s">
        <v>120</v>
      </c>
      <c r="O239">
        <v>42.790000000000006</v>
      </c>
      <c r="P239">
        <v>0</v>
      </c>
      <c r="Q239">
        <v>597.48091032229468</v>
      </c>
      <c r="R239">
        <v>0</v>
      </c>
      <c r="S239">
        <v>597.48091032229468</v>
      </c>
    </row>
    <row r="240" spans="1:19" x14ac:dyDescent="0.25">
      <c r="A240" s="1">
        <v>46250</v>
      </c>
      <c r="B240" t="s">
        <v>148</v>
      </c>
      <c r="C240" t="s">
        <v>11</v>
      </c>
      <c r="D240">
        <v>3.8248954181626535</v>
      </c>
      <c r="E240" t="s">
        <v>249</v>
      </c>
      <c r="F240">
        <v>46250</v>
      </c>
      <c r="G240" t="s">
        <v>149</v>
      </c>
      <c r="H240">
        <v>0</v>
      </c>
      <c r="I240">
        <v>0</v>
      </c>
      <c r="J240">
        <v>0.50136600639794782</v>
      </c>
      <c r="K240">
        <v>0.50136600639794782</v>
      </c>
      <c r="L240">
        <v>0</v>
      </c>
      <c r="M240" t="s">
        <v>120</v>
      </c>
      <c r="N240" t="s">
        <v>120</v>
      </c>
      <c r="O240">
        <v>36.574000000000012</v>
      </c>
      <c r="P240">
        <v>0</v>
      </c>
      <c r="Q240">
        <v>139.36089841678898</v>
      </c>
      <c r="R240">
        <v>0</v>
      </c>
      <c r="S240">
        <v>139.36089841678898</v>
      </c>
    </row>
    <row r="241" spans="1:19" x14ac:dyDescent="0.25">
      <c r="A241" s="1">
        <v>46250</v>
      </c>
      <c r="B241" t="s">
        <v>148</v>
      </c>
      <c r="C241" t="s">
        <v>12</v>
      </c>
      <c r="D241">
        <v>7.4107348726901421</v>
      </c>
      <c r="E241" t="s">
        <v>249</v>
      </c>
      <c r="F241">
        <v>46250</v>
      </c>
      <c r="G241" t="s">
        <v>149</v>
      </c>
      <c r="H241">
        <v>7.7398377172255062E-2</v>
      </c>
      <c r="I241">
        <v>7.7398377172255062E-2</v>
      </c>
      <c r="J241">
        <v>0</v>
      </c>
      <c r="K241">
        <v>0</v>
      </c>
      <c r="L241">
        <v>0.76073487269014228</v>
      </c>
      <c r="M241" t="s">
        <v>120</v>
      </c>
      <c r="N241" t="s">
        <v>120</v>
      </c>
      <c r="O241">
        <v>37.610000000000007</v>
      </c>
      <c r="P241">
        <v>13.529236329710184</v>
      </c>
      <c r="Q241">
        <v>0</v>
      </c>
      <c r="R241">
        <v>0</v>
      </c>
      <c r="S241">
        <v>13.529236329710184</v>
      </c>
    </row>
    <row r="242" spans="1:19" x14ac:dyDescent="0.25">
      <c r="A242" s="1">
        <v>46223</v>
      </c>
      <c r="B242" t="s">
        <v>97</v>
      </c>
      <c r="C242" t="s">
        <v>12</v>
      </c>
      <c r="D242">
        <v>3.1774912809962848</v>
      </c>
      <c r="E242" t="s">
        <v>245</v>
      </c>
      <c r="F242">
        <v>46223</v>
      </c>
      <c r="G242" t="s">
        <v>149</v>
      </c>
      <c r="H242">
        <v>0</v>
      </c>
      <c r="I242">
        <v>0</v>
      </c>
      <c r="J242">
        <v>0.36434249206894903</v>
      </c>
      <c r="K242">
        <v>0.36434249206894903</v>
      </c>
      <c r="L242">
        <v>0</v>
      </c>
      <c r="M242" t="s">
        <v>125</v>
      </c>
      <c r="P242">
        <v>0</v>
      </c>
      <c r="Q242">
        <v>0</v>
      </c>
      <c r="R242">
        <v>0</v>
      </c>
      <c r="S242">
        <v>0</v>
      </c>
    </row>
    <row r="243" spans="1:19" x14ac:dyDescent="0.25">
      <c r="A243" s="1">
        <v>46223</v>
      </c>
      <c r="B243" t="s">
        <v>97</v>
      </c>
      <c r="C243" t="s">
        <v>10</v>
      </c>
      <c r="D243">
        <v>3.6011567851291222</v>
      </c>
      <c r="E243" t="s">
        <v>245</v>
      </c>
      <c r="F243">
        <v>46223</v>
      </c>
      <c r="G243" t="s">
        <v>149</v>
      </c>
      <c r="H243">
        <v>0</v>
      </c>
      <c r="I243">
        <v>0</v>
      </c>
      <c r="J243">
        <v>0.77762737336441534</v>
      </c>
      <c r="K243">
        <v>0.77762737336441534</v>
      </c>
      <c r="L243">
        <v>0</v>
      </c>
      <c r="M243" t="s">
        <v>125</v>
      </c>
      <c r="P243">
        <v>0</v>
      </c>
      <c r="Q243">
        <v>0</v>
      </c>
      <c r="R243">
        <v>0</v>
      </c>
      <c r="S243">
        <v>0</v>
      </c>
    </row>
    <row r="244" spans="1:19" x14ac:dyDescent="0.25">
      <c r="A244" s="1">
        <v>46224</v>
      </c>
      <c r="B244" t="s">
        <v>97</v>
      </c>
      <c r="C244" t="s">
        <v>10</v>
      </c>
      <c r="D244">
        <v>2.953553800240357</v>
      </c>
      <c r="E244" t="s">
        <v>245</v>
      </c>
      <c r="F244">
        <v>46224</v>
      </c>
      <c r="G244" t="s">
        <v>149</v>
      </c>
      <c r="H244">
        <v>0.31393486403008963</v>
      </c>
      <c r="I244">
        <v>0.31393486403008963</v>
      </c>
      <c r="J244">
        <v>0</v>
      </c>
      <c r="K244">
        <v>0</v>
      </c>
      <c r="L244">
        <v>0.10355380024035721</v>
      </c>
      <c r="M244" t="s">
        <v>126</v>
      </c>
      <c r="P244">
        <v>54.875814232459661</v>
      </c>
      <c r="Q244">
        <v>0</v>
      </c>
      <c r="R244">
        <v>0</v>
      </c>
      <c r="S244">
        <v>54.875814232459661</v>
      </c>
    </row>
    <row r="245" spans="1:19" x14ac:dyDescent="0.25">
      <c r="A245" s="1">
        <v>46224</v>
      </c>
      <c r="B245" t="s">
        <v>97</v>
      </c>
      <c r="C245" t="s">
        <v>11</v>
      </c>
      <c r="D245">
        <v>54.017351776936827</v>
      </c>
      <c r="E245" t="s">
        <v>245</v>
      </c>
      <c r="F245">
        <v>46224</v>
      </c>
      <c r="G245" t="s">
        <v>149</v>
      </c>
      <c r="H245">
        <v>0</v>
      </c>
      <c r="I245">
        <v>0</v>
      </c>
      <c r="J245">
        <v>54.017351776936827</v>
      </c>
      <c r="K245">
        <v>54.017351776936827</v>
      </c>
      <c r="L245">
        <v>0</v>
      </c>
      <c r="M245" t="s">
        <v>126</v>
      </c>
      <c r="P245">
        <v>0</v>
      </c>
      <c r="Q245">
        <v>0</v>
      </c>
      <c r="R245">
        <v>0</v>
      </c>
      <c r="S245">
        <v>0</v>
      </c>
    </row>
    <row r="246" spans="1:19" x14ac:dyDescent="0.25">
      <c r="A246" s="1">
        <v>46224</v>
      </c>
      <c r="B246" t="s">
        <v>97</v>
      </c>
      <c r="C246" t="s">
        <v>12</v>
      </c>
      <c r="D246">
        <v>0.5626807476764254</v>
      </c>
      <c r="E246" t="s">
        <v>245</v>
      </c>
      <c r="F246">
        <v>46224</v>
      </c>
      <c r="G246" t="s">
        <v>149</v>
      </c>
      <c r="H246">
        <v>5.2628307617645484</v>
      </c>
      <c r="I246">
        <v>5.2628307617645484</v>
      </c>
      <c r="J246">
        <v>0</v>
      </c>
      <c r="K246">
        <v>0</v>
      </c>
      <c r="L246">
        <v>0</v>
      </c>
      <c r="M246" t="s">
        <v>126</v>
      </c>
      <c r="P246">
        <v>919.94281715644297</v>
      </c>
      <c r="Q246">
        <v>0</v>
      </c>
      <c r="R246">
        <v>0</v>
      </c>
      <c r="S246">
        <v>919.94281715644297</v>
      </c>
    </row>
    <row r="247" spans="1:19" x14ac:dyDescent="0.25">
      <c r="A247" s="1">
        <v>46225</v>
      </c>
      <c r="B247" t="s">
        <v>97</v>
      </c>
      <c r="C247" t="s">
        <v>10</v>
      </c>
      <c r="D247">
        <v>0.52958188016604746</v>
      </c>
      <c r="E247" t="s">
        <v>245</v>
      </c>
      <c r="F247">
        <v>46225</v>
      </c>
      <c r="G247" t="s">
        <v>149</v>
      </c>
      <c r="H247">
        <v>6.1088268374524768</v>
      </c>
      <c r="I247">
        <v>6.1088268374524768</v>
      </c>
      <c r="J247">
        <v>0</v>
      </c>
      <c r="K247">
        <v>0</v>
      </c>
      <c r="L247">
        <v>0</v>
      </c>
      <c r="M247" t="s">
        <v>127</v>
      </c>
      <c r="P247">
        <v>1067.8229311866928</v>
      </c>
      <c r="Q247">
        <v>0</v>
      </c>
      <c r="R247">
        <v>0</v>
      </c>
      <c r="S247">
        <v>1067.8229311866928</v>
      </c>
    </row>
    <row r="248" spans="1:19" x14ac:dyDescent="0.25">
      <c r="A248" s="1">
        <v>46225</v>
      </c>
      <c r="B248" t="s">
        <v>97</v>
      </c>
      <c r="C248" t="s">
        <v>11</v>
      </c>
      <c r="D248">
        <v>4.1445538447777635</v>
      </c>
      <c r="E248" t="s">
        <v>245</v>
      </c>
      <c r="F248">
        <v>46225</v>
      </c>
      <c r="G248" t="s">
        <v>149</v>
      </c>
      <c r="H248">
        <v>0</v>
      </c>
      <c r="I248">
        <v>0</v>
      </c>
      <c r="J248">
        <v>4.1445538447777635</v>
      </c>
      <c r="K248">
        <v>4.1445538447777635</v>
      </c>
      <c r="L248">
        <v>0</v>
      </c>
      <c r="M248" t="s">
        <v>127</v>
      </c>
      <c r="P248">
        <v>0</v>
      </c>
      <c r="Q248">
        <v>0</v>
      </c>
      <c r="R248">
        <v>0</v>
      </c>
      <c r="S248">
        <v>0</v>
      </c>
    </row>
    <row r="249" spans="1:19" x14ac:dyDescent="0.25">
      <c r="A249" s="1">
        <v>46225</v>
      </c>
      <c r="B249" t="s">
        <v>97</v>
      </c>
      <c r="C249" t="s">
        <v>12</v>
      </c>
      <c r="D249">
        <v>3.0916131382666543</v>
      </c>
      <c r="E249" t="s">
        <v>245</v>
      </c>
      <c r="F249">
        <v>46225</v>
      </c>
      <c r="G249" t="s">
        <v>149</v>
      </c>
      <c r="H249">
        <v>0.21323881228104646</v>
      </c>
      <c r="I249">
        <v>0.21323881228104646</v>
      </c>
      <c r="J249">
        <v>0</v>
      </c>
      <c r="K249">
        <v>0</v>
      </c>
      <c r="L249">
        <v>0.24161313826665468</v>
      </c>
      <c r="M249" t="s">
        <v>127</v>
      </c>
      <c r="P249">
        <v>37.274144386726917</v>
      </c>
      <c r="Q249">
        <v>0</v>
      </c>
      <c r="R249">
        <v>0</v>
      </c>
      <c r="S249">
        <v>37.274144386726917</v>
      </c>
    </row>
    <row r="250" spans="1:19" x14ac:dyDescent="0.25">
      <c r="A250" s="1">
        <v>46226</v>
      </c>
      <c r="B250" t="s">
        <v>97</v>
      </c>
      <c r="C250" t="s">
        <v>12</v>
      </c>
      <c r="D250">
        <v>4.8143807287822487</v>
      </c>
      <c r="E250" t="s">
        <v>245</v>
      </c>
      <c r="F250">
        <v>46226</v>
      </c>
      <c r="G250" t="s">
        <v>149</v>
      </c>
      <c r="H250">
        <v>0</v>
      </c>
      <c r="I250">
        <v>0</v>
      </c>
      <c r="J250">
        <v>1.0635156768791343</v>
      </c>
      <c r="K250">
        <v>1.0635156768791343</v>
      </c>
      <c r="L250">
        <v>0</v>
      </c>
      <c r="M250" t="s">
        <v>128</v>
      </c>
      <c r="P250">
        <v>0</v>
      </c>
      <c r="Q250">
        <v>0</v>
      </c>
      <c r="R250">
        <v>0</v>
      </c>
      <c r="S250">
        <v>0</v>
      </c>
    </row>
    <row r="251" spans="1:19" x14ac:dyDescent="0.25">
      <c r="A251" s="1">
        <v>46226</v>
      </c>
      <c r="B251" t="s">
        <v>97</v>
      </c>
      <c r="C251" t="s">
        <v>10</v>
      </c>
      <c r="D251">
        <v>1.0289019386083209</v>
      </c>
      <c r="E251" t="s">
        <v>245</v>
      </c>
      <c r="F251">
        <v>46226</v>
      </c>
      <c r="G251" t="s">
        <v>149</v>
      </c>
      <c r="H251">
        <v>2.6589549898652449</v>
      </c>
      <c r="I251">
        <v>2.6589549898652449</v>
      </c>
      <c r="J251">
        <v>0</v>
      </c>
      <c r="K251">
        <v>0</v>
      </c>
      <c r="L251">
        <v>7.8901938608320982E-2</v>
      </c>
      <c r="M251" t="s">
        <v>128</v>
      </c>
      <c r="P251">
        <v>464.78533222844476</v>
      </c>
      <c r="Q251">
        <v>0</v>
      </c>
      <c r="R251">
        <v>0</v>
      </c>
      <c r="S251">
        <v>464.78533222844476</v>
      </c>
    </row>
    <row r="252" spans="1:19" x14ac:dyDescent="0.25">
      <c r="A252" s="1">
        <v>46227</v>
      </c>
      <c r="B252" t="s">
        <v>97</v>
      </c>
      <c r="C252" t="s">
        <v>10</v>
      </c>
      <c r="D252">
        <v>2.9656585289298651</v>
      </c>
      <c r="E252" t="s">
        <v>245</v>
      </c>
      <c r="F252">
        <v>46227</v>
      </c>
      <c r="G252" t="s">
        <v>149</v>
      </c>
      <c r="H252">
        <v>0.26943336383079952</v>
      </c>
      <c r="I252">
        <v>0.26943336383079952</v>
      </c>
      <c r="J252">
        <v>0</v>
      </c>
      <c r="K252">
        <v>0</v>
      </c>
      <c r="L252">
        <v>0.11565852892986563</v>
      </c>
      <c r="M252" t="s">
        <v>129</v>
      </c>
      <c r="P252">
        <v>47.096951997623755</v>
      </c>
      <c r="Q252">
        <v>0</v>
      </c>
      <c r="R252">
        <v>0</v>
      </c>
      <c r="S252">
        <v>47.096951997623755</v>
      </c>
    </row>
    <row r="253" spans="1:19" x14ac:dyDescent="0.25">
      <c r="A253" s="1">
        <v>46227</v>
      </c>
      <c r="B253" t="s">
        <v>97</v>
      </c>
      <c r="C253" t="s">
        <v>11</v>
      </c>
      <c r="D253">
        <v>54.017351776936827</v>
      </c>
      <c r="E253" t="s">
        <v>245</v>
      </c>
      <c r="F253">
        <v>46227</v>
      </c>
      <c r="G253" t="s">
        <v>149</v>
      </c>
      <c r="H253">
        <v>0</v>
      </c>
      <c r="I253">
        <v>0</v>
      </c>
      <c r="J253">
        <v>54.017351776936827</v>
      </c>
      <c r="K253">
        <v>54.017351776936827</v>
      </c>
      <c r="L253">
        <v>0</v>
      </c>
      <c r="M253" t="s">
        <v>129</v>
      </c>
      <c r="P253">
        <v>0</v>
      </c>
      <c r="Q253">
        <v>0</v>
      </c>
      <c r="R253">
        <v>0</v>
      </c>
      <c r="S253">
        <v>0</v>
      </c>
    </row>
    <row r="254" spans="1:19" x14ac:dyDescent="0.25">
      <c r="A254" s="1">
        <v>46227</v>
      </c>
      <c r="B254" t="s">
        <v>97</v>
      </c>
      <c r="C254" t="s">
        <v>12</v>
      </c>
      <c r="D254">
        <v>0</v>
      </c>
      <c r="E254" t="s">
        <v>245</v>
      </c>
      <c r="F254">
        <v>46227</v>
      </c>
      <c r="G254" t="s">
        <v>149</v>
      </c>
      <c r="H254">
        <v>0</v>
      </c>
      <c r="I254">
        <v>0</v>
      </c>
      <c r="J254">
        <v>0</v>
      </c>
      <c r="K254">
        <v>0</v>
      </c>
      <c r="L254">
        <v>0</v>
      </c>
      <c r="M254" t="s">
        <v>129</v>
      </c>
      <c r="P254">
        <v>0</v>
      </c>
      <c r="Q254">
        <v>0</v>
      </c>
      <c r="R254">
        <v>0</v>
      </c>
      <c r="S254">
        <v>0</v>
      </c>
    </row>
    <row r="255" spans="1:19" x14ac:dyDescent="0.25">
      <c r="A255" s="1">
        <v>46228</v>
      </c>
      <c r="B255" t="s">
        <v>97</v>
      </c>
      <c r="C255" t="s">
        <v>12</v>
      </c>
      <c r="D255">
        <v>4.3778768760393252</v>
      </c>
      <c r="E255" t="s">
        <v>245</v>
      </c>
      <c r="F255">
        <v>46228</v>
      </c>
      <c r="G255" t="s">
        <v>149</v>
      </c>
      <c r="H255">
        <v>0</v>
      </c>
      <c r="I255">
        <v>0</v>
      </c>
      <c r="J255">
        <v>0.67891493832306249</v>
      </c>
      <c r="K255">
        <v>0.67891493832306249</v>
      </c>
      <c r="L255">
        <v>0</v>
      </c>
      <c r="M255" t="s">
        <v>119</v>
      </c>
      <c r="P255">
        <v>0</v>
      </c>
      <c r="Q255">
        <v>0</v>
      </c>
      <c r="R255">
        <v>0</v>
      </c>
      <c r="S255">
        <v>0</v>
      </c>
    </row>
    <row r="256" spans="1:19" x14ac:dyDescent="0.25">
      <c r="A256" s="1">
        <v>46228</v>
      </c>
      <c r="B256" t="s">
        <v>97</v>
      </c>
      <c r="C256" t="s">
        <v>11</v>
      </c>
      <c r="D256">
        <v>0</v>
      </c>
      <c r="E256" t="s">
        <v>245</v>
      </c>
      <c r="F256">
        <v>46228</v>
      </c>
      <c r="G256" t="s">
        <v>149</v>
      </c>
      <c r="H256">
        <v>0</v>
      </c>
      <c r="I256">
        <v>0</v>
      </c>
      <c r="J256">
        <v>0</v>
      </c>
      <c r="K256">
        <v>0</v>
      </c>
      <c r="L256">
        <v>0</v>
      </c>
      <c r="M256" t="s">
        <v>119</v>
      </c>
      <c r="P256">
        <v>0</v>
      </c>
      <c r="Q256">
        <v>0</v>
      </c>
      <c r="R256">
        <v>0</v>
      </c>
      <c r="S256">
        <v>0</v>
      </c>
    </row>
    <row r="257" spans="1:19" x14ac:dyDescent="0.25">
      <c r="A257" s="1">
        <v>46229</v>
      </c>
      <c r="B257" t="s">
        <v>97</v>
      </c>
      <c r="C257" t="s">
        <v>11</v>
      </c>
      <c r="D257">
        <v>52.21677338437226</v>
      </c>
      <c r="E257" t="s">
        <v>245</v>
      </c>
      <c r="F257">
        <v>46229</v>
      </c>
      <c r="G257" t="s">
        <v>149</v>
      </c>
      <c r="H257">
        <v>0</v>
      </c>
      <c r="I257">
        <v>0</v>
      </c>
      <c r="J257">
        <v>52.21677338437226</v>
      </c>
      <c r="K257">
        <v>52.21677338437226</v>
      </c>
      <c r="L257">
        <v>0</v>
      </c>
      <c r="M257" t="s">
        <v>120</v>
      </c>
      <c r="P257">
        <v>0</v>
      </c>
      <c r="Q257">
        <v>0</v>
      </c>
      <c r="R257">
        <v>0</v>
      </c>
      <c r="S257">
        <v>0</v>
      </c>
    </row>
    <row r="258" spans="1:19" x14ac:dyDescent="0.25">
      <c r="A258" s="1">
        <v>46229</v>
      </c>
      <c r="B258" t="s">
        <v>97</v>
      </c>
      <c r="C258" t="s">
        <v>10</v>
      </c>
      <c r="D258">
        <v>3.052883779780744</v>
      </c>
      <c r="E258" t="s">
        <v>245</v>
      </c>
      <c r="F258">
        <v>46229</v>
      </c>
      <c r="G258" t="s">
        <v>149</v>
      </c>
      <c r="H258">
        <v>0.2524320241366369</v>
      </c>
      <c r="I258">
        <v>0.2524320241366369</v>
      </c>
      <c r="J258">
        <v>0</v>
      </c>
      <c r="K258">
        <v>0</v>
      </c>
      <c r="L258">
        <v>0.20288377978074434</v>
      </c>
      <c r="M258" t="s">
        <v>120</v>
      </c>
      <c r="P258">
        <v>44.125117819084132</v>
      </c>
      <c r="Q258">
        <v>0</v>
      </c>
      <c r="R258">
        <v>0</v>
      </c>
      <c r="S258">
        <v>44.125117819084132</v>
      </c>
    </row>
    <row r="259" spans="1:19" x14ac:dyDescent="0.25">
      <c r="A259" s="1">
        <v>46229</v>
      </c>
      <c r="B259" t="s">
        <v>97</v>
      </c>
      <c r="C259" t="s">
        <v>12</v>
      </c>
      <c r="D259">
        <v>0.40999887496726262</v>
      </c>
      <c r="E259" t="s">
        <v>245</v>
      </c>
      <c r="F259">
        <v>46229</v>
      </c>
      <c r="G259" t="s">
        <v>149</v>
      </c>
      <c r="H259">
        <v>8.1569160032825554</v>
      </c>
      <c r="I259">
        <v>8.1569160032825554</v>
      </c>
      <c r="J259">
        <v>0</v>
      </c>
      <c r="K259">
        <v>0</v>
      </c>
      <c r="L259">
        <v>0</v>
      </c>
      <c r="M259" t="s">
        <v>120</v>
      </c>
      <c r="P259">
        <v>1425.8289173737908</v>
      </c>
      <c r="Q259">
        <v>0</v>
      </c>
      <c r="R259">
        <v>0</v>
      </c>
      <c r="S259">
        <v>1425.8289173737908</v>
      </c>
    </row>
    <row r="260" spans="1:19" x14ac:dyDescent="0.25">
      <c r="A260" s="1">
        <v>46230</v>
      </c>
      <c r="B260" t="s">
        <v>97</v>
      </c>
      <c r="C260" t="s">
        <v>12</v>
      </c>
      <c r="D260">
        <v>2.8809254281032981</v>
      </c>
      <c r="E260" t="s">
        <v>245</v>
      </c>
      <c r="F260">
        <v>46230</v>
      </c>
      <c r="G260" t="s">
        <v>149</v>
      </c>
      <c r="H260">
        <v>0.32118253967035582</v>
      </c>
      <c r="I260">
        <v>0.32118253967035582</v>
      </c>
      <c r="J260">
        <v>0</v>
      </c>
      <c r="K260">
        <v>0</v>
      </c>
      <c r="L260">
        <v>3.0925428103298361E-2</v>
      </c>
      <c r="M260" t="s">
        <v>125</v>
      </c>
      <c r="P260">
        <v>56.142707934378194</v>
      </c>
      <c r="Q260">
        <v>0</v>
      </c>
      <c r="R260">
        <v>0</v>
      </c>
      <c r="S260">
        <v>56.142707934378194</v>
      </c>
    </row>
    <row r="261" spans="1:19" x14ac:dyDescent="0.25">
      <c r="A261" s="1">
        <v>46230</v>
      </c>
      <c r="B261" t="s">
        <v>97</v>
      </c>
      <c r="C261" t="s">
        <v>10</v>
      </c>
      <c r="D261">
        <v>0.56740915732076525</v>
      </c>
      <c r="E261" t="s">
        <v>245</v>
      </c>
      <c r="F261">
        <v>46230</v>
      </c>
      <c r="G261" t="s">
        <v>149</v>
      </c>
      <c r="H261">
        <v>7.2936313103612207</v>
      </c>
      <c r="I261">
        <v>7.2936313103612207</v>
      </c>
      <c r="J261">
        <v>0</v>
      </c>
      <c r="K261">
        <v>0</v>
      </c>
      <c r="L261">
        <v>0</v>
      </c>
      <c r="M261" t="s">
        <v>125</v>
      </c>
      <c r="P261">
        <v>1274.9267530511415</v>
      </c>
      <c r="Q261">
        <v>0</v>
      </c>
      <c r="R261">
        <v>0</v>
      </c>
      <c r="S261">
        <v>1274.9267530511415</v>
      </c>
    </row>
    <row r="262" spans="1:19" x14ac:dyDescent="0.25">
      <c r="A262" s="1">
        <v>46230</v>
      </c>
      <c r="B262" t="s">
        <v>97</v>
      </c>
      <c r="C262" t="s">
        <v>11</v>
      </c>
      <c r="D262">
        <v>5.0170914963099245</v>
      </c>
      <c r="E262" t="s">
        <v>245</v>
      </c>
      <c r="F262">
        <v>46230</v>
      </c>
      <c r="G262" t="s">
        <v>149</v>
      </c>
      <c r="H262">
        <v>0</v>
      </c>
      <c r="I262">
        <v>0</v>
      </c>
      <c r="J262">
        <v>5.0170914963099245</v>
      </c>
      <c r="K262">
        <v>5.0170914963099245</v>
      </c>
      <c r="L262">
        <v>0</v>
      </c>
      <c r="M262" t="s">
        <v>125</v>
      </c>
      <c r="P262">
        <v>0</v>
      </c>
      <c r="Q262">
        <v>0</v>
      </c>
      <c r="R262">
        <v>0</v>
      </c>
      <c r="S262">
        <v>0</v>
      </c>
    </row>
    <row r="263" spans="1:19" x14ac:dyDescent="0.25">
      <c r="A263" s="1">
        <v>46231</v>
      </c>
      <c r="B263" t="s">
        <v>97</v>
      </c>
      <c r="C263" t="s">
        <v>10</v>
      </c>
      <c r="D263">
        <v>2.0578038772166418</v>
      </c>
      <c r="E263" t="s">
        <v>245</v>
      </c>
      <c r="F263">
        <v>46231</v>
      </c>
      <c r="G263" t="s">
        <v>149</v>
      </c>
      <c r="H263">
        <v>1.2868468686657772</v>
      </c>
      <c r="I263">
        <v>1.2868468686657772</v>
      </c>
      <c r="J263">
        <v>0</v>
      </c>
      <c r="K263">
        <v>0</v>
      </c>
      <c r="L263">
        <v>0.15780387721664196</v>
      </c>
      <c r="M263" t="s">
        <v>126</v>
      </c>
      <c r="P263">
        <v>224.94083264277785</v>
      </c>
      <c r="Q263">
        <v>0</v>
      </c>
      <c r="R263">
        <v>0</v>
      </c>
      <c r="S263">
        <v>224.94083264277785</v>
      </c>
    </row>
    <row r="264" spans="1:19" x14ac:dyDescent="0.25">
      <c r="A264" s="1">
        <v>46231</v>
      </c>
      <c r="B264" t="s">
        <v>97</v>
      </c>
      <c r="C264" t="s">
        <v>12</v>
      </c>
      <c r="D264">
        <v>4.0777804772785666</v>
      </c>
      <c r="E264" t="s">
        <v>245</v>
      </c>
      <c r="F264">
        <v>46231</v>
      </c>
      <c r="G264" t="s">
        <v>149</v>
      </c>
      <c r="H264">
        <v>0</v>
      </c>
      <c r="I264">
        <v>0</v>
      </c>
      <c r="J264">
        <v>0.27155210357614429</v>
      </c>
      <c r="K264">
        <v>0.27155210357614429</v>
      </c>
      <c r="L264">
        <v>0.95622837370242286</v>
      </c>
      <c r="M264" t="s">
        <v>126</v>
      </c>
      <c r="P264">
        <v>0</v>
      </c>
      <c r="Q264">
        <v>0</v>
      </c>
      <c r="R264">
        <v>0</v>
      </c>
      <c r="S264">
        <v>0</v>
      </c>
    </row>
    <row r="265" spans="1:19" x14ac:dyDescent="0.25">
      <c r="A265" s="1">
        <v>46232</v>
      </c>
      <c r="B265" t="s">
        <v>97</v>
      </c>
      <c r="C265" t="s">
        <v>12</v>
      </c>
      <c r="D265">
        <v>2.4890348367804229</v>
      </c>
      <c r="E265" t="s">
        <v>245</v>
      </c>
      <c r="F265">
        <v>46232</v>
      </c>
      <c r="G265" t="s">
        <v>149</v>
      </c>
      <c r="H265">
        <v>0.50695562652504855</v>
      </c>
      <c r="I265">
        <v>0.50695562652504855</v>
      </c>
      <c r="J265">
        <v>0</v>
      </c>
      <c r="K265">
        <v>0</v>
      </c>
      <c r="L265">
        <v>0.58903483678042301</v>
      </c>
      <c r="M265" t="s">
        <v>127</v>
      </c>
      <c r="P265">
        <v>88.615843516578479</v>
      </c>
      <c r="Q265">
        <v>0</v>
      </c>
      <c r="R265">
        <v>0</v>
      </c>
      <c r="S265">
        <v>88.615843516578479</v>
      </c>
    </row>
    <row r="266" spans="1:19" x14ac:dyDescent="0.25">
      <c r="A266" s="1">
        <v>46232</v>
      </c>
      <c r="B266" t="s">
        <v>97</v>
      </c>
      <c r="C266" t="s">
        <v>10</v>
      </c>
      <c r="D266">
        <v>1.8923725851266759</v>
      </c>
      <c r="E266" t="s">
        <v>245</v>
      </c>
      <c r="F266">
        <v>46232</v>
      </c>
      <c r="G266" t="s">
        <v>149</v>
      </c>
      <c r="H266">
        <v>1.2353798860799474</v>
      </c>
      <c r="I266">
        <v>1.2353798860799474</v>
      </c>
      <c r="J266">
        <v>0</v>
      </c>
      <c r="K266">
        <v>0</v>
      </c>
      <c r="L266">
        <v>0</v>
      </c>
      <c r="M266" t="s">
        <v>127</v>
      </c>
      <c r="P266">
        <v>215.9444040867748</v>
      </c>
      <c r="Q266">
        <v>0</v>
      </c>
      <c r="R266">
        <v>0</v>
      </c>
      <c r="S266">
        <v>215.9444040867748</v>
      </c>
    </row>
    <row r="267" spans="1:19" x14ac:dyDescent="0.25">
      <c r="A267" s="1">
        <v>46232</v>
      </c>
      <c r="B267" t="s">
        <v>97</v>
      </c>
      <c r="C267" t="s">
        <v>11</v>
      </c>
      <c r="D267">
        <v>54.017351776936827</v>
      </c>
      <c r="E267" t="s">
        <v>245</v>
      </c>
      <c r="F267">
        <v>46232</v>
      </c>
      <c r="G267" t="s">
        <v>149</v>
      </c>
      <c r="H267">
        <v>0</v>
      </c>
      <c r="I267">
        <v>0</v>
      </c>
      <c r="J267">
        <v>54.017351776936827</v>
      </c>
      <c r="K267">
        <v>54.017351776936827</v>
      </c>
      <c r="L267">
        <v>0</v>
      </c>
      <c r="M267" t="s">
        <v>127</v>
      </c>
      <c r="P267">
        <v>0</v>
      </c>
      <c r="Q267">
        <v>0</v>
      </c>
      <c r="R267">
        <v>0</v>
      </c>
      <c r="S267">
        <v>0</v>
      </c>
    </row>
    <row r="268" spans="1:19" x14ac:dyDescent="0.25">
      <c r="A268" s="1">
        <v>46233</v>
      </c>
      <c r="B268" t="s">
        <v>97</v>
      </c>
      <c r="C268" t="s">
        <v>12</v>
      </c>
      <c r="D268">
        <v>2.8809254281032981</v>
      </c>
      <c r="E268" t="s">
        <v>245</v>
      </c>
      <c r="F268">
        <v>46233</v>
      </c>
      <c r="G268" t="s">
        <v>149</v>
      </c>
      <c r="H268">
        <v>0.32118253967035582</v>
      </c>
      <c r="I268">
        <v>0.32118253967035582</v>
      </c>
      <c r="J268">
        <v>0</v>
      </c>
      <c r="K268">
        <v>0</v>
      </c>
      <c r="L268">
        <v>3.0925428103298361E-2</v>
      </c>
      <c r="M268" t="s">
        <v>128</v>
      </c>
      <c r="P268">
        <v>56.142707934378194</v>
      </c>
      <c r="Q268">
        <v>0</v>
      </c>
      <c r="R268">
        <v>0</v>
      </c>
      <c r="S268">
        <v>56.142707934378194</v>
      </c>
    </row>
    <row r="269" spans="1:19" x14ac:dyDescent="0.25">
      <c r="A269" s="1">
        <v>46233</v>
      </c>
      <c r="B269" t="s">
        <v>97</v>
      </c>
      <c r="C269" t="s">
        <v>11</v>
      </c>
      <c r="D269">
        <v>4.1445538447777635</v>
      </c>
      <c r="E269" t="s">
        <v>245</v>
      </c>
      <c r="F269">
        <v>46233</v>
      </c>
      <c r="G269" t="s">
        <v>149</v>
      </c>
      <c r="H269">
        <v>0</v>
      </c>
      <c r="I269">
        <v>0</v>
      </c>
      <c r="J269">
        <v>4.1445538447777635</v>
      </c>
      <c r="K269">
        <v>4.1445538447777635</v>
      </c>
      <c r="L269">
        <v>0</v>
      </c>
      <c r="M269" t="s">
        <v>128</v>
      </c>
      <c r="P269">
        <v>0</v>
      </c>
      <c r="Q269">
        <v>0</v>
      </c>
      <c r="R269">
        <v>0</v>
      </c>
      <c r="S269">
        <v>0</v>
      </c>
    </row>
    <row r="270" spans="1:19" x14ac:dyDescent="0.25">
      <c r="A270" s="1">
        <v>46233</v>
      </c>
      <c r="B270" t="s">
        <v>97</v>
      </c>
      <c r="C270" t="s">
        <v>10</v>
      </c>
      <c r="D270">
        <v>0.56740915732076525</v>
      </c>
      <c r="E270" t="s">
        <v>245</v>
      </c>
      <c r="F270">
        <v>46233</v>
      </c>
      <c r="G270" t="s">
        <v>149</v>
      </c>
      <c r="H270">
        <v>7.2936313103612225</v>
      </c>
      <c r="I270">
        <v>7.2936313103612225</v>
      </c>
      <c r="J270">
        <v>0</v>
      </c>
      <c r="K270">
        <v>0</v>
      </c>
      <c r="L270">
        <v>0</v>
      </c>
      <c r="M270" t="s">
        <v>128</v>
      </c>
      <c r="P270">
        <v>1274.9267530511415</v>
      </c>
      <c r="Q270">
        <v>0</v>
      </c>
      <c r="R270">
        <v>0</v>
      </c>
      <c r="S270">
        <v>1274.9267530511415</v>
      </c>
    </row>
    <row r="271" spans="1:19" x14ac:dyDescent="0.25">
      <c r="A271" s="1">
        <v>46234</v>
      </c>
      <c r="B271" t="s">
        <v>97</v>
      </c>
      <c r="C271" t="s">
        <v>10</v>
      </c>
      <c r="D271">
        <v>1.4592922920131086</v>
      </c>
      <c r="E271" t="s">
        <v>245</v>
      </c>
      <c r="F271">
        <v>46234</v>
      </c>
      <c r="G271" t="s">
        <v>149</v>
      </c>
      <c r="H271">
        <v>1.6201258189955254</v>
      </c>
      <c r="I271">
        <v>1.6201258189955254</v>
      </c>
      <c r="J271">
        <v>0</v>
      </c>
      <c r="K271">
        <v>0</v>
      </c>
      <c r="L271">
        <v>0.50929229201310866</v>
      </c>
      <c r="M271" t="s">
        <v>129</v>
      </c>
      <c r="P271">
        <v>283.19799316041781</v>
      </c>
      <c r="Q271">
        <v>0</v>
      </c>
      <c r="R271">
        <v>0</v>
      </c>
      <c r="S271">
        <v>283.19799316041781</v>
      </c>
    </row>
    <row r="272" spans="1:19" x14ac:dyDescent="0.25">
      <c r="A272" s="1">
        <v>46234</v>
      </c>
      <c r="B272" t="s">
        <v>97</v>
      </c>
      <c r="C272" t="s">
        <v>11</v>
      </c>
      <c r="D272">
        <v>5.9577961518680347</v>
      </c>
      <c r="E272" t="s">
        <v>245</v>
      </c>
      <c r="F272">
        <v>46234</v>
      </c>
      <c r="G272" t="s">
        <v>149</v>
      </c>
      <c r="H272">
        <v>0</v>
      </c>
      <c r="I272">
        <v>0</v>
      </c>
      <c r="J272">
        <v>5.9577961518680347</v>
      </c>
      <c r="K272">
        <v>5.9577961518680347</v>
      </c>
      <c r="L272">
        <v>0</v>
      </c>
      <c r="M272" t="s">
        <v>129</v>
      </c>
      <c r="P272">
        <v>0</v>
      </c>
      <c r="Q272">
        <v>0</v>
      </c>
      <c r="R272">
        <v>0</v>
      </c>
      <c r="S272">
        <v>0</v>
      </c>
    </row>
    <row r="273" spans="1:19" x14ac:dyDescent="0.25">
      <c r="A273" s="1">
        <v>46234</v>
      </c>
      <c r="B273" t="s">
        <v>97</v>
      </c>
      <c r="C273" t="s">
        <v>12</v>
      </c>
      <c r="D273">
        <v>2.7634545383210103</v>
      </c>
      <c r="E273" t="s">
        <v>245</v>
      </c>
      <c r="F273">
        <v>46234</v>
      </c>
      <c r="G273" t="s">
        <v>149</v>
      </c>
      <c r="H273">
        <v>0.57724448583294263</v>
      </c>
      <c r="I273">
        <v>0.57724448583294263</v>
      </c>
      <c r="J273">
        <v>0</v>
      </c>
      <c r="K273">
        <v>0</v>
      </c>
      <c r="L273">
        <v>0</v>
      </c>
      <c r="M273" t="s">
        <v>129</v>
      </c>
      <c r="P273">
        <v>100.90233612359837</v>
      </c>
      <c r="Q273">
        <v>0</v>
      </c>
      <c r="R273">
        <v>0</v>
      </c>
      <c r="S273">
        <v>100.90233612359837</v>
      </c>
    </row>
    <row r="274" spans="1:19" x14ac:dyDescent="0.25">
      <c r="A274" s="1">
        <v>46235</v>
      </c>
      <c r="B274" t="s">
        <v>97</v>
      </c>
      <c r="C274" t="s">
        <v>10</v>
      </c>
      <c r="D274">
        <v>1.8005783925645611</v>
      </c>
      <c r="E274" t="s">
        <v>245</v>
      </c>
      <c r="F274">
        <v>46235</v>
      </c>
      <c r="G274" t="s">
        <v>149</v>
      </c>
      <c r="H274">
        <v>1.2856149390957878</v>
      </c>
      <c r="I274">
        <v>1.2856149390957878</v>
      </c>
      <c r="J274">
        <v>0</v>
      </c>
      <c r="K274">
        <v>0</v>
      </c>
      <c r="L274">
        <v>0</v>
      </c>
      <c r="M274" t="s">
        <v>119</v>
      </c>
      <c r="P274">
        <v>224.72549135394371</v>
      </c>
      <c r="Q274">
        <v>0</v>
      </c>
      <c r="R274">
        <v>0</v>
      </c>
      <c r="S274">
        <v>224.72549135394371</v>
      </c>
    </row>
    <row r="275" spans="1:19" x14ac:dyDescent="0.25">
      <c r="A275" s="1">
        <v>46235</v>
      </c>
      <c r="B275" t="s">
        <v>97</v>
      </c>
      <c r="C275" t="s">
        <v>12</v>
      </c>
      <c r="D275">
        <v>3.8852052481272752</v>
      </c>
      <c r="E275" t="s">
        <v>245</v>
      </c>
      <c r="F275">
        <v>46235</v>
      </c>
      <c r="G275" t="s">
        <v>149</v>
      </c>
      <c r="H275">
        <v>0</v>
      </c>
      <c r="I275">
        <v>0</v>
      </c>
      <c r="J275">
        <v>0.1343401962241608</v>
      </c>
      <c r="K275">
        <v>0.1343401962241608</v>
      </c>
      <c r="L275">
        <v>0</v>
      </c>
      <c r="M275" t="s">
        <v>119</v>
      </c>
      <c r="P275">
        <v>0</v>
      </c>
      <c r="Q275">
        <v>0</v>
      </c>
      <c r="R275">
        <v>0</v>
      </c>
      <c r="S275">
        <v>0</v>
      </c>
    </row>
    <row r="276" spans="1:19" x14ac:dyDescent="0.25">
      <c r="A276" s="1">
        <v>46236</v>
      </c>
      <c r="B276" t="s">
        <v>97</v>
      </c>
      <c r="C276" t="s">
        <v>12</v>
      </c>
      <c r="D276">
        <v>0.43650385274292386</v>
      </c>
      <c r="E276" t="s">
        <v>245</v>
      </c>
      <c r="F276">
        <v>46236</v>
      </c>
      <c r="G276" t="s">
        <v>149</v>
      </c>
      <c r="H276">
        <v>7.600898333254019</v>
      </c>
      <c r="I276">
        <v>7.600898333254019</v>
      </c>
      <c r="J276">
        <v>0</v>
      </c>
      <c r="K276">
        <v>0</v>
      </c>
      <c r="L276">
        <v>0</v>
      </c>
      <c r="M276" t="s">
        <v>120</v>
      </c>
      <c r="P276">
        <v>1328.6370286528024</v>
      </c>
      <c r="Q276">
        <v>0</v>
      </c>
      <c r="R276">
        <v>0</v>
      </c>
      <c r="S276">
        <v>1328.6370286528024</v>
      </c>
    </row>
    <row r="277" spans="1:19" x14ac:dyDescent="0.25">
      <c r="A277" s="1">
        <v>46236</v>
      </c>
      <c r="B277" t="s">
        <v>97</v>
      </c>
      <c r="C277" t="s">
        <v>10</v>
      </c>
      <c r="D277">
        <v>2.6479094008302377</v>
      </c>
      <c r="E277" t="s">
        <v>245</v>
      </c>
      <c r="F277">
        <v>46236</v>
      </c>
      <c r="G277" t="s">
        <v>149</v>
      </c>
      <c r="H277">
        <v>0.61765963799949475</v>
      </c>
      <c r="I277">
        <v>0.61765963799949475</v>
      </c>
      <c r="J277">
        <v>0</v>
      </c>
      <c r="K277">
        <v>0</v>
      </c>
      <c r="L277">
        <v>0</v>
      </c>
      <c r="M277" t="s">
        <v>120</v>
      </c>
      <c r="P277">
        <v>107.96690472231168</v>
      </c>
      <c r="Q277">
        <v>0</v>
      </c>
      <c r="R277">
        <v>0</v>
      </c>
      <c r="S277">
        <v>107.96690472231168</v>
      </c>
    </row>
    <row r="278" spans="1:19" x14ac:dyDescent="0.25">
      <c r="A278" s="1">
        <v>46236</v>
      </c>
      <c r="B278" t="s">
        <v>97</v>
      </c>
      <c r="C278" t="s">
        <v>11</v>
      </c>
      <c r="D278">
        <v>4.1813943233980098</v>
      </c>
      <c r="E278" t="s">
        <v>245</v>
      </c>
      <c r="F278">
        <v>46236</v>
      </c>
      <c r="G278" t="s">
        <v>149</v>
      </c>
      <c r="H278">
        <v>0</v>
      </c>
      <c r="I278">
        <v>0</v>
      </c>
      <c r="J278">
        <v>4.1813943233980098</v>
      </c>
      <c r="K278">
        <v>4.1813943233980098</v>
      </c>
      <c r="L278">
        <v>0</v>
      </c>
      <c r="M278" t="s">
        <v>120</v>
      </c>
      <c r="P278">
        <v>0</v>
      </c>
      <c r="Q278">
        <v>0</v>
      </c>
      <c r="R278">
        <v>0</v>
      </c>
      <c r="S278">
        <v>0</v>
      </c>
    </row>
    <row r="279" spans="1:19" x14ac:dyDescent="0.25">
      <c r="A279" s="1">
        <v>46237</v>
      </c>
      <c r="B279" t="s">
        <v>97</v>
      </c>
      <c r="C279" t="s">
        <v>12</v>
      </c>
      <c r="D279">
        <v>3.8129895371955418</v>
      </c>
      <c r="E279" t="s">
        <v>245</v>
      </c>
      <c r="F279">
        <v>46237</v>
      </c>
      <c r="G279" t="s">
        <v>149</v>
      </c>
      <c r="H279">
        <v>0</v>
      </c>
      <c r="I279">
        <v>0</v>
      </c>
      <c r="J279">
        <v>6.2124485292427256E-2</v>
      </c>
      <c r="K279">
        <v>6.2124485292427256E-2</v>
      </c>
      <c r="L279">
        <v>0</v>
      </c>
      <c r="M279" t="s">
        <v>125</v>
      </c>
      <c r="P279">
        <v>0</v>
      </c>
      <c r="Q279">
        <v>0</v>
      </c>
      <c r="R279">
        <v>0</v>
      </c>
      <c r="S279">
        <v>0</v>
      </c>
    </row>
    <row r="280" spans="1:19" x14ac:dyDescent="0.25">
      <c r="A280" s="1">
        <v>46237</v>
      </c>
      <c r="B280" t="s">
        <v>97</v>
      </c>
      <c r="C280" t="s">
        <v>11</v>
      </c>
      <c r="D280">
        <v>3.1774912809962848</v>
      </c>
      <c r="E280" t="s">
        <v>245</v>
      </c>
      <c r="F280">
        <v>46237</v>
      </c>
      <c r="G280" t="s">
        <v>149</v>
      </c>
      <c r="H280">
        <v>0</v>
      </c>
      <c r="I280">
        <v>0</v>
      </c>
      <c r="J280">
        <v>3.1774912809962848</v>
      </c>
      <c r="K280">
        <v>3.1774912809962848</v>
      </c>
      <c r="L280">
        <v>0</v>
      </c>
      <c r="M280" t="s">
        <v>125</v>
      </c>
      <c r="P280">
        <v>0</v>
      </c>
      <c r="Q280">
        <v>0</v>
      </c>
      <c r="R280">
        <v>0</v>
      </c>
      <c r="S280">
        <v>0</v>
      </c>
    </row>
    <row r="281" spans="1:19" x14ac:dyDescent="0.25">
      <c r="A281" s="1">
        <v>46237</v>
      </c>
      <c r="B281" t="s">
        <v>97</v>
      </c>
      <c r="C281" t="s">
        <v>10</v>
      </c>
      <c r="D281">
        <v>1.4404627140516488</v>
      </c>
      <c r="E281" t="s">
        <v>245</v>
      </c>
      <c r="F281">
        <v>46237</v>
      </c>
      <c r="G281" t="s">
        <v>149</v>
      </c>
      <c r="H281">
        <v>1.6135392784751756</v>
      </c>
      <c r="I281">
        <v>1.6135392784751756</v>
      </c>
      <c r="J281">
        <v>0</v>
      </c>
      <c r="K281">
        <v>0</v>
      </c>
      <c r="L281">
        <v>0.49046271405164893</v>
      </c>
      <c r="M281" t="s">
        <v>125</v>
      </c>
      <c r="P281">
        <v>282.04666587746073</v>
      </c>
      <c r="Q281">
        <v>0</v>
      </c>
      <c r="R281">
        <v>0</v>
      </c>
      <c r="S281">
        <v>282.04666587746073</v>
      </c>
    </row>
    <row r="282" spans="1:19" x14ac:dyDescent="0.25">
      <c r="A282" s="1">
        <v>46238</v>
      </c>
      <c r="B282" t="s">
        <v>97</v>
      </c>
      <c r="C282" t="s">
        <v>12</v>
      </c>
      <c r="D282">
        <v>3.4876749536649694</v>
      </c>
      <c r="E282" t="s">
        <v>245</v>
      </c>
      <c r="F282">
        <v>46238</v>
      </c>
      <c r="G282" t="s">
        <v>149</v>
      </c>
      <c r="H282">
        <v>0</v>
      </c>
      <c r="I282">
        <v>0</v>
      </c>
      <c r="J282">
        <v>0.61916284293832546</v>
      </c>
      <c r="K282">
        <v>0.61916284293832546</v>
      </c>
      <c r="L282">
        <v>1.8512110726644219E-2</v>
      </c>
      <c r="M282" t="s">
        <v>126</v>
      </c>
      <c r="P282">
        <v>0</v>
      </c>
      <c r="Q282">
        <v>0</v>
      </c>
      <c r="R282">
        <v>0</v>
      </c>
      <c r="S282">
        <v>0</v>
      </c>
    </row>
    <row r="283" spans="1:19" x14ac:dyDescent="0.25">
      <c r="A283" s="1">
        <v>46238</v>
      </c>
      <c r="B283" t="s">
        <v>97</v>
      </c>
      <c r="C283" t="s">
        <v>10</v>
      </c>
      <c r="D283">
        <v>1.8586615665182564</v>
      </c>
      <c r="E283" t="s">
        <v>245</v>
      </c>
      <c r="F283">
        <v>46238</v>
      </c>
      <c r="G283" t="s">
        <v>149</v>
      </c>
      <c r="H283">
        <v>1.2532519722490447</v>
      </c>
      <c r="I283">
        <v>1.2532519722490447</v>
      </c>
      <c r="J283">
        <v>0</v>
      </c>
      <c r="K283">
        <v>0</v>
      </c>
      <c r="L283">
        <v>0</v>
      </c>
      <c r="M283" t="s">
        <v>126</v>
      </c>
      <c r="P283">
        <v>219.06844474913302</v>
      </c>
      <c r="Q283">
        <v>0</v>
      </c>
      <c r="R283">
        <v>0</v>
      </c>
      <c r="S283">
        <v>219.06844474913302</v>
      </c>
    </row>
    <row r="284" spans="1:19" x14ac:dyDescent="0.25">
      <c r="A284" s="1">
        <v>46238</v>
      </c>
      <c r="B284" t="s">
        <v>97</v>
      </c>
      <c r="C284" t="s">
        <v>11</v>
      </c>
      <c r="D284">
        <v>50.416194991807707</v>
      </c>
      <c r="E284" t="s">
        <v>245</v>
      </c>
      <c r="F284">
        <v>46238</v>
      </c>
      <c r="G284" t="s">
        <v>149</v>
      </c>
      <c r="H284">
        <v>0</v>
      </c>
      <c r="I284">
        <v>0</v>
      </c>
      <c r="J284">
        <v>50.416194991807707</v>
      </c>
      <c r="K284">
        <v>50.416194991807707</v>
      </c>
      <c r="L284">
        <v>0</v>
      </c>
      <c r="M284" t="s">
        <v>126</v>
      </c>
      <c r="P284">
        <v>0</v>
      </c>
      <c r="Q284">
        <v>0</v>
      </c>
      <c r="R284">
        <v>0</v>
      </c>
      <c r="S284">
        <v>0</v>
      </c>
    </row>
    <row r="285" spans="1:19" x14ac:dyDescent="0.25">
      <c r="A285" s="1">
        <v>46239</v>
      </c>
      <c r="B285" t="s">
        <v>97</v>
      </c>
      <c r="C285" t="s">
        <v>10</v>
      </c>
      <c r="D285">
        <v>2.8053526625012242</v>
      </c>
      <c r="E285" t="s">
        <v>245</v>
      </c>
      <c r="F285">
        <v>46239</v>
      </c>
      <c r="G285" t="s">
        <v>149</v>
      </c>
      <c r="H285">
        <v>0.57605735976787931</v>
      </c>
      <c r="I285">
        <v>0.57605735976787931</v>
      </c>
      <c r="J285">
        <v>0</v>
      </c>
      <c r="K285">
        <v>0</v>
      </c>
      <c r="L285">
        <v>0</v>
      </c>
      <c r="M285" t="s">
        <v>127</v>
      </c>
      <c r="P285">
        <v>100.69482648742529</v>
      </c>
      <c r="Q285">
        <v>0</v>
      </c>
      <c r="R285">
        <v>0</v>
      </c>
      <c r="S285">
        <v>100.69482648742529</v>
      </c>
    </row>
    <row r="286" spans="1:19" x14ac:dyDescent="0.25">
      <c r="A286" s="1">
        <v>46239</v>
      </c>
      <c r="B286" t="s">
        <v>97</v>
      </c>
      <c r="C286" t="s">
        <v>11</v>
      </c>
      <c r="D286">
        <v>6.7521689721171034</v>
      </c>
      <c r="E286" t="s">
        <v>245</v>
      </c>
      <c r="F286">
        <v>46239</v>
      </c>
      <c r="G286" t="s">
        <v>149</v>
      </c>
      <c r="H286">
        <v>0</v>
      </c>
      <c r="I286">
        <v>0</v>
      </c>
      <c r="J286">
        <v>6.7521689721171034</v>
      </c>
      <c r="K286">
        <v>6.7521689721171034</v>
      </c>
      <c r="L286">
        <v>0</v>
      </c>
      <c r="M286" t="s">
        <v>127</v>
      </c>
      <c r="P286">
        <v>0</v>
      </c>
      <c r="Q286">
        <v>0</v>
      </c>
      <c r="R286">
        <v>0</v>
      </c>
      <c r="S286">
        <v>0</v>
      </c>
    </row>
    <row r="287" spans="1:19" x14ac:dyDescent="0.25">
      <c r="A287" s="1">
        <v>46239</v>
      </c>
      <c r="B287" t="s">
        <v>97</v>
      </c>
      <c r="C287" t="s">
        <v>12</v>
      </c>
      <c r="D287">
        <v>1.0534385508167865</v>
      </c>
      <c r="E287" t="s">
        <v>245</v>
      </c>
      <c r="F287">
        <v>46239</v>
      </c>
      <c r="G287" t="s">
        <v>149</v>
      </c>
      <c r="H287">
        <v>2.5605921664769822</v>
      </c>
      <c r="I287">
        <v>2.5605921664769822</v>
      </c>
      <c r="J287">
        <v>0</v>
      </c>
      <c r="K287">
        <v>0</v>
      </c>
      <c r="L287">
        <v>0.10343855081678657</v>
      </c>
      <c r="M287" t="s">
        <v>127</v>
      </c>
      <c r="P287">
        <v>447.59151070017646</v>
      </c>
      <c r="Q287">
        <v>0</v>
      </c>
      <c r="R287">
        <v>0</v>
      </c>
      <c r="S287">
        <v>447.59151070017646</v>
      </c>
    </row>
    <row r="288" spans="1:19" x14ac:dyDescent="0.25">
      <c r="A288" s="1">
        <v>46240</v>
      </c>
      <c r="B288" t="s">
        <v>97</v>
      </c>
      <c r="C288" t="s">
        <v>10</v>
      </c>
      <c r="D288">
        <v>1.7652729338868247</v>
      </c>
      <c r="E288" t="s">
        <v>245</v>
      </c>
      <c r="F288">
        <v>46240</v>
      </c>
      <c r="G288" t="s">
        <v>149</v>
      </c>
      <c r="H288">
        <v>1.3063272378777033</v>
      </c>
      <c r="I288">
        <v>1.3063272378777033</v>
      </c>
      <c r="J288">
        <v>0</v>
      </c>
      <c r="K288">
        <v>0</v>
      </c>
      <c r="L288">
        <v>0</v>
      </c>
      <c r="M288" t="s">
        <v>128</v>
      </c>
      <c r="P288">
        <v>228.34600118102253</v>
      </c>
      <c r="Q288">
        <v>0</v>
      </c>
      <c r="R288">
        <v>0</v>
      </c>
      <c r="S288">
        <v>228.34600118102253</v>
      </c>
    </row>
    <row r="289" spans="1:19" x14ac:dyDescent="0.25">
      <c r="A289" s="1">
        <v>46240</v>
      </c>
      <c r="B289" t="s">
        <v>97</v>
      </c>
      <c r="C289" t="s">
        <v>11</v>
      </c>
      <c r="D289">
        <v>4.5594478063819706</v>
      </c>
      <c r="E289" t="s">
        <v>245</v>
      </c>
      <c r="F289">
        <v>46240</v>
      </c>
      <c r="G289" t="s">
        <v>149</v>
      </c>
      <c r="H289">
        <v>0</v>
      </c>
      <c r="I289">
        <v>0</v>
      </c>
      <c r="J289">
        <v>4.5594478063819706</v>
      </c>
      <c r="K289">
        <v>4.5594478063819706</v>
      </c>
      <c r="L289">
        <v>0</v>
      </c>
      <c r="M289" t="s">
        <v>128</v>
      </c>
      <c r="P289">
        <v>0</v>
      </c>
      <c r="Q289">
        <v>0</v>
      </c>
      <c r="R289">
        <v>0</v>
      </c>
      <c r="S289">
        <v>0</v>
      </c>
    </row>
    <row r="290" spans="1:19" x14ac:dyDescent="0.25">
      <c r="A290" s="1">
        <v>46240</v>
      </c>
      <c r="B290" t="s">
        <v>97</v>
      </c>
      <c r="C290" t="s">
        <v>12</v>
      </c>
      <c r="D290">
        <v>0.84733100826567587</v>
      </c>
      <c r="E290" t="s">
        <v>245</v>
      </c>
      <c r="F290">
        <v>46240</v>
      </c>
      <c r="G290" t="s">
        <v>149</v>
      </c>
      <c r="H290">
        <v>3.5555146390027064</v>
      </c>
      <c r="I290">
        <v>3.5555146390027064</v>
      </c>
      <c r="J290">
        <v>0</v>
      </c>
      <c r="K290">
        <v>0</v>
      </c>
      <c r="L290">
        <v>0</v>
      </c>
      <c r="M290" t="s">
        <v>128</v>
      </c>
      <c r="P290">
        <v>621.5039588976731</v>
      </c>
      <c r="Q290">
        <v>0</v>
      </c>
      <c r="R290">
        <v>0</v>
      </c>
      <c r="S290">
        <v>621.5039588976731</v>
      </c>
    </row>
    <row r="291" spans="1:19" x14ac:dyDescent="0.25">
      <c r="A291" s="1">
        <v>46241</v>
      </c>
      <c r="B291" t="s">
        <v>97</v>
      </c>
      <c r="C291" t="s">
        <v>10</v>
      </c>
      <c r="D291">
        <v>3.6011567851291222</v>
      </c>
      <c r="E291" t="s">
        <v>245</v>
      </c>
      <c r="F291">
        <v>46241</v>
      </c>
      <c r="G291" t="s">
        <v>149</v>
      </c>
      <c r="H291">
        <v>4.541571139007039E-2</v>
      </c>
      <c r="I291">
        <v>4.541571139007039E-2</v>
      </c>
      <c r="J291">
        <v>0</v>
      </c>
      <c r="K291">
        <v>0</v>
      </c>
      <c r="L291">
        <v>0</v>
      </c>
      <c r="M291" t="s">
        <v>129</v>
      </c>
      <c r="P291">
        <v>7.9386663509843034</v>
      </c>
      <c r="Q291">
        <v>0</v>
      </c>
      <c r="R291">
        <v>0</v>
      </c>
      <c r="S291">
        <v>7.9386663509843034</v>
      </c>
    </row>
    <row r="292" spans="1:19" x14ac:dyDescent="0.25">
      <c r="A292" s="1">
        <v>46241</v>
      </c>
      <c r="B292" t="s">
        <v>97</v>
      </c>
      <c r="C292" t="s">
        <v>12</v>
      </c>
      <c r="D292">
        <v>3.1774912809962848</v>
      </c>
      <c r="E292" t="s">
        <v>245</v>
      </c>
      <c r="F292">
        <v>46241</v>
      </c>
      <c r="G292" t="s">
        <v>149</v>
      </c>
      <c r="H292">
        <v>0.18044857411128801</v>
      </c>
      <c r="I292">
        <v>0.18044857411128801</v>
      </c>
      <c r="J292">
        <v>0</v>
      </c>
      <c r="K292">
        <v>0</v>
      </c>
      <c r="L292">
        <v>0.32749128099628511</v>
      </c>
      <c r="M292" t="s">
        <v>129</v>
      </c>
      <c r="P292">
        <v>31.54241075465314</v>
      </c>
      <c r="Q292">
        <v>0</v>
      </c>
      <c r="R292">
        <v>0</v>
      </c>
      <c r="S292">
        <v>31.54241075465314</v>
      </c>
    </row>
    <row r="293" spans="1:19" x14ac:dyDescent="0.25">
      <c r="A293" s="1">
        <v>46242</v>
      </c>
      <c r="B293" t="s">
        <v>97</v>
      </c>
      <c r="C293" t="s">
        <v>11</v>
      </c>
      <c r="D293">
        <v>0.22696366292830608</v>
      </c>
      <c r="E293" t="s">
        <v>245</v>
      </c>
      <c r="F293">
        <v>46242</v>
      </c>
      <c r="G293" t="s">
        <v>149</v>
      </c>
      <c r="H293">
        <v>0</v>
      </c>
      <c r="I293">
        <v>0</v>
      </c>
      <c r="J293">
        <v>0.22696366292830608</v>
      </c>
      <c r="K293">
        <v>0.22696366292830608</v>
      </c>
      <c r="L293">
        <v>0</v>
      </c>
      <c r="M293" t="s">
        <v>119</v>
      </c>
      <c r="P293">
        <v>0</v>
      </c>
      <c r="Q293">
        <v>0</v>
      </c>
      <c r="R293">
        <v>0</v>
      </c>
      <c r="S293">
        <v>0</v>
      </c>
    </row>
    <row r="294" spans="1:19" x14ac:dyDescent="0.25">
      <c r="A294" s="1">
        <v>46242</v>
      </c>
      <c r="B294" t="s">
        <v>97</v>
      </c>
      <c r="C294" t="s">
        <v>12</v>
      </c>
      <c r="D294">
        <v>4.289613229344984</v>
      </c>
      <c r="E294" t="s">
        <v>245</v>
      </c>
      <c r="F294">
        <v>46242</v>
      </c>
      <c r="G294" t="s">
        <v>149</v>
      </c>
      <c r="H294">
        <v>0</v>
      </c>
      <c r="I294">
        <v>0</v>
      </c>
      <c r="J294">
        <v>0.53874817744186942</v>
      </c>
      <c r="K294">
        <v>0.53874817744186942</v>
      </c>
      <c r="L294">
        <v>0</v>
      </c>
      <c r="M294" t="s">
        <v>119</v>
      </c>
      <c r="P294">
        <v>0</v>
      </c>
      <c r="Q294">
        <v>0</v>
      </c>
      <c r="R294">
        <v>0</v>
      </c>
      <c r="S294">
        <v>0</v>
      </c>
    </row>
    <row r="295" spans="1:19" x14ac:dyDescent="0.25">
      <c r="A295" s="1">
        <v>46243</v>
      </c>
      <c r="B295" t="s">
        <v>97</v>
      </c>
      <c r="C295" t="s">
        <v>10</v>
      </c>
      <c r="D295">
        <v>19.488613190110549</v>
      </c>
      <c r="E295" t="s">
        <v>245</v>
      </c>
      <c r="F295">
        <v>46243</v>
      </c>
      <c r="G295" t="s">
        <v>149</v>
      </c>
      <c r="H295">
        <v>0</v>
      </c>
      <c r="I295">
        <v>0</v>
      </c>
      <c r="J295">
        <v>15.723907307757608</v>
      </c>
      <c r="K295">
        <v>15.723907307757608</v>
      </c>
      <c r="L295">
        <v>0.91470588235293948</v>
      </c>
      <c r="M295" t="s">
        <v>120</v>
      </c>
      <c r="P295">
        <v>0</v>
      </c>
      <c r="Q295">
        <v>0</v>
      </c>
      <c r="R295">
        <v>0</v>
      </c>
      <c r="S295">
        <v>0</v>
      </c>
    </row>
    <row r="296" spans="1:19" x14ac:dyDescent="0.25">
      <c r="A296" s="1">
        <v>46244</v>
      </c>
      <c r="B296" t="s">
        <v>97</v>
      </c>
      <c r="C296" t="s">
        <v>12</v>
      </c>
      <c r="D296">
        <v>4.4908543438080812</v>
      </c>
      <c r="E296" t="s">
        <v>245</v>
      </c>
      <c r="F296">
        <v>46244</v>
      </c>
      <c r="G296" t="s">
        <v>149</v>
      </c>
      <c r="H296">
        <v>0</v>
      </c>
      <c r="I296">
        <v>0</v>
      </c>
      <c r="J296">
        <v>0.73998929190496709</v>
      </c>
      <c r="K296">
        <v>0.73998929190496709</v>
      </c>
      <c r="L296">
        <v>0</v>
      </c>
      <c r="M296" t="s">
        <v>125</v>
      </c>
      <c r="P296">
        <v>0</v>
      </c>
      <c r="Q296">
        <v>0</v>
      </c>
      <c r="R296">
        <v>0</v>
      </c>
      <c r="S296">
        <v>0</v>
      </c>
    </row>
    <row r="297" spans="1:19" x14ac:dyDescent="0.25">
      <c r="A297" s="1">
        <v>46244</v>
      </c>
      <c r="B297" t="s">
        <v>97</v>
      </c>
      <c r="C297" t="s">
        <v>11</v>
      </c>
      <c r="D297">
        <v>3.1774912809962848</v>
      </c>
      <c r="E297" t="s">
        <v>245</v>
      </c>
      <c r="F297">
        <v>46244</v>
      </c>
      <c r="G297" t="s">
        <v>149</v>
      </c>
      <c r="H297">
        <v>0</v>
      </c>
      <c r="I297">
        <v>0</v>
      </c>
      <c r="J297">
        <v>3.1774912809962848</v>
      </c>
      <c r="K297">
        <v>3.1774912809962848</v>
      </c>
      <c r="L297">
        <v>0</v>
      </c>
      <c r="M297" t="s">
        <v>125</v>
      </c>
      <c r="P297">
        <v>0</v>
      </c>
      <c r="Q297">
        <v>0</v>
      </c>
      <c r="R297">
        <v>0</v>
      </c>
      <c r="S297">
        <v>0</v>
      </c>
    </row>
    <row r="298" spans="1:19" x14ac:dyDescent="0.25">
      <c r="A298" s="1">
        <v>46245</v>
      </c>
      <c r="B298" t="s">
        <v>97</v>
      </c>
      <c r="C298" t="s">
        <v>10</v>
      </c>
      <c r="D298">
        <v>1.9722359675149352</v>
      </c>
      <c r="E298" t="s">
        <v>245</v>
      </c>
      <c r="F298">
        <v>46245</v>
      </c>
      <c r="G298" t="s">
        <v>149</v>
      </c>
      <c r="H298">
        <v>0.90885165079742447</v>
      </c>
      <c r="I298">
        <v>0.90885165079742447</v>
      </c>
      <c r="J298">
        <v>0</v>
      </c>
      <c r="K298">
        <v>0</v>
      </c>
      <c r="L298">
        <v>7.223596751493537E-2</v>
      </c>
      <c r="M298" t="s">
        <v>126</v>
      </c>
      <c r="P298">
        <v>158.86726855938977</v>
      </c>
      <c r="Q298">
        <v>0</v>
      </c>
      <c r="R298">
        <v>0</v>
      </c>
      <c r="S298">
        <v>158.86726855938977</v>
      </c>
    </row>
    <row r="299" spans="1:19" x14ac:dyDescent="0.25">
      <c r="A299" s="1">
        <v>46245</v>
      </c>
      <c r="B299" t="s">
        <v>97</v>
      </c>
      <c r="C299" t="s">
        <v>12</v>
      </c>
      <c r="D299">
        <v>2.9905800291729743</v>
      </c>
      <c r="E299" t="s">
        <v>245</v>
      </c>
      <c r="F299">
        <v>46245</v>
      </c>
      <c r="G299" t="s">
        <v>149</v>
      </c>
      <c r="H299">
        <v>0.25422660999324331</v>
      </c>
      <c r="I299">
        <v>0.25422660999324331</v>
      </c>
      <c r="J299">
        <v>0</v>
      </c>
      <c r="K299">
        <v>0</v>
      </c>
      <c r="L299">
        <v>0.14058002917297452</v>
      </c>
      <c r="M299" t="s">
        <v>126</v>
      </c>
      <c r="P299">
        <v>44.43881142681893</v>
      </c>
      <c r="Q299">
        <v>0</v>
      </c>
      <c r="R299">
        <v>0</v>
      </c>
      <c r="S299">
        <v>44.43881142681893</v>
      </c>
    </row>
    <row r="300" spans="1:19" x14ac:dyDescent="0.25">
      <c r="A300" s="1">
        <v>46245</v>
      </c>
      <c r="B300" t="s">
        <v>97</v>
      </c>
      <c r="C300" t="s">
        <v>11</v>
      </c>
      <c r="D300">
        <v>50.416194991807707</v>
      </c>
      <c r="E300" t="s">
        <v>245</v>
      </c>
      <c r="F300">
        <v>46245</v>
      </c>
      <c r="G300" t="s">
        <v>149</v>
      </c>
      <c r="H300">
        <v>0</v>
      </c>
      <c r="I300">
        <v>0</v>
      </c>
      <c r="J300">
        <v>50.416194991807707</v>
      </c>
      <c r="K300">
        <v>50.416194991807707</v>
      </c>
      <c r="L300">
        <v>0</v>
      </c>
      <c r="M300" t="s">
        <v>126</v>
      </c>
      <c r="P300">
        <v>0</v>
      </c>
      <c r="Q300">
        <v>0</v>
      </c>
      <c r="R300">
        <v>0</v>
      </c>
      <c r="S300">
        <v>0</v>
      </c>
    </row>
    <row r="301" spans="1:19" x14ac:dyDescent="0.25">
      <c r="A301" s="1">
        <v>46246</v>
      </c>
      <c r="B301" t="s">
        <v>97</v>
      </c>
      <c r="C301" t="s">
        <v>10</v>
      </c>
      <c r="D301">
        <v>1.9064947685977705</v>
      </c>
      <c r="E301" t="s">
        <v>245</v>
      </c>
      <c r="F301">
        <v>46246</v>
      </c>
      <c r="G301" t="s">
        <v>149</v>
      </c>
      <c r="H301">
        <v>0.97467412151457733</v>
      </c>
      <c r="I301">
        <v>0.97467412151457733</v>
      </c>
      <c r="J301">
        <v>0</v>
      </c>
      <c r="K301">
        <v>0</v>
      </c>
      <c r="L301">
        <v>6.4947685977704518E-3</v>
      </c>
      <c r="M301" t="s">
        <v>127</v>
      </c>
      <c r="P301">
        <v>170.37303644074811</v>
      </c>
      <c r="Q301">
        <v>0</v>
      </c>
      <c r="R301">
        <v>0</v>
      </c>
      <c r="S301">
        <v>170.37303644074811</v>
      </c>
    </row>
    <row r="302" spans="1:19" x14ac:dyDescent="0.25">
      <c r="A302" s="1">
        <v>46246</v>
      </c>
      <c r="B302" t="s">
        <v>97</v>
      </c>
      <c r="C302" t="s">
        <v>11</v>
      </c>
      <c r="D302">
        <v>108.03470355387364</v>
      </c>
      <c r="E302" t="s">
        <v>245</v>
      </c>
      <c r="F302">
        <v>46246</v>
      </c>
      <c r="G302" t="s">
        <v>149</v>
      </c>
      <c r="H302">
        <v>0</v>
      </c>
      <c r="I302">
        <v>0</v>
      </c>
      <c r="J302">
        <v>108.03470355387364</v>
      </c>
      <c r="K302">
        <v>108.03470355387364</v>
      </c>
      <c r="L302">
        <v>0</v>
      </c>
      <c r="M302" t="s">
        <v>127</v>
      </c>
      <c r="P302">
        <v>0</v>
      </c>
      <c r="Q302">
        <v>0</v>
      </c>
      <c r="R302">
        <v>0</v>
      </c>
      <c r="S302">
        <v>0</v>
      </c>
    </row>
    <row r="303" spans="1:19" x14ac:dyDescent="0.25">
      <c r="A303" s="1">
        <v>46246</v>
      </c>
      <c r="B303" t="s">
        <v>97</v>
      </c>
      <c r="C303" t="s">
        <v>12</v>
      </c>
      <c r="D303">
        <v>3.0009639876076024</v>
      </c>
      <c r="E303" t="s">
        <v>245</v>
      </c>
      <c r="F303">
        <v>46246</v>
      </c>
      <c r="G303" t="s">
        <v>149</v>
      </c>
      <c r="H303">
        <v>0.24988672552959912</v>
      </c>
      <c r="I303">
        <v>0.24988672552959912</v>
      </c>
      <c r="J303">
        <v>0</v>
      </c>
      <c r="K303">
        <v>0</v>
      </c>
      <c r="L303">
        <v>0.15096398760760277</v>
      </c>
      <c r="M303" t="s">
        <v>127</v>
      </c>
      <c r="P303">
        <v>43.680199622573923</v>
      </c>
      <c r="Q303">
        <v>0</v>
      </c>
      <c r="R303">
        <v>0</v>
      </c>
      <c r="S303">
        <v>43.680199622573923</v>
      </c>
    </row>
    <row r="304" spans="1:19" x14ac:dyDescent="0.25">
      <c r="A304" s="1">
        <v>46247</v>
      </c>
      <c r="B304" t="s">
        <v>97</v>
      </c>
      <c r="C304" t="s">
        <v>12</v>
      </c>
      <c r="D304">
        <v>0.52958188016604746</v>
      </c>
      <c r="E304" t="s">
        <v>245</v>
      </c>
      <c r="F304">
        <v>46247</v>
      </c>
      <c r="G304" t="s">
        <v>149</v>
      </c>
      <c r="H304">
        <v>6.082691444667728</v>
      </c>
      <c r="I304">
        <v>6.082691444667728</v>
      </c>
      <c r="J304">
        <v>0</v>
      </c>
      <c r="K304">
        <v>0</v>
      </c>
      <c r="L304">
        <v>0</v>
      </c>
      <c r="M304" t="s">
        <v>128</v>
      </c>
      <c r="P304">
        <v>1063.2544645279188</v>
      </c>
      <c r="Q304">
        <v>0</v>
      </c>
      <c r="R304">
        <v>0</v>
      </c>
      <c r="S304">
        <v>1063.2544645279188</v>
      </c>
    </row>
    <row r="305" spans="1:19" x14ac:dyDescent="0.25">
      <c r="A305" s="1">
        <v>46247</v>
      </c>
      <c r="B305" t="s">
        <v>97</v>
      </c>
      <c r="C305" t="s">
        <v>11</v>
      </c>
      <c r="D305">
        <v>52.21677338437226</v>
      </c>
      <c r="E305" t="s">
        <v>245</v>
      </c>
      <c r="F305">
        <v>46247</v>
      </c>
      <c r="G305" t="s">
        <v>149</v>
      </c>
      <c r="H305">
        <v>0</v>
      </c>
      <c r="I305">
        <v>0</v>
      </c>
      <c r="J305">
        <v>52.21677338437226</v>
      </c>
      <c r="K305">
        <v>52.21677338437226</v>
      </c>
      <c r="L305">
        <v>0</v>
      </c>
      <c r="M305" t="s">
        <v>128</v>
      </c>
      <c r="P305">
        <v>0</v>
      </c>
      <c r="Q305">
        <v>0</v>
      </c>
      <c r="R305">
        <v>0</v>
      </c>
      <c r="S305">
        <v>0</v>
      </c>
    </row>
    <row r="306" spans="1:19" x14ac:dyDescent="0.25">
      <c r="A306" s="1">
        <v>46247</v>
      </c>
      <c r="B306" t="s">
        <v>97</v>
      </c>
      <c r="C306" t="s">
        <v>10</v>
      </c>
      <c r="D306">
        <v>2.6039928546701252</v>
      </c>
      <c r="E306" t="s">
        <v>245</v>
      </c>
      <c r="F306">
        <v>46247</v>
      </c>
      <c r="G306" t="s">
        <v>149</v>
      </c>
      <c r="H306">
        <v>0.60127050395413439</v>
      </c>
      <c r="I306">
        <v>0.60127050395413439</v>
      </c>
      <c r="J306">
        <v>0</v>
      </c>
      <c r="K306">
        <v>0</v>
      </c>
      <c r="L306">
        <v>0</v>
      </c>
      <c r="M306" t="s">
        <v>128</v>
      </c>
      <c r="P306">
        <v>105.10208409118269</v>
      </c>
      <c r="Q306">
        <v>0</v>
      </c>
      <c r="R306">
        <v>0</v>
      </c>
      <c r="S306">
        <v>105.10208409118269</v>
      </c>
    </row>
    <row r="307" spans="1:19" x14ac:dyDescent="0.25">
      <c r="A307" s="1">
        <v>46248</v>
      </c>
      <c r="B307" t="s">
        <v>97</v>
      </c>
      <c r="C307" t="s">
        <v>12</v>
      </c>
      <c r="D307">
        <v>1.7090235590443288</v>
      </c>
      <c r="E307" t="s">
        <v>245</v>
      </c>
      <c r="F307">
        <v>46248</v>
      </c>
      <c r="G307" t="s">
        <v>149</v>
      </c>
      <c r="H307">
        <v>1.3329956334470323</v>
      </c>
      <c r="I307">
        <v>1.3329956334470323</v>
      </c>
      <c r="J307">
        <v>0</v>
      </c>
      <c r="K307">
        <v>0</v>
      </c>
      <c r="L307">
        <v>0</v>
      </c>
      <c r="M307" t="s">
        <v>129</v>
      </c>
      <c r="P307">
        <v>233.00763672654125</v>
      </c>
      <c r="Q307">
        <v>0</v>
      </c>
      <c r="R307">
        <v>0</v>
      </c>
      <c r="S307">
        <v>233.00763672654125</v>
      </c>
    </row>
    <row r="308" spans="1:19" x14ac:dyDescent="0.25">
      <c r="A308" s="1">
        <v>46248</v>
      </c>
      <c r="B308" t="s">
        <v>97</v>
      </c>
      <c r="C308" t="s">
        <v>10</v>
      </c>
      <c r="D308">
        <v>3.2870599458582261</v>
      </c>
      <c r="E308" t="s">
        <v>245</v>
      </c>
      <c r="F308">
        <v>46248</v>
      </c>
      <c r="G308" t="s">
        <v>149</v>
      </c>
      <c r="H308">
        <v>0.14531099047845442</v>
      </c>
      <c r="I308">
        <v>0.14531099047845442</v>
      </c>
      <c r="J308">
        <v>0</v>
      </c>
      <c r="K308">
        <v>0</v>
      </c>
      <c r="L308">
        <v>0.43705994585822661</v>
      </c>
      <c r="M308" t="s">
        <v>129</v>
      </c>
      <c r="P308">
        <v>25.400361135633833</v>
      </c>
      <c r="Q308">
        <v>0</v>
      </c>
      <c r="R308">
        <v>0</v>
      </c>
      <c r="S308">
        <v>25.400361135633833</v>
      </c>
    </row>
    <row r="309" spans="1:19" x14ac:dyDescent="0.25">
      <c r="A309" s="1">
        <v>46248</v>
      </c>
      <c r="B309" t="s">
        <v>97</v>
      </c>
      <c r="C309" t="s">
        <v>11</v>
      </c>
      <c r="D309">
        <v>47.874201967010691</v>
      </c>
      <c r="E309" t="s">
        <v>245</v>
      </c>
      <c r="F309">
        <v>46248</v>
      </c>
      <c r="G309" t="s">
        <v>149</v>
      </c>
      <c r="H309">
        <v>0</v>
      </c>
      <c r="I309">
        <v>0</v>
      </c>
      <c r="J309">
        <v>47.874201967010691</v>
      </c>
      <c r="K309">
        <v>47.874201967010691</v>
      </c>
      <c r="L309">
        <v>0</v>
      </c>
      <c r="M309" t="s">
        <v>129</v>
      </c>
      <c r="P309">
        <v>0</v>
      </c>
      <c r="Q309">
        <v>0</v>
      </c>
      <c r="R309">
        <v>0</v>
      </c>
      <c r="S309">
        <v>0</v>
      </c>
    </row>
    <row r="310" spans="1:19" x14ac:dyDescent="0.25">
      <c r="A310" s="1">
        <v>46249</v>
      </c>
      <c r="B310" t="s">
        <v>97</v>
      </c>
      <c r="C310" t="s">
        <v>11</v>
      </c>
      <c r="D310">
        <v>3.2304494690128895</v>
      </c>
      <c r="E310" t="s">
        <v>245</v>
      </c>
      <c r="F310">
        <v>46249</v>
      </c>
      <c r="G310" t="s">
        <v>149</v>
      </c>
      <c r="H310">
        <v>0</v>
      </c>
      <c r="I310">
        <v>0</v>
      </c>
      <c r="J310">
        <v>3.2304494690128895</v>
      </c>
      <c r="K310">
        <v>3.2304494690128895</v>
      </c>
      <c r="L310">
        <v>0</v>
      </c>
      <c r="M310" t="s">
        <v>119</v>
      </c>
      <c r="P310">
        <v>0</v>
      </c>
      <c r="Q310">
        <v>0</v>
      </c>
      <c r="R310">
        <v>0</v>
      </c>
      <c r="S310">
        <v>0</v>
      </c>
    </row>
    <row r="311" spans="1:19" x14ac:dyDescent="0.25">
      <c r="A311" s="1">
        <v>46249</v>
      </c>
      <c r="B311" t="s">
        <v>97</v>
      </c>
      <c r="C311" t="s">
        <v>12</v>
      </c>
      <c r="D311">
        <v>24.191300285985047</v>
      </c>
      <c r="E311" t="s">
        <v>245</v>
      </c>
      <c r="F311">
        <v>46249</v>
      </c>
      <c r="G311" t="s">
        <v>149</v>
      </c>
      <c r="H311">
        <v>0</v>
      </c>
      <c r="I311">
        <v>0</v>
      </c>
      <c r="J311">
        <v>20.436975026469476</v>
      </c>
      <c r="K311">
        <v>20.436975026469476</v>
      </c>
      <c r="L311">
        <v>0</v>
      </c>
      <c r="M311" t="s">
        <v>119</v>
      </c>
      <c r="P311">
        <v>0</v>
      </c>
      <c r="Q311">
        <v>0</v>
      </c>
      <c r="R311">
        <v>0</v>
      </c>
      <c r="S311">
        <v>0</v>
      </c>
    </row>
    <row r="312" spans="1:19" x14ac:dyDescent="0.25">
      <c r="A312" s="1">
        <v>46250</v>
      </c>
      <c r="B312" t="s">
        <v>97</v>
      </c>
      <c r="C312" t="s">
        <v>11</v>
      </c>
      <c r="D312">
        <v>50.416194991807707</v>
      </c>
      <c r="E312" t="s">
        <v>245</v>
      </c>
      <c r="F312">
        <v>46250</v>
      </c>
      <c r="G312" t="s">
        <v>149</v>
      </c>
      <c r="H312">
        <v>0</v>
      </c>
      <c r="I312">
        <v>0</v>
      </c>
      <c r="J312">
        <v>50.416194991807707</v>
      </c>
      <c r="K312">
        <v>50.416194991807707</v>
      </c>
      <c r="L312">
        <v>0</v>
      </c>
      <c r="M312" t="s">
        <v>120</v>
      </c>
      <c r="P312">
        <v>0</v>
      </c>
      <c r="Q312">
        <v>0</v>
      </c>
      <c r="R312">
        <v>0</v>
      </c>
      <c r="S312">
        <v>0</v>
      </c>
    </row>
    <row r="313" spans="1:19" x14ac:dyDescent="0.25">
      <c r="A313" s="1">
        <v>46250</v>
      </c>
      <c r="B313" t="s">
        <v>97</v>
      </c>
      <c r="C313" t="s">
        <v>10</v>
      </c>
      <c r="D313">
        <v>2.9528201803197791</v>
      </c>
      <c r="E313" t="s">
        <v>245</v>
      </c>
      <c r="F313">
        <v>46250</v>
      </c>
      <c r="G313" t="s">
        <v>149</v>
      </c>
      <c r="H313">
        <v>0.27495263932571601</v>
      </c>
      <c r="I313">
        <v>0.27495263932571601</v>
      </c>
      <c r="J313">
        <v>0</v>
      </c>
      <c r="K313">
        <v>0</v>
      </c>
      <c r="L313">
        <v>0.10282018031977956</v>
      </c>
      <c r="M313" t="s">
        <v>120</v>
      </c>
      <c r="P313">
        <v>48.061721354135159</v>
      </c>
      <c r="Q313">
        <v>0</v>
      </c>
      <c r="R313">
        <v>0</v>
      </c>
      <c r="S313">
        <v>48.061721354135159</v>
      </c>
    </row>
    <row r="314" spans="1:19" x14ac:dyDescent="0.25">
      <c r="A314" s="1">
        <v>46223</v>
      </c>
      <c r="B314" t="s">
        <v>97</v>
      </c>
      <c r="C314" t="s">
        <v>12</v>
      </c>
      <c r="D314">
        <v>1.6250606163159054</v>
      </c>
      <c r="E314" t="s">
        <v>246</v>
      </c>
      <c r="F314">
        <v>46223</v>
      </c>
      <c r="G314" t="s">
        <v>149</v>
      </c>
      <c r="H314">
        <v>0</v>
      </c>
      <c r="I314">
        <v>0</v>
      </c>
      <c r="J314">
        <v>0.80153120455119931</v>
      </c>
      <c r="K314">
        <v>0.80153120455119931</v>
      </c>
      <c r="L314">
        <v>0</v>
      </c>
      <c r="M314" t="s">
        <v>125</v>
      </c>
      <c r="P314">
        <v>0</v>
      </c>
      <c r="Q314">
        <v>0</v>
      </c>
      <c r="R314">
        <v>0</v>
      </c>
      <c r="S314">
        <v>0</v>
      </c>
    </row>
    <row r="315" spans="1:19" x14ac:dyDescent="0.25">
      <c r="A315" s="1">
        <v>46223</v>
      </c>
      <c r="B315" t="s">
        <v>97</v>
      </c>
      <c r="C315" t="s">
        <v>11</v>
      </c>
      <c r="D315">
        <v>4.2056218107841624E-2</v>
      </c>
      <c r="E315" t="s">
        <v>246</v>
      </c>
      <c r="F315">
        <v>46223</v>
      </c>
      <c r="G315" t="s">
        <v>149</v>
      </c>
      <c r="H315">
        <v>0</v>
      </c>
      <c r="I315">
        <v>0</v>
      </c>
      <c r="J315">
        <v>4.2056218107841624E-2</v>
      </c>
      <c r="K315">
        <v>4.2056218107841624E-2</v>
      </c>
      <c r="L315">
        <v>0</v>
      </c>
      <c r="M315" t="s">
        <v>125</v>
      </c>
      <c r="P315">
        <v>0</v>
      </c>
      <c r="Q315">
        <v>0</v>
      </c>
      <c r="R315">
        <v>0</v>
      </c>
      <c r="S315">
        <v>0</v>
      </c>
    </row>
    <row r="316" spans="1:19" x14ac:dyDescent="0.25">
      <c r="A316" s="1">
        <v>46223</v>
      </c>
      <c r="B316" t="s">
        <v>97</v>
      </c>
      <c r="C316" t="s">
        <v>10</v>
      </c>
      <c r="D316">
        <v>1.6621192523988011</v>
      </c>
      <c r="E316" t="s">
        <v>246</v>
      </c>
      <c r="F316">
        <v>46223</v>
      </c>
      <c r="G316" t="s">
        <v>149</v>
      </c>
      <c r="H316">
        <v>0</v>
      </c>
      <c r="I316">
        <v>0</v>
      </c>
      <c r="J316">
        <v>1.6621192523988011</v>
      </c>
      <c r="K316">
        <v>1.6621192523988011</v>
      </c>
      <c r="L316">
        <v>0</v>
      </c>
      <c r="M316" t="s">
        <v>125</v>
      </c>
      <c r="P316">
        <v>0</v>
      </c>
      <c r="Q316">
        <v>0</v>
      </c>
      <c r="R316">
        <v>0</v>
      </c>
      <c r="S316">
        <v>0</v>
      </c>
    </row>
    <row r="317" spans="1:19" x14ac:dyDescent="0.25">
      <c r="A317" s="1">
        <v>46224</v>
      </c>
      <c r="B317" t="s">
        <v>97</v>
      </c>
      <c r="C317" t="s">
        <v>12</v>
      </c>
      <c r="D317">
        <v>1.6792293035264356</v>
      </c>
      <c r="E317" t="s">
        <v>246</v>
      </c>
      <c r="F317">
        <v>46224</v>
      </c>
      <c r="G317" t="s">
        <v>149</v>
      </c>
      <c r="H317">
        <v>0</v>
      </c>
      <c r="I317">
        <v>0</v>
      </c>
      <c r="J317">
        <v>0.85569989176173</v>
      </c>
      <c r="K317">
        <v>0.85569989176173</v>
      </c>
      <c r="L317">
        <v>0</v>
      </c>
      <c r="M317" t="s">
        <v>126</v>
      </c>
      <c r="P317">
        <v>0</v>
      </c>
      <c r="Q317">
        <v>0</v>
      </c>
      <c r="R317">
        <v>0</v>
      </c>
      <c r="S317">
        <v>0</v>
      </c>
    </row>
    <row r="318" spans="1:19" x14ac:dyDescent="0.25">
      <c r="A318" s="1">
        <v>46224</v>
      </c>
      <c r="B318" t="s">
        <v>97</v>
      </c>
      <c r="C318" t="s">
        <v>11</v>
      </c>
      <c r="D318">
        <v>0</v>
      </c>
      <c r="E318" t="s">
        <v>246</v>
      </c>
      <c r="F318">
        <v>46224</v>
      </c>
      <c r="G318" t="s">
        <v>149</v>
      </c>
      <c r="H318">
        <v>0</v>
      </c>
      <c r="I318">
        <v>0</v>
      </c>
      <c r="J318">
        <v>0</v>
      </c>
      <c r="K318">
        <v>0</v>
      </c>
      <c r="L318">
        <v>0</v>
      </c>
      <c r="M318" t="s">
        <v>126</v>
      </c>
      <c r="P318">
        <v>0</v>
      </c>
      <c r="Q318">
        <v>0</v>
      </c>
      <c r="R318">
        <v>0</v>
      </c>
      <c r="S318">
        <v>0</v>
      </c>
    </row>
    <row r="319" spans="1:19" x14ac:dyDescent="0.25">
      <c r="A319" s="1">
        <v>46224</v>
      </c>
      <c r="B319" t="s">
        <v>97</v>
      </c>
      <c r="C319" t="s">
        <v>10</v>
      </c>
      <c r="D319">
        <v>1.6286087836004384</v>
      </c>
      <c r="E319" t="s">
        <v>246</v>
      </c>
      <c r="F319">
        <v>46224</v>
      </c>
      <c r="G319" t="s">
        <v>149</v>
      </c>
      <c r="H319">
        <v>0</v>
      </c>
      <c r="I319">
        <v>0</v>
      </c>
      <c r="J319">
        <v>1.6286087836004384</v>
      </c>
      <c r="K319">
        <v>1.6286087836004384</v>
      </c>
      <c r="L319">
        <v>0</v>
      </c>
      <c r="M319" t="s">
        <v>126</v>
      </c>
      <c r="P319">
        <v>0</v>
      </c>
      <c r="Q319">
        <v>0</v>
      </c>
      <c r="R319">
        <v>0</v>
      </c>
      <c r="S319">
        <v>0</v>
      </c>
    </row>
    <row r="320" spans="1:19" x14ac:dyDescent="0.25">
      <c r="A320" s="1">
        <v>46225</v>
      </c>
      <c r="B320" t="s">
        <v>97</v>
      </c>
      <c r="C320" t="s">
        <v>11</v>
      </c>
      <c r="D320">
        <v>6.1342353630668395E-2</v>
      </c>
      <c r="E320" t="s">
        <v>246</v>
      </c>
      <c r="F320">
        <v>46225</v>
      </c>
      <c r="G320" t="s">
        <v>149</v>
      </c>
      <c r="H320">
        <v>0</v>
      </c>
      <c r="I320">
        <v>0</v>
      </c>
      <c r="J320">
        <v>6.1342353630668395E-2</v>
      </c>
      <c r="K320">
        <v>6.1342353630668395E-2</v>
      </c>
      <c r="L320">
        <v>0</v>
      </c>
      <c r="M320" t="s">
        <v>127</v>
      </c>
      <c r="P320">
        <v>0</v>
      </c>
      <c r="Q320">
        <v>0</v>
      </c>
      <c r="R320">
        <v>0</v>
      </c>
      <c r="S320">
        <v>0</v>
      </c>
    </row>
    <row r="321" spans="1:19" x14ac:dyDescent="0.25">
      <c r="A321" s="1">
        <v>46225</v>
      </c>
      <c r="B321" t="s">
        <v>97</v>
      </c>
      <c r="C321" t="s">
        <v>12</v>
      </c>
      <c r="D321">
        <v>1.7289553896161232</v>
      </c>
      <c r="E321" t="s">
        <v>246</v>
      </c>
      <c r="F321">
        <v>46225</v>
      </c>
      <c r="G321" t="s">
        <v>149</v>
      </c>
      <c r="H321">
        <v>0</v>
      </c>
      <c r="I321">
        <v>0</v>
      </c>
      <c r="J321">
        <v>0.90542597785141743</v>
      </c>
      <c r="K321">
        <v>0.90542597785141743</v>
      </c>
      <c r="L321">
        <v>0</v>
      </c>
      <c r="M321" t="s">
        <v>127</v>
      </c>
      <c r="P321">
        <v>0</v>
      </c>
      <c r="Q321">
        <v>0</v>
      </c>
      <c r="R321">
        <v>0</v>
      </c>
      <c r="S321">
        <v>0</v>
      </c>
    </row>
    <row r="322" spans="1:19" x14ac:dyDescent="0.25">
      <c r="A322" s="1">
        <v>46225</v>
      </c>
      <c r="B322" t="s">
        <v>97</v>
      </c>
      <c r="C322" t="s">
        <v>10</v>
      </c>
      <c r="D322">
        <v>1.6361486390800699</v>
      </c>
      <c r="E322" t="s">
        <v>246</v>
      </c>
      <c r="F322">
        <v>46225</v>
      </c>
      <c r="G322" t="s">
        <v>149</v>
      </c>
      <c r="H322">
        <v>0</v>
      </c>
      <c r="I322">
        <v>0</v>
      </c>
      <c r="J322">
        <v>1.6361486390800699</v>
      </c>
      <c r="K322">
        <v>1.6361486390800699</v>
      </c>
      <c r="L322">
        <v>0</v>
      </c>
      <c r="M322" t="s">
        <v>127</v>
      </c>
      <c r="P322">
        <v>0</v>
      </c>
      <c r="Q322">
        <v>0</v>
      </c>
      <c r="R322">
        <v>0</v>
      </c>
      <c r="S322">
        <v>0</v>
      </c>
    </row>
    <row r="323" spans="1:19" x14ac:dyDescent="0.25">
      <c r="A323" s="1">
        <v>46226</v>
      </c>
      <c r="B323" t="s">
        <v>97</v>
      </c>
      <c r="C323" t="s">
        <v>12</v>
      </c>
      <c r="D323">
        <v>0.82672297729608268</v>
      </c>
      <c r="E323" t="s">
        <v>246</v>
      </c>
      <c r="F323">
        <v>46226</v>
      </c>
      <c r="G323" t="s">
        <v>149</v>
      </c>
      <c r="H323">
        <v>0</v>
      </c>
      <c r="I323">
        <v>0</v>
      </c>
      <c r="J323">
        <v>0.82672297729608268</v>
      </c>
      <c r="K323">
        <v>0.82672297729608268</v>
      </c>
      <c r="L323">
        <v>0</v>
      </c>
      <c r="M323" t="s">
        <v>128</v>
      </c>
      <c r="P323">
        <v>0</v>
      </c>
      <c r="Q323">
        <v>0</v>
      </c>
      <c r="R323">
        <v>0</v>
      </c>
      <c r="S323">
        <v>0</v>
      </c>
    </row>
    <row r="324" spans="1:19" x14ac:dyDescent="0.25">
      <c r="A324" s="1">
        <v>46226</v>
      </c>
      <c r="B324" t="s">
        <v>97</v>
      </c>
      <c r="C324" t="s">
        <v>10</v>
      </c>
      <c r="D324">
        <v>1.4770513524468336</v>
      </c>
      <c r="E324" t="s">
        <v>246</v>
      </c>
      <c r="F324">
        <v>46226</v>
      </c>
      <c r="G324" t="s">
        <v>149</v>
      </c>
      <c r="H324">
        <v>0</v>
      </c>
      <c r="I324">
        <v>0</v>
      </c>
      <c r="J324">
        <v>1.4770513524468336</v>
      </c>
      <c r="K324">
        <v>1.4770513524468336</v>
      </c>
      <c r="L324">
        <v>0</v>
      </c>
      <c r="M324" t="s">
        <v>128</v>
      </c>
      <c r="P324">
        <v>0</v>
      </c>
      <c r="Q324">
        <v>0</v>
      </c>
      <c r="R324">
        <v>0</v>
      </c>
      <c r="S324">
        <v>0</v>
      </c>
    </row>
    <row r="325" spans="1:19" x14ac:dyDescent="0.25">
      <c r="A325" s="1">
        <v>46226</v>
      </c>
      <c r="B325" t="s">
        <v>97</v>
      </c>
      <c r="C325" t="s">
        <v>11</v>
      </c>
      <c r="D325">
        <v>1.5320479453570881</v>
      </c>
      <c r="E325" t="s">
        <v>246</v>
      </c>
      <c r="F325">
        <v>46226</v>
      </c>
      <c r="G325" t="s">
        <v>149</v>
      </c>
      <c r="H325">
        <v>0</v>
      </c>
      <c r="I325">
        <v>0</v>
      </c>
      <c r="J325">
        <v>1.5320479453570881</v>
      </c>
      <c r="K325">
        <v>1.5320479453570881</v>
      </c>
      <c r="L325">
        <v>0</v>
      </c>
      <c r="M325" t="s">
        <v>128</v>
      </c>
      <c r="P325">
        <v>0</v>
      </c>
      <c r="Q325">
        <v>0</v>
      </c>
      <c r="R325">
        <v>0</v>
      </c>
      <c r="S325">
        <v>0</v>
      </c>
    </row>
    <row r="326" spans="1:19" x14ac:dyDescent="0.25">
      <c r="A326" s="1">
        <v>46227</v>
      </c>
      <c r="B326" t="s">
        <v>97</v>
      </c>
      <c r="C326" t="s">
        <v>12</v>
      </c>
      <c r="D326">
        <v>0.93101375140930731</v>
      </c>
      <c r="E326" t="s">
        <v>246</v>
      </c>
      <c r="F326">
        <v>46227</v>
      </c>
      <c r="G326" t="s">
        <v>149</v>
      </c>
      <c r="H326">
        <v>0</v>
      </c>
      <c r="I326">
        <v>0</v>
      </c>
      <c r="J326">
        <v>0.93101375140930731</v>
      </c>
      <c r="K326">
        <v>0.93101375140930731</v>
      </c>
      <c r="L326">
        <v>0</v>
      </c>
      <c r="M326" t="s">
        <v>129</v>
      </c>
      <c r="P326">
        <v>0</v>
      </c>
      <c r="Q326">
        <v>0</v>
      </c>
      <c r="R326">
        <v>0</v>
      </c>
      <c r="S326">
        <v>0</v>
      </c>
    </row>
    <row r="327" spans="1:19" x14ac:dyDescent="0.25">
      <c r="A327" s="1">
        <v>46227</v>
      </c>
      <c r="B327" t="s">
        <v>97</v>
      </c>
      <c r="C327" t="s">
        <v>11</v>
      </c>
      <c r="D327">
        <v>1.4299114156666155</v>
      </c>
      <c r="E327" t="s">
        <v>246</v>
      </c>
      <c r="F327">
        <v>46227</v>
      </c>
      <c r="G327" t="s">
        <v>149</v>
      </c>
      <c r="H327">
        <v>0</v>
      </c>
      <c r="I327">
        <v>0</v>
      </c>
      <c r="J327">
        <v>1.4299114156666155</v>
      </c>
      <c r="K327">
        <v>1.4299114156666155</v>
      </c>
      <c r="L327">
        <v>0</v>
      </c>
      <c r="M327" t="s">
        <v>129</v>
      </c>
      <c r="P327">
        <v>0</v>
      </c>
      <c r="Q327">
        <v>0</v>
      </c>
      <c r="R327">
        <v>0</v>
      </c>
      <c r="S327">
        <v>0</v>
      </c>
    </row>
    <row r="328" spans="1:19" x14ac:dyDescent="0.25">
      <c r="A328" s="1">
        <v>46227</v>
      </c>
      <c r="B328" t="s">
        <v>97</v>
      </c>
      <c r="C328" t="s">
        <v>10</v>
      </c>
      <c r="D328">
        <v>0</v>
      </c>
      <c r="E328" t="s">
        <v>246</v>
      </c>
      <c r="F328">
        <v>46227</v>
      </c>
      <c r="G328" t="s">
        <v>149</v>
      </c>
      <c r="H328">
        <v>0</v>
      </c>
      <c r="I328">
        <v>0</v>
      </c>
      <c r="J328">
        <v>0</v>
      </c>
      <c r="K328">
        <v>0</v>
      </c>
      <c r="L328">
        <v>0</v>
      </c>
      <c r="M328" t="s">
        <v>129</v>
      </c>
      <c r="P328">
        <v>0</v>
      </c>
      <c r="Q328">
        <v>0</v>
      </c>
      <c r="R328">
        <v>0</v>
      </c>
      <c r="S328">
        <v>0</v>
      </c>
    </row>
    <row r="329" spans="1:19" x14ac:dyDescent="0.25">
      <c r="A329" s="1">
        <v>46228</v>
      </c>
      <c r="B329" t="s">
        <v>97</v>
      </c>
      <c r="C329" t="s">
        <v>11</v>
      </c>
      <c r="D329">
        <v>0</v>
      </c>
      <c r="E329" t="s">
        <v>246</v>
      </c>
      <c r="F329">
        <v>46228</v>
      </c>
      <c r="G329" t="s">
        <v>149</v>
      </c>
      <c r="H329">
        <v>0</v>
      </c>
      <c r="I329">
        <v>0</v>
      </c>
      <c r="J329">
        <v>0</v>
      </c>
      <c r="K329">
        <v>0</v>
      </c>
      <c r="L329">
        <v>0</v>
      </c>
      <c r="M329" t="s">
        <v>119</v>
      </c>
      <c r="P329">
        <v>0</v>
      </c>
      <c r="Q329">
        <v>0</v>
      </c>
      <c r="R329">
        <v>0</v>
      </c>
      <c r="S329">
        <v>0</v>
      </c>
    </row>
    <row r="330" spans="1:19" x14ac:dyDescent="0.25">
      <c r="A330" s="1">
        <v>46228</v>
      </c>
      <c r="B330" t="s">
        <v>97</v>
      </c>
      <c r="C330" t="s">
        <v>12</v>
      </c>
      <c r="D330">
        <v>1.8306008782984693</v>
      </c>
      <c r="E330" t="s">
        <v>246</v>
      </c>
      <c r="F330">
        <v>46228</v>
      </c>
      <c r="G330" t="s">
        <v>149</v>
      </c>
      <c r="H330">
        <v>0</v>
      </c>
      <c r="I330">
        <v>0</v>
      </c>
      <c r="J330">
        <v>1.8306008782984693</v>
      </c>
      <c r="K330">
        <v>1.8306008782984693</v>
      </c>
      <c r="L330">
        <v>0</v>
      </c>
      <c r="M330" t="s">
        <v>119</v>
      </c>
      <c r="P330">
        <v>0</v>
      </c>
      <c r="Q330">
        <v>0</v>
      </c>
      <c r="R330">
        <v>0</v>
      </c>
      <c r="S330">
        <v>0</v>
      </c>
    </row>
    <row r="331" spans="1:19" x14ac:dyDescent="0.25">
      <c r="A331" s="1">
        <v>46228</v>
      </c>
      <c r="B331" t="s">
        <v>97</v>
      </c>
      <c r="C331" t="s">
        <v>10</v>
      </c>
      <c r="D331">
        <v>0.4674710397371627</v>
      </c>
      <c r="E331" t="s">
        <v>246</v>
      </c>
      <c r="F331">
        <v>46228</v>
      </c>
      <c r="G331" t="s">
        <v>149</v>
      </c>
      <c r="H331">
        <v>0</v>
      </c>
      <c r="I331">
        <v>0</v>
      </c>
      <c r="J331">
        <v>0.4674710397371627</v>
      </c>
      <c r="K331">
        <v>0.4674710397371627</v>
      </c>
      <c r="L331">
        <v>0</v>
      </c>
      <c r="M331" t="s">
        <v>119</v>
      </c>
      <c r="P331">
        <v>0</v>
      </c>
      <c r="Q331">
        <v>0</v>
      </c>
      <c r="R331">
        <v>0</v>
      </c>
      <c r="S331">
        <v>0</v>
      </c>
    </row>
    <row r="332" spans="1:19" x14ac:dyDescent="0.25">
      <c r="A332" s="1">
        <v>46229</v>
      </c>
      <c r="B332" t="s">
        <v>97</v>
      </c>
      <c r="C332" t="s">
        <v>12</v>
      </c>
      <c r="D332">
        <v>1.4299114156666153</v>
      </c>
      <c r="E332" t="s">
        <v>246</v>
      </c>
      <c r="F332">
        <v>46229</v>
      </c>
      <c r="G332" t="s">
        <v>149</v>
      </c>
      <c r="H332">
        <v>0</v>
      </c>
      <c r="I332">
        <v>0</v>
      </c>
      <c r="J332">
        <v>1.4299114156666153</v>
      </c>
      <c r="K332">
        <v>1.4299114156666153</v>
      </c>
      <c r="L332">
        <v>0</v>
      </c>
      <c r="M332" t="s">
        <v>120</v>
      </c>
      <c r="P332">
        <v>0</v>
      </c>
      <c r="Q332">
        <v>0</v>
      </c>
      <c r="R332">
        <v>0</v>
      </c>
      <c r="S332">
        <v>0</v>
      </c>
    </row>
    <row r="333" spans="1:19" x14ac:dyDescent="0.25">
      <c r="A333" s="1">
        <v>46229</v>
      </c>
      <c r="B333" t="s">
        <v>97</v>
      </c>
      <c r="C333" t="s">
        <v>10</v>
      </c>
      <c r="D333">
        <v>1.8698841589486512</v>
      </c>
      <c r="E333" t="s">
        <v>246</v>
      </c>
      <c r="F333">
        <v>46229</v>
      </c>
      <c r="G333" t="s">
        <v>149</v>
      </c>
      <c r="H333">
        <v>0</v>
      </c>
      <c r="I333">
        <v>0</v>
      </c>
      <c r="J333">
        <v>1.8698841589486512</v>
      </c>
      <c r="K333">
        <v>1.8698841589486512</v>
      </c>
      <c r="L333">
        <v>0</v>
      </c>
      <c r="M333" t="s">
        <v>120</v>
      </c>
      <c r="P333">
        <v>0</v>
      </c>
      <c r="Q333">
        <v>0</v>
      </c>
      <c r="R333">
        <v>0</v>
      </c>
      <c r="S333">
        <v>0</v>
      </c>
    </row>
    <row r="334" spans="1:19" x14ac:dyDescent="0.25">
      <c r="A334" s="1">
        <v>46229</v>
      </c>
      <c r="B334" t="s">
        <v>97</v>
      </c>
      <c r="C334" t="s">
        <v>11</v>
      </c>
      <c r="D334">
        <v>0</v>
      </c>
      <c r="E334" t="s">
        <v>246</v>
      </c>
      <c r="F334">
        <v>46229</v>
      </c>
      <c r="G334" t="s">
        <v>149</v>
      </c>
      <c r="H334">
        <v>0</v>
      </c>
      <c r="I334">
        <v>0</v>
      </c>
      <c r="J334">
        <v>0</v>
      </c>
      <c r="K334">
        <v>0</v>
      </c>
      <c r="L334">
        <v>0</v>
      </c>
      <c r="M334" t="s">
        <v>120</v>
      </c>
      <c r="P334">
        <v>0</v>
      </c>
      <c r="Q334">
        <v>0</v>
      </c>
      <c r="R334">
        <v>0</v>
      </c>
      <c r="S334">
        <v>0</v>
      </c>
    </row>
    <row r="335" spans="1:19" x14ac:dyDescent="0.25">
      <c r="A335" s="1">
        <v>46230</v>
      </c>
      <c r="B335" t="s">
        <v>97</v>
      </c>
      <c r="C335" t="s">
        <v>11</v>
      </c>
      <c r="D335">
        <v>1.6361486390800697</v>
      </c>
      <c r="E335" t="s">
        <v>246</v>
      </c>
      <c r="F335">
        <v>46230</v>
      </c>
      <c r="G335" t="s">
        <v>149</v>
      </c>
      <c r="H335">
        <v>0</v>
      </c>
      <c r="I335">
        <v>0</v>
      </c>
      <c r="J335">
        <v>1.6361486390800697</v>
      </c>
      <c r="K335">
        <v>1.6361486390800697</v>
      </c>
      <c r="L335">
        <v>0</v>
      </c>
      <c r="M335" t="s">
        <v>125</v>
      </c>
      <c r="P335">
        <v>0</v>
      </c>
      <c r="Q335">
        <v>0</v>
      </c>
      <c r="R335">
        <v>0</v>
      </c>
      <c r="S335">
        <v>0</v>
      </c>
    </row>
    <row r="336" spans="1:19" x14ac:dyDescent="0.25">
      <c r="A336" s="1">
        <v>46230</v>
      </c>
      <c r="B336" t="s">
        <v>97</v>
      </c>
      <c r="C336" t="s">
        <v>12</v>
      </c>
      <c r="D336">
        <v>1.2710323694814361</v>
      </c>
      <c r="E336" t="s">
        <v>246</v>
      </c>
      <c r="F336">
        <v>46230</v>
      </c>
      <c r="G336" t="s">
        <v>149</v>
      </c>
      <c r="H336">
        <v>0</v>
      </c>
      <c r="I336">
        <v>0</v>
      </c>
      <c r="J336">
        <v>1.2710323694814361</v>
      </c>
      <c r="K336">
        <v>1.2710323694814361</v>
      </c>
      <c r="L336">
        <v>0</v>
      </c>
      <c r="M336" t="s">
        <v>125</v>
      </c>
      <c r="P336">
        <v>0</v>
      </c>
      <c r="Q336">
        <v>0</v>
      </c>
      <c r="R336">
        <v>0</v>
      </c>
      <c r="S336">
        <v>0</v>
      </c>
    </row>
    <row r="337" spans="1:19" x14ac:dyDescent="0.25">
      <c r="A337" s="1">
        <v>46230</v>
      </c>
      <c r="B337" t="s">
        <v>97</v>
      </c>
      <c r="C337" t="s">
        <v>10</v>
      </c>
      <c r="D337">
        <v>1.0370786091647981</v>
      </c>
      <c r="E337" t="s">
        <v>246</v>
      </c>
      <c r="F337">
        <v>46230</v>
      </c>
      <c r="G337" t="s">
        <v>149</v>
      </c>
      <c r="H337">
        <v>0</v>
      </c>
      <c r="I337">
        <v>0</v>
      </c>
      <c r="J337">
        <v>1.0370786091647981</v>
      </c>
      <c r="K337">
        <v>1.0370786091647981</v>
      </c>
      <c r="L337">
        <v>0</v>
      </c>
      <c r="M337" t="s">
        <v>125</v>
      </c>
      <c r="P337">
        <v>0</v>
      </c>
      <c r="Q337">
        <v>0</v>
      </c>
      <c r="R337">
        <v>0</v>
      </c>
      <c r="S337">
        <v>0</v>
      </c>
    </row>
    <row r="338" spans="1:19" x14ac:dyDescent="0.25">
      <c r="A338" s="1">
        <v>46231</v>
      </c>
      <c r="B338" t="s">
        <v>97</v>
      </c>
      <c r="C338" t="s">
        <v>12</v>
      </c>
      <c r="D338">
        <v>1.0213652969047251</v>
      </c>
      <c r="E338" t="s">
        <v>246</v>
      </c>
      <c r="F338">
        <v>46231</v>
      </c>
      <c r="G338" t="s">
        <v>149</v>
      </c>
      <c r="H338">
        <v>0</v>
      </c>
      <c r="I338">
        <v>0</v>
      </c>
      <c r="J338">
        <v>1.0213652969047251</v>
      </c>
      <c r="K338">
        <v>1.0213652969047251</v>
      </c>
      <c r="L338">
        <v>0</v>
      </c>
      <c r="M338" t="s">
        <v>126</v>
      </c>
      <c r="P338">
        <v>0</v>
      </c>
      <c r="Q338">
        <v>0</v>
      </c>
      <c r="R338">
        <v>0</v>
      </c>
      <c r="S338">
        <v>0</v>
      </c>
    </row>
    <row r="339" spans="1:19" x14ac:dyDescent="0.25">
      <c r="A339" s="1">
        <v>46231</v>
      </c>
      <c r="B339" t="s">
        <v>97</v>
      </c>
      <c r="C339" t="s">
        <v>10</v>
      </c>
      <c r="D339">
        <v>2.0741572183295962</v>
      </c>
      <c r="E339" t="s">
        <v>246</v>
      </c>
      <c r="F339">
        <v>46231</v>
      </c>
      <c r="G339" t="s">
        <v>149</v>
      </c>
      <c r="H339">
        <v>0</v>
      </c>
      <c r="I339">
        <v>0</v>
      </c>
      <c r="J339">
        <v>2.0741572183295962</v>
      </c>
      <c r="K339">
        <v>2.0741572183295962</v>
      </c>
      <c r="L339">
        <v>0</v>
      </c>
      <c r="M339" t="s">
        <v>126</v>
      </c>
      <c r="P339">
        <v>0</v>
      </c>
      <c r="Q339">
        <v>0</v>
      </c>
      <c r="R339">
        <v>0</v>
      </c>
      <c r="S339">
        <v>0</v>
      </c>
    </row>
    <row r="340" spans="1:19" x14ac:dyDescent="0.25">
      <c r="A340" s="1">
        <v>46232</v>
      </c>
      <c r="B340" t="s">
        <v>97</v>
      </c>
      <c r="C340" t="s">
        <v>12</v>
      </c>
      <c r="D340">
        <v>0.28998203534497796</v>
      </c>
      <c r="E340" t="s">
        <v>246</v>
      </c>
      <c r="F340">
        <v>46232</v>
      </c>
      <c r="G340" t="s">
        <v>149</v>
      </c>
      <c r="H340">
        <v>0</v>
      </c>
      <c r="I340">
        <v>0</v>
      </c>
      <c r="J340">
        <v>0.28998203534497796</v>
      </c>
      <c r="K340">
        <v>0.28998203534497796</v>
      </c>
      <c r="L340">
        <v>0</v>
      </c>
      <c r="M340" t="s">
        <v>127</v>
      </c>
      <c r="P340">
        <v>0</v>
      </c>
      <c r="Q340">
        <v>0</v>
      </c>
      <c r="R340">
        <v>0</v>
      </c>
      <c r="S340">
        <v>0</v>
      </c>
    </row>
    <row r="341" spans="1:19" x14ac:dyDescent="0.25">
      <c r="A341" s="1">
        <v>46232</v>
      </c>
      <c r="B341" t="s">
        <v>97</v>
      </c>
      <c r="C341" t="s">
        <v>11</v>
      </c>
      <c r="D341">
        <v>1.8878638143231563</v>
      </c>
      <c r="E341" t="s">
        <v>246</v>
      </c>
      <c r="F341">
        <v>46232</v>
      </c>
      <c r="G341" t="s">
        <v>149</v>
      </c>
      <c r="H341">
        <v>0</v>
      </c>
      <c r="I341">
        <v>0</v>
      </c>
      <c r="J341">
        <v>1.8878638143231563</v>
      </c>
      <c r="K341">
        <v>1.8878638143231563</v>
      </c>
      <c r="L341">
        <v>0</v>
      </c>
      <c r="M341" t="s">
        <v>127</v>
      </c>
      <c r="P341">
        <v>0</v>
      </c>
      <c r="Q341">
        <v>0</v>
      </c>
      <c r="R341">
        <v>0</v>
      </c>
      <c r="S341">
        <v>0</v>
      </c>
    </row>
    <row r="342" spans="1:19" x14ac:dyDescent="0.25">
      <c r="A342" s="1">
        <v>46232</v>
      </c>
      <c r="B342" t="s">
        <v>97</v>
      </c>
      <c r="C342" t="s">
        <v>10</v>
      </c>
      <c r="D342">
        <v>1.464087869832273</v>
      </c>
      <c r="E342" t="s">
        <v>246</v>
      </c>
      <c r="F342">
        <v>46232</v>
      </c>
      <c r="G342" t="s">
        <v>149</v>
      </c>
      <c r="H342">
        <v>0</v>
      </c>
      <c r="I342">
        <v>0</v>
      </c>
      <c r="J342">
        <v>1.464087869832273</v>
      </c>
      <c r="K342">
        <v>1.464087869832273</v>
      </c>
      <c r="L342">
        <v>0</v>
      </c>
      <c r="M342" t="s">
        <v>127</v>
      </c>
      <c r="P342">
        <v>0</v>
      </c>
      <c r="Q342">
        <v>0</v>
      </c>
      <c r="R342">
        <v>0</v>
      </c>
      <c r="S342">
        <v>0</v>
      </c>
    </row>
    <row r="343" spans="1:19" x14ac:dyDescent="0.25">
      <c r="A343" s="1">
        <v>46233</v>
      </c>
      <c r="B343" t="s">
        <v>97</v>
      </c>
      <c r="C343" t="s">
        <v>12</v>
      </c>
      <c r="D343">
        <v>0.4747074335411437</v>
      </c>
      <c r="E343" t="s">
        <v>246</v>
      </c>
      <c r="F343">
        <v>46233</v>
      </c>
      <c r="G343" t="s">
        <v>149</v>
      </c>
      <c r="H343">
        <v>0.83013413980526551</v>
      </c>
      <c r="I343">
        <v>0.83013413980526551</v>
      </c>
      <c r="J343">
        <v>0</v>
      </c>
      <c r="K343">
        <v>0</v>
      </c>
      <c r="L343">
        <v>0</v>
      </c>
      <c r="M343" t="s">
        <v>128</v>
      </c>
      <c r="P343">
        <v>145.10744763796041</v>
      </c>
      <c r="Q343">
        <v>0</v>
      </c>
      <c r="R343">
        <v>0</v>
      </c>
      <c r="S343">
        <v>145.10744763796041</v>
      </c>
    </row>
    <row r="344" spans="1:19" x14ac:dyDescent="0.25">
      <c r="A344" s="1">
        <v>46233</v>
      </c>
      <c r="B344" t="s">
        <v>97</v>
      </c>
      <c r="C344" t="s">
        <v>10</v>
      </c>
      <c r="D344">
        <v>1.3199182298461063</v>
      </c>
      <c r="E344" t="s">
        <v>246</v>
      </c>
      <c r="F344">
        <v>46233</v>
      </c>
      <c r="G344" t="s">
        <v>149</v>
      </c>
      <c r="H344">
        <v>0</v>
      </c>
      <c r="I344">
        <v>0</v>
      </c>
      <c r="J344">
        <v>1.3199182298461063</v>
      </c>
      <c r="K344">
        <v>1.3199182298461063</v>
      </c>
      <c r="L344">
        <v>0</v>
      </c>
      <c r="M344" t="s">
        <v>128</v>
      </c>
      <c r="P344">
        <v>0</v>
      </c>
      <c r="Q344">
        <v>0</v>
      </c>
      <c r="R344">
        <v>0</v>
      </c>
      <c r="S344">
        <v>0</v>
      </c>
    </row>
    <row r="345" spans="1:19" x14ac:dyDescent="0.25">
      <c r="A345" s="1">
        <v>46233</v>
      </c>
      <c r="B345" t="s">
        <v>97</v>
      </c>
      <c r="C345" t="s">
        <v>11</v>
      </c>
      <c r="D345">
        <v>2.3373551986858141</v>
      </c>
      <c r="E345" t="s">
        <v>246</v>
      </c>
      <c r="F345">
        <v>46233</v>
      </c>
      <c r="G345" t="s">
        <v>149</v>
      </c>
      <c r="H345">
        <v>0</v>
      </c>
      <c r="I345">
        <v>0</v>
      </c>
      <c r="J345">
        <v>1.4142782756088912</v>
      </c>
      <c r="K345">
        <v>1.4142782756088912</v>
      </c>
      <c r="L345">
        <v>0</v>
      </c>
      <c r="M345" t="s">
        <v>128</v>
      </c>
      <c r="P345">
        <v>0</v>
      </c>
      <c r="Q345">
        <v>0</v>
      </c>
      <c r="R345">
        <v>0</v>
      </c>
      <c r="S345">
        <v>0</v>
      </c>
    </row>
    <row r="346" spans="1:19" x14ac:dyDescent="0.25">
      <c r="A346" s="1">
        <v>46234</v>
      </c>
      <c r="B346" t="s">
        <v>97</v>
      </c>
      <c r="C346" t="s">
        <v>11</v>
      </c>
      <c r="D346">
        <v>2.3373551986858141</v>
      </c>
      <c r="E346" t="s">
        <v>246</v>
      </c>
      <c r="F346">
        <v>46234</v>
      </c>
      <c r="G346" t="s">
        <v>149</v>
      </c>
      <c r="H346">
        <v>0</v>
      </c>
      <c r="I346">
        <v>0</v>
      </c>
      <c r="J346">
        <v>1.4142782756088912</v>
      </c>
      <c r="K346">
        <v>1.4142782756088912</v>
      </c>
      <c r="L346">
        <v>0.9230769230769228</v>
      </c>
      <c r="M346" t="s">
        <v>129</v>
      </c>
      <c r="P346">
        <v>0</v>
      </c>
      <c r="Q346">
        <v>0</v>
      </c>
      <c r="R346">
        <v>0</v>
      </c>
      <c r="S346">
        <v>0</v>
      </c>
    </row>
    <row r="347" spans="1:19" x14ac:dyDescent="0.25">
      <c r="A347" s="1">
        <v>46234</v>
      </c>
      <c r="B347" t="s">
        <v>97</v>
      </c>
      <c r="C347" t="s">
        <v>12</v>
      </c>
      <c r="D347">
        <v>0.25998389375756648</v>
      </c>
      <c r="E347" t="s">
        <v>246</v>
      </c>
      <c r="F347">
        <v>46234</v>
      </c>
      <c r="G347" t="s">
        <v>149</v>
      </c>
      <c r="H347">
        <v>2.7593696728084884</v>
      </c>
      <c r="I347">
        <v>2.7593696728084884</v>
      </c>
      <c r="J347">
        <v>0</v>
      </c>
      <c r="K347">
        <v>0</v>
      </c>
      <c r="L347">
        <v>0</v>
      </c>
      <c r="M347" t="s">
        <v>129</v>
      </c>
      <c r="P347">
        <v>482.33781880692374</v>
      </c>
      <c r="Q347">
        <v>0</v>
      </c>
      <c r="R347">
        <v>0</v>
      </c>
      <c r="S347">
        <v>482.33781880692374</v>
      </c>
    </row>
    <row r="348" spans="1:19" x14ac:dyDescent="0.25">
      <c r="A348" s="1">
        <v>46234</v>
      </c>
      <c r="B348" t="s">
        <v>97</v>
      </c>
      <c r="C348" t="s">
        <v>10</v>
      </c>
      <c r="D348">
        <v>1.3702008290783394</v>
      </c>
      <c r="E348" t="s">
        <v>246</v>
      </c>
      <c r="F348">
        <v>46234</v>
      </c>
      <c r="G348" t="s">
        <v>149</v>
      </c>
      <c r="H348">
        <v>0</v>
      </c>
      <c r="I348">
        <v>0</v>
      </c>
      <c r="J348">
        <v>0.44712390600141644</v>
      </c>
      <c r="K348">
        <v>0.44712390600141644</v>
      </c>
      <c r="L348">
        <v>0</v>
      </c>
      <c r="M348" t="s">
        <v>129</v>
      </c>
      <c r="P348">
        <v>0</v>
      </c>
      <c r="Q348">
        <v>0</v>
      </c>
      <c r="R348">
        <v>0</v>
      </c>
      <c r="S348">
        <v>0</v>
      </c>
    </row>
    <row r="349" spans="1:19" x14ac:dyDescent="0.25">
      <c r="A349" s="1">
        <v>46235</v>
      </c>
      <c r="B349" t="s">
        <v>97</v>
      </c>
      <c r="C349" t="s">
        <v>11</v>
      </c>
      <c r="D349">
        <v>1.9343629230503288</v>
      </c>
      <c r="E349" t="s">
        <v>246</v>
      </c>
      <c r="F349">
        <v>46235</v>
      </c>
      <c r="G349" t="s">
        <v>149</v>
      </c>
      <c r="H349">
        <v>0</v>
      </c>
      <c r="I349">
        <v>0</v>
      </c>
      <c r="J349">
        <v>1.0112859999734058</v>
      </c>
      <c r="K349">
        <v>1.0112859999734058</v>
      </c>
      <c r="L349">
        <v>0</v>
      </c>
      <c r="M349" t="s">
        <v>119</v>
      </c>
      <c r="P349">
        <v>0</v>
      </c>
      <c r="Q349">
        <v>0</v>
      </c>
      <c r="R349">
        <v>0</v>
      </c>
      <c r="S349">
        <v>0</v>
      </c>
    </row>
    <row r="350" spans="1:19" x14ac:dyDescent="0.25">
      <c r="A350" s="1">
        <v>46235</v>
      </c>
      <c r="B350" t="s">
        <v>97</v>
      </c>
      <c r="C350" t="s">
        <v>10</v>
      </c>
      <c r="D350">
        <v>1.3457989794509324</v>
      </c>
      <c r="E350" t="s">
        <v>246</v>
      </c>
      <c r="F350">
        <v>46235</v>
      </c>
      <c r="G350" t="s">
        <v>149</v>
      </c>
      <c r="H350">
        <v>0</v>
      </c>
      <c r="I350">
        <v>0</v>
      </c>
      <c r="J350">
        <v>0.42272205637400945</v>
      </c>
      <c r="K350">
        <v>0.42272205637400945</v>
      </c>
      <c r="L350">
        <v>0</v>
      </c>
      <c r="M350" t="s">
        <v>119</v>
      </c>
      <c r="P350">
        <v>0</v>
      </c>
      <c r="Q350">
        <v>0</v>
      </c>
      <c r="R350">
        <v>0</v>
      </c>
      <c r="S350">
        <v>0</v>
      </c>
    </row>
    <row r="351" spans="1:19" x14ac:dyDescent="0.25">
      <c r="A351" s="1">
        <v>46235</v>
      </c>
      <c r="B351" t="s">
        <v>97</v>
      </c>
      <c r="C351" t="s">
        <v>12</v>
      </c>
      <c r="D351">
        <v>0.2337355198685814</v>
      </c>
      <c r="E351" t="s">
        <v>246</v>
      </c>
      <c r="F351">
        <v>46235</v>
      </c>
      <c r="G351" t="s">
        <v>149</v>
      </c>
      <c r="H351">
        <v>2.9492368280008363</v>
      </c>
      <c r="I351">
        <v>2.9492368280008363</v>
      </c>
      <c r="J351">
        <v>0</v>
      </c>
      <c r="K351">
        <v>0</v>
      </c>
      <c r="L351">
        <v>0</v>
      </c>
      <c r="M351" t="s">
        <v>119</v>
      </c>
      <c r="P351">
        <v>515.52659753454611</v>
      </c>
      <c r="Q351">
        <v>0</v>
      </c>
      <c r="R351">
        <v>0</v>
      </c>
      <c r="S351">
        <v>515.52659753454611</v>
      </c>
    </row>
    <row r="352" spans="1:19" x14ac:dyDescent="0.25">
      <c r="A352" s="1">
        <v>46236</v>
      </c>
      <c r="B352" t="s">
        <v>97</v>
      </c>
      <c r="C352" t="s">
        <v>12</v>
      </c>
      <c r="D352">
        <v>0.19692328429155617</v>
      </c>
      <c r="E352" t="s">
        <v>246</v>
      </c>
      <c r="F352">
        <v>46236</v>
      </c>
      <c r="G352" t="s">
        <v>149</v>
      </c>
      <c r="H352">
        <v>3.6874950638658595</v>
      </c>
      <c r="I352">
        <v>3.6874950638658595</v>
      </c>
      <c r="J352">
        <v>0</v>
      </c>
      <c r="K352">
        <v>0</v>
      </c>
      <c r="L352">
        <v>0</v>
      </c>
      <c r="M352" t="s">
        <v>120</v>
      </c>
      <c r="P352">
        <v>644.5741371637522</v>
      </c>
      <c r="Q352">
        <v>0</v>
      </c>
      <c r="R352">
        <v>0</v>
      </c>
      <c r="S352">
        <v>644.5741371637522</v>
      </c>
    </row>
    <row r="353" spans="1:19" x14ac:dyDescent="0.25">
      <c r="A353" s="1">
        <v>46236</v>
      </c>
      <c r="B353" t="s">
        <v>97</v>
      </c>
      <c r="C353" t="s">
        <v>11</v>
      </c>
      <c r="D353">
        <v>1.824053664856772</v>
      </c>
      <c r="E353" t="s">
        <v>246</v>
      </c>
      <c r="F353">
        <v>46236</v>
      </c>
      <c r="G353" t="s">
        <v>149</v>
      </c>
      <c r="H353">
        <v>0</v>
      </c>
      <c r="I353">
        <v>0</v>
      </c>
      <c r="J353">
        <v>0.90097674177984921</v>
      </c>
      <c r="K353">
        <v>0.90097674177984921</v>
      </c>
      <c r="L353">
        <v>0</v>
      </c>
      <c r="M353" t="s">
        <v>120</v>
      </c>
      <c r="P353">
        <v>0</v>
      </c>
      <c r="Q353">
        <v>0</v>
      </c>
      <c r="R353">
        <v>0</v>
      </c>
      <c r="S353">
        <v>0</v>
      </c>
    </row>
    <row r="354" spans="1:19" x14ac:dyDescent="0.25">
      <c r="A354" s="1">
        <v>46236</v>
      </c>
      <c r="B354" t="s">
        <v>97</v>
      </c>
      <c r="C354" t="s">
        <v>10</v>
      </c>
      <c r="D354">
        <v>6.5367379001902437</v>
      </c>
      <c r="E354" t="s">
        <v>246</v>
      </c>
      <c r="F354">
        <v>46236</v>
      </c>
      <c r="G354" t="s">
        <v>149</v>
      </c>
      <c r="H354">
        <v>0</v>
      </c>
      <c r="I354">
        <v>0</v>
      </c>
      <c r="J354">
        <v>5.6136609771133212</v>
      </c>
      <c r="K354">
        <v>5.6136609771133212</v>
      </c>
      <c r="L354">
        <v>0.92307692307692291</v>
      </c>
      <c r="M354" t="s">
        <v>120</v>
      </c>
      <c r="P354">
        <v>0</v>
      </c>
      <c r="Q354">
        <v>0</v>
      </c>
      <c r="R354">
        <v>0</v>
      </c>
      <c r="S354">
        <v>0</v>
      </c>
    </row>
    <row r="355" spans="1:19" x14ac:dyDescent="0.25">
      <c r="A355" s="1">
        <v>46237</v>
      </c>
      <c r="B355" t="s">
        <v>97</v>
      </c>
      <c r="C355" t="s">
        <v>10</v>
      </c>
      <c r="D355">
        <v>1.204135928982413</v>
      </c>
      <c r="E355" t="s">
        <v>246</v>
      </c>
      <c r="F355">
        <v>46237</v>
      </c>
      <c r="G355" t="s">
        <v>149</v>
      </c>
      <c r="H355">
        <v>0</v>
      </c>
      <c r="I355">
        <v>0</v>
      </c>
      <c r="J355">
        <v>0.28105900590549021</v>
      </c>
      <c r="K355">
        <v>0.28105900590549021</v>
      </c>
      <c r="L355">
        <v>0</v>
      </c>
      <c r="M355" t="s">
        <v>125</v>
      </c>
      <c r="P355">
        <v>0</v>
      </c>
      <c r="Q355">
        <v>0</v>
      </c>
      <c r="R355">
        <v>0</v>
      </c>
      <c r="S355">
        <v>0</v>
      </c>
    </row>
    <row r="356" spans="1:19" x14ac:dyDescent="0.25">
      <c r="A356" s="1">
        <v>46237</v>
      </c>
      <c r="B356" t="s">
        <v>97</v>
      </c>
      <c r="C356" t="s">
        <v>11</v>
      </c>
      <c r="D356">
        <v>1.9343629230503288</v>
      </c>
      <c r="E356" t="s">
        <v>246</v>
      </c>
      <c r="F356">
        <v>46237</v>
      </c>
      <c r="G356" t="s">
        <v>149</v>
      </c>
      <c r="H356">
        <v>0</v>
      </c>
      <c r="I356">
        <v>0</v>
      </c>
      <c r="J356">
        <v>1.0112859999734058</v>
      </c>
      <c r="K356">
        <v>1.0112859999734058</v>
      </c>
      <c r="L356">
        <v>0.92307692307692291</v>
      </c>
      <c r="M356" t="s">
        <v>125</v>
      </c>
      <c r="P356">
        <v>0</v>
      </c>
      <c r="Q356">
        <v>0</v>
      </c>
      <c r="R356">
        <v>0</v>
      </c>
      <c r="S356">
        <v>0</v>
      </c>
    </row>
    <row r="357" spans="1:19" x14ac:dyDescent="0.25">
      <c r="A357" s="1">
        <v>46237</v>
      </c>
      <c r="B357" t="s">
        <v>97</v>
      </c>
      <c r="C357" t="s">
        <v>12</v>
      </c>
      <c r="D357">
        <v>0.61943530962076054</v>
      </c>
      <c r="E357" t="s">
        <v>246</v>
      </c>
      <c r="F357">
        <v>46237</v>
      </c>
      <c r="G357" t="s">
        <v>149</v>
      </c>
      <c r="H357">
        <v>0.49019099935078314</v>
      </c>
      <c r="I357">
        <v>0.49019099935078314</v>
      </c>
      <c r="J357">
        <v>0</v>
      </c>
      <c r="K357">
        <v>0</v>
      </c>
      <c r="L357">
        <v>0</v>
      </c>
      <c r="M357" t="s">
        <v>125</v>
      </c>
      <c r="P357">
        <v>85.685386686516892</v>
      </c>
      <c r="Q357">
        <v>0</v>
      </c>
      <c r="R357">
        <v>0</v>
      </c>
      <c r="S357">
        <v>85.685386686516892</v>
      </c>
    </row>
    <row r="358" spans="1:19" x14ac:dyDescent="0.25">
      <c r="A358" s="1">
        <v>46238</v>
      </c>
      <c r="B358" t="s">
        <v>97</v>
      </c>
      <c r="C358" t="s">
        <v>10</v>
      </c>
      <c r="D358">
        <v>1.4105008534629959</v>
      </c>
      <c r="E358" t="s">
        <v>246</v>
      </c>
      <c r="F358">
        <v>46238</v>
      </c>
      <c r="G358" t="s">
        <v>149</v>
      </c>
      <c r="H358">
        <v>0</v>
      </c>
      <c r="I358">
        <v>0</v>
      </c>
      <c r="J358">
        <v>0.44217506160779235</v>
      </c>
      <c r="K358">
        <v>0.44217506160779235</v>
      </c>
      <c r="L358">
        <v>1.8325791855203669E-2</v>
      </c>
      <c r="M358" t="s">
        <v>126</v>
      </c>
      <c r="P358">
        <v>0</v>
      </c>
      <c r="Q358">
        <v>0</v>
      </c>
      <c r="R358">
        <v>0</v>
      </c>
      <c r="S358">
        <v>0</v>
      </c>
    </row>
    <row r="359" spans="1:19" x14ac:dyDescent="0.25">
      <c r="A359" s="1">
        <v>46238</v>
      </c>
      <c r="B359" t="s">
        <v>97</v>
      </c>
      <c r="C359" t="s">
        <v>11</v>
      </c>
      <c r="D359">
        <v>1.694582519047215</v>
      </c>
      <c r="E359" t="s">
        <v>246</v>
      </c>
      <c r="F359">
        <v>46238</v>
      </c>
      <c r="G359" t="s">
        <v>149</v>
      </c>
      <c r="H359">
        <v>0</v>
      </c>
      <c r="I359">
        <v>0</v>
      </c>
      <c r="J359">
        <v>1.694582519047215</v>
      </c>
      <c r="K359">
        <v>1.694582519047215</v>
      </c>
      <c r="L359">
        <v>0</v>
      </c>
      <c r="M359" t="s">
        <v>126</v>
      </c>
      <c r="P359">
        <v>0</v>
      </c>
      <c r="Q359">
        <v>0</v>
      </c>
      <c r="R359">
        <v>0</v>
      </c>
      <c r="S359">
        <v>0</v>
      </c>
    </row>
    <row r="360" spans="1:19" x14ac:dyDescent="0.25">
      <c r="A360" s="1">
        <v>46238</v>
      </c>
      <c r="B360" t="s">
        <v>97</v>
      </c>
      <c r="C360" t="s">
        <v>12</v>
      </c>
      <c r="D360">
        <v>0.7755451745988422</v>
      </c>
      <c r="E360" t="s">
        <v>246</v>
      </c>
      <c r="F360">
        <v>46238</v>
      </c>
      <c r="G360" t="s">
        <v>149</v>
      </c>
      <c r="H360">
        <v>0.27603060347131847</v>
      </c>
      <c r="I360">
        <v>0.27603060347131847</v>
      </c>
      <c r="J360">
        <v>0</v>
      </c>
      <c r="K360">
        <v>0</v>
      </c>
      <c r="L360">
        <v>0</v>
      </c>
      <c r="M360" t="s">
        <v>126</v>
      </c>
      <c r="P360">
        <v>48.250149486786462</v>
      </c>
      <c r="Q360">
        <v>0</v>
      </c>
      <c r="R360">
        <v>0</v>
      </c>
      <c r="S360">
        <v>48.250149486786462</v>
      </c>
    </row>
    <row r="361" spans="1:19" x14ac:dyDescent="0.25">
      <c r="A361" s="1">
        <v>46239</v>
      </c>
      <c r="B361" t="s">
        <v>97</v>
      </c>
      <c r="C361" t="s">
        <v>11</v>
      </c>
      <c r="D361">
        <v>0</v>
      </c>
      <c r="E361" t="s">
        <v>246</v>
      </c>
      <c r="F361">
        <v>46239</v>
      </c>
      <c r="G361" t="s">
        <v>149</v>
      </c>
      <c r="H361">
        <v>0</v>
      </c>
      <c r="I361">
        <v>0</v>
      </c>
      <c r="J361">
        <v>0</v>
      </c>
      <c r="K361">
        <v>0</v>
      </c>
      <c r="L361">
        <v>0</v>
      </c>
      <c r="M361" t="s">
        <v>127</v>
      </c>
      <c r="P361">
        <v>0</v>
      </c>
      <c r="Q361">
        <v>0</v>
      </c>
      <c r="R361">
        <v>0</v>
      </c>
      <c r="S361">
        <v>0</v>
      </c>
    </row>
    <row r="362" spans="1:19" x14ac:dyDescent="0.25">
      <c r="A362" s="1">
        <v>46239</v>
      </c>
      <c r="B362" t="s">
        <v>97</v>
      </c>
      <c r="C362" t="s">
        <v>10</v>
      </c>
      <c r="D362">
        <v>2.0977271867197049</v>
      </c>
      <c r="E362" t="s">
        <v>246</v>
      </c>
      <c r="F362">
        <v>46239</v>
      </c>
      <c r="G362" t="s">
        <v>149</v>
      </c>
      <c r="H362">
        <v>0</v>
      </c>
      <c r="I362">
        <v>0</v>
      </c>
      <c r="J362">
        <v>2.0977271867197049</v>
      </c>
      <c r="K362">
        <v>2.0977271867197049</v>
      </c>
      <c r="L362">
        <v>0</v>
      </c>
      <c r="M362" t="s">
        <v>127</v>
      </c>
      <c r="P362">
        <v>0</v>
      </c>
      <c r="Q362">
        <v>0</v>
      </c>
      <c r="R362">
        <v>0</v>
      </c>
      <c r="S362">
        <v>0</v>
      </c>
    </row>
    <row r="363" spans="1:19" x14ac:dyDescent="0.25">
      <c r="A363" s="1">
        <v>46239</v>
      </c>
      <c r="B363" t="s">
        <v>97</v>
      </c>
      <c r="C363" t="s">
        <v>12</v>
      </c>
      <c r="D363">
        <v>1.4176899505754474</v>
      </c>
      <c r="E363" t="s">
        <v>246</v>
      </c>
      <c r="F363">
        <v>46239</v>
      </c>
      <c r="G363" t="s">
        <v>149</v>
      </c>
      <c r="H363">
        <v>0</v>
      </c>
      <c r="I363">
        <v>0</v>
      </c>
      <c r="J363">
        <v>0.59416053881074171</v>
      </c>
      <c r="K363">
        <v>0.59416053881074171</v>
      </c>
      <c r="L363">
        <v>0</v>
      </c>
      <c r="M363" t="s">
        <v>127</v>
      </c>
      <c r="P363">
        <v>0</v>
      </c>
      <c r="Q363">
        <v>0</v>
      </c>
      <c r="R363">
        <v>0</v>
      </c>
      <c r="S363">
        <v>0</v>
      </c>
    </row>
    <row r="364" spans="1:19" x14ac:dyDescent="0.25">
      <c r="A364" s="1">
        <v>46240</v>
      </c>
      <c r="B364" t="s">
        <v>97</v>
      </c>
      <c r="C364" t="s">
        <v>10</v>
      </c>
      <c r="D364">
        <v>1.965211586659759</v>
      </c>
      <c r="E364" t="s">
        <v>246</v>
      </c>
      <c r="F364">
        <v>46240</v>
      </c>
      <c r="G364" t="s">
        <v>149</v>
      </c>
      <c r="H364">
        <v>0</v>
      </c>
      <c r="I364">
        <v>0</v>
      </c>
      <c r="J364">
        <v>1.965211586659759</v>
      </c>
      <c r="K364">
        <v>1.965211586659759</v>
      </c>
      <c r="L364">
        <v>0</v>
      </c>
      <c r="M364" t="s">
        <v>128</v>
      </c>
      <c r="P364">
        <v>0</v>
      </c>
      <c r="Q364">
        <v>0</v>
      </c>
      <c r="R364">
        <v>0</v>
      </c>
      <c r="S364">
        <v>0</v>
      </c>
    </row>
    <row r="365" spans="1:19" x14ac:dyDescent="0.25">
      <c r="A365" s="1">
        <v>46240</v>
      </c>
      <c r="B365" t="s">
        <v>97</v>
      </c>
      <c r="C365" t="s">
        <v>11</v>
      </c>
      <c r="D365">
        <v>0</v>
      </c>
      <c r="E365" t="s">
        <v>246</v>
      </c>
      <c r="F365">
        <v>46240</v>
      </c>
      <c r="G365" t="s">
        <v>149</v>
      </c>
      <c r="H365">
        <v>0</v>
      </c>
      <c r="I365">
        <v>0</v>
      </c>
      <c r="J365">
        <v>0</v>
      </c>
      <c r="K365">
        <v>0</v>
      </c>
      <c r="L365">
        <v>0</v>
      </c>
      <c r="M365" t="s">
        <v>128</v>
      </c>
      <c r="P365">
        <v>0</v>
      </c>
      <c r="Q365">
        <v>0</v>
      </c>
      <c r="R365">
        <v>0</v>
      </c>
      <c r="S365">
        <v>0</v>
      </c>
    </row>
    <row r="366" spans="1:19" x14ac:dyDescent="0.25">
      <c r="A366" s="1">
        <v>46240</v>
      </c>
      <c r="B366" t="s">
        <v>97</v>
      </c>
      <c r="C366" t="s">
        <v>12</v>
      </c>
      <c r="D366">
        <v>1.3504718925740256</v>
      </c>
      <c r="E366" t="s">
        <v>246</v>
      </c>
      <c r="F366">
        <v>46240</v>
      </c>
      <c r="G366" t="s">
        <v>149</v>
      </c>
      <c r="H366">
        <v>0</v>
      </c>
      <c r="I366">
        <v>0</v>
      </c>
      <c r="J366">
        <v>1.3504718925740256</v>
      </c>
      <c r="K366">
        <v>1.3504718925740256</v>
      </c>
      <c r="L366">
        <v>0</v>
      </c>
      <c r="M366" t="s">
        <v>128</v>
      </c>
      <c r="P366">
        <v>0</v>
      </c>
      <c r="Q366">
        <v>0</v>
      </c>
      <c r="R366">
        <v>0</v>
      </c>
      <c r="S366">
        <v>0</v>
      </c>
    </row>
    <row r="367" spans="1:19" x14ac:dyDescent="0.25">
      <c r="A367" s="1">
        <v>46241</v>
      </c>
      <c r="B367" t="s">
        <v>97</v>
      </c>
      <c r="C367" t="s">
        <v>12</v>
      </c>
      <c r="D367">
        <v>1.4299114156666155</v>
      </c>
      <c r="E367" t="s">
        <v>246</v>
      </c>
      <c r="F367">
        <v>46241</v>
      </c>
      <c r="G367" t="s">
        <v>149</v>
      </c>
      <c r="H367">
        <v>0</v>
      </c>
      <c r="I367">
        <v>0</v>
      </c>
      <c r="J367">
        <v>1.4299114156666155</v>
      </c>
      <c r="K367">
        <v>1.4299114156666155</v>
      </c>
      <c r="L367">
        <v>0</v>
      </c>
      <c r="M367" t="s">
        <v>129</v>
      </c>
      <c r="P367">
        <v>0</v>
      </c>
      <c r="Q367">
        <v>0</v>
      </c>
      <c r="R367">
        <v>0</v>
      </c>
      <c r="S367">
        <v>0</v>
      </c>
    </row>
    <row r="368" spans="1:19" x14ac:dyDescent="0.25">
      <c r="A368" s="1">
        <v>46241</v>
      </c>
      <c r="B368" t="s">
        <v>97</v>
      </c>
      <c r="C368" t="s">
        <v>11</v>
      </c>
      <c r="D368">
        <v>0</v>
      </c>
      <c r="E368" t="s">
        <v>246</v>
      </c>
      <c r="F368">
        <v>46241</v>
      </c>
      <c r="G368" t="s">
        <v>149</v>
      </c>
      <c r="H368">
        <v>0</v>
      </c>
      <c r="I368">
        <v>0</v>
      </c>
      <c r="J368">
        <v>0</v>
      </c>
      <c r="K368">
        <v>0</v>
      </c>
      <c r="L368">
        <v>0</v>
      </c>
      <c r="M368" t="s">
        <v>129</v>
      </c>
      <c r="P368">
        <v>0</v>
      </c>
      <c r="Q368">
        <v>0</v>
      </c>
      <c r="R368">
        <v>0</v>
      </c>
      <c r="S368">
        <v>0</v>
      </c>
    </row>
    <row r="369" spans="1:19" x14ac:dyDescent="0.25">
      <c r="A369" s="1">
        <v>46241</v>
      </c>
      <c r="B369" t="s">
        <v>97</v>
      </c>
      <c r="C369" t="s">
        <v>10</v>
      </c>
      <c r="D369">
        <v>1.8698841589486512</v>
      </c>
      <c r="E369" t="s">
        <v>246</v>
      </c>
      <c r="F369">
        <v>46241</v>
      </c>
      <c r="G369" t="s">
        <v>149</v>
      </c>
      <c r="H369">
        <v>0</v>
      </c>
      <c r="I369">
        <v>0</v>
      </c>
      <c r="J369">
        <v>1.8698841589486512</v>
      </c>
      <c r="K369">
        <v>1.8698841589486512</v>
      </c>
      <c r="L369">
        <v>0</v>
      </c>
      <c r="M369" t="s">
        <v>129</v>
      </c>
      <c r="P369">
        <v>0</v>
      </c>
      <c r="Q369">
        <v>0</v>
      </c>
      <c r="R369">
        <v>0</v>
      </c>
      <c r="S369">
        <v>0</v>
      </c>
    </row>
    <row r="370" spans="1:19" x14ac:dyDescent="0.25">
      <c r="A370" s="1">
        <v>46242</v>
      </c>
      <c r="B370" t="s">
        <v>97</v>
      </c>
      <c r="C370" t="s">
        <v>12</v>
      </c>
      <c r="D370">
        <v>0.8396146517632177</v>
      </c>
      <c r="E370" t="s">
        <v>246</v>
      </c>
      <c r="F370">
        <v>46242</v>
      </c>
      <c r="G370" t="s">
        <v>149</v>
      </c>
      <c r="H370">
        <v>0</v>
      </c>
      <c r="I370">
        <v>0</v>
      </c>
      <c r="J370">
        <v>1.6085239998511993E-2</v>
      </c>
      <c r="K370">
        <v>1.6085239998511993E-2</v>
      </c>
      <c r="L370">
        <v>0.82352941176470573</v>
      </c>
      <c r="M370" t="s">
        <v>119</v>
      </c>
      <c r="P370">
        <v>0</v>
      </c>
      <c r="Q370">
        <v>0</v>
      </c>
      <c r="R370">
        <v>0</v>
      </c>
      <c r="S370">
        <v>0</v>
      </c>
    </row>
    <row r="371" spans="1:19" x14ac:dyDescent="0.25">
      <c r="A371" s="1">
        <v>46242</v>
      </c>
      <c r="B371" t="s">
        <v>97</v>
      </c>
      <c r="C371" t="s">
        <v>10</v>
      </c>
      <c r="D371">
        <v>1.6361486390800699</v>
      </c>
      <c r="E371" t="s">
        <v>246</v>
      </c>
      <c r="F371">
        <v>46242</v>
      </c>
      <c r="G371" t="s">
        <v>149</v>
      </c>
      <c r="H371">
        <v>0</v>
      </c>
      <c r="I371">
        <v>0</v>
      </c>
      <c r="J371">
        <v>1.6361486390800699</v>
      </c>
      <c r="K371">
        <v>1.6361486390800699</v>
      </c>
      <c r="L371">
        <v>0</v>
      </c>
      <c r="M371" t="s">
        <v>119</v>
      </c>
      <c r="P371">
        <v>0</v>
      </c>
      <c r="Q371">
        <v>0</v>
      </c>
      <c r="R371">
        <v>0</v>
      </c>
      <c r="S371">
        <v>0</v>
      </c>
    </row>
    <row r="372" spans="1:19" x14ac:dyDescent="0.25">
      <c r="A372" s="1">
        <v>46242</v>
      </c>
      <c r="B372" t="s">
        <v>97</v>
      </c>
      <c r="C372" t="s">
        <v>11</v>
      </c>
      <c r="D372">
        <v>1.4299114156666155</v>
      </c>
      <c r="E372" t="s">
        <v>246</v>
      </c>
      <c r="F372">
        <v>46242</v>
      </c>
      <c r="G372" t="s">
        <v>149</v>
      </c>
      <c r="H372">
        <v>0</v>
      </c>
      <c r="I372">
        <v>0</v>
      </c>
      <c r="J372">
        <v>1.4299114156666155</v>
      </c>
      <c r="K372">
        <v>1.4299114156666155</v>
      </c>
      <c r="L372">
        <v>0</v>
      </c>
      <c r="M372" t="s">
        <v>119</v>
      </c>
      <c r="P372">
        <v>0</v>
      </c>
      <c r="Q372">
        <v>0</v>
      </c>
      <c r="R372">
        <v>0</v>
      </c>
      <c r="S372">
        <v>0</v>
      </c>
    </row>
    <row r="373" spans="1:19" x14ac:dyDescent="0.25">
      <c r="A373" s="1">
        <v>46243</v>
      </c>
      <c r="B373" t="s">
        <v>97</v>
      </c>
      <c r="C373" t="s">
        <v>12</v>
      </c>
      <c r="D373">
        <v>0.81360039035487541</v>
      </c>
      <c r="E373" t="s">
        <v>246</v>
      </c>
      <c r="F373">
        <v>46243</v>
      </c>
      <c r="G373" t="s">
        <v>149</v>
      </c>
      <c r="H373">
        <v>1.2203806103755044E-2</v>
      </c>
      <c r="I373">
        <v>1.2203806103755044E-2</v>
      </c>
      <c r="J373">
        <v>0</v>
      </c>
      <c r="K373">
        <v>0</v>
      </c>
      <c r="L373">
        <v>0</v>
      </c>
      <c r="M373" t="s">
        <v>120</v>
      </c>
      <c r="P373">
        <v>2.1332253069363816</v>
      </c>
      <c r="Q373">
        <v>0</v>
      </c>
      <c r="R373">
        <v>0</v>
      </c>
      <c r="S373">
        <v>2.1332253069363816</v>
      </c>
    </row>
    <row r="374" spans="1:19" x14ac:dyDescent="0.25">
      <c r="A374" s="1">
        <v>46243</v>
      </c>
      <c r="B374" t="s">
        <v>97</v>
      </c>
      <c r="C374" t="s">
        <v>10</v>
      </c>
      <c r="D374">
        <v>1.3611656745287972</v>
      </c>
      <c r="E374" t="s">
        <v>246</v>
      </c>
      <c r="F374">
        <v>46243</v>
      </c>
      <c r="G374" t="s">
        <v>149</v>
      </c>
      <c r="H374">
        <v>0</v>
      </c>
      <c r="I374">
        <v>0</v>
      </c>
      <c r="J374">
        <v>1.3611656745287972</v>
      </c>
      <c r="K374">
        <v>1.3611656745287972</v>
      </c>
      <c r="L374">
        <v>0</v>
      </c>
      <c r="M374" t="s">
        <v>120</v>
      </c>
      <c r="P374">
        <v>0</v>
      </c>
      <c r="Q374">
        <v>0</v>
      </c>
      <c r="R374">
        <v>0</v>
      </c>
      <c r="S374">
        <v>0</v>
      </c>
    </row>
    <row r="375" spans="1:19" x14ac:dyDescent="0.25">
      <c r="A375" s="1">
        <v>46243</v>
      </c>
      <c r="B375" t="s">
        <v>97</v>
      </c>
      <c r="C375" t="s">
        <v>11</v>
      </c>
      <c r="D375">
        <v>1.3837852409676925</v>
      </c>
      <c r="E375" t="s">
        <v>246</v>
      </c>
      <c r="F375">
        <v>46243</v>
      </c>
      <c r="G375" t="s">
        <v>149</v>
      </c>
      <c r="H375">
        <v>0</v>
      </c>
      <c r="I375">
        <v>0</v>
      </c>
      <c r="J375">
        <v>1.3837852409676925</v>
      </c>
      <c r="K375">
        <v>1.3837852409676925</v>
      </c>
      <c r="L375">
        <v>0</v>
      </c>
      <c r="M375" t="s">
        <v>120</v>
      </c>
      <c r="P375">
        <v>0</v>
      </c>
      <c r="Q375">
        <v>0</v>
      </c>
      <c r="R375">
        <v>0</v>
      </c>
      <c r="S375">
        <v>0</v>
      </c>
    </row>
    <row r="376" spans="1:19" x14ac:dyDescent="0.25">
      <c r="A376" s="1">
        <v>46244</v>
      </c>
      <c r="B376" t="s">
        <v>97</v>
      </c>
      <c r="C376" t="s">
        <v>10</v>
      </c>
      <c r="D376">
        <v>1.5252388433777233</v>
      </c>
      <c r="E376" t="s">
        <v>246</v>
      </c>
      <c r="F376">
        <v>46244</v>
      </c>
      <c r="G376" t="s">
        <v>149</v>
      </c>
      <c r="H376">
        <v>0</v>
      </c>
      <c r="I376">
        <v>0</v>
      </c>
      <c r="J376">
        <v>1.5252388433777233</v>
      </c>
      <c r="K376">
        <v>1.5252388433777233</v>
      </c>
      <c r="L376">
        <v>0</v>
      </c>
      <c r="M376" t="s">
        <v>125</v>
      </c>
      <c r="P376">
        <v>0</v>
      </c>
      <c r="Q376">
        <v>0</v>
      </c>
      <c r="R376">
        <v>0</v>
      </c>
      <c r="S376">
        <v>0</v>
      </c>
    </row>
    <row r="377" spans="1:19" x14ac:dyDescent="0.25">
      <c r="A377" s="1">
        <v>46244</v>
      </c>
      <c r="B377" t="s">
        <v>97</v>
      </c>
      <c r="C377" t="s">
        <v>12</v>
      </c>
      <c r="D377">
        <v>0.92119293124676171</v>
      </c>
      <c r="E377" t="s">
        <v>246</v>
      </c>
      <c r="F377">
        <v>46244</v>
      </c>
      <c r="G377" t="s">
        <v>149</v>
      </c>
      <c r="H377">
        <v>0</v>
      </c>
      <c r="I377">
        <v>0</v>
      </c>
      <c r="J377">
        <v>9.7663519482055941E-2</v>
      </c>
      <c r="K377">
        <v>9.7663519482055941E-2</v>
      </c>
      <c r="L377">
        <v>0.82352941176470573</v>
      </c>
      <c r="M377" t="s">
        <v>125</v>
      </c>
      <c r="P377">
        <v>0</v>
      </c>
      <c r="Q377">
        <v>0</v>
      </c>
      <c r="R377">
        <v>0</v>
      </c>
      <c r="S377">
        <v>0</v>
      </c>
    </row>
    <row r="378" spans="1:19" x14ac:dyDescent="0.25">
      <c r="A378" s="1">
        <v>46244</v>
      </c>
      <c r="B378" t="s">
        <v>97</v>
      </c>
      <c r="C378" t="s">
        <v>11</v>
      </c>
      <c r="D378">
        <v>1.2999194687878319</v>
      </c>
      <c r="E378" t="s">
        <v>246</v>
      </c>
      <c r="F378">
        <v>46244</v>
      </c>
      <c r="G378" t="s">
        <v>149</v>
      </c>
      <c r="H378">
        <v>0</v>
      </c>
      <c r="I378">
        <v>0</v>
      </c>
      <c r="J378">
        <v>1.2999194687878319</v>
      </c>
      <c r="K378">
        <v>1.2999194687878319</v>
      </c>
      <c r="L378">
        <v>0</v>
      </c>
      <c r="M378" t="s">
        <v>125</v>
      </c>
      <c r="P378">
        <v>0</v>
      </c>
      <c r="Q378">
        <v>0</v>
      </c>
      <c r="R378">
        <v>0</v>
      </c>
      <c r="S378">
        <v>0</v>
      </c>
    </row>
    <row r="379" spans="1:19" x14ac:dyDescent="0.25">
      <c r="A379" s="1">
        <v>46245</v>
      </c>
      <c r="B379" t="s">
        <v>97</v>
      </c>
      <c r="C379" t="s">
        <v>11</v>
      </c>
      <c r="D379">
        <v>1.594901194397379</v>
      </c>
      <c r="E379" t="s">
        <v>246</v>
      </c>
      <c r="F379">
        <v>46245</v>
      </c>
      <c r="G379" t="s">
        <v>149</v>
      </c>
      <c r="H379">
        <v>0</v>
      </c>
      <c r="I379">
        <v>0</v>
      </c>
      <c r="J379">
        <v>1.594901194397379</v>
      </c>
      <c r="K379">
        <v>1.594901194397379</v>
      </c>
      <c r="L379">
        <v>0</v>
      </c>
      <c r="M379" t="s">
        <v>126</v>
      </c>
      <c r="P379">
        <v>0</v>
      </c>
      <c r="Q379">
        <v>0</v>
      </c>
      <c r="R379">
        <v>0</v>
      </c>
      <c r="S379">
        <v>0</v>
      </c>
    </row>
    <row r="380" spans="1:19" x14ac:dyDescent="0.25">
      <c r="A380" s="1">
        <v>46245</v>
      </c>
      <c r="B380" t="s">
        <v>97</v>
      </c>
      <c r="C380" t="s">
        <v>12</v>
      </c>
      <c r="D380">
        <v>0.79699980545352356</v>
      </c>
      <c r="E380" t="s">
        <v>246</v>
      </c>
      <c r="F380">
        <v>46245</v>
      </c>
      <c r="G380" t="s">
        <v>149</v>
      </c>
      <c r="H380">
        <v>0</v>
      </c>
      <c r="I380">
        <v>0</v>
      </c>
      <c r="J380">
        <v>0.79699980545352356</v>
      </c>
      <c r="K380">
        <v>0.79699980545352356</v>
      </c>
      <c r="L380">
        <v>0</v>
      </c>
      <c r="M380" t="s">
        <v>126</v>
      </c>
      <c r="P380">
        <v>0</v>
      </c>
      <c r="Q380">
        <v>0</v>
      </c>
      <c r="R380">
        <v>0</v>
      </c>
      <c r="S380">
        <v>0</v>
      </c>
    </row>
    <row r="381" spans="1:19" x14ac:dyDescent="0.25">
      <c r="A381" s="1">
        <v>46245</v>
      </c>
      <c r="B381" t="s">
        <v>97</v>
      </c>
      <c r="C381" t="s">
        <v>10</v>
      </c>
      <c r="D381">
        <v>1.4105008534629959</v>
      </c>
      <c r="E381" t="s">
        <v>246</v>
      </c>
      <c r="F381">
        <v>46245</v>
      </c>
      <c r="G381" t="s">
        <v>149</v>
      </c>
      <c r="H381">
        <v>0</v>
      </c>
      <c r="I381">
        <v>0</v>
      </c>
      <c r="J381">
        <v>1.4105008534629959</v>
      </c>
      <c r="K381">
        <v>1.4105008534629959</v>
      </c>
      <c r="L381">
        <v>0</v>
      </c>
      <c r="M381" t="s">
        <v>126</v>
      </c>
      <c r="P381">
        <v>0</v>
      </c>
      <c r="Q381">
        <v>0</v>
      </c>
      <c r="R381">
        <v>0</v>
      </c>
      <c r="S381">
        <v>0</v>
      </c>
    </row>
    <row r="382" spans="1:19" x14ac:dyDescent="0.25">
      <c r="A382" s="1">
        <v>46246</v>
      </c>
      <c r="B382" t="s">
        <v>97</v>
      </c>
      <c r="C382" t="s">
        <v>12</v>
      </c>
      <c r="D382">
        <v>0.87595379836897169</v>
      </c>
      <c r="E382" t="s">
        <v>246</v>
      </c>
      <c r="F382">
        <v>46246</v>
      </c>
      <c r="G382" t="s">
        <v>149</v>
      </c>
      <c r="H382">
        <v>0</v>
      </c>
      <c r="I382">
        <v>0</v>
      </c>
      <c r="J382">
        <v>5.2424386604265967E-2</v>
      </c>
      <c r="K382">
        <v>5.2424386604265967E-2</v>
      </c>
      <c r="L382">
        <v>0</v>
      </c>
      <c r="M382" t="s">
        <v>127</v>
      </c>
      <c r="P382">
        <v>0</v>
      </c>
      <c r="Q382">
        <v>0</v>
      </c>
      <c r="R382">
        <v>0</v>
      </c>
      <c r="S382">
        <v>0</v>
      </c>
    </row>
    <row r="383" spans="1:19" x14ac:dyDescent="0.25">
      <c r="A383" s="1">
        <v>46246</v>
      </c>
      <c r="B383" t="s">
        <v>97</v>
      </c>
      <c r="C383" t="s">
        <v>11</v>
      </c>
      <c r="D383">
        <v>1.7088227082829053</v>
      </c>
      <c r="E383" t="s">
        <v>246</v>
      </c>
      <c r="F383">
        <v>46246</v>
      </c>
      <c r="G383" t="s">
        <v>149</v>
      </c>
      <c r="H383">
        <v>0</v>
      </c>
      <c r="I383">
        <v>0</v>
      </c>
      <c r="J383">
        <v>1.7088227082829053</v>
      </c>
      <c r="K383">
        <v>1.7088227082829053</v>
      </c>
      <c r="L383">
        <v>0</v>
      </c>
      <c r="M383" t="s">
        <v>127</v>
      </c>
      <c r="P383">
        <v>0</v>
      </c>
      <c r="Q383">
        <v>0</v>
      </c>
      <c r="R383">
        <v>0</v>
      </c>
      <c r="S383">
        <v>0</v>
      </c>
    </row>
    <row r="384" spans="1:19" x14ac:dyDescent="0.25">
      <c r="A384" s="1">
        <v>46246</v>
      </c>
      <c r="B384" t="s">
        <v>97</v>
      </c>
      <c r="C384" t="s">
        <v>10</v>
      </c>
      <c r="D384">
        <v>1.5270720631413981</v>
      </c>
      <c r="E384" t="s">
        <v>246</v>
      </c>
      <c r="F384">
        <v>46246</v>
      </c>
      <c r="G384" t="s">
        <v>149</v>
      </c>
      <c r="H384">
        <v>0</v>
      </c>
      <c r="I384">
        <v>0</v>
      </c>
      <c r="J384">
        <v>1.5270720631413981</v>
      </c>
      <c r="K384">
        <v>1.5270720631413981</v>
      </c>
      <c r="L384">
        <v>0</v>
      </c>
      <c r="M384" t="s">
        <v>127</v>
      </c>
      <c r="P384">
        <v>0</v>
      </c>
      <c r="Q384">
        <v>0</v>
      </c>
      <c r="R384">
        <v>0</v>
      </c>
      <c r="S384">
        <v>0</v>
      </c>
    </row>
    <row r="385" spans="1:19" x14ac:dyDescent="0.25">
      <c r="A385" s="1">
        <v>46247</v>
      </c>
      <c r="B385" t="s">
        <v>97</v>
      </c>
      <c r="C385" t="s">
        <v>12</v>
      </c>
      <c r="D385">
        <v>1.5742774720560333</v>
      </c>
      <c r="E385" t="s">
        <v>246</v>
      </c>
      <c r="F385">
        <v>46247</v>
      </c>
      <c r="G385" t="s">
        <v>149</v>
      </c>
      <c r="H385">
        <v>0</v>
      </c>
      <c r="I385">
        <v>0</v>
      </c>
      <c r="J385">
        <v>0.70549919151304707</v>
      </c>
      <c r="K385">
        <v>0.70549919151304707</v>
      </c>
      <c r="L385">
        <v>0.86877828054298623</v>
      </c>
      <c r="M385" t="s">
        <v>128</v>
      </c>
      <c r="P385">
        <v>0</v>
      </c>
      <c r="Q385">
        <v>0</v>
      </c>
      <c r="R385">
        <v>0</v>
      </c>
      <c r="S385">
        <v>0</v>
      </c>
    </row>
    <row r="386" spans="1:19" x14ac:dyDescent="0.25">
      <c r="A386" s="1">
        <v>46247</v>
      </c>
      <c r="B386" t="s">
        <v>97</v>
      </c>
      <c r="C386" t="s">
        <v>11</v>
      </c>
      <c r="D386">
        <v>5.1068264845236265E-2</v>
      </c>
      <c r="E386" t="s">
        <v>246</v>
      </c>
      <c r="F386">
        <v>46247</v>
      </c>
      <c r="G386" t="s">
        <v>149</v>
      </c>
      <c r="H386">
        <v>17.075353174311523</v>
      </c>
      <c r="I386">
        <v>17.075353174311523</v>
      </c>
      <c r="J386">
        <v>0</v>
      </c>
      <c r="K386">
        <v>0</v>
      </c>
      <c r="L386">
        <v>0</v>
      </c>
      <c r="M386" t="s">
        <v>128</v>
      </c>
      <c r="P386">
        <v>2984.7717348696538</v>
      </c>
      <c r="Q386">
        <v>0</v>
      </c>
      <c r="R386">
        <v>0</v>
      </c>
      <c r="S386">
        <v>2984.7717348696538</v>
      </c>
    </row>
    <row r="387" spans="1:19" x14ac:dyDescent="0.25">
      <c r="A387" s="1">
        <v>46247</v>
      </c>
      <c r="B387" t="s">
        <v>97</v>
      </c>
      <c r="C387" t="s">
        <v>10</v>
      </c>
      <c r="D387">
        <v>0.93494207947432562</v>
      </c>
      <c r="E387" t="s">
        <v>246</v>
      </c>
      <c r="F387">
        <v>46247</v>
      </c>
      <c r="G387" t="s">
        <v>149</v>
      </c>
      <c r="H387">
        <v>0</v>
      </c>
      <c r="I387">
        <v>0</v>
      </c>
      <c r="J387">
        <v>0.93494207947432562</v>
      </c>
      <c r="K387">
        <v>0.93494207947432562</v>
      </c>
      <c r="L387">
        <v>0</v>
      </c>
      <c r="M387" t="s">
        <v>128</v>
      </c>
      <c r="P387">
        <v>0</v>
      </c>
      <c r="Q387">
        <v>0</v>
      </c>
      <c r="R387">
        <v>0</v>
      </c>
      <c r="S387">
        <v>0</v>
      </c>
    </row>
    <row r="388" spans="1:19" x14ac:dyDescent="0.25">
      <c r="A388" s="1">
        <v>46248</v>
      </c>
      <c r="B388" t="s">
        <v>97</v>
      </c>
      <c r="C388" t="s">
        <v>10</v>
      </c>
      <c r="D388">
        <v>0.93494207947432562</v>
      </c>
      <c r="E388" t="s">
        <v>246</v>
      </c>
      <c r="F388">
        <v>46248</v>
      </c>
      <c r="G388" t="s">
        <v>149</v>
      </c>
      <c r="H388">
        <v>0</v>
      </c>
      <c r="I388">
        <v>0</v>
      </c>
      <c r="J388">
        <v>1.1865156397402741E-2</v>
      </c>
      <c r="K388">
        <v>1.1865156397402741E-2</v>
      </c>
      <c r="L388">
        <v>0</v>
      </c>
      <c r="M388" t="s">
        <v>129</v>
      </c>
      <c r="P388">
        <v>0</v>
      </c>
      <c r="Q388">
        <v>0</v>
      </c>
      <c r="R388">
        <v>0</v>
      </c>
      <c r="S388">
        <v>0</v>
      </c>
    </row>
    <row r="389" spans="1:19" x14ac:dyDescent="0.25">
      <c r="A389" s="1">
        <v>46248</v>
      </c>
      <c r="B389" t="s">
        <v>97</v>
      </c>
      <c r="C389" t="s">
        <v>11</v>
      </c>
      <c r="D389">
        <v>1.4299114156666155</v>
      </c>
      <c r="E389" t="s">
        <v>246</v>
      </c>
      <c r="F389">
        <v>46248</v>
      </c>
      <c r="G389" t="s">
        <v>149</v>
      </c>
      <c r="H389">
        <v>0</v>
      </c>
      <c r="I389">
        <v>0</v>
      </c>
      <c r="J389">
        <v>1.4299114156666155</v>
      </c>
      <c r="K389">
        <v>1.4299114156666155</v>
      </c>
      <c r="L389">
        <v>0</v>
      </c>
      <c r="M389" t="s">
        <v>129</v>
      </c>
      <c r="P389">
        <v>0</v>
      </c>
      <c r="Q389">
        <v>0</v>
      </c>
      <c r="R389">
        <v>0</v>
      </c>
      <c r="S389">
        <v>0</v>
      </c>
    </row>
    <row r="390" spans="1:19" x14ac:dyDescent="0.25">
      <c r="A390" s="1">
        <v>46248</v>
      </c>
      <c r="B390" t="s">
        <v>97</v>
      </c>
      <c r="C390" t="s">
        <v>12</v>
      </c>
      <c r="D390">
        <v>0.8396146517632177</v>
      </c>
      <c r="E390" t="s">
        <v>246</v>
      </c>
      <c r="F390">
        <v>46248</v>
      </c>
      <c r="G390" t="s">
        <v>149</v>
      </c>
      <c r="H390">
        <v>0</v>
      </c>
      <c r="I390">
        <v>0</v>
      </c>
      <c r="J390">
        <v>0.67671872416140777</v>
      </c>
      <c r="K390">
        <v>0.67671872416140777</v>
      </c>
      <c r="L390">
        <v>0.16289592760180993</v>
      </c>
      <c r="M390" t="s">
        <v>129</v>
      </c>
      <c r="P390">
        <v>0</v>
      </c>
      <c r="Q390">
        <v>0</v>
      </c>
      <c r="R390">
        <v>0</v>
      </c>
      <c r="S390">
        <v>0</v>
      </c>
    </row>
    <row r="391" spans="1:19" x14ac:dyDescent="0.25">
      <c r="A391" s="1">
        <v>46249</v>
      </c>
      <c r="B391" t="s">
        <v>97</v>
      </c>
      <c r="C391" t="s">
        <v>12</v>
      </c>
      <c r="D391">
        <v>0.88373835504064047</v>
      </c>
      <c r="E391" t="s">
        <v>246</v>
      </c>
      <c r="F391">
        <v>46249</v>
      </c>
      <c r="G391" t="s">
        <v>149</v>
      </c>
      <c r="H391">
        <v>0</v>
      </c>
      <c r="I391">
        <v>0</v>
      </c>
      <c r="J391">
        <v>0.88373835504064047</v>
      </c>
      <c r="K391">
        <v>0.88373835504064047</v>
      </c>
      <c r="L391">
        <v>0</v>
      </c>
      <c r="M391" t="s">
        <v>119</v>
      </c>
      <c r="P391">
        <v>0</v>
      </c>
      <c r="Q391">
        <v>0</v>
      </c>
      <c r="R391">
        <v>0</v>
      </c>
      <c r="S391">
        <v>0</v>
      </c>
    </row>
    <row r="392" spans="1:19" x14ac:dyDescent="0.25">
      <c r="A392" s="1">
        <v>46249</v>
      </c>
      <c r="B392" t="s">
        <v>97</v>
      </c>
      <c r="C392" t="s">
        <v>10</v>
      </c>
      <c r="D392">
        <v>0.4674710397371627</v>
      </c>
      <c r="E392" t="s">
        <v>246</v>
      </c>
      <c r="F392">
        <v>46249</v>
      </c>
      <c r="G392" t="s">
        <v>149</v>
      </c>
      <c r="H392">
        <v>0</v>
      </c>
      <c r="I392">
        <v>0</v>
      </c>
      <c r="J392">
        <v>0.4674710397371627</v>
      </c>
      <c r="K392">
        <v>0.4674710397371627</v>
      </c>
      <c r="L392">
        <v>0</v>
      </c>
      <c r="M392" t="s">
        <v>119</v>
      </c>
      <c r="P392">
        <v>0</v>
      </c>
      <c r="Q392">
        <v>0</v>
      </c>
      <c r="R392">
        <v>0</v>
      </c>
      <c r="S392">
        <v>0</v>
      </c>
    </row>
    <row r="393" spans="1:19" x14ac:dyDescent="0.25">
      <c r="A393" s="1">
        <v>46249</v>
      </c>
      <c r="B393" t="s">
        <v>97</v>
      </c>
      <c r="D393">
        <v>0</v>
      </c>
      <c r="E393" t="s">
        <v>246</v>
      </c>
      <c r="F393">
        <v>46249</v>
      </c>
      <c r="G393" t="s">
        <v>149</v>
      </c>
      <c r="H393">
        <v>0</v>
      </c>
      <c r="I393">
        <v>0</v>
      </c>
      <c r="J393">
        <v>0</v>
      </c>
      <c r="K393">
        <v>0</v>
      </c>
      <c r="L393">
        <v>0</v>
      </c>
      <c r="M393" t="s">
        <v>119</v>
      </c>
      <c r="P393">
        <v>0</v>
      </c>
      <c r="Q393">
        <v>0</v>
      </c>
      <c r="R393">
        <v>0</v>
      </c>
      <c r="S393">
        <v>0</v>
      </c>
    </row>
    <row r="394" spans="1:19" x14ac:dyDescent="0.25">
      <c r="A394" s="1">
        <v>46249</v>
      </c>
      <c r="B394" t="s">
        <v>97</v>
      </c>
      <c r="C394" t="s">
        <v>11</v>
      </c>
      <c r="D394">
        <v>8.5794684939996912</v>
      </c>
      <c r="E394" t="s">
        <v>246</v>
      </c>
      <c r="F394">
        <v>46249</v>
      </c>
      <c r="G394" t="s">
        <v>149</v>
      </c>
      <c r="H394">
        <v>0</v>
      </c>
      <c r="I394">
        <v>0</v>
      </c>
      <c r="J394">
        <v>8.5794684939996912</v>
      </c>
      <c r="K394">
        <v>8.5794684939996912</v>
      </c>
      <c r="L394">
        <v>0</v>
      </c>
      <c r="M394" t="s">
        <v>119</v>
      </c>
      <c r="P394">
        <v>0</v>
      </c>
      <c r="Q394">
        <v>0</v>
      </c>
      <c r="R394">
        <v>0</v>
      </c>
      <c r="S394">
        <v>0</v>
      </c>
    </row>
    <row r="395" spans="1:19" x14ac:dyDescent="0.25">
      <c r="A395" s="1">
        <v>46250</v>
      </c>
      <c r="B395" t="s">
        <v>97</v>
      </c>
      <c r="D395">
        <v>0</v>
      </c>
      <c r="E395" t="s">
        <v>246</v>
      </c>
      <c r="F395">
        <v>46250</v>
      </c>
      <c r="G395" t="s">
        <v>149</v>
      </c>
      <c r="H395">
        <v>0</v>
      </c>
      <c r="I395">
        <v>0</v>
      </c>
      <c r="J395">
        <v>0</v>
      </c>
      <c r="K395">
        <v>0</v>
      </c>
      <c r="L395">
        <v>0</v>
      </c>
      <c r="M395" t="s">
        <v>120</v>
      </c>
      <c r="P395">
        <v>0</v>
      </c>
      <c r="Q395">
        <v>0</v>
      </c>
      <c r="R395">
        <v>0</v>
      </c>
      <c r="S395">
        <v>0</v>
      </c>
    </row>
    <row r="396" spans="1:19" x14ac:dyDescent="0.25">
      <c r="A396" s="1">
        <v>46223</v>
      </c>
      <c r="B396" t="s">
        <v>97</v>
      </c>
      <c r="C396" t="s">
        <v>12</v>
      </c>
      <c r="D396">
        <v>0</v>
      </c>
      <c r="E396" t="s">
        <v>249</v>
      </c>
      <c r="F396">
        <v>46223</v>
      </c>
      <c r="G396" t="s">
        <v>149</v>
      </c>
      <c r="H396">
        <v>0</v>
      </c>
      <c r="I396">
        <v>0</v>
      </c>
      <c r="J396">
        <v>0</v>
      </c>
      <c r="K396">
        <v>0</v>
      </c>
      <c r="L396">
        <v>0</v>
      </c>
      <c r="M396" t="s">
        <v>125</v>
      </c>
      <c r="P396">
        <v>0</v>
      </c>
      <c r="Q396">
        <v>0</v>
      </c>
      <c r="R396">
        <v>0</v>
      </c>
      <c r="S396">
        <v>0</v>
      </c>
    </row>
    <row r="397" spans="1:19" x14ac:dyDescent="0.25">
      <c r="A397" s="1">
        <v>46223</v>
      </c>
      <c r="B397" t="s">
        <v>97</v>
      </c>
      <c r="C397" t="s">
        <v>10</v>
      </c>
      <c r="D397">
        <v>0.95622385454066372</v>
      </c>
      <c r="E397" t="s">
        <v>249</v>
      </c>
      <c r="F397">
        <v>46223</v>
      </c>
      <c r="G397" t="s">
        <v>149</v>
      </c>
      <c r="H397">
        <v>0</v>
      </c>
      <c r="I397">
        <v>0</v>
      </c>
      <c r="J397">
        <v>0.13269444277595779</v>
      </c>
      <c r="K397">
        <v>0.13269444277595779</v>
      </c>
      <c r="L397">
        <v>0</v>
      </c>
      <c r="M397" t="s">
        <v>125</v>
      </c>
      <c r="P397">
        <v>0</v>
      </c>
      <c r="Q397">
        <v>0</v>
      </c>
      <c r="R397">
        <v>0</v>
      </c>
      <c r="S397">
        <v>0</v>
      </c>
    </row>
    <row r="398" spans="1:19" x14ac:dyDescent="0.25">
      <c r="A398" s="1">
        <v>46223</v>
      </c>
      <c r="B398" t="s">
        <v>97</v>
      </c>
      <c r="C398" t="s">
        <v>11</v>
      </c>
      <c r="D398">
        <v>0</v>
      </c>
      <c r="E398" t="s">
        <v>249</v>
      </c>
      <c r="F398">
        <v>46223</v>
      </c>
      <c r="G398" t="s">
        <v>149</v>
      </c>
      <c r="H398">
        <v>0</v>
      </c>
      <c r="I398">
        <v>0</v>
      </c>
      <c r="J398">
        <v>0</v>
      </c>
      <c r="K398">
        <v>0</v>
      </c>
      <c r="L398">
        <v>0</v>
      </c>
      <c r="M398" t="s">
        <v>125</v>
      </c>
      <c r="P398">
        <v>0</v>
      </c>
      <c r="Q398">
        <v>0</v>
      </c>
      <c r="R398">
        <v>0</v>
      </c>
      <c r="S398">
        <v>0</v>
      </c>
    </row>
    <row r="399" spans="1:19" x14ac:dyDescent="0.25">
      <c r="A399" s="1">
        <v>46224</v>
      </c>
      <c r="B399" t="s">
        <v>97</v>
      </c>
      <c r="C399" t="s">
        <v>10</v>
      </c>
      <c r="D399">
        <v>0.95622385454066372</v>
      </c>
      <c r="E399" t="s">
        <v>249</v>
      </c>
      <c r="F399">
        <v>46224</v>
      </c>
      <c r="G399" t="s">
        <v>149</v>
      </c>
      <c r="H399">
        <v>0</v>
      </c>
      <c r="I399">
        <v>0</v>
      </c>
      <c r="J399">
        <v>0.13269444277595779</v>
      </c>
      <c r="K399">
        <v>0.13269444277595779</v>
      </c>
      <c r="L399">
        <v>0</v>
      </c>
      <c r="M399" t="s">
        <v>126</v>
      </c>
      <c r="P399">
        <v>0</v>
      </c>
      <c r="Q399">
        <v>0</v>
      </c>
      <c r="R399">
        <v>0</v>
      </c>
      <c r="S399">
        <v>0</v>
      </c>
    </row>
    <row r="400" spans="1:19" x14ac:dyDescent="0.25">
      <c r="A400" s="1">
        <v>46224</v>
      </c>
      <c r="B400" t="s">
        <v>97</v>
      </c>
      <c r="C400" t="s">
        <v>12</v>
      </c>
      <c r="D400">
        <v>0</v>
      </c>
      <c r="E400" t="s">
        <v>249</v>
      </c>
      <c r="F400">
        <v>46224</v>
      </c>
      <c r="G400" t="s">
        <v>149</v>
      </c>
      <c r="H400">
        <v>0</v>
      </c>
      <c r="I400">
        <v>0</v>
      </c>
      <c r="J400">
        <v>0</v>
      </c>
      <c r="K400">
        <v>0</v>
      </c>
      <c r="L400">
        <v>0</v>
      </c>
      <c r="M400" t="s">
        <v>126</v>
      </c>
      <c r="P400">
        <v>0</v>
      </c>
      <c r="Q400">
        <v>0</v>
      </c>
      <c r="R400">
        <v>0</v>
      </c>
      <c r="S400">
        <v>0</v>
      </c>
    </row>
    <row r="401" spans="1:19" x14ac:dyDescent="0.25">
      <c r="A401" s="1">
        <v>46224</v>
      </c>
      <c r="B401" t="s">
        <v>97</v>
      </c>
      <c r="C401" t="s">
        <v>11</v>
      </c>
      <c r="D401">
        <v>0</v>
      </c>
      <c r="E401" t="s">
        <v>249</v>
      </c>
      <c r="F401">
        <v>46224</v>
      </c>
      <c r="G401" t="s">
        <v>149</v>
      </c>
      <c r="H401">
        <v>0</v>
      </c>
      <c r="I401">
        <v>0</v>
      </c>
      <c r="J401">
        <v>0</v>
      </c>
      <c r="K401">
        <v>0</v>
      </c>
      <c r="L401">
        <v>0</v>
      </c>
      <c r="M401" t="s">
        <v>126</v>
      </c>
      <c r="P401">
        <v>0</v>
      </c>
      <c r="Q401">
        <v>0</v>
      </c>
      <c r="R401">
        <v>0</v>
      </c>
      <c r="S401">
        <v>0</v>
      </c>
    </row>
    <row r="402" spans="1:19" x14ac:dyDescent="0.25">
      <c r="A402" s="1">
        <v>46225</v>
      </c>
      <c r="B402" t="s">
        <v>97</v>
      </c>
      <c r="C402" t="s">
        <v>10</v>
      </c>
      <c r="D402">
        <v>2.8686715636219908</v>
      </c>
      <c r="E402" t="s">
        <v>249</v>
      </c>
      <c r="F402">
        <v>46225</v>
      </c>
      <c r="G402" t="s">
        <v>149</v>
      </c>
      <c r="H402">
        <v>0</v>
      </c>
      <c r="I402">
        <v>0</v>
      </c>
      <c r="J402">
        <v>0.39266537167152599</v>
      </c>
      <c r="K402">
        <v>0.39266537167152599</v>
      </c>
      <c r="L402">
        <v>0.57600619195046476</v>
      </c>
      <c r="M402" t="s">
        <v>127</v>
      </c>
      <c r="P402">
        <v>0</v>
      </c>
      <c r="Q402">
        <v>0</v>
      </c>
      <c r="R402">
        <v>0</v>
      </c>
      <c r="S402">
        <v>0</v>
      </c>
    </row>
    <row r="403" spans="1:19" x14ac:dyDescent="0.25">
      <c r="A403" s="1">
        <v>46225</v>
      </c>
      <c r="B403" t="s">
        <v>97</v>
      </c>
      <c r="C403" t="s">
        <v>12</v>
      </c>
      <c r="D403">
        <v>0.67498154438164493</v>
      </c>
      <c r="E403" t="s">
        <v>249</v>
      </c>
      <c r="F403">
        <v>46225</v>
      </c>
      <c r="G403" t="s">
        <v>149</v>
      </c>
      <c r="H403">
        <v>0.95072008352627546</v>
      </c>
      <c r="I403">
        <v>0.95072008352627546</v>
      </c>
      <c r="J403">
        <v>0</v>
      </c>
      <c r="K403">
        <v>0</v>
      </c>
      <c r="L403">
        <v>0</v>
      </c>
      <c r="M403" t="s">
        <v>127</v>
      </c>
      <c r="P403">
        <v>166.18587060039295</v>
      </c>
      <c r="Q403">
        <v>0</v>
      </c>
      <c r="R403">
        <v>0</v>
      </c>
      <c r="S403">
        <v>166.18587060039295</v>
      </c>
    </row>
    <row r="404" spans="1:19" x14ac:dyDescent="0.25">
      <c r="A404" s="1">
        <v>46225</v>
      </c>
      <c r="B404" t="s">
        <v>97</v>
      </c>
      <c r="C404" t="s">
        <v>11</v>
      </c>
      <c r="D404">
        <v>0</v>
      </c>
      <c r="E404" t="s">
        <v>249</v>
      </c>
      <c r="F404">
        <v>46225</v>
      </c>
      <c r="G404" t="s">
        <v>149</v>
      </c>
      <c r="H404">
        <v>0</v>
      </c>
      <c r="I404">
        <v>0</v>
      </c>
      <c r="J404">
        <v>0</v>
      </c>
      <c r="K404">
        <v>0</v>
      </c>
      <c r="L404">
        <v>0</v>
      </c>
      <c r="M404" t="s">
        <v>127</v>
      </c>
      <c r="P404">
        <v>0</v>
      </c>
      <c r="Q404">
        <v>0</v>
      </c>
      <c r="R404">
        <v>0</v>
      </c>
      <c r="S404">
        <v>0</v>
      </c>
    </row>
    <row r="405" spans="1:19" x14ac:dyDescent="0.25">
      <c r="A405" s="1">
        <v>46226</v>
      </c>
      <c r="B405" t="s">
        <v>97</v>
      </c>
      <c r="C405" t="s">
        <v>12</v>
      </c>
      <c r="D405">
        <v>0</v>
      </c>
      <c r="E405" t="s">
        <v>249</v>
      </c>
      <c r="F405">
        <v>46226</v>
      </c>
      <c r="G405" t="s">
        <v>149</v>
      </c>
      <c r="H405">
        <v>0</v>
      </c>
      <c r="I405">
        <v>0</v>
      </c>
      <c r="J405">
        <v>0</v>
      </c>
      <c r="K405">
        <v>0</v>
      </c>
      <c r="L405">
        <v>0</v>
      </c>
      <c r="M405" t="s">
        <v>128</v>
      </c>
      <c r="P405">
        <v>0</v>
      </c>
      <c r="Q405">
        <v>0</v>
      </c>
      <c r="R405">
        <v>0</v>
      </c>
      <c r="S405">
        <v>0</v>
      </c>
    </row>
    <row r="406" spans="1:19" x14ac:dyDescent="0.25">
      <c r="A406" s="1">
        <v>46226</v>
      </c>
      <c r="B406" t="s">
        <v>97</v>
      </c>
      <c r="C406" t="s">
        <v>11</v>
      </c>
      <c r="D406">
        <v>0</v>
      </c>
      <c r="E406" t="s">
        <v>249</v>
      </c>
      <c r="F406">
        <v>46226</v>
      </c>
      <c r="G406" t="s">
        <v>149</v>
      </c>
      <c r="H406">
        <v>0</v>
      </c>
      <c r="I406">
        <v>0</v>
      </c>
      <c r="J406">
        <v>0</v>
      </c>
      <c r="K406">
        <v>0</v>
      </c>
      <c r="L406">
        <v>0</v>
      </c>
      <c r="M406" t="s">
        <v>128</v>
      </c>
      <c r="P406">
        <v>0</v>
      </c>
      <c r="Q406">
        <v>0</v>
      </c>
      <c r="R406">
        <v>0</v>
      </c>
      <c r="S406">
        <v>0</v>
      </c>
    </row>
    <row r="407" spans="1:19" x14ac:dyDescent="0.25">
      <c r="A407" s="1">
        <v>46226</v>
      </c>
      <c r="B407" t="s">
        <v>97</v>
      </c>
      <c r="C407" t="s">
        <v>10</v>
      </c>
      <c r="D407">
        <v>2.8686715636219908</v>
      </c>
      <c r="E407" t="s">
        <v>249</v>
      </c>
      <c r="F407">
        <v>46226</v>
      </c>
      <c r="G407" t="s">
        <v>149</v>
      </c>
      <c r="H407">
        <v>0</v>
      </c>
      <c r="I407">
        <v>0</v>
      </c>
      <c r="J407">
        <v>0.39266537167152599</v>
      </c>
      <c r="K407">
        <v>0.39266537167152599</v>
      </c>
      <c r="L407">
        <v>0.57600619195046476</v>
      </c>
      <c r="M407" t="s">
        <v>128</v>
      </c>
      <c r="P407">
        <v>0</v>
      </c>
      <c r="Q407">
        <v>0</v>
      </c>
      <c r="R407">
        <v>0</v>
      </c>
      <c r="S407">
        <v>0</v>
      </c>
    </row>
    <row r="408" spans="1:19" x14ac:dyDescent="0.25">
      <c r="A408" s="1">
        <v>46227</v>
      </c>
      <c r="B408" t="s">
        <v>97</v>
      </c>
      <c r="C408" t="s">
        <v>12</v>
      </c>
      <c r="D408">
        <v>0</v>
      </c>
      <c r="E408" t="s">
        <v>249</v>
      </c>
      <c r="F408">
        <v>46227</v>
      </c>
      <c r="G408" t="s">
        <v>149</v>
      </c>
      <c r="H408">
        <v>0</v>
      </c>
      <c r="I408">
        <v>0</v>
      </c>
      <c r="J408">
        <v>0</v>
      </c>
      <c r="K408">
        <v>0</v>
      </c>
      <c r="L408">
        <v>0</v>
      </c>
      <c r="M408" t="s">
        <v>129</v>
      </c>
      <c r="P408">
        <v>0</v>
      </c>
      <c r="Q408">
        <v>0</v>
      </c>
      <c r="R408">
        <v>0</v>
      </c>
      <c r="S408">
        <v>0</v>
      </c>
    </row>
    <row r="409" spans="1:19" x14ac:dyDescent="0.25">
      <c r="A409" s="1">
        <v>46227</v>
      </c>
      <c r="B409" t="s">
        <v>97</v>
      </c>
      <c r="C409" t="s">
        <v>10</v>
      </c>
      <c r="D409">
        <v>1.9124477090813272</v>
      </c>
      <c r="E409" t="s">
        <v>249</v>
      </c>
      <c r="F409">
        <v>46227</v>
      </c>
      <c r="G409" t="s">
        <v>149</v>
      </c>
      <c r="H409">
        <v>0</v>
      </c>
      <c r="I409">
        <v>0</v>
      </c>
      <c r="J409">
        <v>1.0889182973166216</v>
      </c>
      <c r="K409">
        <v>1.0889182973166216</v>
      </c>
      <c r="L409">
        <v>0</v>
      </c>
      <c r="M409" t="s">
        <v>129</v>
      </c>
      <c r="P409">
        <v>0</v>
      </c>
      <c r="Q409">
        <v>0</v>
      </c>
      <c r="R409">
        <v>0</v>
      </c>
      <c r="S409">
        <v>0</v>
      </c>
    </row>
    <row r="410" spans="1:19" x14ac:dyDescent="0.25">
      <c r="A410" s="1">
        <v>46227</v>
      </c>
      <c r="B410" t="s">
        <v>97</v>
      </c>
      <c r="C410" t="s">
        <v>11</v>
      </c>
      <c r="D410">
        <v>0</v>
      </c>
      <c r="E410" t="s">
        <v>249</v>
      </c>
      <c r="F410">
        <v>46227</v>
      </c>
      <c r="G410" t="s">
        <v>149</v>
      </c>
      <c r="H410">
        <v>0</v>
      </c>
      <c r="I410">
        <v>0</v>
      </c>
      <c r="J410">
        <v>0</v>
      </c>
      <c r="K410">
        <v>0</v>
      </c>
      <c r="L410">
        <v>0</v>
      </c>
      <c r="M410" t="s">
        <v>129</v>
      </c>
      <c r="P410">
        <v>0</v>
      </c>
      <c r="Q410">
        <v>0</v>
      </c>
      <c r="R410">
        <v>0</v>
      </c>
      <c r="S410">
        <v>0</v>
      </c>
    </row>
    <row r="411" spans="1:19" x14ac:dyDescent="0.25">
      <c r="A411" s="1">
        <v>46228</v>
      </c>
      <c r="B411" t="s">
        <v>97</v>
      </c>
      <c r="C411" t="s">
        <v>10</v>
      </c>
      <c r="D411">
        <v>0.95622385454066372</v>
      </c>
      <c r="E411" t="s">
        <v>249</v>
      </c>
      <c r="F411">
        <v>46228</v>
      </c>
      <c r="G411" t="s">
        <v>149</v>
      </c>
      <c r="H411">
        <v>0</v>
      </c>
      <c r="I411">
        <v>0</v>
      </c>
      <c r="J411">
        <v>0.13269444277595779</v>
      </c>
      <c r="K411">
        <v>0.13269444277595779</v>
      </c>
      <c r="L411">
        <v>0</v>
      </c>
      <c r="M411" t="s">
        <v>119</v>
      </c>
      <c r="P411">
        <v>0</v>
      </c>
      <c r="Q411">
        <v>0</v>
      </c>
      <c r="R411">
        <v>0</v>
      </c>
      <c r="S411">
        <v>0</v>
      </c>
    </row>
    <row r="412" spans="1:19" x14ac:dyDescent="0.25">
      <c r="A412" s="1">
        <v>46228</v>
      </c>
      <c r="B412" t="s">
        <v>97</v>
      </c>
      <c r="C412" t="s">
        <v>11</v>
      </c>
      <c r="D412">
        <v>0</v>
      </c>
      <c r="E412" t="s">
        <v>249</v>
      </c>
      <c r="F412">
        <v>46228</v>
      </c>
      <c r="G412" t="s">
        <v>149</v>
      </c>
      <c r="H412">
        <v>0</v>
      </c>
      <c r="I412">
        <v>0</v>
      </c>
      <c r="J412">
        <v>0</v>
      </c>
      <c r="K412">
        <v>0</v>
      </c>
      <c r="L412">
        <v>0</v>
      </c>
      <c r="M412" t="s">
        <v>119</v>
      </c>
      <c r="P412">
        <v>0</v>
      </c>
      <c r="Q412">
        <v>0</v>
      </c>
      <c r="R412">
        <v>0</v>
      </c>
      <c r="S412">
        <v>0</v>
      </c>
    </row>
    <row r="413" spans="1:19" x14ac:dyDescent="0.25">
      <c r="A413" s="1">
        <v>46228</v>
      </c>
      <c r="B413" t="s">
        <v>97</v>
      </c>
      <c r="C413" t="s">
        <v>12</v>
      </c>
      <c r="D413">
        <v>0</v>
      </c>
      <c r="E413" t="s">
        <v>249</v>
      </c>
      <c r="F413">
        <v>46228</v>
      </c>
      <c r="G413" t="s">
        <v>149</v>
      </c>
      <c r="H413">
        <v>0</v>
      </c>
      <c r="I413">
        <v>0</v>
      </c>
      <c r="J413">
        <v>0</v>
      </c>
      <c r="K413">
        <v>0</v>
      </c>
      <c r="L413">
        <v>0</v>
      </c>
      <c r="M413" t="s">
        <v>119</v>
      </c>
      <c r="P413">
        <v>0</v>
      </c>
      <c r="Q413">
        <v>0</v>
      </c>
      <c r="R413">
        <v>0</v>
      </c>
      <c r="S413">
        <v>0</v>
      </c>
    </row>
    <row r="414" spans="1:19" x14ac:dyDescent="0.25">
      <c r="A414" s="1">
        <v>46229</v>
      </c>
      <c r="B414" t="s">
        <v>97</v>
      </c>
      <c r="C414" t="s">
        <v>11</v>
      </c>
      <c r="D414">
        <v>0</v>
      </c>
      <c r="E414" t="s">
        <v>249</v>
      </c>
      <c r="F414">
        <v>46229</v>
      </c>
      <c r="G414" t="s">
        <v>149</v>
      </c>
      <c r="H414">
        <v>0</v>
      </c>
      <c r="I414">
        <v>0</v>
      </c>
      <c r="J414">
        <v>0</v>
      </c>
      <c r="K414">
        <v>0</v>
      </c>
      <c r="L414">
        <v>0</v>
      </c>
      <c r="M414" t="s">
        <v>120</v>
      </c>
      <c r="P414">
        <v>0</v>
      </c>
      <c r="Q414">
        <v>0</v>
      </c>
      <c r="R414">
        <v>0</v>
      </c>
      <c r="S414">
        <v>0</v>
      </c>
    </row>
    <row r="415" spans="1:19" x14ac:dyDescent="0.25">
      <c r="A415" s="1">
        <v>46229</v>
      </c>
      <c r="B415" t="s">
        <v>97</v>
      </c>
      <c r="C415" t="s">
        <v>12</v>
      </c>
      <c r="D415">
        <v>0</v>
      </c>
      <c r="E415" t="s">
        <v>249</v>
      </c>
      <c r="F415">
        <v>46229</v>
      </c>
      <c r="G415" t="s">
        <v>149</v>
      </c>
      <c r="H415">
        <v>0</v>
      </c>
      <c r="I415">
        <v>0</v>
      </c>
      <c r="J415">
        <v>0</v>
      </c>
      <c r="K415">
        <v>0</v>
      </c>
      <c r="L415">
        <v>0</v>
      </c>
      <c r="M415" t="s">
        <v>120</v>
      </c>
      <c r="P415">
        <v>0</v>
      </c>
      <c r="Q415">
        <v>0</v>
      </c>
      <c r="R415">
        <v>0</v>
      </c>
      <c r="S415">
        <v>0</v>
      </c>
    </row>
    <row r="416" spans="1:19" x14ac:dyDescent="0.25">
      <c r="A416" s="1">
        <v>46229</v>
      </c>
      <c r="B416" t="s">
        <v>97</v>
      </c>
      <c r="C416" t="s">
        <v>10</v>
      </c>
      <c r="D416">
        <v>0.95622385454066372</v>
      </c>
      <c r="E416" t="s">
        <v>249</v>
      </c>
      <c r="F416">
        <v>46229</v>
      </c>
      <c r="G416" t="s">
        <v>149</v>
      </c>
      <c r="H416">
        <v>0</v>
      </c>
      <c r="I416">
        <v>0</v>
      </c>
      <c r="J416">
        <v>0.95622385454066372</v>
      </c>
      <c r="K416">
        <v>0.95622385454066372</v>
      </c>
      <c r="L416">
        <v>0</v>
      </c>
      <c r="M416" t="s">
        <v>120</v>
      </c>
      <c r="P416">
        <v>0</v>
      </c>
      <c r="Q416">
        <v>0</v>
      </c>
      <c r="R416">
        <v>0</v>
      </c>
      <c r="S416">
        <v>0</v>
      </c>
    </row>
    <row r="417" spans="1:19" x14ac:dyDescent="0.25">
      <c r="A417" s="1">
        <v>46230</v>
      </c>
      <c r="B417" t="s">
        <v>97</v>
      </c>
      <c r="C417" t="s">
        <v>10</v>
      </c>
      <c r="D417">
        <v>0</v>
      </c>
      <c r="E417" t="s">
        <v>249</v>
      </c>
      <c r="F417">
        <v>46230</v>
      </c>
      <c r="G417" t="s">
        <v>149</v>
      </c>
      <c r="H417">
        <v>0</v>
      </c>
      <c r="I417">
        <v>0</v>
      </c>
      <c r="J417">
        <v>0</v>
      </c>
      <c r="K417">
        <v>0</v>
      </c>
      <c r="L417">
        <v>0</v>
      </c>
      <c r="M417" t="s">
        <v>125</v>
      </c>
      <c r="P417">
        <v>0</v>
      </c>
      <c r="Q417">
        <v>0</v>
      </c>
      <c r="R417">
        <v>0</v>
      </c>
      <c r="S417">
        <v>0</v>
      </c>
    </row>
    <row r="418" spans="1:19" x14ac:dyDescent="0.25">
      <c r="A418" s="1">
        <v>46230</v>
      </c>
      <c r="B418" t="s">
        <v>97</v>
      </c>
      <c r="C418" t="s">
        <v>12</v>
      </c>
      <c r="D418">
        <v>0</v>
      </c>
      <c r="E418" t="s">
        <v>249</v>
      </c>
      <c r="F418">
        <v>46230</v>
      </c>
      <c r="G418" t="s">
        <v>149</v>
      </c>
      <c r="H418">
        <v>0</v>
      </c>
      <c r="I418">
        <v>0</v>
      </c>
      <c r="J418">
        <v>0</v>
      </c>
      <c r="K418">
        <v>0</v>
      </c>
      <c r="L418">
        <v>0</v>
      </c>
      <c r="M418" t="s">
        <v>125</v>
      </c>
      <c r="P418">
        <v>0</v>
      </c>
      <c r="Q418">
        <v>0</v>
      </c>
      <c r="R418">
        <v>0</v>
      </c>
      <c r="S418">
        <v>0</v>
      </c>
    </row>
    <row r="419" spans="1:19" x14ac:dyDescent="0.25">
      <c r="A419" s="1">
        <v>46230</v>
      </c>
      <c r="B419" t="s">
        <v>97</v>
      </c>
      <c r="C419" t="s">
        <v>11</v>
      </c>
      <c r="D419">
        <v>0</v>
      </c>
      <c r="E419" t="s">
        <v>249</v>
      </c>
      <c r="F419">
        <v>46230</v>
      </c>
      <c r="G419" t="s">
        <v>149</v>
      </c>
      <c r="H419">
        <v>0</v>
      </c>
      <c r="I419">
        <v>0</v>
      </c>
      <c r="J419">
        <v>0</v>
      </c>
      <c r="K419">
        <v>0</v>
      </c>
      <c r="L419">
        <v>0</v>
      </c>
      <c r="M419" t="s">
        <v>125</v>
      </c>
      <c r="P419">
        <v>0</v>
      </c>
      <c r="Q419">
        <v>0</v>
      </c>
      <c r="R419">
        <v>0</v>
      </c>
      <c r="S419">
        <v>0</v>
      </c>
    </row>
    <row r="420" spans="1:19" x14ac:dyDescent="0.25">
      <c r="A420" s="1">
        <v>46231</v>
      </c>
      <c r="B420" t="s">
        <v>97</v>
      </c>
      <c r="C420" t="s">
        <v>12</v>
      </c>
      <c r="D420">
        <v>0</v>
      </c>
      <c r="E420" t="s">
        <v>249</v>
      </c>
      <c r="F420">
        <v>46231</v>
      </c>
      <c r="G420" t="s">
        <v>149</v>
      </c>
      <c r="H420">
        <v>0</v>
      </c>
      <c r="I420">
        <v>0</v>
      </c>
      <c r="J420">
        <v>0</v>
      </c>
      <c r="K420">
        <v>0</v>
      </c>
      <c r="L420">
        <v>0</v>
      </c>
      <c r="M420" t="s">
        <v>126</v>
      </c>
      <c r="P420">
        <v>0</v>
      </c>
      <c r="Q420">
        <v>0</v>
      </c>
      <c r="R420">
        <v>0</v>
      </c>
      <c r="S420">
        <v>0</v>
      </c>
    </row>
    <row r="421" spans="1:19" x14ac:dyDescent="0.25">
      <c r="A421" s="1">
        <v>46231</v>
      </c>
      <c r="B421" t="s">
        <v>97</v>
      </c>
      <c r="C421" t="s">
        <v>10</v>
      </c>
      <c r="D421">
        <v>1.9124477090813272</v>
      </c>
      <c r="E421" t="s">
        <v>249</v>
      </c>
      <c r="F421">
        <v>46231</v>
      </c>
      <c r="G421" t="s">
        <v>149</v>
      </c>
      <c r="H421">
        <v>0</v>
      </c>
      <c r="I421">
        <v>0</v>
      </c>
      <c r="J421">
        <v>0.26538888555191537</v>
      </c>
      <c r="K421">
        <v>0.26538888555191537</v>
      </c>
      <c r="L421">
        <v>0</v>
      </c>
      <c r="M421" t="s">
        <v>126</v>
      </c>
      <c r="P421">
        <v>0</v>
      </c>
      <c r="Q421">
        <v>0</v>
      </c>
      <c r="R421">
        <v>0</v>
      </c>
      <c r="S421">
        <v>0</v>
      </c>
    </row>
    <row r="422" spans="1:19" x14ac:dyDescent="0.25">
      <c r="A422" s="1">
        <v>46231</v>
      </c>
      <c r="B422" t="s">
        <v>97</v>
      </c>
      <c r="C422" t="s">
        <v>11</v>
      </c>
      <c r="D422">
        <v>0</v>
      </c>
      <c r="E422" t="s">
        <v>249</v>
      </c>
      <c r="F422">
        <v>46231</v>
      </c>
      <c r="G422" t="s">
        <v>149</v>
      </c>
      <c r="H422">
        <v>0</v>
      </c>
      <c r="I422">
        <v>0</v>
      </c>
      <c r="J422">
        <v>0</v>
      </c>
      <c r="K422">
        <v>0</v>
      </c>
      <c r="L422">
        <v>0</v>
      </c>
      <c r="M422" t="s">
        <v>126</v>
      </c>
      <c r="P422">
        <v>0</v>
      </c>
      <c r="Q422">
        <v>0</v>
      </c>
      <c r="R422">
        <v>0</v>
      </c>
      <c r="S422">
        <v>0</v>
      </c>
    </row>
    <row r="423" spans="1:19" x14ac:dyDescent="0.25">
      <c r="A423" s="1">
        <v>46232</v>
      </c>
      <c r="B423" t="s">
        <v>97</v>
      </c>
      <c r="C423" t="s">
        <v>11</v>
      </c>
      <c r="D423">
        <v>0</v>
      </c>
      <c r="E423" t="s">
        <v>249</v>
      </c>
      <c r="F423">
        <v>46232</v>
      </c>
      <c r="G423" t="s">
        <v>149</v>
      </c>
      <c r="H423">
        <v>0</v>
      </c>
      <c r="I423">
        <v>0</v>
      </c>
      <c r="J423">
        <v>0</v>
      </c>
      <c r="K423">
        <v>0</v>
      </c>
      <c r="L423">
        <v>0</v>
      </c>
      <c r="M423" t="s">
        <v>127</v>
      </c>
      <c r="P423">
        <v>0</v>
      </c>
      <c r="Q423">
        <v>0</v>
      </c>
      <c r="R423">
        <v>0</v>
      </c>
      <c r="S423">
        <v>0</v>
      </c>
    </row>
    <row r="424" spans="1:19" x14ac:dyDescent="0.25">
      <c r="A424" s="1">
        <v>46232</v>
      </c>
      <c r="B424" t="s">
        <v>97</v>
      </c>
      <c r="C424" t="s">
        <v>12</v>
      </c>
      <c r="D424">
        <v>0.67498154438164493</v>
      </c>
      <c r="E424" t="s">
        <v>249</v>
      </c>
      <c r="F424">
        <v>46232</v>
      </c>
      <c r="G424" t="s">
        <v>149</v>
      </c>
      <c r="H424">
        <v>1.2565937121142361</v>
      </c>
      <c r="I424">
        <v>1.2565937121142361</v>
      </c>
      <c r="J424">
        <v>0</v>
      </c>
      <c r="K424">
        <v>0</v>
      </c>
      <c r="L424">
        <v>0</v>
      </c>
      <c r="M424" t="s">
        <v>127</v>
      </c>
      <c r="P424">
        <v>219.65258087756848</v>
      </c>
      <c r="Q424">
        <v>0</v>
      </c>
      <c r="R424">
        <v>0</v>
      </c>
      <c r="S424">
        <v>219.65258087756848</v>
      </c>
    </row>
    <row r="425" spans="1:19" x14ac:dyDescent="0.25">
      <c r="A425" s="1">
        <v>46232</v>
      </c>
      <c r="B425" t="s">
        <v>97</v>
      </c>
      <c r="C425" t="s">
        <v>10</v>
      </c>
      <c r="D425">
        <v>2.8686715636219913</v>
      </c>
      <c r="E425" t="s">
        <v>249</v>
      </c>
      <c r="F425">
        <v>46232</v>
      </c>
      <c r="G425" t="s">
        <v>149</v>
      </c>
      <c r="H425">
        <v>0</v>
      </c>
      <c r="I425">
        <v>0</v>
      </c>
      <c r="J425">
        <v>0.42452811676956564</v>
      </c>
      <c r="K425">
        <v>0.42452811676956564</v>
      </c>
      <c r="L425">
        <v>1.4941434468524255</v>
      </c>
      <c r="M425" t="s">
        <v>127</v>
      </c>
      <c r="P425">
        <v>0</v>
      </c>
      <c r="Q425">
        <v>0</v>
      </c>
      <c r="R425">
        <v>0</v>
      </c>
      <c r="S425">
        <v>0</v>
      </c>
    </row>
    <row r="426" spans="1:19" x14ac:dyDescent="0.25">
      <c r="A426" s="1">
        <v>46233</v>
      </c>
      <c r="B426" t="s">
        <v>97</v>
      </c>
      <c r="C426" t="s">
        <v>12</v>
      </c>
      <c r="D426">
        <v>0</v>
      </c>
      <c r="E426" t="s">
        <v>249</v>
      </c>
      <c r="F426">
        <v>46233</v>
      </c>
      <c r="G426" t="s">
        <v>149</v>
      </c>
      <c r="H426">
        <v>0</v>
      </c>
      <c r="I426">
        <v>0</v>
      </c>
      <c r="J426">
        <v>0</v>
      </c>
      <c r="K426">
        <v>0</v>
      </c>
      <c r="L426">
        <v>0</v>
      </c>
      <c r="M426" t="s">
        <v>128</v>
      </c>
      <c r="P426">
        <v>0</v>
      </c>
      <c r="Q426">
        <v>0</v>
      </c>
      <c r="R426">
        <v>0</v>
      </c>
      <c r="S426">
        <v>0</v>
      </c>
    </row>
    <row r="427" spans="1:19" x14ac:dyDescent="0.25">
      <c r="A427" s="1">
        <v>46233</v>
      </c>
      <c r="B427" t="s">
        <v>97</v>
      </c>
      <c r="C427" t="s">
        <v>10</v>
      </c>
      <c r="D427">
        <v>2.8686715636219908</v>
      </c>
      <c r="E427" t="s">
        <v>249</v>
      </c>
      <c r="F427">
        <v>46233</v>
      </c>
      <c r="G427" t="s">
        <v>149</v>
      </c>
      <c r="H427">
        <v>0</v>
      </c>
      <c r="I427">
        <v>0</v>
      </c>
      <c r="J427">
        <v>0.39266537167152599</v>
      </c>
      <c r="K427">
        <v>0.39266537167152599</v>
      </c>
      <c r="L427">
        <v>0.57600619195046476</v>
      </c>
      <c r="M427" t="s">
        <v>128</v>
      </c>
      <c r="P427">
        <v>0</v>
      </c>
      <c r="Q427">
        <v>0</v>
      </c>
      <c r="R427">
        <v>0</v>
      </c>
      <c r="S427">
        <v>0</v>
      </c>
    </row>
    <row r="428" spans="1:19" x14ac:dyDescent="0.25">
      <c r="A428" s="1">
        <v>46233</v>
      </c>
      <c r="B428" t="s">
        <v>97</v>
      </c>
      <c r="C428" t="s">
        <v>11</v>
      </c>
      <c r="D428">
        <v>0</v>
      </c>
      <c r="E428" t="s">
        <v>249</v>
      </c>
      <c r="F428">
        <v>46233</v>
      </c>
      <c r="G428" t="s">
        <v>149</v>
      </c>
      <c r="H428">
        <v>0</v>
      </c>
      <c r="I428">
        <v>0</v>
      </c>
      <c r="J428">
        <v>0</v>
      </c>
      <c r="K428">
        <v>0</v>
      </c>
      <c r="L428">
        <v>0</v>
      </c>
      <c r="M428" t="s">
        <v>128</v>
      </c>
      <c r="P428">
        <v>0</v>
      </c>
      <c r="Q428">
        <v>0</v>
      </c>
      <c r="R428">
        <v>0</v>
      </c>
      <c r="S428">
        <v>0</v>
      </c>
    </row>
    <row r="429" spans="1:19" x14ac:dyDescent="0.25">
      <c r="A429" s="1">
        <v>46234</v>
      </c>
      <c r="B429" t="s">
        <v>97</v>
      </c>
      <c r="C429" t="s">
        <v>10</v>
      </c>
      <c r="D429">
        <v>1.9124477090813272</v>
      </c>
      <c r="E429" t="s">
        <v>249</v>
      </c>
      <c r="F429">
        <v>46234</v>
      </c>
      <c r="G429" t="s">
        <v>149</v>
      </c>
      <c r="H429">
        <v>0</v>
      </c>
      <c r="I429">
        <v>0</v>
      </c>
      <c r="J429">
        <v>0.26538888555191537</v>
      </c>
      <c r="K429">
        <v>0.26538888555191537</v>
      </c>
      <c r="L429">
        <v>0</v>
      </c>
      <c r="M429" t="s">
        <v>129</v>
      </c>
      <c r="P429">
        <v>0</v>
      </c>
      <c r="Q429">
        <v>0</v>
      </c>
      <c r="R429">
        <v>0</v>
      </c>
      <c r="S429">
        <v>0</v>
      </c>
    </row>
    <row r="430" spans="1:19" x14ac:dyDescent="0.25">
      <c r="A430" s="1">
        <v>46234</v>
      </c>
      <c r="B430" t="s">
        <v>97</v>
      </c>
      <c r="C430" t="s">
        <v>11</v>
      </c>
      <c r="D430">
        <v>0</v>
      </c>
      <c r="E430" t="s">
        <v>249</v>
      </c>
      <c r="F430">
        <v>46234</v>
      </c>
      <c r="G430" t="s">
        <v>149</v>
      </c>
      <c r="H430">
        <v>0</v>
      </c>
      <c r="I430">
        <v>0</v>
      </c>
      <c r="J430">
        <v>0</v>
      </c>
      <c r="K430">
        <v>0</v>
      </c>
      <c r="L430">
        <v>0</v>
      </c>
      <c r="M430" t="s">
        <v>129</v>
      </c>
      <c r="P430">
        <v>0</v>
      </c>
      <c r="Q430">
        <v>0</v>
      </c>
      <c r="R430">
        <v>0</v>
      </c>
      <c r="S430">
        <v>0</v>
      </c>
    </row>
    <row r="431" spans="1:19" x14ac:dyDescent="0.25">
      <c r="A431" s="1">
        <v>46234</v>
      </c>
      <c r="B431" t="s">
        <v>97</v>
      </c>
      <c r="C431" t="s">
        <v>12</v>
      </c>
      <c r="D431">
        <v>0</v>
      </c>
      <c r="E431" t="s">
        <v>249</v>
      </c>
      <c r="F431">
        <v>46234</v>
      </c>
      <c r="G431" t="s">
        <v>149</v>
      </c>
      <c r="H431">
        <v>0</v>
      </c>
      <c r="I431">
        <v>0</v>
      </c>
      <c r="J431">
        <v>0</v>
      </c>
      <c r="K431">
        <v>0</v>
      </c>
      <c r="L431">
        <v>0</v>
      </c>
      <c r="M431" t="s">
        <v>129</v>
      </c>
      <c r="P431">
        <v>0</v>
      </c>
      <c r="Q431">
        <v>0</v>
      </c>
      <c r="R431">
        <v>0</v>
      </c>
      <c r="S431">
        <v>0</v>
      </c>
    </row>
    <row r="432" spans="1:19" x14ac:dyDescent="0.25">
      <c r="A432" s="1">
        <v>46235</v>
      </c>
      <c r="B432" t="s">
        <v>97</v>
      </c>
      <c r="C432" t="s">
        <v>12</v>
      </c>
      <c r="D432">
        <v>0</v>
      </c>
      <c r="E432" t="s">
        <v>249</v>
      </c>
      <c r="F432">
        <v>46235</v>
      </c>
      <c r="G432" t="s">
        <v>149</v>
      </c>
      <c r="H432">
        <v>0</v>
      </c>
      <c r="I432">
        <v>0</v>
      </c>
      <c r="J432">
        <v>0</v>
      </c>
      <c r="K432">
        <v>0</v>
      </c>
      <c r="L432">
        <v>0</v>
      </c>
      <c r="M432" t="s">
        <v>119</v>
      </c>
      <c r="P432">
        <v>0</v>
      </c>
      <c r="Q432">
        <v>0</v>
      </c>
      <c r="R432">
        <v>0</v>
      </c>
      <c r="S432">
        <v>0</v>
      </c>
    </row>
    <row r="433" spans="1:19" x14ac:dyDescent="0.25">
      <c r="A433" s="1">
        <v>46235</v>
      </c>
      <c r="B433" t="s">
        <v>97</v>
      </c>
      <c r="C433" t="s">
        <v>11</v>
      </c>
      <c r="D433">
        <v>0</v>
      </c>
      <c r="E433" t="s">
        <v>249</v>
      </c>
      <c r="F433">
        <v>46235</v>
      </c>
      <c r="G433" t="s">
        <v>149</v>
      </c>
      <c r="H433">
        <v>0</v>
      </c>
      <c r="I433">
        <v>0</v>
      </c>
      <c r="J433">
        <v>0</v>
      </c>
      <c r="K433">
        <v>0</v>
      </c>
      <c r="L433">
        <v>0</v>
      </c>
      <c r="M433" t="s">
        <v>119</v>
      </c>
      <c r="P433">
        <v>0</v>
      </c>
      <c r="Q433">
        <v>0</v>
      </c>
      <c r="R433">
        <v>0</v>
      </c>
      <c r="S433">
        <v>0</v>
      </c>
    </row>
    <row r="434" spans="1:19" x14ac:dyDescent="0.25">
      <c r="A434" s="1">
        <v>46235</v>
      </c>
      <c r="B434" t="s">
        <v>97</v>
      </c>
      <c r="C434" t="s">
        <v>10</v>
      </c>
      <c r="D434">
        <v>0</v>
      </c>
      <c r="E434" t="s">
        <v>249</v>
      </c>
      <c r="F434">
        <v>46235</v>
      </c>
      <c r="G434" t="s">
        <v>149</v>
      </c>
      <c r="H434">
        <v>0</v>
      </c>
      <c r="I434">
        <v>0</v>
      </c>
      <c r="J434">
        <v>0</v>
      </c>
      <c r="K434">
        <v>0</v>
      </c>
      <c r="L434">
        <v>0</v>
      </c>
      <c r="M434" t="s">
        <v>119</v>
      </c>
      <c r="P434">
        <v>0</v>
      </c>
      <c r="Q434">
        <v>0</v>
      </c>
      <c r="R434">
        <v>0</v>
      </c>
      <c r="S434">
        <v>0</v>
      </c>
    </row>
    <row r="435" spans="1:19" x14ac:dyDescent="0.25">
      <c r="A435" s="1">
        <v>46236</v>
      </c>
      <c r="B435" t="s">
        <v>97</v>
      </c>
      <c r="C435" t="s">
        <v>12</v>
      </c>
      <c r="D435">
        <v>0</v>
      </c>
      <c r="E435" t="s">
        <v>249</v>
      </c>
      <c r="F435">
        <v>46236</v>
      </c>
      <c r="G435" t="s">
        <v>149</v>
      </c>
      <c r="H435">
        <v>0</v>
      </c>
      <c r="I435">
        <v>0</v>
      </c>
      <c r="J435">
        <v>0</v>
      </c>
      <c r="K435">
        <v>0</v>
      </c>
      <c r="L435">
        <v>0</v>
      </c>
      <c r="M435" t="s">
        <v>120</v>
      </c>
      <c r="P435">
        <v>0</v>
      </c>
      <c r="Q435">
        <v>0</v>
      </c>
      <c r="R435">
        <v>0</v>
      </c>
      <c r="S435">
        <v>0</v>
      </c>
    </row>
    <row r="436" spans="1:19" x14ac:dyDescent="0.25">
      <c r="A436" s="1">
        <v>46236</v>
      </c>
      <c r="B436" t="s">
        <v>97</v>
      </c>
      <c r="C436" t="s">
        <v>10</v>
      </c>
      <c r="D436">
        <v>0.4781119272703318</v>
      </c>
      <c r="E436" t="s">
        <v>249</v>
      </c>
      <c r="F436">
        <v>46236</v>
      </c>
      <c r="G436" t="s">
        <v>149</v>
      </c>
      <c r="H436">
        <v>0</v>
      </c>
      <c r="I436">
        <v>0</v>
      </c>
      <c r="J436">
        <v>0.4781119272703318</v>
      </c>
      <c r="K436">
        <v>0.4781119272703318</v>
      </c>
      <c r="L436">
        <v>0</v>
      </c>
      <c r="M436" t="s">
        <v>120</v>
      </c>
      <c r="P436">
        <v>0</v>
      </c>
      <c r="Q436">
        <v>0</v>
      </c>
      <c r="R436">
        <v>0</v>
      </c>
      <c r="S436">
        <v>0</v>
      </c>
    </row>
    <row r="437" spans="1:19" x14ac:dyDescent="0.25">
      <c r="A437" s="1">
        <v>46236</v>
      </c>
      <c r="B437" t="s">
        <v>97</v>
      </c>
      <c r="C437" t="s">
        <v>11</v>
      </c>
      <c r="D437">
        <v>0</v>
      </c>
      <c r="E437" t="s">
        <v>249</v>
      </c>
      <c r="F437">
        <v>46236</v>
      </c>
      <c r="G437" t="s">
        <v>149</v>
      </c>
      <c r="H437">
        <v>0</v>
      </c>
      <c r="I437">
        <v>0</v>
      </c>
      <c r="J437">
        <v>0</v>
      </c>
      <c r="K437">
        <v>0</v>
      </c>
      <c r="L437">
        <v>0</v>
      </c>
      <c r="M437" t="s">
        <v>120</v>
      </c>
      <c r="P437">
        <v>0</v>
      </c>
      <c r="Q437">
        <v>0</v>
      </c>
      <c r="R437">
        <v>0</v>
      </c>
      <c r="S437">
        <v>0</v>
      </c>
    </row>
    <row r="438" spans="1:19" x14ac:dyDescent="0.25">
      <c r="A438" s="1">
        <v>46237</v>
      </c>
      <c r="B438" t="s">
        <v>97</v>
      </c>
      <c r="C438" t="s">
        <v>11</v>
      </c>
      <c r="D438">
        <v>0</v>
      </c>
      <c r="E438" t="s">
        <v>249</v>
      </c>
      <c r="F438">
        <v>46237</v>
      </c>
      <c r="G438" t="s">
        <v>149</v>
      </c>
      <c r="H438">
        <v>0</v>
      </c>
      <c r="I438">
        <v>0</v>
      </c>
      <c r="J438">
        <v>0</v>
      </c>
      <c r="K438">
        <v>0</v>
      </c>
      <c r="L438">
        <v>0</v>
      </c>
      <c r="M438" t="s">
        <v>125</v>
      </c>
      <c r="P438">
        <v>0</v>
      </c>
      <c r="Q438">
        <v>0</v>
      </c>
      <c r="R438">
        <v>0</v>
      </c>
      <c r="S438">
        <v>0</v>
      </c>
    </row>
    <row r="439" spans="1:19" x14ac:dyDescent="0.25">
      <c r="A439" s="1">
        <v>46237</v>
      </c>
      <c r="B439" t="s">
        <v>97</v>
      </c>
      <c r="C439" t="s">
        <v>10</v>
      </c>
      <c r="D439">
        <v>0.95622385454066372</v>
      </c>
      <c r="E439" t="s">
        <v>249</v>
      </c>
      <c r="F439">
        <v>46237</v>
      </c>
      <c r="G439" t="s">
        <v>149</v>
      </c>
      <c r="H439">
        <v>0</v>
      </c>
      <c r="I439">
        <v>0</v>
      </c>
      <c r="J439">
        <v>0.13269444277595779</v>
      </c>
      <c r="K439">
        <v>0.13269444277595779</v>
      </c>
      <c r="L439">
        <v>0</v>
      </c>
      <c r="M439" t="s">
        <v>125</v>
      </c>
      <c r="P439">
        <v>0</v>
      </c>
      <c r="Q439">
        <v>0</v>
      </c>
      <c r="R439">
        <v>0</v>
      </c>
      <c r="S439">
        <v>0</v>
      </c>
    </row>
    <row r="440" spans="1:19" x14ac:dyDescent="0.25">
      <c r="A440" s="1">
        <v>46237</v>
      </c>
      <c r="B440" t="s">
        <v>97</v>
      </c>
      <c r="C440" t="s">
        <v>12</v>
      </c>
      <c r="D440">
        <v>0</v>
      </c>
      <c r="E440" t="s">
        <v>249</v>
      </c>
      <c r="F440">
        <v>46237</v>
      </c>
      <c r="G440" t="s">
        <v>149</v>
      </c>
      <c r="H440">
        <v>0</v>
      </c>
      <c r="I440">
        <v>0</v>
      </c>
      <c r="J440">
        <v>0</v>
      </c>
      <c r="K440">
        <v>0</v>
      </c>
      <c r="L440">
        <v>0</v>
      </c>
      <c r="M440" t="s">
        <v>125</v>
      </c>
      <c r="P440">
        <v>0</v>
      </c>
      <c r="Q440">
        <v>0</v>
      </c>
      <c r="R440">
        <v>0</v>
      </c>
      <c r="S440">
        <v>0</v>
      </c>
    </row>
    <row r="441" spans="1:19" x14ac:dyDescent="0.25">
      <c r="A441" s="1">
        <v>46238</v>
      </c>
      <c r="B441" t="s">
        <v>97</v>
      </c>
      <c r="C441" t="s">
        <v>12</v>
      </c>
      <c r="D441">
        <v>0</v>
      </c>
      <c r="E441" t="s">
        <v>249</v>
      </c>
      <c r="F441">
        <v>46238</v>
      </c>
      <c r="G441" t="s">
        <v>149</v>
      </c>
      <c r="H441">
        <v>0</v>
      </c>
      <c r="I441">
        <v>0</v>
      </c>
      <c r="J441">
        <v>0</v>
      </c>
      <c r="K441">
        <v>0</v>
      </c>
      <c r="L441">
        <v>0</v>
      </c>
      <c r="M441" t="s">
        <v>126</v>
      </c>
      <c r="P441">
        <v>0</v>
      </c>
      <c r="Q441">
        <v>0</v>
      </c>
      <c r="R441">
        <v>0</v>
      </c>
      <c r="S441">
        <v>0</v>
      </c>
    </row>
    <row r="442" spans="1:19" x14ac:dyDescent="0.25">
      <c r="A442" s="1">
        <v>46238</v>
      </c>
      <c r="B442" t="s">
        <v>97</v>
      </c>
      <c r="C442" t="s">
        <v>10</v>
      </c>
      <c r="D442">
        <v>0.95622385454066372</v>
      </c>
      <c r="E442" t="s">
        <v>249</v>
      </c>
      <c r="F442">
        <v>46238</v>
      </c>
      <c r="G442" t="s">
        <v>149</v>
      </c>
      <c r="H442">
        <v>0</v>
      </c>
      <c r="I442">
        <v>0</v>
      </c>
      <c r="J442">
        <v>0.13269444277595779</v>
      </c>
      <c r="K442">
        <v>0.13269444277595779</v>
      </c>
      <c r="L442">
        <v>0</v>
      </c>
      <c r="M442" t="s">
        <v>126</v>
      </c>
      <c r="P442">
        <v>0</v>
      </c>
      <c r="Q442">
        <v>0</v>
      </c>
      <c r="R442">
        <v>0</v>
      </c>
      <c r="S442">
        <v>0</v>
      </c>
    </row>
    <row r="443" spans="1:19" x14ac:dyDescent="0.25">
      <c r="A443" s="1">
        <v>46238</v>
      </c>
      <c r="B443" t="s">
        <v>97</v>
      </c>
      <c r="C443" t="s">
        <v>11</v>
      </c>
      <c r="D443">
        <v>0</v>
      </c>
      <c r="E443" t="s">
        <v>249</v>
      </c>
      <c r="F443">
        <v>46238</v>
      </c>
      <c r="G443" t="s">
        <v>149</v>
      </c>
      <c r="H443">
        <v>0</v>
      </c>
      <c r="I443">
        <v>0</v>
      </c>
      <c r="J443">
        <v>0</v>
      </c>
      <c r="K443">
        <v>0</v>
      </c>
      <c r="L443">
        <v>0</v>
      </c>
      <c r="M443" t="s">
        <v>126</v>
      </c>
      <c r="P443">
        <v>0</v>
      </c>
      <c r="Q443">
        <v>0</v>
      </c>
      <c r="R443">
        <v>0</v>
      </c>
      <c r="S443">
        <v>0</v>
      </c>
    </row>
    <row r="444" spans="1:19" x14ac:dyDescent="0.25">
      <c r="A444" s="1">
        <v>46239</v>
      </c>
      <c r="B444" t="s">
        <v>97</v>
      </c>
      <c r="C444" t="s">
        <v>11</v>
      </c>
      <c r="D444">
        <v>0</v>
      </c>
      <c r="E444" t="s">
        <v>249</v>
      </c>
      <c r="F444">
        <v>46239</v>
      </c>
      <c r="G444" t="s">
        <v>149</v>
      </c>
      <c r="H444">
        <v>0</v>
      </c>
      <c r="I444">
        <v>0</v>
      </c>
      <c r="J444">
        <v>0</v>
      </c>
      <c r="K444">
        <v>0</v>
      </c>
      <c r="L444">
        <v>0</v>
      </c>
      <c r="M444" t="s">
        <v>127</v>
      </c>
      <c r="P444">
        <v>0</v>
      </c>
      <c r="Q444">
        <v>0</v>
      </c>
      <c r="R444">
        <v>0</v>
      </c>
      <c r="S444">
        <v>0</v>
      </c>
    </row>
    <row r="445" spans="1:19" x14ac:dyDescent="0.25">
      <c r="A445" s="1">
        <v>46239</v>
      </c>
      <c r="B445" t="s">
        <v>97</v>
      </c>
      <c r="C445" t="s">
        <v>10</v>
      </c>
      <c r="D445">
        <v>2.8686715636219908</v>
      </c>
      <c r="E445" t="s">
        <v>249</v>
      </c>
      <c r="F445">
        <v>46239</v>
      </c>
      <c r="G445" t="s">
        <v>149</v>
      </c>
      <c r="H445">
        <v>0</v>
      </c>
      <c r="I445">
        <v>0</v>
      </c>
      <c r="J445">
        <v>1.2161947834362321</v>
      </c>
      <c r="K445">
        <v>1.2161947834362321</v>
      </c>
      <c r="L445">
        <v>0.70247678018575876</v>
      </c>
      <c r="M445" t="s">
        <v>127</v>
      </c>
      <c r="P445">
        <v>0</v>
      </c>
      <c r="Q445">
        <v>0</v>
      </c>
      <c r="R445">
        <v>0</v>
      </c>
      <c r="S445">
        <v>0</v>
      </c>
    </row>
    <row r="446" spans="1:19" x14ac:dyDescent="0.25">
      <c r="A446" s="1">
        <v>46239</v>
      </c>
      <c r="B446" t="s">
        <v>97</v>
      </c>
      <c r="C446" t="s">
        <v>12</v>
      </c>
      <c r="D446">
        <v>0.67498154438164493</v>
      </c>
      <c r="E446" t="s">
        <v>249</v>
      </c>
      <c r="F446">
        <v>46239</v>
      </c>
      <c r="G446" t="s">
        <v>149</v>
      </c>
      <c r="H446">
        <v>0.70465414767897827</v>
      </c>
      <c r="I446">
        <v>0.70465414767897827</v>
      </c>
      <c r="J446">
        <v>0</v>
      </c>
      <c r="K446">
        <v>0</v>
      </c>
      <c r="L446">
        <v>0</v>
      </c>
      <c r="M446" t="s">
        <v>127</v>
      </c>
      <c r="P446">
        <v>123.17354501428539</v>
      </c>
      <c r="Q446">
        <v>0</v>
      </c>
      <c r="R446">
        <v>0</v>
      </c>
      <c r="S446">
        <v>123.17354501428539</v>
      </c>
    </row>
    <row r="447" spans="1:19" x14ac:dyDescent="0.25">
      <c r="A447" s="1">
        <v>46240</v>
      </c>
      <c r="B447" t="s">
        <v>97</v>
      </c>
      <c r="C447" t="s">
        <v>10</v>
      </c>
      <c r="D447">
        <v>2.8686715636219913</v>
      </c>
      <c r="E447" t="s">
        <v>249</v>
      </c>
      <c r="F447">
        <v>46240</v>
      </c>
      <c r="G447" t="s">
        <v>149</v>
      </c>
      <c r="H447">
        <v>0</v>
      </c>
      <c r="I447">
        <v>0</v>
      </c>
      <c r="J447">
        <v>1.2161947834362328</v>
      </c>
      <c r="K447">
        <v>1.2161947834362328</v>
      </c>
      <c r="L447">
        <v>0.70247678018575843</v>
      </c>
      <c r="M447" t="s">
        <v>128</v>
      </c>
      <c r="P447">
        <v>0</v>
      </c>
      <c r="Q447">
        <v>0</v>
      </c>
      <c r="R447">
        <v>0</v>
      </c>
      <c r="S447">
        <v>0</v>
      </c>
    </row>
    <row r="448" spans="1:19" x14ac:dyDescent="0.25">
      <c r="A448" s="1">
        <v>46240</v>
      </c>
      <c r="B448" t="s">
        <v>97</v>
      </c>
      <c r="C448" t="s">
        <v>11</v>
      </c>
      <c r="D448">
        <v>0</v>
      </c>
      <c r="E448" t="s">
        <v>249</v>
      </c>
      <c r="F448">
        <v>46240</v>
      </c>
      <c r="G448" t="s">
        <v>149</v>
      </c>
      <c r="H448">
        <v>0</v>
      </c>
      <c r="I448">
        <v>0</v>
      </c>
      <c r="J448">
        <v>0</v>
      </c>
      <c r="K448">
        <v>0</v>
      </c>
      <c r="L448">
        <v>0</v>
      </c>
      <c r="M448" t="s">
        <v>128</v>
      </c>
      <c r="P448">
        <v>0</v>
      </c>
      <c r="Q448">
        <v>0</v>
      </c>
      <c r="R448">
        <v>0</v>
      </c>
      <c r="S448">
        <v>0</v>
      </c>
    </row>
    <row r="449" spans="1:19" x14ac:dyDescent="0.25">
      <c r="A449" s="1">
        <v>46240</v>
      </c>
      <c r="B449" t="s">
        <v>97</v>
      </c>
      <c r="C449" t="s">
        <v>12</v>
      </c>
      <c r="D449">
        <v>0</v>
      </c>
      <c r="E449" t="s">
        <v>249</v>
      </c>
      <c r="F449">
        <v>46240</v>
      </c>
      <c r="G449" t="s">
        <v>149</v>
      </c>
      <c r="H449">
        <v>0</v>
      </c>
      <c r="I449">
        <v>0</v>
      </c>
      <c r="J449">
        <v>0</v>
      </c>
      <c r="K449">
        <v>0</v>
      </c>
      <c r="L449">
        <v>0</v>
      </c>
      <c r="M449" t="s">
        <v>128</v>
      </c>
      <c r="P449">
        <v>0</v>
      </c>
      <c r="Q449">
        <v>0</v>
      </c>
      <c r="R449">
        <v>0</v>
      </c>
      <c r="S449">
        <v>0</v>
      </c>
    </row>
    <row r="450" spans="1:19" x14ac:dyDescent="0.25">
      <c r="A450" s="1">
        <v>46241</v>
      </c>
      <c r="B450" t="s">
        <v>97</v>
      </c>
      <c r="C450" t="s">
        <v>12</v>
      </c>
      <c r="D450">
        <v>0</v>
      </c>
      <c r="E450" t="s">
        <v>249</v>
      </c>
      <c r="F450">
        <v>46241</v>
      </c>
      <c r="G450" t="s">
        <v>149</v>
      </c>
      <c r="H450">
        <v>0</v>
      </c>
      <c r="I450">
        <v>0</v>
      </c>
      <c r="J450">
        <v>0</v>
      </c>
      <c r="K450">
        <v>0</v>
      </c>
      <c r="L450">
        <v>0</v>
      </c>
      <c r="M450" t="s">
        <v>129</v>
      </c>
      <c r="P450">
        <v>0</v>
      </c>
      <c r="Q450">
        <v>0</v>
      </c>
      <c r="R450">
        <v>0</v>
      </c>
      <c r="S450">
        <v>0</v>
      </c>
    </row>
    <row r="451" spans="1:19" x14ac:dyDescent="0.25">
      <c r="A451" s="1">
        <v>46241</v>
      </c>
      <c r="B451" t="s">
        <v>97</v>
      </c>
      <c r="C451" t="s">
        <v>11</v>
      </c>
      <c r="D451">
        <v>0</v>
      </c>
      <c r="E451" t="s">
        <v>249</v>
      </c>
      <c r="F451">
        <v>46241</v>
      </c>
      <c r="G451" t="s">
        <v>149</v>
      </c>
      <c r="H451">
        <v>0</v>
      </c>
      <c r="I451">
        <v>0</v>
      </c>
      <c r="J451">
        <v>0</v>
      </c>
      <c r="K451">
        <v>0</v>
      </c>
      <c r="L451">
        <v>0</v>
      </c>
      <c r="M451" t="s">
        <v>129</v>
      </c>
      <c r="P451">
        <v>0</v>
      </c>
      <c r="Q451">
        <v>0</v>
      </c>
      <c r="R451">
        <v>0</v>
      </c>
      <c r="S451">
        <v>0</v>
      </c>
    </row>
    <row r="452" spans="1:19" x14ac:dyDescent="0.25">
      <c r="A452" s="1">
        <v>46241</v>
      </c>
      <c r="B452" t="s">
        <v>97</v>
      </c>
      <c r="C452" t="s">
        <v>10</v>
      </c>
      <c r="D452">
        <v>1.9124477090813268</v>
      </c>
      <c r="E452" t="s">
        <v>249</v>
      </c>
      <c r="F452">
        <v>46241</v>
      </c>
      <c r="G452" t="s">
        <v>149</v>
      </c>
      <c r="H452">
        <v>0</v>
      </c>
      <c r="I452">
        <v>0</v>
      </c>
      <c r="J452">
        <v>1.9124477090813268</v>
      </c>
      <c r="K452">
        <v>1.9124477090813268</v>
      </c>
      <c r="L452">
        <v>0</v>
      </c>
      <c r="M452" t="s">
        <v>129</v>
      </c>
      <c r="P452">
        <v>0</v>
      </c>
      <c r="Q452">
        <v>0</v>
      </c>
      <c r="R452">
        <v>0</v>
      </c>
      <c r="S452">
        <v>0</v>
      </c>
    </row>
    <row r="453" spans="1:19" x14ac:dyDescent="0.25">
      <c r="A453" s="1">
        <v>46242</v>
      </c>
      <c r="B453" t="s">
        <v>97</v>
      </c>
      <c r="C453" t="s">
        <v>12</v>
      </c>
      <c r="D453">
        <v>0</v>
      </c>
      <c r="E453" t="s">
        <v>249</v>
      </c>
      <c r="F453">
        <v>46242</v>
      </c>
      <c r="G453" t="s">
        <v>149</v>
      </c>
      <c r="H453">
        <v>0</v>
      </c>
      <c r="I453">
        <v>0</v>
      </c>
      <c r="J453">
        <v>0</v>
      </c>
      <c r="K453">
        <v>0</v>
      </c>
      <c r="L453">
        <v>0</v>
      </c>
      <c r="M453" t="s">
        <v>119</v>
      </c>
      <c r="P453">
        <v>0</v>
      </c>
      <c r="Q453">
        <v>0</v>
      </c>
      <c r="R453">
        <v>0</v>
      </c>
      <c r="S453">
        <v>0</v>
      </c>
    </row>
    <row r="454" spans="1:19" x14ac:dyDescent="0.25">
      <c r="A454" s="1">
        <v>46242</v>
      </c>
      <c r="B454" t="s">
        <v>97</v>
      </c>
      <c r="C454" t="s">
        <v>10</v>
      </c>
      <c r="D454">
        <v>0.95622385454066372</v>
      </c>
      <c r="E454" t="s">
        <v>249</v>
      </c>
      <c r="F454">
        <v>46242</v>
      </c>
      <c r="G454" t="s">
        <v>149</v>
      </c>
      <c r="H454">
        <v>0</v>
      </c>
      <c r="I454">
        <v>0</v>
      </c>
      <c r="J454">
        <v>0.95622385454066372</v>
      </c>
      <c r="K454">
        <v>0.95622385454066372</v>
      </c>
      <c r="L454">
        <v>0</v>
      </c>
      <c r="M454" t="s">
        <v>119</v>
      </c>
      <c r="P454">
        <v>0</v>
      </c>
      <c r="Q454">
        <v>0</v>
      </c>
      <c r="R454">
        <v>0</v>
      </c>
      <c r="S454">
        <v>0</v>
      </c>
    </row>
    <row r="455" spans="1:19" x14ac:dyDescent="0.25">
      <c r="A455" s="1">
        <v>46242</v>
      </c>
      <c r="B455" t="s">
        <v>97</v>
      </c>
      <c r="C455" t="s">
        <v>11</v>
      </c>
      <c r="D455">
        <v>0</v>
      </c>
      <c r="E455" t="s">
        <v>249</v>
      </c>
      <c r="F455">
        <v>46242</v>
      </c>
      <c r="G455" t="s">
        <v>149</v>
      </c>
      <c r="H455">
        <v>0</v>
      </c>
      <c r="I455">
        <v>0</v>
      </c>
      <c r="J455">
        <v>0</v>
      </c>
      <c r="K455">
        <v>0</v>
      </c>
      <c r="L455">
        <v>0</v>
      </c>
      <c r="M455" t="s">
        <v>119</v>
      </c>
      <c r="P455">
        <v>0</v>
      </c>
      <c r="Q455">
        <v>0</v>
      </c>
      <c r="R455">
        <v>0</v>
      </c>
      <c r="S455">
        <v>0</v>
      </c>
    </row>
    <row r="456" spans="1:19" x14ac:dyDescent="0.25">
      <c r="A456" s="1">
        <v>46243</v>
      </c>
      <c r="B456" t="s">
        <v>97</v>
      </c>
      <c r="C456" t="s">
        <v>12</v>
      </c>
      <c r="D456">
        <v>0</v>
      </c>
      <c r="E456" t="s">
        <v>249</v>
      </c>
      <c r="F456">
        <v>46243</v>
      </c>
      <c r="G456" t="s">
        <v>149</v>
      </c>
      <c r="H456">
        <v>0</v>
      </c>
      <c r="I456">
        <v>0</v>
      </c>
      <c r="J456">
        <v>0</v>
      </c>
      <c r="K456">
        <v>0</v>
      </c>
      <c r="L456">
        <v>0</v>
      </c>
      <c r="M456" t="s">
        <v>120</v>
      </c>
      <c r="P456">
        <v>0</v>
      </c>
      <c r="Q456">
        <v>0</v>
      </c>
      <c r="R456">
        <v>0</v>
      </c>
      <c r="S456">
        <v>0</v>
      </c>
    </row>
    <row r="457" spans="1:19" x14ac:dyDescent="0.25">
      <c r="A457" s="1">
        <v>46243</v>
      </c>
      <c r="B457" t="s">
        <v>97</v>
      </c>
      <c r="C457" t="s">
        <v>11</v>
      </c>
      <c r="D457">
        <v>0</v>
      </c>
      <c r="E457" t="s">
        <v>249</v>
      </c>
      <c r="F457">
        <v>46243</v>
      </c>
      <c r="G457" t="s">
        <v>149</v>
      </c>
      <c r="H457">
        <v>0</v>
      </c>
      <c r="I457">
        <v>0</v>
      </c>
      <c r="J457">
        <v>0</v>
      </c>
      <c r="K457">
        <v>0</v>
      </c>
      <c r="L457">
        <v>0</v>
      </c>
      <c r="M457" t="s">
        <v>120</v>
      </c>
      <c r="P457">
        <v>0</v>
      </c>
      <c r="Q457">
        <v>0</v>
      </c>
      <c r="R457">
        <v>0</v>
      </c>
      <c r="S457">
        <v>0</v>
      </c>
    </row>
    <row r="458" spans="1:19" x14ac:dyDescent="0.25">
      <c r="A458" s="1">
        <v>46243</v>
      </c>
      <c r="B458" t="s">
        <v>97</v>
      </c>
      <c r="C458" t="s">
        <v>10</v>
      </c>
      <c r="D458">
        <v>0.95622385454066372</v>
      </c>
      <c r="E458" t="s">
        <v>249</v>
      </c>
      <c r="F458">
        <v>46243</v>
      </c>
      <c r="G458" t="s">
        <v>149</v>
      </c>
      <c r="H458">
        <v>0</v>
      </c>
      <c r="I458">
        <v>0</v>
      </c>
      <c r="J458">
        <v>0.13269444277595779</v>
      </c>
      <c r="K458">
        <v>0.13269444277595779</v>
      </c>
      <c r="L458">
        <v>0</v>
      </c>
      <c r="M458" t="s">
        <v>120</v>
      </c>
      <c r="P458">
        <v>0</v>
      </c>
      <c r="Q458">
        <v>0</v>
      </c>
      <c r="R458">
        <v>0</v>
      </c>
      <c r="S458">
        <v>0</v>
      </c>
    </row>
    <row r="459" spans="1:19" x14ac:dyDescent="0.25">
      <c r="A459" s="1">
        <v>46244</v>
      </c>
      <c r="B459" t="s">
        <v>97</v>
      </c>
      <c r="C459" t="s">
        <v>10</v>
      </c>
      <c r="D459">
        <v>0</v>
      </c>
      <c r="E459" t="s">
        <v>249</v>
      </c>
      <c r="F459">
        <v>46244</v>
      </c>
      <c r="G459" t="s">
        <v>149</v>
      </c>
      <c r="H459">
        <v>0</v>
      </c>
      <c r="I459">
        <v>0</v>
      </c>
      <c r="J459">
        <v>0</v>
      </c>
      <c r="K459">
        <v>0</v>
      </c>
      <c r="L459">
        <v>0</v>
      </c>
      <c r="M459" t="s">
        <v>125</v>
      </c>
      <c r="P459">
        <v>0</v>
      </c>
      <c r="Q459">
        <v>0</v>
      </c>
      <c r="R459">
        <v>0</v>
      </c>
      <c r="S459">
        <v>0</v>
      </c>
    </row>
    <row r="460" spans="1:19" x14ac:dyDescent="0.25">
      <c r="A460" s="1">
        <v>46244</v>
      </c>
      <c r="B460" t="s">
        <v>97</v>
      </c>
      <c r="C460" t="s">
        <v>11</v>
      </c>
      <c r="D460">
        <v>0</v>
      </c>
      <c r="E460" t="s">
        <v>249</v>
      </c>
      <c r="F460">
        <v>46244</v>
      </c>
      <c r="G460" t="s">
        <v>149</v>
      </c>
      <c r="H460">
        <v>0</v>
      </c>
      <c r="I460">
        <v>0</v>
      </c>
      <c r="J460">
        <v>0</v>
      </c>
      <c r="K460">
        <v>0</v>
      </c>
      <c r="L460">
        <v>0</v>
      </c>
      <c r="M460" t="s">
        <v>125</v>
      </c>
      <c r="P460">
        <v>0</v>
      </c>
      <c r="Q460">
        <v>0</v>
      </c>
      <c r="R460">
        <v>0</v>
      </c>
      <c r="S460">
        <v>0</v>
      </c>
    </row>
    <row r="461" spans="1:19" x14ac:dyDescent="0.25">
      <c r="A461" s="1">
        <v>46244</v>
      </c>
      <c r="B461" t="s">
        <v>97</v>
      </c>
      <c r="C461" t="s">
        <v>12</v>
      </c>
      <c r="D461">
        <v>0</v>
      </c>
      <c r="E461" t="s">
        <v>249</v>
      </c>
      <c r="F461">
        <v>46244</v>
      </c>
      <c r="G461" t="s">
        <v>149</v>
      </c>
      <c r="H461">
        <v>0</v>
      </c>
      <c r="I461">
        <v>0</v>
      </c>
      <c r="J461">
        <v>0</v>
      </c>
      <c r="K461">
        <v>0</v>
      </c>
      <c r="L461">
        <v>0</v>
      </c>
      <c r="M461" t="s">
        <v>125</v>
      </c>
      <c r="P461">
        <v>0</v>
      </c>
      <c r="Q461">
        <v>0</v>
      </c>
      <c r="R461">
        <v>0</v>
      </c>
      <c r="S461">
        <v>0</v>
      </c>
    </row>
    <row r="462" spans="1:19" x14ac:dyDescent="0.25">
      <c r="A462" s="1">
        <v>46245</v>
      </c>
      <c r="B462" t="s">
        <v>97</v>
      </c>
      <c r="C462" t="s">
        <v>12</v>
      </c>
      <c r="D462">
        <v>0</v>
      </c>
      <c r="E462" t="s">
        <v>249</v>
      </c>
      <c r="F462">
        <v>46245</v>
      </c>
      <c r="G462" t="s">
        <v>149</v>
      </c>
      <c r="H462">
        <v>0</v>
      </c>
      <c r="I462">
        <v>0</v>
      </c>
      <c r="J462">
        <v>0</v>
      </c>
      <c r="K462">
        <v>0</v>
      </c>
      <c r="L462">
        <v>0</v>
      </c>
      <c r="M462" t="s">
        <v>126</v>
      </c>
      <c r="P462">
        <v>0</v>
      </c>
      <c r="Q462">
        <v>0</v>
      </c>
      <c r="R462">
        <v>0</v>
      </c>
      <c r="S462">
        <v>0</v>
      </c>
    </row>
    <row r="463" spans="1:19" x14ac:dyDescent="0.25">
      <c r="A463" s="1">
        <v>46245</v>
      </c>
      <c r="B463" t="s">
        <v>97</v>
      </c>
      <c r="C463" t="s">
        <v>10</v>
      </c>
      <c r="D463">
        <v>1.9124477090813272</v>
      </c>
      <c r="E463" t="s">
        <v>249</v>
      </c>
      <c r="F463">
        <v>46245</v>
      </c>
      <c r="G463" t="s">
        <v>149</v>
      </c>
      <c r="H463">
        <v>0</v>
      </c>
      <c r="I463">
        <v>0</v>
      </c>
      <c r="J463">
        <v>1.0889182973166216</v>
      </c>
      <c r="K463">
        <v>1.0889182973166216</v>
      </c>
      <c r="L463">
        <v>0</v>
      </c>
      <c r="M463" t="s">
        <v>126</v>
      </c>
      <c r="P463">
        <v>0</v>
      </c>
      <c r="Q463">
        <v>0</v>
      </c>
      <c r="R463">
        <v>0</v>
      </c>
      <c r="S463">
        <v>0</v>
      </c>
    </row>
    <row r="464" spans="1:19" x14ac:dyDescent="0.25">
      <c r="A464" s="1">
        <v>46245</v>
      </c>
      <c r="B464" t="s">
        <v>97</v>
      </c>
      <c r="C464" t="s">
        <v>11</v>
      </c>
      <c r="D464">
        <v>0</v>
      </c>
      <c r="E464" t="s">
        <v>249</v>
      </c>
      <c r="F464">
        <v>46245</v>
      </c>
      <c r="G464" t="s">
        <v>149</v>
      </c>
      <c r="H464">
        <v>0</v>
      </c>
      <c r="I464">
        <v>0</v>
      </c>
      <c r="J464">
        <v>0</v>
      </c>
      <c r="K464">
        <v>0</v>
      </c>
      <c r="L464">
        <v>0</v>
      </c>
      <c r="M464" t="s">
        <v>126</v>
      </c>
      <c r="P464">
        <v>0</v>
      </c>
      <c r="Q464">
        <v>0</v>
      </c>
      <c r="R464">
        <v>0</v>
      </c>
      <c r="S464">
        <v>0</v>
      </c>
    </row>
    <row r="465" spans="1:19" x14ac:dyDescent="0.25">
      <c r="A465" s="1">
        <v>46246</v>
      </c>
      <c r="B465" t="s">
        <v>97</v>
      </c>
      <c r="C465" t="s">
        <v>10</v>
      </c>
      <c r="D465">
        <v>2.8686715636219908</v>
      </c>
      <c r="E465" t="s">
        <v>249</v>
      </c>
      <c r="F465">
        <v>46246</v>
      </c>
      <c r="G465" t="s">
        <v>149</v>
      </c>
      <c r="H465">
        <v>0</v>
      </c>
      <c r="I465">
        <v>0</v>
      </c>
      <c r="J465">
        <v>1.2216127400925791</v>
      </c>
      <c r="K465">
        <v>1.2216127400925791</v>
      </c>
      <c r="L465">
        <v>0</v>
      </c>
      <c r="M465" t="s">
        <v>127</v>
      </c>
      <c r="P465">
        <v>0</v>
      </c>
      <c r="Q465">
        <v>0</v>
      </c>
      <c r="R465">
        <v>0</v>
      </c>
      <c r="S465">
        <v>0</v>
      </c>
    </row>
    <row r="466" spans="1:19" x14ac:dyDescent="0.25">
      <c r="A466" s="1">
        <v>46246</v>
      </c>
      <c r="B466" t="s">
        <v>97</v>
      </c>
      <c r="C466" t="s">
        <v>11</v>
      </c>
      <c r="D466">
        <v>0</v>
      </c>
      <c r="E466" t="s">
        <v>249</v>
      </c>
      <c r="F466">
        <v>46246</v>
      </c>
      <c r="G466" t="s">
        <v>149</v>
      </c>
      <c r="H466">
        <v>0</v>
      </c>
      <c r="I466">
        <v>0</v>
      </c>
      <c r="J466">
        <v>0</v>
      </c>
      <c r="K466">
        <v>0</v>
      </c>
      <c r="L466">
        <v>0</v>
      </c>
      <c r="M466" t="s">
        <v>127</v>
      </c>
      <c r="P466">
        <v>0</v>
      </c>
      <c r="Q466">
        <v>0</v>
      </c>
      <c r="R466">
        <v>0</v>
      </c>
      <c r="S466">
        <v>0</v>
      </c>
    </row>
    <row r="467" spans="1:19" x14ac:dyDescent="0.25">
      <c r="A467" s="1">
        <v>46246</v>
      </c>
      <c r="B467" t="s">
        <v>97</v>
      </c>
      <c r="C467" t="s">
        <v>12</v>
      </c>
      <c r="D467">
        <v>0.67498154438164493</v>
      </c>
      <c r="E467" t="s">
        <v>249</v>
      </c>
      <c r="F467">
        <v>46246</v>
      </c>
      <c r="G467" t="s">
        <v>149</v>
      </c>
      <c r="H467">
        <v>0.53791209904561121</v>
      </c>
      <c r="I467">
        <v>0.53791209904561121</v>
      </c>
      <c r="J467">
        <v>0</v>
      </c>
      <c r="K467">
        <v>0</v>
      </c>
      <c r="L467">
        <v>0</v>
      </c>
      <c r="M467" t="s">
        <v>127</v>
      </c>
      <c r="P467">
        <v>94.027034913172841</v>
      </c>
      <c r="Q467">
        <v>0</v>
      </c>
      <c r="R467">
        <v>0</v>
      </c>
      <c r="S467">
        <v>94.027034913172841</v>
      </c>
    </row>
    <row r="468" spans="1:19" x14ac:dyDescent="0.25">
      <c r="A468" s="1">
        <v>46247</v>
      </c>
      <c r="B468" t="s">
        <v>97</v>
      </c>
      <c r="C468" t="s">
        <v>12</v>
      </c>
      <c r="D468">
        <v>0</v>
      </c>
      <c r="E468" t="s">
        <v>249</v>
      </c>
      <c r="F468">
        <v>46247</v>
      </c>
      <c r="G468" t="s">
        <v>149</v>
      </c>
      <c r="H468">
        <v>0</v>
      </c>
      <c r="I468">
        <v>0</v>
      </c>
      <c r="J468">
        <v>0</v>
      </c>
      <c r="K468">
        <v>0</v>
      </c>
      <c r="L468">
        <v>0</v>
      </c>
      <c r="M468" t="s">
        <v>128</v>
      </c>
      <c r="P468">
        <v>0</v>
      </c>
      <c r="Q468">
        <v>0</v>
      </c>
      <c r="R468">
        <v>0</v>
      </c>
      <c r="S468">
        <v>0</v>
      </c>
    </row>
    <row r="469" spans="1:19" x14ac:dyDescent="0.25">
      <c r="A469" s="1">
        <v>46247</v>
      </c>
      <c r="B469" t="s">
        <v>97</v>
      </c>
      <c r="C469" t="s">
        <v>11</v>
      </c>
      <c r="D469">
        <v>0</v>
      </c>
      <c r="E469" t="s">
        <v>249</v>
      </c>
      <c r="F469">
        <v>46247</v>
      </c>
      <c r="G469" t="s">
        <v>149</v>
      </c>
      <c r="H469">
        <v>0</v>
      </c>
      <c r="I469">
        <v>0</v>
      </c>
      <c r="J469">
        <v>0</v>
      </c>
      <c r="K469">
        <v>0</v>
      </c>
      <c r="L469">
        <v>0</v>
      </c>
      <c r="M469" t="s">
        <v>128</v>
      </c>
      <c r="P469">
        <v>0</v>
      </c>
      <c r="Q469">
        <v>0</v>
      </c>
      <c r="R469">
        <v>0</v>
      </c>
      <c r="S469">
        <v>0</v>
      </c>
    </row>
    <row r="470" spans="1:19" x14ac:dyDescent="0.25">
      <c r="A470" s="1">
        <v>46247</v>
      </c>
      <c r="B470" t="s">
        <v>97</v>
      </c>
      <c r="C470" t="s">
        <v>10</v>
      </c>
      <c r="D470">
        <v>2.8686715636219913</v>
      </c>
      <c r="E470" t="s">
        <v>249</v>
      </c>
      <c r="F470">
        <v>46247</v>
      </c>
      <c r="G470" t="s">
        <v>149</v>
      </c>
      <c r="H470">
        <v>0</v>
      </c>
      <c r="I470">
        <v>0</v>
      </c>
      <c r="J470">
        <v>1.2216127400925791</v>
      </c>
      <c r="K470">
        <v>1.2216127400925791</v>
      </c>
      <c r="L470">
        <v>0</v>
      </c>
      <c r="M470" t="s">
        <v>128</v>
      </c>
      <c r="P470">
        <v>0</v>
      </c>
      <c r="Q470">
        <v>0</v>
      </c>
      <c r="R470">
        <v>0</v>
      </c>
      <c r="S470">
        <v>0</v>
      </c>
    </row>
    <row r="471" spans="1:19" x14ac:dyDescent="0.25">
      <c r="A471" s="1">
        <v>46248</v>
      </c>
      <c r="B471" t="s">
        <v>97</v>
      </c>
      <c r="C471" t="s">
        <v>12</v>
      </c>
      <c r="D471">
        <v>0</v>
      </c>
      <c r="E471" t="s">
        <v>249</v>
      </c>
      <c r="F471">
        <v>46248</v>
      </c>
      <c r="G471" t="s">
        <v>149</v>
      </c>
      <c r="H471">
        <v>0</v>
      </c>
      <c r="I471">
        <v>0</v>
      </c>
      <c r="J471">
        <v>0</v>
      </c>
      <c r="K471">
        <v>0</v>
      </c>
      <c r="L471">
        <v>0</v>
      </c>
      <c r="M471" t="s">
        <v>129</v>
      </c>
      <c r="P471">
        <v>0</v>
      </c>
      <c r="Q471">
        <v>0</v>
      </c>
      <c r="R471">
        <v>0</v>
      </c>
      <c r="S471">
        <v>0</v>
      </c>
    </row>
    <row r="472" spans="1:19" x14ac:dyDescent="0.25">
      <c r="A472" s="1">
        <v>46248</v>
      </c>
      <c r="B472" t="s">
        <v>97</v>
      </c>
      <c r="C472" t="s">
        <v>10</v>
      </c>
      <c r="D472">
        <v>1.9124477090813268</v>
      </c>
      <c r="E472" t="s">
        <v>249</v>
      </c>
      <c r="F472">
        <v>46248</v>
      </c>
      <c r="G472" t="s">
        <v>149</v>
      </c>
      <c r="H472">
        <v>0</v>
      </c>
      <c r="I472">
        <v>0</v>
      </c>
      <c r="J472">
        <v>1.0889182973166207</v>
      </c>
      <c r="K472">
        <v>1.0889182973166207</v>
      </c>
      <c r="L472">
        <v>0</v>
      </c>
      <c r="M472" t="s">
        <v>129</v>
      </c>
      <c r="P472">
        <v>0</v>
      </c>
      <c r="Q472">
        <v>0</v>
      </c>
      <c r="R472">
        <v>0</v>
      </c>
      <c r="S472">
        <v>0</v>
      </c>
    </row>
    <row r="473" spans="1:19" x14ac:dyDescent="0.25">
      <c r="A473" s="1">
        <v>46248</v>
      </c>
      <c r="B473" t="s">
        <v>97</v>
      </c>
      <c r="C473" t="s">
        <v>11</v>
      </c>
      <c r="D473">
        <v>0</v>
      </c>
      <c r="E473" t="s">
        <v>249</v>
      </c>
      <c r="F473">
        <v>46248</v>
      </c>
      <c r="G473" t="s">
        <v>149</v>
      </c>
      <c r="H473">
        <v>0</v>
      </c>
      <c r="I473">
        <v>0</v>
      </c>
      <c r="J473">
        <v>0</v>
      </c>
      <c r="K473">
        <v>0</v>
      </c>
      <c r="L473">
        <v>0</v>
      </c>
      <c r="M473" t="s">
        <v>129</v>
      </c>
      <c r="P473">
        <v>0</v>
      </c>
      <c r="Q473">
        <v>0</v>
      </c>
      <c r="R473">
        <v>0</v>
      </c>
      <c r="S473">
        <v>0</v>
      </c>
    </row>
    <row r="474" spans="1:19" x14ac:dyDescent="0.25">
      <c r="A474" s="1">
        <v>46249</v>
      </c>
      <c r="B474" t="s">
        <v>97</v>
      </c>
      <c r="C474" t="s">
        <v>12</v>
      </c>
      <c r="D474">
        <v>0</v>
      </c>
      <c r="E474" t="s">
        <v>249</v>
      </c>
      <c r="F474">
        <v>46249</v>
      </c>
      <c r="G474" t="s">
        <v>149</v>
      </c>
      <c r="H474">
        <v>0</v>
      </c>
      <c r="I474">
        <v>0</v>
      </c>
      <c r="J474">
        <v>0</v>
      </c>
      <c r="K474">
        <v>0</v>
      </c>
      <c r="L474">
        <v>0</v>
      </c>
      <c r="M474" t="s">
        <v>119</v>
      </c>
      <c r="P474">
        <v>0</v>
      </c>
      <c r="Q474">
        <v>0</v>
      </c>
      <c r="R474">
        <v>0</v>
      </c>
      <c r="S474">
        <v>0</v>
      </c>
    </row>
    <row r="475" spans="1:19" x14ac:dyDescent="0.25">
      <c r="A475" s="1">
        <v>46249</v>
      </c>
      <c r="B475" t="s">
        <v>97</v>
      </c>
      <c r="C475" t="s">
        <v>11</v>
      </c>
      <c r="D475">
        <v>0</v>
      </c>
      <c r="E475" t="s">
        <v>249</v>
      </c>
      <c r="F475">
        <v>46249</v>
      </c>
      <c r="G475" t="s">
        <v>149</v>
      </c>
      <c r="H475">
        <v>0</v>
      </c>
      <c r="I475">
        <v>0</v>
      </c>
      <c r="J475">
        <v>0</v>
      </c>
      <c r="K475">
        <v>0</v>
      </c>
      <c r="L475">
        <v>0</v>
      </c>
      <c r="M475" t="s">
        <v>119</v>
      </c>
      <c r="P475">
        <v>0</v>
      </c>
      <c r="Q475">
        <v>0</v>
      </c>
      <c r="R475">
        <v>0</v>
      </c>
      <c r="S475">
        <v>0</v>
      </c>
    </row>
    <row r="476" spans="1:19" x14ac:dyDescent="0.25">
      <c r="A476" s="1">
        <v>46249</v>
      </c>
      <c r="B476" t="s">
        <v>97</v>
      </c>
      <c r="C476" t="s">
        <v>10</v>
      </c>
      <c r="D476">
        <v>0</v>
      </c>
      <c r="E476" t="s">
        <v>249</v>
      </c>
      <c r="F476">
        <v>46249</v>
      </c>
      <c r="G476" t="s">
        <v>149</v>
      </c>
      <c r="H476">
        <v>0</v>
      </c>
      <c r="I476">
        <v>0</v>
      </c>
      <c r="J476">
        <v>0</v>
      </c>
      <c r="K476">
        <v>0</v>
      </c>
      <c r="L476">
        <v>0</v>
      </c>
      <c r="M476" t="s">
        <v>119</v>
      </c>
      <c r="P476">
        <v>0</v>
      </c>
      <c r="Q476">
        <v>0</v>
      </c>
      <c r="R476">
        <v>0</v>
      </c>
      <c r="S476">
        <v>0</v>
      </c>
    </row>
    <row r="477" spans="1:19" x14ac:dyDescent="0.25">
      <c r="A477" s="1">
        <v>46250</v>
      </c>
      <c r="B477" t="s">
        <v>97</v>
      </c>
      <c r="C477" t="s">
        <v>11</v>
      </c>
      <c r="D477">
        <v>0</v>
      </c>
      <c r="E477" t="s">
        <v>249</v>
      </c>
      <c r="F477">
        <v>46250</v>
      </c>
      <c r="G477" t="s">
        <v>149</v>
      </c>
      <c r="H477">
        <v>0</v>
      </c>
      <c r="I477">
        <v>0</v>
      </c>
      <c r="J477">
        <v>0</v>
      </c>
      <c r="K477">
        <v>0</v>
      </c>
      <c r="L477">
        <v>0</v>
      </c>
      <c r="M477" t="s">
        <v>120</v>
      </c>
      <c r="P477">
        <v>0</v>
      </c>
      <c r="Q477">
        <v>0</v>
      </c>
      <c r="R477">
        <v>0</v>
      </c>
      <c r="S477">
        <v>0</v>
      </c>
    </row>
    <row r="478" spans="1:19" x14ac:dyDescent="0.25">
      <c r="A478" s="1">
        <v>46250</v>
      </c>
      <c r="B478" t="s">
        <v>97</v>
      </c>
      <c r="C478" t="s">
        <v>12</v>
      </c>
      <c r="D478">
        <v>0</v>
      </c>
      <c r="E478" t="s">
        <v>249</v>
      </c>
      <c r="F478">
        <v>46250</v>
      </c>
      <c r="G478" t="s">
        <v>149</v>
      </c>
      <c r="H478">
        <v>0</v>
      </c>
      <c r="I478">
        <v>0</v>
      </c>
      <c r="J478">
        <v>0</v>
      </c>
      <c r="K478">
        <v>0</v>
      </c>
      <c r="L478">
        <v>0</v>
      </c>
      <c r="M478" t="s">
        <v>120</v>
      </c>
      <c r="P478">
        <v>0</v>
      </c>
      <c r="Q478">
        <v>0</v>
      </c>
      <c r="R478">
        <v>0</v>
      </c>
      <c r="S478">
        <v>0</v>
      </c>
    </row>
    <row r="479" spans="1:19" x14ac:dyDescent="0.25">
      <c r="A479" s="1">
        <v>46250</v>
      </c>
      <c r="B479" t="s">
        <v>97</v>
      </c>
      <c r="C479" t="s">
        <v>10</v>
      </c>
      <c r="D479">
        <v>0.4781119272703318</v>
      </c>
      <c r="E479" t="s">
        <v>249</v>
      </c>
      <c r="F479">
        <v>46250</v>
      </c>
      <c r="G479" t="s">
        <v>149</v>
      </c>
      <c r="H479">
        <v>0</v>
      </c>
      <c r="I479">
        <v>0</v>
      </c>
      <c r="J479">
        <v>0.4781119272703318</v>
      </c>
      <c r="K479">
        <v>0.4781119272703318</v>
      </c>
      <c r="L479">
        <v>0</v>
      </c>
      <c r="M479" t="s">
        <v>120</v>
      </c>
      <c r="P479">
        <v>0</v>
      </c>
      <c r="Q479">
        <v>0</v>
      </c>
      <c r="R479">
        <v>0</v>
      </c>
      <c r="S479">
        <v>0</v>
      </c>
    </row>
    <row r="480" spans="1:19" x14ac:dyDescent="0.25">
      <c r="A480" s="1">
        <v>46223</v>
      </c>
      <c r="B480" t="s">
        <v>13</v>
      </c>
      <c r="C480" t="s">
        <v>10</v>
      </c>
      <c r="D480">
        <v>5.8204648795871563</v>
      </c>
      <c r="E480" t="s">
        <v>245</v>
      </c>
      <c r="F480">
        <v>46223</v>
      </c>
      <c r="G480" t="s">
        <v>149</v>
      </c>
      <c r="H480">
        <v>0</v>
      </c>
      <c r="I480">
        <v>0</v>
      </c>
      <c r="J480">
        <v>2.9969354678224494</v>
      </c>
      <c r="K480">
        <v>2.9969354678224494</v>
      </c>
      <c r="L480">
        <v>0</v>
      </c>
      <c r="M480" t="s">
        <v>125</v>
      </c>
      <c r="P480">
        <v>0</v>
      </c>
      <c r="Q480">
        <v>0</v>
      </c>
      <c r="R480">
        <v>0</v>
      </c>
      <c r="S480">
        <v>0</v>
      </c>
    </row>
    <row r="481" spans="1:19" x14ac:dyDescent="0.25">
      <c r="A481" s="1">
        <v>46223</v>
      </c>
      <c r="B481" t="s">
        <v>13</v>
      </c>
      <c r="C481" t="s">
        <v>12</v>
      </c>
      <c r="D481">
        <v>3.5180756278799441</v>
      </c>
      <c r="E481" t="s">
        <v>245</v>
      </c>
      <c r="F481">
        <v>46223</v>
      </c>
      <c r="G481" t="s">
        <v>149</v>
      </c>
      <c r="H481">
        <v>0.13305101742576819</v>
      </c>
      <c r="I481">
        <v>0.13305101742576819</v>
      </c>
      <c r="J481">
        <v>0</v>
      </c>
      <c r="K481">
        <v>0</v>
      </c>
      <c r="L481">
        <v>0.66807562787994434</v>
      </c>
      <c r="M481" t="s">
        <v>125</v>
      </c>
      <c r="P481">
        <v>23.257317846024279</v>
      </c>
      <c r="Q481">
        <v>0</v>
      </c>
      <c r="R481">
        <v>0</v>
      </c>
      <c r="S481">
        <v>23.257317846024279</v>
      </c>
    </row>
    <row r="482" spans="1:19" x14ac:dyDescent="0.25">
      <c r="A482" s="1">
        <v>46224</v>
      </c>
      <c r="B482" t="s">
        <v>13</v>
      </c>
      <c r="C482" t="s">
        <v>11</v>
      </c>
      <c r="D482">
        <v>87.306973193807323</v>
      </c>
      <c r="E482" t="s">
        <v>245</v>
      </c>
      <c r="F482">
        <v>46224</v>
      </c>
      <c r="G482" t="s">
        <v>149</v>
      </c>
      <c r="H482">
        <v>0</v>
      </c>
      <c r="I482">
        <v>0</v>
      </c>
      <c r="J482">
        <v>85.424620252630859</v>
      </c>
      <c r="K482">
        <v>85.424620252630859</v>
      </c>
      <c r="L482">
        <v>1.8823529411764703</v>
      </c>
      <c r="M482" t="s">
        <v>126</v>
      </c>
      <c r="P482">
        <v>0</v>
      </c>
      <c r="Q482">
        <v>0</v>
      </c>
      <c r="R482">
        <v>0</v>
      </c>
      <c r="S482">
        <v>0</v>
      </c>
    </row>
    <row r="483" spans="1:19" x14ac:dyDescent="0.25">
      <c r="A483" s="1">
        <v>46224</v>
      </c>
      <c r="B483" t="s">
        <v>13</v>
      </c>
      <c r="C483" t="s">
        <v>12</v>
      </c>
      <c r="D483">
        <v>0.98904373835292447</v>
      </c>
      <c r="E483" t="s">
        <v>245</v>
      </c>
      <c r="F483">
        <v>46224</v>
      </c>
      <c r="G483" t="s">
        <v>149</v>
      </c>
      <c r="H483">
        <v>3.030316370222824</v>
      </c>
      <c r="I483">
        <v>3.030316370222824</v>
      </c>
      <c r="J483">
        <v>0</v>
      </c>
      <c r="K483">
        <v>0</v>
      </c>
      <c r="L483">
        <v>3.9043738352924545E-2</v>
      </c>
      <c r="M483" t="s">
        <v>126</v>
      </c>
      <c r="P483">
        <v>529.69930151494964</v>
      </c>
      <c r="Q483">
        <v>0</v>
      </c>
      <c r="R483">
        <v>0</v>
      </c>
      <c r="S483">
        <v>529.69930151494964</v>
      </c>
    </row>
    <row r="484" spans="1:19" x14ac:dyDescent="0.25">
      <c r="A484" s="1">
        <v>46224</v>
      </c>
      <c r="B484" t="s">
        <v>13</v>
      </c>
      <c r="C484" t="s">
        <v>10</v>
      </c>
      <c r="D484">
        <v>3.0821750674581758</v>
      </c>
      <c r="E484" t="s">
        <v>245</v>
      </c>
      <c r="F484">
        <v>46224</v>
      </c>
      <c r="G484" t="s">
        <v>149</v>
      </c>
      <c r="H484">
        <v>0.22144453185056645</v>
      </c>
      <c r="I484">
        <v>0.22144453185056645</v>
      </c>
      <c r="J484">
        <v>0</v>
      </c>
      <c r="K484">
        <v>0</v>
      </c>
      <c r="L484">
        <v>0</v>
      </c>
      <c r="M484" t="s">
        <v>126</v>
      </c>
      <c r="P484">
        <v>38.708504167479013</v>
      </c>
      <c r="Q484">
        <v>0</v>
      </c>
      <c r="R484">
        <v>0</v>
      </c>
      <c r="S484">
        <v>38.708504167479013</v>
      </c>
    </row>
    <row r="485" spans="1:19" x14ac:dyDescent="0.25">
      <c r="A485" s="1">
        <v>46225</v>
      </c>
      <c r="B485" t="s">
        <v>13</v>
      </c>
      <c r="C485" t="s">
        <v>10</v>
      </c>
      <c r="D485">
        <v>1.6318761395934516</v>
      </c>
      <c r="E485" t="s">
        <v>245</v>
      </c>
      <c r="F485">
        <v>46225</v>
      </c>
      <c r="G485" t="s">
        <v>149</v>
      </c>
      <c r="H485">
        <v>1.3475325485766101</v>
      </c>
      <c r="I485">
        <v>1.3475325485766101</v>
      </c>
      <c r="J485">
        <v>0</v>
      </c>
      <c r="K485">
        <v>0</v>
      </c>
      <c r="L485">
        <v>0</v>
      </c>
      <c r="M485" t="s">
        <v>127</v>
      </c>
      <c r="P485">
        <v>235.54868949119145</v>
      </c>
      <c r="Q485">
        <v>0</v>
      </c>
      <c r="R485">
        <v>0</v>
      </c>
      <c r="S485">
        <v>235.54868949119145</v>
      </c>
    </row>
    <row r="486" spans="1:19" x14ac:dyDescent="0.25">
      <c r="A486" s="1">
        <v>46225</v>
      </c>
      <c r="B486" t="s">
        <v>13</v>
      </c>
      <c r="C486" t="s">
        <v>11</v>
      </c>
      <c r="D486">
        <v>5.1299788826579693</v>
      </c>
      <c r="E486" t="s">
        <v>245</v>
      </c>
      <c r="F486">
        <v>46225</v>
      </c>
      <c r="G486" t="s">
        <v>149</v>
      </c>
      <c r="H486">
        <v>0</v>
      </c>
      <c r="I486">
        <v>0</v>
      </c>
      <c r="J486">
        <v>3.1888024120697347</v>
      </c>
      <c r="K486">
        <v>3.1888024120697347</v>
      </c>
      <c r="L486">
        <v>1.9411764705882348</v>
      </c>
      <c r="M486" t="s">
        <v>127</v>
      </c>
      <c r="P486">
        <v>0</v>
      </c>
      <c r="Q486">
        <v>0</v>
      </c>
      <c r="R486">
        <v>0</v>
      </c>
      <c r="S486">
        <v>0</v>
      </c>
    </row>
    <row r="487" spans="1:19" x14ac:dyDescent="0.25">
      <c r="A487" s="1">
        <v>46225</v>
      </c>
      <c r="B487" t="s">
        <v>13</v>
      </c>
      <c r="C487" t="s">
        <v>12</v>
      </c>
      <c r="D487">
        <v>3.9638288809417879</v>
      </c>
      <c r="E487" t="s">
        <v>245</v>
      </c>
      <c r="F487">
        <v>46225</v>
      </c>
      <c r="G487" t="s">
        <v>149</v>
      </c>
      <c r="H487">
        <v>0.32616451750437792</v>
      </c>
      <c r="I487">
        <v>0.32616451750437792</v>
      </c>
      <c r="J487">
        <v>0</v>
      </c>
      <c r="K487">
        <v>0</v>
      </c>
      <c r="L487">
        <v>0</v>
      </c>
      <c r="M487" t="s">
        <v>127</v>
      </c>
      <c r="P487">
        <v>57.013557659765262</v>
      </c>
      <c r="Q487">
        <v>0</v>
      </c>
      <c r="R487">
        <v>0</v>
      </c>
      <c r="S487">
        <v>57.013557659765262</v>
      </c>
    </row>
    <row r="488" spans="1:19" x14ac:dyDescent="0.25">
      <c r="A488" s="1">
        <v>46226</v>
      </c>
      <c r="B488" t="s">
        <v>13</v>
      </c>
      <c r="C488" t="s">
        <v>12</v>
      </c>
      <c r="D488">
        <v>6.3408722746896915</v>
      </c>
      <c r="E488" t="s">
        <v>245</v>
      </c>
      <c r="F488">
        <v>46226</v>
      </c>
      <c r="G488" t="s">
        <v>149</v>
      </c>
      <c r="H488">
        <v>0</v>
      </c>
      <c r="I488">
        <v>0</v>
      </c>
      <c r="J488">
        <v>2.1824311892771999</v>
      </c>
      <c r="K488">
        <v>2.1824311892771999</v>
      </c>
      <c r="L488">
        <v>0.35844108541249164</v>
      </c>
      <c r="M488" t="s">
        <v>128</v>
      </c>
      <c r="P488">
        <v>0</v>
      </c>
      <c r="Q488">
        <v>0</v>
      </c>
      <c r="R488">
        <v>0</v>
      </c>
      <c r="S488">
        <v>0</v>
      </c>
    </row>
    <row r="489" spans="1:19" x14ac:dyDescent="0.25">
      <c r="A489" s="1">
        <v>46226</v>
      </c>
      <c r="B489" t="s">
        <v>13</v>
      </c>
      <c r="C489" t="s">
        <v>10</v>
      </c>
      <c r="D489">
        <v>1.7056307339449543</v>
      </c>
      <c r="E489" t="s">
        <v>245</v>
      </c>
      <c r="F489">
        <v>46226</v>
      </c>
      <c r="G489" t="s">
        <v>149</v>
      </c>
      <c r="H489">
        <v>2.9665560320393087</v>
      </c>
      <c r="I489">
        <v>2.9665560320393087</v>
      </c>
      <c r="J489">
        <v>0</v>
      </c>
      <c r="K489">
        <v>0</v>
      </c>
      <c r="L489">
        <v>0</v>
      </c>
      <c r="M489" t="s">
        <v>128</v>
      </c>
      <c r="P489">
        <v>518.5539944004712</v>
      </c>
      <c r="Q489">
        <v>0</v>
      </c>
      <c r="R489">
        <v>0</v>
      </c>
      <c r="S489">
        <v>518.5539944004712</v>
      </c>
    </row>
    <row r="490" spans="1:19" x14ac:dyDescent="0.25">
      <c r="A490" s="1">
        <v>46227</v>
      </c>
      <c r="B490" t="s">
        <v>13</v>
      </c>
      <c r="C490" t="s">
        <v>10</v>
      </c>
      <c r="D490">
        <v>2.4159757690232055</v>
      </c>
      <c r="E490" t="s">
        <v>245</v>
      </c>
      <c r="F490">
        <v>46227</v>
      </c>
      <c r="G490" t="s">
        <v>149</v>
      </c>
      <c r="H490">
        <v>0.6286072253211219</v>
      </c>
      <c r="I490">
        <v>0.6286072253211219</v>
      </c>
      <c r="J490">
        <v>0</v>
      </c>
      <c r="K490">
        <v>0</v>
      </c>
      <c r="L490">
        <v>0</v>
      </c>
      <c r="M490" t="s">
        <v>129</v>
      </c>
      <c r="P490">
        <v>109.8805429861321</v>
      </c>
      <c r="Q490">
        <v>0</v>
      </c>
      <c r="R490">
        <v>0</v>
      </c>
      <c r="S490">
        <v>109.8805429861321</v>
      </c>
    </row>
    <row r="491" spans="1:19" x14ac:dyDescent="0.25">
      <c r="A491" s="1">
        <v>46227</v>
      </c>
      <c r="B491" t="s">
        <v>13</v>
      </c>
      <c r="C491" t="s">
        <v>11</v>
      </c>
      <c r="D491">
        <v>71.636490825688057</v>
      </c>
      <c r="E491" t="s">
        <v>245</v>
      </c>
      <c r="F491">
        <v>46227</v>
      </c>
      <c r="G491" t="s">
        <v>149</v>
      </c>
      <c r="H491">
        <v>0</v>
      </c>
      <c r="I491">
        <v>0</v>
      </c>
      <c r="J491">
        <v>69.754137884511593</v>
      </c>
      <c r="K491">
        <v>69.754137884511593</v>
      </c>
      <c r="L491">
        <v>1.8823529411764703</v>
      </c>
      <c r="M491" t="s">
        <v>129</v>
      </c>
      <c r="P491">
        <v>0</v>
      </c>
      <c r="Q491">
        <v>0</v>
      </c>
      <c r="R491">
        <v>0</v>
      </c>
      <c r="S491">
        <v>0</v>
      </c>
    </row>
    <row r="492" spans="1:19" x14ac:dyDescent="0.25">
      <c r="A492" s="1">
        <v>46227</v>
      </c>
      <c r="B492" t="s">
        <v>13</v>
      </c>
      <c r="C492" t="s">
        <v>12</v>
      </c>
      <c r="D492">
        <v>9.4336119605844371E-2</v>
      </c>
      <c r="E492" t="s">
        <v>245</v>
      </c>
      <c r="F492">
        <v>46227</v>
      </c>
      <c r="G492" t="s">
        <v>149</v>
      </c>
      <c r="H492">
        <v>50.021271693574576</v>
      </c>
      <c r="I492">
        <v>50.021271693574576</v>
      </c>
      <c r="J492">
        <v>0</v>
      </c>
      <c r="K492">
        <v>0</v>
      </c>
      <c r="L492">
        <v>0</v>
      </c>
      <c r="M492" t="s">
        <v>129</v>
      </c>
      <c r="P492">
        <v>8743.7182920368359</v>
      </c>
      <c r="Q492">
        <v>0</v>
      </c>
      <c r="R492">
        <v>0</v>
      </c>
      <c r="S492">
        <v>8743.7182920368359</v>
      </c>
    </row>
    <row r="493" spans="1:19" x14ac:dyDescent="0.25">
      <c r="A493" s="1">
        <v>46228</v>
      </c>
      <c r="B493" t="s">
        <v>13</v>
      </c>
      <c r="C493" t="s">
        <v>11</v>
      </c>
      <c r="D493">
        <v>1.2735376146788988</v>
      </c>
      <c r="E493" t="s">
        <v>245</v>
      </c>
      <c r="F493">
        <v>46228</v>
      </c>
      <c r="G493" t="s">
        <v>149</v>
      </c>
      <c r="H493">
        <v>0.47805052593682063</v>
      </c>
      <c r="I493">
        <v>0.47805052593682063</v>
      </c>
      <c r="J493">
        <v>0</v>
      </c>
      <c r="K493">
        <v>0</v>
      </c>
      <c r="L493">
        <v>0</v>
      </c>
      <c r="M493" t="s">
        <v>119</v>
      </c>
      <c r="P493">
        <v>83.563231933756242</v>
      </c>
      <c r="Q493">
        <v>0</v>
      </c>
      <c r="R493">
        <v>0</v>
      </c>
      <c r="S493">
        <v>83.563231933756242</v>
      </c>
    </row>
    <row r="494" spans="1:19" x14ac:dyDescent="0.25">
      <c r="A494" s="1">
        <v>46228</v>
      </c>
      <c r="B494" t="s">
        <v>13</v>
      </c>
      <c r="C494" t="s">
        <v>12</v>
      </c>
      <c r="D494">
        <v>4.1670899892066906</v>
      </c>
      <c r="E494" t="s">
        <v>245</v>
      </c>
      <c r="F494">
        <v>46228</v>
      </c>
      <c r="G494" t="s">
        <v>149</v>
      </c>
      <c r="H494">
        <v>0.19572626817360717</v>
      </c>
      <c r="I494">
        <v>0.19572626817360717</v>
      </c>
      <c r="J494">
        <v>0</v>
      </c>
      <c r="K494">
        <v>0</v>
      </c>
      <c r="L494">
        <v>1.3170899892066912</v>
      </c>
      <c r="M494" t="s">
        <v>119</v>
      </c>
      <c r="P494">
        <v>34.212951676746528</v>
      </c>
      <c r="Q494">
        <v>0</v>
      </c>
      <c r="R494">
        <v>0</v>
      </c>
      <c r="S494">
        <v>34.212951676746528</v>
      </c>
    </row>
    <row r="495" spans="1:19" x14ac:dyDescent="0.25">
      <c r="A495" s="1">
        <v>46229</v>
      </c>
      <c r="B495" t="s">
        <v>13</v>
      </c>
      <c r="C495" t="s">
        <v>10</v>
      </c>
      <c r="D495">
        <v>3.1928381895366407</v>
      </c>
      <c r="E495" t="s">
        <v>245</v>
      </c>
      <c r="F495">
        <v>46229</v>
      </c>
      <c r="G495" t="s">
        <v>149</v>
      </c>
      <c r="H495">
        <v>0.47388689109363025</v>
      </c>
      <c r="I495">
        <v>0.47388689109363025</v>
      </c>
      <c r="J495">
        <v>0</v>
      </c>
      <c r="K495">
        <v>0</v>
      </c>
      <c r="L495">
        <v>0</v>
      </c>
      <c r="M495" t="s">
        <v>120</v>
      </c>
      <c r="P495">
        <v>82.835428563166559</v>
      </c>
      <c r="Q495">
        <v>0</v>
      </c>
      <c r="R495">
        <v>0</v>
      </c>
      <c r="S495">
        <v>82.835428563166559</v>
      </c>
    </row>
    <row r="496" spans="1:19" x14ac:dyDescent="0.25">
      <c r="A496" s="1">
        <v>46229</v>
      </c>
      <c r="B496" t="s">
        <v>13</v>
      </c>
      <c r="C496" t="s">
        <v>11</v>
      </c>
      <c r="D496">
        <v>50.854446351777518</v>
      </c>
      <c r="E496" t="s">
        <v>245</v>
      </c>
      <c r="F496">
        <v>46229</v>
      </c>
      <c r="G496" t="s">
        <v>149</v>
      </c>
      <c r="H496">
        <v>0</v>
      </c>
      <c r="I496">
        <v>0</v>
      </c>
      <c r="J496">
        <v>48.030916940012808</v>
      </c>
      <c r="K496">
        <v>48.030916940012808</v>
      </c>
      <c r="L496">
        <v>2.8235294117647056</v>
      </c>
      <c r="M496" t="s">
        <v>120</v>
      </c>
      <c r="P496">
        <v>0</v>
      </c>
      <c r="Q496">
        <v>0</v>
      </c>
      <c r="R496">
        <v>0</v>
      </c>
      <c r="S496">
        <v>0</v>
      </c>
    </row>
    <row r="497" spans="1:19" x14ac:dyDescent="0.25">
      <c r="A497" s="1">
        <v>46229</v>
      </c>
      <c r="B497" t="s">
        <v>13</v>
      </c>
      <c r="C497" t="s">
        <v>12</v>
      </c>
      <c r="D497">
        <v>0.51714810159636504</v>
      </c>
      <c r="E497" t="s">
        <v>245</v>
      </c>
      <c r="F497">
        <v>46229</v>
      </c>
      <c r="G497" t="s">
        <v>149</v>
      </c>
      <c r="H497">
        <v>8.5279004697656191</v>
      </c>
      <c r="I497">
        <v>8.5279004697656191</v>
      </c>
      <c r="J497">
        <v>0</v>
      </c>
      <c r="K497">
        <v>0</v>
      </c>
      <c r="L497">
        <v>0</v>
      </c>
      <c r="M497" t="s">
        <v>120</v>
      </c>
      <c r="P497">
        <v>1490.6770021150301</v>
      </c>
      <c r="Q497">
        <v>0</v>
      </c>
      <c r="R497">
        <v>0</v>
      </c>
      <c r="S497">
        <v>1490.6770021150301</v>
      </c>
    </row>
    <row r="498" spans="1:19" x14ac:dyDescent="0.25">
      <c r="A498" s="1">
        <v>46230</v>
      </c>
      <c r="B498" t="s">
        <v>13</v>
      </c>
      <c r="C498" t="s">
        <v>12</v>
      </c>
      <c r="D498">
        <v>2.8057625573394502</v>
      </c>
      <c r="E498" t="s">
        <v>245</v>
      </c>
      <c r="F498">
        <v>46230</v>
      </c>
      <c r="G498" t="s">
        <v>149</v>
      </c>
      <c r="H498">
        <v>1.0521285566615499</v>
      </c>
      <c r="I498">
        <v>1.0521285566615499</v>
      </c>
      <c r="J498">
        <v>0</v>
      </c>
      <c r="K498">
        <v>0</v>
      </c>
      <c r="L498">
        <v>0</v>
      </c>
      <c r="M498" t="s">
        <v>125</v>
      </c>
      <c r="P498">
        <v>183.91207170443892</v>
      </c>
      <c r="Q498">
        <v>0</v>
      </c>
      <c r="R498">
        <v>0</v>
      </c>
      <c r="S498">
        <v>183.91207170443892</v>
      </c>
    </row>
    <row r="499" spans="1:19" x14ac:dyDescent="0.25">
      <c r="A499" s="1">
        <v>46230</v>
      </c>
      <c r="B499" t="s">
        <v>13</v>
      </c>
      <c r="C499" t="s">
        <v>11</v>
      </c>
      <c r="D499">
        <v>5.3228352316300729</v>
      </c>
      <c r="E499" t="s">
        <v>245</v>
      </c>
      <c r="F499">
        <v>46230</v>
      </c>
      <c r="G499" t="s">
        <v>149</v>
      </c>
      <c r="H499">
        <v>0</v>
      </c>
      <c r="I499">
        <v>0</v>
      </c>
      <c r="J499">
        <v>2.4993058198653673</v>
      </c>
      <c r="K499">
        <v>2.4993058198653673</v>
      </c>
      <c r="L499">
        <v>2.8235294117647056</v>
      </c>
      <c r="M499" t="s">
        <v>125</v>
      </c>
      <c r="P499">
        <v>0</v>
      </c>
      <c r="Q499">
        <v>0</v>
      </c>
      <c r="R499">
        <v>0</v>
      </c>
      <c r="S499">
        <v>0</v>
      </c>
    </row>
    <row r="500" spans="1:19" x14ac:dyDescent="0.25">
      <c r="A500" s="1">
        <v>46230</v>
      </c>
      <c r="B500" t="s">
        <v>13</v>
      </c>
      <c r="C500" t="s">
        <v>10</v>
      </c>
      <c r="D500">
        <v>1.4661735563950349</v>
      </c>
      <c r="E500" t="s">
        <v>245</v>
      </c>
      <c r="F500">
        <v>46230</v>
      </c>
      <c r="G500" t="s">
        <v>149</v>
      </c>
      <c r="H500">
        <v>1.5677082129413367</v>
      </c>
      <c r="I500">
        <v>1.5677082129413367</v>
      </c>
      <c r="J500">
        <v>0</v>
      </c>
      <c r="K500">
        <v>0</v>
      </c>
      <c r="L500">
        <v>0</v>
      </c>
      <c r="M500" t="s">
        <v>125</v>
      </c>
      <c r="P500">
        <v>274.03539562214564</v>
      </c>
      <c r="Q500">
        <v>0</v>
      </c>
      <c r="R500">
        <v>0</v>
      </c>
      <c r="S500">
        <v>274.03539562214564</v>
      </c>
    </row>
    <row r="501" spans="1:19" x14ac:dyDescent="0.25">
      <c r="A501" s="1">
        <v>46231</v>
      </c>
      <c r="B501" t="s">
        <v>13</v>
      </c>
      <c r="C501" t="s">
        <v>10</v>
      </c>
      <c r="D501">
        <v>4.0082322247706426</v>
      </c>
      <c r="E501" t="s">
        <v>245</v>
      </c>
      <c r="F501">
        <v>46231</v>
      </c>
      <c r="G501" t="s">
        <v>149</v>
      </c>
      <c r="H501">
        <v>0.70861496815415403</v>
      </c>
      <c r="I501">
        <v>0.70861496815415403</v>
      </c>
      <c r="J501">
        <v>0</v>
      </c>
      <c r="K501">
        <v>0</v>
      </c>
      <c r="L501">
        <v>0</v>
      </c>
      <c r="M501" t="s">
        <v>126</v>
      </c>
      <c r="P501">
        <v>123.86589643334611</v>
      </c>
      <c r="Q501">
        <v>0</v>
      </c>
      <c r="R501">
        <v>0</v>
      </c>
      <c r="S501">
        <v>123.86589643334611</v>
      </c>
    </row>
    <row r="502" spans="1:19" x14ac:dyDescent="0.25">
      <c r="A502" s="1">
        <v>46231</v>
      </c>
      <c r="B502" t="s">
        <v>13</v>
      </c>
      <c r="C502" t="s">
        <v>12</v>
      </c>
      <c r="D502">
        <v>5.2308587129261106</v>
      </c>
      <c r="E502" t="s">
        <v>245</v>
      </c>
      <c r="F502">
        <v>46231</v>
      </c>
      <c r="G502" t="s">
        <v>149</v>
      </c>
      <c r="H502">
        <v>0.13248622408540811</v>
      </c>
      <c r="I502">
        <v>0.13248622408540811</v>
      </c>
      <c r="J502">
        <v>0</v>
      </c>
      <c r="K502">
        <v>0</v>
      </c>
      <c r="L502">
        <v>3.3308587129261107</v>
      </c>
      <c r="M502" t="s">
        <v>126</v>
      </c>
      <c r="P502">
        <v>23.158591970129336</v>
      </c>
      <c r="Q502">
        <v>0</v>
      </c>
      <c r="R502">
        <v>0</v>
      </c>
      <c r="S502">
        <v>23.158591970129336</v>
      </c>
    </row>
    <row r="503" spans="1:19" x14ac:dyDescent="0.25">
      <c r="A503" s="1">
        <v>46232</v>
      </c>
      <c r="B503" t="s">
        <v>13</v>
      </c>
      <c r="C503" t="s">
        <v>12</v>
      </c>
      <c r="D503">
        <v>2.8972102835773068</v>
      </c>
      <c r="E503" t="s">
        <v>245</v>
      </c>
      <c r="F503">
        <v>46232</v>
      </c>
      <c r="G503" t="s">
        <v>149</v>
      </c>
      <c r="H503">
        <v>0.39497036658286366</v>
      </c>
      <c r="I503">
        <v>0.39497036658286366</v>
      </c>
      <c r="J503">
        <v>0</v>
      </c>
      <c r="K503">
        <v>0</v>
      </c>
      <c r="L503">
        <v>0</v>
      </c>
      <c r="M503" t="s">
        <v>127</v>
      </c>
      <c r="P503">
        <v>69.040820078684561</v>
      </c>
      <c r="Q503">
        <v>0</v>
      </c>
      <c r="R503">
        <v>0</v>
      </c>
      <c r="S503">
        <v>69.040820078684561</v>
      </c>
    </row>
    <row r="504" spans="1:19" x14ac:dyDescent="0.25">
      <c r="A504" s="1">
        <v>46232</v>
      </c>
      <c r="B504" t="s">
        <v>13</v>
      </c>
      <c r="C504" t="s">
        <v>11</v>
      </c>
      <c r="D504">
        <v>87.306973193807323</v>
      </c>
      <c r="E504" t="s">
        <v>245</v>
      </c>
      <c r="F504">
        <v>46232</v>
      </c>
      <c r="G504" t="s">
        <v>149</v>
      </c>
      <c r="H504">
        <v>0</v>
      </c>
      <c r="I504">
        <v>0</v>
      </c>
      <c r="J504">
        <v>85.424620252630859</v>
      </c>
      <c r="K504">
        <v>85.424620252630859</v>
      </c>
      <c r="L504">
        <v>1.8823529411764703</v>
      </c>
      <c r="M504" t="s">
        <v>127</v>
      </c>
      <c r="P504">
        <v>0</v>
      </c>
      <c r="Q504">
        <v>0</v>
      </c>
      <c r="R504">
        <v>0</v>
      </c>
      <c r="S504">
        <v>0</v>
      </c>
    </row>
    <row r="505" spans="1:19" x14ac:dyDescent="0.25">
      <c r="A505" s="1">
        <v>46232</v>
      </c>
      <c r="B505" t="s">
        <v>13</v>
      </c>
      <c r="C505" t="s">
        <v>10</v>
      </c>
      <c r="D505">
        <v>2.8660448984754447</v>
      </c>
      <c r="E505" t="s">
        <v>245</v>
      </c>
      <c r="F505">
        <v>46232</v>
      </c>
      <c r="G505" t="s">
        <v>149</v>
      </c>
      <c r="H505">
        <v>0.9703315975731186</v>
      </c>
      <c r="I505">
        <v>0.9703315975731186</v>
      </c>
      <c r="J505">
        <v>0</v>
      </c>
      <c r="K505">
        <v>0</v>
      </c>
      <c r="L505">
        <v>0</v>
      </c>
      <c r="M505" t="s">
        <v>127</v>
      </c>
      <c r="P505">
        <v>169.6139632557811</v>
      </c>
      <c r="Q505">
        <v>0</v>
      </c>
      <c r="R505">
        <v>0</v>
      </c>
      <c r="S505">
        <v>169.6139632557811</v>
      </c>
    </row>
    <row r="506" spans="1:19" x14ac:dyDescent="0.25">
      <c r="A506" s="1">
        <v>46233</v>
      </c>
      <c r="B506" t="s">
        <v>13</v>
      </c>
      <c r="C506" t="s">
        <v>12</v>
      </c>
      <c r="D506">
        <v>4.5966748279816514</v>
      </c>
      <c r="E506" t="s">
        <v>245</v>
      </c>
      <c r="F506">
        <v>46233</v>
      </c>
      <c r="G506" t="s">
        <v>149</v>
      </c>
      <c r="H506">
        <v>7.1934784280127451E-2</v>
      </c>
      <c r="I506">
        <v>7.1934784280127451E-2</v>
      </c>
      <c r="J506">
        <v>0</v>
      </c>
      <c r="K506">
        <v>0</v>
      </c>
      <c r="L506">
        <v>0.79667482798165135</v>
      </c>
      <c r="M506" t="s">
        <v>128</v>
      </c>
      <c r="P506">
        <v>12.574200292166278</v>
      </c>
      <c r="Q506">
        <v>0</v>
      </c>
      <c r="R506">
        <v>0</v>
      </c>
      <c r="S506">
        <v>12.574200292166278</v>
      </c>
    </row>
    <row r="507" spans="1:19" x14ac:dyDescent="0.25">
      <c r="A507" s="1">
        <v>46233</v>
      </c>
      <c r="B507" t="s">
        <v>13</v>
      </c>
      <c r="C507" t="s">
        <v>11</v>
      </c>
      <c r="D507">
        <v>4.3971247565639731</v>
      </c>
      <c r="E507" t="s">
        <v>245</v>
      </c>
      <c r="F507">
        <v>46233</v>
      </c>
      <c r="G507" t="s">
        <v>149</v>
      </c>
      <c r="H507">
        <v>0</v>
      </c>
      <c r="I507">
        <v>0</v>
      </c>
      <c r="J507">
        <v>1.5735953447992677</v>
      </c>
      <c r="K507">
        <v>1.5735953447992677</v>
      </c>
      <c r="L507">
        <v>2.8235294117647056</v>
      </c>
      <c r="M507" t="s">
        <v>128</v>
      </c>
      <c r="P507">
        <v>0</v>
      </c>
      <c r="Q507">
        <v>0</v>
      </c>
      <c r="R507">
        <v>0</v>
      </c>
      <c r="S507">
        <v>0</v>
      </c>
    </row>
    <row r="508" spans="1:19" x14ac:dyDescent="0.25">
      <c r="A508" s="1">
        <v>46233</v>
      </c>
      <c r="B508" t="s">
        <v>13</v>
      </c>
      <c r="C508" t="s">
        <v>10</v>
      </c>
      <c r="D508">
        <v>1.6481075013491633</v>
      </c>
      <c r="E508" t="s">
        <v>245</v>
      </c>
      <c r="F508">
        <v>46233</v>
      </c>
      <c r="G508" t="s">
        <v>149</v>
      </c>
      <c r="H508">
        <v>1.8553248796506754</v>
      </c>
      <c r="I508">
        <v>1.8553248796506754</v>
      </c>
      <c r="J508">
        <v>0</v>
      </c>
      <c r="K508">
        <v>0</v>
      </c>
      <c r="L508">
        <v>0</v>
      </c>
      <c r="M508" t="s">
        <v>128</v>
      </c>
      <c r="P508">
        <v>324.31078896293803</v>
      </c>
      <c r="Q508">
        <v>0</v>
      </c>
      <c r="R508">
        <v>0</v>
      </c>
      <c r="S508">
        <v>324.31078896293803</v>
      </c>
    </row>
    <row r="509" spans="1:19" x14ac:dyDescent="0.25">
      <c r="A509" s="1">
        <v>46234</v>
      </c>
      <c r="B509" t="s">
        <v>13</v>
      </c>
      <c r="C509" t="s">
        <v>10</v>
      </c>
      <c r="D509">
        <v>1.8209233822217723</v>
      </c>
      <c r="E509" t="s">
        <v>245</v>
      </c>
      <c r="F509">
        <v>46234</v>
      </c>
      <c r="G509" t="s">
        <v>149</v>
      </c>
      <c r="H509">
        <v>1.0674707783473516</v>
      </c>
      <c r="I509">
        <v>1.0674707783473516</v>
      </c>
      <c r="J509">
        <v>0</v>
      </c>
      <c r="K509">
        <v>0</v>
      </c>
      <c r="L509">
        <v>0</v>
      </c>
      <c r="M509" t="s">
        <v>129</v>
      </c>
      <c r="P509">
        <v>186.59389205511704</v>
      </c>
      <c r="Q509">
        <v>0</v>
      </c>
      <c r="R509">
        <v>0</v>
      </c>
      <c r="S509">
        <v>186.59389205511704</v>
      </c>
    </row>
    <row r="510" spans="1:19" x14ac:dyDescent="0.25">
      <c r="A510" s="1">
        <v>46234</v>
      </c>
      <c r="B510" t="s">
        <v>13</v>
      </c>
      <c r="C510" t="s">
        <v>11</v>
      </c>
      <c r="D510">
        <v>4.2139112250404747</v>
      </c>
      <c r="E510" t="s">
        <v>245</v>
      </c>
      <c r="F510">
        <v>46234</v>
      </c>
      <c r="G510" t="s">
        <v>149</v>
      </c>
      <c r="H510">
        <v>0</v>
      </c>
      <c r="I510">
        <v>0</v>
      </c>
      <c r="J510">
        <v>1.390381813275769</v>
      </c>
      <c r="K510">
        <v>1.390381813275769</v>
      </c>
      <c r="L510">
        <v>2.8235294117647056</v>
      </c>
      <c r="M510" t="s">
        <v>129</v>
      </c>
      <c r="P510">
        <v>0</v>
      </c>
      <c r="Q510">
        <v>0</v>
      </c>
      <c r="R510">
        <v>0</v>
      </c>
      <c r="S510">
        <v>0</v>
      </c>
    </row>
    <row r="511" spans="1:19" x14ac:dyDescent="0.25">
      <c r="A511" s="1">
        <v>46234</v>
      </c>
      <c r="B511" t="s">
        <v>13</v>
      </c>
      <c r="C511" t="s">
        <v>12</v>
      </c>
      <c r="D511">
        <v>3.41262962088505</v>
      </c>
      <c r="E511" t="s">
        <v>245</v>
      </c>
      <c r="F511">
        <v>46234</v>
      </c>
      <c r="G511" t="s">
        <v>149</v>
      </c>
      <c r="H511">
        <v>0.41140690072619779</v>
      </c>
      <c r="I511">
        <v>0.41140690072619779</v>
      </c>
      <c r="J511">
        <v>0</v>
      </c>
      <c r="K511">
        <v>0</v>
      </c>
      <c r="L511">
        <v>0.56262962088505031</v>
      </c>
      <c r="M511" t="s">
        <v>129</v>
      </c>
      <c r="P511">
        <v>71.913926246939369</v>
      </c>
      <c r="Q511">
        <v>0</v>
      </c>
      <c r="R511">
        <v>0</v>
      </c>
      <c r="S511">
        <v>71.913926246939369</v>
      </c>
    </row>
    <row r="512" spans="1:19" x14ac:dyDescent="0.25">
      <c r="A512" s="1">
        <v>46235</v>
      </c>
      <c r="B512" t="s">
        <v>13</v>
      </c>
      <c r="C512" t="s">
        <v>12</v>
      </c>
      <c r="D512">
        <v>3.4558328521316781</v>
      </c>
      <c r="E512" t="s">
        <v>245</v>
      </c>
      <c r="F512">
        <v>46235</v>
      </c>
      <c r="G512" t="s">
        <v>149</v>
      </c>
      <c r="H512">
        <v>0.4588444253719306</v>
      </c>
      <c r="I512">
        <v>0.4588444253719306</v>
      </c>
      <c r="J512">
        <v>0</v>
      </c>
      <c r="K512">
        <v>0</v>
      </c>
      <c r="L512">
        <v>2.5058328521316779</v>
      </c>
      <c r="M512" t="s">
        <v>119</v>
      </c>
      <c r="P512">
        <v>80.206005555013462</v>
      </c>
      <c r="Q512">
        <v>0</v>
      </c>
      <c r="R512">
        <v>0</v>
      </c>
      <c r="S512">
        <v>80.206005555013462</v>
      </c>
    </row>
    <row r="513" spans="1:19" x14ac:dyDescent="0.25">
      <c r="A513" s="1">
        <v>46235</v>
      </c>
      <c r="B513" t="s">
        <v>13</v>
      </c>
      <c r="C513" t="s">
        <v>10</v>
      </c>
      <c r="D513">
        <v>2.6863684059633024</v>
      </c>
      <c r="E513" t="s">
        <v>245</v>
      </c>
      <c r="F513">
        <v>46235</v>
      </c>
      <c r="G513" t="s">
        <v>149</v>
      </c>
      <c r="H513">
        <v>1.5208972859033545</v>
      </c>
      <c r="I513">
        <v>1.5208972859033545</v>
      </c>
      <c r="J513">
        <v>0</v>
      </c>
      <c r="K513">
        <v>0</v>
      </c>
      <c r="L513">
        <v>0</v>
      </c>
      <c r="M513" t="s">
        <v>119</v>
      </c>
      <c r="P513">
        <v>265.85284557590631</v>
      </c>
      <c r="Q513">
        <v>0</v>
      </c>
      <c r="R513">
        <v>0</v>
      </c>
      <c r="S513">
        <v>265.85284557590631</v>
      </c>
    </row>
    <row r="514" spans="1:19" x14ac:dyDescent="0.25">
      <c r="A514" s="1">
        <v>46236</v>
      </c>
      <c r="B514" t="s">
        <v>13</v>
      </c>
      <c r="C514" t="s">
        <v>10</v>
      </c>
      <c r="D514">
        <v>6.7547436229537672</v>
      </c>
      <c r="E514" t="s">
        <v>245</v>
      </c>
      <c r="F514">
        <v>46236</v>
      </c>
      <c r="G514" t="s">
        <v>149</v>
      </c>
      <c r="H514">
        <v>0</v>
      </c>
      <c r="I514">
        <v>0</v>
      </c>
      <c r="J514">
        <v>0.87239068177730006</v>
      </c>
      <c r="K514">
        <v>0.87239068177730006</v>
      </c>
      <c r="L514">
        <v>1.1323529411764672</v>
      </c>
      <c r="M514" t="s">
        <v>120</v>
      </c>
      <c r="P514">
        <v>0</v>
      </c>
      <c r="Q514">
        <v>0</v>
      </c>
      <c r="R514">
        <v>0</v>
      </c>
      <c r="S514">
        <v>0</v>
      </c>
    </row>
    <row r="515" spans="1:19" x14ac:dyDescent="0.25">
      <c r="A515" s="1">
        <v>46236</v>
      </c>
      <c r="B515" t="s">
        <v>13</v>
      </c>
      <c r="C515" t="s">
        <v>11</v>
      </c>
      <c r="D515">
        <v>3.0474517410075315</v>
      </c>
      <c r="E515" t="s">
        <v>245</v>
      </c>
      <c r="F515">
        <v>46236</v>
      </c>
      <c r="G515" t="s">
        <v>149</v>
      </c>
      <c r="H515">
        <v>0.2739669964036604</v>
      </c>
      <c r="I515">
        <v>0.2739669964036604</v>
      </c>
      <c r="J515">
        <v>0</v>
      </c>
      <c r="K515">
        <v>0</v>
      </c>
      <c r="L515">
        <v>0</v>
      </c>
      <c r="M515" t="s">
        <v>120</v>
      </c>
      <c r="P515">
        <v>47.889430971359836</v>
      </c>
      <c r="Q515">
        <v>0</v>
      </c>
      <c r="R515">
        <v>0</v>
      </c>
      <c r="S515">
        <v>47.889430971359836</v>
      </c>
    </row>
    <row r="516" spans="1:19" x14ac:dyDescent="0.25">
      <c r="A516" s="1">
        <v>46236</v>
      </c>
      <c r="B516" t="s">
        <v>13</v>
      </c>
      <c r="C516" t="s">
        <v>12</v>
      </c>
      <c r="D516">
        <v>0.43416055045871554</v>
      </c>
      <c r="E516" t="s">
        <v>245</v>
      </c>
      <c r="F516">
        <v>46236</v>
      </c>
      <c r="G516" t="s">
        <v>149</v>
      </c>
      <c r="H516">
        <v>12.660374811770987</v>
      </c>
      <c r="I516">
        <v>12.660374811770987</v>
      </c>
      <c r="J516">
        <v>0</v>
      </c>
      <c r="K516">
        <v>0</v>
      </c>
      <c r="L516">
        <v>0</v>
      </c>
      <c r="M516" t="s">
        <v>120</v>
      </c>
      <c r="P516">
        <v>2213.0335170975682</v>
      </c>
      <c r="Q516">
        <v>0</v>
      </c>
      <c r="R516">
        <v>0</v>
      </c>
      <c r="S516">
        <v>2213.0335170975682</v>
      </c>
    </row>
    <row r="517" spans="1:19" x14ac:dyDescent="0.25">
      <c r="A517" s="1">
        <v>46237</v>
      </c>
      <c r="B517" t="s">
        <v>13</v>
      </c>
      <c r="C517" t="s">
        <v>11</v>
      </c>
      <c r="D517">
        <v>4.6446665947112775</v>
      </c>
      <c r="E517" t="s">
        <v>245</v>
      </c>
      <c r="F517">
        <v>46237</v>
      </c>
      <c r="G517" t="s">
        <v>149</v>
      </c>
      <c r="H517">
        <v>0</v>
      </c>
      <c r="I517">
        <v>0</v>
      </c>
      <c r="J517">
        <v>2.7623136535348074</v>
      </c>
      <c r="K517">
        <v>2.7623136535348074</v>
      </c>
      <c r="L517">
        <v>1.8823529411764703</v>
      </c>
      <c r="M517" t="s">
        <v>125</v>
      </c>
      <c r="P517">
        <v>0</v>
      </c>
      <c r="Q517">
        <v>0</v>
      </c>
      <c r="R517">
        <v>0</v>
      </c>
      <c r="S517">
        <v>0</v>
      </c>
    </row>
    <row r="518" spans="1:19" x14ac:dyDescent="0.25">
      <c r="A518" s="1">
        <v>46237</v>
      </c>
      <c r="B518" t="s">
        <v>13</v>
      </c>
      <c r="C518" t="s">
        <v>10</v>
      </c>
      <c r="D518">
        <v>2.3281859518348624</v>
      </c>
      <c r="E518" t="s">
        <v>245</v>
      </c>
      <c r="F518">
        <v>46237</v>
      </c>
      <c r="G518" t="s">
        <v>149</v>
      </c>
      <c r="H518">
        <v>1.1223289603195368</v>
      </c>
      <c r="I518">
        <v>1.1223289603195368</v>
      </c>
      <c r="J518">
        <v>0</v>
      </c>
      <c r="K518">
        <v>0</v>
      </c>
      <c r="L518">
        <v>0</v>
      </c>
      <c r="M518" t="s">
        <v>125</v>
      </c>
      <c r="P518">
        <v>196.18310226385503</v>
      </c>
      <c r="Q518">
        <v>0</v>
      </c>
      <c r="R518">
        <v>0</v>
      </c>
      <c r="S518">
        <v>196.18310226385503</v>
      </c>
    </row>
    <row r="519" spans="1:19" x14ac:dyDescent="0.25">
      <c r="A519" s="1">
        <v>46237</v>
      </c>
      <c r="B519" t="s">
        <v>13</v>
      </c>
      <c r="C519" t="s">
        <v>12</v>
      </c>
      <c r="D519">
        <v>4.4591172661527425</v>
      </c>
      <c r="E519" t="s">
        <v>245</v>
      </c>
      <c r="F519">
        <v>46237</v>
      </c>
      <c r="G519" t="s">
        <v>149</v>
      </c>
      <c r="H519">
        <v>0.1050024805446832</v>
      </c>
      <c r="I519">
        <v>0.1050024805446832</v>
      </c>
      <c r="J519">
        <v>0</v>
      </c>
      <c r="K519">
        <v>0</v>
      </c>
      <c r="L519">
        <v>0</v>
      </c>
      <c r="M519" t="s">
        <v>125</v>
      </c>
      <c r="P519">
        <v>18.354433599210623</v>
      </c>
      <c r="Q519">
        <v>0</v>
      </c>
      <c r="R519">
        <v>0</v>
      </c>
      <c r="S519">
        <v>18.354433599210623</v>
      </c>
    </row>
    <row r="520" spans="1:19" x14ac:dyDescent="0.25">
      <c r="A520" s="1">
        <v>46238</v>
      </c>
      <c r="B520" t="s">
        <v>13</v>
      </c>
      <c r="C520" t="s">
        <v>12</v>
      </c>
      <c r="D520">
        <v>3.8778434439085263</v>
      </c>
      <c r="E520" t="s">
        <v>245</v>
      </c>
      <c r="F520">
        <v>46238</v>
      </c>
      <c r="G520" t="s">
        <v>149</v>
      </c>
      <c r="H520">
        <v>0.27063810373223429</v>
      </c>
      <c r="I520">
        <v>0.27063810373223429</v>
      </c>
      <c r="J520">
        <v>0</v>
      </c>
      <c r="K520">
        <v>0</v>
      </c>
      <c r="L520">
        <v>0</v>
      </c>
      <c r="M520" t="s">
        <v>126</v>
      </c>
      <c r="P520">
        <v>47.307540532394555</v>
      </c>
      <c r="Q520">
        <v>0</v>
      </c>
      <c r="R520">
        <v>0</v>
      </c>
      <c r="S520">
        <v>47.307540532394555</v>
      </c>
    </row>
    <row r="521" spans="1:19" x14ac:dyDescent="0.25">
      <c r="A521" s="1">
        <v>46238</v>
      </c>
      <c r="B521" t="s">
        <v>13</v>
      </c>
      <c r="C521" t="s">
        <v>11</v>
      </c>
      <c r="D521">
        <v>81.486508314220174</v>
      </c>
      <c r="E521" t="s">
        <v>245</v>
      </c>
      <c r="F521">
        <v>46238</v>
      </c>
      <c r="G521" t="s">
        <v>149</v>
      </c>
      <c r="H521">
        <v>0</v>
      </c>
      <c r="I521">
        <v>0</v>
      </c>
      <c r="J521">
        <v>79.604155373043696</v>
      </c>
      <c r="K521">
        <v>79.604155373043696</v>
      </c>
      <c r="L521">
        <v>1.8823529411764703</v>
      </c>
      <c r="M521" t="s">
        <v>126</v>
      </c>
      <c r="P521">
        <v>0</v>
      </c>
      <c r="Q521">
        <v>0</v>
      </c>
      <c r="R521">
        <v>0</v>
      </c>
      <c r="S521">
        <v>0</v>
      </c>
    </row>
    <row r="522" spans="1:19" x14ac:dyDescent="0.25">
      <c r="A522" s="1">
        <v>46238</v>
      </c>
      <c r="B522" t="s">
        <v>13</v>
      </c>
      <c r="C522" t="s">
        <v>10</v>
      </c>
      <c r="D522">
        <v>3.0041109055933704</v>
      </c>
      <c r="E522" t="s">
        <v>245</v>
      </c>
      <c r="F522">
        <v>46238</v>
      </c>
      <c r="G522" t="s">
        <v>149</v>
      </c>
      <c r="H522">
        <v>0.56648089928346756</v>
      </c>
      <c r="I522">
        <v>0.56648089928346756</v>
      </c>
      <c r="J522">
        <v>0</v>
      </c>
      <c r="K522">
        <v>0</v>
      </c>
      <c r="L522">
        <v>0</v>
      </c>
      <c r="M522" t="s">
        <v>126</v>
      </c>
      <c r="P522">
        <v>99.020861194750125</v>
      </c>
      <c r="Q522">
        <v>0</v>
      </c>
      <c r="R522">
        <v>0</v>
      </c>
      <c r="S522">
        <v>99.020861194750125</v>
      </c>
    </row>
    <row r="523" spans="1:19" x14ac:dyDescent="0.25">
      <c r="A523" s="1">
        <v>46239</v>
      </c>
      <c r="B523" t="s">
        <v>13</v>
      </c>
      <c r="C523" t="s">
        <v>10</v>
      </c>
      <c r="D523">
        <v>3.4952210729769835</v>
      </c>
      <c r="E523" t="s">
        <v>245</v>
      </c>
      <c r="F523">
        <v>46239</v>
      </c>
      <c r="G523" t="s">
        <v>149</v>
      </c>
      <c r="H523">
        <v>0</v>
      </c>
      <c r="I523">
        <v>0</v>
      </c>
      <c r="J523">
        <v>0.67169166121227697</v>
      </c>
      <c r="K523">
        <v>0.67169166121227697</v>
      </c>
      <c r="L523">
        <v>2.8235294117647065</v>
      </c>
      <c r="M523" t="s">
        <v>127</v>
      </c>
      <c r="P523">
        <v>0</v>
      </c>
      <c r="Q523">
        <v>0</v>
      </c>
      <c r="R523">
        <v>0</v>
      </c>
      <c r="S523">
        <v>0</v>
      </c>
    </row>
    <row r="524" spans="1:19" x14ac:dyDescent="0.25">
      <c r="A524" s="1">
        <v>46239</v>
      </c>
      <c r="B524" t="s">
        <v>13</v>
      </c>
      <c r="C524" t="s">
        <v>12</v>
      </c>
      <c r="D524">
        <v>1.863769909915987</v>
      </c>
      <c r="E524" t="s">
        <v>245</v>
      </c>
      <c r="F524">
        <v>46239</v>
      </c>
      <c r="G524" t="s">
        <v>149</v>
      </c>
      <c r="H524">
        <v>2.1208836271007208</v>
      </c>
      <c r="I524">
        <v>2.1208836271007208</v>
      </c>
      <c r="J524">
        <v>0</v>
      </c>
      <c r="K524">
        <v>0</v>
      </c>
      <c r="L524">
        <v>0</v>
      </c>
      <c r="M524" t="s">
        <v>127</v>
      </c>
      <c r="P524">
        <v>370.73045801720593</v>
      </c>
      <c r="Q524">
        <v>0</v>
      </c>
      <c r="R524">
        <v>0</v>
      </c>
      <c r="S524">
        <v>370.73045801720593</v>
      </c>
    </row>
    <row r="525" spans="1:19" x14ac:dyDescent="0.25">
      <c r="A525" s="1">
        <v>46239</v>
      </c>
      <c r="B525" t="s">
        <v>13</v>
      </c>
      <c r="C525" t="s">
        <v>11</v>
      </c>
      <c r="D525">
        <v>8.6747313109231641</v>
      </c>
      <c r="E525" t="s">
        <v>245</v>
      </c>
      <c r="F525">
        <v>46239</v>
      </c>
      <c r="G525" t="s">
        <v>149</v>
      </c>
      <c r="H525">
        <v>0</v>
      </c>
      <c r="I525">
        <v>0</v>
      </c>
      <c r="J525">
        <v>5.792378369746694</v>
      </c>
      <c r="K525">
        <v>5.792378369746694</v>
      </c>
      <c r="L525">
        <v>2.8823529411764706</v>
      </c>
      <c r="M525" t="s">
        <v>127</v>
      </c>
      <c r="P525">
        <v>0</v>
      </c>
      <c r="Q525">
        <v>0</v>
      </c>
      <c r="R525">
        <v>0</v>
      </c>
      <c r="S525">
        <v>0</v>
      </c>
    </row>
    <row r="526" spans="1:19" x14ac:dyDescent="0.25">
      <c r="A526" s="1">
        <v>46240</v>
      </c>
      <c r="B526" t="s">
        <v>13</v>
      </c>
      <c r="C526" t="s">
        <v>10</v>
      </c>
      <c r="D526">
        <v>4.9224725939917242</v>
      </c>
      <c r="E526" t="s">
        <v>245</v>
      </c>
      <c r="F526">
        <v>46240</v>
      </c>
      <c r="G526" t="s">
        <v>149</v>
      </c>
      <c r="H526">
        <v>0.3744068142540411</v>
      </c>
      <c r="I526">
        <v>0.3744068142540411</v>
      </c>
      <c r="J526">
        <v>0</v>
      </c>
      <c r="K526">
        <v>0</v>
      </c>
      <c r="L526">
        <v>0</v>
      </c>
      <c r="M526" t="s">
        <v>128</v>
      </c>
      <c r="P526">
        <v>65.446311131606379</v>
      </c>
      <c r="Q526">
        <v>0</v>
      </c>
      <c r="R526">
        <v>0</v>
      </c>
      <c r="S526">
        <v>65.446311131606379</v>
      </c>
    </row>
    <row r="527" spans="1:19" x14ac:dyDescent="0.25">
      <c r="A527" s="1">
        <v>46240</v>
      </c>
      <c r="B527" t="s">
        <v>13</v>
      </c>
      <c r="C527" t="s">
        <v>11</v>
      </c>
      <c r="D527">
        <v>5.1336140717754981</v>
      </c>
      <c r="E527" t="s">
        <v>245</v>
      </c>
      <c r="F527">
        <v>46240</v>
      </c>
      <c r="G527" t="s">
        <v>149</v>
      </c>
      <c r="H527">
        <v>0</v>
      </c>
      <c r="I527">
        <v>0</v>
      </c>
      <c r="J527">
        <v>3.251261130599028</v>
      </c>
      <c r="K527">
        <v>3.251261130599028</v>
      </c>
      <c r="L527">
        <v>1.8823529411764703</v>
      </c>
      <c r="M527" t="s">
        <v>128</v>
      </c>
      <c r="P527">
        <v>0</v>
      </c>
      <c r="Q527">
        <v>0</v>
      </c>
      <c r="R527">
        <v>0</v>
      </c>
      <c r="S527">
        <v>0</v>
      </c>
    </row>
    <row r="528" spans="1:19" x14ac:dyDescent="0.25">
      <c r="A528" s="1">
        <v>46240</v>
      </c>
      <c r="B528" t="s">
        <v>13</v>
      </c>
      <c r="C528" t="s">
        <v>12</v>
      </c>
      <c r="D528">
        <v>1.4046370750134916</v>
      </c>
      <c r="E528" t="s">
        <v>245</v>
      </c>
      <c r="F528">
        <v>46240</v>
      </c>
      <c r="G528" t="s">
        <v>149</v>
      </c>
      <c r="H528">
        <v>2.5911441638068449</v>
      </c>
      <c r="I528">
        <v>2.5911441638068449</v>
      </c>
      <c r="J528">
        <v>0</v>
      </c>
      <c r="K528">
        <v>0</v>
      </c>
      <c r="L528">
        <v>0</v>
      </c>
      <c r="M528" t="s">
        <v>128</v>
      </c>
      <c r="P528">
        <v>452.93199983343646</v>
      </c>
      <c r="Q528">
        <v>0</v>
      </c>
      <c r="R528">
        <v>0</v>
      </c>
      <c r="S528">
        <v>452.93199983343646</v>
      </c>
    </row>
    <row r="529" spans="1:19" x14ac:dyDescent="0.25">
      <c r="A529" s="1">
        <v>46241</v>
      </c>
      <c r="B529" t="s">
        <v>13</v>
      </c>
      <c r="C529" t="s">
        <v>12</v>
      </c>
      <c r="D529">
        <v>7.1293135096240308</v>
      </c>
      <c r="E529" t="s">
        <v>245</v>
      </c>
      <c r="F529">
        <v>46241</v>
      </c>
      <c r="G529" t="s">
        <v>149</v>
      </c>
      <c r="H529">
        <v>0</v>
      </c>
      <c r="I529">
        <v>0</v>
      </c>
      <c r="J529">
        <v>3.1431543400738602</v>
      </c>
      <c r="K529">
        <v>3.1431543400738602</v>
      </c>
      <c r="L529">
        <v>3.9861591695501706</v>
      </c>
      <c r="M529" t="s">
        <v>129</v>
      </c>
      <c r="P529">
        <v>0</v>
      </c>
      <c r="Q529">
        <v>0</v>
      </c>
      <c r="R529">
        <v>0</v>
      </c>
      <c r="S529">
        <v>0</v>
      </c>
    </row>
    <row r="530" spans="1:19" x14ac:dyDescent="0.25">
      <c r="A530" s="1">
        <v>46241</v>
      </c>
      <c r="B530" t="s">
        <v>13</v>
      </c>
      <c r="C530" t="s">
        <v>10</v>
      </c>
      <c r="D530">
        <v>4.7757660550458709</v>
      </c>
      <c r="E530" t="s">
        <v>245</v>
      </c>
      <c r="F530">
        <v>46241</v>
      </c>
      <c r="G530" t="s">
        <v>149</v>
      </c>
      <c r="H530">
        <v>0</v>
      </c>
      <c r="I530">
        <v>0</v>
      </c>
      <c r="J530">
        <v>6.9883702104697021E-2</v>
      </c>
      <c r="K530">
        <v>6.9883702104697021E-2</v>
      </c>
      <c r="L530">
        <v>4.705882352941174</v>
      </c>
      <c r="M530" t="s">
        <v>129</v>
      </c>
      <c r="P530">
        <v>0</v>
      </c>
      <c r="Q530">
        <v>0</v>
      </c>
      <c r="R530">
        <v>0</v>
      </c>
      <c r="S530">
        <v>0</v>
      </c>
    </row>
    <row r="531" spans="1:19" x14ac:dyDescent="0.25">
      <c r="A531" s="1">
        <v>46242</v>
      </c>
      <c r="B531" t="s">
        <v>13</v>
      </c>
      <c r="C531" t="s">
        <v>11</v>
      </c>
      <c r="D531">
        <v>1.5143325418240687</v>
      </c>
      <c r="E531" t="s">
        <v>245</v>
      </c>
      <c r="F531">
        <v>46242</v>
      </c>
      <c r="G531" t="s">
        <v>149</v>
      </c>
      <c r="H531">
        <v>0.24302482393273261</v>
      </c>
      <c r="I531">
        <v>0.24302482393273261</v>
      </c>
      <c r="J531">
        <v>0</v>
      </c>
      <c r="K531">
        <v>0</v>
      </c>
      <c r="L531">
        <v>0</v>
      </c>
      <c r="M531" t="s">
        <v>119</v>
      </c>
      <c r="P531">
        <v>42.48073922344166</v>
      </c>
      <c r="Q531">
        <v>0</v>
      </c>
      <c r="R531">
        <v>0</v>
      </c>
      <c r="S531">
        <v>42.48073922344166</v>
      </c>
    </row>
    <row r="532" spans="1:19" x14ac:dyDescent="0.25">
      <c r="A532" s="1">
        <v>46242</v>
      </c>
      <c r="B532" t="s">
        <v>13</v>
      </c>
      <c r="C532" t="s">
        <v>12</v>
      </c>
      <c r="D532">
        <v>3.4764767606583913</v>
      </c>
      <c r="E532" t="s">
        <v>245</v>
      </c>
      <c r="F532">
        <v>46242</v>
      </c>
      <c r="G532" t="s">
        <v>149</v>
      </c>
      <c r="H532">
        <v>0.41733599254816967</v>
      </c>
      <c r="I532">
        <v>0.41733599254816967</v>
      </c>
      <c r="J532">
        <v>0</v>
      </c>
      <c r="K532">
        <v>0</v>
      </c>
      <c r="L532">
        <v>0</v>
      </c>
      <c r="M532" t="s">
        <v>119</v>
      </c>
      <c r="P532">
        <v>72.950331497420052</v>
      </c>
      <c r="Q532">
        <v>0</v>
      </c>
      <c r="R532">
        <v>0</v>
      </c>
      <c r="S532">
        <v>72.950331497420052</v>
      </c>
    </row>
    <row r="533" spans="1:19" x14ac:dyDescent="0.25">
      <c r="A533" s="1">
        <v>46243</v>
      </c>
      <c r="B533" t="s">
        <v>13</v>
      </c>
      <c r="C533" t="s">
        <v>10</v>
      </c>
      <c r="D533">
        <v>20.872263142707769</v>
      </c>
      <c r="E533" t="s">
        <v>245</v>
      </c>
      <c r="F533">
        <v>46243</v>
      </c>
      <c r="G533" t="s">
        <v>149</v>
      </c>
      <c r="H533">
        <v>0</v>
      </c>
      <c r="I533">
        <v>0</v>
      </c>
      <c r="J533">
        <v>16.166380789766595</v>
      </c>
      <c r="K533">
        <v>16.166380789766595</v>
      </c>
      <c r="L533">
        <v>4.705882352941174</v>
      </c>
      <c r="M533" t="s">
        <v>120</v>
      </c>
      <c r="P533">
        <v>0</v>
      </c>
      <c r="Q533">
        <v>0</v>
      </c>
      <c r="R533">
        <v>0</v>
      </c>
      <c r="S533">
        <v>0</v>
      </c>
    </row>
    <row r="534" spans="1:19" x14ac:dyDescent="0.25">
      <c r="A534" s="1">
        <v>46244</v>
      </c>
      <c r="B534" t="s">
        <v>13</v>
      </c>
      <c r="C534" t="s">
        <v>12</v>
      </c>
      <c r="D534">
        <v>4.6391650995008078</v>
      </c>
      <c r="E534" t="s">
        <v>245</v>
      </c>
      <c r="F534">
        <v>46244</v>
      </c>
      <c r="G534" t="s">
        <v>149</v>
      </c>
      <c r="H534">
        <v>0.2530592605020352</v>
      </c>
      <c r="I534">
        <v>0.2530592605020352</v>
      </c>
      <c r="J534">
        <v>0</v>
      </c>
      <c r="K534">
        <v>0</v>
      </c>
      <c r="L534">
        <v>0</v>
      </c>
      <c r="M534" t="s">
        <v>125</v>
      </c>
      <c r="P534">
        <v>44.234758735755747</v>
      </c>
      <c r="Q534">
        <v>0</v>
      </c>
      <c r="R534">
        <v>0</v>
      </c>
      <c r="S534">
        <v>44.234758735755747</v>
      </c>
    </row>
    <row r="535" spans="1:19" x14ac:dyDescent="0.25">
      <c r="A535" s="1">
        <v>46244</v>
      </c>
      <c r="B535" t="s">
        <v>13</v>
      </c>
      <c r="C535" t="s">
        <v>11</v>
      </c>
      <c r="D535">
        <v>4.6446665947112775</v>
      </c>
      <c r="E535" t="s">
        <v>245</v>
      </c>
      <c r="F535">
        <v>46244</v>
      </c>
      <c r="G535" t="s">
        <v>149</v>
      </c>
      <c r="H535">
        <v>0</v>
      </c>
      <c r="I535">
        <v>0</v>
      </c>
      <c r="J535">
        <v>1.8211371829465721</v>
      </c>
      <c r="K535">
        <v>1.8211371829465721</v>
      </c>
      <c r="L535">
        <v>2.8235294117647052</v>
      </c>
      <c r="M535" t="s">
        <v>125</v>
      </c>
      <c r="P535">
        <v>0</v>
      </c>
      <c r="Q535">
        <v>0</v>
      </c>
      <c r="R535">
        <v>0</v>
      </c>
      <c r="S535">
        <v>0</v>
      </c>
    </row>
    <row r="536" spans="1:19" x14ac:dyDescent="0.25">
      <c r="A536" s="1">
        <v>46245</v>
      </c>
      <c r="B536" t="s">
        <v>13</v>
      </c>
      <c r="C536" t="s">
        <v>10</v>
      </c>
      <c r="D536">
        <v>3.7443870648366122</v>
      </c>
      <c r="E536" t="s">
        <v>245</v>
      </c>
      <c r="F536">
        <v>46245</v>
      </c>
      <c r="G536" t="s">
        <v>149</v>
      </c>
      <c r="H536">
        <v>0.75949632878168449</v>
      </c>
      <c r="I536">
        <v>0.75949632878168449</v>
      </c>
      <c r="J536">
        <v>0</v>
      </c>
      <c r="K536">
        <v>0</v>
      </c>
      <c r="L536">
        <v>0</v>
      </c>
      <c r="M536" t="s">
        <v>126</v>
      </c>
      <c r="P536">
        <v>132.75995827103844</v>
      </c>
      <c r="Q536">
        <v>0</v>
      </c>
      <c r="R536">
        <v>0</v>
      </c>
      <c r="S536">
        <v>132.75995827103844</v>
      </c>
    </row>
    <row r="537" spans="1:19" x14ac:dyDescent="0.25">
      <c r="A537" s="1">
        <v>46245</v>
      </c>
      <c r="B537" t="s">
        <v>13</v>
      </c>
      <c r="C537" t="s">
        <v>12</v>
      </c>
      <c r="D537">
        <v>3.2477412526586451</v>
      </c>
      <c r="E537" t="s">
        <v>245</v>
      </c>
      <c r="F537">
        <v>46245</v>
      </c>
      <c r="G537" t="s">
        <v>149</v>
      </c>
      <c r="H537">
        <v>0.82399857983655078</v>
      </c>
      <c r="I537">
        <v>0.82399857983655078</v>
      </c>
      <c r="J537">
        <v>0</v>
      </c>
      <c r="K537">
        <v>0</v>
      </c>
      <c r="L537">
        <v>0</v>
      </c>
      <c r="M537" t="s">
        <v>126</v>
      </c>
      <c r="P537">
        <v>144.03495175542906</v>
      </c>
      <c r="Q537">
        <v>0</v>
      </c>
      <c r="R537">
        <v>0</v>
      </c>
      <c r="S537">
        <v>144.03495175542906</v>
      </c>
    </row>
    <row r="538" spans="1:19" x14ac:dyDescent="0.25">
      <c r="A538" s="1">
        <v>46245</v>
      </c>
      <c r="B538" t="s">
        <v>13</v>
      </c>
      <c r="C538" t="s">
        <v>11</v>
      </c>
      <c r="D538">
        <v>98.201689506880726</v>
      </c>
      <c r="E538" t="s">
        <v>245</v>
      </c>
      <c r="F538">
        <v>46245</v>
      </c>
      <c r="G538" t="s">
        <v>149</v>
      </c>
      <c r="H538">
        <v>0</v>
      </c>
      <c r="I538">
        <v>0</v>
      </c>
      <c r="J538">
        <v>95.378160095116016</v>
      </c>
      <c r="K538">
        <v>95.378160095116016</v>
      </c>
      <c r="L538">
        <v>2.8235294117647056</v>
      </c>
      <c r="M538" t="s">
        <v>126</v>
      </c>
      <c r="P538">
        <v>0</v>
      </c>
      <c r="Q538">
        <v>0</v>
      </c>
      <c r="R538">
        <v>0</v>
      </c>
      <c r="S538">
        <v>0</v>
      </c>
    </row>
    <row r="539" spans="1:19" x14ac:dyDescent="0.25">
      <c r="A539" s="1">
        <v>46246</v>
      </c>
      <c r="B539" t="s">
        <v>13</v>
      </c>
      <c r="C539" t="s">
        <v>10</v>
      </c>
      <c r="D539">
        <v>2.9851464171276301</v>
      </c>
      <c r="E539" t="s">
        <v>245</v>
      </c>
      <c r="F539">
        <v>46246</v>
      </c>
      <c r="G539" t="s">
        <v>149</v>
      </c>
      <c r="H539">
        <v>0.89171921053143133</v>
      </c>
      <c r="I539">
        <v>0.89171921053143133</v>
      </c>
      <c r="J539">
        <v>0</v>
      </c>
      <c r="K539">
        <v>0</v>
      </c>
      <c r="L539">
        <v>0</v>
      </c>
      <c r="M539" t="s">
        <v>127</v>
      </c>
      <c r="P539">
        <v>155.87251800089419</v>
      </c>
      <c r="Q539">
        <v>0</v>
      </c>
      <c r="R539">
        <v>0</v>
      </c>
      <c r="S539">
        <v>155.87251800089419</v>
      </c>
    </row>
    <row r="540" spans="1:19" x14ac:dyDescent="0.25">
      <c r="A540" s="1">
        <v>46246</v>
      </c>
      <c r="B540" t="s">
        <v>13</v>
      </c>
      <c r="C540" t="s">
        <v>11</v>
      </c>
      <c r="D540">
        <v>175.88748400229358</v>
      </c>
      <c r="E540" t="s">
        <v>245</v>
      </c>
      <c r="F540">
        <v>46246</v>
      </c>
      <c r="G540" t="s">
        <v>149</v>
      </c>
      <c r="H540">
        <v>0</v>
      </c>
      <c r="I540">
        <v>0</v>
      </c>
      <c r="J540">
        <v>174.94630753170534</v>
      </c>
      <c r="K540">
        <v>174.94630753170534</v>
      </c>
      <c r="L540">
        <v>0.94117647058823517</v>
      </c>
      <c r="M540" t="s">
        <v>127</v>
      </c>
      <c r="P540">
        <v>0</v>
      </c>
      <c r="Q540">
        <v>0</v>
      </c>
      <c r="R540">
        <v>0</v>
      </c>
      <c r="S540">
        <v>0</v>
      </c>
    </row>
    <row r="541" spans="1:19" x14ac:dyDescent="0.25">
      <c r="A541" s="1">
        <v>46246</v>
      </c>
      <c r="B541" t="s">
        <v>13</v>
      </c>
      <c r="C541" t="s">
        <v>12</v>
      </c>
      <c r="D541">
        <v>2.1225626911314985</v>
      </c>
      <c r="E541" t="s">
        <v>245</v>
      </c>
      <c r="F541">
        <v>46246</v>
      </c>
      <c r="G541" t="s">
        <v>149</v>
      </c>
      <c r="H541">
        <v>0.90407685400096183</v>
      </c>
      <c r="I541">
        <v>0.90407685400096183</v>
      </c>
      <c r="J541">
        <v>0</v>
      </c>
      <c r="K541">
        <v>0</v>
      </c>
      <c r="L541">
        <v>0</v>
      </c>
      <c r="M541" t="s">
        <v>127</v>
      </c>
      <c r="P541">
        <v>158.03263407936811</v>
      </c>
      <c r="Q541">
        <v>0</v>
      </c>
      <c r="R541">
        <v>0</v>
      </c>
      <c r="S541">
        <v>158.03263407936811</v>
      </c>
    </row>
    <row r="542" spans="1:19" x14ac:dyDescent="0.25">
      <c r="A542" s="1">
        <v>46247</v>
      </c>
      <c r="B542" t="s">
        <v>13</v>
      </c>
      <c r="C542" t="s">
        <v>12</v>
      </c>
      <c r="D542">
        <v>0.66798296456197137</v>
      </c>
      <c r="E542" t="s">
        <v>245</v>
      </c>
      <c r="F542">
        <v>46247</v>
      </c>
      <c r="G542" t="s">
        <v>149</v>
      </c>
      <c r="H542">
        <v>4.9674563290159472</v>
      </c>
      <c r="I542">
        <v>4.9674563290159472</v>
      </c>
      <c r="J542">
        <v>0</v>
      </c>
      <c r="K542">
        <v>0</v>
      </c>
      <c r="L542">
        <v>0</v>
      </c>
      <c r="M542" t="s">
        <v>128</v>
      </c>
      <c r="P542">
        <v>868.31136631198751</v>
      </c>
      <c r="Q542">
        <v>0</v>
      </c>
      <c r="R542">
        <v>0</v>
      </c>
      <c r="S542">
        <v>868.31136631198751</v>
      </c>
    </row>
    <row r="543" spans="1:19" x14ac:dyDescent="0.25">
      <c r="A543" s="1">
        <v>46247</v>
      </c>
      <c r="B543" t="s">
        <v>13</v>
      </c>
      <c r="C543" t="s">
        <v>11</v>
      </c>
      <c r="D543">
        <v>83.314731257167423</v>
      </c>
      <c r="E543" t="s">
        <v>245</v>
      </c>
      <c r="F543">
        <v>46247</v>
      </c>
      <c r="G543" t="s">
        <v>149</v>
      </c>
      <c r="H543">
        <v>0</v>
      </c>
      <c r="I543">
        <v>0</v>
      </c>
      <c r="J543">
        <v>81.43237831599096</v>
      </c>
      <c r="K543">
        <v>81.43237831599096</v>
      </c>
      <c r="L543">
        <v>1.8823529411764701</v>
      </c>
      <c r="M543" t="s">
        <v>128</v>
      </c>
      <c r="P543">
        <v>0</v>
      </c>
      <c r="Q543">
        <v>0</v>
      </c>
      <c r="R543">
        <v>0</v>
      </c>
      <c r="S543">
        <v>0</v>
      </c>
    </row>
    <row r="544" spans="1:19" x14ac:dyDescent="0.25">
      <c r="A544" s="1">
        <v>46247</v>
      </c>
      <c r="B544" t="s">
        <v>13</v>
      </c>
      <c r="C544" t="s">
        <v>10</v>
      </c>
      <c r="D544">
        <v>3.3261634639115205</v>
      </c>
      <c r="E544" t="s">
        <v>245</v>
      </c>
      <c r="F544">
        <v>46247</v>
      </c>
      <c r="G544" t="s">
        <v>149</v>
      </c>
      <c r="H544">
        <v>0.13184632180575373</v>
      </c>
      <c r="I544">
        <v>0.13184632180575373</v>
      </c>
      <c r="J544">
        <v>0</v>
      </c>
      <c r="K544">
        <v>0</v>
      </c>
      <c r="L544">
        <v>0</v>
      </c>
      <c r="M544" t="s">
        <v>128</v>
      </c>
      <c r="P544">
        <v>23.046737051645749</v>
      </c>
      <c r="Q544">
        <v>0</v>
      </c>
      <c r="R544">
        <v>0</v>
      </c>
      <c r="S544">
        <v>23.046737051645749</v>
      </c>
    </row>
    <row r="545" spans="1:19" x14ac:dyDescent="0.25">
      <c r="A545" s="1">
        <v>46248</v>
      </c>
      <c r="B545" t="s">
        <v>13</v>
      </c>
      <c r="C545" t="s">
        <v>12</v>
      </c>
      <c r="D545">
        <v>2.1602246880345199</v>
      </c>
      <c r="E545" t="s">
        <v>245</v>
      </c>
      <c r="F545">
        <v>46248</v>
      </c>
      <c r="G545" t="s">
        <v>149</v>
      </c>
      <c r="H545">
        <v>0.38393908454158732</v>
      </c>
      <c r="I545">
        <v>0.38393908454158732</v>
      </c>
      <c r="J545">
        <v>0</v>
      </c>
      <c r="K545">
        <v>0</v>
      </c>
      <c r="L545">
        <v>0</v>
      </c>
      <c r="M545" t="s">
        <v>129</v>
      </c>
      <c r="P545">
        <v>67.112551977869458</v>
      </c>
      <c r="Q545">
        <v>0</v>
      </c>
      <c r="R545">
        <v>0</v>
      </c>
      <c r="S545">
        <v>67.112551977869458</v>
      </c>
    </row>
    <row r="546" spans="1:19" x14ac:dyDescent="0.25">
      <c r="A546" s="1">
        <v>46248</v>
      </c>
      <c r="B546" t="s">
        <v>13</v>
      </c>
      <c r="C546" t="s">
        <v>11</v>
      </c>
      <c r="D546">
        <v>34.863531150920799</v>
      </c>
      <c r="E546" t="s">
        <v>245</v>
      </c>
      <c r="F546">
        <v>46248</v>
      </c>
      <c r="G546" t="s">
        <v>149</v>
      </c>
      <c r="H546">
        <v>0</v>
      </c>
      <c r="I546">
        <v>0</v>
      </c>
      <c r="J546">
        <v>32.981178209744328</v>
      </c>
      <c r="K546">
        <v>32.981178209744328</v>
      </c>
      <c r="L546">
        <v>1.8823529411764706</v>
      </c>
      <c r="M546" t="s">
        <v>129</v>
      </c>
      <c r="P546">
        <v>0</v>
      </c>
      <c r="Q546">
        <v>0</v>
      </c>
      <c r="R546">
        <v>0</v>
      </c>
      <c r="S546">
        <v>0</v>
      </c>
    </row>
    <row r="547" spans="1:19" x14ac:dyDescent="0.25">
      <c r="A547" s="1">
        <v>46248</v>
      </c>
      <c r="B547" t="s">
        <v>13</v>
      </c>
      <c r="C547" t="s">
        <v>10</v>
      </c>
      <c r="D547">
        <v>2.4127467182760478</v>
      </c>
      <c r="E547" t="s">
        <v>245</v>
      </c>
      <c r="F547">
        <v>46248</v>
      </c>
      <c r="G547" t="s">
        <v>149</v>
      </c>
      <c r="H547">
        <v>0.17025520763413193</v>
      </c>
      <c r="I547">
        <v>0.17025520763413193</v>
      </c>
      <c r="J547">
        <v>0</v>
      </c>
      <c r="K547">
        <v>0</v>
      </c>
      <c r="L547">
        <v>0</v>
      </c>
      <c r="M547" t="s">
        <v>129</v>
      </c>
      <c r="P547">
        <v>29.760610294446259</v>
      </c>
      <c r="Q547">
        <v>0</v>
      </c>
      <c r="R547">
        <v>0</v>
      </c>
      <c r="S547">
        <v>29.760610294446259</v>
      </c>
    </row>
    <row r="548" spans="1:19" x14ac:dyDescent="0.25">
      <c r="A548" s="1">
        <v>46249</v>
      </c>
      <c r="B548" t="s">
        <v>13</v>
      </c>
      <c r="C548" t="s">
        <v>12</v>
      </c>
      <c r="D548">
        <v>34.034356327576894</v>
      </c>
      <c r="E548" t="s">
        <v>245</v>
      </c>
      <c r="F548">
        <v>46249</v>
      </c>
      <c r="G548" t="s">
        <v>149</v>
      </c>
      <c r="H548">
        <v>0</v>
      </c>
      <c r="I548">
        <v>0</v>
      </c>
      <c r="J548">
        <v>29.934010306815651</v>
      </c>
      <c r="K548">
        <v>29.934010306815651</v>
      </c>
      <c r="L548">
        <v>4.1003460207612443</v>
      </c>
      <c r="M548" t="s">
        <v>119</v>
      </c>
      <c r="P548">
        <v>0</v>
      </c>
      <c r="Q548">
        <v>0</v>
      </c>
      <c r="R548">
        <v>0</v>
      </c>
      <c r="S548">
        <v>0</v>
      </c>
    </row>
    <row r="549" spans="1:19" x14ac:dyDescent="0.25">
      <c r="A549" s="1">
        <v>46249</v>
      </c>
      <c r="B549" t="s">
        <v>13</v>
      </c>
      <c r="C549" t="s">
        <v>11</v>
      </c>
      <c r="D549">
        <v>3.520956934700485</v>
      </c>
      <c r="E549" t="s">
        <v>245</v>
      </c>
      <c r="F549">
        <v>46249</v>
      </c>
      <c r="G549" t="s">
        <v>149</v>
      </c>
      <c r="H549">
        <v>0</v>
      </c>
      <c r="I549">
        <v>0</v>
      </c>
      <c r="J549">
        <v>0.63860399352401442</v>
      </c>
      <c r="K549">
        <v>0.63860399352401442</v>
      </c>
      <c r="L549">
        <v>2.8823529411764706</v>
      </c>
      <c r="M549" t="s">
        <v>119</v>
      </c>
      <c r="P549">
        <v>0</v>
      </c>
      <c r="Q549">
        <v>0</v>
      </c>
      <c r="R549">
        <v>0</v>
      </c>
      <c r="S549">
        <v>0</v>
      </c>
    </row>
    <row r="550" spans="1:19" x14ac:dyDescent="0.25">
      <c r="A550" s="1">
        <v>46250</v>
      </c>
      <c r="B550" t="s">
        <v>13</v>
      </c>
      <c r="C550" t="s">
        <v>10</v>
      </c>
      <c r="D550">
        <v>2.3224751798884684</v>
      </c>
      <c r="E550" t="s">
        <v>245</v>
      </c>
      <c r="F550">
        <v>46250</v>
      </c>
      <c r="G550" t="s">
        <v>149</v>
      </c>
      <c r="H550">
        <v>0.77928831143629962</v>
      </c>
      <c r="I550">
        <v>0.77928831143629962</v>
      </c>
      <c r="J550">
        <v>0</v>
      </c>
      <c r="K550">
        <v>0</v>
      </c>
      <c r="L550">
        <v>0</v>
      </c>
      <c r="M550" t="s">
        <v>120</v>
      </c>
      <c r="P550">
        <v>136.21959683906516</v>
      </c>
      <c r="Q550">
        <v>0</v>
      </c>
      <c r="R550">
        <v>0</v>
      </c>
      <c r="S550">
        <v>136.21959683906516</v>
      </c>
    </row>
    <row r="551" spans="1:19" x14ac:dyDescent="0.25">
      <c r="A551" s="1">
        <v>46250</v>
      </c>
      <c r="B551" t="s">
        <v>13</v>
      </c>
      <c r="C551" t="s">
        <v>11</v>
      </c>
      <c r="D551">
        <v>50.145543577981634</v>
      </c>
      <c r="E551" t="s">
        <v>245</v>
      </c>
      <c r="F551">
        <v>46250</v>
      </c>
      <c r="G551" t="s">
        <v>149</v>
      </c>
      <c r="H551">
        <v>0</v>
      </c>
      <c r="I551">
        <v>0</v>
      </c>
      <c r="J551">
        <v>50.145543577981634</v>
      </c>
      <c r="K551">
        <v>50.145543577981634</v>
      </c>
      <c r="L551">
        <v>0</v>
      </c>
      <c r="M551" t="s">
        <v>120</v>
      </c>
      <c r="P551">
        <v>0</v>
      </c>
      <c r="Q551">
        <v>0</v>
      </c>
      <c r="R551">
        <v>0</v>
      </c>
      <c r="S551">
        <v>0</v>
      </c>
    </row>
    <row r="552" spans="1:19" x14ac:dyDescent="0.25">
      <c r="A552" s="1">
        <v>46223</v>
      </c>
      <c r="B552" t="s">
        <v>13</v>
      </c>
      <c r="C552" t="s">
        <v>12</v>
      </c>
      <c r="D552">
        <v>2.6935134000419843</v>
      </c>
      <c r="E552" t="s">
        <v>246</v>
      </c>
      <c r="F552">
        <v>46223</v>
      </c>
      <c r="G552" t="s">
        <v>149</v>
      </c>
      <c r="H552">
        <v>0</v>
      </c>
      <c r="I552">
        <v>0</v>
      </c>
      <c r="J552">
        <v>0.92188710246412919</v>
      </c>
      <c r="K552">
        <v>0.92188710246412919</v>
      </c>
      <c r="L552">
        <v>0</v>
      </c>
      <c r="M552" t="s">
        <v>125</v>
      </c>
      <c r="P552">
        <v>0</v>
      </c>
      <c r="Q552">
        <v>0</v>
      </c>
      <c r="R552">
        <v>0</v>
      </c>
      <c r="S552">
        <v>0</v>
      </c>
    </row>
    <row r="553" spans="1:19" x14ac:dyDescent="0.25">
      <c r="A553" s="1">
        <v>46223</v>
      </c>
      <c r="B553" t="s">
        <v>13</v>
      </c>
      <c r="C553" t="s">
        <v>10</v>
      </c>
      <c r="D553">
        <v>2.6281031573873226</v>
      </c>
      <c r="E553" t="s">
        <v>246</v>
      </c>
      <c r="F553">
        <v>46223</v>
      </c>
      <c r="G553" t="s">
        <v>149</v>
      </c>
      <c r="H553">
        <v>0</v>
      </c>
      <c r="I553">
        <v>0</v>
      </c>
      <c r="J553">
        <v>2.6281031573873226</v>
      </c>
      <c r="K553">
        <v>2.6281031573873226</v>
      </c>
      <c r="L553">
        <v>0</v>
      </c>
      <c r="M553" t="s">
        <v>125</v>
      </c>
      <c r="P553">
        <v>0</v>
      </c>
      <c r="Q553">
        <v>0</v>
      </c>
      <c r="R553">
        <v>0</v>
      </c>
      <c r="S553">
        <v>0</v>
      </c>
    </row>
    <row r="554" spans="1:19" x14ac:dyDescent="0.25">
      <c r="A554" s="1">
        <v>46223</v>
      </c>
      <c r="B554" t="s">
        <v>13</v>
      </c>
      <c r="C554" t="s">
        <v>11</v>
      </c>
      <c r="D554">
        <v>2.4372591552890133</v>
      </c>
      <c r="E554" t="s">
        <v>246</v>
      </c>
      <c r="F554">
        <v>46223</v>
      </c>
      <c r="G554" t="s">
        <v>149</v>
      </c>
      <c r="H554">
        <v>0</v>
      </c>
      <c r="I554">
        <v>0</v>
      </c>
      <c r="J554">
        <v>0.42941601803411139</v>
      </c>
      <c r="K554">
        <v>0.42941601803411139</v>
      </c>
      <c r="L554">
        <v>2.0078431372549019</v>
      </c>
      <c r="M554" t="s">
        <v>125</v>
      </c>
      <c r="P554">
        <v>0</v>
      </c>
      <c r="Q554">
        <v>0</v>
      </c>
      <c r="R554">
        <v>0</v>
      </c>
      <c r="S554">
        <v>0</v>
      </c>
    </row>
    <row r="555" spans="1:19" x14ac:dyDescent="0.25">
      <c r="A555" s="1">
        <v>46224</v>
      </c>
      <c r="B555" t="s">
        <v>13</v>
      </c>
      <c r="C555" t="s">
        <v>12</v>
      </c>
      <c r="D555">
        <v>2.9464208242950107</v>
      </c>
      <c r="E555" t="s">
        <v>246</v>
      </c>
      <c r="F555">
        <v>46224</v>
      </c>
      <c r="G555" t="s">
        <v>149</v>
      </c>
      <c r="H555">
        <v>0</v>
      </c>
      <c r="I555">
        <v>0</v>
      </c>
      <c r="J555">
        <v>1.1747945267171556</v>
      </c>
      <c r="K555">
        <v>1.1747945267171556</v>
      </c>
      <c r="L555">
        <v>0.82162629757785521</v>
      </c>
      <c r="M555" t="s">
        <v>126</v>
      </c>
      <c r="P555">
        <v>0</v>
      </c>
      <c r="Q555">
        <v>0</v>
      </c>
      <c r="R555">
        <v>0</v>
      </c>
      <c r="S555">
        <v>0</v>
      </c>
    </row>
    <row r="556" spans="1:19" x14ac:dyDescent="0.25">
      <c r="A556" s="1">
        <v>46224</v>
      </c>
      <c r="B556" t="s">
        <v>13</v>
      </c>
      <c r="C556" t="s">
        <v>11</v>
      </c>
      <c r="D556">
        <v>2.4468546637744035</v>
      </c>
      <c r="E556" t="s">
        <v>246</v>
      </c>
      <c r="F556">
        <v>46224</v>
      </c>
      <c r="G556" t="s">
        <v>149</v>
      </c>
      <c r="H556">
        <v>0</v>
      </c>
      <c r="I556">
        <v>0</v>
      </c>
      <c r="J556">
        <v>0.43901152651950165</v>
      </c>
      <c r="K556">
        <v>0.43901152651950165</v>
      </c>
      <c r="L556">
        <v>2.0078431372549019</v>
      </c>
      <c r="M556" t="s">
        <v>126</v>
      </c>
      <c r="P556">
        <v>0</v>
      </c>
      <c r="Q556">
        <v>0</v>
      </c>
      <c r="R556">
        <v>0</v>
      </c>
      <c r="S556">
        <v>0</v>
      </c>
    </row>
    <row r="557" spans="1:19" x14ac:dyDescent="0.25">
      <c r="A557" s="1">
        <v>46224</v>
      </c>
      <c r="B557" t="s">
        <v>13</v>
      </c>
      <c r="C557" t="s">
        <v>10</v>
      </c>
      <c r="D557">
        <v>3.6211146875656017</v>
      </c>
      <c r="E557" t="s">
        <v>246</v>
      </c>
      <c r="F557">
        <v>46224</v>
      </c>
      <c r="G557" t="s">
        <v>149</v>
      </c>
      <c r="H557">
        <v>0</v>
      </c>
      <c r="I557">
        <v>0</v>
      </c>
      <c r="J557">
        <v>3.3858205699185433</v>
      </c>
      <c r="K557">
        <v>3.3858205699185433</v>
      </c>
      <c r="L557">
        <v>0</v>
      </c>
      <c r="M557" t="s">
        <v>126</v>
      </c>
      <c r="P557">
        <v>0</v>
      </c>
      <c r="Q557">
        <v>0</v>
      </c>
      <c r="R557">
        <v>0</v>
      </c>
      <c r="S557">
        <v>0</v>
      </c>
    </row>
    <row r="558" spans="1:19" x14ac:dyDescent="0.25">
      <c r="A558" s="1">
        <v>46225</v>
      </c>
      <c r="B558" t="s">
        <v>13</v>
      </c>
      <c r="C558" t="s">
        <v>12</v>
      </c>
      <c r="D558">
        <v>2.6093411062906724</v>
      </c>
      <c r="E558" t="s">
        <v>246</v>
      </c>
      <c r="F558">
        <v>46225</v>
      </c>
      <c r="G558" t="s">
        <v>149</v>
      </c>
      <c r="H558">
        <v>0</v>
      </c>
      <c r="I558">
        <v>0</v>
      </c>
      <c r="J558">
        <v>0.83771480871281734</v>
      </c>
      <c r="K558">
        <v>0.83771480871281734</v>
      </c>
      <c r="L558">
        <v>0</v>
      </c>
      <c r="M558" t="s">
        <v>127</v>
      </c>
      <c r="P558">
        <v>0</v>
      </c>
      <c r="Q558">
        <v>0</v>
      </c>
      <c r="R558">
        <v>0</v>
      </c>
      <c r="S558">
        <v>0</v>
      </c>
    </row>
    <row r="559" spans="1:19" x14ac:dyDescent="0.25">
      <c r="A559" s="1">
        <v>46225</v>
      </c>
      <c r="B559" t="s">
        <v>13</v>
      </c>
      <c r="C559" t="s">
        <v>10</v>
      </c>
      <c r="D559">
        <v>4.2877304772234277</v>
      </c>
      <c r="E559" t="s">
        <v>246</v>
      </c>
      <c r="F559">
        <v>46225</v>
      </c>
      <c r="G559" t="s">
        <v>149</v>
      </c>
      <c r="H559">
        <v>0</v>
      </c>
      <c r="I559">
        <v>0</v>
      </c>
      <c r="J559">
        <v>4.0524363595763688</v>
      </c>
      <c r="K559">
        <v>4.0524363595763688</v>
      </c>
      <c r="L559">
        <v>0</v>
      </c>
      <c r="M559" t="s">
        <v>127</v>
      </c>
      <c r="P559">
        <v>0</v>
      </c>
      <c r="Q559">
        <v>0</v>
      </c>
      <c r="R559">
        <v>0</v>
      </c>
      <c r="S559">
        <v>0</v>
      </c>
    </row>
    <row r="560" spans="1:19" x14ac:dyDescent="0.25">
      <c r="A560" s="1">
        <v>46225</v>
      </c>
      <c r="B560" t="s">
        <v>13</v>
      </c>
      <c r="C560" t="s">
        <v>11</v>
      </c>
      <c r="D560">
        <v>1.5873185382946773</v>
      </c>
      <c r="E560" t="s">
        <v>246</v>
      </c>
      <c r="F560">
        <v>46225</v>
      </c>
      <c r="G560" t="s">
        <v>149</v>
      </c>
      <c r="H560">
        <v>0.26492766814908597</v>
      </c>
      <c r="I560">
        <v>0.26492766814908597</v>
      </c>
      <c r="J560">
        <v>0</v>
      </c>
      <c r="K560">
        <v>0</v>
      </c>
      <c r="L560">
        <v>0</v>
      </c>
      <c r="M560" t="s">
        <v>127</v>
      </c>
      <c r="P560">
        <v>46.309356392460224</v>
      </c>
      <c r="Q560">
        <v>0</v>
      </c>
      <c r="R560">
        <v>0</v>
      </c>
      <c r="S560">
        <v>46.309356392460224</v>
      </c>
    </row>
    <row r="561" spans="1:19" x14ac:dyDescent="0.25">
      <c r="A561" s="1">
        <v>46226</v>
      </c>
      <c r="B561" t="s">
        <v>13</v>
      </c>
      <c r="C561" t="s">
        <v>12</v>
      </c>
      <c r="D561">
        <v>1.4824190049681616</v>
      </c>
      <c r="E561" t="s">
        <v>246</v>
      </c>
      <c r="F561">
        <v>46226</v>
      </c>
      <c r="G561" t="s">
        <v>149</v>
      </c>
      <c r="H561">
        <v>0.19509146310216452</v>
      </c>
      <c r="I561">
        <v>0.19509146310216452</v>
      </c>
      <c r="J561">
        <v>0</v>
      </c>
      <c r="K561">
        <v>0</v>
      </c>
      <c r="L561">
        <v>0</v>
      </c>
      <c r="M561" t="s">
        <v>128</v>
      </c>
      <c r="P561">
        <v>34.10198775025836</v>
      </c>
      <c r="Q561">
        <v>0</v>
      </c>
      <c r="R561">
        <v>0</v>
      </c>
      <c r="S561">
        <v>34.10198775025836</v>
      </c>
    </row>
    <row r="562" spans="1:19" x14ac:dyDescent="0.25">
      <c r="A562" s="1">
        <v>46226</v>
      </c>
      <c r="B562" t="s">
        <v>13</v>
      </c>
      <c r="C562" t="s">
        <v>11</v>
      </c>
      <c r="D562">
        <v>2.621629996901147</v>
      </c>
      <c r="E562" t="s">
        <v>246</v>
      </c>
      <c r="F562">
        <v>46226</v>
      </c>
      <c r="G562" t="s">
        <v>149</v>
      </c>
      <c r="H562">
        <v>0</v>
      </c>
      <c r="I562">
        <v>0</v>
      </c>
      <c r="J562">
        <v>0.61378685964624491</v>
      </c>
      <c r="K562">
        <v>0.61378685964624491</v>
      </c>
      <c r="L562">
        <v>2.0078431372549019</v>
      </c>
      <c r="M562" t="s">
        <v>128</v>
      </c>
      <c r="P562">
        <v>0</v>
      </c>
      <c r="Q562">
        <v>0</v>
      </c>
      <c r="R562">
        <v>0</v>
      </c>
      <c r="S562">
        <v>0</v>
      </c>
    </row>
    <row r="563" spans="1:19" x14ac:dyDescent="0.25">
      <c r="A563" s="1">
        <v>46226</v>
      </c>
      <c r="B563" t="s">
        <v>13</v>
      </c>
      <c r="C563" t="s">
        <v>10</v>
      </c>
      <c r="D563">
        <v>8.4736907344282635</v>
      </c>
      <c r="E563" t="s">
        <v>246</v>
      </c>
      <c r="F563">
        <v>46226</v>
      </c>
      <c r="G563" t="s">
        <v>149</v>
      </c>
      <c r="H563">
        <v>0</v>
      </c>
      <c r="I563">
        <v>0</v>
      </c>
      <c r="J563">
        <v>8.2383966167812055</v>
      </c>
      <c r="K563">
        <v>8.2383966167812055</v>
      </c>
      <c r="L563">
        <v>0</v>
      </c>
      <c r="M563" t="s">
        <v>128</v>
      </c>
      <c r="P563">
        <v>0</v>
      </c>
      <c r="Q563">
        <v>0</v>
      </c>
      <c r="R563">
        <v>0</v>
      </c>
      <c r="S563">
        <v>0</v>
      </c>
    </row>
    <row r="564" spans="1:19" x14ac:dyDescent="0.25">
      <c r="A564" s="1">
        <v>46227</v>
      </c>
      <c r="B564" t="s">
        <v>13</v>
      </c>
      <c r="C564" t="s">
        <v>12</v>
      </c>
      <c r="D564">
        <v>1.6822125813449025</v>
      </c>
      <c r="E564" t="s">
        <v>246</v>
      </c>
      <c r="F564">
        <v>46227</v>
      </c>
      <c r="G564" t="s">
        <v>149</v>
      </c>
      <c r="H564">
        <v>5.3152447689737148E-2</v>
      </c>
      <c r="I564">
        <v>5.3152447689737148E-2</v>
      </c>
      <c r="J564">
        <v>0</v>
      </c>
      <c r="K564">
        <v>0</v>
      </c>
      <c r="L564">
        <v>0</v>
      </c>
      <c r="M564" t="s">
        <v>129</v>
      </c>
      <c r="P564">
        <v>9.2910478561660526</v>
      </c>
      <c r="Q564">
        <v>0</v>
      </c>
      <c r="R564">
        <v>0</v>
      </c>
      <c r="S564">
        <v>9.2910478561660526</v>
      </c>
    </row>
    <row r="565" spans="1:19" x14ac:dyDescent="0.25">
      <c r="A565" s="1">
        <v>46227</v>
      </c>
      <c r="B565" t="s">
        <v>13</v>
      </c>
      <c r="C565" t="s">
        <v>11</v>
      </c>
      <c r="D565">
        <v>2.446854663774404</v>
      </c>
      <c r="E565" t="s">
        <v>246</v>
      </c>
      <c r="F565">
        <v>46227</v>
      </c>
      <c r="G565" t="s">
        <v>149</v>
      </c>
      <c r="H565">
        <v>0</v>
      </c>
      <c r="I565">
        <v>0</v>
      </c>
      <c r="J565">
        <v>0.43901152651950198</v>
      </c>
      <c r="K565">
        <v>0.43901152651950198</v>
      </c>
      <c r="L565">
        <v>2.0078431372549019</v>
      </c>
      <c r="M565" t="s">
        <v>129</v>
      </c>
      <c r="P565">
        <v>0</v>
      </c>
      <c r="Q565">
        <v>0</v>
      </c>
      <c r="R565">
        <v>0</v>
      </c>
      <c r="S565">
        <v>0</v>
      </c>
    </row>
    <row r="566" spans="1:19" x14ac:dyDescent="0.25">
      <c r="A566" s="1">
        <v>46227</v>
      </c>
      <c r="B566" t="s">
        <v>13</v>
      </c>
      <c r="C566" t="s">
        <v>10</v>
      </c>
      <c r="D566">
        <v>10.399132321041217</v>
      </c>
      <c r="E566" t="s">
        <v>246</v>
      </c>
      <c r="F566">
        <v>46227</v>
      </c>
      <c r="G566" t="s">
        <v>149</v>
      </c>
      <c r="H566">
        <v>0</v>
      </c>
      <c r="I566">
        <v>0</v>
      </c>
      <c r="J566">
        <v>10.163838203394157</v>
      </c>
      <c r="K566">
        <v>10.163838203394157</v>
      </c>
      <c r="L566">
        <v>0</v>
      </c>
      <c r="M566" t="s">
        <v>129</v>
      </c>
      <c r="P566">
        <v>0</v>
      </c>
      <c r="Q566">
        <v>0</v>
      </c>
      <c r="R566">
        <v>0</v>
      </c>
      <c r="S566">
        <v>0</v>
      </c>
    </row>
    <row r="567" spans="1:19" x14ac:dyDescent="0.25">
      <c r="A567" s="1">
        <v>46228</v>
      </c>
      <c r="B567" t="s">
        <v>13</v>
      </c>
      <c r="C567" t="s">
        <v>10</v>
      </c>
      <c r="D567">
        <v>1.3865509761388286</v>
      </c>
      <c r="E567" t="s">
        <v>246</v>
      </c>
      <c r="F567">
        <v>46228</v>
      </c>
      <c r="G567" t="s">
        <v>149</v>
      </c>
      <c r="H567">
        <v>0</v>
      </c>
      <c r="I567">
        <v>0</v>
      </c>
      <c r="J567">
        <v>1.1512568584917697</v>
      </c>
      <c r="K567">
        <v>1.1512568584917697</v>
      </c>
      <c r="L567">
        <v>0</v>
      </c>
      <c r="M567" t="s">
        <v>119</v>
      </c>
      <c r="P567">
        <v>0</v>
      </c>
      <c r="Q567">
        <v>0</v>
      </c>
      <c r="R567">
        <v>0</v>
      </c>
      <c r="S567">
        <v>0</v>
      </c>
    </row>
    <row r="568" spans="1:19" x14ac:dyDescent="0.25">
      <c r="A568" s="1">
        <v>46228</v>
      </c>
      <c r="B568" t="s">
        <v>13</v>
      </c>
      <c r="C568" t="s">
        <v>11</v>
      </c>
      <c r="D568">
        <v>2.4468546637744035</v>
      </c>
      <c r="E568" t="s">
        <v>246</v>
      </c>
      <c r="F568">
        <v>46228</v>
      </c>
      <c r="G568" t="s">
        <v>149</v>
      </c>
      <c r="H568">
        <v>0</v>
      </c>
      <c r="I568">
        <v>0</v>
      </c>
      <c r="J568">
        <v>0.43901152651950165</v>
      </c>
      <c r="K568">
        <v>0.43901152651950165</v>
      </c>
      <c r="L568">
        <v>2.0078431372549019</v>
      </c>
      <c r="M568" t="s">
        <v>119</v>
      </c>
      <c r="P568">
        <v>0</v>
      </c>
      <c r="Q568">
        <v>0</v>
      </c>
      <c r="R568">
        <v>0</v>
      </c>
      <c r="S568">
        <v>0</v>
      </c>
    </row>
    <row r="569" spans="1:19" x14ac:dyDescent="0.25">
      <c r="A569" s="1">
        <v>46228</v>
      </c>
      <c r="B569" t="s">
        <v>13</v>
      </c>
      <c r="C569" t="s">
        <v>12</v>
      </c>
      <c r="D569">
        <v>2.4468546637744035</v>
      </c>
      <c r="E569" t="s">
        <v>246</v>
      </c>
      <c r="F569">
        <v>46228</v>
      </c>
      <c r="G569" t="s">
        <v>149</v>
      </c>
      <c r="H569">
        <v>0</v>
      </c>
      <c r="I569">
        <v>0</v>
      </c>
      <c r="J569">
        <v>0.67522836619654836</v>
      </c>
      <c r="K569">
        <v>0.67522836619654836</v>
      </c>
      <c r="L569">
        <v>0</v>
      </c>
      <c r="M569" t="s">
        <v>119</v>
      </c>
      <c r="P569">
        <v>0</v>
      </c>
      <c r="Q569">
        <v>0</v>
      </c>
      <c r="R569">
        <v>0</v>
      </c>
      <c r="S569">
        <v>0</v>
      </c>
    </row>
    <row r="570" spans="1:19" x14ac:dyDescent="0.25">
      <c r="A570" s="1">
        <v>46229</v>
      </c>
      <c r="B570" t="s">
        <v>13</v>
      </c>
      <c r="C570" t="s">
        <v>10</v>
      </c>
      <c r="D570">
        <v>0</v>
      </c>
      <c r="E570" t="s">
        <v>246</v>
      </c>
      <c r="F570">
        <v>46229</v>
      </c>
      <c r="G570" t="s">
        <v>149</v>
      </c>
      <c r="H570">
        <v>0</v>
      </c>
      <c r="I570">
        <v>0</v>
      </c>
      <c r="J570">
        <v>0</v>
      </c>
      <c r="K570">
        <v>0</v>
      </c>
      <c r="L570">
        <v>0</v>
      </c>
      <c r="M570" t="s">
        <v>120</v>
      </c>
      <c r="P570">
        <v>0</v>
      </c>
      <c r="Q570">
        <v>0</v>
      </c>
      <c r="R570">
        <v>0</v>
      </c>
      <c r="S570">
        <v>0</v>
      </c>
    </row>
    <row r="571" spans="1:19" x14ac:dyDescent="0.25">
      <c r="A571" s="1">
        <v>46229</v>
      </c>
      <c r="B571" t="s">
        <v>13</v>
      </c>
      <c r="C571" t="s">
        <v>11</v>
      </c>
      <c r="D571">
        <v>0.92436731742588596</v>
      </c>
      <c r="E571" t="s">
        <v>246</v>
      </c>
      <c r="F571">
        <v>46229</v>
      </c>
      <c r="G571" t="s">
        <v>149</v>
      </c>
      <c r="H571">
        <v>1.1721269233600817</v>
      </c>
      <c r="I571">
        <v>1.1721269233600817</v>
      </c>
      <c r="J571">
        <v>0</v>
      </c>
      <c r="K571">
        <v>0</v>
      </c>
      <c r="L571">
        <v>0</v>
      </c>
      <c r="M571" t="s">
        <v>120</v>
      </c>
      <c r="P571">
        <v>204.88778620334227</v>
      </c>
      <c r="Q571">
        <v>0</v>
      </c>
      <c r="R571">
        <v>0</v>
      </c>
      <c r="S571">
        <v>204.88778620334227</v>
      </c>
    </row>
    <row r="572" spans="1:19" x14ac:dyDescent="0.25">
      <c r="A572" s="1">
        <v>46229</v>
      </c>
      <c r="B572" t="s">
        <v>13</v>
      </c>
      <c r="C572" t="s">
        <v>12</v>
      </c>
      <c r="D572">
        <v>2.8166015907447579</v>
      </c>
      <c r="E572" t="s">
        <v>246</v>
      </c>
      <c r="F572">
        <v>46229</v>
      </c>
      <c r="G572" t="s">
        <v>149</v>
      </c>
      <c r="H572">
        <v>0</v>
      </c>
      <c r="I572">
        <v>0</v>
      </c>
      <c r="J572">
        <v>1.0449752931669025</v>
      </c>
      <c r="K572">
        <v>1.0449752931669025</v>
      </c>
      <c r="L572">
        <v>0</v>
      </c>
      <c r="M572" t="s">
        <v>120</v>
      </c>
      <c r="P572">
        <v>0</v>
      </c>
      <c r="Q572">
        <v>0</v>
      </c>
      <c r="R572">
        <v>0</v>
      </c>
      <c r="S572">
        <v>0</v>
      </c>
    </row>
    <row r="573" spans="1:19" x14ac:dyDescent="0.25">
      <c r="A573" s="1">
        <v>46230</v>
      </c>
      <c r="B573" t="s">
        <v>13</v>
      </c>
      <c r="C573" t="s">
        <v>10</v>
      </c>
      <c r="D573">
        <v>1.4415752201097356</v>
      </c>
      <c r="E573" t="s">
        <v>246</v>
      </c>
      <c r="F573">
        <v>46230</v>
      </c>
      <c r="G573" t="s">
        <v>149</v>
      </c>
      <c r="H573">
        <v>0</v>
      </c>
      <c r="I573">
        <v>0</v>
      </c>
      <c r="J573">
        <v>1.2062811024626769</v>
      </c>
      <c r="K573">
        <v>1.2062811024626769</v>
      </c>
      <c r="L573">
        <v>0</v>
      </c>
      <c r="M573" t="s">
        <v>125</v>
      </c>
      <c r="P573">
        <v>0</v>
      </c>
      <c r="Q573">
        <v>0</v>
      </c>
      <c r="R573">
        <v>0</v>
      </c>
      <c r="S573">
        <v>0</v>
      </c>
    </row>
    <row r="574" spans="1:19" x14ac:dyDescent="0.25">
      <c r="A574" s="1">
        <v>46230</v>
      </c>
      <c r="B574" t="s">
        <v>13</v>
      </c>
      <c r="C574" t="s">
        <v>11</v>
      </c>
      <c r="D574">
        <v>4.8076870932754874</v>
      </c>
      <c r="E574" t="s">
        <v>246</v>
      </c>
      <c r="F574">
        <v>46230</v>
      </c>
      <c r="G574" t="s">
        <v>149</v>
      </c>
      <c r="H574">
        <v>0</v>
      </c>
      <c r="I574">
        <v>0</v>
      </c>
      <c r="J574">
        <v>2.7998439560205859</v>
      </c>
      <c r="K574">
        <v>2.7998439560205859</v>
      </c>
      <c r="L574">
        <v>2.0078431372549019</v>
      </c>
      <c r="M574" t="s">
        <v>125</v>
      </c>
      <c r="P574">
        <v>0</v>
      </c>
      <c r="Q574">
        <v>0</v>
      </c>
      <c r="R574">
        <v>0</v>
      </c>
      <c r="S574">
        <v>0</v>
      </c>
    </row>
    <row r="575" spans="1:19" x14ac:dyDescent="0.25">
      <c r="A575" s="1">
        <v>46230</v>
      </c>
      <c r="B575" t="s">
        <v>13</v>
      </c>
      <c r="C575" t="s">
        <v>12</v>
      </c>
      <c r="D575">
        <v>2.3930131994952721</v>
      </c>
      <c r="E575" t="s">
        <v>246</v>
      </c>
      <c r="F575">
        <v>46230</v>
      </c>
      <c r="G575" t="s">
        <v>149</v>
      </c>
      <c r="H575">
        <v>0</v>
      </c>
      <c r="I575">
        <v>0</v>
      </c>
      <c r="J575">
        <v>0.62138690191741697</v>
      </c>
      <c r="K575">
        <v>0.62138690191741697</v>
      </c>
      <c r="L575">
        <v>0</v>
      </c>
      <c r="M575" t="s">
        <v>125</v>
      </c>
      <c r="P575">
        <v>0</v>
      </c>
      <c r="Q575">
        <v>0</v>
      </c>
      <c r="R575">
        <v>0</v>
      </c>
      <c r="S575">
        <v>0</v>
      </c>
    </row>
    <row r="576" spans="1:19" x14ac:dyDescent="0.25">
      <c r="A576" s="1">
        <v>46231</v>
      </c>
      <c r="B576" t="s">
        <v>13</v>
      </c>
      <c r="C576" t="s">
        <v>12</v>
      </c>
      <c r="D576">
        <v>6.501642392314845</v>
      </c>
      <c r="E576" t="s">
        <v>246</v>
      </c>
      <c r="F576">
        <v>46231</v>
      </c>
      <c r="G576" t="s">
        <v>149</v>
      </c>
      <c r="H576">
        <v>0</v>
      </c>
      <c r="I576">
        <v>0</v>
      </c>
      <c r="J576">
        <v>4.7300160947369889</v>
      </c>
      <c r="K576">
        <v>4.7300160947369889</v>
      </c>
      <c r="L576">
        <v>0</v>
      </c>
      <c r="M576" t="s">
        <v>126</v>
      </c>
      <c r="P576">
        <v>0</v>
      </c>
      <c r="Q576">
        <v>0</v>
      </c>
      <c r="R576">
        <v>0</v>
      </c>
      <c r="S576">
        <v>0</v>
      </c>
    </row>
    <row r="577" spans="1:19" x14ac:dyDescent="0.25">
      <c r="A577" s="1">
        <v>46231</v>
      </c>
      <c r="B577" t="s">
        <v>13</v>
      </c>
      <c r="C577" t="s">
        <v>10</v>
      </c>
      <c r="D577">
        <v>4.1727610784009919</v>
      </c>
      <c r="E577" t="s">
        <v>246</v>
      </c>
      <c r="F577">
        <v>46231</v>
      </c>
      <c r="G577" t="s">
        <v>149</v>
      </c>
      <c r="H577">
        <v>0</v>
      </c>
      <c r="I577">
        <v>0</v>
      </c>
      <c r="J577">
        <v>3.937466960753933</v>
      </c>
      <c r="K577">
        <v>3.937466960753933</v>
      </c>
      <c r="L577">
        <v>0</v>
      </c>
      <c r="M577" t="s">
        <v>126</v>
      </c>
      <c r="P577">
        <v>0</v>
      </c>
      <c r="Q577">
        <v>0</v>
      </c>
      <c r="R577">
        <v>0</v>
      </c>
      <c r="S577">
        <v>0</v>
      </c>
    </row>
    <row r="578" spans="1:19" x14ac:dyDescent="0.25">
      <c r="A578" s="1">
        <v>46232</v>
      </c>
      <c r="B578" t="s">
        <v>13</v>
      </c>
      <c r="C578" t="s">
        <v>12</v>
      </c>
      <c r="D578">
        <v>2.6297508709656223</v>
      </c>
      <c r="E578" t="s">
        <v>246</v>
      </c>
      <c r="F578">
        <v>46232</v>
      </c>
      <c r="G578" t="s">
        <v>149</v>
      </c>
      <c r="H578">
        <v>0</v>
      </c>
      <c r="I578">
        <v>0</v>
      </c>
      <c r="J578">
        <v>0.85812457338776715</v>
      </c>
      <c r="K578">
        <v>0.85812457338776715</v>
      </c>
      <c r="L578">
        <v>0</v>
      </c>
      <c r="M578" t="s">
        <v>127</v>
      </c>
      <c r="P578">
        <v>0</v>
      </c>
      <c r="Q578">
        <v>0</v>
      </c>
      <c r="R578">
        <v>0</v>
      </c>
      <c r="S578">
        <v>0</v>
      </c>
    </row>
    <row r="579" spans="1:19" x14ac:dyDescent="0.25">
      <c r="A579" s="1">
        <v>46232</v>
      </c>
      <c r="B579" t="s">
        <v>13</v>
      </c>
      <c r="C579" t="s">
        <v>11</v>
      </c>
      <c r="D579">
        <v>4.4996245619889859</v>
      </c>
      <c r="E579" t="s">
        <v>246</v>
      </c>
      <c r="F579">
        <v>46232</v>
      </c>
      <c r="G579" t="s">
        <v>149</v>
      </c>
      <c r="H579">
        <v>0</v>
      </c>
      <c r="I579">
        <v>0</v>
      </c>
      <c r="J579">
        <v>2.4917814247340839</v>
      </c>
      <c r="K579">
        <v>2.4917814247340839</v>
      </c>
      <c r="L579">
        <v>2.0078431372549019</v>
      </c>
      <c r="M579" t="s">
        <v>127</v>
      </c>
      <c r="P579">
        <v>0</v>
      </c>
      <c r="Q579">
        <v>0</v>
      </c>
      <c r="R579">
        <v>0</v>
      </c>
      <c r="S579">
        <v>0</v>
      </c>
    </row>
    <row r="580" spans="1:19" x14ac:dyDescent="0.25">
      <c r="A580" s="1">
        <v>46232</v>
      </c>
      <c r="B580" t="s">
        <v>13</v>
      </c>
      <c r="C580" t="s">
        <v>10</v>
      </c>
      <c r="D580">
        <v>2.4446699721103191</v>
      </c>
      <c r="E580" t="s">
        <v>246</v>
      </c>
      <c r="F580">
        <v>46232</v>
      </c>
      <c r="G580" t="s">
        <v>149</v>
      </c>
      <c r="H580">
        <v>0</v>
      </c>
      <c r="I580">
        <v>0</v>
      </c>
      <c r="J580">
        <v>2.2093758544632602</v>
      </c>
      <c r="K580">
        <v>2.2093758544632602</v>
      </c>
      <c r="L580">
        <v>0</v>
      </c>
      <c r="M580" t="s">
        <v>127</v>
      </c>
      <c r="P580">
        <v>0</v>
      </c>
      <c r="Q580">
        <v>0</v>
      </c>
      <c r="R580">
        <v>0</v>
      </c>
      <c r="S580">
        <v>0</v>
      </c>
    </row>
    <row r="581" spans="1:19" x14ac:dyDescent="0.25">
      <c r="A581" s="1">
        <v>46233</v>
      </c>
      <c r="B581" t="s">
        <v>13</v>
      </c>
      <c r="C581" t="s">
        <v>12</v>
      </c>
      <c r="D581">
        <v>2.5281481904326979</v>
      </c>
      <c r="E581" t="s">
        <v>246</v>
      </c>
      <c r="F581">
        <v>46233</v>
      </c>
      <c r="G581" t="s">
        <v>149</v>
      </c>
      <c r="H581">
        <v>0</v>
      </c>
      <c r="I581">
        <v>0</v>
      </c>
      <c r="J581">
        <v>0.75652189285484261</v>
      </c>
      <c r="K581">
        <v>0.75652189285484261</v>
      </c>
      <c r="L581">
        <v>0</v>
      </c>
      <c r="M581" t="s">
        <v>128</v>
      </c>
      <c r="P581">
        <v>0</v>
      </c>
      <c r="Q581">
        <v>0</v>
      </c>
      <c r="R581">
        <v>0</v>
      </c>
      <c r="S581">
        <v>0</v>
      </c>
    </row>
    <row r="582" spans="1:19" x14ac:dyDescent="0.25">
      <c r="A582" s="1">
        <v>46233</v>
      </c>
      <c r="B582" t="s">
        <v>13</v>
      </c>
      <c r="C582" t="s">
        <v>11</v>
      </c>
      <c r="D582">
        <v>3.1541485900216917</v>
      </c>
      <c r="E582" t="s">
        <v>246</v>
      </c>
      <c r="F582">
        <v>46233</v>
      </c>
      <c r="G582" t="s">
        <v>149</v>
      </c>
      <c r="H582">
        <v>0</v>
      </c>
      <c r="I582">
        <v>0</v>
      </c>
      <c r="J582">
        <v>1.1463054527667897</v>
      </c>
      <c r="K582">
        <v>1.1463054527667897</v>
      </c>
      <c r="L582">
        <v>2.0078431372549019</v>
      </c>
      <c r="M582" t="s">
        <v>128</v>
      </c>
      <c r="P582">
        <v>0</v>
      </c>
      <c r="Q582">
        <v>0</v>
      </c>
      <c r="R582">
        <v>0</v>
      </c>
      <c r="S582">
        <v>0</v>
      </c>
    </row>
    <row r="583" spans="1:19" x14ac:dyDescent="0.25">
      <c r="A583" s="1">
        <v>46233</v>
      </c>
      <c r="B583" t="s">
        <v>13</v>
      </c>
      <c r="C583" t="s">
        <v>10</v>
      </c>
      <c r="D583">
        <v>2.1834779464931304</v>
      </c>
      <c r="E583" t="s">
        <v>246</v>
      </c>
      <c r="F583">
        <v>46233</v>
      </c>
      <c r="G583" t="s">
        <v>149</v>
      </c>
      <c r="H583">
        <v>0</v>
      </c>
      <c r="I583">
        <v>0</v>
      </c>
      <c r="J583">
        <v>1.9481838288460716</v>
      </c>
      <c r="K583">
        <v>1.9481838288460716</v>
      </c>
      <c r="L583">
        <v>0</v>
      </c>
      <c r="M583" t="s">
        <v>128</v>
      </c>
      <c r="P583">
        <v>0</v>
      </c>
      <c r="Q583">
        <v>0</v>
      </c>
      <c r="R583">
        <v>0</v>
      </c>
      <c r="S583">
        <v>0</v>
      </c>
    </row>
    <row r="584" spans="1:19" x14ac:dyDescent="0.25">
      <c r="A584" s="1">
        <v>46234</v>
      </c>
      <c r="B584" t="s">
        <v>13</v>
      </c>
      <c r="C584" t="s">
        <v>10</v>
      </c>
      <c r="D584">
        <v>2.4228230554694763</v>
      </c>
      <c r="E584" t="s">
        <v>246</v>
      </c>
      <c r="F584">
        <v>46234</v>
      </c>
      <c r="G584" t="s">
        <v>149</v>
      </c>
      <c r="H584">
        <v>0</v>
      </c>
      <c r="I584">
        <v>0</v>
      </c>
      <c r="J584">
        <v>2.1875289378224174</v>
      </c>
      <c r="K584">
        <v>2.1875289378224174</v>
      </c>
      <c r="L584">
        <v>0</v>
      </c>
      <c r="M584" t="s">
        <v>129</v>
      </c>
      <c r="P584">
        <v>0</v>
      </c>
      <c r="Q584">
        <v>0</v>
      </c>
      <c r="R584">
        <v>0</v>
      </c>
      <c r="S584">
        <v>0</v>
      </c>
    </row>
    <row r="585" spans="1:19" x14ac:dyDescent="0.25">
      <c r="A585" s="1">
        <v>46234</v>
      </c>
      <c r="B585" t="s">
        <v>13</v>
      </c>
      <c r="C585" t="s">
        <v>11</v>
      </c>
      <c r="D585">
        <v>4.6834327548806938</v>
      </c>
      <c r="E585" t="s">
        <v>246</v>
      </c>
      <c r="F585">
        <v>46234</v>
      </c>
      <c r="G585" t="s">
        <v>149</v>
      </c>
      <c r="H585">
        <v>0</v>
      </c>
      <c r="I585">
        <v>0</v>
      </c>
      <c r="J585">
        <v>2.6755896176257918</v>
      </c>
      <c r="K585">
        <v>2.6755896176257918</v>
      </c>
      <c r="L585">
        <v>2.0078431372549019</v>
      </c>
      <c r="M585" t="s">
        <v>129</v>
      </c>
      <c r="P585">
        <v>0</v>
      </c>
      <c r="Q585">
        <v>0</v>
      </c>
      <c r="R585">
        <v>0</v>
      </c>
      <c r="S585">
        <v>0</v>
      </c>
    </row>
    <row r="586" spans="1:19" x14ac:dyDescent="0.25">
      <c r="A586" s="1">
        <v>46234</v>
      </c>
      <c r="B586" t="s">
        <v>13</v>
      </c>
      <c r="C586" t="s">
        <v>12</v>
      </c>
      <c r="D586">
        <v>2.4616840859790972</v>
      </c>
      <c r="E586" t="s">
        <v>246</v>
      </c>
      <c r="F586">
        <v>46234</v>
      </c>
      <c r="G586" t="s">
        <v>149</v>
      </c>
      <c r="H586">
        <v>0</v>
      </c>
      <c r="I586">
        <v>0</v>
      </c>
      <c r="J586">
        <v>0.69005778840124199</v>
      </c>
      <c r="K586">
        <v>0.69005778840124199</v>
      </c>
      <c r="L586">
        <v>0</v>
      </c>
      <c r="M586" t="s">
        <v>129</v>
      </c>
      <c r="P586">
        <v>0</v>
      </c>
      <c r="Q586">
        <v>0</v>
      </c>
      <c r="R586">
        <v>0</v>
      </c>
      <c r="S586">
        <v>0</v>
      </c>
    </row>
    <row r="587" spans="1:19" x14ac:dyDescent="0.25">
      <c r="A587" s="1">
        <v>46235</v>
      </c>
      <c r="B587" t="s">
        <v>13</v>
      </c>
      <c r="C587" t="s">
        <v>12</v>
      </c>
      <c r="D587">
        <v>2.3652928416485901</v>
      </c>
      <c r="E587" t="s">
        <v>246</v>
      </c>
      <c r="F587">
        <v>46235</v>
      </c>
      <c r="G587" t="s">
        <v>149</v>
      </c>
      <c r="H587">
        <v>0</v>
      </c>
      <c r="I587">
        <v>0</v>
      </c>
      <c r="J587">
        <v>0.59366654407073505</v>
      </c>
      <c r="K587">
        <v>0.59366654407073505</v>
      </c>
      <c r="L587">
        <v>0.8216262975778551</v>
      </c>
      <c r="M587" t="s">
        <v>119</v>
      </c>
      <c r="P587">
        <v>0</v>
      </c>
      <c r="Q587">
        <v>0</v>
      </c>
      <c r="R587">
        <v>0</v>
      </c>
      <c r="S587">
        <v>0</v>
      </c>
    </row>
    <row r="588" spans="1:19" x14ac:dyDescent="0.25">
      <c r="A588" s="1">
        <v>46235</v>
      </c>
      <c r="B588" t="s">
        <v>13</v>
      </c>
      <c r="C588" t="s">
        <v>11</v>
      </c>
      <c r="D588">
        <v>0</v>
      </c>
      <c r="E588" t="s">
        <v>246</v>
      </c>
      <c r="F588">
        <v>46235</v>
      </c>
      <c r="G588" t="s">
        <v>149</v>
      </c>
      <c r="H588">
        <v>0</v>
      </c>
      <c r="I588">
        <v>0</v>
      </c>
      <c r="J588">
        <v>0</v>
      </c>
      <c r="K588">
        <v>0</v>
      </c>
      <c r="L588">
        <v>0</v>
      </c>
      <c r="M588" t="s">
        <v>119</v>
      </c>
      <c r="P588">
        <v>0</v>
      </c>
      <c r="Q588">
        <v>0</v>
      </c>
      <c r="R588">
        <v>0</v>
      </c>
      <c r="S588">
        <v>0</v>
      </c>
    </row>
    <row r="589" spans="1:19" x14ac:dyDescent="0.25">
      <c r="A589" s="1">
        <v>46235</v>
      </c>
      <c r="B589" t="s">
        <v>13</v>
      </c>
      <c r="C589" t="s">
        <v>10</v>
      </c>
      <c r="D589">
        <v>2.3029220364935563</v>
      </c>
      <c r="E589" t="s">
        <v>246</v>
      </c>
      <c r="F589">
        <v>46235</v>
      </c>
      <c r="G589" t="s">
        <v>149</v>
      </c>
      <c r="H589">
        <v>0</v>
      </c>
      <c r="I589">
        <v>0</v>
      </c>
      <c r="J589">
        <v>2.0676279188464974</v>
      </c>
      <c r="K589">
        <v>2.0676279188464974</v>
      </c>
      <c r="L589">
        <v>0</v>
      </c>
      <c r="M589" t="s">
        <v>119</v>
      </c>
      <c r="P589">
        <v>0</v>
      </c>
      <c r="Q589">
        <v>0</v>
      </c>
      <c r="R589">
        <v>0</v>
      </c>
      <c r="S589">
        <v>0</v>
      </c>
    </row>
    <row r="590" spans="1:19" x14ac:dyDescent="0.25">
      <c r="A590" s="1">
        <v>46236</v>
      </c>
      <c r="B590" t="s">
        <v>13</v>
      </c>
      <c r="C590" t="s">
        <v>12</v>
      </c>
      <c r="D590">
        <v>1.1523896158421381</v>
      </c>
      <c r="E590" t="s">
        <v>246</v>
      </c>
      <c r="F590">
        <v>46236</v>
      </c>
      <c r="G590" t="s">
        <v>149</v>
      </c>
      <c r="H590">
        <v>0.53735010557448848</v>
      </c>
      <c r="I590">
        <v>0.53735010557448848</v>
      </c>
      <c r="J590">
        <v>0</v>
      </c>
      <c r="K590">
        <v>0</v>
      </c>
      <c r="L590">
        <v>0.20238961584213813</v>
      </c>
      <c r="M590" t="s">
        <v>120</v>
      </c>
      <c r="P590">
        <v>93.928798454420587</v>
      </c>
      <c r="Q590">
        <v>0</v>
      </c>
      <c r="R590">
        <v>0</v>
      </c>
      <c r="S590">
        <v>93.928798454420587</v>
      </c>
    </row>
    <row r="591" spans="1:19" x14ac:dyDescent="0.25">
      <c r="A591" s="1">
        <v>46236</v>
      </c>
      <c r="B591" t="s">
        <v>13</v>
      </c>
      <c r="C591" t="s">
        <v>11</v>
      </c>
      <c r="D591">
        <v>2.8546637744034702</v>
      </c>
      <c r="E591" t="s">
        <v>246</v>
      </c>
      <c r="F591">
        <v>46236</v>
      </c>
      <c r="G591" t="s">
        <v>149</v>
      </c>
      <c r="H591">
        <v>0</v>
      </c>
      <c r="I591">
        <v>0</v>
      </c>
      <c r="J591">
        <v>0.84682063714856814</v>
      </c>
      <c r="K591">
        <v>0.84682063714856814</v>
      </c>
      <c r="L591">
        <v>2.0078431372549019</v>
      </c>
      <c r="M591" t="s">
        <v>120</v>
      </c>
      <c r="P591">
        <v>0</v>
      </c>
      <c r="Q591">
        <v>0</v>
      </c>
      <c r="R591">
        <v>0</v>
      </c>
      <c r="S591">
        <v>0</v>
      </c>
    </row>
    <row r="592" spans="1:19" x14ac:dyDescent="0.25">
      <c r="A592" s="1">
        <v>46236</v>
      </c>
      <c r="B592" t="s">
        <v>13</v>
      </c>
      <c r="C592" t="s">
        <v>10</v>
      </c>
      <c r="D592">
        <v>11.18562132011156</v>
      </c>
      <c r="E592" t="s">
        <v>246</v>
      </c>
      <c r="F592">
        <v>46236</v>
      </c>
      <c r="G592" t="s">
        <v>149</v>
      </c>
      <c r="H592">
        <v>0</v>
      </c>
      <c r="I592">
        <v>0</v>
      </c>
      <c r="J592">
        <v>10.9503272024645</v>
      </c>
      <c r="K592">
        <v>10.9503272024645</v>
      </c>
      <c r="L592">
        <v>0</v>
      </c>
      <c r="M592" t="s">
        <v>120</v>
      </c>
      <c r="P592">
        <v>0</v>
      </c>
      <c r="Q592">
        <v>0</v>
      </c>
      <c r="R592">
        <v>0</v>
      </c>
      <c r="S592">
        <v>0</v>
      </c>
    </row>
    <row r="593" spans="1:19" x14ac:dyDescent="0.25">
      <c r="A593" s="1">
        <v>46237</v>
      </c>
      <c r="B593" t="s">
        <v>13</v>
      </c>
      <c r="C593" t="s">
        <v>10</v>
      </c>
      <c r="D593">
        <v>2.060509190546866</v>
      </c>
      <c r="E593" t="s">
        <v>246</v>
      </c>
      <c r="F593">
        <v>46237</v>
      </c>
      <c r="G593" t="s">
        <v>149</v>
      </c>
      <c r="H593">
        <v>0</v>
      </c>
      <c r="I593">
        <v>0</v>
      </c>
      <c r="J593">
        <v>1.8252150728998071</v>
      </c>
      <c r="K593">
        <v>1.8252150728998071</v>
      </c>
      <c r="L593">
        <v>0.23529411764705879</v>
      </c>
      <c r="M593" t="s">
        <v>125</v>
      </c>
      <c r="P593">
        <v>0</v>
      </c>
      <c r="Q593">
        <v>0</v>
      </c>
      <c r="R593">
        <v>0</v>
      </c>
      <c r="S593">
        <v>0</v>
      </c>
    </row>
    <row r="594" spans="1:19" x14ac:dyDescent="0.25">
      <c r="A594" s="1">
        <v>46237</v>
      </c>
      <c r="B594" t="s">
        <v>13</v>
      </c>
      <c r="C594" t="s">
        <v>11</v>
      </c>
      <c r="D594">
        <v>2.7059540728551124</v>
      </c>
      <c r="E594" t="s">
        <v>246</v>
      </c>
      <c r="F594">
        <v>46237</v>
      </c>
      <c r="G594" t="s">
        <v>149</v>
      </c>
      <c r="H594">
        <v>0</v>
      </c>
      <c r="I594">
        <v>0</v>
      </c>
      <c r="J594">
        <v>0.69811093560021054</v>
      </c>
      <c r="K594">
        <v>0.69811093560021054</v>
      </c>
      <c r="L594">
        <v>2.0078431372549019</v>
      </c>
      <c r="M594" t="s">
        <v>125</v>
      </c>
      <c r="P594">
        <v>0</v>
      </c>
      <c r="Q594">
        <v>0</v>
      </c>
      <c r="R594">
        <v>0</v>
      </c>
      <c r="S594">
        <v>0</v>
      </c>
    </row>
    <row r="595" spans="1:19" x14ac:dyDescent="0.25">
      <c r="A595" s="1">
        <v>46237</v>
      </c>
      <c r="B595" t="s">
        <v>13</v>
      </c>
      <c r="C595" t="s">
        <v>12</v>
      </c>
      <c r="D595">
        <v>2.9609087795410445</v>
      </c>
      <c r="E595" t="s">
        <v>246</v>
      </c>
      <c r="F595">
        <v>46237</v>
      </c>
      <c r="G595" t="s">
        <v>149</v>
      </c>
      <c r="H595">
        <v>0</v>
      </c>
      <c r="I595">
        <v>0</v>
      </c>
      <c r="J595">
        <v>1.1892824819631895</v>
      </c>
      <c r="K595">
        <v>1.1892824819631895</v>
      </c>
      <c r="L595">
        <v>1.7716262975778549</v>
      </c>
      <c r="M595" t="s">
        <v>125</v>
      </c>
      <c r="P595">
        <v>0</v>
      </c>
      <c r="Q595">
        <v>0</v>
      </c>
      <c r="R595">
        <v>0</v>
      </c>
      <c r="S595">
        <v>0</v>
      </c>
    </row>
    <row r="596" spans="1:19" x14ac:dyDescent="0.25">
      <c r="A596" s="1">
        <v>46238</v>
      </c>
      <c r="B596" t="s">
        <v>13</v>
      </c>
      <c r="C596" t="s">
        <v>10</v>
      </c>
      <c r="D596">
        <v>2.4940825571009313</v>
      </c>
      <c r="E596" t="s">
        <v>246</v>
      </c>
      <c r="F596">
        <v>46238</v>
      </c>
      <c r="G596" t="s">
        <v>149</v>
      </c>
      <c r="H596">
        <v>0</v>
      </c>
      <c r="I596">
        <v>0</v>
      </c>
      <c r="J596">
        <v>2.2587884394538724</v>
      </c>
      <c r="K596">
        <v>2.2587884394538724</v>
      </c>
      <c r="L596">
        <v>0.23529411764705879</v>
      </c>
      <c r="M596" t="s">
        <v>126</v>
      </c>
      <c r="P596">
        <v>0</v>
      </c>
      <c r="Q596">
        <v>0</v>
      </c>
      <c r="R596">
        <v>0</v>
      </c>
      <c r="S596">
        <v>0</v>
      </c>
    </row>
    <row r="597" spans="1:19" x14ac:dyDescent="0.25">
      <c r="A597" s="1">
        <v>46238</v>
      </c>
      <c r="B597" t="s">
        <v>13</v>
      </c>
      <c r="C597" t="s">
        <v>11</v>
      </c>
      <c r="D597">
        <v>5.9952718275488053</v>
      </c>
      <c r="E597" t="s">
        <v>246</v>
      </c>
      <c r="F597">
        <v>46238</v>
      </c>
      <c r="G597" t="s">
        <v>149</v>
      </c>
      <c r="H597">
        <v>0</v>
      </c>
      <c r="I597">
        <v>0</v>
      </c>
      <c r="J597">
        <v>3.9874286902939033</v>
      </c>
      <c r="K597">
        <v>3.9874286902939033</v>
      </c>
      <c r="L597">
        <v>2.0078431372549019</v>
      </c>
      <c r="M597" t="s">
        <v>126</v>
      </c>
      <c r="P597">
        <v>0</v>
      </c>
      <c r="Q597">
        <v>0</v>
      </c>
      <c r="R597">
        <v>0</v>
      </c>
      <c r="S597">
        <v>0</v>
      </c>
    </row>
    <row r="598" spans="1:19" x14ac:dyDescent="0.25">
      <c r="A598" s="1">
        <v>46238</v>
      </c>
      <c r="B598" t="s">
        <v>13</v>
      </c>
      <c r="C598" t="s">
        <v>12</v>
      </c>
      <c r="D598">
        <v>1.4211110702599361</v>
      </c>
      <c r="E598" t="s">
        <v>246</v>
      </c>
      <c r="F598">
        <v>46238</v>
      </c>
      <c r="G598" t="s">
        <v>149</v>
      </c>
      <c r="H598">
        <v>0.24664872060549503</v>
      </c>
      <c r="I598">
        <v>0.24664872060549503</v>
      </c>
      <c r="J598">
        <v>0</v>
      </c>
      <c r="K598">
        <v>0</v>
      </c>
      <c r="L598">
        <v>0</v>
      </c>
      <c r="M598" t="s">
        <v>126</v>
      </c>
      <c r="P598">
        <v>43.114196361840534</v>
      </c>
      <c r="Q598">
        <v>0</v>
      </c>
      <c r="R598">
        <v>0</v>
      </c>
      <c r="S598">
        <v>43.114196361840534</v>
      </c>
    </row>
    <row r="599" spans="1:19" x14ac:dyDescent="0.25">
      <c r="A599" s="1">
        <v>46239</v>
      </c>
      <c r="B599" t="s">
        <v>13</v>
      </c>
      <c r="C599" t="s">
        <v>11</v>
      </c>
      <c r="D599">
        <v>2.5997830802603037</v>
      </c>
      <c r="E599" t="s">
        <v>246</v>
      </c>
      <c r="F599">
        <v>46239</v>
      </c>
      <c r="G599" t="s">
        <v>149</v>
      </c>
      <c r="H599">
        <v>0</v>
      </c>
      <c r="I599">
        <v>0</v>
      </c>
      <c r="J599">
        <v>0.59193994300540187</v>
      </c>
      <c r="K599">
        <v>0.59193994300540187</v>
      </c>
      <c r="L599">
        <v>2.0078431372549019</v>
      </c>
      <c r="M599" t="s">
        <v>127</v>
      </c>
      <c r="P599">
        <v>0</v>
      </c>
      <c r="Q599">
        <v>0</v>
      </c>
      <c r="R599">
        <v>0</v>
      </c>
      <c r="S599">
        <v>0</v>
      </c>
    </row>
    <row r="600" spans="1:19" x14ac:dyDescent="0.25">
      <c r="A600" s="1">
        <v>46239</v>
      </c>
      <c r="B600" t="s">
        <v>13</v>
      </c>
      <c r="C600" t="s">
        <v>12</v>
      </c>
      <c r="D600">
        <v>2.3290431429260066</v>
      </c>
      <c r="E600" t="s">
        <v>246</v>
      </c>
      <c r="F600">
        <v>46239</v>
      </c>
      <c r="G600" t="s">
        <v>149</v>
      </c>
      <c r="H600">
        <v>0</v>
      </c>
      <c r="I600">
        <v>0</v>
      </c>
      <c r="J600">
        <v>0.55741684534815128</v>
      </c>
      <c r="K600">
        <v>0.55741684534815128</v>
      </c>
      <c r="L600">
        <v>1.7716262975778552</v>
      </c>
      <c r="M600" t="s">
        <v>127</v>
      </c>
      <c r="P600">
        <v>0</v>
      </c>
      <c r="Q600">
        <v>0</v>
      </c>
      <c r="R600">
        <v>0</v>
      </c>
      <c r="S600">
        <v>0</v>
      </c>
    </row>
    <row r="601" spans="1:19" x14ac:dyDescent="0.25">
      <c r="A601" s="1">
        <v>46239</v>
      </c>
      <c r="B601" t="s">
        <v>13</v>
      </c>
      <c r="C601" t="s">
        <v>10</v>
      </c>
      <c r="D601">
        <v>2.8728695382708396</v>
      </c>
      <c r="E601" t="s">
        <v>246</v>
      </c>
      <c r="F601">
        <v>46239</v>
      </c>
      <c r="G601" t="s">
        <v>149</v>
      </c>
      <c r="H601">
        <v>0</v>
      </c>
      <c r="I601">
        <v>0</v>
      </c>
      <c r="J601">
        <v>2.6375754206237811</v>
      </c>
      <c r="K601">
        <v>2.6375754206237811</v>
      </c>
      <c r="L601">
        <v>0.23529411764705876</v>
      </c>
      <c r="M601" t="s">
        <v>127</v>
      </c>
      <c r="P601">
        <v>0</v>
      </c>
      <c r="Q601">
        <v>0</v>
      </c>
      <c r="R601">
        <v>0</v>
      </c>
      <c r="S601">
        <v>0</v>
      </c>
    </row>
    <row r="602" spans="1:19" x14ac:dyDescent="0.25">
      <c r="A602" s="1">
        <v>46240</v>
      </c>
      <c r="B602" t="s">
        <v>13</v>
      </c>
      <c r="C602" t="s">
        <v>11</v>
      </c>
      <c r="D602">
        <v>2.4468546637744035</v>
      </c>
      <c r="E602" t="s">
        <v>246</v>
      </c>
      <c r="F602">
        <v>46240</v>
      </c>
      <c r="G602" t="s">
        <v>149</v>
      </c>
      <c r="H602">
        <v>0</v>
      </c>
      <c r="I602">
        <v>0</v>
      </c>
      <c r="J602">
        <v>1.3801879971077367</v>
      </c>
      <c r="K602">
        <v>1.3801879971077367</v>
      </c>
      <c r="L602">
        <v>1.0666666666666669</v>
      </c>
      <c r="M602" t="s">
        <v>128</v>
      </c>
      <c r="P602">
        <v>0</v>
      </c>
      <c r="Q602">
        <v>0</v>
      </c>
      <c r="R602">
        <v>0</v>
      </c>
      <c r="S602">
        <v>0</v>
      </c>
    </row>
    <row r="603" spans="1:19" x14ac:dyDescent="0.25">
      <c r="A603" s="1">
        <v>46240</v>
      </c>
      <c r="B603" t="s">
        <v>13</v>
      </c>
      <c r="C603" t="s">
        <v>10</v>
      </c>
      <c r="D603">
        <v>4.4325451916124354</v>
      </c>
      <c r="E603" t="s">
        <v>246</v>
      </c>
      <c r="F603">
        <v>46240</v>
      </c>
      <c r="G603" t="s">
        <v>149</v>
      </c>
      <c r="H603">
        <v>0</v>
      </c>
      <c r="I603">
        <v>0</v>
      </c>
      <c r="J603">
        <v>4.1972510739653766</v>
      </c>
      <c r="K603">
        <v>4.1972510739653766</v>
      </c>
      <c r="L603">
        <v>0.23529411764705879</v>
      </c>
      <c r="M603" t="s">
        <v>128</v>
      </c>
      <c r="P603">
        <v>0</v>
      </c>
      <c r="Q603">
        <v>0</v>
      </c>
      <c r="R603">
        <v>0</v>
      </c>
      <c r="S603">
        <v>0</v>
      </c>
    </row>
    <row r="604" spans="1:19" x14ac:dyDescent="0.25">
      <c r="A604" s="1">
        <v>46240</v>
      </c>
      <c r="B604" t="s">
        <v>13</v>
      </c>
      <c r="C604" t="s">
        <v>12</v>
      </c>
      <c r="D604">
        <v>2.3109182935647143</v>
      </c>
      <c r="E604" t="s">
        <v>246</v>
      </c>
      <c r="F604">
        <v>46240</v>
      </c>
      <c r="G604" t="s">
        <v>149</v>
      </c>
      <c r="H604">
        <v>0</v>
      </c>
      <c r="I604">
        <v>0</v>
      </c>
      <c r="J604">
        <v>0.53929199598685917</v>
      </c>
      <c r="K604">
        <v>0.53929199598685917</v>
      </c>
      <c r="L604">
        <v>1.7716262975778552</v>
      </c>
      <c r="M604" t="s">
        <v>128</v>
      </c>
      <c r="P604">
        <v>0</v>
      </c>
      <c r="Q604">
        <v>0</v>
      </c>
      <c r="R604">
        <v>0</v>
      </c>
      <c r="S604">
        <v>0</v>
      </c>
    </row>
    <row r="605" spans="1:19" x14ac:dyDescent="0.25">
      <c r="A605" s="1">
        <v>46241</v>
      </c>
      <c r="B605" t="s">
        <v>13</v>
      </c>
      <c r="C605" t="s">
        <v>12</v>
      </c>
      <c r="D605">
        <v>2.446854663774404</v>
      </c>
      <c r="E605" t="s">
        <v>246</v>
      </c>
      <c r="F605">
        <v>46241</v>
      </c>
      <c r="G605" t="s">
        <v>149</v>
      </c>
      <c r="H605">
        <v>0</v>
      </c>
      <c r="I605">
        <v>0</v>
      </c>
      <c r="J605">
        <v>0.6752283661965488</v>
      </c>
      <c r="K605">
        <v>0.6752283661965488</v>
      </c>
      <c r="L605">
        <v>1.7716262975778552</v>
      </c>
      <c r="M605" t="s">
        <v>129</v>
      </c>
      <c r="P605">
        <v>0</v>
      </c>
      <c r="Q605">
        <v>0</v>
      </c>
      <c r="R605">
        <v>0</v>
      </c>
      <c r="S605">
        <v>0</v>
      </c>
    </row>
    <row r="606" spans="1:19" x14ac:dyDescent="0.25">
      <c r="A606" s="1">
        <v>46241</v>
      </c>
      <c r="B606" t="s">
        <v>13</v>
      </c>
      <c r="C606" t="s">
        <v>10</v>
      </c>
      <c r="D606">
        <v>4.2193678339014573</v>
      </c>
      <c r="E606" t="s">
        <v>246</v>
      </c>
      <c r="F606">
        <v>46241</v>
      </c>
      <c r="G606" t="s">
        <v>149</v>
      </c>
      <c r="H606">
        <v>0</v>
      </c>
      <c r="I606">
        <v>0</v>
      </c>
      <c r="J606">
        <v>4.1017207750779283</v>
      </c>
      <c r="K606">
        <v>4.1017207750779283</v>
      </c>
      <c r="L606">
        <v>0.1176470588235294</v>
      </c>
      <c r="M606" t="s">
        <v>129</v>
      </c>
      <c r="P606">
        <v>0</v>
      </c>
      <c r="Q606">
        <v>0</v>
      </c>
      <c r="R606">
        <v>0</v>
      </c>
      <c r="S606">
        <v>0</v>
      </c>
    </row>
    <row r="607" spans="1:19" x14ac:dyDescent="0.25">
      <c r="A607" s="1">
        <v>46241</v>
      </c>
      <c r="B607" t="s">
        <v>13</v>
      </c>
      <c r="C607" t="s">
        <v>11</v>
      </c>
      <c r="D607">
        <v>2.4468546637744035</v>
      </c>
      <c r="E607" t="s">
        <v>246</v>
      </c>
      <c r="F607">
        <v>46241</v>
      </c>
      <c r="G607" t="s">
        <v>149</v>
      </c>
      <c r="H607">
        <v>0</v>
      </c>
      <c r="I607">
        <v>0</v>
      </c>
      <c r="J607">
        <v>0.43901152651950165</v>
      </c>
      <c r="K607">
        <v>0.43901152651950165</v>
      </c>
      <c r="L607">
        <v>2.0078431372549019</v>
      </c>
      <c r="M607" t="s">
        <v>129</v>
      </c>
      <c r="P607">
        <v>0</v>
      </c>
      <c r="Q607">
        <v>0</v>
      </c>
      <c r="R607">
        <v>0</v>
      </c>
      <c r="S607">
        <v>0</v>
      </c>
    </row>
    <row r="608" spans="1:19" x14ac:dyDescent="0.25">
      <c r="A608" s="1">
        <v>46242</v>
      </c>
      <c r="B608" t="s">
        <v>13</v>
      </c>
      <c r="C608" t="s">
        <v>12</v>
      </c>
      <c r="D608">
        <v>1.2234273318872018</v>
      </c>
      <c r="E608" t="s">
        <v>246</v>
      </c>
      <c r="F608">
        <v>46242</v>
      </c>
      <c r="G608" t="s">
        <v>149</v>
      </c>
      <c r="H608">
        <v>0.44808461557338863</v>
      </c>
      <c r="I608">
        <v>0.44808461557338863</v>
      </c>
      <c r="J608">
        <v>0</v>
      </c>
      <c r="K608">
        <v>0</v>
      </c>
      <c r="L608">
        <v>0</v>
      </c>
      <c r="M608" t="s">
        <v>119</v>
      </c>
      <c r="P608">
        <v>78.32519080222832</v>
      </c>
      <c r="Q608">
        <v>0</v>
      </c>
      <c r="R608">
        <v>0</v>
      </c>
      <c r="S608">
        <v>78.32519080222832</v>
      </c>
    </row>
    <row r="609" spans="1:19" x14ac:dyDescent="0.25">
      <c r="A609" s="1">
        <v>46242</v>
      </c>
      <c r="B609" t="s">
        <v>13</v>
      </c>
      <c r="C609" t="s">
        <v>11</v>
      </c>
      <c r="D609">
        <v>2.446854663774404</v>
      </c>
      <c r="E609" t="s">
        <v>246</v>
      </c>
      <c r="F609">
        <v>46242</v>
      </c>
      <c r="G609" t="s">
        <v>149</v>
      </c>
      <c r="H609">
        <v>0</v>
      </c>
      <c r="I609">
        <v>0</v>
      </c>
      <c r="J609">
        <v>0.43901152651950198</v>
      </c>
      <c r="K609">
        <v>0.43901152651950198</v>
      </c>
      <c r="L609">
        <v>2.0078431372549019</v>
      </c>
      <c r="M609" t="s">
        <v>119</v>
      </c>
      <c r="P609">
        <v>0</v>
      </c>
      <c r="Q609">
        <v>0</v>
      </c>
      <c r="R609">
        <v>0</v>
      </c>
      <c r="S609">
        <v>0</v>
      </c>
    </row>
    <row r="610" spans="1:19" x14ac:dyDescent="0.25">
      <c r="A610" s="1">
        <v>46242</v>
      </c>
      <c r="B610" t="s">
        <v>13</v>
      </c>
      <c r="C610" t="s">
        <v>10</v>
      </c>
      <c r="D610">
        <v>2.5997830802603041</v>
      </c>
      <c r="E610" t="s">
        <v>246</v>
      </c>
      <c r="F610">
        <v>46242</v>
      </c>
      <c r="G610" t="s">
        <v>149</v>
      </c>
      <c r="H610">
        <v>0</v>
      </c>
      <c r="I610">
        <v>0</v>
      </c>
      <c r="J610">
        <v>2.3644889626132453</v>
      </c>
      <c r="K610">
        <v>2.3644889626132453</v>
      </c>
      <c r="L610">
        <v>0.23529411764705882</v>
      </c>
      <c r="M610" t="s">
        <v>119</v>
      </c>
      <c r="P610">
        <v>0</v>
      </c>
      <c r="Q610">
        <v>0</v>
      </c>
      <c r="R610">
        <v>0</v>
      </c>
      <c r="S610">
        <v>0</v>
      </c>
    </row>
    <row r="611" spans="1:19" x14ac:dyDescent="0.25">
      <c r="A611" s="1">
        <v>46243</v>
      </c>
      <c r="B611" t="s">
        <v>13</v>
      </c>
      <c r="C611" t="s">
        <v>11</v>
      </c>
      <c r="D611">
        <v>2.367923868168778</v>
      </c>
      <c r="E611" t="s">
        <v>246</v>
      </c>
      <c r="F611">
        <v>46243</v>
      </c>
      <c r="G611" t="s">
        <v>149</v>
      </c>
      <c r="H611">
        <v>0</v>
      </c>
      <c r="I611">
        <v>0</v>
      </c>
      <c r="J611">
        <v>0.36008073091387599</v>
      </c>
      <c r="K611">
        <v>0.36008073091387599</v>
      </c>
      <c r="L611">
        <v>2.0078431372549019</v>
      </c>
      <c r="M611" t="s">
        <v>120</v>
      </c>
      <c r="P611">
        <v>0</v>
      </c>
      <c r="Q611">
        <v>0</v>
      </c>
      <c r="R611">
        <v>0</v>
      </c>
      <c r="S611">
        <v>0</v>
      </c>
    </row>
    <row r="612" spans="1:19" x14ac:dyDescent="0.25">
      <c r="A612" s="1">
        <v>46243</v>
      </c>
      <c r="B612" t="s">
        <v>13</v>
      </c>
      <c r="C612" t="s">
        <v>10</v>
      </c>
      <c r="D612">
        <v>10.888503253796095</v>
      </c>
      <c r="E612" t="s">
        <v>246</v>
      </c>
      <c r="F612">
        <v>46243</v>
      </c>
      <c r="G612" t="s">
        <v>149</v>
      </c>
      <c r="H612">
        <v>0</v>
      </c>
      <c r="I612">
        <v>0</v>
      </c>
      <c r="J612">
        <v>10.653209136149037</v>
      </c>
      <c r="K612">
        <v>10.653209136149037</v>
      </c>
      <c r="L612">
        <v>0.23529411764705879</v>
      </c>
      <c r="M612" t="s">
        <v>120</v>
      </c>
      <c r="P612">
        <v>0</v>
      </c>
      <c r="Q612">
        <v>0</v>
      </c>
      <c r="R612">
        <v>0</v>
      </c>
      <c r="S612">
        <v>0</v>
      </c>
    </row>
    <row r="613" spans="1:19" x14ac:dyDescent="0.25">
      <c r="A613" s="1">
        <v>46243</v>
      </c>
      <c r="B613" t="s">
        <v>13</v>
      </c>
      <c r="C613" t="s">
        <v>12</v>
      </c>
      <c r="D613">
        <v>1.2635609269014911</v>
      </c>
      <c r="E613" t="s">
        <v>246</v>
      </c>
      <c r="F613">
        <v>46243</v>
      </c>
      <c r="G613" t="s">
        <v>149</v>
      </c>
      <c r="H613">
        <v>0.40209012470988936</v>
      </c>
      <c r="I613">
        <v>0.40209012470988936</v>
      </c>
      <c r="J613">
        <v>0</v>
      </c>
      <c r="K613">
        <v>0</v>
      </c>
      <c r="L613">
        <v>0</v>
      </c>
      <c r="M613" t="s">
        <v>120</v>
      </c>
      <c r="P613">
        <v>70.285353799288657</v>
      </c>
      <c r="Q613">
        <v>0</v>
      </c>
      <c r="R613">
        <v>0</v>
      </c>
      <c r="S613">
        <v>70.285353799288657</v>
      </c>
    </row>
    <row r="614" spans="1:19" x14ac:dyDescent="0.25">
      <c r="A614" s="1">
        <v>46244</v>
      </c>
      <c r="B614" t="s">
        <v>13</v>
      </c>
      <c r="C614" t="s">
        <v>12</v>
      </c>
      <c r="D614">
        <v>2.6480698529411764</v>
      </c>
      <c r="E614" t="s">
        <v>246</v>
      </c>
      <c r="F614">
        <v>46244</v>
      </c>
      <c r="G614" t="s">
        <v>149</v>
      </c>
      <c r="H614">
        <v>0</v>
      </c>
      <c r="I614">
        <v>0</v>
      </c>
      <c r="J614">
        <v>0.87644355536332119</v>
      </c>
      <c r="K614">
        <v>0.87644355536332119</v>
      </c>
      <c r="L614">
        <v>1.7716262975778552</v>
      </c>
      <c r="M614" t="s">
        <v>125</v>
      </c>
      <c r="P614">
        <v>0</v>
      </c>
      <c r="Q614">
        <v>0</v>
      </c>
      <c r="R614">
        <v>0</v>
      </c>
      <c r="S614">
        <v>0</v>
      </c>
    </row>
    <row r="615" spans="1:19" x14ac:dyDescent="0.25">
      <c r="A615" s="1">
        <v>46244</v>
      </c>
      <c r="B615" t="s">
        <v>13</v>
      </c>
      <c r="C615" t="s">
        <v>11</v>
      </c>
      <c r="D615">
        <v>2.3738706446885591</v>
      </c>
      <c r="E615" t="s">
        <v>246</v>
      </c>
      <c r="F615">
        <v>46244</v>
      </c>
      <c r="G615" t="s">
        <v>149</v>
      </c>
      <c r="H615">
        <v>0</v>
      </c>
      <c r="I615">
        <v>0</v>
      </c>
      <c r="J615">
        <v>0.36602750743365731</v>
      </c>
      <c r="K615">
        <v>0.36602750743365731</v>
      </c>
      <c r="L615">
        <v>2.0078431372549019</v>
      </c>
      <c r="M615" t="s">
        <v>125</v>
      </c>
      <c r="P615">
        <v>0</v>
      </c>
      <c r="Q615">
        <v>0</v>
      </c>
      <c r="R615">
        <v>0</v>
      </c>
      <c r="S615">
        <v>0</v>
      </c>
    </row>
    <row r="616" spans="1:19" x14ac:dyDescent="0.25">
      <c r="A616" s="1">
        <v>46244</v>
      </c>
      <c r="B616" t="s">
        <v>13</v>
      </c>
      <c r="C616" t="s">
        <v>10</v>
      </c>
      <c r="D616">
        <v>2.6867423759091489</v>
      </c>
      <c r="E616" t="s">
        <v>246</v>
      </c>
      <c r="F616">
        <v>46244</v>
      </c>
      <c r="G616" t="s">
        <v>149</v>
      </c>
      <c r="H616">
        <v>0</v>
      </c>
      <c r="I616">
        <v>0</v>
      </c>
      <c r="J616">
        <v>2.45144825826209</v>
      </c>
      <c r="K616">
        <v>2.45144825826209</v>
      </c>
      <c r="L616">
        <v>0.23529411764705876</v>
      </c>
      <c r="M616" t="s">
        <v>125</v>
      </c>
      <c r="P616">
        <v>0</v>
      </c>
      <c r="Q616">
        <v>0</v>
      </c>
      <c r="R616">
        <v>0</v>
      </c>
      <c r="S616">
        <v>0</v>
      </c>
    </row>
    <row r="617" spans="1:19" x14ac:dyDescent="0.25">
      <c r="A617" s="1">
        <v>46245</v>
      </c>
      <c r="B617" t="s">
        <v>13</v>
      </c>
      <c r="C617" t="s">
        <v>11</v>
      </c>
      <c r="D617">
        <v>5.7078282506060996</v>
      </c>
      <c r="E617" t="s">
        <v>246</v>
      </c>
      <c r="F617">
        <v>46245</v>
      </c>
      <c r="G617" t="s">
        <v>149</v>
      </c>
      <c r="H617">
        <v>0</v>
      </c>
      <c r="I617">
        <v>0</v>
      </c>
      <c r="J617">
        <v>3.6999851133511972</v>
      </c>
      <c r="K617">
        <v>3.6999851133511972</v>
      </c>
      <c r="L617">
        <v>2.0078431372549019</v>
      </c>
      <c r="M617" t="s">
        <v>126</v>
      </c>
      <c r="P617">
        <v>0</v>
      </c>
      <c r="Q617">
        <v>0</v>
      </c>
      <c r="R617">
        <v>0</v>
      </c>
      <c r="S617">
        <v>0</v>
      </c>
    </row>
    <row r="618" spans="1:19" x14ac:dyDescent="0.25">
      <c r="A618" s="1">
        <v>46245</v>
      </c>
      <c r="B618" t="s">
        <v>13</v>
      </c>
      <c r="C618" t="s">
        <v>12</v>
      </c>
      <c r="D618">
        <v>1.3638206322677002</v>
      </c>
      <c r="E618" t="s">
        <v>246</v>
      </c>
      <c r="F618">
        <v>46245</v>
      </c>
      <c r="G618" t="s">
        <v>149</v>
      </c>
      <c r="H618">
        <v>0.29901708161730434</v>
      </c>
      <c r="I618">
        <v>0.29901708161730434</v>
      </c>
      <c r="J618">
        <v>0</v>
      </c>
      <c r="K618">
        <v>0</v>
      </c>
      <c r="L618">
        <v>0</v>
      </c>
      <c r="M618" t="s">
        <v>126</v>
      </c>
      <c r="P618">
        <v>52.268185866704798</v>
      </c>
      <c r="Q618">
        <v>0</v>
      </c>
      <c r="R618">
        <v>0</v>
      </c>
      <c r="S618">
        <v>52.268185866704798</v>
      </c>
    </row>
    <row r="619" spans="1:19" x14ac:dyDescent="0.25">
      <c r="A619" s="1">
        <v>46245</v>
      </c>
      <c r="B619" t="s">
        <v>13</v>
      </c>
      <c r="C619" t="s">
        <v>10</v>
      </c>
      <c r="D619">
        <v>2.8315745821105014</v>
      </c>
      <c r="E619" t="s">
        <v>246</v>
      </c>
      <c r="F619">
        <v>46245</v>
      </c>
      <c r="G619" t="s">
        <v>149</v>
      </c>
      <c r="H619">
        <v>0</v>
      </c>
      <c r="I619">
        <v>0</v>
      </c>
      <c r="J619">
        <v>2.5962804644634425</v>
      </c>
      <c r="K619">
        <v>2.5962804644634425</v>
      </c>
      <c r="L619">
        <v>0.23529411764705879</v>
      </c>
      <c r="M619" t="s">
        <v>126</v>
      </c>
      <c r="P619">
        <v>0</v>
      </c>
      <c r="Q619">
        <v>0</v>
      </c>
      <c r="R619">
        <v>0</v>
      </c>
      <c r="S619">
        <v>0</v>
      </c>
    </row>
    <row r="620" spans="1:19" x14ac:dyDescent="0.25">
      <c r="A620" s="1">
        <v>46246</v>
      </c>
      <c r="B620" t="s">
        <v>13</v>
      </c>
      <c r="C620" t="s">
        <v>12</v>
      </c>
      <c r="D620">
        <v>1.388688685186481</v>
      </c>
      <c r="E620" t="s">
        <v>246</v>
      </c>
      <c r="F620">
        <v>46246</v>
      </c>
      <c r="G620" t="s">
        <v>149</v>
      </c>
      <c r="H620">
        <v>0.27575483006110257</v>
      </c>
      <c r="I620">
        <v>0.27575483006110257</v>
      </c>
      <c r="J620">
        <v>0</v>
      </c>
      <c r="K620">
        <v>0</v>
      </c>
      <c r="L620">
        <v>0</v>
      </c>
      <c r="M620" t="s">
        <v>127</v>
      </c>
      <c r="P620">
        <v>48.201944294680729</v>
      </c>
      <c r="Q620">
        <v>0</v>
      </c>
      <c r="R620">
        <v>0</v>
      </c>
      <c r="S620">
        <v>48.201944294680729</v>
      </c>
    </row>
    <row r="621" spans="1:19" x14ac:dyDescent="0.25">
      <c r="A621" s="1">
        <v>46246</v>
      </c>
      <c r="B621" t="s">
        <v>13</v>
      </c>
      <c r="C621" t="s">
        <v>11</v>
      </c>
      <c r="D621">
        <v>2.621629996901147</v>
      </c>
      <c r="E621" t="s">
        <v>246</v>
      </c>
      <c r="F621">
        <v>46246</v>
      </c>
      <c r="G621" t="s">
        <v>149</v>
      </c>
      <c r="H621">
        <v>0</v>
      </c>
      <c r="I621">
        <v>0</v>
      </c>
      <c r="J621">
        <v>0.61378685964624491</v>
      </c>
      <c r="K621">
        <v>0.61378685964624491</v>
      </c>
      <c r="L621">
        <v>2.0078431372549019</v>
      </c>
      <c r="M621" t="s">
        <v>127</v>
      </c>
      <c r="P621">
        <v>0</v>
      </c>
      <c r="Q621">
        <v>0</v>
      </c>
      <c r="R621">
        <v>0</v>
      </c>
      <c r="S621">
        <v>0</v>
      </c>
    </row>
    <row r="622" spans="1:19" x14ac:dyDescent="0.25">
      <c r="A622" s="1">
        <v>46246</v>
      </c>
      <c r="B622" t="s">
        <v>13</v>
      </c>
      <c r="C622" t="s">
        <v>10</v>
      </c>
      <c r="D622">
        <v>6.2279248011569051</v>
      </c>
      <c r="E622" t="s">
        <v>246</v>
      </c>
      <c r="F622">
        <v>46246</v>
      </c>
      <c r="G622" t="s">
        <v>149</v>
      </c>
      <c r="H622">
        <v>0</v>
      </c>
      <c r="I622">
        <v>0</v>
      </c>
      <c r="J622">
        <v>5.9926306835098462</v>
      </c>
      <c r="K622">
        <v>5.9926306835098462</v>
      </c>
      <c r="L622">
        <v>0.23529411764705879</v>
      </c>
      <c r="M622" t="s">
        <v>127</v>
      </c>
      <c r="P622">
        <v>0</v>
      </c>
      <c r="Q622">
        <v>0</v>
      </c>
      <c r="R622">
        <v>0</v>
      </c>
      <c r="S622">
        <v>0</v>
      </c>
    </row>
    <row r="623" spans="1:19" x14ac:dyDescent="0.25">
      <c r="A623" s="1">
        <v>46247</v>
      </c>
      <c r="B623" t="s">
        <v>13</v>
      </c>
      <c r="C623" t="s">
        <v>12</v>
      </c>
      <c r="D623">
        <v>2.6093411062906724</v>
      </c>
      <c r="E623" t="s">
        <v>246</v>
      </c>
      <c r="F623">
        <v>46247</v>
      </c>
      <c r="G623" t="s">
        <v>149</v>
      </c>
      <c r="H623">
        <v>0</v>
      </c>
      <c r="I623">
        <v>0</v>
      </c>
      <c r="J623">
        <v>0.83771480871281734</v>
      </c>
      <c r="K623">
        <v>0.83771480871281734</v>
      </c>
      <c r="L623">
        <v>1.7716262975778552</v>
      </c>
      <c r="M623" t="s">
        <v>128</v>
      </c>
      <c r="P623">
        <v>0</v>
      </c>
      <c r="Q623">
        <v>0</v>
      </c>
      <c r="R623">
        <v>0</v>
      </c>
      <c r="S623">
        <v>0</v>
      </c>
    </row>
    <row r="624" spans="1:19" x14ac:dyDescent="0.25">
      <c r="A624" s="1">
        <v>46247</v>
      </c>
      <c r="B624" t="s">
        <v>13</v>
      </c>
      <c r="C624" t="s">
        <v>11</v>
      </c>
      <c r="D624">
        <v>1.4739386427022001</v>
      </c>
      <c r="E624" t="s">
        <v>246</v>
      </c>
      <c r="F624">
        <v>46247</v>
      </c>
      <c r="G624" t="s">
        <v>149</v>
      </c>
      <c r="H624">
        <v>0.36222979646824682</v>
      </c>
      <c r="I624">
        <v>0.36222979646824682</v>
      </c>
      <c r="J624">
        <v>0</v>
      </c>
      <c r="K624">
        <v>0</v>
      </c>
      <c r="L624">
        <v>0</v>
      </c>
      <c r="M624" t="s">
        <v>128</v>
      </c>
      <c r="P624">
        <v>63.317768422649543</v>
      </c>
      <c r="Q624">
        <v>0</v>
      </c>
      <c r="R624">
        <v>0</v>
      </c>
      <c r="S624">
        <v>63.317768422649543</v>
      </c>
    </row>
    <row r="625" spans="1:19" x14ac:dyDescent="0.25">
      <c r="A625" s="1">
        <v>46247</v>
      </c>
      <c r="B625" t="s">
        <v>13</v>
      </c>
      <c r="C625" t="s">
        <v>10</v>
      </c>
      <c r="D625">
        <v>10.967516268980477</v>
      </c>
      <c r="E625" t="s">
        <v>246</v>
      </c>
      <c r="F625">
        <v>46247</v>
      </c>
      <c r="G625" t="s">
        <v>149</v>
      </c>
      <c r="H625">
        <v>0</v>
      </c>
      <c r="I625">
        <v>0</v>
      </c>
      <c r="J625">
        <v>10.732222151333419</v>
      </c>
      <c r="K625">
        <v>10.732222151333419</v>
      </c>
      <c r="L625">
        <v>0.23529411764705882</v>
      </c>
      <c r="M625" t="s">
        <v>128</v>
      </c>
      <c r="P625">
        <v>0</v>
      </c>
      <c r="Q625">
        <v>0</v>
      </c>
      <c r="R625">
        <v>0</v>
      </c>
      <c r="S625">
        <v>0</v>
      </c>
    </row>
    <row r="626" spans="1:19" x14ac:dyDescent="0.25">
      <c r="A626" s="1">
        <v>46248</v>
      </c>
      <c r="B626" t="s">
        <v>13</v>
      </c>
      <c r="C626" t="s">
        <v>11</v>
      </c>
      <c r="D626">
        <v>2.446854663774404</v>
      </c>
      <c r="E626" t="s">
        <v>246</v>
      </c>
      <c r="F626">
        <v>46248</v>
      </c>
      <c r="G626" t="s">
        <v>149</v>
      </c>
      <c r="H626">
        <v>0</v>
      </c>
      <c r="I626">
        <v>0</v>
      </c>
      <c r="J626">
        <v>0.43901152651950198</v>
      </c>
      <c r="K626">
        <v>0.43901152651950198</v>
      </c>
      <c r="L626">
        <v>2.0078431372549019</v>
      </c>
      <c r="M626" t="s">
        <v>129</v>
      </c>
      <c r="P626">
        <v>0</v>
      </c>
      <c r="Q626">
        <v>0</v>
      </c>
      <c r="R626">
        <v>0</v>
      </c>
      <c r="S626">
        <v>0</v>
      </c>
    </row>
    <row r="627" spans="1:19" x14ac:dyDescent="0.25">
      <c r="A627" s="1">
        <v>46248</v>
      </c>
      <c r="B627" t="s">
        <v>13</v>
      </c>
      <c r="C627" t="s">
        <v>12</v>
      </c>
      <c r="D627">
        <v>1.4732104121475054</v>
      </c>
      <c r="E627" t="s">
        <v>246</v>
      </c>
      <c r="F627">
        <v>46248</v>
      </c>
      <c r="G627" t="s">
        <v>149</v>
      </c>
      <c r="H627">
        <v>0.20256161846925025</v>
      </c>
      <c r="I627">
        <v>0.20256161846925025</v>
      </c>
      <c r="J627">
        <v>0</v>
      </c>
      <c r="K627">
        <v>0</v>
      </c>
      <c r="L627">
        <v>0</v>
      </c>
      <c r="M627" t="s">
        <v>129</v>
      </c>
      <c r="P627">
        <v>35.407770908424943</v>
      </c>
      <c r="Q627">
        <v>0</v>
      </c>
      <c r="R627">
        <v>0</v>
      </c>
      <c r="S627">
        <v>35.407770908424943</v>
      </c>
    </row>
    <row r="628" spans="1:19" x14ac:dyDescent="0.25">
      <c r="A628" s="1">
        <v>46248</v>
      </c>
      <c r="B628" t="s">
        <v>13</v>
      </c>
      <c r="C628" t="s">
        <v>10</v>
      </c>
      <c r="D628">
        <v>12.272505422993492</v>
      </c>
      <c r="E628" t="s">
        <v>246</v>
      </c>
      <c r="F628">
        <v>46248</v>
      </c>
      <c r="G628" t="s">
        <v>149</v>
      </c>
      <c r="H628">
        <v>0</v>
      </c>
      <c r="I628">
        <v>0</v>
      </c>
      <c r="J628">
        <v>12.037211305346434</v>
      </c>
      <c r="K628">
        <v>12.037211305346434</v>
      </c>
      <c r="L628">
        <v>0.23529411764705879</v>
      </c>
      <c r="M628" t="s">
        <v>129</v>
      </c>
      <c r="P628">
        <v>0</v>
      </c>
      <c r="Q628">
        <v>0</v>
      </c>
      <c r="R628">
        <v>0</v>
      </c>
      <c r="S628">
        <v>0</v>
      </c>
    </row>
    <row r="629" spans="1:19" x14ac:dyDescent="0.25">
      <c r="A629" s="1">
        <v>46249</v>
      </c>
      <c r="B629" t="s">
        <v>13</v>
      </c>
      <c r="C629" t="s">
        <v>12</v>
      </c>
      <c r="D629">
        <v>1.1812401825117811</v>
      </c>
      <c r="E629" t="s">
        <v>246</v>
      </c>
      <c r="F629">
        <v>46249</v>
      </c>
      <c r="G629" t="s">
        <v>149</v>
      </c>
      <c r="H629">
        <v>0.49980192327243822</v>
      </c>
      <c r="I629">
        <v>0.49980192327243822</v>
      </c>
      <c r="J629">
        <v>0</v>
      </c>
      <c r="K629">
        <v>0</v>
      </c>
      <c r="L629">
        <v>0</v>
      </c>
      <c r="M629" t="s">
        <v>119</v>
      </c>
      <c r="P629">
        <v>87.365376188022196</v>
      </c>
      <c r="Q629">
        <v>0</v>
      </c>
      <c r="R629">
        <v>0</v>
      </c>
      <c r="S629">
        <v>87.365376188022196</v>
      </c>
    </row>
    <row r="630" spans="1:19" x14ac:dyDescent="0.25">
      <c r="A630" s="1">
        <v>46249</v>
      </c>
      <c r="B630" t="s">
        <v>13</v>
      </c>
      <c r="C630" t="s">
        <v>11</v>
      </c>
      <c r="D630">
        <v>14.681127982646419</v>
      </c>
      <c r="E630" t="s">
        <v>246</v>
      </c>
      <c r="F630">
        <v>46249</v>
      </c>
      <c r="G630" t="s">
        <v>149</v>
      </c>
      <c r="H630">
        <v>0</v>
      </c>
      <c r="I630">
        <v>0</v>
      </c>
      <c r="J630">
        <v>12.673284845391517</v>
      </c>
      <c r="K630">
        <v>12.673284845391517</v>
      </c>
      <c r="L630">
        <v>2.0078431372549019</v>
      </c>
      <c r="M630" t="s">
        <v>119</v>
      </c>
      <c r="P630">
        <v>0</v>
      </c>
      <c r="Q630">
        <v>0</v>
      </c>
      <c r="R630">
        <v>0</v>
      </c>
      <c r="S630">
        <v>0</v>
      </c>
    </row>
    <row r="631" spans="1:19" x14ac:dyDescent="0.25">
      <c r="A631" s="1">
        <v>46249</v>
      </c>
      <c r="B631" t="s">
        <v>13</v>
      </c>
      <c r="C631" t="s">
        <v>10</v>
      </c>
      <c r="D631">
        <v>1.6312364425162689</v>
      </c>
      <c r="E631" t="s">
        <v>246</v>
      </c>
      <c r="F631">
        <v>46249</v>
      </c>
      <c r="G631" t="s">
        <v>149</v>
      </c>
      <c r="H631">
        <v>0</v>
      </c>
      <c r="I631">
        <v>0</v>
      </c>
      <c r="J631">
        <v>1.39594232486921</v>
      </c>
      <c r="K631">
        <v>1.39594232486921</v>
      </c>
      <c r="L631">
        <v>0.23529411764705876</v>
      </c>
      <c r="M631" t="s">
        <v>119</v>
      </c>
      <c r="P631">
        <v>0</v>
      </c>
      <c r="Q631">
        <v>0</v>
      </c>
      <c r="R631">
        <v>0</v>
      </c>
      <c r="S631">
        <v>0</v>
      </c>
    </row>
    <row r="632" spans="1:19" x14ac:dyDescent="0.25">
      <c r="A632" s="1">
        <v>46249</v>
      </c>
      <c r="B632" t="s">
        <v>13</v>
      </c>
      <c r="D632">
        <v>0</v>
      </c>
      <c r="E632" t="s">
        <v>246</v>
      </c>
      <c r="F632">
        <v>46249</v>
      </c>
      <c r="G632" t="s">
        <v>149</v>
      </c>
      <c r="H632">
        <v>0</v>
      </c>
      <c r="I632">
        <v>0</v>
      </c>
      <c r="J632">
        <v>0</v>
      </c>
      <c r="K632">
        <v>0</v>
      </c>
      <c r="L632">
        <v>0</v>
      </c>
      <c r="M632" t="s">
        <v>119</v>
      </c>
      <c r="P632">
        <v>0</v>
      </c>
      <c r="Q632">
        <v>0</v>
      </c>
      <c r="R632">
        <v>0</v>
      </c>
      <c r="S632">
        <v>0</v>
      </c>
    </row>
    <row r="633" spans="1:19" x14ac:dyDescent="0.25">
      <c r="A633" s="1">
        <v>46250</v>
      </c>
      <c r="B633" t="s">
        <v>13</v>
      </c>
      <c r="D633">
        <v>0</v>
      </c>
      <c r="E633" t="s">
        <v>246</v>
      </c>
      <c r="F633">
        <v>46250</v>
      </c>
      <c r="G633" t="s">
        <v>149</v>
      </c>
      <c r="H633">
        <v>0</v>
      </c>
      <c r="I633">
        <v>0</v>
      </c>
      <c r="J633">
        <v>0</v>
      </c>
      <c r="K633">
        <v>0</v>
      </c>
      <c r="L633">
        <v>0</v>
      </c>
      <c r="M633" t="s">
        <v>120</v>
      </c>
      <c r="P633">
        <v>0</v>
      </c>
      <c r="Q633">
        <v>0</v>
      </c>
      <c r="R633">
        <v>0</v>
      </c>
      <c r="S633">
        <v>0</v>
      </c>
    </row>
    <row r="634" spans="1:19" x14ac:dyDescent="0.25">
      <c r="A634" s="1">
        <v>46223</v>
      </c>
      <c r="B634" t="s">
        <v>13</v>
      </c>
      <c r="C634" t="s">
        <v>11</v>
      </c>
      <c r="D634">
        <v>1.8426966292134832</v>
      </c>
      <c r="E634" t="s">
        <v>249</v>
      </c>
      <c r="F634">
        <v>46223</v>
      </c>
      <c r="G634" t="s">
        <v>149</v>
      </c>
      <c r="H634">
        <v>0</v>
      </c>
      <c r="I634">
        <v>0</v>
      </c>
      <c r="J634">
        <v>0.82995153117426779</v>
      </c>
      <c r="K634">
        <v>0.82995153117426779</v>
      </c>
      <c r="L634">
        <v>1.0127450980392154</v>
      </c>
      <c r="M634" t="s">
        <v>125</v>
      </c>
      <c r="P634">
        <v>0</v>
      </c>
      <c r="Q634">
        <v>0</v>
      </c>
      <c r="R634">
        <v>0</v>
      </c>
      <c r="S634">
        <v>0</v>
      </c>
    </row>
    <row r="635" spans="1:19" x14ac:dyDescent="0.25">
      <c r="A635" s="1">
        <v>46223</v>
      </c>
      <c r="B635" t="s">
        <v>13</v>
      </c>
      <c r="C635" t="s">
        <v>12</v>
      </c>
      <c r="D635">
        <v>2.6014540647719757</v>
      </c>
      <c r="E635" t="s">
        <v>249</v>
      </c>
      <c r="F635">
        <v>46223</v>
      </c>
      <c r="G635" t="s">
        <v>149</v>
      </c>
      <c r="H635">
        <v>0</v>
      </c>
      <c r="I635">
        <v>0</v>
      </c>
      <c r="J635">
        <v>0.57939524124256392</v>
      </c>
      <c r="K635">
        <v>0.57939524124256392</v>
      </c>
      <c r="L635">
        <v>0</v>
      </c>
      <c r="M635" t="s">
        <v>125</v>
      </c>
      <c r="P635">
        <v>0</v>
      </c>
      <c r="Q635">
        <v>0</v>
      </c>
      <c r="R635">
        <v>0</v>
      </c>
      <c r="S635">
        <v>0</v>
      </c>
    </row>
    <row r="636" spans="1:19" x14ac:dyDescent="0.25">
      <c r="A636" s="1">
        <v>46223</v>
      </c>
      <c r="B636" t="s">
        <v>13</v>
      </c>
      <c r="C636" t="s">
        <v>10</v>
      </c>
      <c r="D636">
        <v>1.3820224719101124</v>
      </c>
      <c r="E636" t="s">
        <v>249</v>
      </c>
      <c r="F636">
        <v>46223</v>
      </c>
      <c r="G636" t="s">
        <v>149</v>
      </c>
      <c r="H636">
        <v>0</v>
      </c>
      <c r="I636">
        <v>0</v>
      </c>
      <c r="J636">
        <v>0.44084600132187723</v>
      </c>
      <c r="K636">
        <v>0.44084600132187723</v>
      </c>
      <c r="L636">
        <v>0</v>
      </c>
      <c r="M636" t="s">
        <v>125</v>
      </c>
      <c r="P636">
        <v>0</v>
      </c>
      <c r="Q636">
        <v>0</v>
      </c>
      <c r="R636">
        <v>0</v>
      </c>
      <c r="S636">
        <v>0</v>
      </c>
    </row>
    <row r="637" spans="1:19" x14ac:dyDescent="0.25">
      <c r="A637" s="1">
        <v>46224</v>
      </c>
      <c r="B637" t="s">
        <v>13</v>
      </c>
      <c r="C637" t="s">
        <v>11</v>
      </c>
      <c r="D637">
        <v>1.8426966292134832</v>
      </c>
      <c r="E637" t="s">
        <v>249</v>
      </c>
      <c r="F637">
        <v>46224</v>
      </c>
      <c r="G637" t="s">
        <v>149</v>
      </c>
      <c r="H637">
        <v>0</v>
      </c>
      <c r="I637">
        <v>0</v>
      </c>
      <c r="J637">
        <v>0.89269662921348347</v>
      </c>
      <c r="K637">
        <v>0.89269662921348347</v>
      </c>
      <c r="L637">
        <v>0.94999999999999973</v>
      </c>
      <c r="M637" t="s">
        <v>126</v>
      </c>
      <c r="P637">
        <v>0</v>
      </c>
      <c r="Q637">
        <v>0</v>
      </c>
      <c r="R637">
        <v>0</v>
      </c>
      <c r="S637">
        <v>0</v>
      </c>
    </row>
    <row r="638" spans="1:19" x14ac:dyDescent="0.25">
      <c r="A638" s="1">
        <v>46224</v>
      </c>
      <c r="B638" t="s">
        <v>13</v>
      </c>
      <c r="C638" t="s">
        <v>10</v>
      </c>
      <c r="D638">
        <v>1.3820224719101126</v>
      </c>
      <c r="E638" t="s">
        <v>249</v>
      </c>
      <c r="F638">
        <v>46224</v>
      </c>
      <c r="G638" t="s">
        <v>149</v>
      </c>
      <c r="H638">
        <v>0</v>
      </c>
      <c r="I638">
        <v>0</v>
      </c>
      <c r="J638">
        <v>0.2924085013218774</v>
      </c>
      <c r="K638">
        <v>0.2924085013218774</v>
      </c>
      <c r="L638">
        <v>0</v>
      </c>
      <c r="M638" t="s">
        <v>126</v>
      </c>
      <c r="P638">
        <v>0</v>
      </c>
      <c r="Q638">
        <v>0</v>
      </c>
      <c r="R638">
        <v>0</v>
      </c>
      <c r="S638">
        <v>0</v>
      </c>
    </row>
    <row r="639" spans="1:19" x14ac:dyDescent="0.25">
      <c r="A639" s="1">
        <v>46224</v>
      </c>
      <c r="B639" t="s">
        <v>13</v>
      </c>
      <c r="C639" t="s">
        <v>12</v>
      </c>
      <c r="D639">
        <v>2.6014540647719757</v>
      </c>
      <c r="E639" t="s">
        <v>249</v>
      </c>
      <c r="F639">
        <v>46224</v>
      </c>
      <c r="G639" t="s">
        <v>149</v>
      </c>
      <c r="H639">
        <v>0</v>
      </c>
      <c r="I639">
        <v>0</v>
      </c>
      <c r="J639">
        <v>1.4652083900314916</v>
      </c>
      <c r="K639">
        <v>1.4652083900314916</v>
      </c>
      <c r="L639">
        <v>0.1862456747404844</v>
      </c>
      <c r="M639" t="s">
        <v>126</v>
      </c>
      <c r="P639">
        <v>0</v>
      </c>
      <c r="Q639">
        <v>0</v>
      </c>
      <c r="R639">
        <v>0</v>
      </c>
      <c r="S639">
        <v>0</v>
      </c>
    </row>
    <row r="640" spans="1:19" x14ac:dyDescent="0.25">
      <c r="A640" s="1">
        <v>46225</v>
      </c>
      <c r="B640" t="s">
        <v>13</v>
      </c>
      <c r="C640" t="s">
        <v>12</v>
      </c>
      <c r="D640">
        <v>2.6014540647719762</v>
      </c>
      <c r="E640" t="s">
        <v>249</v>
      </c>
      <c r="F640">
        <v>46225</v>
      </c>
      <c r="G640" t="s">
        <v>149</v>
      </c>
      <c r="H640">
        <v>0</v>
      </c>
      <c r="I640">
        <v>0</v>
      </c>
      <c r="J640">
        <v>0.71910112359550571</v>
      </c>
      <c r="K640">
        <v>0.71910112359550571</v>
      </c>
      <c r="L640">
        <v>0</v>
      </c>
      <c r="M640" t="s">
        <v>127</v>
      </c>
      <c r="P640">
        <v>0</v>
      </c>
      <c r="Q640">
        <v>0</v>
      </c>
      <c r="R640">
        <v>0</v>
      </c>
      <c r="S640">
        <v>0</v>
      </c>
    </row>
    <row r="641" spans="1:19" x14ac:dyDescent="0.25">
      <c r="A641" s="1">
        <v>46225</v>
      </c>
      <c r="B641" t="s">
        <v>13</v>
      </c>
      <c r="C641" t="s">
        <v>11</v>
      </c>
      <c r="D641">
        <v>1.8426966292134832</v>
      </c>
      <c r="E641" t="s">
        <v>249</v>
      </c>
      <c r="F641">
        <v>46225</v>
      </c>
      <c r="G641" t="s">
        <v>149</v>
      </c>
      <c r="H641">
        <v>0</v>
      </c>
      <c r="I641">
        <v>0</v>
      </c>
      <c r="J641">
        <v>1.7799515311742675</v>
      </c>
      <c r="K641">
        <v>1.7799515311742675</v>
      </c>
      <c r="L641">
        <v>6.2745098039215685E-2</v>
      </c>
      <c r="M641" t="s">
        <v>127</v>
      </c>
      <c r="P641">
        <v>0</v>
      </c>
      <c r="Q641">
        <v>0</v>
      </c>
      <c r="R641">
        <v>0</v>
      </c>
      <c r="S641">
        <v>0</v>
      </c>
    </row>
    <row r="642" spans="1:19" x14ac:dyDescent="0.25">
      <c r="A642" s="1">
        <v>46225</v>
      </c>
      <c r="B642" t="s">
        <v>13</v>
      </c>
      <c r="C642" t="s">
        <v>10</v>
      </c>
      <c r="D642">
        <v>2.7640449438202253</v>
      </c>
      <c r="E642" t="s">
        <v>249</v>
      </c>
      <c r="F642">
        <v>46225</v>
      </c>
      <c r="G642" t="s">
        <v>149</v>
      </c>
      <c r="H642">
        <v>0</v>
      </c>
      <c r="I642">
        <v>0</v>
      </c>
      <c r="J642">
        <v>1.6744309732319902</v>
      </c>
      <c r="K642">
        <v>1.6744309732319902</v>
      </c>
      <c r="L642">
        <v>0</v>
      </c>
      <c r="M642" t="s">
        <v>127</v>
      </c>
      <c r="P642">
        <v>0</v>
      </c>
      <c r="Q642">
        <v>0</v>
      </c>
      <c r="R642">
        <v>0</v>
      </c>
      <c r="S642">
        <v>0</v>
      </c>
    </row>
    <row r="643" spans="1:19" x14ac:dyDescent="0.25">
      <c r="A643" s="1">
        <v>46226</v>
      </c>
      <c r="B643" t="s">
        <v>13</v>
      </c>
      <c r="C643" t="s">
        <v>12</v>
      </c>
      <c r="D643">
        <v>2.2762723066754793</v>
      </c>
      <c r="E643" t="s">
        <v>249</v>
      </c>
      <c r="F643">
        <v>46226</v>
      </c>
      <c r="G643" t="s">
        <v>149</v>
      </c>
      <c r="H643">
        <v>0</v>
      </c>
      <c r="I643">
        <v>0</v>
      </c>
      <c r="J643">
        <v>0.22782940010108507</v>
      </c>
      <c r="K643">
        <v>0.22782940010108507</v>
      </c>
      <c r="L643">
        <v>0</v>
      </c>
      <c r="M643" t="s">
        <v>128</v>
      </c>
      <c r="P643">
        <v>0</v>
      </c>
      <c r="Q643">
        <v>0</v>
      </c>
      <c r="R643">
        <v>0</v>
      </c>
      <c r="S643">
        <v>0</v>
      </c>
    </row>
    <row r="644" spans="1:19" x14ac:dyDescent="0.25">
      <c r="A644" s="1">
        <v>46226</v>
      </c>
      <c r="B644" t="s">
        <v>13</v>
      </c>
      <c r="C644" t="s">
        <v>10</v>
      </c>
      <c r="D644">
        <v>1.3820224719101126</v>
      </c>
      <c r="E644" t="s">
        <v>249</v>
      </c>
      <c r="F644">
        <v>46226</v>
      </c>
      <c r="G644" t="s">
        <v>149</v>
      </c>
      <c r="H644">
        <v>0.27690100430416065</v>
      </c>
      <c r="I644">
        <v>0.27690100430416065</v>
      </c>
      <c r="J644">
        <v>0</v>
      </c>
      <c r="K644">
        <v>0</v>
      </c>
      <c r="L644">
        <v>0</v>
      </c>
      <c r="M644" t="s">
        <v>128</v>
      </c>
      <c r="P644">
        <v>48.402295552367278</v>
      </c>
      <c r="Q644">
        <v>0</v>
      </c>
      <c r="R644">
        <v>0</v>
      </c>
      <c r="S644">
        <v>48.402295552367278</v>
      </c>
    </row>
    <row r="645" spans="1:19" x14ac:dyDescent="0.25">
      <c r="A645" s="1">
        <v>46226</v>
      </c>
      <c r="B645" t="s">
        <v>13</v>
      </c>
      <c r="C645" t="s">
        <v>11</v>
      </c>
      <c r="D645">
        <v>1.8426966292134832</v>
      </c>
      <c r="E645" t="s">
        <v>249</v>
      </c>
      <c r="F645">
        <v>46226</v>
      </c>
      <c r="G645" t="s">
        <v>149</v>
      </c>
      <c r="H645">
        <v>0</v>
      </c>
      <c r="I645">
        <v>0</v>
      </c>
      <c r="J645">
        <v>1.7799515311742675</v>
      </c>
      <c r="K645">
        <v>1.7799515311742675</v>
      </c>
      <c r="L645">
        <v>6.2745098039215685E-2</v>
      </c>
      <c r="M645" t="s">
        <v>128</v>
      </c>
      <c r="P645">
        <v>0</v>
      </c>
      <c r="Q645">
        <v>0</v>
      </c>
      <c r="R645">
        <v>0</v>
      </c>
      <c r="S645">
        <v>0</v>
      </c>
    </row>
    <row r="646" spans="1:19" x14ac:dyDescent="0.25">
      <c r="A646" s="1">
        <v>46227</v>
      </c>
      <c r="B646" t="s">
        <v>13</v>
      </c>
      <c r="C646" t="s">
        <v>10</v>
      </c>
      <c r="D646">
        <v>5.5280898876404505</v>
      </c>
      <c r="E646" t="s">
        <v>249</v>
      </c>
      <c r="F646">
        <v>46227</v>
      </c>
      <c r="G646" t="s">
        <v>149</v>
      </c>
      <c r="H646">
        <v>0</v>
      </c>
      <c r="I646">
        <v>0</v>
      </c>
      <c r="J646">
        <v>3.7633840052875089</v>
      </c>
      <c r="K646">
        <v>3.7633840052875089</v>
      </c>
      <c r="L646">
        <v>0</v>
      </c>
      <c r="M646" t="s">
        <v>129</v>
      </c>
      <c r="P646">
        <v>0</v>
      </c>
      <c r="Q646">
        <v>0</v>
      </c>
      <c r="R646">
        <v>0</v>
      </c>
      <c r="S646">
        <v>0</v>
      </c>
    </row>
    <row r="647" spans="1:19" x14ac:dyDescent="0.25">
      <c r="A647" s="1">
        <v>46227</v>
      </c>
      <c r="B647" t="s">
        <v>13</v>
      </c>
      <c r="C647" t="s">
        <v>11</v>
      </c>
      <c r="D647">
        <v>1.8426966292134832</v>
      </c>
      <c r="E647" t="s">
        <v>249</v>
      </c>
      <c r="F647">
        <v>46227</v>
      </c>
      <c r="G647" t="s">
        <v>149</v>
      </c>
      <c r="H647">
        <v>0</v>
      </c>
      <c r="I647">
        <v>0</v>
      </c>
      <c r="J647">
        <v>0.82995153117426779</v>
      </c>
      <c r="K647">
        <v>0.82995153117426779</v>
      </c>
      <c r="L647">
        <v>1.0127450980392154</v>
      </c>
      <c r="M647" t="s">
        <v>129</v>
      </c>
      <c r="P647">
        <v>0</v>
      </c>
      <c r="Q647">
        <v>0</v>
      </c>
      <c r="R647">
        <v>0</v>
      </c>
      <c r="S647">
        <v>0</v>
      </c>
    </row>
    <row r="648" spans="1:19" x14ac:dyDescent="0.25">
      <c r="A648" s="1">
        <v>46227</v>
      </c>
      <c r="B648" t="s">
        <v>13</v>
      </c>
      <c r="C648" t="s">
        <v>12</v>
      </c>
      <c r="D648">
        <v>2.2762723066754802</v>
      </c>
      <c r="E648" t="s">
        <v>249</v>
      </c>
      <c r="F648">
        <v>46227</v>
      </c>
      <c r="G648" t="s">
        <v>149</v>
      </c>
      <c r="H648">
        <v>0</v>
      </c>
      <c r="I648">
        <v>0</v>
      </c>
      <c r="J648">
        <v>8.8123517748144267E-2</v>
      </c>
      <c r="K648">
        <v>8.8123517748144267E-2</v>
      </c>
      <c r="L648">
        <v>0</v>
      </c>
      <c r="M648" t="s">
        <v>129</v>
      </c>
      <c r="P648">
        <v>0</v>
      </c>
      <c r="Q648">
        <v>0</v>
      </c>
      <c r="R648">
        <v>0</v>
      </c>
      <c r="S648">
        <v>0</v>
      </c>
    </row>
    <row r="649" spans="1:19" x14ac:dyDescent="0.25">
      <c r="A649" s="1">
        <v>46228</v>
      </c>
      <c r="B649" t="s">
        <v>13</v>
      </c>
      <c r="C649" t="s">
        <v>12</v>
      </c>
      <c r="D649">
        <v>2.6014540647719757</v>
      </c>
      <c r="E649" t="s">
        <v>249</v>
      </c>
      <c r="F649">
        <v>46228</v>
      </c>
      <c r="G649" t="s">
        <v>149</v>
      </c>
      <c r="H649">
        <v>0</v>
      </c>
      <c r="I649">
        <v>0</v>
      </c>
      <c r="J649">
        <v>0.53787274989308342</v>
      </c>
      <c r="K649">
        <v>0.53787274989308342</v>
      </c>
      <c r="L649">
        <v>0</v>
      </c>
      <c r="M649" t="s">
        <v>119</v>
      </c>
      <c r="P649">
        <v>0</v>
      </c>
      <c r="Q649">
        <v>0</v>
      </c>
      <c r="R649">
        <v>0</v>
      </c>
      <c r="S649">
        <v>0</v>
      </c>
    </row>
    <row r="650" spans="1:19" x14ac:dyDescent="0.25">
      <c r="A650" s="1">
        <v>46228</v>
      </c>
      <c r="B650" t="s">
        <v>13</v>
      </c>
      <c r="C650" t="s">
        <v>10</v>
      </c>
      <c r="D650">
        <v>1.3820224719101126</v>
      </c>
      <c r="E650" t="s">
        <v>249</v>
      </c>
      <c r="F650">
        <v>46228</v>
      </c>
      <c r="G650" t="s">
        <v>149</v>
      </c>
      <c r="H650">
        <v>0.29918026661884256</v>
      </c>
      <c r="I650">
        <v>0.29918026661884256</v>
      </c>
      <c r="J650">
        <v>0</v>
      </c>
      <c r="K650">
        <v>0</v>
      </c>
      <c r="L650">
        <v>0</v>
      </c>
      <c r="M650" t="s">
        <v>119</v>
      </c>
      <c r="P650">
        <v>52.296710604973676</v>
      </c>
      <c r="Q650">
        <v>0</v>
      </c>
      <c r="R650">
        <v>0</v>
      </c>
      <c r="S650">
        <v>52.296710604973676</v>
      </c>
    </row>
    <row r="651" spans="1:19" x14ac:dyDescent="0.25">
      <c r="A651" s="1">
        <v>46228</v>
      </c>
      <c r="B651" t="s">
        <v>13</v>
      </c>
      <c r="C651" t="s">
        <v>11</v>
      </c>
      <c r="D651">
        <v>1.8426966292134832</v>
      </c>
      <c r="E651" t="s">
        <v>249</v>
      </c>
      <c r="F651">
        <v>46228</v>
      </c>
      <c r="G651" t="s">
        <v>149</v>
      </c>
      <c r="H651">
        <v>0</v>
      </c>
      <c r="I651">
        <v>0</v>
      </c>
      <c r="J651">
        <v>0.82995153117426779</v>
      </c>
      <c r="K651">
        <v>0.82995153117426779</v>
      </c>
      <c r="L651">
        <v>1.0127450980392154</v>
      </c>
      <c r="M651" t="s">
        <v>119</v>
      </c>
      <c r="P651">
        <v>0</v>
      </c>
      <c r="Q651">
        <v>0</v>
      </c>
      <c r="R651">
        <v>0</v>
      </c>
      <c r="S651">
        <v>0</v>
      </c>
    </row>
    <row r="652" spans="1:19" x14ac:dyDescent="0.25">
      <c r="A652" s="1">
        <v>46229</v>
      </c>
      <c r="B652" t="s">
        <v>13</v>
      </c>
      <c r="C652" t="s">
        <v>10</v>
      </c>
      <c r="D652">
        <v>1.3820224719101126</v>
      </c>
      <c r="E652" t="s">
        <v>249</v>
      </c>
      <c r="F652">
        <v>46229</v>
      </c>
      <c r="G652" t="s">
        <v>149</v>
      </c>
      <c r="H652">
        <v>0.38430700023912001</v>
      </c>
      <c r="I652">
        <v>0.38430700023912001</v>
      </c>
      <c r="J652">
        <v>0</v>
      </c>
      <c r="K652">
        <v>0</v>
      </c>
      <c r="L652">
        <v>0</v>
      </c>
      <c r="M652" t="s">
        <v>120</v>
      </c>
      <c r="P652">
        <v>67.176863641798178</v>
      </c>
      <c r="Q652">
        <v>0</v>
      </c>
      <c r="R652">
        <v>0</v>
      </c>
      <c r="S652">
        <v>67.176863641798178</v>
      </c>
    </row>
    <row r="653" spans="1:19" x14ac:dyDescent="0.25">
      <c r="A653" s="1">
        <v>46229</v>
      </c>
      <c r="B653" t="s">
        <v>13</v>
      </c>
      <c r="C653" t="s">
        <v>11</v>
      </c>
      <c r="D653">
        <v>1.8426966292134832</v>
      </c>
      <c r="E653" t="s">
        <v>249</v>
      </c>
      <c r="F653">
        <v>46229</v>
      </c>
      <c r="G653" t="s">
        <v>149</v>
      </c>
      <c r="H653">
        <v>0</v>
      </c>
      <c r="I653">
        <v>0</v>
      </c>
      <c r="J653">
        <v>1.7799515311742675</v>
      </c>
      <c r="K653">
        <v>1.7799515311742675</v>
      </c>
      <c r="L653">
        <v>6.2745098039215685E-2</v>
      </c>
      <c r="M653" t="s">
        <v>120</v>
      </c>
      <c r="P653">
        <v>0</v>
      </c>
      <c r="Q653">
        <v>0</v>
      </c>
      <c r="R653">
        <v>0</v>
      </c>
      <c r="S653">
        <v>0</v>
      </c>
    </row>
    <row r="654" spans="1:19" x14ac:dyDescent="0.25">
      <c r="A654" s="1">
        <v>46229</v>
      </c>
      <c r="B654" t="s">
        <v>13</v>
      </c>
      <c r="C654" t="s">
        <v>12</v>
      </c>
      <c r="D654">
        <v>2.6014540647719762</v>
      </c>
      <c r="E654" t="s">
        <v>249</v>
      </c>
      <c r="F654">
        <v>46229</v>
      </c>
      <c r="G654" t="s">
        <v>149</v>
      </c>
      <c r="H654">
        <v>0</v>
      </c>
      <c r="I654">
        <v>0</v>
      </c>
      <c r="J654">
        <v>0.55301115819758129</v>
      </c>
      <c r="K654">
        <v>0.55301115819758129</v>
      </c>
      <c r="L654">
        <v>0.14844290657439491</v>
      </c>
      <c r="M654" t="s">
        <v>120</v>
      </c>
      <c r="P654">
        <v>0</v>
      </c>
      <c r="Q654">
        <v>0</v>
      </c>
      <c r="R654">
        <v>0</v>
      </c>
      <c r="S654">
        <v>0</v>
      </c>
    </row>
    <row r="655" spans="1:19" x14ac:dyDescent="0.25">
      <c r="A655" s="1">
        <v>46230</v>
      </c>
      <c r="B655" t="s">
        <v>13</v>
      </c>
      <c r="C655" t="s">
        <v>12</v>
      </c>
      <c r="D655">
        <v>2.6014540647719766</v>
      </c>
      <c r="E655" t="s">
        <v>249</v>
      </c>
      <c r="F655">
        <v>46230</v>
      </c>
      <c r="G655" t="s">
        <v>149</v>
      </c>
      <c r="H655">
        <v>0</v>
      </c>
      <c r="I655">
        <v>0</v>
      </c>
      <c r="J655">
        <v>0.88519108899342946</v>
      </c>
      <c r="K655">
        <v>0.88519108899342946</v>
      </c>
      <c r="L655">
        <v>0</v>
      </c>
      <c r="M655" t="s">
        <v>125</v>
      </c>
      <c r="P655">
        <v>0</v>
      </c>
      <c r="Q655">
        <v>0</v>
      </c>
      <c r="R655">
        <v>0</v>
      </c>
      <c r="S655">
        <v>0</v>
      </c>
    </row>
    <row r="656" spans="1:19" x14ac:dyDescent="0.25">
      <c r="A656" s="1">
        <v>46230</v>
      </c>
      <c r="B656" t="s">
        <v>13</v>
      </c>
      <c r="C656" t="s">
        <v>10</v>
      </c>
      <c r="D656">
        <v>1.0365168539325844</v>
      </c>
      <c r="E656" t="s">
        <v>249</v>
      </c>
      <c r="F656">
        <v>46230</v>
      </c>
      <c r="G656" t="s">
        <v>149</v>
      </c>
      <c r="H656">
        <v>0</v>
      </c>
      <c r="I656">
        <v>0</v>
      </c>
      <c r="J656">
        <v>0.91886979510905498</v>
      </c>
      <c r="K656">
        <v>0.91886979510905498</v>
      </c>
      <c r="L656">
        <v>0</v>
      </c>
      <c r="M656" t="s">
        <v>125</v>
      </c>
      <c r="P656">
        <v>0</v>
      </c>
      <c r="Q656">
        <v>0</v>
      </c>
      <c r="R656">
        <v>0</v>
      </c>
      <c r="S656">
        <v>0</v>
      </c>
    </row>
    <row r="657" spans="1:19" x14ac:dyDescent="0.25">
      <c r="A657" s="1">
        <v>46230</v>
      </c>
      <c r="B657" t="s">
        <v>13</v>
      </c>
      <c r="C657" t="s">
        <v>11</v>
      </c>
      <c r="D657">
        <v>1.8426966292134832</v>
      </c>
      <c r="E657" t="s">
        <v>249</v>
      </c>
      <c r="F657">
        <v>46230</v>
      </c>
      <c r="G657" t="s">
        <v>149</v>
      </c>
      <c r="H657">
        <v>0</v>
      </c>
      <c r="I657">
        <v>0</v>
      </c>
      <c r="J657">
        <v>1.7799515311742675</v>
      </c>
      <c r="K657">
        <v>1.7799515311742675</v>
      </c>
      <c r="L657">
        <v>6.2745098039215685E-2</v>
      </c>
      <c r="M657" t="s">
        <v>125</v>
      </c>
      <c r="P657">
        <v>0</v>
      </c>
      <c r="Q657">
        <v>0</v>
      </c>
      <c r="R657">
        <v>0</v>
      </c>
      <c r="S657">
        <v>0</v>
      </c>
    </row>
    <row r="658" spans="1:19" x14ac:dyDescent="0.25">
      <c r="A658" s="1">
        <v>46231</v>
      </c>
      <c r="B658" t="s">
        <v>13</v>
      </c>
      <c r="C658" t="s">
        <v>12</v>
      </c>
      <c r="D658">
        <v>2.6014540647719762</v>
      </c>
      <c r="E658" t="s">
        <v>249</v>
      </c>
      <c r="F658">
        <v>46231</v>
      </c>
      <c r="G658" t="s">
        <v>149</v>
      </c>
      <c r="H658">
        <v>0</v>
      </c>
      <c r="I658">
        <v>0</v>
      </c>
      <c r="J658">
        <v>0.88519108899342935</v>
      </c>
      <c r="K658">
        <v>0.88519108899342935</v>
      </c>
      <c r="L658">
        <v>0</v>
      </c>
      <c r="M658" t="s">
        <v>126</v>
      </c>
      <c r="P658">
        <v>0</v>
      </c>
      <c r="Q658">
        <v>0</v>
      </c>
      <c r="R658">
        <v>0</v>
      </c>
      <c r="S658">
        <v>0</v>
      </c>
    </row>
    <row r="659" spans="1:19" x14ac:dyDescent="0.25">
      <c r="A659" s="1">
        <v>46231</v>
      </c>
      <c r="B659" t="s">
        <v>13</v>
      </c>
      <c r="C659" t="s">
        <v>11</v>
      </c>
      <c r="D659">
        <v>1.8426966292134832</v>
      </c>
      <c r="E659" t="s">
        <v>249</v>
      </c>
      <c r="F659">
        <v>46231</v>
      </c>
      <c r="G659" t="s">
        <v>149</v>
      </c>
      <c r="H659">
        <v>0</v>
      </c>
      <c r="I659">
        <v>0</v>
      </c>
      <c r="J659">
        <v>1.7799515311742675</v>
      </c>
      <c r="K659">
        <v>1.7799515311742675</v>
      </c>
      <c r="L659">
        <v>6.2745098039215685E-2</v>
      </c>
      <c r="M659" t="s">
        <v>126</v>
      </c>
      <c r="P659">
        <v>0</v>
      </c>
      <c r="Q659">
        <v>0</v>
      </c>
      <c r="R659">
        <v>0</v>
      </c>
      <c r="S659">
        <v>0</v>
      </c>
    </row>
    <row r="660" spans="1:19" x14ac:dyDescent="0.25">
      <c r="A660" s="1">
        <v>46231</v>
      </c>
      <c r="B660" t="s">
        <v>13</v>
      </c>
      <c r="C660" t="s">
        <v>10</v>
      </c>
      <c r="D660">
        <v>1.3820224719101126</v>
      </c>
      <c r="E660" t="s">
        <v>249</v>
      </c>
      <c r="F660">
        <v>46231</v>
      </c>
      <c r="G660" t="s">
        <v>149</v>
      </c>
      <c r="H660">
        <v>0.89406982305117144</v>
      </c>
      <c r="I660">
        <v>0.89406982305117144</v>
      </c>
      <c r="J660">
        <v>0</v>
      </c>
      <c r="K660">
        <v>0</v>
      </c>
      <c r="L660">
        <v>0</v>
      </c>
      <c r="M660" t="s">
        <v>126</v>
      </c>
      <c r="P660">
        <v>156.28340506934478</v>
      </c>
      <c r="Q660">
        <v>0</v>
      </c>
      <c r="R660">
        <v>0</v>
      </c>
      <c r="S660">
        <v>156.28340506934478</v>
      </c>
    </row>
    <row r="661" spans="1:19" x14ac:dyDescent="0.25">
      <c r="A661" s="1">
        <v>46232</v>
      </c>
      <c r="B661" t="s">
        <v>13</v>
      </c>
      <c r="C661" t="s">
        <v>12</v>
      </c>
      <c r="D661">
        <v>2.2762723066754793</v>
      </c>
      <c r="E661" t="s">
        <v>249</v>
      </c>
      <c r="F661">
        <v>46232</v>
      </c>
      <c r="G661" t="s">
        <v>149</v>
      </c>
      <c r="H661">
        <v>0</v>
      </c>
      <c r="I661">
        <v>0</v>
      </c>
      <c r="J661">
        <v>0.22782940010108507</v>
      </c>
      <c r="K661">
        <v>0.22782940010108507</v>
      </c>
      <c r="L661">
        <v>0</v>
      </c>
      <c r="M661" t="s">
        <v>127</v>
      </c>
      <c r="P661">
        <v>0</v>
      </c>
      <c r="Q661">
        <v>0</v>
      </c>
      <c r="R661">
        <v>0</v>
      </c>
      <c r="S661">
        <v>0</v>
      </c>
    </row>
    <row r="662" spans="1:19" x14ac:dyDescent="0.25">
      <c r="A662" s="1">
        <v>46232</v>
      </c>
      <c r="B662" t="s">
        <v>13</v>
      </c>
      <c r="C662" t="s">
        <v>10</v>
      </c>
      <c r="D662">
        <v>2.7640449438202253</v>
      </c>
      <c r="E662" t="s">
        <v>249</v>
      </c>
      <c r="F662">
        <v>46232</v>
      </c>
      <c r="G662" t="s">
        <v>149</v>
      </c>
      <c r="H662">
        <v>0</v>
      </c>
      <c r="I662">
        <v>0</v>
      </c>
      <c r="J662">
        <v>0.9993390614672838</v>
      </c>
      <c r="K662">
        <v>0.9993390614672838</v>
      </c>
      <c r="L662">
        <v>0</v>
      </c>
      <c r="M662" t="s">
        <v>127</v>
      </c>
      <c r="P662">
        <v>0</v>
      </c>
      <c r="Q662">
        <v>0</v>
      </c>
      <c r="R662">
        <v>0</v>
      </c>
      <c r="S662">
        <v>0</v>
      </c>
    </row>
    <row r="663" spans="1:19" x14ac:dyDescent="0.25">
      <c r="A663" s="1">
        <v>46232</v>
      </c>
      <c r="B663" t="s">
        <v>13</v>
      </c>
      <c r="C663" t="s">
        <v>11</v>
      </c>
      <c r="D663">
        <v>1.8426966292134832</v>
      </c>
      <c r="E663" t="s">
        <v>249</v>
      </c>
      <c r="F663">
        <v>46232</v>
      </c>
      <c r="G663" t="s">
        <v>149</v>
      </c>
      <c r="H663">
        <v>0</v>
      </c>
      <c r="I663">
        <v>0</v>
      </c>
      <c r="J663">
        <v>1.7799515311742675</v>
      </c>
      <c r="K663">
        <v>1.7799515311742675</v>
      </c>
      <c r="L663">
        <v>6.2745098039215685E-2</v>
      </c>
      <c r="M663" t="s">
        <v>127</v>
      </c>
      <c r="P663">
        <v>0</v>
      </c>
      <c r="Q663">
        <v>0</v>
      </c>
      <c r="R663">
        <v>0</v>
      </c>
      <c r="S663">
        <v>0</v>
      </c>
    </row>
    <row r="664" spans="1:19" x14ac:dyDescent="0.25">
      <c r="A664" s="1">
        <v>46233</v>
      </c>
      <c r="B664" t="s">
        <v>13</v>
      </c>
      <c r="C664" t="s">
        <v>12</v>
      </c>
      <c r="D664">
        <v>2.2762723066754802</v>
      </c>
      <c r="E664" t="s">
        <v>249</v>
      </c>
      <c r="F664">
        <v>46233</v>
      </c>
      <c r="G664" t="s">
        <v>149</v>
      </c>
      <c r="H664">
        <v>0</v>
      </c>
      <c r="I664">
        <v>0</v>
      </c>
      <c r="J664">
        <v>0.21269099179658776</v>
      </c>
      <c r="K664">
        <v>0.21269099179658776</v>
      </c>
      <c r="L664">
        <v>0</v>
      </c>
      <c r="M664" t="s">
        <v>128</v>
      </c>
      <c r="P664">
        <v>0</v>
      </c>
      <c r="Q664">
        <v>0</v>
      </c>
      <c r="R664">
        <v>0</v>
      </c>
      <c r="S664">
        <v>0</v>
      </c>
    </row>
    <row r="665" spans="1:19" x14ac:dyDescent="0.25">
      <c r="A665" s="1">
        <v>46233</v>
      </c>
      <c r="B665" t="s">
        <v>13</v>
      </c>
      <c r="C665" t="s">
        <v>11</v>
      </c>
      <c r="D665">
        <v>1.8426966292134832</v>
      </c>
      <c r="E665" t="s">
        <v>249</v>
      </c>
      <c r="F665">
        <v>46233</v>
      </c>
      <c r="G665" t="s">
        <v>149</v>
      </c>
      <c r="H665">
        <v>0</v>
      </c>
      <c r="I665">
        <v>0</v>
      </c>
      <c r="J665">
        <v>0.82995153117426779</v>
      </c>
      <c r="K665">
        <v>0.82995153117426779</v>
      </c>
      <c r="L665">
        <v>1.0127450980392154</v>
      </c>
      <c r="M665" t="s">
        <v>128</v>
      </c>
      <c r="P665">
        <v>0</v>
      </c>
      <c r="Q665">
        <v>0</v>
      </c>
      <c r="R665">
        <v>0</v>
      </c>
      <c r="S665">
        <v>0</v>
      </c>
    </row>
    <row r="666" spans="1:19" x14ac:dyDescent="0.25">
      <c r="A666" s="1">
        <v>46233</v>
      </c>
      <c r="B666" t="s">
        <v>13</v>
      </c>
      <c r="C666" t="s">
        <v>10</v>
      </c>
      <c r="D666">
        <v>2.7640449438202253</v>
      </c>
      <c r="E666" t="s">
        <v>249</v>
      </c>
      <c r="F666">
        <v>46233</v>
      </c>
      <c r="G666" t="s">
        <v>149</v>
      </c>
      <c r="H666">
        <v>0</v>
      </c>
      <c r="I666">
        <v>0</v>
      </c>
      <c r="J666">
        <v>1.1169861202908133</v>
      </c>
      <c r="K666">
        <v>1.1169861202908133</v>
      </c>
      <c r="L666">
        <v>0</v>
      </c>
      <c r="M666" t="s">
        <v>128</v>
      </c>
      <c r="P666">
        <v>0</v>
      </c>
      <c r="Q666">
        <v>0</v>
      </c>
      <c r="R666">
        <v>0</v>
      </c>
      <c r="S666">
        <v>0</v>
      </c>
    </row>
    <row r="667" spans="1:19" x14ac:dyDescent="0.25">
      <c r="A667" s="1">
        <v>46234</v>
      </c>
      <c r="B667" t="s">
        <v>13</v>
      </c>
      <c r="C667" t="s">
        <v>10</v>
      </c>
      <c r="D667">
        <v>5.1825842696629234</v>
      </c>
      <c r="E667" t="s">
        <v>249</v>
      </c>
      <c r="F667">
        <v>46234</v>
      </c>
      <c r="G667" t="s">
        <v>149</v>
      </c>
      <c r="H667">
        <v>0</v>
      </c>
      <c r="I667">
        <v>0</v>
      </c>
      <c r="J667">
        <v>3.2694408873099809</v>
      </c>
      <c r="K667">
        <v>3.2694408873099809</v>
      </c>
      <c r="L667">
        <v>0</v>
      </c>
      <c r="M667" t="s">
        <v>129</v>
      </c>
      <c r="P667">
        <v>0</v>
      </c>
      <c r="Q667">
        <v>0</v>
      </c>
      <c r="R667">
        <v>0</v>
      </c>
      <c r="S667">
        <v>0</v>
      </c>
    </row>
    <row r="668" spans="1:19" x14ac:dyDescent="0.25">
      <c r="A668" s="1">
        <v>46234</v>
      </c>
      <c r="B668" t="s">
        <v>13</v>
      </c>
      <c r="C668" t="s">
        <v>11</v>
      </c>
      <c r="D668">
        <v>1.8426966292134832</v>
      </c>
      <c r="E668" t="s">
        <v>249</v>
      </c>
      <c r="F668">
        <v>46234</v>
      </c>
      <c r="G668" t="s">
        <v>149</v>
      </c>
      <c r="H668">
        <v>0</v>
      </c>
      <c r="I668">
        <v>0</v>
      </c>
      <c r="J668">
        <v>0.82995153117426779</v>
      </c>
      <c r="K668">
        <v>0.82995153117426779</v>
      </c>
      <c r="L668">
        <v>1.0127450980392154</v>
      </c>
      <c r="M668" t="s">
        <v>129</v>
      </c>
      <c r="P668">
        <v>0</v>
      </c>
      <c r="Q668">
        <v>0</v>
      </c>
      <c r="R668">
        <v>0</v>
      </c>
      <c r="S668">
        <v>0</v>
      </c>
    </row>
    <row r="669" spans="1:19" x14ac:dyDescent="0.25">
      <c r="A669" s="1">
        <v>46234</v>
      </c>
      <c r="B669" t="s">
        <v>13</v>
      </c>
      <c r="C669" t="s">
        <v>12</v>
      </c>
      <c r="D669">
        <v>2.6014540647719757</v>
      </c>
      <c r="E669" t="s">
        <v>249</v>
      </c>
      <c r="F669">
        <v>46234</v>
      </c>
      <c r="G669" t="s">
        <v>149</v>
      </c>
      <c r="H669">
        <v>0</v>
      </c>
      <c r="I669">
        <v>0</v>
      </c>
      <c r="J669">
        <v>0.41330527584464061</v>
      </c>
      <c r="K669">
        <v>0.41330527584464061</v>
      </c>
      <c r="L669">
        <v>0</v>
      </c>
      <c r="M669" t="s">
        <v>129</v>
      </c>
      <c r="P669">
        <v>0</v>
      </c>
      <c r="Q669">
        <v>0</v>
      </c>
      <c r="R669">
        <v>0</v>
      </c>
      <c r="S669">
        <v>0</v>
      </c>
    </row>
    <row r="670" spans="1:19" x14ac:dyDescent="0.25">
      <c r="A670" s="1">
        <v>46235</v>
      </c>
      <c r="B670" t="s">
        <v>13</v>
      </c>
      <c r="C670" t="s">
        <v>11</v>
      </c>
      <c r="D670">
        <v>1.8426966292134832</v>
      </c>
      <c r="E670" t="s">
        <v>249</v>
      </c>
      <c r="F670">
        <v>46235</v>
      </c>
      <c r="G670" t="s">
        <v>149</v>
      </c>
      <c r="H670">
        <v>0</v>
      </c>
      <c r="I670">
        <v>0</v>
      </c>
      <c r="J670">
        <v>0.82995153117426779</v>
      </c>
      <c r="K670">
        <v>0.82995153117426779</v>
      </c>
      <c r="L670">
        <v>1.0127450980392154</v>
      </c>
      <c r="M670" t="s">
        <v>119</v>
      </c>
      <c r="P670">
        <v>0</v>
      </c>
      <c r="Q670">
        <v>0</v>
      </c>
      <c r="R670">
        <v>0</v>
      </c>
      <c r="S670">
        <v>0</v>
      </c>
    </row>
    <row r="671" spans="1:19" x14ac:dyDescent="0.25">
      <c r="A671" s="1">
        <v>46235</v>
      </c>
      <c r="B671" t="s">
        <v>13</v>
      </c>
      <c r="C671" t="s">
        <v>10</v>
      </c>
      <c r="D671">
        <v>1.3820224719101133</v>
      </c>
      <c r="E671" t="s">
        <v>249</v>
      </c>
      <c r="F671">
        <v>46235</v>
      </c>
      <c r="G671" t="s">
        <v>149</v>
      </c>
      <c r="H671">
        <v>0.38430700023912001</v>
      </c>
      <c r="I671">
        <v>0.38430700023912001</v>
      </c>
      <c r="J671">
        <v>0</v>
      </c>
      <c r="K671">
        <v>0</v>
      </c>
      <c r="L671">
        <v>0</v>
      </c>
      <c r="M671" t="s">
        <v>119</v>
      </c>
      <c r="P671">
        <v>67.176863641798178</v>
      </c>
      <c r="Q671">
        <v>0</v>
      </c>
      <c r="R671">
        <v>0</v>
      </c>
      <c r="S671">
        <v>67.176863641798178</v>
      </c>
    </row>
    <row r="672" spans="1:19" x14ac:dyDescent="0.25">
      <c r="A672" s="1">
        <v>46235</v>
      </c>
      <c r="B672" t="s">
        <v>13</v>
      </c>
      <c r="C672" t="s">
        <v>12</v>
      </c>
      <c r="D672">
        <v>2.2762723066754802</v>
      </c>
      <c r="E672" t="s">
        <v>249</v>
      </c>
      <c r="F672">
        <v>46235</v>
      </c>
      <c r="G672" t="s">
        <v>149</v>
      </c>
      <c r="H672">
        <v>0</v>
      </c>
      <c r="I672">
        <v>0</v>
      </c>
      <c r="J672">
        <v>8.812351774814528E-2</v>
      </c>
      <c r="K672">
        <v>8.812351774814528E-2</v>
      </c>
      <c r="L672">
        <v>1.238148788927335</v>
      </c>
      <c r="M672" t="s">
        <v>119</v>
      </c>
      <c r="P672">
        <v>0</v>
      </c>
      <c r="Q672">
        <v>0</v>
      </c>
      <c r="R672">
        <v>0</v>
      </c>
      <c r="S672">
        <v>0</v>
      </c>
    </row>
    <row r="673" spans="1:19" x14ac:dyDescent="0.25">
      <c r="A673" s="1">
        <v>46236</v>
      </c>
      <c r="B673" t="s">
        <v>13</v>
      </c>
      <c r="C673" t="s">
        <v>12</v>
      </c>
      <c r="D673">
        <v>2.6014540647719762</v>
      </c>
      <c r="E673" t="s">
        <v>249</v>
      </c>
      <c r="F673">
        <v>46236</v>
      </c>
      <c r="G673" t="s">
        <v>149</v>
      </c>
      <c r="H673">
        <v>0</v>
      </c>
      <c r="I673">
        <v>0</v>
      </c>
      <c r="J673">
        <v>0.71910112359550571</v>
      </c>
      <c r="K673">
        <v>0.71910112359550571</v>
      </c>
      <c r="L673">
        <v>0.93235294117647038</v>
      </c>
      <c r="M673" t="s">
        <v>120</v>
      </c>
      <c r="P673">
        <v>0</v>
      </c>
      <c r="Q673">
        <v>0</v>
      </c>
      <c r="R673">
        <v>0</v>
      </c>
      <c r="S673">
        <v>0</v>
      </c>
    </row>
    <row r="674" spans="1:19" x14ac:dyDescent="0.25">
      <c r="A674" s="1">
        <v>46236</v>
      </c>
      <c r="B674" t="s">
        <v>13</v>
      </c>
      <c r="C674" t="s">
        <v>11</v>
      </c>
      <c r="D674">
        <v>1.8426966292134832</v>
      </c>
      <c r="E674" t="s">
        <v>249</v>
      </c>
      <c r="F674">
        <v>46236</v>
      </c>
      <c r="G674" t="s">
        <v>149</v>
      </c>
      <c r="H674">
        <v>0</v>
      </c>
      <c r="I674">
        <v>0</v>
      </c>
      <c r="J674">
        <v>1.7799515311742675</v>
      </c>
      <c r="K674">
        <v>1.7799515311742675</v>
      </c>
      <c r="L674">
        <v>6.2745098039215685E-2</v>
      </c>
      <c r="M674" t="s">
        <v>120</v>
      </c>
      <c r="P674">
        <v>0</v>
      </c>
      <c r="Q674">
        <v>0</v>
      </c>
      <c r="R674">
        <v>0</v>
      </c>
      <c r="S674">
        <v>0</v>
      </c>
    </row>
    <row r="675" spans="1:19" x14ac:dyDescent="0.25">
      <c r="A675" s="1">
        <v>46236</v>
      </c>
      <c r="B675" t="s">
        <v>13</v>
      </c>
      <c r="C675" t="s">
        <v>10</v>
      </c>
      <c r="D675">
        <v>1.3820224719101133</v>
      </c>
      <c r="E675" t="s">
        <v>249</v>
      </c>
      <c r="F675">
        <v>46236</v>
      </c>
      <c r="G675" t="s">
        <v>149</v>
      </c>
      <c r="H675">
        <v>0</v>
      </c>
      <c r="I675">
        <v>0</v>
      </c>
      <c r="J675">
        <v>0.29240850132187801</v>
      </c>
      <c r="K675">
        <v>0.29240850132187801</v>
      </c>
      <c r="L675">
        <v>0</v>
      </c>
      <c r="M675" t="s">
        <v>120</v>
      </c>
      <c r="P675">
        <v>0</v>
      </c>
      <c r="Q675">
        <v>0</v>
      </c>
      <c r="R675">
        <v>0</v>
      </c>
      <c r="S675">
        <v>0</v>
      </c>
    </row>
    <row r="676" spans="1:19" x14ac:dyDescent="0.25">
      <c r="A676" s="1">
        <v>46237</v>
      </c>
      <c r="B676" t="s">
        <v>13</v>
      </c>
      <c r="C676" t="s">
        <v>10</v>
      </c>
      <c r="D676">
        <v>1.3820224719101126</v>
      </c>
      <c r="E676" t="s">
        <v>249</v>
      </c>
      <c r="F676">
        <v>46237</v>
      </c>
      <c r="G676" t="s">
        <v>149</v>
      </c>
      <c r="H676">
        <v>0.87278813964610236</v>
      </c>
      <c r="I676">
        <v>0.87278813964610236</v>
      </c>
      <c r="J676">
        <v>0</v>
      </c>
      <c r="K676">
        <v>0</v>
      </c>
      <c r="L676">
        <v>0</v>
      </c>
      <c r="M676" t="s">
        <v>125</v>
      </c>
      <c r="P676">
        <v>152.56336681013869</v>
      </c>
      <c r="Q676">
        <v>0</v>
      </c>
      <c r="R676">
        <v>0</v>
      </c>
      <c r="S676">
        <v>152.56336681013869</v>
      </c>
    </row>
    <row r="677" spans="1:19" x14ac:dyDescent="0.25">
      <c r="A677" s="1">
        <v>46237</v>
      </c>
      <c r="B677" t="s">
        <v>13</v>
      </c>
      <c r="C677" t="s">
        <v>11</v>
      </c>
      <c r="D677">
        <v>1.8426966292134832</v>
      </c>
      <c r="E677" t="s">
        <v>249</v>
      </c>
      <c r="F677">
        <v>46237</v>
      </c>
      <c r="G677" t="s">
        <v>149</v>
      </c>
      <c r="H677">
        <v>0</v>
      </c>
      <c r="I677">
        <v>0</v>
      </c>
      <c r="J677">
        <v>1.7799515311742675</v>
      </c>
      <c r="K677">
        <v>1.7799515311742675</v>
      </c>
      <c r="L677">
        <v>6.2745098039215685E-2</v>
      </c>
      <c r="M677" t="s">
        <v>125</v>
      </c>
      <c r="P677">
        <v>0</v>
      </c>
      <c r="Q677">
        <v>0</v>
      </c>
      <c r="R677">
        <v>0</v>
      </c>
      <c r="S677">
        <v>0</v>
      </c>
    </row>
    <row r="678" spans="1:19" x14ac:dyDescent="0.25">
      <c r="A678" s="1">
        <v>46237</v>
      </c>
      <c r="B678" t="s">
        <v>13</v>
      </c>
      <c r="C678" t="s">
        <v>12</v>
      </c>
      <c r="D678">
        <v>2.6014540647719766</v>
      </c>
      <c r="E678" t="s">
        <v>249</v>
      </c>
      <c r="F678">
        <v>46237</v>
      </c>
      <c r="G678" t="s">
        <v>149</v>
      </c>
      <c r="H678">
        <v>0</v>
      </c>
      <c r="I678">
        <v>0</v>
      </c>
      <c r="J678">
        <v>0.38692119279965753</v>
      </c>
      <c r="K678">
        <v>0.38692119279965753</v>
      </c>
      <c r="L678">
        <v>2.214532871972319</v>
      </c>
      <c r="M678" t="s">
        <v>125</v>
      </c>
      <c r="P678">
        <v>0</v>
      </c>
      <c r="Q678">
        <v>0</v>
      </c>
      <c r="R678">
        <v>0</v>
      </c>
      <c r="S678">
        <v>0</v>
      </c>
    </row>
    <row r="679" spans="1:19" x14ac:dyDescent="0.25">
      <c r="A679" s="1">
        <v>46238</v>
      </c>
      <c r="B679" t="s">
        <v>13</v>
      </c>
      <c r="C679" t="s">
        <v>12</v>
      </c>
      <c r="D679">
        <v>2.6014540647719766</v>
      </c>
      <c r="E679" t="s">
        <v>249</v>
      </c>
      <c r="F679">
        <v>46238</v>
      </c>
      <c r="G679" t="s">
        <v>149</v>
      </c>
      <c r="H679">
        <v>0</v>
      </c>
      <c r="I679">
        <v>0</v>
      </c>
      <c r="J679">
        <v>1.0512810543913533</v>
      </c>
      <c r="K679">
        <v>1.0512810543913533</v>
      </c>
      <c r="L679">
        <v>1.5501730103806233</v>
      </c>
      <c r="M679" t="s">
        <v>126</v>
      </c>
      <c r="P679">
        <v>0</v>
      </c>
      <c r="Q679">
        <v>0</v>
      </c>
      <c r="R679">
        <v>0</v>
      </c>
      <c r="S679">
        <v>0</v>
      </c>
    </row>
    <row r="680" spans="1:19" x14ac:dyDescent="0.25">
      <c r="A680" s="1">
        <v>46238</v>
      </c>
      <c r="B680" t="s">
        <v>13</v>
      </c>
      <c r="C680" t="s">
        <v>11</v>
      </c>
      <c r="D680">
        <v>1.8426966292134832</v>
      </c>
      <c r="E680" t="s">
        <v>249</v>
      </c>
      <c r="F680">
        <v>46238</v>
      </c>
      <c r="G680" t="s">
        <v>149</v>
      </c>
      <c r="H680">
        <v>0</v>
      </c>
      <c r="I680">
        <v>0</v>
      </c>
      <c r="J680">
        <v>1.7799515311742675</v>
      </c>
      <c r="K680">
        <v>1.7799515311742675</v>
      </c>
      <c r="L680">
        <v>6.2745098039215685E-2</v>
      </c>
      <c r="M680" t="s">
        <v>126</v>
      </c>
      <c r="P680">
        <v>0</v>
      </c>
      <c r="Q680">
        <v>0</v>
      </c>
      <c r="R680">
        <v>0</v>
      </c>
      <c r="S680">
        <v>0</v>
      </c>
    </row>
    <row r="681" spans="1:19" x14ac:dyDescent="0.25">
      <c r="A681" s="1">
        <v>46238</v>
      </c>
      <c r="B681" t="s">
        <v>13</v>
      </c>
      <c r="C681" t="s">
        <v>10</v>
      </c>
      <c r="D681">
        <v>1.3820224719101126</v>
      </c>
      <c r="E681" t="s">
        <v>249</v>
      </c>
      <c r="F681">
        <v>46238</v>
      </c>
      <c r="G681" t="s">
        <v>149</v>
      </c>
      <c r="H681">
        <v>1.3835485413677655</v>
      </c>
      <c r="I681">
        <v>1.3835485413677655</v>
      </c>
      <c r="J681">
        <v>0</v>
      </c>
      <c r="K681">
        <v>0</v>
      </c>
      <c r="L681">
        <v>0</v>
      </c>
      <c r="M681" t="s">
        <v>126</v>
      </c>
      <c r="P681">
        <v>241.84428503108541</v>
      </c>
      <c r="Q681">
        <v>0</v>
      </c>
      <c r="R681">
        <v>0</v>
      </c>
      <c r="S681">
        <v>241.84428503108541</v>
      </c>
    </row>
    <row r="682" spans="1:19" x14ac:dyDescent="0.25">
      <c r="A682" s="1">
        <v>46239</v>
      </c>
      <c r="B682" t="s">
        <v>13</v>
      </c>
      <c r="C682" t="s">
        <v>11</v>
      </c>
      <c r="D682">
        <v>1.8426966292134832</v>
      </c>
      <c r="E682" t="s">
        <v>249</v>
      </c>
      <c r="F682">
        <v>46239</v>
      </c>
      <c r="G682" t="s">
        <v>149</v>
      </c>
      <c r="H682">
        <v>0</v>
      </c>
      <c r="I682">
        <v>0</v>
      </c>
      <c r="J682">
        <v>1.7799515311742675</v>
      </c>
      <c r="K682">
        <v>1.7799515311742675</v>
      </c>
      <c r="L682">
        <v>6.2745098039215685E-2</v>
      </c>
      <c r="M682" t="s">
        <v>127</v>
      </c>
      <c r="P682">
        <v>0</v>
      </c>
      <c r="Q682">
        <v>0</v>
      </c>
      <c r="R682">
        <v>0</v>
      </c>
      <c r="S682">
        <v>0</v>
      </c>
    </row>
    <row r="683" spans="1:19" x14ac:dyDescent="0.25">
      <c r="A683" s="1">
        <v>46239</v>
      </c>
      <c r="B683" t="s">
        <v>13</v>
      </c>
      <c r="C683" t="s">
        <v>12</v>
      </c>
      <c r="D683">
        <v>2.6014540647719762</v>
      </c>
      <c r="E683" t="s">
        <v>249</v>
      </c>
      <c r="F683">
        <v>46239</v>
      </c>
      <c r="G683" t="s">
        <v>149</v>
      </c>
      <c r="H683">
        <v>0</v>
      </c>
      <c r="I683">
        <v>0</v>
      </c>
      <c r="J683">
        <v>0.39011523059577202</v>
      </c>
      <c r="K683">
        <v>0.39011523059577202</v>
      </c>
      <c r="L683">
        <v>2.2113388341762041</v>
      </c>
      <c r="M683" t="s">
        <v>127</v>
      </c>
      <c r="P683">
        <v>0</v>
      </c>
      <c r="Q683">
        <v>0</v>
      </c>
      <c r="R683">
        <v>0</v>
      </c>
      <c r="S683">
        <v>0</v>
      </c>
    </row>
    <row r="684" spans="1:19" x14ac:dyDescent="0.25">
      <c r="A684" s="1">
        <v>46239</v>
      </c>
      <c r="B684" t="s">
        <v>13</v>
      </c>
      <c r="C684" t="s">
        <v>10</v>
      </c>
      <c r="D684">
        <v>2.7640449438202253</v>
      </c>
      <c r="E684" t="s">
        <v>249</v>
      </c>
      <c r="F684">
        <v>46239</v>
      </c>
      <c r="G684" t="s">
        <v>149</v>
      </c>
      <c r="H684">
        <v>0</v>
      </c>
      <c r="I684">
        <v>0</v>
      </c>
      <c r="J684">
        <v>0.42241598454420631</v>
      </c>
      <c r="K684">
        <v>0.42241598454420631</v>
      </c>
      <c r="L684">
        <v>2.3416289592760191</v>
      </c>
      <c r="M684" t="s">
        <v>127</v>
      </c>
      <c r="P684">
        <v>0</v>
      </c>
      <c r="Q684">
        <v>0</v>
      </c>
      <c r="R684">
        <v>0</v>
      </c>
      <c r="S684">
        <v>0</v>
      </c>
    </row>
    <row r="685" spans="1:19" x14ac:dyDescent="0.25">
      <c r="A685" s="1">
        <v>46240</v>
      </c>
      <c r="B685" t="s">
        <v>13</v>
      </c>
      <c r="C685" t="s">
        <v>11</v>
      </c>
      <c r="D685">
        <v>1.8426966292134832</v>
      </c>
      <c r="E685" t="s">
        <v>249</v>
      </c>
      <c r="F685">
        <v>46240</v>
      </c>
      <c r="G685" t="s">
        <v>149</v>
      </c>
      <c r="H685">
        <v>0</v>
      </c>
      <c r="I685">
        <v>0</v>
      </c>
      <c r="J685">
        <v>1.7799515311742675</v>
      </c>
      <c r="K685">
        <v>1.7799515311742675</v>
      </c>
      <c r="L685">
        <v>6.2745098039215685E-2</v>
      </c>
      <c r="M685" t="s">
        <v>128</v>
      </c>
      <c r="P685">
        <v>0</v>
      </c>
      <c r="Q685">
        <v>0</v>
      </c>
      <c r="R685">
        <v>0</v>
      </c>
      <c r="S685">
        <v>0</v>
      </c>
    </row>
    <row r="686" spans="1:19" x14ac:dyDescent="0.25">
      <c r="A686" s="1">
        <v>46240</v>
      </c>
      <c r="B686" t="s">
        <v>13</v>
      </c>
      <c r="C686" t="s">
        <v>10</v>
      </c>
      <c r="D686">
        <v>1.3820224719101126</v>
      </c>
      <c r="E686" t="s">
        <v>249</v>
      </c>
      <c r="F686">
        <v>46240</v>
      </c>
      <c r="G686" t="s">
        <v>149</v>
      </c>
      <c r="H686">
        <v>0.8195839311334292</v>
      </c>
      <c r="I686">
        <v>0.8195839311334292</v>
      </c>
      <c r="J686">
        <v>0</v>
      </c>
      <c r="K686">
        <v>0</v>
      </c>
      <c r="L686">
        <v>0</v>
      </c>
      <c r="M686" t="s">
        <v>128</v>
      </c>
      <c r="P686">
        <v>143.2632711621234</v>
      </c>
      <c r="Q686">
        <v>0</v>
      </c>
      <c r="R686">
        <v>0</v>
      </c>
      <c r="S686">
        <v>143.2632711621234</v>
      </c>
    </row>
    <row r="687" spans="1:19" x14ac:dyDescent="0.25">
      <c r="A687" s="1">
        <v>46240</v>
      </c>
      <c r="B687" t="s">
        <v>13</v>
      </c>
      <c r="C687" t="s">
        <v>12</v>
      </c>
      <c r="D687">
        <v>2.2762723066754793</v>
      </c>
      <c r="E687" t="s">
        <v>249</v>
      </c>
      <c r="F687">
        <v>46240</v>
      </c>
      <c r="G687" t="s">
        <v>149</v>
      </c>
      <c r="H687">
        <v>0</v>
      </c>
      <c r="I687">
        <v>0</v>
      </c>
      <c r="J687">
        <v>0.22782940010108507</v>
      </c>
      <c r="K687">
        <v>0.22782940010108507</v>
      </c>
      <c r="L687">
        <v>2.0484429065743943</v>
      </c>
      <c r="M687" t="s">
        <v>128</v>
      </c>
      <c r="P687">
        <v>0</v>
      </c>
      <c r="Q687">
        <v>0</v>
      </c>
      <c r="R687">
        <v>0</v>
      </c>
      <c r="S687">
        <v>0</v>
      </c>
    </row>
    <row r="688" spans="1:19" x14ac:dyDescent="0.25">
      <c r="A688" s="1">
        <v>46241</v>
      </c>
      <c r="B688" t="s">
        <v>13</v>
      </c>
      <c r="C688" t="s">
        <v>12</v>
      </c>
      <c r="D688">
        <v>2.2762723066754802</v>
      </c>
      <c r="E688" t="s">
        <v>249</v>
      </c>
      <c r="F688">
        <v>46241</v>
      </c>
      <c r="G688" t="s">
        <v>149</v>
      </c>
      <c r="H688">
        <v>0</v>
      </c>
      <c r="I688">
        <v>0</v>
      </c>
      <c r="J688">
        <v>6.3761129038541267E-3</v>
      </c>
      <c r="K688">
        <v>6.3761129038541267E-3</v>
      </c>
      <c r="L688">
        <v>2.269896193771626</v>
      </c>
      <c r="M688" t="s">
        <v>129</v>
      </c>
      <c r="P688">
        <v>0</v>
      </c>
      <c r="Q688">
        <v>0</v>
      </c>
      <c r="R688">
        <v>0</v>
      </c>
      <c r="S688">
        <v>0</v>
      </c>
    </row>
    <row r="689" spans="1:19" x14ac:dyDescent="0.25">
      <c r="A689" s="1">
        <v>46241</v>
      </c>
      <c r="B689" t="s">
        <v>13</v>
      </c>
      <c r="C689" t="s">
        <v>11</v>
      </c>
      <c r="D689">
        <v>1.8426966292134832</v>
      </c>
      <c r="E689" t="s">
        <v>249</v>
      </c>
      <c r="F689">
        <v>46241</v>
      </c>
      <c r="G689" t="s">
        <v>149</v>
      </c>
      <c r="H689">
        <v>0</v>
      </c>
      <c r="I689">
        <v>0</v>
      </c>
      <c r="J689">
        <v>1.7799515311742675</v>
      </c>
      <c r="K689">
        <v>1.7799515311742675</v>
      </c>
      <c r="L689">
        <v>6.2745098039215685E-2</v>
      </c>
      <c r="M689" t="s">
        <v>129</v>
      </c>
      <c r="P689">
        <v>0</v>
      </c>
      <c r="Q689">
        <v>0</v>
      </c>
      <c r="R689">
        <v>0</v>
      </c>
      <c r="S689">
        <v>0</v>
      </c>
    </row>
    <row r="690" spans="1:19" x14ac:dyDescent="0.25">
      <c r="A690" s="1">
        <v>46241</v>
      </c>
      <c r="B690" t="s">
        <v>13</v>
      </c>
      <c r="C690" t="s">
        <v>10</v>
      </c>
      <c r="D690">
        <v>5.5280898876404505</v>
      </c>
      <c r="E690" t="s">
        <v>249</v>
      </c>
      <c r="F690">
        <v>46241</v>
      </c>
      <c r="G690" t="s">
        <v>149</v>
      </c>
      <c r="H690">
        <v>0</v>
      </c>
      <c r="I690">
        <v>0</v>
      </c>
      <c r="J690">
        <v>1.4986781229345698</v>
      </c>
      <c r="K690">
        <v>1.4986781229345698</v>
      </c>
      <c r="L690">
        <v>4.0294117647058805</v>
      </c>
      <c r="M690" t="s">
        <v>129</v>
      </c>
      <c r="P690">
        <v>0</v>
      </c>
      <c r="Q690">
        <v>0</v>
      </c>
      <c r="R690">
        <v>0</v>
      </c>
      <c r="S690">
        <v>0</v>
      </c>
    </row>
    <row r="691" spans="1:19" x14ac:dyDescent="0.25">
      <c r="A691" s="1">
        <v>46242</v>
      </c>
      <c r="B691" t="s">
        <v>13</v>
      </c>
      <c r="C691" t="s">
        <v>12</v>
      </c>
      <c r="D691">
        <v>2.6014540647719766</v>
      </c>
      <c r="E691" t="s">
        <v>249</v>
      </c>
      <c r="F691">
        <v>46242</v>
      </c>
      <c r="G691" t="s">
        <v>149</v>
      </c>
      <c r="H691">
        <v>0</v>
      </c>
      <c r="I691">
        <v>0</v>
      </c>
      <c r="J691">
        <v>0.6775786322460251</v>
      </c>
      <c r="K691">
        <v>0.6775786322460251</v>
      </c>
      <c r="L691">
        <v>1.9238754325259515</v>
      </c>
      <c r="M691" t="s">
        <v>119</v>
      </c>
      <c r="P691">
        <v>0</v>
      </c>
      <c r="Q691">
        <v>0</v>
      </c>
      <c r="R691">
        <v>0</v>
      </c>
      <c r="S691">
        <v>0</v>
      </c>
    </row>
    <row r="692" spans="1:19" x14ac:dyDescent="0.25">
      <c r="A692" s="1">
        <v>46242</v>
      </c>
      <c r="B692" t="s">
        <v>13</v>
      </c>
      <c r="C692" t="s">
        <v>11</v>
      </c>
      <c r="D692">
        <v>1.8426966292134832</v>
      </c>
      <c r="E692" t="s">
        <v>249</v>
      </c>
      <c r="F692">
        <v>46242</v>
      </c>
      <c r="G692" t="s">
        <v>149</v>
      </c>
      <c r="H692">
        <v>0</v>
      </c>
      <c r="I692">
        <v>0</v>
      </c>
      <c r="J692">
        <v>1.7799515311742675</v>
      </c>
      <c r="K692">
        <v>1.7799515311742675</v>
      </c>
      <c r="L692">
        <v>6.2745098039215685E-2</v>
      </c>
      <c r="M692" t="s">
        <v>119</v>
      </c>
      <c r="P692">
        <v>0</v>
      </c>
      <c r="Q692">
        <v>0</v>
      </c>
      <c r="R692">
        <v>0</v>
      </c>
      <c r="S692">
        <v>0</v>
      </c>
    </row>
    <row r="693" spans="1:19" x14ac:dyDescent="0.25">
      <c r="A693" s="1">
        <v>46242</v>
      </c>
      <c r="B693" t="s">
        <v>13</v>
      </c>
      <c r="C693" t="s">
        <v>10</v>
      </c>
      <c r="D693">
        <v>1.3820224719101126</v>
      </c>
      <c r="E693" t="s">
        <v>249</v>
      </c>
      <c r="F693">
        <v>46242</v>
      </c>
      <c r="G693" t="s">
        <v>149</v>
      </c>
      <c r="H693">
        <v>0.1917742706838832</v>
      </c>
      <c r="I693">
        <v>0.1917742706838832</v>
      </c>
      <c r="J693">
        <v>0</v>
      </c>
      <c r="K693">
        <v>0</v>
      </c>
      <c r="L693">
        <v>0</v>
      </c>
      <c r="M693" t="s">
        <v>119</v>
      </c>
      <c r="P693">
        <v>33.522142515542782</v>
      </c>
      <c r="Q693">
        <v>0</v>
      </c>
      <c r="R693">
        <v>0</v>
      </c>
      <c r="S693">
        <v>33.522142515542782</v>
      </c>
    </row>
    <row r="694" spans="1:19" x14ac:dyDescent="0.25">
      <c r="A694" s="1">
        <v>46243</v>
      </c>
      <c r="B694" t="s">
        <v>13</v>
      </c>
      <c r="C694" t="s">
        <v>10</v>
      </c>
      <c r="D694">
        <v>1.3820224719101126</v>
      </c>
      <c r="E694" t="s">
        <v>249</v>
      </c>
      <c r="F694">
        <v>46243</v>
      </c>
      <c r="G694" t="s">
        <v>149</v>
      </c>
      <c r="H694">
        <v>0.22369679579148727</v>
      </c>
      <c r="I694">
        <v>0.22369679579148727</v>
      </c>
      <c r="J694">
        <v>0</v>
      </c>
      <c r="K694">
        <v>0</v>
      </c>
      <c r="L694">
        <v>0</v>
      </c>
      <c r="M694" t="s">
        <v>120</v>
      </c>
      <c r="P694">
        <v>39.10219990435197</v>
      </c>
      <c r="Q694">
        <v>0</v>
      </c>
      <c r="R694">
        <v>0</v>
      </c>
      <c r="S694">
        <v>39.10219990435197</v>
      </c>
    </row>
    <row r="695" spans="1:19" x14ac:dyDescent="0.25">
      <c r="A695" s="1">
        <v>46243</v>
      </c>
      <c r="B695" t="s">
        <v>13</v>
      </c>
      <c r="C695" t="s">
        <v>11</v>
      </c>
      <c r="D695">
        <v>1.8426966292134832</v>
      </c>
      <c r="E695" t="s">
        <v>249</v>
      </c>
      <c r="F695">
        <v>46243</v>
      </c>
      <c r="G695" t="s">
        <v>149</v>
      </c>
      <c r="H695">
        <v>0</v>
      </c>
      <c r="I695">
        <v>0</v>
      </c>
      <c r="J695">
        <v>1.7799515311742675</v>
      </c>
      <c r="K695">
        <v>1.7799515311742675</v>
      </c>
      <c r="L695">
        <v>6.2745098039215685E-2</v>
      </c>
      <c r="M695" t="s">
        <v>120</v>
      </c>
      <c r="P695">
        <v>0</v>
      </c>
      <c r="Q695">
        <v>0</v>
      </c>
      <c r="R695">
        <v>0</v>
      </c>
      <c r="S695">
        <v>0</v>
      </c>
    </row>
    <row r="696" spans="1:19" x14ac:dyDescent="0.25">
      <c r="A696" s="1">
        <v>46243</v>
      </c>
      <c r="B696" t="s">
        <v>13</v>
      </c>
      <c r="C696" t="s">
        <v>12</v>
      </c>
      <c r="D696">
        <v>2.6014540647719766</v>
      </c>
      <c r="E696" t="s">
        <v>249</v>
      </c>
      <c r="F696">
        <v>46243</v>
      </c>
      <c r="G696" t="s">
        <v>149</v>
      </c>
      <c r="H696">
        <v>0</v>
      </c>
      <c r="I696">
        <v>0</v>
      </c>
      <c r="J696">
        <v>0.7191011235955056</v>
      </c>
      <c r="K696">
        <v>0.7191011235955056</v>
      </c>
      <c r="L696">
        <v>1.882352941176471</v>
      </c>
      <c r="M696" t="s">
        <v>120</v>
      </c>
      <c r="P696">
        <v>0</v>
      </c>
      <c r="Q696">
        <v>0</v>
      </c>
      <c r="R696">
        <v>0</v>
      </c>
      <c r="S696">
        <v>0</v>
      </c>
    </row>
    <row r="697" spans="1:19" x14ac:dyDescent="0.25">
      <c r="A697" s="1">
        <v>46244</v>
      </c>
      <c r="B697" t="s">
        <v>13</v>
      </c>
      <c r="C697" t="s">
        <v>10</v>
      </c>
      <c r="D697">
        <v>1.0365168539325842</v>
      </c>
      <c r="E697" t="s">
        <v>249</v>
      </c>
      <c r="F697">
        <v>46244</v>
      </c>
      <c r="G697" t="s">
        <v>149</v>
      </c>
      <c r="H697">
        <v>2.1071257771401237</v>
      </c>
      <c r="I697">
        <v>2.1071257771401237</v>
      </c>
      <c r="J697">
        <v>0</v>
      </c>
      <c r="K697">
        <v>0</v>
      </c>
      <c r="L697">
        <v>0</v>
      </c>
      <c r="M697" t="s">
        <v>125</v>
      </c>
      <c r="P697">
        <v>368.32558584409361</v>
      </c>
      <c r="Q697">
        <v>0</v>
      </c>
      <c r="R697">
        <v>0</v>
      </c>
      <c r="S697">
        <v>368.32558584409361</v>
      </c>
    </row>
    <row r="698" spans="1:19" x14ac:dyDescent="0.25">
      <c r="A698" s="1">
        <v>46244</v>
      </c>
      <c r="B698" t="s">
        <v>13</v>
      </c>
      <c r="C698" t="s">
        <v>11</v>
      </c>
      <c r="D698">
        <v>1.8426966292134832</v>
      </c>
      <c r="E698" t="s">
        <v>249</v>
      </c>
      <c r="F698">
        <v>46244</v>
      </c>
      <c r="G698" t="s">
        <v>149</v>
      </c>
      <c r="H698">
        <v>0</v>
      </c>
      <c r="I698">
        <v>0</v>
      </c>
      <c r="J698">
        <v>1.7799515311742675</v>
      </c>
      <c r="K698">
        <v>1.7799515311742675</v>
      </c>
      <c r="L698">
        <v>6.2745098039215685E-2</v>
      </c>
      <c r="M698" t="s">
        <v>125</v>
      </c>
      <c r="P698">
        <v>0</v>
      </c>
      <c r="Q698">
        <v>0</v>
      </c>
      <c r="R698">
        <v>0</v>
      </c>
      <c r="S698">
        <v>0</v>
      </c>
    </row>
    <row r="699" spans="1:19" x14ac:dyDescent="0.25">
      <c r="A699" s="1">
        <v>46244</v>
      </c>
      <c r="B699" t="s">
        <v>13</v>
      </c>
      <c r="C699" t="s">
        <v>12</v>
      </c>
      <c r="D699">
        <v>2.6014540647719766</v>
      </c>
      <c r="E699" t="s">
        <v>249</v>
      </c>
      <c r="F699">
        <v>46244</v>
      </c>
      <c r="G699" t="s">
        <v>149</v>
      </c>
      <c r="H699">
        <v>0</v>
      </c>
      <c r="I699">
        <v>0</v>
      </c>
      <c r="J699">
        <v>1.2173710197892778</v>
      </c>
      <c r="K699">
        <v>1.2173710197892778</v>
      </c>
      <c r="L699">
        <v>1.3840830449826989</v>
      </c>
      <c r="M699" t="s">
        <v>125</v>
      </c>
      <c r="P699">
        <v>0</v>
      </c>
      <c r="Q699">
        <v>0</v>
      </c>
      <c r="R699">
        <v>0</v>
      </c>
      <c r="S699">
        <v>0</v>
      </c>
    </row>
    <row r="700" spans="1:19" x14ac:dyDescent="0.25">
      <c r="A700" s="1">
        <v>46245</v>
      </c>
      <c r="B700" t="s">
        <v>13</v>
      </c>
      <c r="C700" t="s">
        <v>12</v>
      </c>
      <c r="D700">
        <v>2.6014540647719762</v>
      </c>
      <c r="E700" t="s">
        <v>249</v>
      </c>
      <c r="F700">
        <v>46245</v>
      </c>
      <c r="G700" t="s">
        <v>149</v>
      </c>
      <c r="H700">
        <v>0</v>
      </c>
      <c r="I700">
        <v>0</v>
      </c>
      <c r="J700">
        <v>1.3834609851872013</v>
      </c>
      <c r="K700">
        <v>1.3834609851872013</v>
      </c>
      <c r="L700">
        <v>1.2179930795847749</v>
      </c>
      <c r="M700" t="s">
        <v>126</v>
      </c>
      <c r="P700">
        <v>0</v>
      </c>
      <c r="Q700">
        <v>0</v>
      </c>
      <c r="R700">
        <v>0</v>
      </c>
      <c r="S700">
        <v>0</v>
      </c>
    </row>
    <row r="701" spans="1:19" x14ac:dyDescent="0.25">
      <c r="A701" s="1">
        <v>46245</v>
      </c>
      <c r="B701" t="s">
        <v>13</v>
      </c>
      <c r="C701" t="s">
        <v>11</v>
      </c>
      <c r="D701">
        <v>1.8426966292134832</v>
      </c>
      <c r="E701" t="s">
        <v>249</v>
      </c>
      <c r="F701">
        <v>46245</v>
      </c>
      <c r="G701" t="s">
        <v>149</v>
      </c>
      <c r="H701">
        <v>0</v>
      </c>
      <c r="I701">
        <v>0</v>
      </c>
      <c r="J701">
        <v>1.7799515311742675</v>
      </c>
      <c r="K701">
        <v>1.7799515311742675</v>
      </c>
      <c r="L701">
        <v>6.2745098039215685E-2</v>
      </c>
      <c r="M701" t="s">
        <v>126</v>
      </c>
      <c r="P701">
        <v>0</v>
      </c>
      <c r="Q701">
        <v>0</v>
      </c>
      <c r="R701">
        <v>0</v>
      </c>
      <c r="S701">
        <v>0</v>
      </c>
    </row>
    <row r="702" spans="1:19" x14ac:dyDescent="0.25">
      <c r="A702" s="1">
        <v>46245</v>
      </c>
      <c r="B702" t="s">
        <v>13</v>
      </c>
      <c r="C702" t="s">
        <v>10</v>
      </c>
      <c r="D702">
        <v>1.3820224719101126</v>
      </c>
      <c r="E702" t="s">
        <v>249</v>
      </c>
      <c r="F702">
        <v>46245</v>
      </c>
      <c r="G702" t="s">
        <v>149</v>
      </c>
      <c r="H702">
        <v>1.2771401243424192</v>
      </c>
      <c r="I702">
        <v>1.2771401243424192</v>
      </c>
      <c r="J702">
        <v>0</v>
      </c>
      <c r="K702">
        <v>0</v>
      </c>
      <c r="L702">
        <v>0</v>
      </c>
      <c r="M702" t="s">
        <v>126</v>
      </c>
      <c r="P702">
        <v>223.24409373505486</v>
      </c>
      <c r="Q702">
        <v>0</v>
      </c>
      <c r="R702">
        <v>0</v>
      </c>
      <c r="S702">
        <v>223.24409373505486</v>
      </c>
    </row>
    <row r="703" spans="1:19" x14ac:dyDescent="0.25">
      <c r="A703" s="1">
        <v>46246</v>
      </c>
      <c r="B703" t="s">
        <v>13</v>
      </c>
      <c r="C703" t="s">
        <v>10</v>
      </c>
      <c r="D703">
        <v>2.7640449438202253</v>
      </c>
      <c r="E703" t="s">
        <v>249</v>
      </c>
      <c r="F703">
        <v>46246</v>
      </c>
      <c r="G703" t="s">
        <v>149</v>
      </c>
      <c r="H703">
        <v>0.16517216642754606</v>
      </c>
      <c r="I703">
        <v>0.16517216642754606</v>
      </c>
      <c r="J703">
        <v>0</v>
      </c>
      <c r="K703">
        <v>0</v>
      </c>
      <c r="L703">
        <v>0</v>
      </c>
      <c r="M703" t="s">
        <v>127</v>
      </c>
      <c r="P703">
        <v>28.87209469153505</v>
      </c>
      <c r="Q703">
        <v>0</v>
      </c>
      <c r="R703">
        <v>0</v>
      </c>
      <c r="S703">
        <v>28.87209469153505</v>
      </c>
    </row>
    <row r="704" spans="1:19" x14ac:dyDescent="0.25">
      <c r="A704" s="1">
        <v>46246</v>
      </c>
      <c r="B704" t="s">
        <v>13</v>
      </c>
      <c r="C704" t="s">
        <v>11</v>
      </c>
      <c r="D704">
        <v>1.8426966292134832</v>
      </c>
      <c r="E704" t="s">
        <v>249</v>
      </c>
      <c r="F704">
        <v>46246</v>
      </c>
      <c r="G704" t="s">
        <v>149</v>
      </c>
      <c r="H704">
        <v>0</v>
      </c>
      <c r="I704">
        <v>0</v>
      </c>
      <c r="J704">
        <v>1.7799515311742675</v>
      </c>
      <c r="K704">
        <v>1.7799515311742675</v>
      </c>
      <c r="L704">
        <v>6.2745098039215685E-2</v>
      </c>
      <c r="M704" t="s">
        <v>127</v>
      </c>
      <c r="P704">
        <v>0</v>
      </c>
      <c r="Q704">
        <v>0</v>
      </c>
      <c r="R704">
        <v>0</v>
      </c>
      <c r="S704">
        <v>0</v>
      </c>
    </row>
    <row r="705" spans="1:19" x14ac:dyDescent="0.25">
      <c r="A705" s="1">
        <v>46246</v>
      </c>
      <c r="B705" t="s">
        <v>13</v>
      </c>
      <c r="C705" t="s">
        <v>12</v>
      </c>
      <c r="D705">
        <v>2.2762723066754802</v>
      </c>
      <c r="E705" t="s">
        <v>249</v>
      </c>
      <c r="F705">
        <v>46246</v>
      </c>
      <c r="G705" t="s">
        <v>149</v>
      </c>
      <c r="H705">
        <v>0</v>
      </c>
      <c r="I705">
        <v>0</v>
      </c>
      <c r="J705">
        <v>0.89218926169278157</v>
      </c>
      <c r="K705">
        <v>0.89218926169278157</v>
      </c>
      <c r="L705">
        <v>1.3840830449826986</v>
      </c>
      <c r="M705" t="s">
        <v>127</v>
      </c>
      <c r="P705">
        <v>0</v>
      </c>
      <c r="Q705">
        <v>0</v>
      </c>
      <c r="R705">
        <v>0</v>
      </c>
      <c r="S705">
        <v>0</v>
      </c>
    </row>
    <row r="706" spans="1:19" x14ac:dyDescent="0.25">
      <c r="A706" s="1">
        <v>46247</v>
      </c>
      <c r="B706" t="s">
        <v>13</v>
      </c>
      <c r="C706" t="s">
        <v>12</v>
      </c>
      <c r="D706">
        <v>2.2762723066754802</v>
      </c>
      <c r="E706" t="s">
        <v>249</v>
      </c>
      <c r="F706">
        <v>46247</v>
      </c>
      <c r="G706" t="s">
        <v>149</v>
      </c>
      <c r="H706">
        <v>0.33770581403292965</v>
      </c>
      <c r="I706">
        <v>0.33770581403292965</v>
      </c>
      <c r="J706">
        <v>0</v>
      </c>
      <c r="K706">
        <v>0</v>
      </c>
      <c r="L706">
        <v>0</v>
      </c>
      <c r="M706" t="s">
        <v>128</v>
      </c>
      <c r="P706">
        <v>59.030976292956097</v>
      </c>
      <c r="Q706">
        <v>0</v>
      </c>
      <c r="R706">
        <v>0</v>
      </c>
      <c r="S706">
        <v>59.030976292956097</v>
      </c>
    </row>
    <row r="707" spans="1:19" x14ac:dyDescent="0.25">
      <c r="A707" s="1">
        <v>46247</v>
      </c>
      <c r="B707" t="s">
        <v>13</v>
      </c>
      <c r="C707" t="s">
        <v>11</v>
      </c>
      <c r="D707">
        <v>1.8426966292134832</v>
      </c>
      <c r="E707" t="s">
        <v>249</v>
      </c>
      <c r="F707">
        <v>46247</v>
      </c>
      <c r="G707" t="s">
        <v>149</v>
      </c>
      <c r="H707">
        <v>0</v>
      </c>
      <c r="I707">
        <v>0</v>
      </c>
      <c r="J707">
        <v>1.7799515311742675</v>
      </c>
      <c r="K707">
        <v>1.7799515311742675</v>
      </c>
      <c r="L707">
        <v>6.2745098039215685E-2</v>
      </c>
      <c r="M707" t="s">
        <v>128</v>
      </c>
      <c r="P707">
        <v>0</v>
      </c>
      <c r="Q707">
        <v>0</v>
      </c>
      <c r="R707">
        <v>0</v>
      </c>
      <c r="S707">
        <v>0</v>
      </c>
    </row>
    <row r="708" spans="1:19" x14ac:dyDescent="0.25">
      <c r="A708" s="1">
        <v>46247</v>
      </c>
      <c r="B708" t="s">
        <v>13</v>
      </c>
      <c r="C708" t="s">
        <v>10</v>
      </c>
      <c r="D708">
        <v>2.7640449438202253</v>
      </c>
      <c r="E708" t="s">
        <v>249</v>
      </c>
      <c r="F708">
        <v>46247</v>
      </c>
      <c r="G708" t="s">
        <v>149</v>
      </c>
      <c r="H708">
        <v>0</v>
      </c>
      <c r="I708">
        <v>0</v>
      </c>
      <c r="J708">
        <v>5.8162590879047835E-2</v>
      </c>
      <c r="K708">
        <v>5.8162590879047835E-2</v>
      </c>
      <c r="L708">
        <v>2.7058823529411775</v>
      </c>
      <c r="M708" t="s">
        <v>128</v>
      </c>
      <c r="P708">
        <v>0</v>
      </c>
      <c r="Q708">
        <v>0</v>
      </c>
      <c r="R708">
        <v>0</v>
      </c>
      <c r="S708">
        <v>0</v>
      </c>
    </row>
    <row r="709" spans="1:19" x14ac:dyDescent="0.25">
      <c r="A709" s="1">
        <v>46248</v>
      </c>
      <c r="B709" t="s">
        <v>13</v>
      </c>
      <c r="C709" t="s">
        <v>12</v>
      </c>
      <c r="D709">
        <v>2.6014540647719762</v>
      </c>
      <c r="E709" t="s">
        <v>249</v>
      </c>
      <c r="F709">
        <v>46248</v>
      </c>
      <c r="G709" t="s">
        <v>149</v>
      </c>
      <c r="H709">
        <v>0.19177427068388297</v>
      </c>
      <c r="I709">
        <v>0.19177427068388297</v>
      </c>
      <c r="J709">
        <v>0</v>
      </c>
      <c r="K709">
        <v>0</v>
      </c>
      <c r="L709">
        <v>0</v>
      </c>
      <c r="M709" t="s">
        <v>129</v>
      </c>
      <c r="P709">
        <v>33.52214251554274</v>
      </c>
      <c r="Q709">
        <v>0</v>
      </c>
      <c r="R709">
        <v>0</v>
      </c>
      <c r="S709">
        <v>33.52214251554274</v>
      </c>
    </row>
    <row r="710" spans="1:19" x14ac:dyDescent="0.25">
      <c r="A710" s="1">
        <v>46248</v>
      </c>
      <c r="B710" t="s">
        <v>13</v>
      </c>
      <c r="C710" t="s">
        <v>11</v>
      </c>
      <c r="D710">
        <v>1.8426966292134832</v>
      </c>
      <c r="E710" t="s">
        <v>249</v>
      </c>
      <c r="F710">
        <v>46248</v>
      </c>
      <c r="G710" t="s">
        <v>149</v>
      </c>
      <c r="H710">
        <v>0</v>
      </c>
      <c r="I710">
        <v>0</v>
      </c>
      <c r="J710">
        <v>1.7799515311742675</v>
      </c>
      <c r="K710">
        <v>1.7799515311742675</v>
      </c>
      <c r="L710">
        <v>6.2745098039215685E-2</v>
      </c>
      <c r="M710" t="s">
        <v>129</v>
      </c>
      <c r="P710">
        <v>0</v>
      </c>
      <c r="Q710">
        <v>0</v>
      </c>
      <c r="R710">
        <v>0</v>
      </c>
      <c r="S710">
        <v>0</v>
      </c>
    </row>
    <row r="711" spans="1:19" x14ac:dyDescent="0.25">
      <c r="A711" s="1">
        <v>46248</v>
      </c>
      <c r="B711" t="s">
        <v>13</v>
      </c>
      <c r="C711" t="s">
        <v>10</v>
      </c>
      <c r="D711">
        <v>5.1825842696629225</v>
      </c>
      <c r="E711" t="s">
        <v>249</v>
      </c>
      <c r="F711">
        <v>46248</v>
      </c>
      <c r="G711" t="s">
        <v>149</v>
      </c>
      <c r="H711">
        <v>0</v>
      </c>
      <c r="I711">
        <v>0</v>
      </c>
      <c r="J711">
        <v>1.7855254461335115</v>
      </c>
      <c r="K711">
        <v>1.7855254461335115</v>
      </c>
      <c r="L711">
        <v>3.3970588235294108</v>
      </c>
      <c r="M711" t="s">
        <v>129</v>
      </c>
      <c r="P711">
        <v>0</v>
      </c>
      <c r="Q711">
        <v>0</v>
      </c>
      <c r="R711">
        <v>0</v>
      </c>
      <c r="S711">
        <v>0</v>
      </c>
    </row>
    <row r="712" spans="1:19" x14ac:dyDescent="0.25">
      <c r="A712" s="1">
        <v>46249</v>
      </c>
      <c r="B712" t="s">
        <v>13</v>
      </c>
      <c r="C712" t="s">
        <v>12</v>
      </c>
      <c r="D712">
        <v>2.2762723066754802</v>
      </c>
      <c r="E712" t="s">
        <v>249</v>
      </c>
      <c r="F712">
        <v>46249</v>
      </c>
      <c r="G712" t="s">
        <v>149</v>
      </c>
      <c r="H712">
        <v>0</v>
      </c>
      <c r="I712">
        <v>0</v>
      </c>
      <c r="J712">
        <v>0.39391936549900908</v>
      </c>
      <c r="K712">
        <v>0.39391936549900908</v>
      </c>
      <c r="L712">
        <v>1.8823529411764712</v>
      </c>
      <c r="M712" t="s">
        <v>119</v>
      </c>
      <c r="P712">
        <v>0</v>
      </c>
      <c r="Q712">
        <v>0</v>
      </c>
      <c r="R712">
        <v>0</v>
      </c>
      <c r="S712">
        <v>0</v>
      </c>
    </row>
    <row r="713" spans="1:19" x14ac:dyDescent="0.25">
      <c r="A713" s="1">
        <v>46249</v>
      </c>
      <c r="B713" t="s">
        <v>13</v>
      </c>
      <c r="C713" t="s">
        <v>10</v>
      </c>
      <c r="D713">
        <v>1.3820224719101126</v>
      </c>
      <c r="E713" t="s">
        <v>249</v>
      </c>
      <c r="F713">
        <v>46249</v>
      </c>
      <c r="G713" t="s">
        <v>149</v>
      </c>
      <c r="H713">
        <v>0.22369679579148727</v>
      </c>
      <c r="I713">
        <v>0.22369679579148727</v>
      </c>
      <c r="J713">
        <v>0</v>
      </c>
      <c r="K713">
        <v>0</v>
      </c>
      <c r="L713">
        <v>0</v>
      </c>
      <c r="M713" t="s">
        <v>119</v>
      </c>
      <c r="P713">
        <v>39.10219990435197</v>
      </c>
      <c r="Q713">
        <v>0</v>
      </c>
      <c r="R713">
        <v>0</v>
      </c>
      <c r="S713">
        <v>39.10219990435197</v>
      </c>
    </row>
    <row r="714" spans="1:19" x14ac:dyDescent="0.25">
      <c r="A714" s="1">
        <v>46249</v>
      </c>
      <c r="B714" t="s">
        <v>13</v>
      </c>
      <c r="C714" t="s">
        <v>11</v>
      </c>
      <c r="D714">
        <v>1.8426966292134832</v>
      </c>
      <c r="E714" t="s">
        <v>249</v>
      </c>
      <c r="F714">
        <v>46249</v>
      </c>
      <c r="G714" t="s">
        <v>149</v>
      </c>
      <c r="H714">
        <v>0</v>
      </c>
      <c r="I714">
        <v>0</v>
      </c>
      <c r="J714">
        <v>1.7799515311742675</v>
      </c>
      <c r="K714">
        <v>1.7799515311742675</v>
      </c>
      <c r="L714">
        <v>6.2745098039215685E-2</v>
      </c>
      <c r="M714" t="s">
        <v>119</v>
      </c>
      <c r="P714">
        <v>0</v>
      </c>
      <c r="Q714">
        <v>0</v>
      </c>
      <c r="R714">
        <v>0</v>
      </c>
      <c r="S714">
        <v>0</v>
      </c>
    </row>
    <row r="715" spans="1:19" x14ac:dyDescent="0.25">
      <c r="A715" s="1">
        <v>46250</v>
      </c>
      <c r="B715" t="s">
        <v>13</v>
      </c>
      <c r="C715" t="s">
        <v>10</v>
      </c>
      <c r="D715">
        <v>1.3820224719101126</v>
      </c>
      <c r="E715" t="s">
        <v>249</v>
      </c>
      <c r="F715">
        <v>46250</v>
      </c>
      <c r="G715" t="s">
        <v>149</v>
      </c>
      <c r="H715">
        <v>0.27690100430416065</v>
      </c>
      <c r="I715">
        <v>0.27690100430416065</v>
      </c>
      <c r="J715">
        <v>0</v>
      </c>
      <c r="K715">
        <v>0</v>
      </c>
      <c r="L715">
        <v>0</v>
      </c>
      <c r="M715" t="s">
        <v>120</v>
      </c>
      <c r="P715">
        <v>48.402295552367278</v>
      </c>
      <c r="Q715">
        <v>0</v>
      </c>
      <c r="R715">
        <v>0</v>
      </c>
      <c r="S715">
        <v>48.402295552367278</v>
      </c>
    </row>
    <row r="716" spans="1:19" x14ac:dyDescent="0.25">
      <c r="A716" s="1">
        <v>46250</v>
      </c>
      <c r="B716" t="s">
        <v>13</v>
      </c>
      <c r="C716" t="s">
        <v>11</v>
      </c>
      <c r="D716">
        <v>1.8426966292134832</v>
      </c>
      <c r="E716" t="s">
        <v>249</v>
      </c>
      <c r="F716">
        <v>46250</v>
      </c>
      <c r="G716" t="s">
        <v>149</v>
      </c>
      <c r="H716">
        <v>0</v>
      </c>
      <c r="I716">
        <v>0</v>
      </c>
      <c r="J716">
        <v>1.7799515311742675</v>
      </c>
      <c r="K716">
        <v>1.7799515311742675</v>
      </c>
      <c r="L716">
        <v>6.2745098039215685E-2</v>
      </c>
      <c r="M716" t="s">
        <v>120</v>
      </c>
      <c r="P716">
        <v>0</v>
      </c>
      <c r="Q716">
        <v>0</v>
      </c>
      <c r="R716">
        <v>0</v>
      </c>
      <c r="S716">
        <v>0</v>
      </c>
    </row>
    <row r="717" spans="1:19" x14ac:dyDescent="0.25">
      <c r="A717" s="1">
        <v>46250</v>
      </c>
      <c r="B717" t="s">
        <v>13</v>
      </c>
      <c r="C717" t="s">
        <v>12</v>
      </c>
      <c r="D717">
        <v>2.6014540647719766</v>
      </c>
      <c r="E717" t="s">
        <v>249</v>
      </c>
      <c r="F717">
        <v>46250</v>
      </c>
      <c r="G717" t="s">
        <v>149</v>
      </c>
      <c r="H717">
        <v>0</v>
      </c>
      <c r="I717">
        <v>0</v>
      </c>
      <c r="J717">
        <v>0.55301115819758173</v>
      </c>
      <c r="K717">
        <v>0.55301115819758173</v>
      </c>
      <c r="L717">
        <v>2.0484429065743948</v>
      </c>
      <c r="M717" t="s">
        <v>120</v>
      </c>
      <c r="P717">
        <v>0</v>
      </c>
      <c r="Q717">
        <v>0</v>
      </c>
      <c r="R717">
        <v>0</v>
      </c>
      <c r="S717">
        <v>0</v>
      </c>
    </row>
  </sheetData>
  <phoneticPr fontId="24"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6EB5D-AEED-4544-A212-AE83FDC8F042}">
  <dimension ref="A1:D4"/>
  <sheetViews>
    <sheetView workbookViewId="0">
      <selection activeCell="B2" sqref="B2:B3"/>
    </sheetView>
  </sheetViews>
  <sheetFormatPr defaultRowHeight="15" x14ac:dyDescent="0.25"/>
  <cols>
    <col min="1" max="1" width="9.5703125" bestFit="1" customWidth="1"/>
    <col min="2" max="2" width="12" bestFit="1" customWidth="1"/>
    <col min="3" max="3" width="9.5703125" bestFit="1" customWidth="1"/>
    <col min="4" max="4" width="21.5703125" customWidth="1"/>
    <col min="5" max="5" width="9.5703125" bestFit="1" customWidth="1"/>
    <col min="6" max="6" width="10.140625" bestFit="1" customWidth="1"/>
    <col min="7" max="7" width="21.5703125" bestFit="1" customWidth="1"/>
  </cols>
  <sheetData>
    <row r="1" spans="1:4" x14ac:dyDescent="0.25">
      <c r="A1" t="s">
        <v>135</v>
      </c>
      <c r="B1" t="s">
        <v>151</v>
      </c>
      <c r="D1" t="s">
        <v>152</v>
      </c>
    </row>
    <row r="2" spans="1:4" x14ac:dyDescent="0.25">
      <c r="A2" t="s">
        <v>245</v>
      </c>
      <c r="B2">
        <v>341080.85355943831</v>
      </c>
      <c r="D2">
        <f>Table_CostPerDay[[#This Row],[Count]]/99/14</f>
        <v>246.09008193321668</v>
      </c>
    </row>
    <row r="3" spans="1:4" x14ac:dyDescent="0.25">
      <c r="A3" t="s">
        <v>246</v>
      </c>
      <c r="B3">
        <v>46438.170286171582</v>
      </c>
      <c r="D3">
        <f>Table_CostPerDay[[#This Row],[Count]]/114/14</f>
        <v>29.096597923666405</v>
      </c>
    </row>
    <row r="4" spans="1:4" x14ac:dyDescent="0.25">
      <c r="A4" t="s">
        <v>249</v>
      </c>
      <c r="B4">
        <v>14440.435041526269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60A27-B098-4B47-8455-8780C9FCCCB6}">
  <dimension ref="A1:B29"/>
  <sheetViews>
    <sheetView workbookViewId="0">
      <selection activeCell="A7" sqref="A7"/>
    </sheetView>
  </sheetViews>
  <sheetFormatPr defaultRowHeight="15" x14ac:dyDescent="0.25"/>
  <cols>
    <col min="1" max="1" width="10.7109375" bestFit="1" customWidth="1"/>
    <col min="2" max="2" width="12.85546875" bestFit="1" customWidth="1"/>
    <col min="3" max="3" width="12.140625" bestFit="1" customWidth="1"/>
  </cols>
  <sheetData>
    <row r="1" spans="1:2" x14ac:dyDescent="0.25">
      <c r="A1" t="s">
        <v>0</v>
      </c>
      <c r="B1" t="s">
        <v>146</v>
      </c>
    </row>
    <row r="2" spans="1:2" x14ac:dyDescent="0.25">
      <c r="A2" s="1">
        <v>46251</v>
      </c>
      <c r="B2">
        <v>5</v>
      </c>
    </row>
    <row r="3" spans="1:2" x14ac:dyDescent="0.25">
      <c r="A3" s="1">
        <v>46252</v>
      </c>
      <c r="B3">
        <v>5</v>
      </c>
    </row>
    <row r="4" spans="1:2" x14ac:dyDescent="0.25">
      <c r="A4" s="1">
        <v>46253</v>
      </c>
      <c r="B4">
        <v>5</v>
      </c>
    </row>
    <row r="5" spans="1:2" x14ac:dyDescent="0.25">
      <c r="A5" s="1">
        <v>46254</v>
      </c>
      <c r="B5">
        <v>5</v>
      </c>
    </row>
    <row r="6" spans="1:2" x14ac:dyDescent="0.25">
      <c r="A6" s="1">
        <v>46255</v>
      </c>
      <c r="B6">
        <v>5</v>
      </c>
    </row>
    <row r="7" spans="1:2" x14ac:dyDescent="0.25">
      <c r="A7" s="1">
        <v>46256</v>
      </c>
      <c r="B7">
        <v>5</v>
      </c>
    </row>
    <row r="8" spans="1:2" x14ac:dyDescent="0.25">
      <c r="A8" s="1">
        <v>46257</v>
      </c>
      <c r="B8">
        <v>5</v>
      </c>
    </row>
    <row r="9" spans="1:2" x14ac:dyDescent="0.25">
      <c r="A9" s="1">
        <v>46258</v>
      </c>
      <c r="B9">
        <v>5</v>
      </c>
    </row>
    <row r="10" spans="1:2" x14ac:dyDescent="0.25">
      <c r="A10" s="1">
        <v>46259</v>
      </c>
      <c r="B10">
        <v>5</v>
      </c>
    </row>
    <row r="11" spans="1:2" x14ac:dyDescent="0.25">
      <c r="A11" s="1">
        <v>46260</v>
      </c>
      <c r="B11">
        <v>5</v>
      </c>
    </row>
    <row r="12" spans="1:2" x14ac:dyDescent="0.25">
      <c r="A12" s="1">
        <v>46261</v>
      </c>
      <c r="B12">
        <v>5</v>
      </c>
    </row>
    <row r="13" spans="1:2" x14ac:dyDescent="0.25">
      <c r="A13" s="1">
        <v>46262</v>
      </c>
      <c r="B13">
        <v>5</v>
      </c>
    </row>
    <row r="14" spans="1:2" x14ac:dyDescent="0.25">
      <c r="A14" s="1">
        <v>46263</v>
      </c>
      <c r="B14">
        <v>5</v>
      </c>
    </row>
    <row r="15" spans="1:2" x14ac:dyDescent="0.25">
      <c r="A15" s="1">
        <v>46264</v>
      </c>
      <c r="B15">
        <v>5</v>
      </c>
    </row>
    <row r="16" spans="1:2" x14ac:dyDescent="0.25">
      <c r="A16" s="1">
        <v>46265</v>
      </c>
      <c r="B16">
        <v>5</v>
      </c>
    </row>
    <row r="17" spans="1:2" x14ac:dyDescent="0.25">
      <c r="A17" s="1">
        <v>46266</v>
      </c>
      <c r="B17">
        <v>5</v>
      </c>
    </row>
    <row r="18" spans="1:2" x14ac:dyDescent="0.25">
      <c r="A18" s="1">
        <v>46267</v>
      </c>
      <c r="B18">
        <v>5</v>
      </c>
    </row>
    <row r="19" spans="1:2" x14ac:dyDescent="0.25">
      <c r="A19" s="1">
        <v>46268</v>
      </c>
      <c r="B19">
        <v>5</v>
      </c>
    </row>
    <row r="20" spans="1:2" x14ac:dyDescent="0.25">
      <c r="A20" s="1">
        <v>46269</v>
      </c>
      <c r="B20">
        <v>5</v>
      </c>
    </row>
    <row r="21" spans="1:2" x14ac:dyDescent="0.25">
      <c r="A21" s="1">
        <v>46270</v>
      </c>
      <c r="B21">
        <v>5</v>
      </c>
    </row>
    <row r="22" spans="1:2" x14ac:dyDescent="0.25">
      <c r="A22" s="1">
        <v>46271</v>
      </c>
      <c r="B22">
        <v>5</v>
      </c>
    </row>
    <row r="23" spans="1:2" x14ac:dyDescent="0.25">
      <c r="A23" s="1">
        <v>46272</v>
      </c>
      <c r="B23">
        <v>5</v>
      </c>
    </row>
    <row r="24" spans="1:2" x14ac:dyDescent="0.25">
      <c r="A24" s="1">
        <v>46273</v>
      </c>
      <c r="B24">
        <v>5</v>
      </c>
    </row>
    <row r="25" spans="1:2" x14ac:dyDescent="0.25">
      <c r="A25" s="1">
        <v>46274</v>
      </c>
      <c r="B25">
        <v>5</v>
      </c>
    </row>
    <row r="26" spans="1:2" x14ac:dyDescent="0.25">
      <c r="A26" s="1">
        <v>46275</v>
      </c>
      <c r="B26">
        <v>5</v>
      </c>
    </row>
    <row r="27" spans="1:2" x14ac:dyDescent="0.25">
      <c r="A27" s="1">
        <v>46276</v>
      </c>
      <c r="B27">
        <v>5</v>
      </c>
    </row>
    <row r="28" spans="1:2" x14ac:dyDescent="0.25">
      <c r="A28" s="1">
        <v>46277</v>
      </c>
      <c r="B28">
        <v>5</v>
      </c>
    </row>
    <row r="29" spans="1:2" x14ac:dyDescent="0.25">
      <c r="A29" s="1">
        <v>46278</v>
      </c>
      <c r="B29">
        <v>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422B4-E148-444C-8DD7-D5F7FB73CC82}">
  <dimension ref="A1:C29"/>
  <sheetViews>
    <sheetView workbookViewId="0"/>
  </sheetViews>
  <sheetFormatPr defaultRowHeight="15" x14ac:dyDescent="0.25"/>
  <cols>
    <col min="1" max="1" width="10.7109375" bestFit="1" customWidth="1"/>
    <col min="2" max="2" width="9.5703125" bestFit="1" customWidth="1"/>
    <col min="3" max="3" width="12" bestFit="1" customWidth="1"/>
  </cols>
  <sheetData>
    <row r="1" spans="1:3" x14ac:dyDescent="0.25">
      <c r="A1" t="s">
        <v>0</v>
      </c>
      <c r="B1" t="s">
        <v>135</v>
      </c>
      <c r="C1" t="s">
        <v>147</v>
      </c>
    </row>
    <row r="2" spans="1:3" x14ac:dyDescent="0.25">
      <c r="A2" s="1">
        <v>45096</v>
      </c>
      <c r="B2" t="s">
        <v>136</v>
      </c>
      <c r="C2">
        <v>0</v>
      </c>
    </row>
    <row r="3" spans="1:3" x14ac:dyDescent="0.25">
      <c r="A3" s="1">
        <v>45096</v>
      </c>
      <c r="B3" t="s">
        <v>137</v>
      </c>
      <c r="C3">
        <v>88.586105045399108</v>
      </c>
    </row>
    <row r="4" spans="1:3" x14ac:dyDescent="0.25">
      <c r="A4" s="1">
        <v>45097</v>
      </c>
      <c r="B4" t="s">
        <v>136</v>
      </c>
      <c r="C4">
        <v>0</v>
      </c>
    </row>
    <row r="5" spans="1:3" x14ac:dyDescent="0.25">
      <c r="A5" s="1">
        <v>45097</v>
      </c>
      <c r="B5" t="s">
        <v>137</v>
      </c>
      <c r="C5">
        <v>0</v>
      </c>
    </row>
    <row r="6" spans="1:3" x14ac:dyDescent="0.25">
      <c r="A6" s="1">
        <v>45098</v>
      </c>
      <c r="B6" t="s">
        <v>136</v>
      </c>
      <c r="C6">
        <v>0</v>
      </c>
    </row>
    <row r="7" spans="1:3" x14ac:dyDescent="0.25">
      <c r="A7" s="1">
        <v>45098</v>
      </c>
      <c r="B7" t="s">
        <v>137</v>
      </c>
      <c r="C7">
        <v>429.95321369665459</v>
      </c>
    </row>
    <row r="8" spans="1:3" x14ac:dyDescent="0.25">
      <c r="A8" s="1">
        <v>45099</v>
      </c>
      <c r="B8" t="s">
        <v>136</v>
      </c>
      <c r="C8">
        <v>0</v>
      </c>
    </row>
    <row r="9" spans="1:3" x14ac:dyDescent="0.25">
      <c r="A9" s="1">
        <v>45099</v>
      </c>
      <c r="B9" t="s">
        <v>137</v>
      </c>
      <c r="C9">
        <v>406.20338811630847</v>
      </c>
    </row>
    <row r="10" spans="1:3" x14ac:dyDescent="0.25">
      <c r="A10" s="1">
        <v>45100</v>
      </c>
      <c r="B10" t="s">
        <v>136</v>
      </c>
      <c r="C10">
        <v>0</v>
      </c>
    </row>
    <row r="11" spans="1:3" x14ac:dyDescent="0.25">
      <c r="A11" s="1">
        <v>45100</v>
      </c>
      <c r="B11" t="s">
        <v>137</v>
      </c>
      <c r="C11">
        <v>1415.7949893818518</v>
      </c>
    </row>
    <row r="12" spans="1:3" x14ac:dyDescent="0.25">
      <c r="A12" s="1">
        <v>45101</v>
      </c>
      <c r="B12" t="s">
        <v>136</v>
      </c>
      <c r="C12">
        <v>0</v>
      </c>
    </row>
    <row r="13" spans="1:3" x14ac:dyDescent="0.25">
      <c r="A13" s="1">
        <v>45101</v>
      </c>
      <c r="B13" t="s">
        <v>137</v>
      </c>
      <c r="C13">
        <v>821.02389247983501</v>
      </c>
    </row>
    <row r="14" spans="1:3" x14ac:dyDescent="0.25">
      <c r="A14" s="1">
        <v>45102</v>
      </c>
      <c r="B14" t="s">
        <v>136</v>
      </c>
      <c r="C14">
        <v>0</v>
      </c>
    </row>
    <row r="15" spans="1:3" x14ac:dyDescent="0.25">
      <c r="A15" s="1">
        <v>45102</v>
      </c>
      <c r="B15" t="s">
        <v>137</v>
      </c>
      <c r="C15">
        <v>725.36754010695176</v>
      </c>
    </row>
    <row r="16" spans="1:3" x14ac:dyDescent="0.25">
      <c r="A16" s="1">
        <v>45103</v>
      </c>
      <c r="B16" t="s">
        <v>136</v>
      </c>
      <c r="C16">
        <v>0</v>
      </c>
    </row>
    <row r="17" spans="1:3" x14ac:dyDescent="0.25">
      <c r="A17" s="1">
        <v>45103</v>
      </c>
      <c r="B17" t="s">
        <v>137</v>
      </c>
      <c r="C17">
        <v>141.90148171376634</v>
      </c>
    </row>
    <row r="18" spans="1:3" x14ac:dyDescent="0.25">
      <c r="A18" s="1">
        <v>45104</v>
      </c>
      <c r="B18" t="s">
        <v>136</v>
      </c>
      <c r="C18">
        <v>0</v>
      </c>
    </row>
    <row r="19" spans="1:3" x14ac:dyDescent="0.25">
      <c r="A19" s="1">
        <v>45104</v>
      </c>
      <c r="B19" t="s">
        <v>137</v>
      </c>
      <c r="C19">
        <v>5.117572692793928</v>
      </c>
    </row>
    <row r="20" spans="1:3" x14ac:dyDescent="0.25">
      <c r="A20" s="1">
        <v>45105</v>
      </c>
      <c r="B20" t="s">
        <v>136</v>
      </c>
      <c r="C20">
        <v>0</v>
      </c>
    </row>
    <row r="21" spans="1:3" x14ac:dyDescent="0.25">
      <c r="A21" s="1">
        <v>45105</v>
      </c>
      <c r="B21" t="s">
        <v>137</v>
      </c>
      <c r="C21">
        <v>471.53478805907145</v>
      </c>
    </row>
    <row r="22" spans="1:3" x14ac:dyDescent="0.25">
      <c r="A22" s="1">
        <v>45106</v>
      </c>
      <c r="B22" t="s">
        <v>136</v>
      </c>
      <c r="C22">
        <v>0</v>
      </c>
    </row>
    <row r="23" spans="1:3" x14ac:dyDescent="0.25">
      <c r="A23" s="1">
        <v>45106</v>
      </c>
      <c r="B23" t="s">
        <v>137</v>
      </c>
      <c r="C23">
        <v>232.99999999999997</v>
      </c>
    </row>
    <row r="24" spans="1:3" x14ac:dyDescent="0.25">
      <c r="A24" s="1">
        <v>45107</v>
      </c>
      <c r="B24" t="s">
        <v>136</v>
      </c>
      <c r="C24">
        <v>0</v>
      </c>
    </row>
    <row r="25" spans="1:3" x14ac:dyDescent="0.25">
      <c r="A25" s="1">
        <v>45107</v>
      </c>
      <c r="B25" t="s">
        <v>137</v>
      </c>
      <c r="C25">
        <v>821.62731210987533</v>
      </c>
    </row>
    <row r="26" spans="1:3" x14ac:dyDescent="0.25">
      <c r="A26" s="1">
        <v>45108</v>
      </c>
      <c r="B26" t="s">
        <v>136</v>
      </c>
      <c r="C26">
        <v>0</v>
      </c>
    </row>
    <row r="27" spans="1:3" x14ac:dyDescent="0.25">
      <c r="A27" s="1">
        <v>45108</v>
      </c>
      <c r="B27" t="s">
        <v>137</v>
      </c>
      <c r="C27">
        <v>1278.0835687107306</v>
      </c>
    </row>
    <row r="28" spans="1:3" x14ac:dyDescent="0.25">
      <c r="A28" s="1">
        <v>45109</v>
      </c>
      <c r="B28" t="s">
        <v>136</v>
      </c>
      <c r="C28">
        <v>0</v>
      </c>
    </row>
    <row r="29" spans="1:3" x14ac:dyDescent="0.25">
      <c r="A29" s="1">
        <v>45109</v>
      </c>
      <c r="B29" t="s">
        <v>137</v>
      </c>
      <c r="C29">
        <v>2199.0133623296997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63BE-6821-4BA2-BB44-90B2C4F0927B}">
  <dimension ref="A1:C29"/>
  <sheetViews>
    <sheetView workbookViewId="0">
      <selection activeCell="C2" sqref="C2:C29"/>
    </sheetView>
  </sheetViews>
  <sheetFormatPr defaultRowHeight="15" x14ac:dyDescent="0.25"/>
  <cols>
    <col min="1" max="1" width="10.7109375" bestFit="1" customWidth="1"/>
    <col min="2" max="2" width="9.5703125" bestFit="1" customWidth="1"/>
    <col min="3" max="3" width="12" bestFit="1" customWidth="1"/>
    <col min="4" max="4" width="6.7109375" bestFit="1" customWidth="1"/>
    <col min="5" max="6" width="12.7109375" bestFit="1" customWidth="1"/>
  </cols>
  <sheetData>
    <row r="1" spans="1:3" x14ac:dyDescent="0.25">
      <c r="A1" t="s">
        <v>0</v>
      </c>
      <c r="B1" t="s">
        <v>135</v>
      </c>
      <c r="C1" t="s">
        <v>147</v>
      </c>
    </row>
    <row r="2" spans="1:3" x14ac:dyDescent="0.25">
      <c r="A2" s="1">
        <v>45096</v>
      </c>
      <c r="B2" t="s">
        <v>136</v>
      </c>
      <c r="C2">
        <v>0</v>
      </c>
    </row>
    <row r="3" spans="1:3" x14ac:dyDescent="0.25">
      <c r="A3" s="1">
        <v>45096</v>
      </c>
      <c r="B3" t="s">
        <v>137</v>
      </c>
      <c r="C3">
        <v>88.586105045399108</v>
      </c>
    </row>
    <row r="4" spans="1:3" x14ac:dyDescent="0.25">
      <c r="A4" s="1">
        <v>45097</v>
      </c>
      <c r="B4" t="s">
        <v>136</v>
      </c>
      <c r="C4">
        <v>0</v>
      </c>
    </row>
    <row r="5" spans="1:3" x14ac:dyDescent="0.25">
      <c r="A5" s="1">
        <v>45097</v>
      </c>
      <c r="B5" t="s">
        <v>137</v>
      </c>
      <c r="C5">
        <v>0</v>
      </c>
    </row>
    <row r="6" spans="1:3" x14ac:dyDescent="0.25">
      <c r="A6" s="1">
        <v>45098</v>
      </c>
      <c r="B6" t="s">
        <v>136</v>
      </c>
      <c r="C6">
        <v>0</v>
      </c>
    </row>
    <row r="7" spans="1:3" x14ac:dyDescent="0.25">
      <c r="A7" s="1">
        <v>45098</v>
      </c>
      <c r="B7" t="s">
        <v>137</v>
      </c>
      <c r="C7">
        <v>429.95321369665459</v>
      </c>
    </row>
    <row r="8" spans="1:3" x14ac:dyDescent="0.25">
      <c r="A8" s="1">
        <v>45099</v>
      </c>
      <c r="B8" t="s">
        <v>136</v>
      </c>
      <c r="C8">
        <v>0</v>
      </c>
    </row>
    <row r="9" spans="1:3" x14ac:dyDescent="0.25">
      <c r="A9" s="1">
        <v>45099</v>
      </c>
      <c r="B9" t="s">
        <v>137</v>
      </c>
      <c r="C9">
        <v>406.20338811630847</v>
      </c>
    </row>
    <row r="10" spans="1:3" x14ac:dyDescent="0.25">
      <c r="A10" s="1">
        <v>45100</v>
      </c>
      <c r="B10" t="s">
        <v>136</v>
      </c>
      <c r="C10">
        <v>0</v>
      </c>
    </row>
    <row r="11" spans="1:3" x14ac:dyDescent="0.25">
      <c r="A11" s="1">
        <v>45100</v>
      </c>
      <c r="B11" t="s">
        <v>137</v>
      </c>
      <c r="C11">
        <v>1415.7949893818518</v>
      </c>
    </row>
    <row r="12" spans="1:3" x14ac:dyDescent="0.25">
      <c r="A12" s="1">
        <v>45101</v>
      </c>
      <c r="B12" t="s">
        <v>136</v>
      </c>
      <c r="C12">
        <v>0</v>
      </c>
    </row>
    <row r="13" spans="1:3" x14ac:dyDescent="0.25">
      <c r="A13" s="1">
        <v>45101</v>
      </c>
      <c r="B13" t="s">
        <v>137</v>
      </c>
      <c r="C13">
        <v>821.02389247983501</v>
      </c>
    </row>
    <row r="14" spans="1:3" x14ac:dyDescent="0.25">
      <c r="A14" s="1">
        <v>45102</v>
      </c>
      <c r="B14" t="s">
        <v>136</v>
      </c>
      <c r="C14">
        <v>0</v>
      </c>
    </row>
    <row r="15" spans="1:3" x14ac:dyDescent="0.25">
      <c r="A15" s="1">
        <v>45102</v>
      </c>
      <c r="B15" t="s">
        <v>137</v>
      </c>
      <c r="C15">
        <v>725.36754010695176</v>
      </c>
    </row>
    <row r="16" spans="1:3" x14ac:dyDescent="0.25">
      <c r="A16" s="1">
        <v>45103</v>
      </c>
      <c r="B16" t="s">
        <v>136</v>
      </c>
      <c r="C16">
        <v>0</v>
      </c>
    </row>
    <row r="17" spans="1:3" x14ac:dyDescent="0.25">
      <c r="A17" s="1">
        <v>45103</v>
      </c>
      <c r="B17" t="s">
        <v>137</v>
      </c>
      <c r="C17">
        <v>141.90148171376634</v>
      </c>
    </row>
    <row r="18" spans="1:3" x14ac:dyDescent="0.25">
      <c r="A18" s="1">
        <v>45104</v>
      </c>
      <c r="B18" t="s">
        <v>136</v>
      </c>
      <c r="C18">
        <v>0</v>
      </c>
    </row>
    <row r="19" spans="1:3" x14ac:dyDescent="0.25">
      <c r="A19" s="1">
        <v>45104</v>
      </c>
      <c r="B19" t="s">
        <v>137</v>
      </c>
      <c r="C19">
        <v>5.117572692793928</v>
      </c>
    </row>
    <row r="20" spans="1:3" x14ac:dyDescent="0.25">
      <c r="A20" s="1">
        <v>45105</v>
      </c>
      <c r="B20" t="s">
        <v>136</v>
      </c>
      <c r="C20">
        <v>0</v>
      </c>
    </row>
    <row r="21" spans="1:3" x14ac:dyDescent="0.25">
      <c r="A21" s="1">
        <v>45105</v>
      </c>
      <c r="B21" t="s">
        <v>137</v>
      </c>
      <c r="C21">
        <v>471.53478805907145</v>
      </c>
    </row>
    <row r="22" spans="1:3" x14ac:dyDescent="0.25">
      <c r="A22" s="1">
        <v>45106</v>
      </c>
      <c r="B22" t="s">
        <v>136</v>
      </c>
      <c r="C22">
        <v>0</v>
      </c>
    </row>
    <row r="23" spans="1:3" x14ac:dyDescent="0.25">
      <c r="A23" s="1">
        <v>45106</v>
      </c>
      <c r="B23" t="s">
        <v>137</v>
      </c>
      <c r="C23">
        <v>232.99999999999997</v>
      </c>
    </row>
    <row r="24" spans="1:3" x14ac:dyDescent="0.25">
      <c r="A24" s="1">
        <v>45107</v>
      </c>
      <c r="B24" t="s">
        <v>136</v>
      </c>
      <c r="C24">
        <v>0</v>
      </c>
    </row>
    <row r="25" spans="1:3" x14ac:dyDescent="0.25">
      <c r="A25" s="1">
        <v>45107</v>
      </c>
      <c r="B25" t="s">
        <v>137</v>
      </c>
      <c r="C25">
        <v>821.62731210987533</v>
      </c>
    </row>
    <row r="26" spans="1:3" x14ac:dyDescent="0.25">
      <c r="A26" s="1">
        <v>45108</v>
      </c>
      <c r="B26" t="s">
        <v>136</v>
      </c>
      <c r="C26">
        <v>0</v>
      </c>
    </row>
    <row r="27" spans="1:3" x14ac:dyDescent="0.25">
      <c r="A27" s="1">
        <v>45108</v>
      </c>
      <c r="B27" t="s">
        <v>137</v>
      </c>
      <c r="C27">
        <v>1278.0835687107306</v>
      </c>
    </row>
    <row r="28" spans="1:3" x14ac:dyDescent="0.25">
      <c r="A28" s="1">
        <v>45109</v>
      </c>
      <c r="B28" t="s">
        <v>136</v>
      </c>
      <c r="C28">
        <v>0</v>
      </c>
    </row>
    <row r="29" spans="1:3" x14ac:dyDescent="0.25">
      <c r="A29" s="1">
        <v>45109</v>
      </c>
      <c r="B29" t="s">
        <v>137</v>
      </c>
      <c r="C29">
        <v>2199.0133623296997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7BF65-0E0F-47BC-B0FC-20C0125E4221}">
  <dimension ref="A1:G22"/>
  <sheetViews>
    <sheetView workbookViewId="0">
      <selection sqref="A1:G5"/>
    </sheetView>
  </sheetViews>
  <sheetFormatPr defaultRowHeight="15" x14ac:dyDescent="0.25"/>
  <cols>
    <col min="1" max="1" width="10.140625" bestFit="1" customWidth="1"/>
    <col min="2" max="2" width="9.5703125" bestFit="1" customWidth="1"/>
    <col min="3" max="3" width="6.7109375" bestFit="1" customWidth="1"/>
    <col min="4" max="4" width="12" bestFit="1" customWidth="1"/>
    <col min="5" max="5" width="24" bestFit="1" customWidth="1"/>
    <col min="6" max="6" width="23.7109375" bestFit="1" customWidth="1"/>
    <col min="7" max="7" width="5.7109375" customWidth="1"/>
  </cols>
  <sheetData>
    <row r="1" spans="1:7" x14ac:dyDescent="0.25">
      <c r="A1" t="s">
        <v>145</v>
      </c>
      <c r="B1" t="s">
        <v>135</v>
      </c>
      <c r="C1" t="s">
        <v>14</v>
      </c>
      <c r="D1" t="s">
        <v>134</v>
      </c>
      <c r="E1" t="s">
        <v>140</v>
      </c>
      <c r="F1" t="s">
        <v>141</v>
      </c>
      <c r="G1" t="s">
        <v>142</v>
      </c>
    </row>
    <row r="2" spans="1:7" hidden="1" x14ac:dyDescent="0.25">
      <c r="A2" t="s">
        <v>149</v>
      </c>
      <c r="B2" t="s">
        <v>245</v>
      </c>
      <c r="C2" t="s">
        <v>148</v>
      </c>
      <c r="D2">
        <v>308832.65208711947</v>
      </c>
      <c r="E2">
        <v>17614.101430926952</v>
      </c>
      <c r="F2">
        <v>291218.55065619253</v>
      </c>
      <c r="G2">
        <v>0</v>
      </c>
    </row>
    <row r="3" spans="1:7" hidden="1" x14ac:dyDescent="0.25">
      <c r="A3" t="s">
        <v>149</v>
      </c>
      <c r="B3" t="s">
        <v>245</v>
      </c>
      <c r="C3" t="s">
        <v>97</v>
      </c>
      <c r="D3">
        <v>13129.739851494982</v>
      </c>
      <c r="E3">
        <v>13129.739851494982</v>
      </c>
      <c r="F3">
        <v>0</v>
      </c>
      <c r="G3">
        <v>0</v>
      </c>
    </row>
    <row r="4" spans="1:7" hidden="1" x14ac:dyDescent="0.25">
      <c r="A4" t="s">
        <v>149</v>
      </c>
      <c r="B4" t="s">
        <v>245</v>
      </c>
      <c r="C4" t="s">
        <v>13</v>
      </c>
      <c r="D4">
        <v>19118.461620823906</v>
      </c>
      <c r="E4">
        <v>19118.461620823906</v>
      </c>
      <c r="F4">
        <v>0</v>
      </c>
      <c r="G4">
        <v>0</v>
      </c>
    </row>
    <row r="5" spans="1:7" hidden="1" x14ac:dyDescent="0.25">
      <c r="A5" t="s">
        <v>149</v>
      </c>
      <c r="B5" t="s">
        <v>246</v>
      </c>
      <c r="C5" t="s">
        <v>148</v>
      </c>
      <c r="D5">
        <v>40662.979025378001</v>
      </c>
      <c r="E5">
        <v>22136.898859286117</v>
      </c>
      <c r="F5">
        <v>18526.080166091895</v>
      </c>
      <c r="G5">
        <v>0</v>
      </c>
    </row>
    <row r="6" spans="1:7" hidden="1" x14ac:dyDescent="0.25">
      <c r="A6" t="s">
        <v>149</v>
      </c>
      <c r="B6" t="s">
        <v>246</v>
      </c>
      <c r="C6" t="s">
        <v>97</v>
      </c>
      <c r="D6">
        <v>4908.3864974930757</v>
      </c>
      <c r="E6">
        <v>4908.3864974930757</v>
      </c>
      <c r="F6">
        <v>0</v>
      </c>
      <c r="G6">
        <v>0</v>
      </c>
    </row>
    <row r="7" spans="1:7" hidden="1" x14ac:dyDescent="0.25">
      <c r="A7" t="s">
        <v>149</v>
      </c>
      <c r="B7" t="s">
        <v>246</v>
      </c>
      <c r="C7" t="s">
        <v>13</v>
      </c>
      <c r="D7">
        <v>866.80476330048714</v>
      </c>
      <c r="E7">
        <v>866.80476330048714</v>
      </c>
      <c r="F7">
        <v>0</v>
      </c>
      <c r="G7">
        <v>0</v>
      </c>
    </row>
    <row r="8" spans="1:7" hidden="1" x14ac:dyDescent="0.25">
      <c r="A8" t="s">
        <v>149</v>
      </c>
      <c r="B8" t="s">
        <v>249</v>
      </c>
      <c r="C8" t="s">
        <v>148</v>
      </c>
      <c r="D8">
        <v>12035.265217651428</v>
      </c>
      <c r="E8">
        <v>376.90335032398934</v>
      </c>
      <c r="F8">
        <v>11658.361867327441</v>
      </c>
      <c r="G8">
        <v>0</v>
      </c>
    </row>
    <row r="9" spans="1:7" hidden="1" x14ac:dyDescent="0.25">
      <c r="A9" t="s">
        <v>149</v>
      </c>
      <c r="B9" t="s">
        <v>249</v>
      </c>
      <c r="C9" t="s">
        <v>97</v>
      </c>
      <c r="D9">
        <v>603.03903140541968</v>
      </c>
      <c r="E9">
        <v>603.03903140541968</v>
      </c>
      <c r="F9">
        <v>0</v>
      </c>
      <c r="G9">
        <v>0</v>
      </c>
    </row>
    <row r="10" spans="1:7" hidden="1" x14ac:dyDescent="0.25">
      <c r="A10" t="s">
        <v>149</v>
      </c>
      <c r="B10" t="s">
        <v>249</v>
      </c>
      <c r="C10" t="s">
        <v>13</v>
      </c>
      <c r="D10">
        <v>1802.1307924694261</v>
      </c>
      <c r="E10">
        <v>1802.1307924694261</v>
      </c>
      <c r="F10">
        <v>0</v>
      </c>
      <c r="G10">
        <v>0</v>
      </c>
    </row>
    <row r="11" spans="1:7" x14ac:dyDescent="0.25">
      <c r="D11">
        <f>SUBTOTAL(109,Table_CostAG1_1DayShiftABSummary[RoleCost])</f>
        <v>0</v>
      </c>
    </row>
    <row r="17" spans="1:6" x14ac:dyDescent="0.25">
      <c r="A17" t="s">
        <v>14</v>
      </c>
      <c r="B17" t="s">
        <v>135</v>
      </c>
      <c r="C17" t="s">
        <v>134</v>
      </c>
      <c r="D17" t="s">
        <v>140</v>
      </c>
      <c r="E17" t="s">
        <v>141</v>
      </c>
      <c r="F17" t="s">
        <v>142</v>
      </c>
    </row>
    <row r="18" spans="1:6" x14ac:dyDescent="0.25">
      <c r="A18" t="s">
        <v>48</v>
      </c>
      <c r="B18" t="s">
        <v>136</v>
      </c>
      <c r="C18">
        <v>1847.0049558082053</v>
      </c>
      <c r="D18">
        <v>1005.099999999999</v>
      </c>
      <c r="E18">
        <v>841.90495580820641</v>
      </c>
      <c r="F18">
        <v>0</v>
      </c>
    </row>
    <row r="19" spans="1:6" x14ac:dyDescent="0.25">
      <c r="A19" t="s">
        <v>47</v>
      </c>
      <c r="B19" t="s">
        <v>136</v>
      </c>
      <c r="C19">
        <v>1392.4133411369519</v>
      </c>
      <c r="D19">
        <v>341.92885763108092</v>
      </c>
      <c r="E19">
        <v>1050.4844835058711</v>
      </c>
      <c r="F19">
        <v>0</v>
      </c>
    </row>
    <row r="20" spans="1:6" x14ac:dyDescent="0.25">
      <c r="A20" t="s">
        <v>48</v>
      </c>
      <c r="B20" t="s">
        <v>137</v>
      </c>
      <c r="C20">
        <v>5385.0384614619325</v>
      </c>
      <c r="D20">
        <v>367.6247215785163</v>
      </c>
      <c r="E20">
        <v>5017.4137398834155</v>
      </c>
      <c r="F20">
        <v>0</v>
      </c>
    </row>
    <row r="21" spans="1:6" x14ac:dyDescent="0.25">
      <c r="A21" t="s">
        <v>47</v>
      </c>
      <c r="B21" t="s">
        <v>137</v>
      </c>
      <c r="C21">
        <v>8768.0197043160479</v>
      </c>
      <c r="D21">
        <v>39.967608432665642</v>
      </c>
      <c r="E21">
        <v>8728.0520958833822</v>
      </c>
      <c r="F21">
        <v>0</v>
      </c>
    </row>
    <row r="22" spans="1:6" x14ac:dyDescent="0.25">
      <c r="C22">
        <v>17392.476462723138</v>
      </c>
    </row>
  </sheetData>
  <phoneticPr fontId="24"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D1FF9-C632-428B-9906-AAC0EFCBF2D4}">
  <dimension ref="C1:AF71"/>
  <sheetViews>
    <sheetView workbookViewId="0">
      <selection activeCell="N40" sqref="N40"/>
    </sheetView>
  </sheetViews>
  <sheetFormatPr defaultRowHeight="15" outlineLevelCol="1" x14ac:dyDescent="0.25"/>
  <cols>
    <col min="3" max="3" width="23.7109375" customWidth="1"/>
    <col min="4" max="4" width="22.5703125" bestFit="1" customWidth="1"/>
    <col min="5" max="5" width="13.5703125" customWidth="1"/>
    <col min="6" max="6" width="6.5703125" bestFit="1" customWidth="1"/>
    <col min="7" max="7" width="11.42578125" customWidth="1"/>
    <col min="8" max="21" width="8.85546875" customWidth="1"/>
    <col min="23" max="23" width="13.85546875" customWidth="1"/>
    <col min="24" max="24" width="15.42578125" style="9" hidden="1" customWidth="1" outlineLevel="1"/>
    <col min="25" max="25" width="15.140625" style="9" hidden="1" customWidth="1" outlineLevel="1"/>
    <col min="26" max="26" width="23.7109375" style="9" hidden="1" customWidth="1" outlineLevel="1"/>
    <col min="27" max="27" width="44.5703125" style="9" hidden="1" customWidth="1" outlineLevel="1"/>
    <col min="28" max="28" width="21.42578125" style="9" hidden="1" customWidth="1" outlineLevel="1"/>
    <col min="29" max="30" width="9.140625" hidden="1" customWidth="1" outlineLevel="1"/>
    <col min="31" max="31" width="9.140625" collapsed="1"/>
  </cols>
  <sheetData>
    <row r="1" spans="3:31" x14ac:dyDescent="0.25">
      <c r="C1" s="9"/>
      <c r="D1" s="9"/>
      <c r="E1" s="9"/>
      <c r="F1" s="9"/>
      <c r="G1" s="9"/>
      <c r="H1" s="9"/>
      <c r="I1" s="9"/>
      <c r="J1" s="9"/>
      <c r="K1" s="9"/>
      <c r="L1" s="9"/>
      <c r="M1" s="9"/>
      <c r="N1" s="9"/>
      <c r="O1" s="9"/>
      <c r="P1" s="9"/>
      <c r="Q1" s="9"/>
      <c r="R1" s="9"/>
      <c r="S1" s="9"/>
      <c r="T1" s="9"/>
      <c r="U1" s="9"/>
      <c r="V1" s="9"/>
      <c r="W1" s="9"/>
      <c r="AC1" s="9"/>
      <c r="AD1" s="9"/>
      <c r="AE1" s="9"/>
    </row>
    <row r="2" spans="3:31" x14ac:dyDescent="0.25">
      <c r="C2" s="9"/>
      <c r="D2" s="9"/>
      <c r="E2" s="9"/>
      <c r="F2" s="9"/>
      <c r="G2" s="9"/>
      <c r="H2" s="9"/>
      <c r="I2" s="9"/>
      <c r="J2" s="9"/>
      <c r="K2" s="9"/>
      <c r="L2" s="9"/>
      <c r="M2" s="9"/>
      <c r="N2" s="9"/>
      <c r="O2" s="9"/>
      <c r="P2" s="9"/>
      <c r="Q2" s="9"/>
      <c r="R2" s="9"/>
      <c r="S2" s="9"/>
      <c r="T2" s="9"/>
      <c r="U2" s="9"/>
      <c r="V2" s="9"/>
      <c r="W2" s="9"/>
      <c r="AC2" s="9"/>
      <c r="AD2" s="9"/>
      <c r="AE2" s="9"/>
    </row>
    <row r="3" spans="3:31" x14ac:dyDescent="0.25">
      <c r="C3" s="9"/>
      <c r="D3" s="9"/>
      <c r="E3" s="9"/>
      <c r="F3" s="9"/>
      <c r="G3" s="9"/>
      <c r="H3" s="9"/>
      <c r="I3" s="9"/>
      <c r="J3" s="9"/>
      <c r="K3" s="9"/>
      <c r="L3" s="9"/>
      <c r="M3" s="9"/>
      <c r="N3" s="9"/>
      <c r="O3" s="9"/>
      <c r="P3" s="9"/>
      <c r="Q3" s="9"/>
      <c r="R3" s="9"/>
      <c r="S3" s="9"/>
      <c r="T3" s="9"/>
      <c r="U3" s="9"/>
      <c r="V3" s="9"/>
      <c r="W3" s="9"/>
      <c r="AC3" s="9"/>
      <c r="AD3" s="9"/>
      <c r="AE3" s="9"/>
    </row>
    <row r="4" spans="3:31" ht="23.25" x14ac:dyDescent="0.35">
      <c r="C4" s="143" t="s">
        <v>49</v>
      </c>
      <c r="D4" s="143"/>
      <c r="E4" s="143"/>
      <c r="F4" s="143"/>
      <c r="G4" s="143"/>
      <c r="H4" s="143"/>
      <c r="I4" s="143"/>
      <c r="J4" s="143"/>
      <c r="K4" s="143"/>
      <c r="L4" s="143"/>
      <c r="M4" s="143"/>
      <c r="N4" s="143"/>
      <c r="O4" s="143"/>
      <c r="P4" s="143"/>
      <c r="Q4" s="143"/>
      <c r="R4" s="143"/>
      <c r="S4" s="143"/>
      <c r="T4" s="143"/>
      <c r="U4" s="143"/>
      <c r="V4" s="9"/>
      <c r="W4" s="9"/>
      <c r="AC4" s="9"/>
      <c r="AD4" s="9"/>
      <c r="AE4" s="9"/>
    </row>
    <row r="5" spans="3:31" x14ac:dyDescent="0.25">
      <c r="C5" s="9"/>
      <c r="D5" s="9"/>
      <c r="E5" s="9"/>
      <c r="F5" s="9"/>
      <c r="G5" s="9"/>
      <c r="H5" s="9"/>
      <c r="I5" s="9"/>
      <c r="J5" s="9"/>
      <c r="K5" s="9"/>
      <c r="L5" s="9"/>
      <c r="M5" s="9"/>
      <c r="N5" s="9"/>
      <c r="O5" s="9"/>
      <c r="P5" s="9"/>
      <c r="Q5" s="9"/>
      <c r="R5" s="9"/>
      <c r="S5" s="9"/>
      <c r="T5" s="9"/>
      <c r="U5" s="9"/>
      <c r="V5" s="9"/>
      <c r="W5" s="9"/>
      <c r="AC5" s="9"/>
      <c r="AD5" s="9"/>
      <c r="AE5" s="9"/>
    </row>
    <row r="6" spans="3:31" ht="18.75" x14ac:dyDescent="0.3">
      <c r="C6" s="10" t="s">
        <v>50</v>
      </c>
      <c r="D6" s="11" t="s">
        <v>51</v>
      </c>
      <c r="E6" s="12"/>
      <c r="F6" s="13"/>
      <c r="G6" s="13"/>
      <c r="H6" s="9"/>
      <c r="I6" s="9"/>
      <c r="J6" s="9"/>
      <c r="K6" s="9"/>
      <c r="L6" s="9"/>
      <c r="M6" s="9"/>
      <c r="N6" s="9"/>
      <c r="O6" s="9"/>
      <c r="P6" s="9"/>
      <c r="Q6" s="9"/>
      <c r="R6" s="9"/>
      <c r="S6" s="9"/>
      <c r="T6" s="9"/>
      <c r="U6" s="9"/>
      <c r="V6" s="9"/>
      <c r="W6" s="13"/>
      <c r="Z6" s="14" t="s">
        <v>52</v>
      </c>
      <c r="AC6" s="9"/>
      <c r="AD6" s="9"/>
      <c r="AE6" s="9"/>
    </row>
    <row r="7" spans="3:31" ht="21" x14ac:dyDescent="0.35">
      <c r="C7" s="15" t="s">
        <v>53</v>
      </c>
      <c r="D7" s="16" t="s">
        <v>54</v>
      </c>
      <c r="E7" s="17" t="s">
        <v>55</v>
      </c>
      <c r="F7" s="18"/>
      <c r="G7" s="18"/>
      <c r="H7" s="9"/>
      <c r="I7" s="9"/>
      <c r="J7" s="9"/>
      <c r="K7" s="9"/>
      <c r="L7" s="9"/>
      <c r="M7" s="9"/>
      <c r="N7" s="9"/>
      <c r="O7" s="9"/>
      <c r="P7" s="9"/>
      <c r="Q7" s="9"/>
      <c r="R7" s="9"/>
      <c r="S7" s="9"/>
      <c r="T7" s="9"/>
      <c r="U7" s="9"/>
      <c r="V7" s="9"/>
      <c r="W7" s="18"/>
      <c r="Z7" s="14" t="s">
        <v>56</v>
      </c>
      <c r="AC7" s="9"/>
      <c r="AD7" s="9"/>
      <c r="AE7" s="9"/>
    </row>
    <row r="8" spans="3:31" ht="15.75" x14ac:dyDescent="0.25">
      <c r="C8" s="19"/>
      <c r="D8" s="9"/>
      <c r="E8" s="9"/>
      <c r="F8" s="9"/>
      <c r="G8" s="9"/>
      <c r="H8" t="s">
        <v>57</v>
      </c>
      <c r="I8" t="s">
        <v>58</v>
      </c>
      <c r="J8" t="s">
        <v>59</v>
      </c>
      <c r="K8" t="s">
        <v>60</v>
      </c>
      <c r="L8" t="s">
        <v>61</v>
      </c>
      <c r="M8" t="s">
        <v>62</v>
      </c>
      <c r="N8" t="s">
        <v>63</v>
      </c>
      <c r="O8" t="s">
        <v>64</v>
      </c>
      <c r="P8" t="s">
        <v>65</v>
      </c>
      <c r="Q8" t="s">
        <v>66</v>
      </c>
      <c r="R8" t="s">
        <v>67</v>
      </c>
      <c r="S8" t="s">
        <v>68</v>
      </c>
      <c r="T8" t="s">
        <v>69</v>
      </c>
      <c r="U8" t="s">
        <v>70</v>
      </c>
      <c r="V8" s="9"/>
      <c r="W8" s="9"/>
      <c r="Z8" s="20" t="s">
        <v>71</v>
      </c>
    </row>
    <row r="9" spans="3:31" ht="47.25" x14ac:dyDescent="0.25">
      <c r="C9" s="21" t="s">
        <v>72</v>
      </c>
      <c r="D9" s="21" t="s">
        <v>73</v>
      </c>
      <c r="E9" s="21" t="s">
        <v>74</v>
      </c>
      <c r="F9" s="21" t="s">
        <v>75</v>
      </c>
      <c r="G9" s="22" t="s">
        <v>76</v>
      </c>
      <c r="H9" s="23" t="s">
        <v>77</v>
      </c>
      <c r="I9" s="24" t="s">
        <v>78</v>
      </c>
      <c r="J9" s="24" t="s">
        <v>79</v>
      </c>
      <c r="K9" s="24" t="s">
        <v>80</v>
      </c>
      <c r="L9" s="24" t="s">
        <v>81</v>
      </c>
      <c r="M9" s="24" t="s">
        <v>82</v>
      </c>
      <c r="N9" s="24" t="s">
        <v>83</v>
      </c>
      <c r="O9" s="24" t="s">
        <v>77</v>
      </c>
      <c r="P9" s="24" t="s">
        <v>78</v>
      </c>
      <c r="Q9" s="24" t="s">
        <v>79</v>
      </c>
      <c r="R9" s="24" t="s">
        <v>80</v>
      </c>
      <c r="S9" s="24" t="s">
        <v>81</v>
      </c>
      <c r="T9" s="24" t="s">
        <v>82</v>
      </c>
      <c r="U9" s="25" t="s">
        <v>83</v>
      </c>
      <c r="V9" s="26" t="s">
        <v>84</v>
      </c>
      <c r="W9" s="21" t="s">
        <v>85</v>
      </c>
      <c r="X9" s="21" t="s">
        <v>86</v>
      </c>
      <c r="Y9" s="21" t="s">
        <v>87</v>
      </c>
      <c r="Z9" s="21" t="s">
        <v>88</v>
      </c>
      <c r="AA9" s="21" t="s">
        <v>89</v>
      </c>
      <c r="AB9" s="27"/>
      <c r="AC9" s="28"/>
      <c r="AD9" s="28"/>
      <c r="AE9" s="28"/>
    </row>
    <row r="10" spans="3:31" ht="15.75" x14ac:dyDescent="0.25">
      <c r="C10" s="29" t="s">
        <v>90</v>
      </c>
      <c r="D10" s="30" t="s">
        <v>91</v>
      </c>
      <c r="E10" s="29" t="s">
        <v>47</v>
      </c>
      <c r="F10" s="29" t="s">
        <v>12</v>
      </c>
      <c r="G10" s="31">
        <v>55.75</v>
      </c>
      <c r="H10" s="32"/>
      <c r="I10" s="32"/>
      <c r="J10" s="32">
        <v>8</v>
      </c>
      <c r="K10" s="32"/>
      <c r="L10" s="32"/>
      <c r="M10" s="32"/>
      <c r="N10" s="32"/>
      <c r="O10" s="32"/>
      <c r="P10" s="32"/>
      <c r="Q10" s="32"/>
      <c r="R10" s="32"/>
      <c r="S10" s="32"/>
      <c r="T10" s="32"/>
      <c r="U10" s="33"/>
      <c r="V10" s="34">
        <f>SUM(H10:U10)</f>
        <v>8</v>
      </c>
      <c r="W10" s="35">
        <f>ROUND(V10*G10,2)</f>
        <v>446</v>
      </c>
      <c r="X10" s="35">
        <f>W10*1.1</f>
        <v>490.6</v>
      </c>
      <c r="Y10" s="36">
        <v>3360</v>
      </c>
      <c r="Z10" s="37">
        <f>IF($Z$8="Variance to GST Excl. Inv",W10,X10)-Y10</f>
        <v>-2914</v>
      </c>
      <c r="AA10" s="38" t="s">
        <v>92</v>
      </c>
      <c r="AC10" t="s">
        <v>10</v>
      </c>
      <c r="AD10" t="s">
        <v>13</v>
      </c>
      <c r="AE10" t="s">
        <v>93</v>
      </c>
    </row>
    <row r="11" spans="3:31" ht="15.75" x14ac:dyDescent="0.25">
      <c r="C11" s="29" t="s">
        <v>94</v>
      </c>
      <c r="D11" s="30" t="s">
        <v>95</v>
      </c>
      <c r="E11" s="29" t="s">
        <v>13</v>
      </c>
      <c r="F11" s="29" t="s">
        <v>96</v>
      </c>
      <c r="G11" s="31">
        <v>95.02</v>
      </c>
      <c r="H11" s="32"/>
      <c r="I11" s="32"/>
      <c r="J11" s="32">
        <v>7.75</v>
      </c>
      <c r="K11" s="32"/>
      <c r="L11" s="32"/>
      <c r="M11" s="32"/>
      <c r="N11" s="32"/>
      <c r="O11" s="32"/>
      <c r="P11" s="32"/>
      <c r="Q11" s="32"/>
      <c r="R11" s="32"/>
      <c r="S11" s="32"/>
      <c r="T11" s="32"/>
      <c r="U11" s="33"/>
      <c r="V11" s="39">
        <f>SUM(H11:U11)</f>
        <v>7.75</v>
      </c>
      <c r="W11" s="35">
        <f t="shared" ref="W11:W29" si="0">ROUND(V11*G11,2)</f>
        <v>736.41</v>
      </c>
      <c r="X11" s="35">
        <f t="shared" ref="X11:Y29" si="1">W11*1.1</f>
        <v>810.05100000000004</v>
      </c>
      <c r="Y11" s="40">
        <v>2520</v>
      </c>
      <c r="Z11" s="37">
        <f t="shared" ref="Z11:Z29" si="2">IF($Z$8="Variance to GST Excl. Inv",W11,X11)-Y11</f>
        <v>-1783.5900000000001</v>
      </c>
      <c r="AA11" s="41"/>
      <c r="AC11" t="s">
        <v>12</v>
      </c>
      <c r="AD11" t="s">
        <v>47</v>
      </c>
      <c r="AE11" t="s">
        <v>93</v>
      </c>
    </row>
    <row r="12" spans="3:31" ht="15.75" x14ac:dyDescent="0.25">
      <c r="C12" s="29" t="s">
        <v>94</v>
      </c>
      <c r="D12" s="30" t="s">
        <v>95</v>
      </c>
      <c r="E12" s="29" t="s">
        <v>13</v>
      </c>
      <c r="F12" s="29" t="s">
        <v>96</v>
      </c>
      <c r="G12" s="31">
        <v>95.02</v>
      </c>
      <c r="H12" s="32"/>
      <c r="I12" s="32"/>
      <c r="J12" s="32"/>
      <c r="K12" s="32">
        <v>7.75</v>
      </c>
      <c r="L12" s="32"/>
      <c r="M12" s="32"/>
      <c r="N12" s="32"/>
      <c r="O12" s="32"/>
      <c r="P12" s="32"/>
      <c r="Q12" s="32"/>
      <c r="R12" s="32"/>
      <c r="S12" s="32"/>
      <c r="T12" s="32"/>
      <c r="U12" s="33"/>
      <c r="V12" s="39">
        <f t="shared" ref="V12:V29" si="3">SUM(H12:U12)</f>
        <v>7.75</v>
      </c>
      <c r="W12" s="35">
        <f t="shared" si="0"/>
        <v>736.41</v>
      </c>
      <c r="X12" s="35">
        <f t="shared" si="1"/>
        <v>810.05100000000004</v>
      </c>
      <c r="Y12" s="40">
        <v>420</v>
      </c>
      <c r="Z12" s="37">
        <f t="shared" si="2"/>
        <v>316.40999999999997</v>
      </c>
      <c r="AA12" s="41"/>
      <c r="AC12" t="s">
        <v>96</v>
      </c>
      <c r="AD12" t="s">
        <v>97</v>
      </c>
      <c r="AE12" t="s">
        <v>93</v>
      </c>
    </row>
    <row r="13" spans="3:31" ht="15.75" x14ac:dyDescent="0.25">
      <c r="C13" s="29" t="s">
        <v>90</v>
      </c>
      <c r="D13" s="30" t="s">
        <v>98</v>
      </c>
      <c r="E13" s="29" t="s">
        <v>47</v>
      </c>
      <c r="F13" s="42" t="s">
        <v>82</v>
      </c>
      <c r="G13" s="43">
        <v>73.12</v>
      </c>
      <c r="H13" s="44"/>
      <c r="I13" s="45"/>
      <c r="J13" s="45"/>
      <c r="K13" s="45"/>
      <c r="L13" s="45"/>
      <c r="M13" s="45">
        <v>7.5</v>
      </c>
      <c r="N13" s="45"/>
      <c r="O13" s="45"/>
      <c r="P13" s="45"/>
      <c r="Q13" s="45"/>
      <c r="R13" s="45"/>
      <c r="S13" s="45"/>
      <c r="T13" s="45"/>
      <c r="U13" s="46"/>
      <c r="V13" s="39">
        <f t="shared" si="3"/>
        <v>7.5</v>
      </c>
      <c r="W13" s="35">
        <f t="shared" si="0"/>
        <v>548.4</v>
      </c>
      <c r="X13" s="35">
        <f t="shared" si="1"/>
        <v>603.24</v>
      </c>
      <c r="Y13" s="40">
        <v>550</v>
      </c>
      <c r="Z13" s="37">
        <f t="shared" si="2"/>
        <v>-1.6000000000000227</v>
      </c>
      <c r="AA13" s="41" t="s">
        <v>99</v>
      </c>
      <c r="AC13" t="s">
        <v>82</v>
      </c>
      <c r="AD13" t="s">
        <v>100</v>
      </c>
      <c r="AE13" t="s">
        <v>93</v>
      </c>
    </row>
    <row r="14" spans="3:31" ht="15.75" x14ac:dyDescent="0.25">
      <c r="C14" s="29" t="s">
        <v>90</v>
      </c>
      <c r="D14" s="30" t="s">
        <v>101</v>
      </c>
      <c r="E14" s="29" t="s">
        <v>47</v>
      </c>
      <c r="F14" s="29" t="s">
        <v>10</v>
      </c>
      <c r="G14" s="43">
        <v>51.25</v>
      </c>
      <c r="H14" s="44"/>
      <c r="I14" s="45"/>
      <c r="J14" s="45"/>
      <c r="K14" s="45"/>
      <c r="L14" s="45"/>
      <c r="M14" s="45"/>
      <c r="N14" s="45"/>
      <c r="O14" s="45">
        <v>7.5</v>
      </c>
      <c r="P14" s="45"/>
      <c r="Q14" s="45"/>
      <c r="R14" s="45"/>
      <c r="S14" s="45"/>
      <c r="T14" s="45"/>
      <c r="U14" s="46"/>
      <c r="V14" s="47">
        <f t="shared" si="3"/>
        <v>7.5</v>
      </c>
      <c r="W14" s="48">
        <f t="shared" si="0"/>
        <v>384.38</v>
      </c>
      <c r="X14" s="48">
        <f t="shared" si="1"/>
        <v>422.81800000000004</v>
      </c>
      <c r="Y14" s="49">
        <f t="shared" si="1"/>
        <v>465.09980000000007</v>
      </c>
      <c r="Z14" s="50">
        <f t="shared" si="2"/>
        <v>-80.719800000000077</v>
      </c>
      <c r="AA14" s="51"/>
      <c r="AC14" t="s">
        <v>83</v>
      </c>
      <c r="AE14" t="s">
        <v>93</v>
      </c>
    </row>
    <row r="15" spans="3:31" ht="15.75" x14ac:dyDescent="0.25">
      <c r="C15" s="29" t="s">
        <v>94</v>
      </c>
      <c r="D15" s="30" t="s">
        <v>102</v>
      </c>
      <c r="E15" s="29" t="s">
        <v>13</v>
      </c>
      <c r="F15" s="29" t="s">
        <v>12</v>
      </c>
      <c r="G15" s="43">
        <v>66.48</v>
      </c>
      <c r="H15" s="44"/>
      <c r="I15" s="45"/>
      <c r="J15" s="45"/>
      <c r="K15" s="45"/>
      <c r="L15" s="45"/>
      <c r="M15" s="45"/>
      <c r="N15" s="45"/>
      <c r="O15" s="45"/>
      <c r="P15" s="45"/>
      <c r="Q15" s="45">
        <v>8</v>
      </c>
      <c r="R15" s="45"/>
      <c r="S15" s="45"/>
      <c r="T15" s="45"/>
      <c r="U15" s="46"/>
      <c r="V15" s="39">
        <f t="shared" si="3"/>
        <v>8</v>
      </c>
      <c r="W15" s="35">
        <f t="shared" si="0"/>
        <v>531.84</v>
      </c>
      <c r="X15" s="35">
        <f t="shared" si="1"/>
        <v>585.02400000000011</v>
      </c>
      <c r="Y15" s="40">
        <f t="shared" si="1"/>
        <v>643.52640000000019</v>
      </c>
      <c r="Z15" s="37">
        <f t="shared" si="2"/>
        <v>-111.68640000000016</v>
      </c>
      <c r="AA15" s="41"/>
      <c r="AC15" t="s">
        <v>103</v>
      </c>
      <c r="AE15" t="s">
        <v>93</v>
      </c>
    </row>
    <row r="16" spans="3:31" ht="15.75" x14ac:dyDescent="0.25">
      <c r="C16" s="29" t="s">
        <v>94</v>
      </c>
      <c r="D16" s="30" t="s">
        <v>104</v>
      </c>
      <c r="E16" s="29" t="s">
        <v>13</v>
      </c>
      <c r="F16" s="29" t="s">
        <v>96</v>
      </c>
      <c r="G16" s="43">
        <v>95.02</v>
      </c>
      <c r="H16" s="44"/>
      <c r="I16" s="45"/>
      <c r="J16" s="45"/>
      <c r="K16" s="45"/>
      <c r="L16" s="45"/>
      <c r="M16" s="45"/>
      <c r="N16" s="45"/>
      <c r="O16" s="45"/>
      <c r="P16" s="45"/>
      <c r="Q16" s="45">
        <v>7.75</v>
      </c>
      <c r="R16" s="45"/>
      <c r="S16" s="45"/>
      <c r="T16" s="45"/>
      <c r="U16" s="46"/>
      <c r="V16" s="39">
        <f t="shared" si="3"/>
        <v>7.75</v>
      </c>
      <c r="W16" s="35">
        <f t="shared" si="0"/>
        <v>736.41</v>
      </c>
      <c r="X16" s="35">
        <f t="shared" si="1"/>
        <v>810.05100000000004</v>
      </c>
      <c r="Y16" s="40">
        <f t="shared" si="1"/>
        <v>891.05610000000013</v>
      </c>
      <c r="Z16" s="37">
        <f t="shared" si="2"/>
        <v>-154.64610000000016</v>
      </c>
      <c r="AA16" s="41"/>
      <c r="AE16" t="s">
        <v>93</v>
      </c>
    </row>
    <row r="17" spans="3:31" ht="15.75" x14ac:dyDescent="0.25">
      <c r="C17" s="29" t="s">
        <v>94</v>
      </c>
      <c r="D17" s="30" t="s">
        <v>104</v>
      </c>
      <c r="E17" s="29" t="s">
        <v>13</v>
      </c>
      <c r="F17" s="29" t="s">
        <v>12</v>
      </c>
      <c r="G17" s="43">
        <v>93.32</v>
      </c>
      <c r="H17" s="44"/>
      <c r="I17" s="45"/>
      <c r="J17" s="45"/>
      <c r="K17" s="45"/>
      <c r="L17" s="45"/>
      <c r="M17" s="45"/>
      <c r="N17" s="45"/>
      <c r="O17" s="45"/>
      <c r="P17" s="45"/>
      <c r="Q17" s="45"/>
      <c r="R17" s="45">
        <v>8</v>
      </c>
      <c r="S17" s="45"/>
      <c r="T17" s="45"/>
      <c r="U17" s="46"/>
      <c r="V17" s="39">
        <f t="shared" si="3"/>
        <v>8</v>
      </c>
      <c r="W17" s="35">
        <f t="shared" si="0"/>
        <v>746.56</v>
      </c>
      <c r="X17" s="35">
        <f t="shared" si="1"/>
        <v>821.21600000000001</v>
      </c>
      <c r="Y17" s="40">
        <f t="shared" si="1"/>
        <v>903.33760000000007</v>
      </c>
      <c r="Z17" s="37">
        <f t="shared" si="2"/>
        <v>-156.77760000000012</v>
      </c>
      <c r="AA17" s="41"/>
      <c r="AE17" t="s">
        <v>93</v>
      </c>
    </row>
    <row r="18" spans="3:31" ht="15.75" x14ac:dyDescent="0.25">
      <c r="C18" s="29" t="s">
        <v>90</v>
      </c>
      <c r="D18" s="30" t="s">
        <v>105</v>
      </c>
      <c r="E18" s="29" t="s">
        <v>47</v>
      </c>
      <c r="F18" s="29" t="s">
        <v>96</v>
      </c>
      <c r="G18" s="43">
        <v>56.65</v>
      </c>
      <c r="H18" s="44"/>
      <c r="I18" s="45"/>
      <c r="J18" s="45"/>
      <c r="K18" s="45"/>
      <c r="L18" s="45"/>
      <c r="M18" s="45"/>
      <c r="N18" s="45"/>
      <c r="O18" s="45"/>
      <c r="P18" s="45"/>
      <c r="Q18" s="45"/>
      <c r="R18" s="45"/>
      <c r="S18" s="45">
        <v>7.5</v>
      </c>
      <c r="T18" s="45"/>
      <c r="U18" s="46"/>
      <c r="V18" s="39">
        <v>7.5</v>
      </c>
      <c r="W18" s="35">
        <f t="shared" si="0"/>
        <v>424.88</v>
      </c>
      <c r="X18" s="35"/>
      <c r="Y18" s="40"/>
      <c r="Z18" s="37"/>
      <c r="AA18" s="41"/>
      <c r="AE18" t="s">
        <v>93</v>
      </c>
    </row>
    <row r="19" spans="3:31" ht="15.75" x14ac:dyDescent="0.25">
      <c r="C19" s="29" t="s">
        <v>90</v>
      </c>
      <c r="D19" s="30" t="s">
        <v>106</v>
      </c>
      <c r="E19" s="29" t="s">
        <v>47</v>
      </c>
      <c r="F19" s="29" t="s">
        <v>96</v>
      </c>
      <c r="G19" s="43">
        <v>56.65</v>
      </c>
      <c r="H19" s="44"/>
      <c r="I19" s="45"/>
      <c r="J19" s="45"/>
      <c r="K19" s="45"/>
      <c r="L19" s="45"/>
      <c r="M19" s="45"/>
      <c r="N19" s="45"/>
      <c r="O19" s="45"/>
      <c r="P19" s="45"/>
      <c r="Q19" s="45"/>
      <c r="R19" s="45"/>
      <c r="S19" s="45">
        <v>7.5</v>
      </c>
      <c r="T19" s="45"/>
      <c r="U19" s="46"/>
      <c r="V19" s="39">
        <f t="shared" si="3"/>
        <v>7.5</v>
      </c>
      <c r="W19" s="35">
        <f t="shared" si="0"/>
        <v>424.88</v>
      </c>
      <c r="X19" s="35">
        <f t="shared" si="1"/>
        <v>467.36800000000005</v>
      </c>
      <c r="Y19" s="40">
        <f t="shared" si="1"/>
        <v>514.10480000000007</v>
      </c>
      <c r="Z19" s="37">
        <f t="shared" si="2"/>
        <v>-89.224800000000073</v>
      </c>
      <c r="AA19" s="41"/>
      <c r="AE19" t="s">
        <v>93</v>
      </c>
    </row>
    <row r="20" spans="3:31" ht="15.75" x14ac:dyDescent="0.25">
      <c r="C20" s="29" t="s">
        <v>94</v>
      </c>
      <c r="D20" s="30" t="s">
        <v>107</v>
      </c>
      <c r="E20" s="29" t="s">
        <v>13</v>
      </c>
      <c r="F20" s="29" t="s">
        <v>96</v>
      </c>
      <c r="G20" s="43">
        <v>95.02</v>
      </c>
      <c r="H20" s="44"/>
      <c r="I20" s="45"/>
      <c r="J20" s="45"/>
      <c r="K20" s="45"/>
      <c r="L20" s="45"/>
      <c r="M20" s="45"/>
      <c r="N20" s="45"/>
      <c r="O20" s="45"/>
      <c r="P20" s="45"/>
      <c r="Q20" s="45"/>
      <c r="R20" s="45"/>
      <c r="S20" s="45">
        <v>7.75</v>
      </c>
      <c r="T20" s="45"/>
      <c r="U20" s="46"/>
      <c r="V20" s="39">
        <f t="shared" si="3"/>
        <v>7.75</v>
      </c>
      <c r="W20" s="35">
        <f t="shared" si="0"/>
        <v>736.41</v>
      </c>
      <c r="X20" s="35">
        <f t="shared" si="1"/>
        <v>810.05100000000004</v>
      </c>
      <c r="Y20" s="40">
        <f t="shared" si="1"/>
        <v>891.05610000000013</v>
      </c>
      <c r="Z20" s="37">
        <f t="shared" si="2"/>
        <v>-154.64610000000016</v>
      </c>
      <c r="AA20" s="41"/>
      <c r="AE20" t="s">
        <v>93</v>
      </c>
    </row>
    <row r="21" spans="3:31" ht="15.75" x14ac:dyDescent="0.25">
      <c r="C21" s="29" t="s">
        <v>94</v>
      </c>
      <c r="D21" s="30" t="s">
        <v>104</v>
      </c>
      <c r="E21" s="29" t="s">
        <v>13</v>
      </c>
      <c r="F21" s="29" t="s">
        <v>82</v>
      </c>
      <c r="G21" s="43">
        <v>122.16</v>
      </c>
      <c r="H21" s="44"/>
      <c r="I21" s="45"/>
      <c r="J21" s="45"/>
      <c r="K21" s="45"/>
      <c r="L21" s="45"/>
      <c r="M21" s="45"/>
      <c r="N21" s="45"/>
      <c r="O21" s="45"/>
      <c r="P21" s="45"/>
      <c r="Q21" s="45"/>
      <c r="R21" s="45"/>
      <c r="S21" s="45"/>
      <c r="T21" s="45">
        <v>8</v>
      </c>
      <c r="U21" s="46"/>
      <c r="V21" s="39">
        <f t="shared" si="3"/>
        <v>8</v>
      </c>
      <c r="W21" s="35">
        <f t="shared" si="0"/>
        <v>977.28</v>
      </c>
      <c r="X21" s="35">
        <f t="shared" si="1"/>
        <v>1075.008</v>
      </c>
      <c r="Y21" s="40">
        <f t="shared" si="1"/>
        <v>1182.5088000000001</v>
      </c>
      <c r="Z21" s="37">
        <f t="shared" si="2"/>
        <v>-205.22880000000009</v>
      </c>
      <c r="AA21" s="41"/>
      <c r="AE21" t="s">
        <v>93</v>
      </c>
    </row>
    <row r="22" spans="3:31" ht="15.75" x14ac:dyDescent="0.25">
      <c r="C22" s="29" t="s">
        <v>90</v>
      </c>
      <c r="D22" s="30" t="s">
        <v>108</v>
      </c>
      <c r="E22" s="29" t="s">
        <v>47</v>
      </c>
      <c r="F22" s="29" t="s">
        <v>82</v>
      </c>
      <c r="G22" s="43">
        <v>73.12</v>
      </c>
      <c r="H22" s="44"/>
      <c r="I22" s="45"/>
      <c r="J22" s="45"/>
      <c r="K22" s="45"/>
      <c r="L22" s="45"/>
      <c r="M22" s="45"/>
      <c r="N22" s="45"/>
      <c r="O22" s="45"/>
      <c r="P22" s="45"/>
      <c r="Q22" s="45"/>
      <c r="R22" s="45"/>
      <c r="S22" s="45"/>
      <c r="T22" s="45">
        <v>7.5</v>
      </c>
      <c r="U22" s="46"/>
      <c r="V22" s="39">
        <f t="shared" si="3"/>
        <v>7.5</v>
      </c>
      <c r="W22" s="35">
        <f t="shared" si="0"/>
        <v>548.4</v>
      </c>
      <c r="X22" s="35">
        <f t="shared" si="1"/>
        <v>603.24</v>
      </c>
      <c r="Y22" s="40">
        <f t="shared" si="1"/>
        <v>663.56400000000008</v>
      </c>
      <c r="Z22" s="37">
        <f t="shared" si="2"/>
        <v>-115.1640000000001</v>
      </c>
      <c r="AA22" s="41"/>
      <c r="AE22" t="s">
        <v>93</v>
      </c>
    </row>
    <row r="23" spans="3:31" ht="15.75" x14ac:dyDescent="0.25">
      <c r="C23" s="29" t="s">
        <v>94</v>
      </c>
      <c r="D23" s="30" t="s">
        <v>95</v>
      </c>
      <c r="E23" s="29" t="s">
        <v>13</v>
      </c>
      <c r="F23" s="29" t="s">
        <v>82</v>
      </c>
      <c r="G23" s="43">
        <v>122.16</v>
      </c>
      <c r="H23" s="44"/>
      <c r="I23" s="45"/>
      <c r="J23" s="45"/>
      <c r="K23" s="45"/>
      <c r="L23" s="45"/>
      <c r="M23" s="45"/>
      <c r="N23" s="45"/>
      <c r="O23" s="45"/>
      <c r="P23" s="45"/>
      <c r="Q23" s="45"/>
      <c r="R23" s="45"/>
      <c r="S23" s="45"/>
      <c r="T23" s="45">
        <v>7.75</v>
      </c>
      <c r="U23" s="46"/>
      <c r="V23" s="39">
        <f t="shared" si="3"/>
        <v>7.75</v>
      </c>
      <c r="W23" s="35">
        <f t="shared" si="0"/>
        <v>946.74</v>
      </c>
      <c r="X23" s="35">
        <f t="shared" si="1"/>
        <v>1041.414</v>
      </c>
      <c r="Y23" s="40">
        <f t="shared" si="1"/>
        <v>1145.5554000000002</v>
      </c>
      <c r="Z23" s="37">
        <f t="shared" si="2"/>
        <v>-198.81540000000018</v>
      </c>
      <c r="AA23" s="41"/>
      <c r="AE23" t="s">
        <v>93</v>
      </c>
    </row>
    <row r="24" spans="3:31" ht="15.75" x14ac:dyDescent="0.25">
      <c r="C24" s="29" t="s">
        <v>94</v>
      </c>
      <c r="D24" s="30" t="s">
        <v>104</v>
      </c>
      <c r="E24" s="29" t="s">
        <v>13</v>
      </c>
      <c r="F24" s="29" t="s">
        <v>83</v>
      </c>
      <c r="G24" s="43">
        <v>142.53</v>
      </c>
      <c r="H24" s="44"/>
      <c r="I24" s="45"/>
      <c r="J24" s="45"/>
      <c r="K24" s="45"/>
      <c r="L24" s="45"/>
      <c r="M24" s="45"/>
      <c r="N24" s="45"/>
      <c r="O24" s="45"/>
      <c r="P24" s="45"/>
      <c r="Q24" s="45"/>
      <c r="R24" s="45"/>
      <c r="S24" s="45"/>
      <c r="T24" s="45"/>
      <c r="U24" s="46">
        <v>8</v>
      </c>
      <c r="V24" s="39">
        <f t="shared" si="3"/>
        <v>8</v>
      </c>
      <c r="W24" s="35">
        <f t="shared" si="0"/>
        <v>1140.24</v>
      </c>
      <c r="X24" s="35">
        <f t="shared" si="1"/>
        <v>1254.2640000000001</v>
      </c>
      <c r="Y24" s="40">
        <f t="shared" si="1"/>
        <v>1379.6904000000002</v>
      </c>
      <c r="Z24" s="37">
        <f t="shared" si="2"/>
        <v>-239.45040000000017</v>
      </c>
      <c r="AA24" s="41"/>
      <c r="AE24" t="s">
        <v>93</v>
      </c>
    </row>
    <row r="25" spans="3:31" ht="15.75" x14ac:dyDescent="0.25">
      <c r="C25" s="29" t="s">
        <v>90</v>
      </c>
      <c r="D25" s="30" t="s">
        <v>109</v>
      </c>
      <c r="E25" s="29" t="s">
        <v>47</v>
      </c>
      <c r="F25" s="29" t="s">
        <v>83</v>
      </c>
      <c r="G25" s="52">
        <v>84.23</v>
      </c>
      <c r="H25" s="44"/>
      <c r="I25" s="45"/>
      <c r="J25" s="45"/>
      <c r="K25" s="45"/>
      <c r="L25" s="45"/>
      <c r="M25" s="45"/>
      <c r="N25" s="45"/>
      <c r="O25" s="45"/>
      <c r="P25" s="45"/>
      <c r="Q25" s="45"/>
      <c r="R25" s="45"/>
      <c r="S25" s="45"/>
      <c r="T25" s="45"/>
      <c r="U25" s="46">
        <v>7.5</v>
      </c>
      <c r="V25" s="39">
        <f t="shared" si="3"/>
        <v>7.5</v>
      </c>
      <c r="W25" s="35">
        <f t="shared" si="0"/>
        <v>631.73</v>
      </c>
      <c r="X25" s="35">
        <f t="shared" si="1"/>
        <v>694.90300000000002</v>
      </c>
      <c r="Y25" s="40">
        <f t="shared" si="1"/>
        <v>764.39330000000007</v>
      </c>
      <c r="Z25" s="37">
        <f t="shared" si="2"/>
        <v>-132.66330000000005</v>
      </c>
      <c r="AA25" s="41"/>
      <c r="AE25" t="s">
        <v>93</v>
      </c>
    </row>
    <row r="26" spans="3:31" ht="15.75" x14ac:dyDescent="0.25">
      <c r="C26" s="29" t="s">
        <v>94</v>
      </c>
      <c r="D26" s="30" t="s">
        <v>107</v>
      </c>
      <c r="E26" s="53" t="s">
        <v>13</v>
      </c>
      <c r="F26" s="53" t="s">
        <v>83</v>
      </c>
      <c r="G26" s="31">
        <v>142.53</v>
      </c>
      <c r="H26" s="54"/>
      <c r="I26" s="32"/>
      <c r="J26" s="32"/>
      <c r="K26" s="32"/>
      <c r="L26" s="32"/>
      <c r="M26" s="32"/>
      <c r="N26" s="32"/>
      <c r="O26" s="32"/>
      <c r="P26" s="32"/>
      <c r="Q26" s="32"/>
      <c r="R26" s="32"/>
      <c r="S26" s="32"/>
      <c r="T26" s="32"/>
      <c r="U26" s="33">
        <v>7.75</v>
      </c>
      <c r="V26" s="39">
        <f t="shared" ref="V26:V28" si="4">SUM(H26:U26)</f>
        <v>7.75</v>
      </c>
      <c r="W26" s="35">
        <f t="shared" si="0"/>
        <v>1104.6099999999999</v>
      </c>
      <c r="X26" s="55"/>
      <c r="Y26" s="56"/>
      <c r="Z26" s="57"/>
      <c r="AA26" s="58"/>
    </row>
    <row r="27" spans="3:31" ht="15.75" x14ac:dyDescent="0.25">
      <c r="C27" s="29"/>
      <c r="D27" s="30"/>
      <c r="E27" s="53"/>
      <c r="F27" s="53"/>
      <c r="G27" s="31"/>
      <c r="H27" s="54"/>
      <c r="I27" s="32"/>
      <c r="J27" s="32"/>
      <c r="K27" s="32"/>
      <c r="L27" s="32"/>
      <c r="M27" s="32"/>
      <c r="N27" s="32"/>
      <c r="O27" s="32"/>
      <c r="P27" s="32"/>
      <c r="Q27" s="32"/>
      <c r="R27" s="32"/>
      <c r="S27" s="32"/>
      <c r="T27" s="32"/>
      <c r="U27" s="33"/>
      <c r="V27" s="39">
        <f t="shared" si="4"/>
        <v>0</v>
      </c>
      <c r="W27" s="35">
        <f t="shared" si="0"/>
        <v>0</v>
      </c>
      <c r="X27" s="55"/>
      <c r="Y27" s="56"/>
      <c r="Z27" s="57"/>
      <c r="AA27" s="58"/>
    </row>
    <row r="28" spans="3:31" ht="15.75" x14ac:dyDescent="0.25">
      <c r="C28" s="29"/>
      <c r="D28" s="30"/>
      <c r="E28" s="53"/>
      <c r="F28" s="53"/>
      <c r="G28" s="31"/>
      <c r="H28" s="54"/>
      <c r="I28" s="32"/>
      <c r="J28" s="32"/>
      <c r="K28" s="32"/>
      <c r="L28" s="32"/>
      <c r="M28" s="32"/>
      <c r="N28" s="32"/>
      <c r="O28" s="32"/>
      <c r="P28" s="32"/>
      <c r="Q28" s="32"/>
      <c r="R28" s="32"/>
      <c r="S28" s="32"/>
      <c r="T28" s="32"/>
      <c r="U28" s="33"/>
      <c r="V28" s="39">
        <f t="shared" si="4"/>
        <v>0</v>
      </c>
      <c r="W28" s="35">
        <f t="shared" si="0"/>
        <v>0</v>
      </c>
      <c r="X28" s="55"/>
      <c r="Y28" s="56"/>
      <c r="Z28" s="57"/>
      <c r="AA28" s="58"/>
    </row>
    <row r="29" spans="3:31" ht="15.75" x14ac:dyDescent="0.25">
      <c r="C29" s="29"/>
      <c r="D29" s="30"/>
      <c r="E29" s="59"/>
      <c r="F29" s="59"/>
      <c r="G29" s="60"/>
      <c r="H29" s="61"/>
      <c r="I29" s="62"/>
      <c r="J29" s="62"/>
      <c r="K29" s="62"/>
      <c r="L29" s="62"/>
      <c r="M29" s="62"/>
      <c r="N29" s="62"/>
      <c r="O29" s="62"/>
      <c r="P29" s="62"/>
      <c r="Q29" s="62"/>
      <c r="R29" s="62"/>
      <c r="S29" s="62"/>
      <c r="T29" s="62"/>
      <c r="U29" s="63"/>
      <c r="V29" s="64">
        <f t="shared" si="3"/>
        <v>0</v>
      </c>
      <c r="W29" s="65">
        <f t="shared" si="0"/>
        <v>0</v>
      </c>
      <c r="X29" s="65">
        <f t="shared" si="1"/>
        <v>0</v>
      </c>
      <c r="Y29" s="66">
        <f t="shared" si="1"/>
        <v>0</v>
      </c>
      <c r="Z29" s="67">
        <f t="shared" si="2"/>
        <v>0</v>
      </c>
      <c r="AA29" s="68"/>
    </row>
    <row r="30" spans="3:31" ht="16.5" thickBot="1" x14ac:dyDescent="0.3">
      <c r="C30" s="69"/>
      <c r="D30" s="70"/>
      <c r="E30" s="69"/>
      <c r="F30" s="69"/>
      <c r="G30" s="71"/>
      <c r="H30" s="72">
        <f t="shared" ref="H30:U30" si="5">SUM(H10:H29)</f>
        <v>0</v>
      </c>
      <c r="I30" s="73">
        <f t="shared" si="5"/>
        <v>0</v>
      </c>
      <c r="J30" s="73">
        <f t="shared" si="5"/>
        <v>15.75</v>
      </c>
      <c r="K30" s="73">
        <f t="shared" si="5"/>
        <v>7.75</v>
      </c>
      <c r="L30" s="73">
        <f t="shared" si="5"/>
        <v>0</v>
      </c>
      <c r="M30" s="73">
        <f t="shared" si="5"/>
        <v>7.5</v>
      </c>
      <c r="N30" s="73">
        <f t="shared" si="5"/>
        <v>0</v>
      </c>
      <c r="O30" s="73">
        <f t="shared" si="5"/>
        <v>7.5</v>
      </c>
      <c r="P30" s="73">
        <f t="shared" si="5"/>
        <v>0</v>
      </c>
      <c r="Q30" s="73">
        <f t="shared" si="5"/>
        <v>15.75</v>
      </c>
      <c r="R30" s="73">
        <f t="shared" si="5"/>
        <v>8</v>
      </c>
      <c r="S30" s="73">
        <f t="shared" si="5"/>
        <v>22.75</v>
      </c>
      <c r="T30" s="73">
        <f t="shared" si="5"/>
        <v>23.25</v>
      </c>
      <c r="U30" s="74">
        <f t="shared" si="5"/>
        <v>23.25</v>
      </c>
      <c r="V30" s="75">
        <f t="shared" ref="V30" si="6">SUM(H30:U30)</f>
        <v>131.5</v>
      </c>
      <c r="W30" s="76">
        <f>SUM(W10:W29)</f>
        <v>11801.58</v>
      </c>
      <c r="X30" s="76">
        <f>SUM(X10:X29)</f>
        <v>11299.299000000005</v>
      </c>
      <c r="Y30" s="76">
        <f>SUM(Y10:Y29)</f>
        <v>16293.8927</v>
      </c>
      <c r="Z30" s="77">
        <f>SUM(Z10:Z29)</f>
        <v>-6021.802700000002</v>
      </c>
    </row>
    <row r="31" spans="3:31" ht="16.5" thickTop="1" x14ac:dyDescent="0.25">
      <c r="C31" s="78"/>
      <c r="D31" s="79"/>
      <c r="E31" s="80"/>
      <c r="F31" s="78"/>
      <c r="G31" s="81"/>
      <c r="H31" s="82">
        <f t="shared" ref="H31:W34" si="7">SUMIFS(H$10:H$29,$E$10:$E$29,$E31)</f>
        <v>0</v>
      </c>
      <c r="I31" s="83">
        <f t="shared" si="7"/>
        <v>0</v>
      </c>
      <c r="J31" s="83">
        <f t="shared" si="7"/>
        <v>0</v>
      </c>
      <c r="K31" s="83">
        <f t="shared" si="7"/>
        <v>0</v>
      </c>
      <c r="L31" s="83">
        <f t="shared" si="7"/>
        <v>0</v>
      </c>
      <c r="M31" s="83">
        <f t="shared" si="7"/>
        <v>0</v>
      </c>
      <c r="N31" s="83">
        <f t="shared" si="7"/>
        <v>0</v>
      </c>
      <c r="O31" s="83">
        <f t="shared" si="7"/>
        <v>0</v>
      </c>
      <c r="P31" s="83">
        <f t="shared" si="7"/>
        <v>0</v>
      </c>
      <c r="Q31" s="83">
        <f t="shared" si="7"/>
        <v>0</v>
      </c>
      <c r="R31" s="83">
        <f t="shared" si="7"/>
        <v>0</v>
      </c>
      <c r="S31" s="83">
        <f t="shared" si="7"/>
        <v>0</v>
      </c>
      <c r="T31" s="83">
        <f t="shared" si="7"/>
        <v>0</v>
      </c>
      <c r="U31" s="84">
        <f t="shared" si="7"/>
        <v>0</v>
      </c>
      <c r="V31" s="85">
        <f t="shared" si="7"/>
        <v>0</v>
      </c>
      <c r="W31" s="86">
        <f t="shared" si="7"/>
        <v>0</v>
      </c>
      <c r="X31" s="86">
        <f t="shared" ref="R31:Z34" si="8">SUMIFS(X$10:X$29,$E$10:$E$29,$E31)</f>
        <v>0</v>
      </c>
      <c r="Y31" s="86">
        <f t="shared" si="8"/>
        <v>0</v>
      </c>
      <c r="Z31" s="87">
        <f t="shared" si="8"/>
        <v>0</v>
      </c>
    </row>
    <row r="32" spans="3:31" ht="15.75" x14ac:dyDescent="0.25">
      <c r="C32" s="88"/>
      <c r="D32" s="89" t="s">
        <v>110</v>
      </c>
      <c r="E32" s="90" t="s">
        <v>97</v>
      </c>
      <c r="F32" s="88"/>
      <c r="G32" s="91" t="e">
        <f t="shared" ref="G32:G34" si="9">W32/V32</f>
        <v>#DIV/0!</v>
      </c>
      <c r="H32" s="92">
        <f t="shared" si="7"/>
        <v>0</v>
      </c>
      <c r="I32" s="93">
        <f t="shared" si="7"/>
        <v>0</v>
      </c>
      <c r="J32" s="93">
        <f t="shared" si="7"/>
        <v>0</v>
      </c>
      <c r="K32" s="93">
        <f t="shared" si="7"/>
        <v>0</v>
      </c>
      <c r="L32" s="93">
        <f t="shared" si="7"/>
        <v>0</v>
      </c>
      <c r="M32" s="93">
        <f t="shared" si="7"/>
        <v>0</v>
      </c>
      <c r="N32" s="93">
        <f t="shared" si="7"/>
        <v>0</v>
      </c>
      <c r="O32" s="93">
        <f t="shared" si="7"/>
        <v>0</v>
      </c>
      <c r="P32" s="93">
        <f t="shared" si="7"/>
        <v>0</v>
      </c>
      <c r="Q32" s="93">
        <f t="shared" si="7"/>
        <v>0</v>
      </c>
      <c r="R32" s="93">
        <f t="shared" si="8"/>
        <v>0</v>
      </c>
      <c r="S32" s="93">
        <f t="shared" si="8"/>
        <v>0</v>
      </c>
      <c r="T32" s="93">
        <f t="shared" si="8"/>
        <v>0</v>
      </c>
      <c r="U32" s="94">
        <f t="shared" si="8"/>
        <v>0</v>
      </c>
      <c r="V32" s="95">
        <f t="shared" si="8"/>
        <v>0</v>
      </c>
      <c r="W32" s="96">
        <f t="shared" si="8"/>
        <v>0</v>
      </c>
      <c r="X32" s="96">
        <f t="shared" si="8"/>
        <v>0</v>
      </c>
      <c r="Y32" s="96">
        <f t="shared" si="8"/>
        <v>0</v>
      </c>
      <c r="Z32" s="97">
        <f t="shared" si="8"/>
        <v>0</v>
      </c>
    </row>
    <row r="33" spans="3:32" ht="15.75" x14ac:dyDescent="0.25">
      <c r="C33" s="88"/>
      <c r="D33" s="89" t="s">
        <v>110</v>
      </c>
      <c r="E33" s="90" t="s">
        <v>47</v>
      </c>
      <c r="F33" s="88"/>
      <c r="G33" s="91">
        <f t="shared" si="9"/>
        <v>64.314528301886796</v>
      </c>
      <c r="H33" s="92">
        <f t="shared" si="7"/>
        <v>0</v>
      </c>
      <c r="I33" s="93">
        <f t="shared" si="7"/>
        <v>0</v>
      </c>
      <c r="J33" s="93">
        <f t="shared" si="7"/>
        <v>8</v>
      </c>
      <c r="K33" s="93">
        <f t="shared" si="7"/>
        <v>0</v>
      </c>
      <c r="L33" s="93">
        <f t="shared" si="7"/>
        <v>0</v>
      </c>
      <c r="M33" s="93">
        <f t="shared" si="7"/>
        <v>7.5</v>
      </c>
      <c r="N33" s="93">
        <f t="shared" si="7"/>
        <v>0</v>
      </c>
      <c r="O33" s="93">
        <f t="shared" si="7"/>
        <v>7.5</v>
      </c>
      <c r="P33" s="93">
        <f t="shared" si="7"/>
        <v>0</v>
      </c>
      <c r="Q33" s="93">
        <f t="shared" si="7"/>
        <v>0</v>
      </c>
      <c r="R33" s="93">
        <f t="shared" si="8"/>
        <v>0</v>
      </c>
      <c r="S33" s="93">
        <f t="shared" si="8"/>
        <v>15</v>
      </c>
      <c r="T33" s="93">
        <f t="shared" si="8"/>
        <v>7.5</v>
      </c>
      <c r="U33" s="94">
        <f t="shared" si="8"/>
        <v>7.5</v>
      </c>
      <c r="V33" s="95">
        <f t="shared" si="8"/>
        <v>53</v>
      </c>
      <c r="W33" s="96">
        <f t="shared" si="8"/>
        <v>3408.67</v>
      </c>
      <c r="X33" s="96">
        <f t="shared" si="8"/>
        <v>3282.1690000000008</v>
      </c>
      <c r="Y33" s="96">
        <f t="shared" si="8"/>
        <v>6317.1619000000001</v>
      </c>
      <c r="Z33" s="97">
        <f t="shared" si="8"/>
        <v>-3333.3719000000006</v>
      </c>
    </row>
    <row r="34" spans="3:32" ht="15.75" x14ac:dyDescent="0.25">
      <c r="C34" s="98"/>
      <c r="D34" s="99" t="s">
        <v>110</v>
      </c>
      <c r="E34" s="100" t="s">
        <v>100</v>
      </c>
      <c r="F34" s="98"/>
      <c r="G34" s="101" t="e">
        <f t="shared" si="9"/>
        <v>#DIV/0!</v>
      </c>
      <c r="H34" s="102">
        <f t="shared" si="7"/>
        <v>0</v>
      </c>
      <c r="I34" s="103">
        <f t="shared" si="7"/>
        <v>0</v>
      </c>
      <c r="J34" s="103">
        <f t="shared" si="7"/>
        <v>0</v>
      </c>
      <c r="K34" s="103">
        <f t="shared" si="7"/>
        <v>0</v>
      </c>
      <c r="L34" s="103">
        <f t="shared" si="7"/>
        <v>0</v>
      </c>
      <c r="M34" s="103">
        <f t="shared" si="7"/>
        <v>0</v>
      </c>
      <c r="N34" s="103">
        <f t="shared" si="7"/>
        <v>0</v>
      </c>
      <c r="O34" s="103">
        <f t="shared" si="7"/>
        <v>0</v>
      </c>
      <c r="P34" s="103">
        <f t="shared" si="7"/>
        <v>0</v>
      </c>
      <c r="Q34" s="103">
        <f t="shared" si="7"/>
        <v>0</v>
      </c>
      <c r="R34" s="103">
        <f t="shared" si="8"/>
        <v>0</v>
      </c>
      <c r="S34" s="103">
        <f t="shared" si="8"/>
        <v>0</v>
      </c>
      <c r="T34" s="103">
        <f t="shared" si="8"/>
        <v>0</v>
      </c>
      <c r="U34" s="104">
        <f t="shared" si="8"/>
        <v>0</v>
      </c>
      <c r="V34" s="105">
        <f t="shared" si="8"/>
        <v>0</v>
      </c>
      <c r="W34" s="106">
        <f t="shared" si="8"/>
        <v>0</v>
      </c>
      <c r="X34" s="106">
        <f t="shared" si="8"/>
        <v>0</v>
      </c>
      <c r="Y34" s="106">
        <f t="shared" si="8"/>
        <v>0</v>
      </c>
      <c r="Z34" s="107">
        <f t="shared" si="8"/>
        <v>0</v>
      </c>
    </row>
    <row r="35" spans="3:32" ht="16.5" thickBot="1" x14ac:dyDescent="0.3">
      <c r="C35" s="108"/>
      <c r="D35" s="109" t="s">
        <v>110</v>
      </c>
      <c r="E35" s="108"/>
      <c r="F35" s="108"/>
      <c r="G35" s="110"/>
      <c r="H35" s="111">
        <f>SUM(H31:H34)</f>
        <v>0</v>
      </c>
      <c r="I35" s="112">
        <f t="shared" ref="I35:Z35" si="10">SUM(I31:I34)</f>
        <v>0</v>
      </c>
      <c r="J35" s="112">
        <f t="shared" si="10"/>
        <v>8</v>
      </c>
      <c r="K35" s="112">
        <f t="shared" si="10"/>
        <v>0</v>
      </c>
      <c r="L35" s="112">
        <f t="shared" si="10"/>
        <v>0</v>
      </c>
      <c r="M35" s="112">
        <f t="shared" si="10"/>
        <v>7.5</v>
      </c>
      <c r="N35" s="112">
        <f t="shared" si="10"/>
        <v>0</v>
      </c>
      <c r="O35" s="112">
        <f t="shared" si="10"/>
        <v>7.5</v>
      </c>
      <c r="P35" s="112">
        <f t="shared" si="10"/>
        <v>0</v>
      </c>
      <c r="Q35" s="112">
        <f t="shared" si="10"/>
        <v>0</v>
      </c>
      <c r="R35" s="112">
        <f t="shared" si="10"/>
        <v>0</v>
      </c>
      <c r="S35" s="112">
        <f t="shared" si="10"/>
        <v>15</v>
      </c>
      <c r="T35" s="112">
        <f t="shared" si="10"/>
        <v>7.5</v>
      </c>
      <c r="U35" s="113">
        <f t="shared" si="10"/>
        <v>7.5</v>
      </c>
      <c r="V35" s="114">
        <f t="shared" si="10"/>
        <v>53</v>
      </c>
      <c r="W35" s="115">
        <f t="shared" si="10"/>
        <v>3408.67</v>
      </c>
      <c r="X35" s="115">
        <f t="shared" si="10"/>
        <v>3282.1690000000008</v>
      </c>
      <c r="Y35" s="115">
        <f t="shared" si="10"/>
        <v>6317.1619000000001</v>
      </c>
      <c r="Z35" s="116">
        <f t="shared" si="10"/>
        <v>-3333.3719000000006</v>
      </c>
      <c r="AA35" s="117"/>
      <c r="AB35" s="117"/>
      <c r="AC35" s="118"/>
      <c r="AD35" s="118"/>
      <c r="AE35" s="118"/>
      <c r="AF35" s="118"/>
    </row>
    <row r="36" spans="3:32" ht="15.75" thickTop="1" x14ac:dyDescent="0.25">
      <c r="C36" s="9"/>
      <c r="D36" s="9"/>
      <c r="E36" s="9"/>
      <c r="F36" s="9"/>
      <c r="G36" s="9"/>
      <c r="H36" s="9"/>
      <c r="I36" s="9"/>
      <c r="J36" s="9"/>
      <c r="K36" s="9"/>
      <c r="L36" s="9"/>
      <c r="M36" s="9"/>
      <c r="N36" s="9"/>
      <c r="O36" s="9"/>
      <c r="P36" s="9"/>
      <c r="Q36" s="9"/>
      <c r="R36" s="9"/>
      <c r="S36" s="9"/>
      <c r="T36" s="9"/>
      <c r="U36" s="9"/>
      <c r="V36" s="9"/>
      <c r="W36" s="9"/>
      <c r="AC36" s="9"/>
      <c r="AD36" s="9"/>
      <c r="AE36" s="9"/>
      <c r="AF36" s="9"/>
    </row>
    <row r="37" spans="3:32" ht="15.75" x14ac:dyDescent="0.25">
      <c r="C37" s="119" t="s">
        <v>111</v>
      </c>
      <c r="D37" s="120" t="s">
        <v>112</v>
      </c>
      <c r="E37" s="121" t="s">
        <v>113</v>
      </c>
      <c r="F37" s="122" t="s">
        <v>114</v>
      </c>
      <c r="G37" s="123"/>
      <c r="H37" s="9"/>
      <c r="I37" s="9"/>
      <c r="J37" s="9"/>
      <c r="K37" s="9"/>
      <c r="L37" s="9"/>
      <c r="M37" s="9"/>
      <c r="N37" s="9"/>
      <c r="O37" s="9"/>
      <c r="P37" s="9"/>
      <c r="Q37" s="9"/>
      <c r="R37" s="9"/>
      <c r="S37" s="9"/>
      <c r="T37" s="9"/>
      <c r="U37" s="9"/>
      <c r="V37" s="9"/>
      <c r="W37" s="9"/>
      <c r="AC37" s="9"/>
      <c r="AD37" s="9"/>
      <c r="AE37" s="9"/>
      <c r="AF37" s="9"/>
    </row>
    <row r="38" spans="3:32" ht="15.75" x14ac:dyDescent="0.25">
      <c r="C38" s="124" t="s">
        <v>115</v>
      </c>
      <c r="D38" s="125"/>
      <c r="E38" s="126"/>
      <c r="F38" s="127"/>
      <c r="G38" s="128"/>
      <c r="H38" s="9"/>
      <c r="I38" s="9"/>
      <c r="J38" s="9"/>
      <c r="K38" s="9"/>
      <c r="L38" s="9"/>
      <c r="M38" s="9"/>
      <c r="N38" s="9"/>
      <c r="O38" s="9"/>
      <c r="P38" s="9"/>
      <c r="Q38" s="9"/>
      <c r="R38" s="9"/>
      <c r="S38" s="9"/>
      <c r="T38" s="9"/>
      <c r="U38" s="9"/>
      <c r="V38" s="9"/>
      <c r="W38" s="9"/>
      <c r="AC38" s="9"/>
      <c r="AD38" s="9"/>
      <c r="AE38" s="9"/>
      <c r="AF38" s="9"/>
    </row>
    <row r="39" spans="3:32" ht="15.75" x14ac:dyDescent="0.25">
      <c r="C39" s="129" t="s">
        <v>116</v>
      </c>
      <c r="D39" s="130"/>
      <c r="E39" s="131" t="s">
        <v>113</v>
      </c>
      <c r="F39" s="9"/>
      <c r="G39" s="132"/>
      <c r="H39" s="9"/>
      <c r="I39" s="9"/>
      <c r="J39" s="9"/>
      <c r="K39" s="9"/>
      <c r="L39" s="9"/>
      <c r="M39" s="9"/>
      <c r="N39" s="9"/>
      <c r="O39" s="9"/>
      <c r="P39" s="9"/>
      <c r="Q39" s="9"/>
      <c r="R39" s="9"/>
      <c r="S39" s="9"/>
      <c r="T39" s="9"/>
      <c r="U39" s="9"/>
      <c r="V39" s="9"/>
      <c r="W39" s="9"/>
      <c r="AC39" s="9"/>
      <c r="AD39" s="9"/>
      <c r="AE39" s="9"/>
      <c r="AF39" s="9"/>
    </row>
    <row r="40" spans="3:32" ht="15.75" x14ac:dyDescent="0.25">
      <c r="C40" s="133" t="s">
        <v>117</v>
      </c>
      <c r="D40" s="9"/>
      <c r="E40" s="9"/>
      <c r="F40" s="9"/>
      <c r="G40" s="132"/>
      <c r="H40" s="9"/>
      <c r="I40" s="9"/>
      <c r="J40" s="9"/>
      <c r="K40" s="9"/>
      <c r="L40" s="9"/>
      <c r="M40" s="9"/>
      <c r="N40" s="9"/>
      <c r="O40" s="9"/>
      <c r="P40" s="9"/>
      <c r="Q40" s="9"/>
      <c r="R40" s="9"/>
      <c r="S40" s="9"/>
      <c r="T40" s="9"/>
      <c r="U40" s="9"/>
      <c r="V40" s="9"/>
      <c r="W40" s="9"/>
      <c r="AC40" s="9"/>
      <c r="AD40" s="9"/>
      <c r="AE40" s="9"/>
      <c r="AF40" s="9"/>
    </row>
    <row r="41" spans="3:32" x14ac:dyDescent="0.25">
      <c r="C41" s="9"/>
      <c r="D41" s="9"/>
      <c r="E41" s="9"/>
      <c r="F41" s="9"/>
      <c r="G41" s="9"/>
      <c r="H41" s="9"/>
      <c r="I41" s="9"/>
      <c r="J41" s="9"/>
      <c r="K41" s="9"/>
      <c r="L41" s="9"/>
      <c r="M41" s="9"/>
      <c r="N41" s="9"/>
      <c r="O41" s="9"/>
      <c r="P41" s="9"/>
      <c r="Q41" s="9"/>
      <c r="R41" s="9"/>
      <c r="S41" s="9"/>
      <c r="T41" s="9"/>
      <c r="U41" s="9"/>
      <c r="V41" s="9"/>
      <c r="W41" s="9"/>
      <c r="AC41" s="9"/>
      <c r="AD41" s="9"/>
      <c r="AE41" s="9"/>
    </row>
    <row r="42" spans="3:32" x14ac:dyDescent="0.25">
      <c r="C42" s="9"/>
      <c r="D42" s="9"/>
      <c r="E42" s="9"/>
      <c r="F42" s="9"/>
      <c r="G42" s="9"/>
      <c r="H42" s="9"/>
      <c r="I42" s="9"/>
      <c r="J42" s="9"/>
      <c r="K42" s="9"/>
      <c r="L42" s="9"/>
      <c r="M42" s="9"/>
      <c r="N42" s="9"/>
      <c r="O42" s="9"/>
      <c r="P42" s="9"/>
      <c r="Q42" s="9"/>
      <c r="R42" s="9"/>
      <c r="S42" s="9"/>
      <c r="T42" s="9"/>
      <c r="U42" s="9"/>
      <c r="V42" s="9"/>
      <c r="W42" s="9"/>
      <c r="AC42" s="9"/>
      <c r="AD42" s="9"/>
      <c r="AE42" s="9"/>
    </row>
    <row r="43" spans="3:32" x14ac:dyDescent="0.25">
      <c r="C43" s="9"/>
      <c r="D43" s="9"/>
      <c r="E43" s="9"/>
      <c r="F43" s="9"/>
      <c r="G43" s="9"/>
      <c r="H43" s="9"/>
      <c r="I43" s="9"/>
      <c r="J43" s="9"/>
      <c r="K43" s="9"/>
      <c r="L43" s="9"/>
      <c r="M43" s="9"/>
      <c r="N43" s="9"/>
      <c r="O43" s="9"/>
      <c r="P43" s="9"/>
      <c r="Q43" s="9"/>
      <c r="R43" s="9"/>
      <c r="S43" s="9"/>
      <c r="T43" s="9"/>
      <c r="U43" s="9"/>
      <c r="V43" s="9"/>
      <c r="W43" s="9"/>
      <c r="AC43" s="9"/>
      <c r="AD43" s="9"/>
      <c r="AE43" s="9"/>
    </row>
    <row r="44" spans="3:32" x14ac:dyDescent="0.25">
      <c r="C44" s="9"/>
      <c r="D44" s="9"/>
      <c r="E44" s="9"/>
      <c r="F44" s="9"/>
      <c r="G44" s="9"/>
      <c r="H44" s="9"/>
      <c r="I44" s="9"/>
      <c r="J44" s="9"/>
      <c r="K44" s="9"/>
      <c r="L44" s="9"/>
      <c r="M44" s="9"/>
      <c r="N44" s="9"/>
      <c r="O44" s="9"/>
      <c r="P44" s="9"/>
      <c r="Q44" s="9"/>
      <c r="R44" s="9"/>
      <c r="S44" s="9"/>
      <c r="T44" s="9"/>
      <c r="U44" s="9"/>
      <c r="V44" s="9"/>
      <c r="W44" s="9"/>
      <c r="AC44" s="9"/>
      <c r="AD44" s="9"/>
      <c r="AE44" s="9"/>
    </row>
    <row r="45" spans="3:32" x14ac:dyDescent="0.25">
      <c r="C45" s="9"/>
      <c r="D45" s="9"/>
      <c r="E45" s="9"/>
      <c r="F45" s="9"/>
      <c r="G45" s="9"/>
      <c r="H45" s="9"/>
      <c r="I45" s="9"/>
      <c r="J45" s="9"/>
      <c r="K45" s="9"/>
      <c r="L45" s="9"/>
      <c r="M45" s="9"/>
      <c r="N45" s="9"/>
      <c r="O45" s="9"/>
      <c r="P45" s="9"/>
      <c r="Q45" s="9"/>
      <c r="R45" s="9"/>
      <c r="S45" s="9"/>
      <c r="T45" s="9"/>
      <c r="U45" s="9"/>
      <c r="V45" s="9"/>
      <c r="W45" s="9"/>
      <c r="AC45" s="9"/>
      <c r="AD45" s="9"/>
      <c r="AE45" s="9"/>
    </row>
    <row r="46" spans="3:32" x14ac:dyDescent="0.25">
      <c r="C46" s="9"/>
      <c r="D46" s="9"/>
      <c r="E46" s="9"/>
      <c r="F46" s="9"/>
      <c r="G46" s="9"/>
      <c r="H46" s="9"/>
      <c r="I46" s="9"/>
      <c r="J46" s="9"/>
      <c r="K46" s="9"/>
      <c r="L46" s="9"/>
      <c r="M46" s="9"/>
      <c r="N46" s="9"/>
      <c r="O46" s="9"/>
      <c r="P46" s="9"/>
      <c r="Q46" s="9"/>
      <c r="R46" s="9"/>
      <c r="S46" s="9"/>
      <c r="T46" s="9"/>
      <c r="U46" s="9"/>
      <c r="V46" s="9"/>
      <c r="W46" s="9"/>
      <c r="AC46" s="9"/>
      <c r="AD46" s="9"/>
      <c r="AE46" s="9"/>
    </row>
    <row r="47" spans="3:32" x14ac:dyDescent="0.25">
      <c r="C47" s="9"/>
      <c r="D47" s="9"/>
      <c r="E47" s="9"/>
      <c r="F47" s="9"/>
      <c r="G47" s="9"/>
      <c r="H47" s="9"/>
      <c r="I47" s="9"/>
      <c r="J47" s="9"/>
      <c r="K47" s="9"/>
      <c r="L47" s="9"/>
      <c r="M47" s="9"/>
      <c r="N47" s="9"/>
      <c r="O47" s="9"/>
      <c r="P47" s="9"/>
      <c r="Q47" s="9"/>
      <c r="R47" s="9"/>
      <c r="S47" s="9"/>
      <c r="T47" s="9"/>
      <c r="U47" s="9"/>
      <c r="V47" s="9"/>
      <c r="W47" s="9"/>
      <c r="AC47" s="9"/>
      <c r="AD47" s="9"/>
      <c r="AE47" s="9"/>
    </row>
    <row r="48" spans="3:32" x14ac:dyDescent="0.25">
      <c r="C48" s="9"/>
      <c r="D48" s="9"/>
      <c r="E48" s="9"/>
      <c r="F48" s="9"/>
      <c r="G48" s="9"/>
      <c r="H48" s="9"/>
      <c r="I48" s="9"/>
      <c r="J48" s="9"/>
      <c r="K48" s="9"/>
      <c r="L48" s="9"/>
      <c r="M48" s="9"/>
      <c r="N48" s="9"/>
      <c r="O48" s="9"/>
      <c r="P48" s="9"/>
      <c r="Q48" s="9"/>
      <c r="R48" s="9"/>
      <c r="S48" s="9"/>
      <c r="T48" s="9"/>
      <c r="U48" s="9"/>
      <c r="V48" s="9"/>
      <c r="W48" s="9"/>
      <c r="AC48" s="9"/>
      <c r="AD48" s="9"/>
      <c r="AE48" s="9"/>
    </row>
    <row r="49" spans="3:31" x14ac:dyDescent="0.25">
      <c r="C49" s="9"/>
      <c r="D49" s="9"/>
      <c r="E49" s="9"/>
      <c r="F49" s="9"/>
      <c r="G49" s="9"/>
      <c r="H49" s="9"/>
      <c r="I49" s="9"/>
      <c r="J49" s="9"/>
      <c r="K49" s="9"/>
      <c r="L49" s="9"/>
      <c r="M49" s="9"/>
      <c r="N49" s="9"/>
      <c r="O49" s="9"/>
      <c r="P49" s="9"/>
      <c r="Q49" s="9"/>
      <c r="R49" s="9"/>
      <c r="S49" s="9"/>
      <c r="T49" s="9"/>
      <c r="U49" s="9"/>
      <c r="V49" s="9"/>
      <c r="W49" s="9"/>
      <c r="AC49" s="9"/>
      <c r="AD49" s="9"/>
      <c r="AE49" s="9"/>
    </row>
    <row r="50" spans="3:31" x14ac:dyDescent="0.25">
      <c r="C50" s="9"/>
      <c r="D50" s="9"/>
      <c r="E50" s="9"/>
      <c r="F50" s="9"/>
      <c r="G50" s="9"/>
      <c r="H50" s="9"/>
      <c r="I50" s="9"/>
      <c r="J50" s="9"/>
      <c r="K50" s="9"/>
      <c r="L50" s="9"/>
      <c r="M50" s="9"/>
      <c r="N50" s="9"/>
      <c r="O50" s="9"/>
      <c r="P50" s="9"/>
      <c r="Q50" s="9"/>
      <c r="R50" s="9"/>
      <c r="S50" s="9"/>
      <c r="T50" s="9"/>
      <c r="U50" s="9"/>
      <c r="V50" s="9"/>
      <c r="W50" s="9"/>
      <c r="AC50" s="9"/>
      <c r="AD50" s="9"/>
      <c r="AE50" s="9"/>
    </row>
    <row r="51" spans="3:31" x14ac:dyDescent="0.25">
      <c r="C51" s="9"/>
      <c r="D51" s="9"/>
      <c r="E51" s="9"/>
      <c r="F51" s="9"/>
      <c r="G51" s="9"/>
      <c r="H51" s="9"/>
      <c r="I51" s="9"/>
      <c r="J51" s="9"/>
      <c r="K51" s="9"/>
      <c r="L51" s="9"/>
      <c r="M51" s="9"/>
      <c r="N51" s="9"/>
      <c r="O51" s="9"/>
      <c r="P51" s="9"/>
      <c r="Q51" s="9"/>
      <c r="R51" s="9"/>
      <c r="S51" s="9"/>
      <c r="T51" s="9"/>
      <c r="U51" s="9"/>
      <c r="V51" s="9"/>
      <c r="W51" s="9"/>
      <c r="AC51" s="9"/>
      <c r="AD51" s="9"/>
      <c r="AE51" s="9"/>
    </row>
    <row r="52" spans="3:31" x14ac:dyDescent="0.25">
      <c r="C52" s="9"/>
      <c r="D52" s="9"/>
      <c r="E52" s="9"/>
      <c r="F52" s="9"/>
      <c r="G52" s="9"/>
      <c r="H52" s="9"/>
      <c r="I52" s="9"/>
      <c r="J52" s="9"/>
      <c r="K52" s="9"/>
      <c r="L52" s="9"/>
      <c r="M52" s="9"/>
      <c r="N52" s="9"/>
      <c r="O52" s="9"/>
      <c r="P52" s="9"/>
      <c r="Q52" s="9"/>
      <c r="R52" s="9"/>
      <c r="S52" s="9"/>
      <c r="T52" s="9"/>
      <c r="U52" s="9"/>
      <c r="V52" s="9"/>
      <c r="W52" s="9"/>
      <c r="AC52" s="9"/>
      <c r="AD52" s="9"/>
      <c r="AE52" s="9"/>
    </row>
    <row r="53" spans="3:31" x14ac:dyDescent="0.25">
      <c r="C53" s="9"/>
      <c r="D53" s="9"/>
      <c r="E53" s="9"/>
      <c r="F53" s="9"/>
      <c r="G53" s="9"/>
      <c r="H53" s="9"/>
      <c r="I53" s="9"/>
      <c r="J53" s="9"/>
      <c r="K53" s="9"/>
      <c r="L53" s="9"/>
      <c r="M53" s="9"/>
      <c r="N53" s="9"/>
      <c r="O53" s="9"/>
      <c r="P53" s="9"/>
      <c r="Q53" s="9"/>
      <c r="R53" s="9"/>
      <c r="S53" s="9"/>
      <c r="T53" s="9"/>
      <c r="U53" s="9"/>
      <c r="V53" s="9"/>
      <c r="W53" s="9"/>
      <c r="AC53" s="9"/>
      <c r="AD53" s="9"/>
      <c r="AE53" s="9"/>
    </row>
    <row r="54" spans="3:31" x14ac:dyDescent="0.25">
      <c r="C54" s="9"/>
      <c r="D54" s="9"/>
      <c r="E54" s="9"/>
      <c r="F54" s="9"/>
      <c r="G54" s="9"/>
      <c r="H54" s="9"/>
      <c r="I54" s="9"/>
      <c r="J54" s="9"/>
      <c r="K54" s="9"/>
      <c r="L54" s="9"/>
      <c r="M54" s="9"/>
      <c r="N54" s="9"/>
      <c r="O54" s="9"/>
      <c r="P54" s="9"/>
      <c r="Q54" s="9"/>
      <c r="R54" s="9"/>
      <c r="S54" s="9"/>
      <c r="T54" s="9"/>
      <c r="U54" s="9"/>
      <c r="V54" s="9"/>
      <c r="W54" s="9"/>
      <c r="AC54" s="9"/>
      <c r="AD54" s="9"/>
      <c r="AE54" s="9"/>
    </row>
    <row r="55" spans="3:31" x14ac:dyDescent="0.25">
      <c r="C55" s="9"/>
      <c r="D55" s="9"/>
      <c r="E55" s="9"/>
      <c r="F55" s="9"/>
      <c r="G55" s="9"/>
      <c r="H55" s="9"/>
      <c r="I55" s="9"/>
      <c r="J55" s="9"/>
      <c r="K55" s="9"/>
      <c r="L55" s="9"/>
      <c r="M55" s="9"/>
      <c r="N55" s="9"/>
      <c r="O55" s="9"/>
      <c r="P55" s="9"/>
      <c r="Q55" s="9"/>
      <c r="R55" s="9"/>
      <c r="S55" s="9"/>
      <c r="T55" s="9"/>
      <c r="U55" s="9"/>
      <c r="V55" s="9"/>
      <c r="W55" s="9"/>
      <c r="AC55" s="9"/>
      <c r="AD55" s="9"/>
      <c r="AE55" s="9"/>
    </row>
    <row r="56" spans="3:31" x14ac:dyDescent="0.25">
      <c r="C56" s="9"/>
      <c r="D56" s="9"/>
      <c r="E56" s="9"/>
      <c r="F56" s="9"/>
      <c r="G56" s="9"/>
      <c r="H56" s="9"/>
      <c r="I56" s="9"/>
      <c r="J56" s="9"/>
      <c r="K56" s="9"/>
      <c r="L56" s="9"/>
      <c r="M56" s="9"/>
      <c r="N56" s="9"/>
      <c r="O56" s="9"/>
      <c r="P56" s="9"/>
      <c r="Q56" s="9"/>
      <c r="R56" s="9"/>
      <c r="S56" s="9"/>
      <c r="T56" s="9"/>
      <c r="U56" s="9"/>
      <c r="V56" s="9"/>
      <c r="W56" s="9"/>
      <c r="AC56" s="9"/>
      <c r="AD56" s="9"/>
      <c r="AE56" s="9"/>
    </row>
    <row r="57" spans="3:31" x14ac:dyDescent="0.25">
      <c r="C57" s="9"/>
      <c r="D57" s="9"/>
      <c r="E57" s="9"/>
      <c r="F57" s="9"/>
      <c r="G57" s="9"/>
      <c r="H57" s="9"/>
      <c r="I57" s="9"/>
      <c r="J57" s="9"/>
      <c r="K57" s="9"/>
      <c r="L57" s="9"/>
      <c r="M57" s="9"/>
      <c r="N57" s="9"/>
      <c r="O57" s="9"/>
      <c r="P57" s="9"/>
      <c r="Q57" s="9"/>
      <c r="R57" s="9"/>
      <c r="S57" s="9"/>
      <c r="T57" s="9"/>
      <c r="U57" s="9"/>
      <c r="V57" s="9"/>
      <c r="W57" s="9"/>
      <c r="AC57" s="9"/>
      <c r="AD57" s="9"/>
      <c r="AE57" s="9"/>
    </row>
    <row r="58" spans="3:31" x14ac:dyDescent="0.25">
      <c r="C58" s="9"/>
      <c r="D58" s="9"/>
      <c r="E58" s="9"/>
      <c r="F58" s="9"/>
      <c r="G58" s="9"/>
      <c r="H58" s="9"/>
      <c r="I58" s="9"/>
      <c r="J58" s="9"/>
      <c r="K58" s="9"/>
      <c r="L58" s="9"/>
      <c r="M58" s="9"/>
      <c r="N58" s="9"/>
      <c r="O58" s="9"/>
      <c r="P58" s="9"/>
      <c r="Q58" s="9"/>
      <c r="R58" s="9"/>
      <c r="S58" s="9"/>
      <c r="T58" s="9"/>
      <c r="U58" s="9"/>
      <c r="V58" s="9"/>
      <c r="W58" s="9"/>
      <c r="AC58" s="9"/>
      <c r="AD58" s="9"/>
      <c r="AE58" s="9"/>
    </row>
    <row r="59" spans="3:31" x14ac:dyDescent="0.25">
      <c r="C59" s="9"/>
      <c r="D59" s="9"/>
      <c r="E59" s="9"/>
      <c r="F59" s="9"/>
      <c r="G59" s="9"/>
      <c r="H59" s="9"/>
      <c r="I59" s="9"/>
      <c r="J59" s="9"/>
      <c r="K59" s="9"/>
      <c r="L59" s="9"/>
      <c r="M59" s="9"/>
      <c r="N59" s="9"/>
      <c r="O59" s="9"/>
      <c r="P59" s="9"/>
      <c r="Q59" s="9"/>
      <c r="R59" s="9"/>
      <c r="S59" s="9"/>
      <c r="T59" s="9"/>
      <c r="U59" s="9"/>
      <c r="V59" s="9"/>
      <c r="W59" s="9"/>
      <c r="AC59" s="9"/>
      <c r="AD59" s="9"/>
      <c r="AE59" s="9"/>
    </row>
    <row r="60" spans="3:31" x14ac:dyDescent="0.25">
      <c r="C60" s="9"/>
      <c r="D60" s="9"/>
      <c r="E60" s="9"/>
      <c r="F60" s="9"/>
      <c r="G60" s="9"/>
      <c r="H60" s="9"/>
      <c r="I60" s="9"/>
      <c r="J60" s="9"/>
      <c r="K60" s="9"/>
      <c r="L60" s="9"/>
      <c r="M60" s="9"/>
      <c r="N60" s="9"/>
      <c r="O60" s="9"/>
      <c r="P60" s="9"/>
      <c r="Q60" s="9"/>
      <c r="R60" s="9"/>
      <c r="S60" s="9"/>
      <c r="T60" s="9"/>
      <c r="U60" s="9"/>
      <c r="V60" s="9"/>
      <c r="W60" s="9"/>
      <c r="AC60" s="9"/>
      <c r="AD60" s="9"/>
      <c r="AE60" s="9"/>
    </row>
    <row r="61" spans="3:31" x14ac:dyDescent="0.25">
      <c r="C61" s="9"/>
      <c r="D61" s="9"/>
      <c r="E61" s="9"/>
      <c r="F61" s="9"/>
      <c r="G61" s="9"/>
      <c r="H61" s="9"/>
      <c r="I61" s="9"/>
      <c r="J61" s="9"/>
      <c r="K61" s="9"/>
      <c r="L61" s="9"/>
      <c r="M61" s="9"/>
      <c r="N61" s="9"/>
      <c r="O61" s="9"/>
      <c r="P61" s="9"/>
      <c r="Q61" s="9"/>
      <c r="R61" s="9"/>
      <c r="S61" s="9"/>
      <c r="T61" s="9"/>
      <c r="U61" s="9"/>
      <c r="V61" s="9"/>
      <c r="W61" s="9"/>
      <c r="AC61" s="9"/>
      <c r="AD61" s="9"/>
      <c r="AE61" s="9"/>
    </row>
    <row r="62" spans="3:31" x14ac:dyDescent="0.25">
      <c r="C62" s="9"/>
      <c r="D62" s="9"/>
      <c r="E62" s="9"/>
      <c r="F62" s="9"/>
      <c r="G62" s="9"/>
      <c r="H62" s="9"/>
      <c r="I62" s="9"/>
      <c r="J62" s="9"/>
      <c r="K62" s="9"/>
      <c r="L62" s="9"/>
      <c r="M62" s="9"/>
      <c r="N62" s="9"/>
      <c r="O62" s="9"/>
      <c r="P62" s="9"/>
      <c r="Q62" s="9"/>
      <c r="R62" s="9"/>
      <c r="S62" s="9"/>
      <c r="T62" s="9"/>
      <c r="U62" s="9"/>
      <c r="V62" s="9"/>
      <c r="W62" s="9"/>
      <c r="AC62" s="9"/>
      <c r="AD62" s="9"/>
      <c r="AE62" s="9"/>
    </row>
    <row r="63" spans="3:31" x14ac:dyDescent="0.25">
      <c r="C63" s="9"/>
      <c r="D63" s="9"/>
      <c r="E63" s="9"/>
      <c r="F63" s="9"/>
      <c r="G63" s="9"/>
      <c r="H63" s="9"/>
      <c r="I63" s="9"/>
      <c r="J63" s="9"/>
      <c r="K63" s="9"/>
      <c r="L63" s="9"/>
      <c r="M63" s="9"/>
      <c r="N63" s="9"/>
      <c r="O63" s="9"/>
      <c r="P63" s="9"/>
      <c r="Q63" s="9"/>
      <c r="R63" s="9"/>
      <c r="S63" s="9"/>
      <c r="T63" s="9"/>
      <c r="U63" s="9"/>
      <c r="V63" s="9"/>
      <c r="W63" s="9"/>
      <c r="AC63" s="9"/>
      <c r="AD63" s="9"/>
      <c r="AE63" s="9"/>
    </row>
    <row r="64" spans="3:31" x14ac:dyDescent="0.25">
      <c r="C64" s="9"/>
      <c r="D64" s="9"/>
      <c r="E64" s="9"/>
      <c r="F64" s="9"/>
      <c r="G64" s="9"/>
      <c r="H64" s="9"/>
      <c r="I64" s="9"/>
      <c r="J64" s="9"/>
      <c r="K64" s="9"/>
      <c r="L64" s="9"/>
      <c r="M64" s="9"/>
      <c r="N64" s="9"/>
      <c r="O64" s="9"/>
      <c r="P64" s="9"/>
      <c r="Q64" s="9"/>
      <c r="R64" s="9"/>
      <c r="S64" s="9"/>
      <c r="T64" s="9"/>
      <c r="U64" s="9"/>
      <c r="V64" s="9"/>
      <c r="W64" s="9"/>
      <c r="AC64" s="9"/>
      <c r="AD64" s="9"/>
      <c r="AE64" s="9"/>
    </row>
    <row r="65" spans="3:31" x14ac:dyDescent="0.25">
      <c r="C65" s="9"/>
      <c r="D65" s="9"/>
      <c r="E65" s="9"/>
      <c r="F65" s="9"/>
      <c r="G65" s="9"/>
      <c r="H65" s="9"/>
      <c r="I65" s="9"/>
      <c r="J65" s="9"/>
      <c r="K65" s="9"/>
      <c r="L65" s="9"/>
      <c r="M65" s="9"/>
      <c r="N65" s="9"/>
      <c r="O65" s="9"/>
      <c r="P65" s="9"/>
      <c r="Q65" s="9"/>
      <c r="R65" s="9"/>
      <c r="S65" s="9"/>
      <c r="T65" s="9"/>
      <c r="U65" s="9"/>
      <c r="V65" s="9"/>
      <c r="W65" s="9"/>
      <c r="AC65" s="9"/>
      <c r="AD65" s="9"/>
      <c r="AE65" s="9"/>
    </row>
    <row r="66" spans="3:31" x14ac:dyDescent="0.25">
      <c r="C66" s="9"/>
      <c r="D66" s="9"/>
      <c r="E66" s="9"/>
      <c r="F66" s="9"/>
      <c r="G66" s="9"/>
      <c r="H66" s="9"/>
      <c r="I66" s="9"/>
      <c r="J66" s="9"/>
      <c r="K66" s="9"/>
      <c r="L66" s="9"/>
      <c r="M66" s="9"/>
      <c r="N66" s="9"/>
      <c r="O66" s="9"/>
      <c r="P66" s="9"/>
      <c r="Q66" s="9"/>
      <c r="R66" s="9"/>
      <c r="S66" s="9"/>
      <c r="T66" s="9"/>
      <c r="U66" s="9"/>
      <c r="V66" s="9"/>
      <c r="W66" s="9"/>
      <c r="AC66" s="9"/>
      <c r="AD66" s="9"/>
      <c r="AE66" s="9"/>
    </row>
    <row r="67" spans="3:31" x14ac:dyDescent="0.25">
      <c r="C67" s="9"/>
      <c r="D67" s="9"/>
      <c r="E67" s="9"/>
      <c r="F67" s="9"/>
      <c r="G67" s="9"/>
      <c r="H67" s="9"/>
      <c r="I67" s="9"/>
      <c r="J67" s="9"/>
      <c r="K67" s="9"/>
      <c r="L67" s="9"/>
      <c r="M67" s="9"/>
      <c r="N67" s="9"/>
      <c r="O67" s="9"/>
      <c r="P67" s="9"/>
      <c r="Q67" s="9"/>
      <c r="R67" s="9"/>
      <c r="S67" s="9"/>
      <c r="T67" s="9"/>
      <c r="U67" s="9"/>
      <c r="V67" s="9"/>
      <c r="W67" s="9"/>
      <c r="AC67" s="9"/>
      <c r="AD67" s="9"/>
      <c r="AE67" s="9"/>
    </row>
    <row r="68" spans="3:31" x14ac:dyDescent="0.25">
      <c r="C68" s="9"/>
      <c r="D68" s="9"/>
      <c r="E68" s="9"/>
      <c r="F68" s="9"/>
      <c r="G68" s="9"/>
      <c r="H68" s="9"/>
      <c r="I68" s="9"/>
      <c r="J68" s="9"/>
      <c r="K68" s="9"/>
      <c r="L68" s="9"/>
      <c r="M68" s="9"/>
      <c r="N68" s="9"/>
      <c r="O68" s="9"/>
      <c r="P68" s="9"/>
      <c r="Q68" s="9"/>
      <c r="R68" s="9"/>
      <c r="S68" s="9"/>
      <c r="T68" s="9"/>
      <c r="U68" s="9"/>
      <c r="V68" s="9"/>
      <c r="W68" s="9"/>
      <c r="AC68" s="9"/>
      <c r="AD68" s="9"/>
      <c r="AE68" s="9"/>
    </row>
    <row r="69" spans="3:31" x14ac:dyDescent="0.25">
      <c r="C69" s="9"/>
      <c r="D69" s="9"/>
      <c r="E69" s="9"/>
      <c r="F69" s="9"/>
      <c r="G69" s="9"/>
      <c r="H69" s="9"/>
      <c r="I69" s="9"/>
      <c r="J69" s="9"/>
      <c r="K69" s="9"/>
      <c r="L69" s="9"/>
      <c r="M69" s="9"/>
      <c r="N69" s="9"/>
      <c r="O69" s="9"/>
      <c r="P69" s="9"/>
      <c r="Q69" s="9"/>
      <c r="R69" s="9"/>
      <c r="S69" s="9"/>
      <c r="T69" s="9"/>
      <c r="U69" s="9"/>
      <c r="V69" s="9"/>
      <c r="W69" s="9"/>
      <c r="AC69" s="9"/>
      <c r="AD69" s="9"/>
      <c r="AE69" s="9"/>
    </row>
    <row r="70" spans="3:31" x14ac:dyDescent="0.25">
      <c r="C70" s="9"/>
      <c r="D70" s="9"/>
      <c r="E70" s="9"/>
      <c r="F70" s="9"/>
      <c r="G70" s="9"/>
      <c r="H70" s="9"/>
      <c r="I70" s="9"/>
      <c r="J70" s="9"/>
      <c r="K70" s="9"/>
      <c r="L70" s="9"/>
      <c r="M70" s="9"/>
      <c r="N70" s="9"/>
      <c r="O70" s="9"/>
      <c r="P70" s="9"/>
      <c r="Q70" s="9"/>
      <c r="R70" s="9"/>
      <c r="S70" s="9"/>
      <c r="T70" s="9"/>
      <c r="U70" s="9"/>
      <c r="V70" s="9"/>
      <c r="W70" s="9"/>
      <c r="AC70" s="9"/>
      <c r="AD70" s="9"/>
      <c r="AE70" s="9"/>
    </row>
    <row r="71" spans="3:31" x14ac:dyDescent="0.25">
      <c r="C71" s="9"/>
      <c r="D71" s="9"/>
      <c r="E71" s="9"/>
      <c r="F71" s="9"/>
      <c r="G71" s="9"/>
      <c r="H71" s="9"/>
      <c r="I71" s="9"/>
      <c r="J71" s="9"/>
      <c r="K71" s="9"/>
      <c r="L71" s="9"/>
      <c r="M71" s="9"/>
      <c r="N71" s="9"/>
      <c r="O71" s="9"/>
      <c r="P71" s="9"/>
      <c r="Q71" s="9"/>
      <c r="R71" s="9"/>
      <c r="S71" s="9"/>
      <c r="T71" s="9"/>
      <c r="U71" s="9"/>
      <c r="V71" s="9"/>
      <c r="W71" s="9"/>
      <c r="AC71" s="9"/>
      <c r="AD71" s="9"/>
      <c r="AE71" s="9"/>
    </row>
  </sheetData>
  <mergeCells count="1">
    <mergeCell ref="C4:U4"/>
  </mergeCells>
  <dataValidations count="3">
    <dataValidation type="list" allowBlank="1" showInputMessage="1" showErrorMessage="1" sqref="E10:E35" xr:uid="{E69867B2-50EB-443F-ABF7-72F4B25FF5D3}">
      <formula1>$AD$10:$AD$13</formula1>
    </dataValidation>
    <dataValidation type="list" allowBlank="1" showInputMessage="1" showErrorMessage="1" sqref="F10:F35" xr:uid="{87FECA7C-7D76-4B66-B482-9EECF02B5133}">
      <formula1>$AC$10:$AC$15</formula1>
    </dataValidation>
    <dataValidation type="list" allowBlank="1" showInputMessage="1" showErrorMessage="1" sqref="Z8" xr:uid="{1B1CE6EE-98E0-4503-8A9E-75F240485656}">
      <formula1>"Variance to GST Excl. Inv,Variance to GST Incl. Inv"</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3be0b85a-8471-4f10-b038-505fde09e598" xsi:nil="true"/>
    <lcf76f155ced4ddcb4097134ff3c332f xmlns="f82d1b6b-c0e6-44b0-99a2-d357b2d50896">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BBE42521EE0684FB91080D193FD289B" ma:contentTypeVersion="12" ma:contentTypeDescription="Create a new document." ma:contentTypeScope="" ma:versionID="47cccb59cbe8c704ee7bf746635a25e0">
  <xsd:schema xmlns:xsd="http://www.w3.org/2001/XMLSchema" xmlns:xs="http://www.w3.org/2001/XMLSchema" xmlns:p="http://schemas.microsoft.com/office/2006/metadata/properties" xmlns:ns2="f82d1b6b-c0e6-44b0-99a2-d357b2d50896" xmlns:ns3="3be0b85a-8471-4f10-b038-505fde09e598" targetNamespace="http://schemas.microsoft.com/office/2006/metadata/properties" ma:root="true" ma:fieldsID="5bc806a59855b1e4bcc59406b6445b2a" ns2:_="" ns3:_="">
    <xsd:import namespace="f82d1b6b-c0e6-44b0-99a2-d357b2d50896"/>
    <xsd:import namespace="3be0b85a-8471-4f10-b038-505fde09e598"/>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LengthInSecond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82d1b6b-c0e6-44b0-99a2-d357b2d508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af4192a9-ce52-406f-9dc9-4d585e014db9"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e0b85a-8471-4f10-b038-505fde09e598"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9f462d04-e98a-404c-8b3f-11055a86a13c}" ma:internalName="TaxCatchAll" ma:showField="CatchAllData" ma:web="3be0b85a-8471-4f10-b038-505fde09e59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8FD1A020-9F24-443A-B62B-7DCC75682929}">
  <ds:schemaRefs>
    <ds:schemaRef ds:uri="http://schemas.microsoft.com/sharepoint/v3/contenttype/forms"/>
  </ds:schemaRefs>
</ds:datastoreItem>
</file>

<file path=customXml/itemProps2.xml><?xml version="1.0" encoding="utf-8"?>
<ds:datastoreItem xmlns:ds="http://schemas.openxmlformats.org/officeDocument/2006/customXml" ds:itemID="{A47E6FDA-CE96-45DC-8DF8-10A01794B5D5}">
  <ds:schemaRefs>
    <ds:schemaRef ds:uri="http://schemas.openxmlformats.org/package/2006/metadata/core-properties"/>
    <ds:schemaRef ds:uri="http://purl.org/dc/elements/1.1/"/>
    <ds:schemaRef ds:uri="http://www.w3.org/XML/1998/namespace"/>
    <ds:schemaRef ds:uri="cb0fa578-f870-47d6-b0d9-5a423e2a9cfb"/>
    <ds:schemaRef ds:uri="http://schemas.microsoft.com/office/2006/documentManagement/types"/>
    <ds:schemaRef ds:uri="http://purl.org/dc/terms/"/>
    <ds:schemaRef ds:uri="http://schemas.microsoft.com/office/2006/metadata/properties"/>
    <ds:schemaRef ds:uri="http://purl.org/dc/dcmitype/"/>
    <ds:schemaRef ds:uri="b568fc2f-4d2a-4f1a-a92d-be6ea9d479bf"/>
    <ds:schemaRef ds:uri="http://schemas.microsoft.com/office/infopath/2007/PartnerControls"/>
    <ds:schemaRef ds:uri="a6ef9c2c-1ad1-4c09-9d1c-8c71a768c11f"/>
    <ds:schemaRef ds:uri="f574b478-68e4-495d-9b17-0f93d51a8ef7"/>
    <ds:schemaRef ds:uri="3be0b85a-8471-4f10-b038-505fde09e598"/>
    <ds:schemaRef ds:uri="f82d1b6b-c0e6-44b0-99a2-d357b2d50896"/>
  </ds:schemaRefs>
</ds:datastoreItem>
</file>

<file path=customXml/itemProps3.xml><?xml version="1.0" encoding="utf-8"?>
<ds:datastoreItem xmlns:ds="http://schemas.openxmlformats.org/officeDocument/2006/customXml" ds:itemID="{FBB114AD-B8C5-41C1-B9DF-2A3F9384243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82d1b6b-c0e6-44b0-99a2-d357b2d50896"/>
    <ds:schemaRef ds:uri="3be0b85a-8471-4f10-b038-505fde09e59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BE49EB0-7765-42B8-91E0-F7F791B5574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3</vt:i4>
      </vt:variant>
    </vt:vector>
  </HeadingPairs>
  <TitlesOfParts>
    <vt:vector size="13" baseType="lpstr">
      <vt:lpstr>Unit1Path</vt:lpstr>
      <vt:lpstr>Rates</vt:lpstr>
      <vt:lpstr>EffortOutcomesAG1_1DayShiftAB</vt:lpstr>
      <vt:lpstr>CostAG1_1DayShiftAB</vt:lpstr>
      <vt:lpstr>CostPerDay</vt:lpstr>
      <vt:lpstr>TargetRatebyDate</vt:lpstr>
      <vt:lpstr>SavingFacilityDay</vt:lpstr>
      <vt:lpstr>Saving</vt:lpstr>
      <vt:lpstr>Summary</vt:lpstr>
      <vt:lpstr>Benhome Actuals Last fn</vt:lpstr>
      <vt:lpstr>Unit1Path!Client</vt:lpstr>
      <vt:lpstr>FilePathUrl</vt:lpstr>
      <vt:lpstr>Unit1Path!Role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dc:creator>
  <cp:lastModifiedBy>Alex James</cp:lastModifiedBy>
  <dcterms:created xsi:type="dcterms:W3CDTF">2023-01-08T20:26:19Z</dcterms:created>
  <dcterms:modified xsi:type="dcterms:W3CDTF">2026-10-01T06:54:18Z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0x0101008BBE42521EE0684FB91080D193FD289B</vt:lpwstr>
  </property>
  <property fmtid="{D5CDD505-2E9C-101B-9397-08002B2CF9AE}" pid="3" name="MediaServiceImageTags">
    <vt:lpwstr/>
  </property>
</Properties>
</file>